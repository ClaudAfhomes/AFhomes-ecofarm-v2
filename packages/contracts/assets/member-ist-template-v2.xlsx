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</ns0: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c7741d14bae64f8a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dd80c7e6922b4b4f"/>
    <sheet name="Identity" sheetId="2" r:id="R037dcb3167b04cf5"/>
    <sheet name="Team" sheetId="3" r:id="R953b523a225a425c"/>
    <sheet name="Details" sheetId="4" r:id="R498631935ba64feb"/>
    <sheet name="Teams" sheetId="5" r:id="R459e8adef614455d"/>
    <sheet name="_HeadMatches" sheetId="6" r:id="R7f8f1d4e925a4788" state="hidden"/>
    <sheet name="Postal" sheetId="7" r:id="Ristgeo7"/>
    <sheet name="PSGC_ProvinceList" sheetId="8" r:id="Ristgeo8"/>
    <sheet name="PSGC_CityList" sheetId="9" r:id="Ristgeo9"/>
    <sheet name="PSGC_BarangayList" sheetId="10" r:id="Ristgeo10"/>
    <sheet name="PSGC_ProvinceIndex" sheetId="11" r:id="Ristgeo11"/>
    <sheet name="PSGC_CityIndex" sheetId="12" r:id="Ristgeo12"/>
    <sheet name="Date Helper" sheetId="13" r:id="rIdMemberISTDateHelper"/>
  </sheets>
</workbook>
</file>

<file path=xl/styles.xml><?xml version="1.0" encoding="utf-8"?>
<styleSheet xmlns="http://schemas.openxmlformats.org/spreadsheetml/2006/main">
  <numFmts count="11">
    <numFmt numFmtId="200" formatCode="@"/>
    <numFmt numFmtId="201" formatCode="yyyy-mm-dd"/>
    <numFmt numFmtId="202" formatCode="0"/>
    <numFmt numFmtId="210" formatCode="yyyy-mm-dd"/>
    <numFmt numFmtId="211" formatCode="@"/>
    <numFmt numFmtId="212" formatCode="@"/>
    <numFmt numFmtId="213" formatCode="yyyy-mm-dd"/>
    <numFmt numFmtId="214" formatCode="0"/>
    <numFmt numFmtId="215" formatCode="@"/>
    <numFmt numFmtId="216" formatCode="yyyy-mm-dd"/>
    <numFmt numFmtId="217" formatCode="0"/>
  </numFmts>
  <fonts count="25">
    <font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18324E"/>
      <name val="Carlito"/>
    </font>
    <font>
      <b/>
      <sz val="11"/>
      <color rgb="FF9A5900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18324E"/>
      <name val="Carlito"/>
    </font>
    <font>
      <b/>
      <sz val="11"/>
      <color rgb="FFAE6915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18324E"/>
      <name val="Carlito"/>
    </font>
    <font>
      <b/>
      <sz val="11"/>
      <color rgb="FFAE6915"/>
      <name val="Carlito"/>
    </font>
    <font>
      <b/>
      <sz val="14"/>
      <color rgb="FFFFFFFF"/>
      <name val="Carlito"/>
    </font>
    <font>
      <sz val="11"/>
      <color rgb="FF26415B"/>
      <name val="Carlito"/>
    </font>
    <font>
      <b/>
      <sz val="11"/>
      <color rgb="FF1E3A5F"/>
      <name val="Carlito"/>
    </font>
    <font>
      <sz val="11"/>
      <color rgb="FF1E3A5F"/>
      <name val="Carlito"/>
    </font>
    <font>
      <sz val="11"/>
      <color rgb="FF334155"/>
      <name val="Carlito"/>
    </font>
    <font>
      <b/>
      <sz val="12"/>
      <color rgb="FFFFFFFF"/>
      <name val="Carlito"/>
    </font>
    <font>
      <sz val="11"/>
      <color rgb="FF1E293B"/>
      <name val="Carlito"/>
    </font>
    <font>
      <b/>
      <sz val="11"/>
      <color rgb="FF075985"/>
      <name val="Carlito"/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rgb="FF18324E"/>
      </patternFill>
    </fill>
    <fill>
      <patternFill patternType="solid">
        <fgColor rgb="FFE9F1F8"/>
      </patternFill>
    </fill>
    <fill>
      <patternFill patternType="solid">
        <fgColor rgb="FFFFF5E1"/>
      </patternFill>
    </fill>
    <fill>
      <patternFill patternType="solid">
        <fgColor rgb="FFE9EEF4"/>
      </patternFill>
    </fill>
    <fill>
      <patternFill patternType="solid">
        <fgColor rgb="FF146C72"/>
      </patternFill>
    </fill>
    <fill>
      <patternFill patternType="solid">
        <fgColor rgb="FF6538A3"/>
      </patternFill>
    </fill>
    <fill>
      <patternFill patternType="solid">
        <fgColor rgb="FF2166A5"/>
      </patternFill>
    </fill>
    <fill>
      <patternFill patternType="solid">
        <fgColor rgb="FF28764A"/>
      </patternFill>
    </fill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none"/>
    </fill>
    <fill>
      <patternFill patternType="gray125"/>
    </fill>
    <fill>
      <patternFill patternType="solid">
        <fgColor rgb="FF18324E"/>
      </patternFill>
    </fill>
    <fill>
      <patternFill patternType="solid">
        <fgColor rgb="FFEEF3F8"/>
      </patternFill>
    </fill>
    <fill>
      <patternFill patternType="solid">
        <fgColor rgb="FFFFF4D8"/>
      </patternFill>
    </fill>
    <fill>
      <patternFill patternType="solid">
        <fgColor rgb="FF146C72"/>
      </patternFill>
    </fill>
    <fill>
      <patternFill patternType="solid">
        <fgColor rgb="FF6538A3"/>
      </patternFill>
    </fill>
    <fill>
      <patternFill patternType="solid">
        <fgColor rgb="FF2166A5"/>
      </patternFill>
    </fill>
    <fill>
      <patternFill patternType="solid">
        <fgColor rgb="FFAE6915"/>
      </patternFill>
    </fill>
    <fill>
      <patternFill patternType="solid">
        <fgColor rgb="FF28764A"/>
      </patternFill>
    </fill>
    <fill>
      <patternFill patternType="none"/>
    </fill>
    <fill>
      <patternFill patternType="gray125"/>
    </fill>
    <fill>
      <patternFill patternType="solid">
        <fgColor rgb="FF18324E"/>
      </patternFill>
    </fill>
    <fill>
      <patternFill patternType="solid">
        <fgColor rgb="FFEEF3F8"/>
      </patternFill>
    </fill>
    <fill>
      <patternFill patternType="solid">
        <fgColor rgb="FFFFF4D8"/>
      </patternFill>
    </fill>
    <fill>
      <patternFill patternType="solid">
        <fgColor rgb="FF146C72"/>
      </patternFill>
    </fill>
    <fill>
      <patternFill patternType="solid">
        <fgColor rgb="FF6538A3"/>
      </patternFill>
    </fill>
    <fill>
      <patternFill patternType="solid">
        <fgColor rgb="FF2166A5"/>
      </patternFill>
    </fill>
    <fill>
      <patternFill patternType="solid">
        <fgColor rgb="FFAE6915"/>
      </patternFill>
    </fill>
    <fill>
      <patternFill patternType="solid">
        <fgColor rgb="FF28764A"/>
      </patternFill>
    </fill>
    <fill>
      <patternFill patternType="solid">
        <fgColor rgb="FF1E3A5F"/>
      </patternFill>
    </fill>
    <fill>
      <patternFill patternType="solid">
        <fgColor rgb="FFE7F6EE"/>
      </patternFill>
    </fill>
    <fill>
      <patternFill patternType="solid">
        <fgColor rgb="FFFEF3C7"/>
      </patternFill>
    </fill>
    <fill>
      <patternFill patternType="solid">
        <fgColor rgb="FFE7EEF8"/>
      </patternFill>
    </fill>
    <fill>
      <patternFill patternType="solid">
        <fgColor rgb="FF286C72"/>
      </patternFill>
    </fill>
    <fill>
      <patternFill patternType="solid">
        <fgColor rgb="FF183B60"/>
      </patternFill>
    </fill>
    <fill>
      <patternFill patternType="solid">
        <fgColor rgb="FF275B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0"/>
  </cellStyleXfs>
  <cellXfs count="75">
    <xf numFmtId="0" fontId="0" fillId="0" borderId="0" xfId="0"/>
    <xf numFmtId="0" fontId="0" fillId="0" borderId="1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200" fontId="0" fillId="0" borderId="0" xfId="0" applyNumberFormat="1" applyFont="1" applyFill="1" applyBorder="1"/>
    <xf numFmtId="200" fontId="0" fillId="0" borderId="1" xfId="0" applyNumberFormat="1" applyFont="1" applyFill="1" applyBorder="1"/>
    <xf numFmtId="201" fontId="0" fillId="0" borderId="0" xfId="0" applyNumberFormat="1" applyFont="1" applyFill="1" applyBorder="1"/>
    <xf numFmtId="201" fontId="0" fillId="0" borderId="1" xfId="0" applyNumberFormat="1" applyFont="1" applyFill="1" applyBorder="1"/>
    <xf numFmtId="202" fontId="0" fillId="0" borderId="0" xfId="0" applyNumberFormat="1" applyFont="1" applyFill="1" applyBorder="1"/>
    <xf numFmtId="202" fontId="0" fillId="0" borderId="1" xfId="0" applyNumberFormat="1" applyFont="1" applyFill="1" applyBorder="1"/>
    <xf numFmtId="0" fontId="2" fillId="2" borderId="2" xfId="0"/>
    <xf numFmtId="0" fontId="2" fillId="2" borderId="3" xfId="0" applyNumberFormat="1" applyFont="1" applyFill="1" applyBorder="1"/>
    <xf numFmtId="0" fontId="2" fillId="2" borderId="2" xfId="0" applyNumberFormat="1" applyFont="1" applyFill="1" applyBorder="1" applyAlignment="1">
      <alignment vertical="center"/>
    </xf>
    <xf numFmtId="0" fontId="2" fillId="2" borderId="3" xfId="0" applyNumberFormat="1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 wrapText="1"/>
    </xf>
    <xf numFmtId="0" fontId="2" fillId="2" borderId="3" xfId="0" applyNumberFormat="1" applyFont="1" applyFill="1" applyBorder="1" applyAlignment="1">
      <alignment vertical="center" wrapText="1"/>
    </xf>
    <xf numFmtId="0" fontId="2" fillId="4" borderId="2" xfId="0" applyNumberFormat="1" applyFont="1" applyFill="1" applyBorder="1" applyAlignment="1">
      <alignment vertical="center" wrapText="1"/>
    </xf>
    <xf numFmtId="0" fontId="3" fillId="4" borderId="2" xfId="0" applyNumberFormat="1" applyFont="1" applyFill="1" applyBorder="1" applyAlignment="1">
      <alignment vertical="center" wrapText="1"/>
    </xf>
    <xf numFmtId="0" fontId="2" fillId="4" borderId="3" xfId="0" applyNumberFormat="1" applyFont="1" applyFill="1" applyBorder="1" applyAlignment="1">
      <alignment vertical="center" wrapText="1"/>
    </xf>
    <xf numFmtId="0" fontId="3" fillId="4" borderId="3" xfId="0" applyNumberFormat="1" applyFont="1" applyFill="1" applyBorder="1" applyAlignment="1">
      <alignment vertical="center" wrapText="1"/>
    </xf>
    <xf numFmtId="0" fontId="2" fillId="5" borderId="2" xfId="0" applyNumberFormat="1" applyFont="1" applyFill="1" applyBorder="1" applyAlignment="1">
      <alignment vertical="center" wrapText="1"/>
    </xf>
    <xf numFmtId="0" fontId="4" fillId="5" borderId="2" xfId="0" applyNumberFormat="1" applyFont="1" applyFill="1" applyBorder="1" applyAlignment="1">
      <alignment vertical="center" wrapText="1"/>
    </xf>
    <xf numFmtId="0" fontId="2" fillId="5" borderId="3" xfId="0" applyNumberFormat="1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vertical="center" wrapText="1"/>
    </xf>
    <xf numFmtId="0" fontId="2" fillId="6" borderId="2" xfId="0" applyNumberFormat="1" applyFont="1" applyFill="1" applyBorder="1" applyAlignment="1">
      <alignment vertical="center" wrapText="1"/>
    </xf>
    <xf numFmtId="0" fontId="5" fillId="6" borderId="2" xfId="0" applyNumberFormat="1" applyFont="1" applyFill="1" applyBorder="1" applyAlignment="1">
      <alignment vertical="center" wrapText="1"/>
    </xf>
    <xf numFmtId="0" fontId="2" fillId="6" borderId="3" xfId="0" applyNumberFormat="1" applyFont="1" applyFill="1" applyBorder="1" applyAlignment="1">
      <alignment vertical="center" wrapText="1"/>
    </xf>
    <xf numFmtId="0" fontId="5" fillId="6" borderId="3" xfId="0" applyNumberFormat="1" applyFont="1" applyFill="1" applyBorder="1" applyAlignment="1">
      <alignment vertical="center" wrapText="1"/>
    </xf>
    <xf numFmtId="0" fontId="2" fillId="7" borderId="2" xfId="0" applyNumberFormat="1" applyFont="1" applyFill="1" applyBorder="1" applyAlignment="1">
      <alignment vertical="center" wrapText="1"/>
    </xf>
    <xf numFmtId="0" fontId="4" fillId="7" borderId="2" xfId="0" applyNumberFormat="1" applyFont="1" applyFill="1" applyBorder="1" applyAlignment="1">
      <alignment vertical="center" wrapText="1"/>
    </xf>
    <xf numFmtId="0" fontId="2" fillId="7" borderId="3" xfId="0" applyNumberFormat="1" applyFont="1" applyFill="1" applyBorder="1" applyAlignment="1">
      <alignment vertical="center" wrapText="1"/>
    </xf>
    <xf numFmtId="0" fontId="4" fillId="7" borderId="3" xfId="0" applyNumberFormat="1" applyFont="1" applyFill="1" applyBorder="1" applyAlignment="1">
      <alignment vertical="center" wrapText="1"/>
    </xf>
    <xf numFmtId="0" fontId="4" fillId="2" borderId="2" xfId="0" applyNumberFormat="1" applyFont="1" applyFill="1" applyBorder="1" applyAlignment="1">
      <alignment vertical="center" wrapText="1"/>
    </xf>
    <xf numFmtId="0" fontId="4" fillId="2" borderId="3" xfId="0" applyNumberFormat="1" applyFont="1" applyFill="1" applyBorder="1" applyAlignment="1">
      <alignment vertical="center" wrapText="1"/>
    </xf>
    <xf numFmtId="0" fontId="2" fillId="8" borderId="2" xfId="0" applyNumberFormat="1" applyFont="1" applyFill="1" applyBorder="1"/>
    <xf numFmtId="0" fontId="3" fillId="8" borderId="2" xfId="0" applyNumberFormat="1" applyFont="1" applyFill="1" applyBorder="1"/>
    <xf numFmtId="0" fontId="3" fillId="8" borderId="2" xfId="0" applyNumberFormat="1" applyFont="1" applyFill="1" applyBorder="1" applyAlignment="1">
      <alignment wrapText="1"/>
    </xf>
    <xf numFmtId="0" fontId="3" fillId="8" borderId="2" xfId="0" applyNumberFormat="1" applyFont="1" applyFill="1" applyBorder="1" applyAlignment="1">
      <alignment vertical="center" wrapText="1"/>
    </xf>
    <xf numFmtId="0" fontId="2" fillId="8" borderId="3" xfId="0" applyNumberFormat="1" applyFont="1" applyFill="1" applyBorder="1"/>
    <xf numFmtId="0" fontId="3" fillId="8" borderId="3" xfId="0" applyNumberFormat="1" applyFont="1" applyFill="1" applyBorder="1"/>
    <xf numFmtId="0" fontId="3" fillId="8" borderId="3" xfId="0" applyNumberFormat="1" applyFont="1" applyFill="1" applyBorder="1" applyAlignment="1">
      <alignment wrapText="1"/>
    </xf>
    <xf numFmtId="0" fontId="3" fillId="8" borderId="3" xfId="0" applyNumberFormat="1" applyFont="1" applyFill="1" applyBorder="1" applyAlignment="1">
      <alignment vertical="center" wrapText="1"/>
    </xf>
    <xf numFmtId="0" fontId="2" fillId="9" borderId="2" xfId="0" applyNumberFormat="1" applyFont="1" applyFill="1" applyBorder="1"/>
    <xf numFmtId="0" fontId="3" fillId="9" borderId="2" xfId="0" applyNumberFormat="1" applyFont="1" applyFill="1" applyBorder="1"/>
    <xf numFmtId="0" fontId="3" fillId="9" borderId="2" xfId="0" applyNumberFormat="1" applyFont="1" applyFill="1" applyBorder="1" applyAlignment="1">
      <alignment wrapText="1"/>
    </xf>
    <xf numFmtId="0" fontId="3" fillId="9" borderId="2" xfId="0" applyNumberFormat="1" applyFont="1" applyFill="1" applyBorder="1" applyAlignment="1">
      <alignment vertical="center" wrapText="1"/>
    </xf>
    <xf numFmtId="0" fontId="2" fillId="9" borderId="3" xfId="0" applyNumberFormat="1" applyFont="1" applyFill="1" applyBorder="1"/>
    <xf numFmtId="0" fontId="3" fillId="9" borderId="3" xfId="0" applyNumberFormat="1" applyFont="1" applyFill="1" applyBorder="1"/>
    <xf numFmtId="0" fontId="3" fillId="9" borderId="3" xfId="0" applyNumberFormat="1" applyFont="1" applyFill="1" applyBorder="1" applyAlignment="1">
      <alignment wrapText="1"/>
    </xf>
    <xf numFmtId="0" fontId="3" fillId="9" borderId="3" xfId="0" applyNumberFormat="1" applyFont="1" applyFill="1" applyBorder="1" applyAlignment="1">
      <alignment vertical="center" wrapText="1"/>
    </xf>
    <xf numFmtId="0" fontId="2" fillId="10" borderId="2" xfId="0" applyNumberFormat="1" applyFont="1" applyFill="1" applyBorder="1"/>
    <xf numFmtId="0" fontId="3" fillId="10" borderId="2" xfId="0" applyNumberFormat="1" applyFont="1" applyFill="1" applyBorder="1"/>
    <xf numFmtId="0" fontId="3" fillId="10" borderId="2" xfId="0" applyNumberFormat="1" applyFont="1" applyFill="1" applyBorder="1" applyAlignment="1">
      <alignment wrapText="1"/>
    </xf>
    <xf numFmtId="0" fontId="3" fillId="10" borderId="2" xfId="0" applyNumberFormat="1" applyFont="1" applyFill="1" applyBorder="1" applyAlignment="1">
      <alignment vertical="center" wrapText="1"/>
    </xf>
    <xf numFmtId="0" fontId="2" fillId="10" borderId="3" xfId="0" applyNumberFormat="1" applyFont="1" applyFill="1" applyBorder="1"/>
    <xf numFmtId="0" fontId="3" fillId="10" borderId="3" xfId="0" applyNumberFormat="1" applyFont="1" applyFill="1" applyBorder="1"/>
    <xf numFmtId="0" fontId="3" fillId="10" borderId="3" xfId="0" applyNumberFormat="1" applyFont="1" applyFill="1" applyBorder="1" applyAlignment="1">
      <alignment wrapText="1"/>
    </xf>
    <xf numFmtId="0" fontId="3" fillId="10" borderId="3" xfId="0" applyNumberFormat="1" applyFont="1" applyFill="1" applyBorder="1" applyAlignment="1">
      <alignment vertical="center" wrapText="1"/>
    </xf>
    <xf numFmtId="0" fontId="2" fillId="11" borderId="2" xfId="0" applyNumberFormat="1" applyFont="1" applyFill="1" applyBorder="1"/>
    <xf numFmtId="0" fontId="3" fillId="11" borderId="2" xfId="0" applyNumberFormat="1" applyFont="1" applyFill="1" applyBorder="1"/>
    <xf numFmtId="0" fontId="3" fillId="11" borderId="2" xfId="0" applyNumberFormat="1" applyFont="1" applyFill="1" applyBorder="1" applyAlignment="1">
      <alignment wrapText="1"/>
    </xf>
    <xf numFmtId="0" fontId="3" fillId="11" borderId="2" xfId="0" applyNumberFormat="1" applyFont="1" applyFill="1" applyBorder="1" applyAlignment="1">
      <alignment vertical="center" wrapText="1"/>
    </xf>
    <xf numFmtId="0" fontId="17" fillId="36" borderId="8" xfId="0" applyNumberFormat="1" applyFont="1" applyFill="1" applyBorder="1"/>
    <xf numFmtId="0" fontId="18" fillId="26" borderId="8" xfId="0" applyNumberFormat="1" applyFont="1" applyFill="1" applyBorder="1" applyAlignment="1">
      <alignment wrapText="1"/>
    </xf>
    <xf numFmtId="0" fontId="19" fillId="26" borderId="8" xfId="0" applyNumberFormat="1" applyFont="1" applyFill="1" applyBorder="1"/>
    <xf numFmtId="0" fontId="13" fillId="37" borderId="8" xfId="0" applyNumberFormat="1" applyFont="1" applyFill="1" applyBorder="1"/>
    <xf numFmtId="216" fontId="19" fillId="38" borderId="8" xfId="0" applyNumberFormat="1" applyFont="1" applyFill="1" applyBorder="1"/>
    <xf numFmtId="0" fontId="19" fillId="39" borderId="8" xfId="0" applyNumberFormat="1" applyFont="1" applyFill="1" applyBorder="1"/>
    <xf numFmtId="0" fontId="14" fillId="40" borderId="8" xfId="0" applyNumberFormat="1" applyFont="1" applyFill="1" applyBorder="1"/>
    <xf numFmtId="0" fontId="20" fillId="26" borderId="8" xfId="0" applyNumberFormat="1" applyFont="1" applyFill="1" applyBorder="1" applyAlignment="1">
      <alignment horizontal="center"/>
    </xf>
    <xf numFmtId="0" fontId="21" fillId="26" borderId="8" xfId="0" applyNumberFormat="1" applyFont="1" applyFill="1" applyBorder="1" applyAlignment="1">
      <alignment wrapText="1"/>
    </xf>
  </cellXfs>
  <cellStyles count="1">
    <cellStyle name="Normal" xfId="0"/>
  </cellStyles>
  <dxfs count="4">
    <dxf>
      <font>
        <color rgb="FFAD6200"/>
      </font>
    </dxf>
    <dxf>
      <font>
        <color rgb="FFAD6200"/>
      </font>
    </dxf>
    <dxf>
      <font>
        <color rgb="FFAD6200"/>
      </font>
    </dxf>
    <dxf>
      <font>
        <b/>
        <color rgb="FF075985"/>
      </font>
      <fill>
        <patternFill patternType="solid">
          <bgColor rgb="FFBFE7C8"/>
        </patternFill>
      </fill>
    </dxf>
  </dxf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8120555fb10b4b44" /><ns0:Relationship Type="http://schemas.openxmlformats.org/officeDocument/2006/relationships/theme" Target="/xl/theme/theme1.xml" Id="R9b76cfa329924f04" /><ns0:Relationship Type="http://schemas.openxmlformats.org/officeDocument/2006/relationships/sharedStrings" Target="/xl/sharedStrings.xml" Id="R8ab1294a4b4d4694" /><ns0:Relationship Type="http://schemas.openxmlformats.org/officeDocument/2006/relationships/worksheet" Target="/xl/worksheets/sheet1.xml" Id="Rdd80c7e6922b4b4f" /><ns0:Relationship Type="http://schemas.openxmlformats.org/officeDocument/2006/relationships/worksheet" Target="/xl/worksheets/sheet2.xml" Id="R037dcb3167b04cf5" /><ns0:Relationship Type="http://schemas.openxmlformats.org/officeDocument/2006/relationships/worksheet" Target="/xl/worksheets/sheet3.xml" Id="R953b523a225a425c" /><ns0:Relationship Type="http://schemas.openxmlformats.org/officeDocument/2006/relationships/worksheet" Target="/xl/worksheets/sheet4.xml" Id="R498631935ba64feb" /><ns0:Relationship Type="http://schemas.openxmlformats.org/officeDocument/2006/relationships/worksheet" Target="/xl/worksheets/sheet5.xml" Id="R459e8adef614455d" /><ns0:Relationship Type="http://schemas.openxmlformats.org/officeDocument/2006/relationships/worksheet" Target="/xl/worksheets/sheet6.xml" Id="R7f8f1d4e925a4788" /><ns0:Relationship Type="http://schemas.openxmlformats.org/officeDocument/2006/relationships/worksheet" Target="/xl/worksheets/sheet7.xml" Id="Ristgeo7" /><ns0:Relationship Type="http://schemas.openxmlformats.org/officeDocument/2006/relationships/worksheet" Target="/xl/worksheets/sheet8.xml" Id="Ristgeo8" /><ns0:Relationship Type="http://schemas.openxmlformats.org/officeDocument/2006/relationships/worksheet" Target="/xl/worksheets/sheet9.xml" Id="Ristgeo9" /><ns0:Relationship Type="http://schemas.openxmlformats.org/officeDocument/2006/relationships/worksheet" Target="/xl/worksheets/sheet10.xml" Id="Ristgeo10" /><ns0:Relationship Type="http://schemas.openxmlformats.org/officeDocument/2006/relationships/worksheet" Target="/xl/worksheets/sheet11.xml" Id="Ristgeo11" /><ns0:Relationship Type="http://schemas.openxmlformats.org/officeDocument/2006/relationships/worksheet" Target="/xl/worksheets/sheet12.xml" Id="Ristgeo12" /><ns0:Relationship Id="rIdMemberISTDateHelper" Type="http://schemas.openxmlformats.org/officeDocument/2006/relationships/worksheet" Target="worksheets/sheet13.xml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8324E"/>
  </sheetPr>
  <sheetViews>
    <sheetView workbookViewId="0" showGridLines="1" zoomScale="80" zoomScaleNormal="100">
      <pane ySplit="6" topLeftCell="A7" activePane="bottomLeft" state="frozen"/>
    </sheetView>
  </sheetViews>
  <sheetFormatPr defaultRowHeight="15"/>
  <cols>
    <col min="1" max="1" width="32" hidden="0" customWidth="1"/>
    <col min="2" max="2" width="78" hidden="0" customWidth="1"/>
    <col min="3" max="3" width="66" hidden="0" customWidth="1"/>
  </cols>
  <sheetData>
    <row r="1" ht="39" customHeight="1">
      <c r="A1" s="21" t="str">
        <v>AF HOMES ECOFARM  /  IST BULK IMPORT</v>
      </c>
      <c r="B1" s="21" t="str"/>
      <c r="C1" s="21" t="str"/>
    </row>
    <row r="2" ht="30" customHeight="1">
      <c r="A2" s="25" t="str">
        <v>Historical IST Data Migration | Official AAI numbers + Team hierarchy | Workbook guide</v>
      </c>
      <c r="B2" s="25" t="str"/>
      <c r="C2" s="25" t="str"/>
    </row>
    <row r="3" ht="35" customHeight="1">
      <c r="A3" s="29" t="str">
        <v>READ FIRST: This file captures existing company records. Excel does not create accounts, approve genealogy, or issue accreditation numbers.</v>
      </c>
      <c r="B3" s="29" t="str"/>
      <c r="C3" s="29" t="str"/>
    </row>
    <row r="4" ht="9" customHeight="1">
      <c r="A4" s="18" t="str"/>
      <c r="B4" s="18" t="str"/>
      <c r="C4" s="18" t="str"/>
    </row>
    <row r="5" ht="31" customHeight="1">
      <c r="A5" s="21" t="str">
        <v>01  |  IMPORT WORKFLOW</v>
      </c>
      <c r="B5" s="21" t="str"/>
      <c r="C5" s="21" t="str"/>
    </row>
    <row r="6" ht="27" customHeight="1">
      <c r="A6" s="33" t="str">
        <v>STEP</v>
      </c>
      <c r="B6" s="33" t="str">
        <v>WHAT TO DO</v>
      </c>
      <c r="C6" s="33" t="str">
        <v>PRACTICAL NOTE</v>
      </c>
    </row>
    <row r="7" ht="35" customHeight="1">
      <c r="A7" s="36" t="str">
        <v>1 · Prepare</v>
      </c>
      <c r="B7" s="18" t="str">
        <v>Copy verified historical IST records from the company source files. Check spelling, phone numbers, AAI numbers and manager names.</v>
      </c>
      <c r="C7" s="18" t="str">
        <v>Use authentic records; never invent government IDs or registered seller relationships.</v>
      </c>
    </row>
    <row r="8" ht="35" customHeight="1">
      <c r="A8" s="36" t="str">
        <v>2 · Identity</v>
      </c>
      <c r="B8" s="18" t="str">
        <v>Enter each person on one row. Supply their original AAI number if already issued; otherwise leave that field blank for a new account.</v>
      </c>
      <c r="C8" s="18" t="str">
        <v>Row 2 in Identity = row 2 in Team and Details.</v>
      </c>
    </row>
    <row r="9" ht="29" customHeight="1">
      <c r="A9" s="36" t="str">
        <v>3 · Team</v>
      </c>
      <c r="B9" s="18" t="str">
        <v>Select Position and choose the correct Head Member Name when required.</v>
      </c>
      <c r="C9" s="18" t="str">
        <v>VD → no head; SSM → VD; SM → SSM.</v>
      </c>
    </row>
    <row r="10" ht="35" customHeight="1">
      <c r="A10" s="36" t="str">
        <v>4 · Details</v>
      </c>
      <c r="B10" s="18" t="str">
        <v>Complete existing government ID type/number, TIN, telephone, employer and Job Position when held in source data.</v>
      </c>
      <c r="C10" s="18" t="str">
        <v>Job Position is retained; this is not the IST sales hierarchy Position.</v>
      </c>
    </row>
    <row r="11" ht="35" customHeight="1">
      <c r="A11" s="36" t="str">
        <v>5 · Review</v>
      </c>
      <c r="B11" s="18" t="str">
        <v>Resolve empty required fields, duplicate AAI numbers, invalid mobile numbers, and Hierarchy Check warnings.</v>
      </c>
      <c r="C11" s="18" t="str">
        <v>Excel validators can be bypassed by pasting; server validation is mandatory.</v>
      </c>
    </row>
    <row r="12" ht="35" customHeight="1">
      <c r="A12" s="36" t="str">
        <v>6 · Preview</v>
      </c>
      <c r="B12" s="18" t="str">
        <v>Upload to the supported IST bulk-import screen and review CREATE / MATCH / CONFLICT decisions before confirming.</v>
      </c>
      <c r="C12" s="18" t="str">
        <v>A successful spreadsheet upload is not proof of an approved account.</v>
      </c>
    </row>
    <row r="13" ht="35" customHeight="1">
      <c r="A13" s="36" t="str">
        <v>7 · Confirm</v>
      </c>
      <c r="B13" s="18" t="str">
        <v>Only an authorized operator should approve migration after reviewing candidate matches and account permissions.</v>
      </c>
      <c r="C13" s="18" t="str">
        <v>Use a safe test environment with synthetic rows before live imports.</v>
      </c>
    </row>
    <row r="14" ht="9" customHeight="1">
      <c r="A14" s="18" t="str"/>
      <c r="B14" s="18" t="str"/>
      <c r="C14" s="18" t="str"/>
    </row>
    <row r="15" ht="31" customHeight="1">
      <c r="A15" s="21" t="str">
        <v>02  |  WHAT EACH TAB IS FOR</v>
      </c>
      <c r="B15" s="21" t="str"/>
      <c r="C15" s="21" t="str"/>
    </row>
    <row r="16" ht="27" customHeight="1">
      <c r="A16" s="33" t="str">
        <v>TAB</v>
      </c>
      <c r="B16" s="33" t="str">
        <v>PURPOSE</v>
      </c>
      <c r="C16" s="33" t="str">
        <v>USAGE</v>
      </c>
    </row>
    <row r="17" ht="29" customHeight="1">
      <c r="A17" s="36" t="str">
        <v>README</v>
      </c>
      <c r="B17" s="18" t="str">
        <v>Guide, warnings and workbook entry instructions.</v>
      </c>
      <c r="C17" s="18" t="str">
        <v>No person data goes here.</v>
      </c>
    </row>
    <row r="18" ht="35" customHeight="1">
      <c r="A18" s="36" t="str">
        <v>Identity</v>
      </c>
      <c r="B18" s="18" t="str">
        <v>Existing AAI Number, names, email, mobile, birthdate, age, gender, marital status and address.</v>
      </c>
      <c r="C18" s="18" t="str">
        <v>AAI can be entered to preserve historical company-issued IDs.</v>
      </c>
    </row>
    <row r="19" ht="35" customHeight="1">
      <c r="A19" s="36" t="str">
        <v>Team</v>
      </c>
      <c r="B19" s="18" t="str">
        <v>Applicant Name (auto), Position, Head Member Name, Hierarchy Check (auto), and Search Head Member field.</v>
      </c>
      <c r="C19" s="18" t="str">
        <v>Head Member is selected as a name, not an email address.</v>
      </c>
    </row>
    <row r="20" ht="29" customHeight="1">
      <c r="A20" s="36" t="str">
        <v>Details</v>
      </c>
      <c r="B20" s="18" t="str">
        <v>Applicant Name (auto), document information, employment and Job Position.</v>
      </c>
      <c r="C20" s="18" t="str">
        <v>Same worksheet row as Identity.</v>
      </c>
    </row>
    <row r="21" ht="29" customHeight="1">
      <c r="A21" s="36" t="str">
        <v>Teams</v>
      </c>
      <c r="B21" s="18" t="str">
        <v>Three-column name list: Vice Directors / Senior Sales Managers / Sales Managers.</v>
      </c>
      <c r="C21" s="18" t="str">
        <v>Provides candidate names to dropdowns; not an account-registration tab.</v>
      </c>
    </row>
    <row r="22" ht="29" customHeight="1">
      <c r="A22" s="36" t="str">
        <v>Reference tabs</v>
      </c>
      <c r="B22" s="18" t="str">
        <v>Postal + PSGC Province/City/Barangay/Index sheets are bundled for offline Excel lookup.</v>
      </c>
      <c r="C22" s="18" t="str">
        <v>Do not delete, rename or sort independently.</v>
      </c>
    </row>
    <row r="23" ht="9" customHeight="1">
      <c r="A23" s="18" t="str"/>
      <c r="B23" s="18" t="str"/>
      <c r="C23" s="18" t="str"/>
    </row>
    <row r="24" ht="31" customHeight="1">
      <c r="A24" s="21" t="str">
        <v>03  |  EXISTING AAI IDENTIFIER — IMPORTANT</v>
      </c>
      <c r="B24" s="21" t="str"/>
      <c r="C24" s="21" t="str"/>
    </row>
    <row r="25" ht="27" customHeight="1">
      <c r="A25" s="33" t="str">
        <v>RULE</v>
      </c>
      <c r="B25" s="33" t="str">
        <v>EXPECTED BEHAVIOR</v>
      </c>
      <c r="C25" s="33" t="str">
        <v>EXAMPLE / REMINDER</v>
      </c>
    </row>
    <row r="26" ht="35" customHeight="1">
      <c r="A26" s="36" t="str">
        <v>Historical AAI</v>
      </c>
      <c r="B26" s="18" t="str">
        <v>Use original uppercase AAIYYMMNNNN, e.g. AAI26100001, or an approved legacy AA- identifier: six letters and six digits in any order after AA-. The system must preserve the actual historic ID.</v>
      </c>
      <c r="C26" s="18" t="str">
        <v>AAI26100001  /  AA-ABC123DEF456 (format examples only)</v>
      </c>
    </row>
    <row r="27" ht="35" customHeight="1">
      <c r="A27" s="36" t="str">
        <v>Preserve the record</v>
      </c>
      <c r="B27" s="18" t="str">
        <v>The backend must match and retain the genuine existing identifier. Do not generate a replacement for an imported identity.</v>
      </c>
      <c r="C27" s="18" t="str">
        <v>Existing AAI does not imply a verified, active system account.</v>
      </c>
    </row>
    <row r="28" ht="35" customHeight="1">
      <c r="A28" s="36" t="str">
        <v>New IST</v>
      </c>
      <c r="B28" s="18" t="str">
        <v>Leave AAI Number blank only if a number truly has not yet been issued; authorized system allocation handles new issuances.</v>
      </c>
      <c r="C28" s="18" t="str">
        <v>Do not assign an arbitrary number in Excel.</v>
      </c>
    </row>
    <row r="29" ht="35" customHeight="1">
      <c r="A29" s="36" t="str">
        <v>Duplicate AAI</v>
      </c>
      <c r="B29" s="18" t="str">
        <v>Duplicate official numbers are blocked within this workbook. Server-side ownership and duplicate checks are still mandatory.</v>
      </c>
      <c r="C29" s="18" t="str">
        <v>Do not overwrite the AAI of a different person.</v>
      </c>
    </row>
    <row r="30" ht="35" customHeight="1">
      <c r="A30" s="36" t="str">
        <v>Uppercase</v>
      </c>
      <c r="B30" s="18" t="str">
        <v>Only uppercase AAI + 2-digit year + valid month (01-12) + nonzero 4-digit sequence, or an approved issued legacy AA- plus exactly six letters and six digits. Other strings are rejected.</v>
      </c>
      <c r="C30" s="18" t="str">
        <v>No spaces or lowercase; historical AA- remains eligible only when genuinely issued.</v>
      </c>
    </row>
    <row r="31" ht="35" customHeight="1">
      <c r="A31" s="36" t="str">
        <v>AAI vs UUID</v>
      </c>
      <c r="B31" s="18" t="str">
        <v>Official AAI is an external identifier; the database UUID remains the internal durable identity.</v>
      </c>
      <c r="C31" s="18" t="str">
        <v>Do not use AAI as a password, OTP or account authorization token.</v>
      </c>
    </row>
    <row r="32" ht="9" customHeight="1">
      <c r="A32" s="18" t="str"/>
      <c r="B32" s="18" t="str"/>
      <c r="C32" s="18" t="str"/>
    </row>
    <row r="33" ht="31" customHeight="1">
      <c r="A33" s="21" t="str">
        <v>04  |  POSITION &amp; HEAD MEMBER SELECTION</v>
      </c>
      <c r="B33" s="21" t="str"/>
      <c r="C33" s="21" t="str"/>
    </row>
    <row r="34" ht="27" customHeight="1">
      <c r="A34" s="33" t="str">
        <v>POSITION</v>
      </c>
      <c r="B34" s="33" t="str">
        <v>HEAD MEMBER RULE</v>
      </c>
      <c r="C34" s="33" t="str">
        <v>WHY</v>
      </c>
    </row>
    <row r="35" ht="29" customHeight="1">
      <c r="A35" s="36" t="str">
        <v>Vice Director</v>
      </c>
      <c r="B35" s="18" t="str">
        <v>No Head Member required; keep Head Member Name blank.</v>
      </c>
      <c r="C35" s="18" t="str">
        <v>Top-level team member.</v>
      </c>
    </row>
    <row r="36" ht="29" customHeight="1">
      <c r="A36" s="36" t="str">
        <v>Senior Sales Manager</v>
      </c>
      <c r="B36" s="18" t="str">
        <v>Choose an existing or previously created Vice Director name.</v>
      </c>
      <c r="C36" s="18" t="str">
        <v>Must be under one valid VD.</v>
      </c>
    </row>
    <row r="37" ht="29" customHeight="1">
      <c r="A37" s="36" t="str">
        <v>Sales Manager</v>
      </c>
      <c r="B37" s="18" t="str">
        <v>Choose an existing or previously created Senior Sales Manager name.</v>
      </c>
      <c r="C37" s="18" t="str">
        <v>The manager’s VD chain must be preserved.</v>
      </c>
    </row>
    <row r="38" ht="35" customHeight="1">
      <c r="A38" s="36" t="str">
        <v>Teams directory</v>
      </c>
      <c r="B38" s="18" t="str">
        <v>The Teams tab has exactly three columns. Names from rows in this file feed its candidate lists.</v>
      </c>
      <c r="C38" s="18" t="str">
        <v>Previously registered staff may be added to unused name-list rows.</v>
      </c>
    </row>
    <row r="39" ht="35" customHeight="1">
      <c r="A39" s="36" t="str">
        <v>Search Head Member</v>
      </c>
      <c r="B39" s="18" t="str">
        <v>Search Head Member in Team!E2; in Microsoft 365 the role-dependent choices may filter using FILTER. The technical _HeadMatches worksheet is hidden.</v>
      </c>
      <c r="C39" s="18" t="str">
        <v>Clear E2 for the full role list. Search is a convenience, not a live member lookup; use the web preview for ID verification.</v>
      </c>
    </row>
    <row r="40" ht="35" customHeight="1">
      <c r="A40" s="36" t="str">
        <v>Dropdown</v>
      </c>
      <c r="B40" s="18" t="str">
        <v>Choose Position first, then Head Member Name. Only relevant VD/SSM names appear for that role.</v>
      </c>
      <c r="C40" s="18" t="str">
        <v>Excel may also support typing to search inside dropdowns, depending on edition.</v>
      </c>
    </row>
    <row r="41" ht="35" customHeight="1">
      <c r="A41" s="36" t="str">
        <v>Missing hierarchy</v>
      </c>
      <c r="B41" s="18" t="str">
        <v>For a company with no existing digital records, import/approve VD accounts first, then SSM, then SM; or use a reviewed staged dependency workflow.</v>
      </c>
      <c r="C41" s="18" t="str">
        <v>Do not invent people or automatically approve unregistered head members.</v>
      </c>
    </row>
    <row r="42" ht="35" customHeight="1">
      <c r="A42" s="36" t="str">
        <v>Name collisions</v>
      </c>
      <c r="B42" s="18" t="str">
        <v>Two people can have identical full names. Backend must resolve a unique staff ID / AAI and require review when ambiguous.</v>
      </c>
      <c r="C42" s="18" t="str">
        <v>Name alone cannot establish an authenticated team relationship.</v>
      </c>
    </row>
    <row r="43" ht="9" customHeight="1">
      <c r="A43" s="18" t="str"/>
      <c r="B43" s="18" t="str"/>
      <c r="C43" s="18" t="str"/>
    </row>
    <row r="44" ht="31" customHeight="1">
      <c r="A44" s="21" t="str">
        <v>05  |  INPUT RESTRICTIONS &amp; AUTO FIELDS</v>
      </c>
      <c r="B44" s="21" t="str"/>
      <c r="C44" s="21" t="str"/>
    </row>
    <row r="45" ht="27" customHeight="1">
      <c r="A45" s="33" t="str">
        <v>FIELD</v>
      </c>
      <c r="B45" s="33" t="str">
        <v>EXCEL BEHAVIOR</v>
      </c>
      <c r="C45" s="33" t="str">
        <v>SYSTEM VALIDATION</v>
      </c>
    </row>
    <row r="46" ht="29" customHeight="1">
      <c r="A46" s="36" t="str">
        <v>Mobile Number</v>
      </c>
      <c r="B46" s="18" t="str">
        <v>Must be text with exactly 11 digits, starting with 09. Keep leading zero.</v>
      </c>
      <c r="C46" s="18" t="str">
        <v>Letters, spaces, separators and wrong lengths are rejected.</v>
      </c>
    </row>
    <row r="47" ht="35" customHeight="1">
      <c r="A47" s="36" t="str">
        <v>Date of Birth</v>
      </c>
      <c r="B47" s="18" t="str">
        <v>Date-validated and displayed as YYYY-MM-DD; Age (Auto) computes completed years using TODAY().</v>
      </c>
      <c r="C47" s="18" t="str">
        <v>Reject impossible / future dates; server recalculates age from DOB.</v>
      </c>
    </row>
    <row r="48" ht="35" customHeight="1">
      <c r="A48" s="36" t="str">
        <v>Date picker</v>
      </c>
      <c r="B48" s="18" t="str">
        <v>Excel date validation uses YYYY-MM-DD; if no popup appears in desktop Excel, use Date Helper: select year/month/day and paste Date Helper!B8 as a value.</v>
      </c>
      <c r="C48" s="18" t="str">
        <v>Desktop Excel does not guarantee a native calendar popup in macro-free XLSX. Date Helper is an optional fallback, not auto-entry.</v>
      </c>
    </row>
    <row r="49" ht="35" customHeight="1">
      <c r="A49" s="36" t="str">
        <v>Address</v>
      </c>
      <c r="B49" s="18" t="str">
        <v>Select Province / Region, then City / Municipality, then Barangay using the dependent dropdowns.</v>
      </c>
      <c r="C49" s="18" t="str">
        <v>Validate hierarchy against official scoped PSGC identifiers on the server.</v>
      </c>
    </row>
    <row r="50" ht="35" customHeight="1">
      <c r="A50" s="36" t="str">
        <v>Postal Code (Auto)</v>
      </c>
      <c r="B50" s="18" t="str">
        <v>Lookup formula shows a reference ZIP from the selected province and locality; may be blank when unresolved.</v>
      </c>
      <c r="C50" s="18" t="str">
        <v>Source candidate only. Server must verify ambiguous or mismatched ZIP codes.</v>
      </c>
    </row>
    <row r="51" ht="29" customHeight="1">
      <c r="A51" s="36" t="str">
        <v>Applicant Name (Auto)</v>
      </c>
      <c r="B51" s="18" t="str">
        <v>Team and Details show the name from the matching Identity row.</v>
      </c>
      <c r="C51" s="18" t="str">
        <v>Do not type over auto-calculated cells.</v>
      </c>
    </row>
    <row r="52" ht="35" customHeight="1">
      <c r="A52" s="36" t="str">
        <v>Proper Case</v>
      </c>
      <c r="B52" s="18" t="str">
        <v>Enter person names with appropriate capitalization and spelling; Excel may not auto-correct same-cell text without macros.</v>
      </c>
      <c r="C52" s="18" t="str">
        <v>Backend should normalize with identity-preservation safeguards.</v>
      </c>
    </row>
    <row r="53" ht="29" customHeight="1">
      <c r="A53" s="36" t="str">
        <v>Position vs Job Position</v>
      </c>
      <c r="B53" s="18" t="str">
        <v>Team Position = seller hierarchy; Details Job Position = employment field.</v>
      </c>
      <c r="C53" s="18" t="str">
        <v>Both fields are kept; neither should be silently discarded.</v>
      </c>
    </row>
    <row r="54" ht="9" customHeight="1">
      <c r="A54" s="18" t="str"/>
      <c r="B54" s="18" t="str"/>
      <c r="C54" s="18" t="str"/>
    </row>
    <row r="55" ht="31" customHeight="1">
      <c r="A55" s="21" t="str">
        <v>06  |  PRIVACY, COMPATIBILITY &amp; FINAL CHECKS</v>
      </c>
      <c r="B55" s="21" t="str"/>
      <c r="C55" s="21" t="str"/>
    </row>
    <row r="56" ht="27" customHeight="1">
      <c r="A56" s="33" t="str">
        <v>CHECK</v>
      </c>
      <c r="B56" s="33" t="str">
        <v>WHAT TO CONFIRM</v>
      </c>
      <c r="C56" s="33" t="str">
        <v>WHY</v>
      </c>
    </row>
    <row r="57" ht="35" customHeight="1">
      <c r="A57" s="36" t="str">
        <v>Historical migration</v>
      </c>
      <c r="B57" s="18" t="str">
        <v>Only real AAI/customer data should be loaded. Existing numbers belong to the company records.</v>
      </c>
      <c r="C57" s="18" t="str">
        <v>Prevent duplicate or incorrectly issued IDs.</v>
      </c>
    </row>
    <row r="58" ht="29" customHeight="1">
      <c r="A58" s="36" t="str">
        <v>Existing names</v>
      </c>
      <c r="B58" s="18" t="str">
        <v>Teams name lists are local workbook candidates, not a live Supabase account fetch.</v>
      </c>
      <c r="C58" s="18" t="str">
        <v>The system must resolve registered identities before commit.</v>
      </c>
    </row>
    <row r="59" ht="35" customHeight="1">
      <c r="A59" s="36" t="str">
        <v>Importer compatibility</v>
      </c>
      <c r="B59" s="18" t="str">
        <v>Friendly company-v2 headers require the compatible server import parser and approved release; entry tabs align by row; do not sort tabs separately.</v>
      </c>
      <c r="C59" s="18" t="str">
        <v>Do not attempt production upload until deployed parser supports this exact template.</v>
      </c>
    </row>
    <row r="60" ht="29" customHeight="1">
      <c r="A60" s="36" t="str">
        <v>Personal information</v>
      </c>
      <c r="B60" s="18" t="str">
        <v>Protect emails, government IDs, addresses, DOBs and TINs; restrict file access.</v>
      </c>
      <c r="C60" s="18" t="str">
        <v>Do not share an import workbook by public link.</v>
      </c>
    </row>
    <row r="61" ht="35" customHeight="1">
      <c r="A61" s="36" t="str">
        <v>Accreditation scope</v>
      </c>
      <c r="B61" s="18" t="str">
        <v>IST is a company employee. AAI identifies the employee; no IST Accreditation or Application tab, no accreditation dates, no annual renewal.</v>
      </c>
      <c r="C61" s="18" t="str">
        <v>Do not fabricate employment or accreditation validity dates. Use approved staff creation and role assignment.</v>
      </c>
    </row>
    <row r="62" ht="35" customHeight="1">
      <c r="A62" s="36" t="str">
        <v>Validation caveat</v>
      </c>
      <c r="B62" s="18" t="str">
        <v>Excel validation is for user guidance; pasted values, older Excel clients and conversions may bypass rules.</v>
      </c>
      <c r="C62" s="18" t="str">
        <v>Re-run all checks server-side during preview.</v>
      </c>
    </row>
    <row r="63" ht="35" customHeight="1">
      <c r="A63" s="36" t="str">
        <v>Safe import</v>
      </c>
      <c r="B63" s="18" t="str">
        <v>Review the preview and conflicts before confirmation; do not import dummy customers to the live database.</v>
      </c>
      <c r="C63" s="18" t="str">
        <v>Never merge identity records automatically based only on names.</v>
      </c>
    </row>
    <row r="64" ht="35" customHeight="1">
      <c r="A64" s="36" t="str">
        <v>Support</v>
      </c>
      <c r="B64" s="18" t="str">
        <v>For incomplete registered head members, fix hierarchy in the authorized admin workflow first.</v>
      </c>
      <c r="C64" s="18" t="str">
        <v>For errors, supply the import preview row number and validation message.</v>
      </c>
    </row>
    <row r="100">
      <c r="A100" t="inlineStr">
        <is>
          <t>AF HOMES IMPORT SAFETY</t>
        </is>
      </c>
      <c r="B100" t="inlineStr">
        <is>
          <t>Historical identities require authorized review. Keep all entry tabs aligned; never sort one alone. No passwords. Signatures are claims until independently verified. No account, approval or renewal is created by a spreadsheet formula. OST manual sponsorship requires an active Sales Manager. Desktop macro-free Excel cannot guarantee a calendar popup; use date cells / Date Helper. Keep this workbook private.</t>
        </is>
      </c>
    </row>
  </sheetData>
  <mergeCells>
    <mergeCell ref="A1:C1"/>
    <mergeCell ref="A2:C2"/>
    <mergeCell ref="A3:C3"/>
    <mergeCell ref="A5:C5"/>
    <mergeCell ref="A15:C15"/>
    <mergeCell ref="A24:C24"/>
    <mergeCell ref="A33:C33"/>
    <mergeCell ref="A44:C44"/>
    <mergeCell ref="A55:C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46C72"/>
  </sheetPr>
  <sheetViews>
    <sheetView workbookViewId="0" showGridLines="1" zoomScale="90" zoomScaleNormal="10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34" hidden="0" customWidth="1"/>
    <col min="6" max="6" width="21" hidden="0" customWidth="1"/>
    <col min="7" max="7" width="20" hidden="0" customWidth="1"/>
    <col min="8" max="8" width="14" hidden="0" customWidth="1"/>
    <col min="9" max="9" width="18" hidden="0" customWidth="1"/>
    <col min="10" max="10" width="20" hidden="0" customWidth="1"/>
    <col min="11" max="11" width="26" hidden="0" customWidth="1"/>
    <col min="12" max="12" width="27" hidden="0" customWidth="1"/>
    <col min="13" max="13" width="26" hidden="0" customWidth="1"/>
    <col min="14" max="14" width="38" hidden="0" customWidth="1"/>
    <col min="15" max="15" width="22" hidden="0" customWidth="1"/>
  </cols>
  <sheetData>
    <row r="1" ht="35" customHeight="1">
      <c r="A1" s="41" t="str">
        <v>AAI Number</v>
      </c>
      <c r="B1" s="41" t="str">
        <v>First Name</v>
      </c>
      <c r="C1" s="41" t="str">
        <v>Middle Name</v>
      </c>
      <c r="D1" s="41" t="str">
        <v>Last Name</v>
      </c>
      <c r="E1" s="41" t="str">
        <v>Email Address</v>
      </c>
      <c r="F1" s="41" t="str">
        <v>Mobile Number</v>
      </c>
      <c r="G1" s="41" t="str">
        <v>Date of Birth</v>
      </c>
      <c r="H1" s="41" t="str">
        <v>Age (Auto)</v>
      </c>
      <c r="I1" s="41" t="str">
        <v>Sex</v>
      </c>
      <c r="J1" s="41" t="str">
        <v>Civil Status</v>
      </c>
      <c r="K1" s="41" t="str">
        <v>Province / Region</v>
      </c>
      <c r="L1" s="41" t="str">
        <v>City / Municipality</v>
      </c>
      <c r="M1" s="41" t="str">
        <v>Barangay</v>
      </c>
      <c r="N1" s="41" t="str">
        <v>Permanent Address Line 1</v>
      </c>
      <c r="O1" s="41" t="str">
        <v>Postal Code (Auto)</v>
      </c>
    </row>
    <row r="2">
      <c r="A2" s="8"/>
      <c r="F2" s="8"/>
      <c r="G2" s="10"/>
      <c r="H2" s="12" t="str">
        <f>IF(G2="","",IFERROR(DATEDIF(IF(ISNUMBER(G2),G2,DATEVALUE(G2)),TODAY(),"Y"),""))</f>
      </c>
      <c r="O2" t="str">
        <f>IF(OR(K2="",L2=""),"",IFERROR(VLOOKUP(K2&amp;"|"&amp;L2,Postal!$A$2:$B$1643,2,FALSE),""))</f>
      </c>
    </row>
    <row r="3">
      <c r="A3" s="8"/>
      <c r="F3" s="8"/>
      <c r="G3" s="10"/>
      <c r="H3" s="12" t="str">
        <f>IF(G3="","",IFERROR(DATEDIF(IF(ISNUMBER(G3),G3,DATEVALUE(G3)),TODAY(),"Y"),""))</f>
      </c>
      <c r="O3" t="str">
        <f>IF(OR(K3="",L3=""),"",IFERROR(VLOOKUP(K3&amp;"|"&amp;L3,Postal!$A$2:$B$1643,2,FALSE),""))</f>
      </c>
    </row>
    <row r="4">
      <c r="A4" s="8"/>
      <c r="F4" s="8"/>
      <c r="G4" s="10"/>
      <c r="H4" s="12" t="str">
        <f>IF(G4="","",IFERROR(DATEDIF(IF(ISNUMBER(G4),G4,DATEVALUE(G4)),TODAY(),"Y"),""))</f>
      </c>
      <c r="O4" t="str">
        <f>IF(OR(K4="",L4=""),"",IFERROR(VLOOKUP(K4&amp;"|"&amp;L4,Postal!$A$2:$B$1643,2,FALSE),""))</f>
      </c>
    </row>
    <row r="5">
      <c r="A5" s="8"/>
      <c r="F5" s="8"/>
      <c r="G5" s="10"/>
      <c r="H5" s="12" t="str">
        <f>IF(G5="","",IFERROR(DATEDIF(IF(ISNUMBER(G5),G5,DATEVALUE(G5)),TODAY(),"Y"),""))</f>
      </c>
      <c r="O5" t="str">
        <f>IF(OR(K5="",L5=""),"",IFERROR(VLOOKUP(K5&amp;"|"&amp;L5,Postal!$A$2:$B$1643,2,FALSE),""))</f>
      </c>
    </row>
    <row r="6">
      <c r="A6" s="8"/>
      <c r="F6" s="8"/>
      <c r="G6" s="10"/>
      <c r="H6" s="12" t="str">
        <f>IF(G6="","",IFERROR(DATEDIF(IF(ISNUMBER(G6),G6,DATEVALUE(G6)),TODAY(),"Y"),""))</f>
      </c>
      <c r="O6" t="str">
        <f>IF(OR(K6="",L6=""),"",IFERROR(VLOOKUP(K6&amp;"|"&amp;L6,Postal!$A$2:$B$1643,2,FALSE),""))</f>
      </c>
    </row>
    <row r="7">
      <c r="A7" s="8"/>
      <c r="F7" s="8"/>
      <c r="G7" s="10"/>
      <c r="H7" s="12" t="str">
        <f>IF(G7="","",IFERROR(DATEDIF(IF(ISNUMBER(G7),G7,DATEVALUE(G7)),TODAY(),"Y"),""))</f>
      </c>
      <c r="O7" t="str">
        <f>IF(OR(K7="",L7=""),"",IFERROR(VLOOKUP(K7&amp;"|"&amp;L7,Postal!$A$2:$B$1643,2,FALSE),""))</f>
      </c>
    </row>
    <row r="8">
      <c r="A8" s="8"/>
      <c r="F8" s="8"/>
      <c r="G8" s="10"/>
      <c r="H8" s="12" t="str">
        <f>IF(G8="","",IFERROR(DATEDIF(IF(ISNUMBER(G8),G8,DATEVALUE(G8)),TODAY(),"Y"),""))</f>
      </c>
      <c r="O8" t="str">
        <f>IF(OR(K8="",L8=""),"",IFERROR(VLOOKUP(K8&amp;"|"&amp;L8,Postal!$A$2:$B$1643,2,FALSE),""))</f>
      </c>
    </row>
    <row r="9">
      <c r="A9" s="8"/>
      <c r="F9" s="8"/>
      <c r="G9" s="10"/>
      <c r="H9" s="12" t="str">
        <f>IF(G9="","",IFERROR(DATEDIF(IF(ISNUMBER(G9),G9,DATEVALUE(G9)),TODAY(),"Y"),""))</f>
      </c>
      <c r="O9" t="str">
        <f>IF(OR(K9="",L9=""),"",IFERROR(VLOOKUP(K9&amp;"|"&amp;L9,Postal!$A$2:$B$1643,2,FALSE),""))</f>
      </c>
    </row>
    <row r="10">
      <c r="A10" s="8"/>
      <c r="F10" s="8"/>
      <c r="G10" s="10"/>
      <c r="H10" s="12" t="str">
        <f>IF(G10="","",IFERROR(DATEDIF(IF(ISNUMBER(G10),G10,DATEVALUE(G10)),TODAY(),"Y"),""))</f>
      </c>
      <c r="O10" t="str">
        <f>IF(OR(K10="",L10=""),"",IFERROR(VLOOKUP(K10&amp;"|"&amp;L10,Postal!$A$2:$B$1643,2,FALSE),""))</f>
      </c>
    </row>
    <row r="11">
      <c r="A11" s="8"/>
      <c r="F11" s="8"/>
      <c r="G11" s="10"/>
      <c r="H11" s="12" t="str">
        <f>IF(G11="","",IFERROR(DATEDIF(IF(ISNUMBER(G11),G11,DATEVALUE(G11)),TODAY(),"Y"),""))</f>
      </c>
      <c r="O11" t="str">
        <f>IF(OR(K11="",L11=""),"",IFERROR(VLOOKUP(K11&amp;"|"&amp;L11,Postal!$A$2:$B$1643,2,FALSE),""))</f>
      </c>
    </row>
    <row r="12">
      <c r="A12" s="8"/>
      <c r="F12" s="8"/>
      <c r="G12" s="10"/>
      <c r="H12" s="12" t="str">
        <f>IF(G12="","",IFERROR(DATEDIF(IF(ISNUMBER(G12),G12,DATEVALUE(G12)),TODAY(),"Y"),""))</f>
      </c>
      <c r="O12" t="str">
        <f>IF(OR(K12="",L12=""),"",IFERROR(VLOOKUP(K12&amp;"|"&amp;L12,Postal!$A$2:$B$1643,2,FALSE),""))</f>
      </c>
    </row>
    <row r="13">
      <c r="A13" s="8"/>
      <c r="F13" s="8"/>
      <c r="G13" s="10"/>
      <c r="H13" s="12" t="str">
        <f>IF(G13="","",IFERROR(DATEDIF(IF(ISNUMBER(G13),G13,DATEVALUE(G13)),TODAY(),"Y"),""))</f>
      </c>
      <c r="O13" t="str">
        <f>IF(OR(K13="",L13=""),"",IFERROR(VLOOKUP(K13&amp;"|"&amp;L13,Postal!$A$2:$B$1643,2,FALSE),""))</f>
      </c>
    </row>
    <row r="14">
      <c r="A14" s="8"/>
      <c r="F14" s="8"/>
      <c r="G14" s="10"/>
      <c r="H14" s="12" t="str">
        <f>IF(G14="","",IFERROR(DATEDIF(IF(ISNUMBER(G14),G14,DATEVALUE(G14)),TODAY(),"Y"),""))</f>
      </c>
      <c r="O14" t="str">
        <f>IF(OR(K14="",L14=""),"",IFERROR(VLOOKUP(K14&amp;"|"&amp;L14,Postal!$A$2:$B$1643,2,FALSE),""))</f>
      </c>
    </row>
    <row r="15">
      <c r="A15" s="8"/>
      <c r="F15" s="8"/>
      <c r="G15" s="10"/>
      <c r="H15" s="12" t="str">
        <f>IF(G15="","",IFERROR(DATEDIF(IF(ISNUMBER(G15),G15,DATEVALUE(G15)),TODAY(),"Y"),""))</f>
      </c>
      <c r="O15" t="str">
        <f>IF(OR(K15="",L15=""),"",IFERROR(VLOOKUP(K15&amp;"|"&amp;L15,Postal!$A$2:$B$1643,2,FALSE),""))</f>
      </c>
    </row>
    <row r="16">
      <c r="A16" s="8"/>
      <c r="F16" s="8"/>
      <c r="G16" s="10"/>
      <c r="H16" s="12" t="str">
        <f>IF(G16="","",IFERROR(DATEDIF(IF(ISNUMBER(G16),G16,DATEVALUE(G16)),TODAY(),"Y"),""))</f>
      </c>
      <c r="O16" t="str">
        <f>IF(OR(K16="",L16=""),"",IFERROR(VLOOKUP(K16&amp;"|"&amp;L16,Postal!$A$2:$B$1643,2,FALSE),""))</f>
      </c>
    </row>
    <row r="17">
      <c r="A17" s="8"/>
      <c r="F17" s="8"/>
      <c r="G17" s="10"/>
      <c r="H17" s="12" t="str">
        <f>IF(G17="","",IFERROR(DATEDIF(IF(ISNUMBER(G17),G17,DATEVALUE(G17)),TODAY(),"Y"),""))</f>
      </c>
      <c r="O17" t="str">
        <f>IF(OR(K17="",L17=""),"",IFERROR(VLOOKUP(K17&amp;"|"&amp;L17,Postal!$A$2:$B$1643,2,FALSE),""))</f>
      </c>
    </row>
    <row r="18">
      <c r="A18" s="8"/>
      <c r="F18" s="8"/>
      <c r="G18" s="10"/>
      <c r="H18" s="12" t="str">
        <f>IF(G18="","",IFERROR(DATEDIF(IF(ISNUMBER(G18),G18,DATEVALUE(G18)),TODAY(),"Y"),""))</f>
      </c>
      <c r="O18" t="str">
        <f>IF(OR(K18="",L18=""),"",IFERROR(VLOOKUP(K18&amp;"|"&amp;L18,Postal!$A$2:$B$1643,2,FALSE),""))</f>
      </c>
    </row>
    <row r="19">
      <c r="A19" s="8"/>
      <c r="F19" s="8"/>
      <c r="G19" s="10"/>
      <c r="H19" s="12" t="str">
        <f>IF(G19="","",IFERROR(DATEDIF(IF(ISNUMBER(G19),G19,DATEVALUE(G19)),TODAY(),"Y"),""))</f>
      </c>
      <c r="O19" t="str">
        <f>IF(OR(K19="",L19=""),"",IFERROR(VLOOKUP(K19&amp;"|"&amp;L19,Postal!$A$2:$B$1643,2,FALSE),""))</f>
      </c>
    </row>
    <row r="20">
      <c r="A20" s="8"/>
      <c r="F20" s="8"/>
      <c r="G20" s="10"/>
      <c r="H20" s="12" t="str">
        <f>IF(G20="","",IFERROR(DATEDIF(IF(ISNUMBER(G20),G20,DATEVALUE(G20)),TODAY(),"Y"),""))</f>
      </c>
      <c r="O20" t="str">
        <f>IF(OR(K20="",L20=""),"",IFERROR(VLOOKUP(K20&amp;"|"&amp;L20,Postal!$A$2:$B$1643,2,FALSE),""))</f>
      </c>
    </row>
    <row r="21">
      <c r="A21" s="8"/>
      <c r="F21" s="8"/>
      <c r="G21" s="10"/>
      <c r="H21" s="12" t="str">
        <f>IF(G21="","",IFERROR(DATEDIF(IF(ISNUMBER(G21),G21,DATEVALUE(G21)),TODAY(),"Y"),""))</f>
      </c>
      <c r="O21" t="str">
        <f>IF(OR(K21="",L21=""),"",IFERROR(VLOOKUP(K21&amp;"|"&amp;L21,Postal!$A$2:$B$1643,2,FALSE),""))</f>
      </c>
    </row>
    <row r="22">
      <c r="A22" s="8"/>
      <c r="F22" s="8"/>
      <c r="G22" s="10"/>
      <c r="H22" s="12" t="str">
        <f>IF(G22="","",IFERROR(DATEDIF(IF(ISNUMBER(G22),G22,DATEVALUE(G22)),TODAY(),"Y"),""))</f>
      </c>
      <c r="O22" t="str">
        <f>IF(OR(K22="",L22=""),"",IFERROR(VLOOKUP(K22&amp;"|"&amp;L22,Postal!$A$2:$B$1643,2,FALSE),""))</f>
      </c>
    </row>
    <row r="23">
      <c r="A23" s="8"/>
      <c r="F23" s="8"/>
      <c r="G23" s="10"/>
      <c r="H23" s="12" t="str">
        <f>IF(G23="","",IFERROR(DATEDIF(IF(ISNUMBER(G23),G23,DATEVALUE(G23)),TODAY(),"Y"),""))</f>
      </c>
      <c r="O23" t="str">
        <f>IF(OR(K23="",L23=""),"",IFERROR(VLOOKUP(K23&amp;"|"&amp;L23,Postal!$A$2:$B$1643,2,FALSE),""))</f>
      </c>
    </row>
    <row r="24">
      <c r="A24" s="8"/>
      <c r="F24" s="8"/>
      <c r="G24" s="10"/>
      <c r="H24" s="12" t="str">
        <f>IF(G24="","",IFERROR(DATEDIF(IF(ISNUMBER(G24),G24,DATEVALUE(G24)),TODAY(),"Y"),""))</f>
      </c>
      <c r="O24" t="str">
        <f>IF(OR(K24="",L24=""),"",IFERROR(VLOOKUP(K24&amp;"|"&amp;L24,Postal!$A$2:$B$1643,2,FALSE),""))</f>
      </c>
    </row>
    <row r="25">
      <c r="A25" s="8"/>
      <c r="F25" s="8"/>
      <c r="G25" s="10"/>
      <c r="H25" s="12" t="str">
        <f>IF(G25="","",IFERROR(DATEDIF(IF(ISNUMBER(G25),G25,DATEVALUE(G25)),TODAY(),"Y"),""))</f>
      </c>
      <c r="O25" t="str">
        <f>IF(OR(K25="",L25=""),"",IFERROR(VLOOKUP(K25&amp;"|"&amp;L25,Postal!$A$2:$B$1643,2,FALSE),""))</f>
      </c>
    </row>
    <row r="26">
      <c r="A26" s="8"/>
      <c r="F26" s="8"/>
      <c r="G26" s="10"/>
      <c r="H26" s="12" t="str">
        <f>IF(G26="","",IFERROR(DATEDIF(IF(ISNUMBER(G26),G26,DATEVALUE(G26)),TODAY(),"Y"),""))</f>
      </c>
      <c r="O26" t="str">
        <f>IF(OR(K26="",L26=""),"",IFERROR(VLOOKUP(K26&amp;"|"&amp;L26,Postal!$A$2:$B$1643,2,FALSE),""))</f>
      </c>
    </row>
    <row r="27">
      <c r="A27" s="8"/>
      <c r="F27" s="8"/>
      <c r="G27" s="10"/>
      <c r="H27" s="12" t="str">
        <f>IF(G27="","",IFERROR(DATEDIF(IF(ISNUMBER(G27),G27,DATEVALUE(G27)),TODAY(),"Y"),""))</f>
      </c>
      <c r="O27" t="str">
        <f>IF(OR(K27="",L27=""),"",IFERROR(VLOOKUP(K27&amp;"|"&amp;L27,Postal!$A$2:$B$1643,2,FALSE),""))</f>
      </c>
    </row>
    <row r="28">
      <c r="A28" s="8"/>
      <c r="F28" s="8"/>
      <c r="G28" s="10"/>
      <c r="H28" s="12" t="str">
        <f>IF(G28="","",IFERROR(DATEDIF(IF(ISNUMBER(G28),G28,DATEVALUE(G28)),TODAY(),"Y"),""))</f>
      </c>
      <c r="O28" t="str">
        <f>IF(OR(K28="",L28=""),"",IFERROR(VLOOKUP(K28&amp;"|"&amp;L28,Postal!$A$2:$B$1643,2,FALSE),""))</f>
      </c>
    </row>
    <row r="29">
      <c r="A29" s="8"/>
      <c r="F29" s="8"/>
      <c r="G29" s="10"/>
      <c r="H29" s="12" t="str">
        <f>IF(G29="","",IFERROR(DATEDIF(IF(ISNUMBER(G29),G29,DATEVALUE(G29)),TODAY(),"Y"),""))</f>
      </c>
      <c r="O29" t="str">
        <f>IF(OR(K29="",L29=""),"",IFERROR(VLOOKUP(K29&amp;"|"&amp;L29,Postal!$A$2:$B$1643,2,FALSE),""))</f>
      </c>
    </row>
    <row r="30">
      <c r="A30" s="8"/>
      <c r="F30" s="8"/>
      <c r="G30" s="10"/>
      <c r="H30" s="12" t="str">
        <f>IF(G30="","",IFERROR(DATEDIF(IF(ISNUMBER(G30),G30,DATEVALUE(G30)),TODAY(),"Y"),""))</f>
      </c>
      <c r="O30" t="str">
        <f>IF(OR(K30="",L30=""),"",IFERROR(VLOOKUP(K30&amp;"|"&amp;L30,Postal!$A$2:$B$1643,2,FALSE),""))</f>
      </c>
    </row>
    <row r="31">
      <c r="A31" s="8"/>
      <c r="F31" s="8"/>
      <c r="G31" s="10"/>
      <c r="H31" s="12" t="str">
        <f>IF(G31="","",IFERROR(DATEDIF(IF(ISNUMBER(G31),G31,DATEVALUE(G31)),TODAY(),"Y"),""))</f>
      </c>
      <c r="O31" t="str">
        <f>IF(OR(K31="",L31=""),"",IFERROR(VLOOKUP(K31&amp;"|"&amp;L31,Postal!$A$2:$B$1643,2,FALSE),""))</f>
      </c>
    </row>
    <row r="32">
      <c r="A32" s="8"/>
      <c r="F32" s="8"/>
      <c r="G32" s="10"/>
      <c r="H32" s="12" t="str">
        <f>IF(G32="","",IFERROR(DATEDIF(IF(ISNUMBER(G32),G32,DATEVALUE(G32)),TODAY(),"Y"),""))</f>
      </c>
      <c r="O32" t="str">
        <f>IF(OR(K32="",L32=""),"",IFERROR(VLOOKUP(K32&amp;"|"&amp;L32,Postal!$A$2:$B$1643,2,FALSE),""))</f>
      </c>
    </row>
    <row r="33">
      <c r="A33" s="8"/>
      <c r="F33" s="8"/>
      <c r="G33" s="10"/>
      <c r="H33" s="12" t="str">
        <f>IF(G33="","",IFERROR(DATEDIF(IF(ISNUMBER(G33),G33,DATEVALUE(G33)),TODAY(),"Y"),""))</f>
      </c>
      <c r="O33" t="str">
        <f>IF(OR(K33="",L33=""),"",IFERROR(VLOOKUP(K33&amp;"|"&amp;L33,Postal!$A$2:$B$1643,2,FALSE),""))</f>
      </c>
    </row>
    <row r="34">
      <c r="A34" s="8"/>
      <c r="F34" s="8"/>
      <c r="G34" s="10"/>
      <c r="H34" s="12" t="str">
        <f>IF(G34="","",IFERROR(DATEDIF(IF(ISNUMBER(G34),G34,DATEVALUE(G34)),TODAY(),"Y"),""))</f>
      </c>
      <c r="O34" t="str">
        <f>IF(OR(K34="",L34=""),"",IFERROR(VLOOKUP(K34&amp;"|"&amp;L34,Postal!$A$2:$B$1643,2,FALSE),""))</f>
      </c>
    </row>
    <row r="35">
      <c r="A35" s="8"/>
      <c r="F35" s="8"/>
      <c r="G35" s="10"/>
      <c r="H35" s="12" t="str">
        <f>IF(G35="","",IFERROR(DATEDIF(IF(ISNUMBER(G35),G35,DATEVALUE(G35)),TODAY(),"Y"),""))</f>
      </c>
      <c r="O35" t="str">
        <f>IF(OR(K35="",L35=""),"",IFERROR(VLOOKUP(K35&amp;"|"&amp;L35,Postal!$A$2:$B$1643,2,FALSE),""))</f>
      </c>
    </row>
    <row r="36">
      <c r="A36" s="8"/>
      <c r="F36" s="8"/>
      <c r="G36" s="10"/>
      <c r="H36" s="12" t="str">
        <f>IF(G36="","",IFERROR(DATEDIF(IF(ISNUMBER(G36),G36,DATEVALUE(G36)),TODAY(),"Y"),""))</f>
      </c>
      <c r="O36" t="str">
        <f>IF(OR(K36="",L36=""),"",IFERROR(VLOOKUP(K36&amp;"|"&amp;L36,Postal!$A$2:$B$1643,2,FALSE),""))</f>
      </c>
    </row>
    <row r="37">
      <c r="A37" s="8"/>
      <c r="F37" s="8"/>
      <c r="G37" s="10"/>
      <c r="H37" s="12" t="str">
        <f>IF(G37="","",IFERROR(DATEDIF(IF(ISNUMBER(G37),G37,DATEVALUE(G37)),TODAY(),"Y"),""))</f>
      </c>
      <c r="O37" t="str">
        <f>IF(OR(K37="",L37=""),"",IFERROR(VLOOKUP(K37&amp;"|"&amp;L37,Postal!$A$2:$B$1643,2,FALSE),""))</f>
      </c>
    </row>
    <row r="38">
      <c r="A38" s="8"/>
      <c r="F38" s="8"/>
      <c r="G38" s="10"/>
      <c r="H38" s="12" t="str">
        <f>IF(G38="","",IFERROR(DATEDIF(IF(ISNUMBER(G38),G38,DATEVALUE(G38)),TODAY(),"Y"),""))</f>
      </c>
      <c r="O38" t="str">
        <f>IF(OR(K38="",L38=""),"",IFERROR(VLOOKUP(K38&amp;"|"&amp;L38,Postal!$A$2:$B$1643,2,FALSE),""))</f>
      </c>
    </row>
    <row r="39">
      <c r="A39" s="8"/>
      <c r="F39" s="8"/>
      <c r="G39" s="10"/>
      <c r="H39" s="12" t="str">
        <f>IF(G39="","",IFERROR(DATEDIF(IF(ISNUMBER(G39),G39,DATEVALUE(G39)),TODAY(),"Y"),""))</f>
      </c>
      <c r="O39" t="str">
        <f>IF(OR(K39="",L39=""),"",IFERROR(VLOOKUP(K39&amp;"|"&amp;L39,Postal!$A$2:$B$1643,2,FALSE),""))</f>
      </c>
    </row>
    <row r="40">
      <c r="A40" s="8"/>
      <c r="F40" s="8"/>
      <c r="G40" s="10"/>
      <c r="H40" s="12" t="str">
        <f>IF(G40="","",IFERROR(DATEDIF(IF(ISNUMBER(G40),G40,DATEVALUE(G40)),TODAY(),"Y"),""))</f>
      </c>
      <c r="O40" t="str">
        <f>IF(OR(K40="",L40=""),"",IFERROR(VLOOKUP(K40&amp;"|"&amp;L40,Postal!$A$2:$B$1643,2,FALSE),""))</f>
      </c>
    </row>
    <row r="41">
      <c r="A41" s="8"/>
      <c r="F41" s="8"/>
      <c r="G41" s="10"/>
      <c r="H41" s="12" t="str">
        <f>IF(G41="","",IFERROR(DATEDIF(IF(ISNUMBER(G41),G41,DATEVALUE(G41)),TODAY(),"Y"),""))</f>
      </c>
      <c r="O41" t="str">
        <f>IF(OR(K41="",L41=""),"",IFERROR(VLOOKUP(K41&amp;"|"&amp;L41,Postal!$A$2:$B$1643,2,FALSE),""))</f>
      </c>
    </row>
    <row r="42">
      <c r="A42" s="8"/>
      <c r="F42" s="8"/>
      <c r="G42" s="10"/>
      <c r="H42" s="12" t="str">
        <f>IF(G42="","",IFERROR(DATEDIF(IF(ISNUMBER(G42),G42,DATEVALUE(G42)),TODAY(),"Y"),""))</f>
      </c>
      <c r="O42" t="str">
        <f>IF(OR(K42="",L42=""),"",IFERROR(VLOOKUP(K42&amp;"|"&amp;L42,Postal!$A$2:$B$1643,2,FALSE),""))</f>
      </c>
    </row>
    <row r="43">
      <c r="A43" s="8"/>
      <c r="F43" s="8"/>
      <c r="G43" s="10"/>
      <c r="H43" s="12" t="str">
        <f>IF(G43="","",IFERROR(DATEDIF(IF(ISNUMBER(G43),G43,DATEVALUE(G43)),TODAY(),"Y"),""))</f>
      </c>
      <c r="O43" t="str">
        <f>IF(OR(K43="",L43=""),"",IFERROR(VLOOKUP(K43&amp;"|"&amp;L43,Postal!$A$2:$B$1643,2,FALSE),""))</f>
      </c>
    </row>
    <row r="44">
      <c r="A44" s="8"/>
      <c r="F44" s="8"/>
      <c r="G44" s="10"/>
      <c r="H44" s="12" t="str">
        <f>IF(G44="","",IFERROR(DATEDIF(IF(ISNUMBER(G44),G44,DATEVALUE(G44)),TODAY(),"Y"),""))</f>
      </c>
      <c r="O44" t="str">
        <f>IF(OR(K44="",L44=""),"",IFERROR(VLOOKUP(K44&amp;"|"&amp;L44,Postal!$A$2:$B$1643,2,FALSE),""))</f>
      </c>
    </row>
    <row r="45">
      <c r="A45" s="8"/>
      <c r="F45" s="8"/>
      <c r="G45" s="10"/>
      <c r="H45" s="12" t="str">
        <f>IF(G45="","",IFERROR(DATEDIF(IF(ISNUMBER(G45),G45,DATEVALUE(G45)),TODAY(),"Y"),""))</f>
      </c>
      <c r="O45" t="str">
        <f>IF(OR(K45="",L45=""),"",IFERROR(VLOOKUP(K45&amp;"|"&amp;L45,Postal!$A$2:$B$1643,2,FALSE),""))</f>
      </c>
    </row>
    <row r="46">
      <c r="A46" s="8"/>
      <c r="F46" s="8"/>
      <c r="G46" s="10"/>
      <c r="H46" s="12" t="str">
        <f>IF(G46="","",IFERROR(DATEDIF(IF(ISNUMBER(G46),G46,DATEVALUE(G46)),TODAY(),"Y"),""))</f>
      </c>
      <c r="O46" t="str">
        <f>IF(OR(K46="",L46=""),"",IFERROR(VLOOKUP(K46&amp;"|"&amp;L46,Postal!$A$2:$B$1643,2,FALSE),""))</f>
      </c>
    </row>
    <row r="47">
      <c r="A47" s="8"/>
      <c r="F47" s="8"/>
      <c r="G47" s="10"/>
      <c r="H47" s="12" t="str">
        <f>IF(G47="","",IFERROR(DATEDIF(IF(ISNUMBER(G47),G47,DATEVALUE(G47)),TODAY(),"Y"),""))</f>
      </c>
      <c r="O47" t="str">
        <f>IF(OR(K47="",L47=""),"",IFERROR(VLOOKUP(K47&amp;"|"&amp;L47,Postal!$A$2:$B$1643,2,FALSE),""))</f>
      </c>
    </row>
    <row r="48">
      <c r="A48" s="8"/>
      <c r="F48" s="8"/>
      <c r="G48" s="10"/>
      <c r="H48" s="12" t="str">
        <f>IF(G48="","",IFERROR(DATEDIF(IF(ISNUMBER(G48),G48,DATEVALUE(G48)),TODAY(),"Y"),""))</f>
      </c>
      <c r="O48" t="str">
        <f>IF(OR(K48="",L48=""),"",IFERROR(VLOOKUP(K48&amp;"|"&amp;L48,Postal!$A$2:$B$1643,2,FALSE),""))</f>
      </c>
    </row>
    <row r="49">
      <c r="A49" s="8"/>
      <c r="F49" s="8"/>
      <c r="G49" s="10"/>
      <c r="H49" s="12" t="str">
        <f>IF(G49="","",IFERROR(DATEDIF(IF(ISNUMBER(G49),G49,DATEVALUE(G49)),TODAY(),"Y"),""))</f>
      </c>
      <c r="O49" t="str">
        <f>IF(OR(K49="",L49=""),"",IFERROR(VLOOKUP(K49&amp;"|"&amp;L49,Postal!$A$2:$B$1643,2,FALSE),""))</f>
      </c>
    </row>
    <row r="50">
      <c r="A50" s="8"/>
      <c r="F50" s="8"/>
      <c r="G50" s="10"/>
      <c r="H50" s="12" t="str">
        <f>IF(G50="","",IFERROR(DATEDIF(IF(ISNUMBER(G50),G50,DATEVALUE(G50)),TODAY(),"Y"),""))</f>
      </c>
      <c r="O50" t="str">
        <f>IF(OR(K50="",L50=""),"",IFERROR(VLOOKUP(K50&amp;"|"&amp;L50,Postal!$A$2:$B$1643,2,FALSE),""))</f>
      </c>
    </row>
    <row r="51">
      <c r="A51" s="8"/>
      <c r="F51" s="8"/>
      <c r="G51" s="10"/>
      <c r="H51" s="12" t="str">
        <f>IF(G51="","",IFERROR(DATEDIF(IF(ISNUMBER(G51),G51,DATEVALUE(G51)),TODAY(),"Y"),""))</f>
      </c>
      <c r="O51" t="str">
        <f>IF(OR(K51="",L51=""),"",IFERROR(VLOOKUP(K51&amp;"|"&amp;L51,Postal!$A$2:$B$1643,2,FALSE),""))</f>
      </c>
    </row>
    <row r="52">
      <c r="A52" s="8"/>
      <c r="F52" s="8"/>
      <c r="G52" s="10"/>
      <c r="H52" s="12" t="str">
        <f>IF(G52="","",IFERROR(DATEDIF(IF(ISNUMBER(G52),G52,DATEVALUE(G52)),TODAY(),"Y"),""))</f>
      </c>
      <c r="O52" t="str">
        <f>IF(OR(K52="",L52=""),"",IFERROR(VLOOKUP(K52&amp;"|"&amp;L52,Postal!$A$2:$B$1643,2,FALSE),""))</f>
      </c>
    </row>
    <row r="53">
      <c r="A53" s="8"/>
      <c r="F53" s="8"/>
      <c r="G53" s="10"/>
      <c r="H53" s="12" t="str">
        <f>IF(G53="","",IFERROR(DATEDIF(IF(ISNUMBER(G53),G53,DATEVALUE(G53)),TODAY(),"Y"),""))</f>
      </c>
      <c r="O53" t="str">
        <f>IF(OR(K53="",L53=""),"",IFERROR(VLOOKUP(K53&amp;"|"&amp;L53,Postal!$A$2:$B$1643,2,FALSE),""))</f>
      </c>
    </row>
    <row r="54">
      <c r="A54" s="8"/>
      <c r="F54" s="8"/>
      <c r="G54" s="10"/>
      <c r="H54" s="12" t="str">
        <f>IF(G54="","",IFERROR(DATEDIF(IF(ISNUMBER(G54),G54,DATEVALUE(G54)),TODAY(),"Y"),""))</f>
      </c>
      <c r="O54" t="str">
        <f>IF(OR(K54="",L54=""),"",IFERROR(VLOOKUP(K54&amp;"|"&amp;L54,Postal!$A$2:$B$1643,2,FALSE),""))</f>
      </c>
    </row>
    <row r="55">
      <c r="A55" s="8"/>
      <c r="F55" s="8"/>
      <c r="G55" s="10"/>
      <c r="H55" s="12" t="str">
        <f>IF(G55="","",IFERROR(DATEDIF(IF(ISNUMBER(G55),G55,DATEVALUE(G55)),TODAY(),"Y"),""))</f>
      </c>
      <c r="O55" t="str">
        <f>IF(OR(K55="",L55=""),"",IFERROR(VLOOKUP(K55&amp;"|"&amp;L55,Postal!$A$2:$B$1643,2,FALSE),""))</f>
      </c>
    </row>
    <row r="56">
      <c r="A56" s="8"/>
      <c r="F56" s="8"/>
      <c r="G56" s="10"/>
      <c r="H56" s="12" t="str">
        <f>IF(G56="","",IFERROR(DATEDIF(IF(ISNUMBER(G56),G56,DATEVALUE(G56)),TODAY(),"Y"),""))</f>
      </c>
      <c r="O56" t="str">
        <f>IF(OR(K56="",L56=""),"",IFERROR(VLOOKUP(K56&amp;"|"&amp;L56,Postal!$A$2:$B$1643,2,FALSE),""))</f>
      </c>
    </row>
    <row r="57">
      <c r="A57" s="8"/>
      <c r="F57" s="8"/>
      <c r="G57" s="10"/>
      <c r="H57" s="12" t="str">
        <f>IF(G57="","",IFERROR(DATEDIF(IF(ISNUMBER(G57),G57,DATEVALUE(G57)),TODAY(),"Y"),""))</f>
      </c>
      <c r="O57" t="str">
        <f>IF(OR(K57="",L57=""),"",IFERROR(VLOOKUP(K57&amp;"|"&amp;L57,Postal!$A$2:$B$1643,2,FALSE),""))</f>
      </c>
    </row>
    <row r="58">
      <c r="A58" s="8"/>
      <c r="F58" s="8"/>
      <c r="G58" s="10"/>
      <c r="H58" s="12" t="str">
        <f>IF(G58="","",IFERROR(DATEDIF(IF(ISNUMBER(G58),G58,DATEVALUE(G58)),TODAY(),"Y"),""))</f>
      </c>
      <c r="O58" t="str">
        <f>IF(OR(K58="",L58=""),"",IFERROR(VLOOKUP(K58&amp;"|"&amp;L58,Postal!$A$2:$B$1643,2,FALSE),""))</f>
      </c>
    </row>
    <row r="59">
      <c r="A59" s="8"/>
      <c r="F59" s="8"/>
      <c r="G59" s="10"/>
      <c r="H59" s="12" t="str">
        <f>IF(G59="","",IFERROR(DATEDIF(IF(ISNUMBER(G59),G59,DATEVALUE(G59)),TODAY(),"Y"),""))</f>
      </c>
      <c r="O59" t="str">
        <f>IF(OR(K59="",L59=""),"",IFERROR(VLOOKUP(K59&amp;"|"&amp;L59,Postal!$A$2:$B$1643,2,FALSE),""))</f>
      </c>
    </row>
    <row r="60">
      <c r="A60" s="8"/>
      <c r="F60" s="8"/>
      <c r="G60" s="10"/>
      <c r="H60" s="12" t="str">
        <f>IF(G60="","",IFERROR(DATEDIF(IF(ISNUMBER(G60),G60,DATEVALUE(G60)),TODAY(),"Y"),""))</f>
      </c>
      <c r="O60" t="str">
        <f>IF(OR(K60="",L60=""),"",IFERROR(VLOOKUP(K60&amp;"|"&amp;L60,Postal!$A$2:$B$1643,2,FALSE),""))</f>
      </c>
    </row>
    <row r="61">
      <c r="A61" s="8"/>
      <c r="F61" s="8"/>
      <c r="G61" s="10"/>
      <c r="H61" s="12" t="str">
        <f>IF(G61="","",IFERROR(DATEDIF(IF(ISNUMBER(G61),G61,DATEVALUE(G61)),TODAY(),"Y"),""))</f>
      </c>
      <c r="O61" t="str">
        <f>IF(OR(K61="",L61=""),"",IFERROR(VLOOKUP(K61&amp;"|"&amp;L61,Postal!$A$2:$B$1643,2,FALSE),""))</f>
      </c>
    </row>
    <row r="62">
      <c r="A62" s="8"/>
      <c r="F62" s="8"/>
      <c r="G62" s="10"/>
      <c r="H62" s="12" t="str">
        <f>IF(G62="","",IFERROR(DATEDIF(IF(ISNUMBER(G62),G62,DATEVALUE(G62)),TODAY(),"Y"),""))</f>
      </c>
      <c r="O62" t="str">
        <f>IF(OR(K62="",L62=""),"",IFERROR(VLOOKUP(K62&amp;"|"&amp;L62,Postal!$A$2:$B$1643,2,FALSE),""))</f>
      </c>
    </row>
    <row r="63">
      <c r="A63" s="8"/>
      <c r="F63" s="8"/>
      <c r="G63" s="10"/>
      <c r="H63" s="12" t="str">
        <f>IF(G63="","",IFERROR(DATEDIF(IF(ISNUMBER(G63),G63,DATEVALUE(G63)),TODAY(),"Y"),""))</f>
      </c>
      <c r="O63" t="str">
        <f>IF(OR(K63="",L63=""),"",IFERROR(VLOOKUP(K63&amp;"|"&amp;L63,Postal!$A$2:$B$1643,2,FALSE),""))</f>
      </c>
    </row>
    <row r="64">
      <c r="A64" s="8"/>
      <c r="F64" s="8"/>
      <c r="G64" s="10"/>
      <c r="H64" s="12" t="str">
        <f>IF(G64="","",IFERROR(DATEDIF(IF(ISNUMBER(G64),G64,DATEVALUE(G64)),TODAY(),"Y"),""))</f>
      </c>
      <c r="O64" t="str">
        <f>IF(OR(K64="",L64=""),"",IFERROR(VLOOKUP(K64&amp;"|"&amp;L64,Postal!$A$2:$B$1643,2,FALSE),""))</f>
      </c>
    </row>
    <row r="65">
      <c r="A65" s="8"/>
      <c r="F65" s="8"/>
      <c r="G65" s="10"/>
      <c r="H65" s="12" t="str">
        <f>IF(G65="","",IFERROR(DATEDIF(IF(ISNUMBER(G65),G65,DATEVALUE(G65)),TODAY(),"Y"),""))</f>
      </c>
      <c r="O65" t="str">
        <f>IF(OR(K65="",L65=""),"",IFERROR(VLOOKUP(K65&amp;"|"&amp;L65,Postal!$A$2:$B$1643,2,FALSE),""))</f>
      </c>
    </row>
    <row r="66">
      <c r="A66" s="8"/>
      <c r="F66" s="8"/>
      <c r="G66" s="10"/>
      <c r="H66" s="12" t="str">
        <f>IF(G66="","",IFERROR(DATEDIF(IF(ISNUMBER(G66),G66,DATEVALUE(G66)),TODAY(),"Y"),""))</f>
      </c>
      <c r="O66" t="str">
        <f>IF(OR(K66="",L66=""),"",IFERROR(VLOOKUP(K66&amp;"|"&amp;L66,Postal!$A$2:$B$1643,2,FALSE),""))</f>
      </c>
    </row>
    <row r="67">
      <c r="A67" s="8"/>
      <c r="F67" s="8"/>
      <c r="G67" s="10"/>
      <c r="H67" s="12" t="str">
        <f>IF(G67="","",IFERROR(DATEDIF(IF(ISNUMBER(G67),G67,DATEVALUE(G67)),TODAY(),"Y"),""))</f>
      </c>
      <c r="O67" t="str">
        <f>IF(OR(K67="",L67=""),"",IFERROR(VLOOKUP(K67&amp;"|"&amp;L67,Postal!$A$2:$B$1643,2,FALSE),""))</f>
      </c>
    </row>
    <row r="68">
      <c r="A68" s="8"/>
      <c r="F68" s="8"/>
      <c r="G68" s="10"/>
      <c r="H68" s="12" t="str">
        <f>IF(G68="","",IFERROR(DATEDIF(IF(ISNUMBER(G68),G68,DATEVALUE(G68)),TODAY(),"Y"),""))</f>
      </c>
      <c r="O68" t="str">
        <f>IF(OR(K68="",L68=""),"",IFERROR(VLOOKUP(K68&amp;"|"&amp;L68,Postal!$A$2:$B$1643,2,FALSE),""))</f>
      </c>
    </row>
    <row r="69">
      <c r="A69" s="8"/>
      <c r="F69" s="8"/>
      <c r="G69" s="10"/>
      <c r="H69" s="12" t="str">
        <f>IF(G69="","",IFERROR(DATEDIF(IF(ISNUMBER(G69),G69,DATEVALUE(G69)),TODAY(),"Y"),""))</f>
      </c>
      <c r="O69" t="str">
        <f>IF(OR(K69="",L69=""),"",IFERROR(VLOOKUP(K69&amp;"|"&amp;L69,Postal!$A$2:$B$1643,2,FALSE),""))</f>
      </c>
    </row>
    <row r="70">
      <c r="A70" s="8"/>
      <c r="F70" s="8"/>
      <c r="G70" s="10"/>
      <c r="H70" s="12" t="str">
        <f>IF(G70="","",IFERROR(DATEDIF(IF(ISNUMBER(G70),G70,DATEVALUE(G70)),TODAY(),"Y"),""))</f>
      </c>
      <c r="O70" t="str">
        <f>IF(OR(K70="",L70=""),"",IFERROR(VLOOKUP(K70&amp;"|"&amp;L70,Postal!$A$2:$B$1643,2,FALSE),""))</f>
      </c>
    </row>
    <row r="71">
      <c r="A71" s="8"/>
      <c r="F71" s="8"/>
      <c r="G71" s="10"/>
      <c r="H71" s="12" t="str">
        <f>IF(G71="","",IFERROR(DATEDIF(IF(ISNUMBER(G71),G71,DATEVALUE(G71)),TODAY(),"Y"),""))</f>
      </c>
      <c r="O71" t="str">
        <f>IF(OR(K71="",L71=""),"",IFERROR(VLOOKUP(K71&amp;"|"&amp;L71,Postal!$A$2:$B$1643,2,FALSE),""))</f>
      </c>
    </row>
    <row r="72">
      <c r="A72" s="8"/>
      <c r="F72" s="8"/>
      <c r="G72" s="10"/>
      <c r="H72" s="12" t="str">
        <f>IF(G72="","",IFERROR(DATEDIF(IF(ISNUMBER(G72),G72,DATEVALUE(G72)),TODAY(),"Y"),""))</f>
      </c>
      <c r="O72" t="str">
        <f>IF(OR(K72="",L72=""),"",IFERROR(VLOOKUP(K72&amp;"|"&amp;L72,Postal!$A$2:$B$1643,2,FALSE),""))</f>
      </c>
    </row>
    <row r="73">
      <c r="A73" s="8"/>
      <c r="F73" s="8"/>
      <c r="G73" s="10"/>
      <c r="H73" s="12" t="str">
        <f>IF(G73="","",IFERROR(DATEDIF(IF(ISNUMBER(G73),G73,DATEVALUE(G73)),TODAY(),"Y"),""))</f>
      </c>
      <c r="O73" t="str">
        <f>IF(OR(K73="",L73=""),"",IFERROR(VLOOKUP(K73&amp;"|"&amp;L73,Postal!$A$2:$B$1643,2,FALSE),""))</f>
      </c>
    </row>
    <row r="74">
      <c r="A74" s="8"/>
      <c r="F74" s="8"/>
      <c r="G74" s="10"/>
      <c r="H74" s="12" t="str">
        <f>IF(G74="","",IFERROR(DATEDIF(IF(ISNUMBER(G74),G74,DATEVALUE(G74)),TODAY(),"Y"),""))</f>
      </c>
      <c r="O74" t="str">
        <f>IF(OR(K74="",L74=""),"",IFERROR(VLOOKUP(K74&amp;"|"&amp;L74,Postal!$A$2:$B$1643,2,FALSE),""))</f>
      </c>
    </row>
    <row r="75">
      <c r="A75" s="8"/>
      <c r="F75" s="8"/>
      <c r="G75" s="10"/>
      <c r="H75" s="12" t="str">
        <f>IF(G75="","",IFERROR(DATEDIF(IF(ISNUMBER(G75),G75,DATEVALUE(G75)),TODAY(),"Y"),""))</f>
      </c>
      <c r="O75" t="str">
        <f>IF(OR(K75="",L75=""),"",IFERROR(VLOOKUP(K75&amp;"|"&amp;L75,Postal!$A$2:$B$1643,2,FALSE),""))</f>
      </c>
    </row>
    <row r="76">
      <c r="A76" s="8"/>
      <c r="F76" s="8"/>
      <c r="G76" s="10"/>
      <c r="H76" s="12" t="str">
        <f>IF(G76="","",IFERROR(DATEDIF(IF(ISNUMBER(G76),G76,DATEVALUE(G76)),TODAY(),"Y"),""))</f>
      </c>
      <c r="O76" t="str">
        <f>IF(OR(K76="",L76=""),"",IFERROR(VLOOKUP(K76&amp;"|"&amp;L76,Postal!$A$2:$B$1643,2,FALSE),""))</f>
      </c>
    </row>
    <row r="77">
      <c r="A77" s="8"/>
      <c r="F77" s="8"/>
      <c r="G77" s="10"/>
      <c r="H77" s="12" t="str">
        <f>IF(G77="","",IFERROR(DATEDIF(IF(ISNUMBER(G77),G77,DATEVALUE(G77)),TODAY(),"Y"),""))</f>
      </c>
      <c r="O77" t="str">
        <f>IF(OR(K77="",L77=""),"",IFERROR(VLOOKUP(K77&amp;"|"&amp;L77,Postal!$A$2:$B$1643,2,FALSE),""))</f>
      </c>
    </row>
    <row r="78">
      <c r="A78" s="8"/>
      <c r="F78" s="8"/>
      <c r="G78" s="10"/>
      <c r="H78" s="12" t="str">
        <f>IF(G78="","",IFERROR(DATEDIF(IF(ISNUMBER(G78),G78,DATEVALUE(G78)),TODAY(),"Y"),""))</f>
      </c>
      <c r="O78" t="str">
        <f>IF(OR(K78="",L78=""),"",IFERROR(VLOOKUP(K78&amp;"|"&amp;L78,Postal!$A$2:$B$1643,2,FALSE),""))</f>
      </c>
    </row>
    <row r="79">
      <c r="A79" s="8"/>
      <c r="F79" s="8"/>
      <c r="G79" s="10"/>
      <c r="H79" s="12" t="str">
        <f>IF(G79="","",IFERROR(DATEDIF(IF(ISNUMBER(G79),G79,DATEVALUE(G79)),TODAY(),"Y"),""))</f>
      </c>
      <c r="O79" t="str">
        <f>IF(OR(K79="",L79=""),"",IFERROR(VLOOKUP(K79&amp;"|"&amp;L79,Postal!$A$2:$B$1643,2,FALSE),""))</f>
      </c>
    </row>
    <row r="80">
      <c r="A80" s="8"/>
      <c r="F80" s="8"/>
      <c r="G80" s="10"/>
      <c r="H80" s="12" t="str">
        <f>IF(G80="","",IFERROR(DATEDIF(IF(ISNUMBER(G80),G80,DATEVALUE(G80)),TODAY(),"Y"),""))</f>
      </c>
      <c r="O80" t="str">
        <f>IF(OR(K80="",L80=""),"",IFERROR(VLOOKUP(K80&amp;"|"&amp;L80,Postal!$A$2:$B$1643,2,FALSE),""))</f>
      </c>
    </row>
    <row r="81">
      <c r="A81" s="8"/>
      <c r="F81" s="8"/>
      <c r="G81" s="10"/>
      <c r="H81" s="12" t="str">
        <f>IF(G81="","",IFERROR(DATEDIF(IF(ISNUMBER(G81),G81,DATEVALUE(G81)),TODAY(),"Y"),""))</f>
      </c>
      <c r="O81" t="str">
        <f>IF(OR(K81="",L81=""),"",IFERROR(VLOOKUP(K81&amp;"|"&amp;L81,Postal!$A$2:$B$1643,2,FALSE),""))</f>
      </c>
    </row>
    <row r="82">
      <c r="A82" s="8"/>
      <c r="F82" s="8"/>
      <c r="G82" s="10"/>
      <c r="H82" s="12" t="str">
        <f>IF(G82="","",IFERROR(DATEDIF(IF(ISNUMBER(G82),G82,DATEVALUE(G82)),TODAY(),"Y"),""))</f>
      </c>
      <c r="O82" t="str">
        <f>IF(OR(K82="",L82=""),"",IFERROR(VLOOKUP(K82&amp;"|"&amp;L82,Postal!$A$2:$B$1643,2,FALSE),""))</f>
      </c>
    </row>
    <row r="83">
      <c r="A83" s="8"/>
      <c r="F83" s="8"/>
      <c r="G83" s="10"/>
      <c r="H83" s="12" t="str">
        <f>IF(G83="","",IFERROR(DATEDIF(IF(ISNUMBER(G83),G83,DATEVALUE(G83)),TODAY(),"Y"),""))</f>
      </c>
      <c r="O83" t="str">
        <f>IF(OR(K83="",L83=""),"",IFERROR(VLOOKUP(K83&amp;"|"&amp;L83,Postal!$A$2:$B$1643,2,FALSE),""))</f>
      </c>
    </row>
    <row r="84">
      <c r="A84" s="8"/>
      <c r="F84" s="8"/>
      <c r="G84" s="10"/>
      <c r="H84" s="12" t="str">
        <f>IF(G84="","",IFERROR(DATEDIF(IF(ISNUMBER(G84),G84,DATEVALUE(G84)),TODAY(),"Y"),""))</f>
      </c>
      <c r="O84" t="str">
        <f>IF(OR(K84="",L84=""),"",IFERROR(VLOOKUP(K84&amp;"|"&amp;L84,Postal!$A$2:$B$1643,2,FALSE),""))</f>
      </c>
    </row>
    <row r="85">
      <c r="A85" s="8"/>
      <c r="F85" s="8"/>
      <c r="G85" s="10"/>
      <c r="H85" s="12" t="str">
        <f>IF(G85="","",IFERROR(DATEDIF(IF(ISNUMBER(G85),G85,DATEVALUE(G85)),TODAY(),"Y"),""))</f>
      </c>
      <c r="O85" t="str">
        <f>IF(OR(K85="",L85=""),"",IFERROR(VLOOKUP(K85&amp;"|"&amp;L85,Postal!$A$2:$B$1643,2,FALSE),""))</f>
      </c>
    </row>
    <row r="86">
      <c r="A86" s="8"/>
      <c r="F86" s="8"/>
      <c r="G86" s="10"/>
      <c r="H86" s="12" t="str">
        <f>IF(G86="","",IFERROR(DATEDIF(IF(ISNUMBER(G86),G86,DATEVALUE(G86)),TODAY(),"Y"),""))</f>
      </c>
      <c r="O86" t="str">
        <f>IF(OR(K86="",L86=""),"",IFERROR(VLOOKUP(K86&amp;"|"&amp;L86,Postal!$A$2:$B$1643,2,FALSE),""))</f>
      </c>
    </row>
    <row r="87">
      <c r="A87" s="8"/>
      <c r="F87" s="8"/>
      <c r="G87" s="10"/>
      <c r="H87" s="12" t="str">
        <f>IF(G87="","",IFERROR(DATEDIF(IF(ISNUMBER(G87),G87,DATEVALUE(G87)),TODAY(),"Y"),""))</f>
      </c>
      <c r="O87" t="str">
        <f>IF(OR(K87="",L87=""),"",IFERROR(VLOOKUP(K87&amp;"|"&amp;L87,Postal!$A$2:$B$1643,2,FALSE),""))</f>
      </c>
    </row>
    <row r="88">
      <c r="A88" s="8"/>
      <c r="F88" s="8"/>
      <c r="G88" s="10"/>
      <c r="H88" s="12" t="str">
        <f>IF(G88="","",IFERROR(DATEDIF(IF(ISNUMBER(G88),G88,DATEVALUE(G88)),TODAY(),"Y"),""))</f>
      </c>
      <c r="O88" t="str">
        <f>IF(OR(K88="",L88=""),"",IFERROR(VLOOKUP(K88&amp;"|"&amp;L88,Postal!$A$2:$B$1643,2,FALSE),""))</f>
      </c>
    </row>
    <row r="89">
      <c r="A89" s="8"/>
      <c r="F89" s="8"/>
      <c r="G89" s="10"/>
      <c r="H89" s="12" t="str">
        <f>IF(G89="","",IFERROR(DATEDIF(IF(ISNUMBER(G89),G89,DATEVALUE(G89)),TODAY(),"Y"),""))</f>
      </c>
      <c r="O89" t="str">
        <f>IF(OR(K89="",L89=""),"",IFERROR(VLOOKUP(K89&amp;"|"&amp;L89,Postal!$A$2:$B$1643,2,FALSE),""))</f>
      </c>
    </row>
    <row r="90">
      <c r="A90" s="8"/>
      <c r="F90" s="8"/>
      <c r="G90" s="10"/>
      <c r="H90" s="12" t="str">
        <f>IF(G90="","",IFERROR(DATEDIF(IF(ISNUMBER(G90),G90,DATEVALUE(G90)),TODAY(),"Y"),""))</f>
      </c>
      <c r="O90" t="str">
        <f>IF(OR(K90="",L90=""),"",IFERROR(VLOOKUP(K90&amp;"|"&amp;L90,Postal!$A$2:$B$1643,2,FALSE),""))</f>
      </c>
    </row>
    <row r="91">
      <c r="A91" s="8"/>
      <c r="F91" s="8"/>
      <c r="G91" s="10"/>
      <c r="H91" s="12" t="str">
        <f>IF(G91="","",IFERROR(DATEDIF(IF(ISNUMBER(G91),G91,DATEVALUE(G91)),TODAY(),"Y"),""))</f>
      </c>
      <c r="O91" t="str">
        <f>IF(OR(K91="",L91=""),"",IFERROR(VLOOKUP(K91&amp;"|"&amp;L91,Postal!$A$2:$B$1643,2,FALSE),""))</f>
      </c>
    </row>
    <row r="92">
      <c r="A92" s="8"/>
      <c r="F92" s="8"/>
      <c r="G92" s="10"/>
      <c r="H92" s="12" t="str">
        <f>IF(G92="","",IFERROR(DATEDIF(IF(ISNUMBER(G92),G92,DATEVALUE(G92)),TODAY(),"Y"),""))</f>
      </c>
      <c r="O92" t="str">
        <f>IF(OR(K92="",L92=""),"",IFERROR(VLOOKUP(K92&amp;"|"&amp;L92,Postal!$A$2:$B$1643,2,FALSE),""))</f>
      </c>
    </row>
    <row r="93">
      <c r="A93" s="8"/>
      <c r="F93" s="8"/>
      <c r="G93" s="10"/>
      <c r="H93" s="12" t="str">
        <f>IF(G93="","",IFERROR(DATEDIF(IF(ISNUMBER(G93),G93,DATEVALUE(G93)),TODAY(),"Y"),""))</f>
      </c>
      <c r="O93" t="str">
        <f>IF(OR(K93="",L93=""),"",IFERROR(VLOOKUP(K93&amp;"|"&amp;L93,Postal!$A$2:$B$1643,2,FALSE),""))</f>
      </c>
    </row>
    <row r="94">
      <c r="A94" s="8"/>
      <c r="F94" s="8"/>
      <c r="G94" s="10"/>
      <c r="H94" s="12" t="str">
        <f>IF(G94="","",IFERROR(DATEDIF(IF(ISNUMBER(G94),G94,DATEVALUE(G94)),TODAY(),"Y"),""))</f>
      </c>
      <c r="O94" t="str">
        <f>IF(OR(K94="",L94=""),"",IFERROR(VLOOKUP(K94&amp;"|"&amp;L94,Postal!$A$2:$B$1643,2,FALSE),""))</f>
      </c>
    </row>
    <row r="95">
      <c r="A95" s="8"/>
      <c r="F95" s="8"/>
      <c r="G95" s="10"/>
      <c r="H95" s="12" t="str">
        <f>IF(G95="","",IFERROR(DATEDIF(IF(ISNUMBER(G95),G95,DATEVALUE(G95)),TODAY(),"Y"),""))</f>
      </c>
      <c r="O95" t="str">
        <f>IF(OR(K95="",L95=""),"",IFERROR(VLOOKUP(K95&amp;"|"&amp;L95,Postal!$A$2:$B$1643,2,FALSE),""))</f>
      </c>
    </row>
    <row r="96">
      <c r="A96" s="8"/>
      <c r="F96" s="8"/>
      <c r="G96" s="10"/>
      <c r="H96" s="12" t="str">
        <f>IF(G96="","",IFERROR(DATEDIF(IF(ISNUMBER(G96),G96,DATEVALUE(G96)),TODAY(),"Y"),""))</f>
      </c>
      <c r="O96" t="str">
        <f>IF(OR(K96="",L96=""),"",IFERROR(VLOOKUP(K96&amp;"|"&amp;L96,Postal!$A$2:$B$1643,2,FALSE),""))</f>
      </c>
    </row>
    <row r="97">
      <c r="A97" s="8"/>
      <c r="F97" s="8"/>
      <c r="G97" s="10"/>
      <c r="H97" s="12" t="str">
        <f>IF(G97="","",IFERROR(DATEDIF(IF(ISNUMBER(G97),G97,DATEVALUE(G97)),TODAY(),"Y"),""))</f>
      </c>
      <c r="O97" t="str">
        <f>IF(OR(K97="",L97=""),"",IFERROR(VLOOKUP(K97&amp;"|"&amp;L97,Postal!$A$2:$B$1643,2,FALSE),""))</f>
      </c>
    </row>
    <row r="98">
      <c r="A98" s="8"/>
      <c r="F98" s="8"/>
      <c r="G98" s="10"/>
      <c r="H98" s="12" t="str">
        <f>IF(G98="","",IFERROR(DATEDIF(IF(ISNUMBER(G98),G98,DATEVALUE(G98)),TODAY(),"Y"),""))</f>
      </c>
      <c r="O98" t="str">
        <f>IF(OR(K98="",L98=""),"",IFERROR(VLOOKUP(K98&amp;"|"&amp;L98,Postal!$A$2:$B$1643,2,FALSE),""))</f>
      </c>
    </row>
    <row r="99">
      <c r="A99" s="8"/>
      <c r="F99" s="8"/>
      <c r="G99" s="10"/>
      <c r="H99" s="12" t="str">
        <f>IF(G99="","",IFERROR(DATEDIF(IF(ISNUMBER(G99),G99,DATEVALUE(G99)),TODAY(),"Y"),""))</f>
      </c>
      <c r="O99" t="str">
        <f>IF(OR(K99="",L99=""),"",IFERROR(VLOOKUP(K99&amp;"|"&amp;L99,Postal!$A$2:$B$1643,2,FALSE),""))</f>
      </c>
    </row>
    <row r="100">
      <c r="A100" s="8"/>
      <c r="F100" s="8"/>
      <c r="G100" s="10"/>
      <c r="H100" s="12" t="str">
        <f>IF(G100="","",IFERROR(DATEDIF(IF(ISNUMBER(G100),G100,DATEVALUE(G100)),TODAY(),"Y"),""))</f>
      </c>
      <c r="O100" t="str">
        <f>IF(OR(K100="",L100=""),"",IFERROR(VLOOKUP(K100&amp;"|"&amp;L100,Postal!$A$2:$B$1643,2,FALSE),""))</f>
      </c>
    </row>
    <row r="101">
      <c r="A101" s="8"/>
      <c r="F101" s="8"/>
      <c r="G101" s="10"/>
      <c r="H101" s="12" t="str">
        <f>IF(G101="","",IFERROR(DATEDIF(IF(ISNUMBER(G101),G101,DATEVALUE(G101)),TODAY(),"Y"),""))</f>
      </c>
      <c r="O101" t="str">
        <f>IF(OR(K101="",L101=""),"",IFERROR(VLOOKUP(K101&amp;"|"&amp;L101,Postal!$A$2:$B$1643,2,FALSE),""))</f>
      </c>
    </row>
    <row r="102">
      <c r="A102" s="8"/>
      <c r="F102" s="8"/>
      <c r="G102" s="10"/>
      <c r="H102" s="12" t="str">
        <f>IF(G102="","",IFERROR(DATEDIF(IF(ISNUMBER(G102),G102,DATEVALUE(G102)),TODAY(),"Y"),""))</f>
      </c>
      <c r="O102" t="str">
        <f>IF(OR(K102="",L102=""),"",IFERROR(VLOOKUP(K102&amp;"|"&amp;L102,Postal!$A$2:$B$1643,2,FALSE),""))</f>
      </c>
    </row>
    <row r="103">
      <c r="A103" s="8"/>
      <c r="F103" s="8"/>
      <c r="G103" s="10"/>
      <c r="H103" s="12" t="str">
        <f>IF(G103="","",IFERROR(DATEDIF(IF(ISNUMBER(G103),G103,DATEVALUE(G103)),TODAY(),"Y"),""))</f>
      </c>
      <c r="O103" t="str">
        <f>IF(OR(K103="",L103=""),"",IFERROR(VLOOKUP(K103&amp;"|"&amp;L103,Postal!$A$2:$B$1643,2,FALSE),""))</f>
      </c>
    </row>
    <row r="104">
      <c r="A104" s="8"/>
      <c r="F104" s="8"/>
      <c r="G104" s="10"/>
      <c r="H104" s="12" t="str">
        <f>IF(G104="","",IFERROR(DATEDIF(IF(ISNUMBER(G104),G104,DATEVALUE(G104)),TODAY(),"Y"),""))</f>
      </c>
      <c r="O104" t="str">
        <f>IF(OR(K104="",L104=""),"",IFERROR(VLOOKUP(K104&amp;"|"&amp;L104,Postal!$A$2:$B$1643,2,FALSE),""))</f>
      </c>
    </row>
    <row r="105">
      <c r="A105" s="8"/>
      <c r="F105" s="8"/>
      <c r="G105" s="10"/>
      <c r="H105" s="12" t="str">
        <f>IF(G105="","",IFERROR(DATEDIF(IF(ISNUMBER(G105),G105,DATEVALUE(G105)),TODAY(),"Y"),""))</f>
      </c>
      <c r="O105" t="str">
        <f>IF(OR(K105="",L105=""),"",IFERROR(VLOOKUP(K105&amp;"|"&amp;L105,Postal!$A$2:$B$1643,2,FALSE),""))</f>
      </c>
    </row>
    <row r="106">
      <c r="A106" s="8"/>
      <c r="F106" s="8"/>
      <c r="G106" s="10"/>
      <c r="H106" s="12" t="str">
        <f>IF(G106="","",IFERROR(DATEDIF(IF(ISNUMBER(G106),G106,DATEVALUE(G106)),TODAY(),"Y"),""))</f>
      </c>
      <c r="O106" t="str">
        <f>IF(OR(K106="",L106=""),"",IFERROR(VLOOKUP(K106&amp;"|"&amp;L106,Postal!$A$2:$B$1643,2,FALSE),""))</f>
      </c>
    </row>
    <row r="107">
      <c r="A107" s="8"/>
      <c r="F107" s="8"/>
      <c r="G107" s="10"/>
      <c r="H107" s="12" t="str">
        <f>IF(G107="","",IFERROR(DATEDIF(IF(ISNUMBER(G107),G107,DATEVALUE(G107)),TODAY(),"Y"),""))</f>
      </c>
      <c r="O107" t="str">
        <f>IF(OR(K107="",L107=""),"",IFERROR(VLOOKUP(K107&amp;"|"&amp;L107,Postal!$A$2:$B$1643,2,FALSE),""))</f>
      </c>
    </row>
    <row r="108">
      <c r="A108" s="8"/>
      <c r="F108" s="8"/>
      <c r="G108" s="10"/>
      <c r="H108" s="12" t="str">
        <f>IF(G108="","",IFERROR(DATEDIF(IF(ISNUMBER(G108),G108,DATEVALUE(G108)),TODAY(),"Y"),""))</f>
      </c>
      <c r="O108" t="str">
        <f>IF(OR(K108="",L108=""),"",IFERROR(VLOOKUP(K108&amp;"|"&amp;L108,Postal!$A$2:$B$1643,2,FALSE),""))</f>
      </c>
    </row>
    <row r="109">
      <c r="A109" s="8"/>
      <c r="F109" s="8"/>
      <c r="G109" s="10"/>
      <c r="H109" s="12" t="str">
        <f>IF(G109="","",IFERROR(DATEDIF(IF(ISNUMBER(G109),G109,DATEVALUE(G109)),TODAY(),"Y"),""))</f>
      </c>
      <c r="O109" t="str">
        <f>IF(OR(K109="",L109=""),"",IFERROR(VLOOKUP(K109&amp;"|"&amp;L109,Postal!$A$2:$B$1643,2,FALSE),""))</f>
      </c>
    </row>
    <row r="110">
      <c r="A110" s="8"/>
      <c r="F110" s="8"/>
      <c r="G110" s="10"/>
      <c r="H110" s="12" t="str">
        <f>IF(G110="","",IFERROR(DATEDIF(IF(ISNUMBER(G110),G110,DATEVALUE(G110)),TODAY(),"Y"),""))</f>
      </c>
      <c r="O110" t="str">
        <f>IF(OR(K110="",L110=""),"",IFERROR(VLOOKUP(K110&amp;"|"&amp;L110,Postal!$A$2:$B$1643,2,FALSE),""))</f>
      </c>
    </row>
    <row r="111">
      <c r="A111" s="8"/>
      <c r="F111" s="8"/>
      <c r="G111" s="10"/>
      <c r="H111" s="12" t="str">
        <f>IF(G111="","",IFERROR(DATEDIF(IF(ISNUMBER(G111),G111,DATEVALUE(G111)),TODAY(),"Y"),""))</f>
      </c>
      <c r="O111" t="str">
        <f>IF(OR(K111="",L111=""),"",IFERROR(VLOOKUP(K111&amp;"|"&amp;L111,Postal!$A$2:$B$1643,2,FALSE),""))</f>
      </c>
    </row>
    <row r="112">
      <c r="A112" s="8"/>
      <c r="F112" s="8"/>
      <c r="G112" s="10"/>
      <c r="H112" s="12" t="str">
        <f>IF(G112="","",IFERROR(DATEDIF(IF(ISNUMBER(G112),G112,DATEVALUE(G112)),TODAY(),"Y"),""))</f>
      </c>
      <c r="O112" t="str">
        <f>IF(OR(K112="",L112=""),"",IFERROR(VLOOKUP(K112&amp;"|"&amp;L112,Postal!$A$2:$B$1643,2,FALSE),""))</f>
      </c>
    </row>
    <row r="113">
      <c r="A113" s="8"/>
      <c r="F113" s="8"/>
      <c r="G113" s="10"/>
      <c r="H113" s="12" t="str">
        <f>IF(G113="","",IFERROR(DATEDIF(IF(ISNUMBER(G113),G113,DATEVALUE(G113)),TODAY(),"Y"),""))</f>
      </c>
      <c r="O113" t="str">
        <f>IF(OR(K113="",L113=""),"",IFERROR(VLOOKUP(K113&amp;"|"&amp;L113,Postal!$A$2:$B$1643,2,FALSE),""))</f>
      </c>
    </row>
    <row r="114">
      <c r="A114" s="8"/>
      <c r="F114" s="8"/>
      <c r="G114" s="10"/>
      <c r="H114" s="12" t="str">
        <f>IF(G114="","",IFERROR(DATEDIF(IF(ISNUMBER(G114),G114,DATEVALUE(G114)),TODAY(),"Y"),""))</f>
      </c>
      <c r="O114" t="str">
        <f>IF(OR(K114="",L114=""),"",IFERROR(VLOOKUP(K114&amp;"|"&amp;L114,Postal!$A$2:$B$1643,2,FALSE),""))</f>
      </c>
    </row>
    <row r="115">
      <c r="A115" s="8"/>
      <c r="F115" s="8"/>
      <c r="G115" s="10"/>
      <c r="H115" s="12" t="str">
        <f>IF(G115="","",IFERROR(DATEDIF(IF(ISNUMBER(G115),G115,DATEVALUE(G115)),TODAY(),"Y"),""))</f>
      </c>
      <c r="O115" t="str">
        <f>IF(OR(K115="",L115=""),"",IFERROR(VLOOKUP(K115&amp;"|"&amp;L115,Postal!$A$2:$B$1643,2,FALSE),""))</f>
      </c>
    </row>
    <row r="116">
      <c r="A116" s="8"/>
      <c r="F116" s="8"/>
      <c r="G116" s="10"/>
      <c r="H116" s="12" t="str">
        <f>IF(G116="","",IFERROR(DATEDIF(IF(ISNUMBER(G116),G116,DATEVALUE(G116)),TODAY(),"Y"),""))</f>
      </c>
      <c r="O116" t="str">
        <f>IF(OR(K116="",L116=""),"",IFERROR(VLOOKUP(K116&amp;"|"&amp;L116,Postal!$A$2:$B$1643,2,FALSE),""))</f>
      </c>
    </row>
    <row r="117">
      <c r="A117" s="8"/>
      <c r="F117" s="8"/>
      <c r="G117" s="10"/>
      <c r="H117" s="12" t="str">
        <f>IF(G117="","",IFERROR(DATEDIF(IF(ISNUMBER(G117),G117,DATEVALUE(G117)),TODAY(),"Y"),""))</f>
      </c>
      <c r="O117" t="str">
        <f>IF(OR(K117="",L117=""),"",IFERROR(VLOOKUP(K117&amp;"|"&amp;L117,Postal!$A$2:$B$1643,2,FALSE),""))</f>
      </c>
    </row>
    <row r="118">
      <c r="A118" s="8"/>
      <c r="F118" s="8"/>
      <c r="G118" s="10"/>
      <c r="H118" s="12" t="str">
        <f>IF(G118="","",IFERROR(DATEDIF(IF(ISNUMBER(G118),G118,DATEVALUE(G118)),TODAY(),"Y"),""))</f>
      </c>
      <c r="O118" t="str">
        <f>IF(OR(K118="",L118=""),"",IFERROR(VLOOKUP(K118&amp;"|"&amp;L118,Postal!$A$2:$B$1643,2,FALSE),""))</f>
      </c>
    </row>
    <row r="119">
      <c r="A119" s="8"/>
      <c r="F119" s="8"/>
      <c r="G119" s="10"/>
      <c r="H119" s="12" t="str">
        <f>IF(G119="","",IFERROR(DATEDIF(IF(ISNUMBER(G119),G119,DATEVALUE(G119)),TODAY(),"Y"),""))</f>
      </c>
      <c r="O119" t="str">
        <f>IF(OR(K119="",L119=""),"",IFERROR(VLOOKUP(K119&amp;"|"&amp;L119,Postal!$A$2:$B$1643,2,FALSE),""))</f>
      </c>
    </row>
    <row r="120">
      <c r="A120" s="8"/>
      <c r="F120" s="8"/>
      <c r="G120" s="10"/>
      <c r="H120" s="12" t="str">
        <f>IF(G120="","",IFERROR(DATEDIF(IF(ISNUMBER(G120),G120,DATEVALUE(G120)),TODAY(),"Y"),""))</f>
      </c>
      <c r="O120" t="str">
        <f>IF(OR(K120="",L120=""),"",IFERROR(VLOOKUP(K120&amp;"|"&amp;L120,Postal!$A$2:$B$1643,2,FALSE),""))</f>
      </c>
    </row>
    <row r="121">
      <c r="A121" s="8"/>
      <c r="F121" s="8"/>
      <c r="G121" s="10"/>
      <c r="H121" s="12" t="str">
        <f>IF(G121="","",IFERROR(DATEDIF(IF(ISNUMBER(G121),G121,DATEVALUE(G121)),TODAY(),"Y"),""))</f>
      </c>
      <c r="O121" t="str">
        <f>IF(OR(K121="",L121=""),"",IFERROR(VLOOKUP(K121&amp;"|"&amp;L121,Postal!$A$2:$B$1643,2,FALSE),""))</f>
      </c>
    </row>
    <row r="122">
      <c r="A122" s="8"/>
      <c r="F122" s="8"/>
      <c r="G122" s="10"/>
      <c r="H122" s="12" t="str">
        <f>IF(G122="","",IFERROR(DATEDIF(IF(ISNUMBER(G122),G122,DATEVALUE(G122)),TODAY(),"Y"),""))</f>
      </c>
      <c r="O122" t="str">
        <f>IF(OR(K122="",L122=""),"",IFERROR(VLOOKUP(K122&amp;"|"&amp;L122,Postal!$A$2:$B$1643,2,FALSE),""))</f>
      </c>
    </row>
    <row r="123">
      <c r="A123" s="8"/>
      <c r="F123" s="8"/>
      <c r="G123" s="10"/>
      <c r="H123" s="12" t="str">
        <f>IF(G123="","",IFERROR(DATEDIF(IF(ISNUMBER(G123),G123,DATEVALUE(G123)),TODAY(),"Y"),""))</f>
      </c>
      <c r="O123" t="str">
        <f>IF(OR(K123="",L123=""),"",IFERROR(VLOOKUP(K123&amp;"|"&amp;L123,Postal!$A$2:$B$1643,2,FALSE),""))</f>
      </c>
    </row>
    <row r="124">
      <c r="A124" s="8"/>
      <c r="F124" s="8"/>
      <c r="G124" s="10"/>
      <c r="H124" s="12" t="str">
        <f>IF(G124="","",IFERROR(DATEDIF(IF(ISNUMBER(G124),G124,DATEVALUE(G124)),TODAY(),"Y"),""))</f>
      </c>
      <c r="O124" t="str">
        <f>IF(OR(K124="",L124=""),"",IFERROR(VLOOKUP(K124&amp;"|"&amp;L124,Postal!$A$2:$B$1643,2,FALSE),""))</f>
      </c>
    </row>
    <row r="125">
      <c r="A125" s="8"/>
      <c r="F125" s="8"/>
      <c r="G125" s="10"/>
      <c r="H125" s="12" t="str">
        <f>IF(G125="","",IFERROR(DATEDIF(IF(ISNUMBER(G125),G125,DATEVALUE(G125)),TODAY(),"Y"),""))</f>
      </c>
      <c r="O125" t="str">
        <f>IF(OR(K125="",L125=""),"",IFERROR(VLOOKUP(K125&amp;"|"&amp;L125,Postal!$A$2:$B$1643,2,FALSE),""))</f>
      </c>
    </row>
    <row r="126">
      <c r="A126" s="8"/>
      <c r="F126" s="8"/>
      <c r="G126" s="10"/>
      <c r="H126" s="12" t="str">
        <f>IF(G126="","",IFERROR(DATEDIF(IF(ISNUMBER(G126),G126,DATEVALUE(G126)),TODAY(),"Y"),""))</f>
      </c>
      <c r="O126" t="str">
        <f>IF(OR(K126="",L126=""),"",IFERROR(VLOOKUP(K126&amp;"|"&amp;L126,Postal!$A$2:$B$1643,2,FALSE),""))</f>
      </c>
    </row>
    <row r="127">
      <c r="A127" s="8"/>
      <c r="F127" s="8"/>
      <c r="G127" s="10"/>
      <c r="H127" s="12" t="str">
        <f>IF(G127="","",IFERROR(DATEDIF(IF(ISNUMBER(G127),G127,DATEVALUE(G127)),TODAY(),"Y"),""))</f>
      </c>
      <c r="O127" t="str">
        <f>IF(OR(K127="",L127=""),"",IFERROR(VLOOKUP(K127&amp;"|"&amp;L127,Postal!$A$2:$B$1643,2,FALSE),""))</f>
      </c>
    </row>
    <row r="128">
      <c r="A128" s="8"/>
      <c r="F128" s="8"/>
      <c r="G128" s="10"/>
      <c r="H128" s="12" t="str">
        <f>IF(G128="","",IFERROR(DATEDIF(IF(ISNUMBER(G128),G128,DATEVALUE(G128)),TODAY(),"Y"),""))</f>
      </c>
      <c r="O128" t="str">
        <f>IF(OR(K128="",L128=""),"",IFERROR(VLOOKUP(K128&amp;"|"&amp;L128,Postal!$A$2:$B$1643,2,FALSE),""))</f>
      </c>
    </row>
    <row r="129">
      <c r="A129" s="8"/>
      <c r="F129" s="8"/>
      <c r="G129" s="10"/>
      <c r="H129" s="12" t="str">
        <f>IF(G129="","",IFERROR(DATEDIF(IF(ISNUMBER(G129),G129,DATEVALUE(G129)),TODAY(),"Y"),""))</f>
      </c>
      <c r="O129" t="str">
        <f>IF(OR(K129="",L129=""),"",IFERROR(VLOOKUP(K129&amp;"|"&amp;L129,Postal!$A$2:$B$1643,2,FALSE),""))</f>
      </c>
    </row>
    <row r="130">
      <c r="A130" s="8"/>
      <c r="F130" s="8"/>
      <c r="G130" s="10"/>
      <c r="H130" s="12" t="str">
        <f>IF(G130="","",IFERROR(DATEDIF(IF(ISNUMBER(G130),G130,DATEVALUE(G130)),TODAY(),"Y"),""))</f>
      </c>
      <c r="O130" t="str">
        <f>IF(OR(K130="",L130=""),"",IFERROR(VLOOKUP(K130&amp;"|"&amp;L130,Postal!$A$2:$B$1643,2,FALSE),""))</f>
      </c>
    </row>
    <row r="131">
      <c r="A131" s="8"/>
      <c r="F131" s="8"/>
      <c r="G131" s="10"/>
      <c r="H131" s="12" t="str">
        <f>IF(G131="","",IFERROR(DATEDIF(IF(ISNUMBER(G131),G131,DATEVALUE(G131)),TODAY(),"Y"),""))</f>
      </c>
      <c r="O131" t="str">
        <f>IF(OR(K131="",L131=""),"",IFERROR(VLOOKUP(K131&amp;"|"&amp;L131,Postal!$A$2:$B$1643,2,FALSE),""))</f>
      </c>
    </row>
    <row r="132">
      <c r="A132" s="8"/>
      <c r="F132" s="8"/>
      <c r="G132" s="10"/>
      <c r="H132" s="12" t="str">
        <f>IF(G132="","",IFERROR(DATEDIF(IF(ISNUMBER(G132),G132,DATEVALUE(G132)),TODAY(),"Y"),""))</f>
      </c>
      <c r="O132" t="str">
        <f>IF(OR(K132="",L132=""),"",IFERROR(VLOOKUP(K132&amp;"|"&amp;L132,Postal!$A$2:$B$1643,2,FALSE),""))</f>
      </c>
    </row>
    <row r="133">
      <c r="A133" s="8"/>
      <c r="F133" s="8"/>
      <c r="G133" s="10"/>
      <c r="H133" s="12" t="str">
        <f>IF(G133="","",IFERROR(DATEDIF(IF(ISNUMBER(G133),G133,DATEVALUE(G133)),TODAY(),"Y"),""))</f>
      </c>
      <c r="O133" t="str">
        <f>IF(OR(K133="",L133=""),"",IFERROR(VLOOKUP(K133&amp;"|"&amp;L133,Postal!$A$2:$B$1643,2,FALSE),""))</f>
      </c>
    </row>
    <row r="134">
      <c r="A134" s="8"/>
      <c r="F134" s="8"/>
      <c r="G134" s="10"/>
      <c r="H134" s="12" t="str">
        <f>IF(G134="","",IFERROR(DATEDIF(IF(ISNUMBER(G134),G134,DATEVALUE(G134)),TODAY(),"Y"),""))</f>
      </c>
      <c r="O134" t="str">
        <f>IF(OR(K134="",L134=""),"",IFERROR(VLOOKUP(K134&amp;"|"&amp;L134,Postal!$A$2:$B$1643,2,FALSE),""))</f>
      </c>
    </row>
    <row r="135">
      <c r="A135" s="8"/>
      <c r="F135" s="8"/>
      <c r="G135" s="10"/>
      <c r="H135" s="12" t="str">
        <f>IF(G135="","",IFERROR(DATEDIF(IF(ISNUMBER(G135),G135,DATEVALUE(G135)),TODAY(),"Y"),""))</f>
      </c>
      <c r="O135" t="str">
        <f>IF(OR(K135="",L135=""),"",IFERROR(VLOOKUP(K135&amp;"|"&amp;L135,Postal!$A$2:$B$1643,2,FALSE),""))</f>
      </c>
    </row>
    <row r="136">
      <c r="A136" s="8"/>
      <c r="F136" s="8"/>
      <c r="G136" s="10"/>
      <c r="H136" s="12" t="str">
        <f>IF(G136="","",IFERROR(DATEDIF(IF(ISNUMBER(G136),G136,DATEVALUE(G136)),TODAY(),"Y"),""))</f>
      </c>
      <c r="O136" t="str">
        <f>IF(OR(K136="",L136=""),"",IFERROR(VLOOKUP(K136&amp;"|"&amp;L136,Postal!$A$2:$B$1643,2,FALSE),""))</f>
      </c>
    </row>
    <row r="137">
      <c r="A137" s="8"/>
      <c r="F137" s="8"/>
      <c r="G137" s="10"/>
      <c r="H137" s="12" t="str">
        <f>IF(G137="","",IFERROR(DATEDIF(IF(ISNUMBER(G137),G137,DATEVALUE(G137)),TODAY(),"Y"),""))</f>
      </c>
      <c r="O137" t="str">
        <f>IF(OR(K137="",L137=""),"",IFERROR(VLOOKUP(K137&amp;"|"&amp;L137,Postal!$A$2:$B$1643,2,FALSE),""))</f>
      </c>
    </row>
    <row r="138">
      <c r="A138" s="8"/>
      <c r="F138" s="8"/>
      <c r="G138" s="10"/>
      <c r="H138" s="12" t="str">
        <f>IF(G138="","",IFERROR(DATEDIF(IF(ISNUMBER(G138),G138,DATEVALUE(G138)),TODAY(),"Y"),""))</f>
      </c>
      <c r="O138" t="str">
        <f>IF(OR(K138="",L138=""),"",IFERROR(VLOOKUP(K138&amp;"|"&amp;L138,Postal!$A$2:$B$1643,2,FALSE),""))</f>
      </c>
    </row>
    <row r="139">
      <c r="A139" s="8"/>
      <c r="F139" s="8"/>
      <c r="G139" s="10"/>
      <c r="H139" s="12" t="str">
        <f>IF(G139="","",IFERROR(DATEDIF(IF(ISNUMBER(G139),G139,DATEVALUE(G139)),TODAY(),"Y"),""))</f>
      </c>
      <c r="O139" t="str">
        <f>IF(OR(K139="",L139=""),"",IFERROR(VLOOKUP(K139&amp;"|"&amp;L139,Postal!$A$2:$B$1643,2,FALSE),""))</f>
      </c>
    </row>
    <row r="140">
      <c r="A140" s="8"/>
      <c r="F140" s="8"/>
      <c r="G140" s="10"/>
      <c r="H140" s="12" t="str">
        <f>IF(G140="","",IFERROR(DATEDIF(IF(ISNUMBER(G140),G140,DATEVALUE(G140)),TODAY(),"Y"),""))</f>
      </c>
      <c r="O140" t="str">
        <f>IF(OR(K140="",L140=""),"",IFERROR(VLOOKUP(K140&amp;"|"&amp;L140,Postal!$A$2:$B$1643,2,FALSE),""))</f>
      </c>
    </row>
    <row r="141">
      <c r="A141" s="8"/>
      <c r="F141" s="8"/>
      <c r="G141" s="10"/>
      <c r="H141" s="12" t="str">
        <f>IF(G141="","",IFERROR(DATEDIF(IF(ISNUMBER(G141),G141,DATEVALUE(G141)),TODAY(),"Y"),""))</f>
      </c>
      <c r="O141" t="str">
        <f>IF(OR(K141="",L141=""),"",IFERROR(VLOOKUP(K141&amp;"|"&amp;L141,Postal!$A$2:$B$1643,2,FALSE),""))</f>
      </c>
    </row>
    <row r="142">
      <c r="A142" s="8"/>
      <c r="F142" s="8"/>
      <c r="G142" s="10"/>
      <c r="H142" s="12" t="str">
        <f>IF(G142="","",IFERROR(DATEDIF(IF(ISNUMBER(G142),G142,DATEVALUE(G142)),TODAY(),"Y"),""))</f>
      </c>
      <c r="O142" t="str">
        <f>IF(OR(K142="",L142=""),"",IFERROR(VLOOKUP(K142&amp;"|"&amp;L142,Postal!$A$2:$B$1643,2,FALSE),""))</f>
      </c>
    </row>
    <row r="143">
      <c r="A143" s="8"/>
      <c r="F143" s="8"/>
      <c r="G143" s="10"/>
      <c r="H143" s="12" t="str">
        <f>IF(G143="","",IFERROR(DATEDIF(IF(ISNUMBER(G143),G143,DATEVALUE(G143)),TODAY(),"Y"),""))</f>
      </c>
      <c r="O143" t="str">
        <f>IF(OR(K143="",L143=""),"",IFERROR(VLOOKUP(K143&amp;"|"&amp;L143,Postal!$A$2:$B$1643,2,FALSE),""))</f>
      </c>
    </row>
    <row r="144">
      <c r="A144" s="8"/>
      <c r="F144" s="8"/>
      <c r="G144" s="10"/>
      <c r="H144" s="12" t="str">
        <f>IF(G144="","",IFERROR(DATEDIF(IF(ISNUMBER(G144),G144,DATEVALUE(G144)),TODAY(),"Y"),""))</f>
      </c>
      <c r="O144" t="str">
        <f>IF(OR(K144="",L144=""),"",IFERROR(VLOOKUP(K144&amp;"|"&amp;L144,Postal!$A$2:$B$1643,2,FALSE),""))</f>
      </c>
    </row>
    <row r="145">
      <c r="A145" s="8"/>
      <c r="F145" s="8"/>
      <c r="G145" s="10"/>
      <c r="H145" s="12" t="str">
        <f>IF(G145="","",IFERROR(DATEDIF(IF(ISNUMBER(G145),G145,DATEVALUE(G145)),TODAY(),"Y"),""))</f>
      </c>
      <c r="O145" t="str">
        <f>IF(OR(K145="",L145=""),"",IFERROR(VLOOKUP(K145&amp;"|"&amp;L145,Postal!$A$2:$B$1643,2,FALSE),""))</f>
      </c>
    </row>
    <row r="146">
      <c r="A146" s="8"/>
      <c r="F146" s="8"/>
      <c r="G146" s="10"/>
      <c r="H146" s="12" t="str">
        <f>IF(G146="","",IFERROR(DATEDIF(IF(ISNUMBER(G146),G146,DATEVALUE(G146)),TODAY(),"Y"),""))</f>
      </c>
      <c r="O146" t="str">
        <f>IF(OR(K146="",L146=""),"",IFERROR(VLOOKUP(K146&amp;"|"&amp;L146,Postal!$A$2:$B$1643,2,FALSE),""))</f>
      </c>
    </row>
    <row r="147">
      <c r="A147" s="8"/>
      <c r="F147" s="8"/>
      <c r="G147" s="10"/>
      <c r="H147" s="12" t="str">
        <f>IF(G147="","",IFERROR(DATEDIF(IF(ISNUMBER(G147),G147,DATEVALUE(G147)),TODAY(),"Y"),""))</f>
      </c>
      <c r="O147" t="str">
        <f>IF(OR(K147="",L147=""),"",IFERROR(VLOOKUP(K147&amp;"|"&amp;L147,Postal!$A$2:$B$1643,2,FALSE),""))</f>
      </c>
    </row>
    <row r="148">
      <c r="A148" s="8"/>
      <c r="F148" s="8"/>
      <c r="G148" s="10"/>
      <c r="H148" s="12" t="str">
        <f>IF(G148="","",IFERROR(DATEDIF(IF(ISNUMBER(G148),G148,DATEVALUE(G148)),TODAY(),"Y"),""))</f>
      </c>
      <c r="O148" t="str">
        <f>IF(OR(K148="",L148=""),"",IFERROR(VLOOKUP(K148&amp;"|"&amp;L148,Postal!$A$2:$B$1643,2,FALSE),""))</f>
      </c>
    </row>
    <row r="149">
      <c r="A149" s="8"/>
      <c r="F149" s="8"/>
      <c r="G149" s="10"/>
      <c r="H149" s="12" t="str">
        <f>IF(G149="","",IFERROR(DATEDIF(IF(ISNUMBER(G149),G149,DATEVALUE(G149)),TODAY(),"Y"),""))</f>
      </c>
      <c r="O149" t="str">
        <f>IF(OR(K149="",L149=""),"",IFERROR(VLOOKUP(K149&amp;"|"&amp;L149,Postal!$A$2:$B$1643,2,FALSE),""))</f>
      </c>
    </row>
    <row r="150">
      <c r="A150" s="8"/>
      <c r="F150" s="8"/>
      <c r="G150" s="10"/>
      <c r="H150" s="12" t="str">
        <f>IF(G150="","",IFERROR(DATEDIF(IF(ISNUMBER(G150),G150,DATEVALUE(G150)),TODAY(),"Y"),""))</f>
      </c>
      <c r="O150" t="str">
        <f>IF(OR(K150="",L150=""),"",IFERROR(VLOOKUP(K150&amp;"|"&amp;L150,Postal!$A$2:$B$1643,2,FALSE),""))</f>
      </c>
    </row>
    <row r="151">
      <c r="A151" s="8"/>
      <c r="F151" s="8"/>
      <c r="G151" s="10"/>
      <c r="H151" s="12" t="str">
        <f>IF(G151="","",IFERROR(DATEDIF(IF(ISNUMBER(G151),G151,DATEVALUE(G151)),TODAY(),"Y"),""))</f>
      </c>
      <c r="O151" t="str">
        <f>IF(OR(K151="",L151=""),"",IFERROR(VLOOKUP(K151&amp;"|"&amp;L151,Postal!$A$2:$B$1643,2,FALSE),""))</f>
      </c>
    </row>
    <row r="152">
      <c r="A152" s="8"/>
      <c r="F152" s="8"/>
      <c r="G152" s="10"/>
      <c r="H152" s="12" t="str">
        <f>IF(G152="","",IFERROR(DATEDIF(IF(ISNUMBER(G152),G152,DATEVALUE(G152)),TODAY(),"Y"),""))</f>
      </c>
      <c r="O152" t="str">
        <f>IF(OR(K152="",L152=""),"",IFERROR(VLOOKUP(K152&amp;"|"&amp;L152,Postal!$A$2:$B$1643,2,FALSE),""))</f>
      </c>
    </row>
    <row r="153">
      <c r="A153" s="8"/>
      <c r="F153" s="8"/>
      <c r="G153" s="10"/>
      <c r="H153" s="12" t="str">
        <f>IF(G153="","",IFERROR(DATEDIF(IF(ISNUMBER(G153),G153,DATEVALUE(G153)),TODAY(),"Y"),""))</f>
      </c>
      <c r="O153" t="str">
        <f>IF(OR(K153="",L153=""),"",IFERROR(VLOOKUP(K153&amp;"|"&amp;L153,Postal!$A$2:$B$1643,2,FALSE),""))</f>
      </c>
    </row>
    <row r="154">
      <c r="A154" s="8"/>
      <c r="F154" s="8"/>
      <c r="G154" s="10"/>
      <c r="H154" s="12" t="str">
        <f>IF(G154="","",IFERROR(DATEDIF(IF(ISNUMBER(G154),G154,DATEVALUE(G154)),TODAY(),"Y"),""))</f>
      </c>
      <c r="O154" t="str">
        <f>IF(OR(K154="",L154=""),"",IFERROR(VLOOKUP(K154&amp;"|"&amp;L154,Postal!$A$2:$B$1643,2,FALSE),""))</f>
      </c>
    </row>
    <row r="155">
      <c r="A155" s="8"/>
      <c r="F155" s="8"/>
      <c r="G155" s="10"/>
      <c r="H155" s="12" t="str">
        <f>IF(G155="","",IFERROR(DATEDIF(IF(ISNUMBER(G155),G155,DATEVALUE(G155)),TODAY(),"Y"),""))</f>
      </c>
      <c r="O155" t="str">
        <f>IF(OR(K155="",L155=""),"",IFERROR(VLOOKUP(K155&amp;"|"&amp;L155,Postal!$A$2:$B$1643,2,FALSE),""))</f>
      </c>
    </row>
    <row r="156">
      <c r="A156" s="8"/>
      <c r="F156" s="8"/>
      <c r="G156" s="10"/>
      <c r="H156" s="12" t="str">
        <f>IF(G156="","",IFERROR(DATEDIF(IF(ISNUMBER(G156),G156,DATEVALUE(G156)),TODAY(),"Y"),""))</f>
      </c>
      <c r="O156" t="str">
        <f>IF(OR(K156="",L156=""),"",IFERROR(VLOOKUP(K156&amp;"|"&amp;L156,Postal!$A$2:$B$1643,2,FALSE),""))</f>
      </c>
    </row>
    <row r="157">
      <c r="A157" s="8"/>
      <c r="F157" s="8"/>
      <c r="G157" s="10"/>
      <c r="H157" s="12" t="str">
        <f>IF(G157="","",IFERROR(DATEDIF(IF(ISNUMBER(G157),G157,DATEVALUE(G157)),TODAY(),"Y"),""))</f>
      </c>
      <c r="O157" t="str">
        <f>IF(OR(K157="",L157=""),"",IFERROR(VLOOKUP(K157&amp;"|"&amp;L157,Postal!$A$2:$B$1643,2,FALSE),""))</f>
      </c>
    </row>
    <row r="158">
      <c r="A158" s="8"/>
      <c r="F158" s="8"/>
      <c r="G158" s="10"/>
      <c r="H158" s="12" t="str">
        <f>IF(G158="","",IFERROR(DATEDIF(IF(ISNUMBER(G158),G158,DATEVALUE(G158)),TODAY(),"Y"),""))</f>
      </c>
      <c r="O158" t="str">
        <f>IF(OR(K158="",L158=""),"",IFERROR(VLOOKUP(K158&amp;"|"&amp;L158,Postal!$A$2:$B$1643,2,FALSE),""))</f>
      </c>
    </row>
    <row r="159">
      <c r="A159" s="8"/>
      <c r="F159" s="8"/>
      <c r="G159" s="10"/>
      <c r="H159" s="12" t="str">
        <f>IF(G159="","",IFERROR(DATEDIF(IF(ISNUMBER(G159),G159,DATEVALUE(G159)),TODAY(),"Y"),""))</f>
      </c>
      <c r="O159" t="str">
        <f>IF(OR(K159="",L159=""),"",IFERROR(VLOOKUP(K159&amp;"|"&amp;L159,Postal!$A$2:$B$1643,2,FALSE),""))</f>
      </c>
    </row>
    <row r="160">
      <c r="A160" s="8"/>
      <c r="F160" s="8"/>
      <c r="G160" s="10"/>
      <c r="H160" s="12" t="str">
        <f>IF(G160="","",IFERROR(DATEDIF(IF(ISNUMBER(G160),G160,DATEVALUE(G160)),TODAY(),"Y"),""))</f>
      </c>
      <c r="O160" t="str">
        <f>IF(OR(K160="",L160=""),"",IFERROR(VLOOKUP(K160&amp;"|"&amp;L160,Postal!$A$2:$B$1643,2,FALSE),""))</f>
      </c>
    </row>
    <row r="161">
      <c r="A161" s="8"/>
      <c r="F161" s="8"/>
      <c r="G161" s="10"/>
      <c r="H161" s="12" t="str">
        <f>IF(G161="","",IFERROR(DATEDIF(IF(ISNUMBER(G161),G161,DATEVALUE(G161)),TODAY(),"Y"),""))</f>
      </c>
      <c r="O161" t="str">
        <f>IF(OR(K161="",L161=""),"",IFERROR(VLOOKUP(K161&amp;"|"&amp;L161,Postal!$A$2:$B$1643,2,FALSE),""))</f>
      </c>
    </row>
    <row r="162">
      <c r="A162" s="8"/>
      <c r="F162" s="8"/>
      <c r="G162" s="10"/>
      <c r="H162" s="12" t="str">
        <f>IF(G162="","",IFERROR(DATEDIF(IF(ISNUMBER(G162),G162,DATEVALUE(G162)),TODAY(),"Y"),""))</f>
      </c>
      <c r="O162" t="str">
        <f>IF(OR(K162="",L162=""),"",IFERROR(VLOOKUP(K162&amp;"|"&amp;L162,Postal!$A$2:$B$1643,2,FALSE),""))</f>
      </c>
    </row>
    <row r="163">
      <c r="A163" s="8"/>
      <c r="F163" s="8"/>
      <c r="G163" s="10"/>
      <c r="H163" s="12" t="str">
        <f>IF(G163="","",IFERROR(DATEDIF(IF(ISNUMBER(G163),G163,DATEVALUE(G163)),TODAY(),"Y"),""))</f>
      </c>
      <c r="O163" t="str">
        <f>IF(OR(K163="",L163=""),"",IFERROR(VLOOKUP(K163&amp;"|"&amp;L163,Postal!$A$2:$B$1643,2,FALSE),""))</f>
      </c>
    </row>
    <row r="164">
      <c r="A164" s="8"/>
      <c r="F164" s="8"/>
      <c r="G164" s="10"/>
      <c r="H164" s="12" t="str">
        <f>IF(G164="","",IFERROR(DATEDIF(IF(ISNUMBER(G164),G164,DATEVALUE(G164)),TODAY(),"Y"),""))</f>
      </c>
      <c r="O164" t="str">
        <f>IF(OR(K164="",L164=""),"",IFERROR(VLOOKUP(K164&amp;"|"&amp;L164,Postal!$A$2:$B$1643,2,FALSE),""))</f>
      </c>
    </row>
    <row r="165">
      <c r="A165" s="8"/>
      <c r="F165" s="8"/>
      <c r="G165" s="10"/>
      <c r="H165" s="12" t="str">
        <f>IF(G165="","",IFERROR(DATEDIF(IF(ISNUMBER(G165),G165,DATEVALUE(G165)),TODAY(),"Y"),""))</f>
      </c>
      <c r="O165" t="str">
        <f>IF(OR(K165="",L165=""),"",IFERROR(VLOOKUP(K165&amp;"|"&amp;L165,Postal!$A$2:$B$1643,2,FALSE),""))</f>
      </c>
    </row>
    <row r="166">
      <c r="A166" s="8"/>
      <c r="F166" s="8"/>
      <c r="G166" s="10"/>
      <c r="H166" s="12" t="str">
        <f>IF(G166="","",IFERROR(DATEDIF(IF(ISNUMBER(G166),G166,DATEVALUE(G166)),TODAY(),"Y"),""))</f>
      </c>
      <c r="O166" t="str">
        <f>IF(OR(K166="",L166=""),"",IFERROR(VLOOKUP(K166&amp;"|"&amp;L166,Postal!$A$2:$B$1643,2,FALSE),""))</f>
      </c>
    </row>
    <row r="167">
      <c r="A167" s="8"/>
      <c r="F167" s="8"/>
      <c r="G167" s="10"/>
      <c r="H167" s="12" t="str">
        <f>IF(G167="","",IFERROR(DATEDIF(IF(ISNUMBER(G167),G167,DATEVALUE(G167)),TODAY(),"Y"),""))</f>
      </c>
      <c r="O167" t="str">
        <f>IF(OR(K167="",L167=""),"",IFERROR(VLOOKUP(K167&amp;"|"&amp;L167,Postal!$A$2:$B$1643,2,FALSE),""))</f>
      </c>
    </row>
    <row r="168">
      <c r="A168" s="8"/>
      <c r="F168" s="8"/>
      <c r="G168" s="10"/>
      <c r="H168" s="12" t="str">
        <f>IF(G168="","",IFERROR(DATEDIF(IF(ISNUMBER(G168),G168,DATEVALUE(G168)),TODAY(),"Y"),""))</f>
      </c>
      <c r="O168" t="str">
        <f>IF(OR(K168="",L168=""),"",IFERROR(VLOOKUP(K168&amp;"|"&amp;L168,Postal!$A$2:$B$1643,2,FALSE),""))</f>
      </c>
    </row>
    <row r="169">
      <c r="A169" s="8"/>
      <c r="F169" s="8"/>
      <c r="G169" s="10"/>
      <c r="H169" s="12" t="str">
        <f>IF(G169="","",IFERROR(DATEDIF(IF(ISNUMBER(G169),G169,DATEVALUE(G169)),TODAY(),"Y"),""))</f>
      </c>
      <c r="O169" t="str">
        <f>IF(OR(K169="",L169=""),"",IFERROR(VLOOKUP(K169&amp;"|"&amp;L169,Postal!$A$2:$B$1643,2,FALSE),""))</f>
      </c>
    </row>
    <row r="170">
      <c r="A170" s="8"/>
      <c r="F170" s="8"/>
      <c r="G170" s="10"/>
      <c r="H170" s="12" t="str">
        <f>IF(G170="","",IFERROR(DATEDIF(IF(ISNUMBER(G170),G170,DATEVALUE(G170)),TODAY(),"Y"),""))</f>
      </c>
      <c r="O170" t="str">
        <f>IF(OR(K170="",L170=""),"",IFERROR(VLOOKUP(K170&amp;"|"&amp;L170,Postal!$A$2:$B$1643,2,FALSE),""))</f>
      </c>
    </row>
    <row r="171">
      <c r="A171" s="8"/>
      <c r="F171" s="8"/>
      <c r="G171" s="10"/>
      <c r="H171" s="12" t="str">
        <f>IF(G171="","",IFERROR(DATEDIF(IF(ISNUMBER(G171),G171,DATEVALUE(G171)),TODAY(),"Y"),""))</f>
      </c>
      <c r="O171" t="str">
        <f>IF(OR(K171="",L171=""),"",IFERROR(VLOOKUP(K171&amp;"|"&amp;L171,Postal!$A$2:$B$1643,2,FALSE),""))</f>
      </c>
    </row>
    <row r="172">
      <c r="A172" s="8"/>
      <c r="F172" s="8"/>
      <c r="G172" s="10"/>
      <c r="H172" s="12" t="str">
        <f>IF(G172="","",IFERROR(DATEDIF(IF(ISNUMBER(G172),G172,DATEVALUE(G172)),TODAY(),"Y"),""))</f>
      </c>
      <c r="O172" t="str">
        <f>IF(OR(K172="",L172=""),"",IFERROR(VLOOKUP(K172&amp;"|"&amp;L172,Postal!$A$2:$B$1643,2,FALSE),""))</f>
      </c>
    </row>
    <row r="173">
      <c r="A173" s="8"/>
      <c r="F173" s="8"/>
      <c r="G173" s="10"/>
      <c r="H173" s="12" t="str">
        <f>IF(G173="","",IFERROR(DATEDIF(IF(ISNUMBER(G173),G173,DATEVALUE(G173)),TODAY(),"Y"),""))</f>
      </c>
      <c r="O173" t="str">
        <f>IF(OR(K173="",L173=""),"",IFERROR(VLOOKUP(K173&amp;"|"&amp;L173,Postal!$A$2:$B$1643,2,FALSE),""))</f>
      </c>
    </row>
    <row r="174">
      <c r="A174" s="8"/>
      <c r="F174" s="8"/>
      <c r="G174" s="10"/>
      <c r="H174" s="12" t="str">
        <f>IF(G174="","",IFERROR(DATEDIF(IF(ISNUMBER(G174),G174,DATEVALUE(G174)),TODAY(),"Y"),""))</f>
      </c>
      <c r="O174" t="str">
        <f>IF(OR(K174="",L174=""),"",IFERROR(VLOOKUP(K174&amp;"|"&amp;L174,Postal!$A$2:$B$1643,2,FALSE),""))</f>
      </c>
    </row>
    <row r="175">
      <c r="A175" s="8"/>
      <c r="F175" s="8"/>
      <c r="G175" s="10"/>
      <c r="H175" s="12" t="str">
        <f>IF(G175="","",IFERROR(DATEDIF(IF(ISNUMBER(G175),G175,DATEVALUE(G175)),TODAY(),"Y"),""))</f>
      </c>
      <c r="O175" t="str">
        <f>IF(OR(K175="",L175=""),"",IFERROR(VLOOKUP(K175&amp;"|"&amp;L175,Postal!$A$2:$B$1643,2,FALSE),""))</f>
      </c>
    </row>
    <row r="176">
      <c r="A176" s="8"/>
      <c r="F176" s="8"/>
      <c r="G176" s="10"/>
      <c r="H176" s="12" t="str">
        <f>IF(G176="","",IFERROR(DATEDIF(IF(ISNUMBER(G176),G176,DATEVALUE(G176)),TODAY(),"Y"),""))</f>
      </c>
      <c r="O176" t="str">
        <f>IF(OR(K176="",L176=""),"",IFERROR(VLOOKUP(K176&amp;"|"&amp;L176,Postal!$A$2:$B$1643,2,FALSE),""))</f>
      </c>
    </row>
    <row r="177">
      <c r="A177" s="8"/>
      <c r="F177" s="8"/>
      <c r="G177" s="10"/>
      <c r="H177" s="12" t="str">
        <f>IF(G177="","",IFERROR(DATEDIF(IF(ISNUMBER(G177),G177,DATEVALUE(G177)),TODAY(),"Y"),""))</f>
      </c>
      <c r="O177" t="str">
        <f>IF(OR(K177="",L177=""),"",IFERROR(VLOOKUP(K177&amp;"|"&amp;L177,Postal!$A$2:$B$1643,2,FALSE),""))</f>
      </c>
    </row>
    <row r="178">
      <c r="A178" s="8"/>
      <c r="F178" s="8"/>
      <c r="G178" s="10"/>
      <c r="H178" s="12" t="str">
        <f>IF(G178="","",IFERROR(DATEDIF(IF(ISNUMBER(G178),G178,DATEVALUE(G178)),TODAY(),"Y"),""))</f>
      </c>
      <c r="O178" t="str">
        <f>IF(OR(K178="",L178=""),"",IFERROR(VLOOKUP(K178&amp;"|"&amp;L178,Postal!$A$2:$B$1643,2,FALSE),""))</f>
      </c>
    </row>
    <row r="179">
      <c r="A179" s="8"/>
      <c r="F179" s="8"/>
      <c r="G179" s="10"/>
      <c r="H179" s="12" t="str">
        <f>IF(G179="","",IFERROR(DATEDIF(IF(ISNUMBER(G179),G179,DATEVALUE(G179)),TODAY(),"Y"),""))</f>
      </c>
      <c r="O179" t="str">
        <f>IF(OR(K179="",L179=""),"",IFERROR(VLOOKUP(K179&amp;"|"&amp;L179,Postal!$A$2:$B$1643,2,FALSE),""))</f>
      </c>
    </row>
    <row r="180">
      <c r="A180" s="8"/>
      <c r="F180" s="8"/>
      <c r="G180" s="10"/>
      <c r="H180" s="12" t="str">
        <f>IF(G180="","",IFERROR(DATEDIF(IF(ISNUMBER(G180),G180,DATEVALUE(G180)),TODAY(),"Y"),""))</f>
      </c>
      <c r="O180" t="str">
        <f>IF(OR(K180="",L180=""),"",IFERROR(VLOOKUP(K180&amp;"|"&amp;L180,Postal!$A$2:$B$1643,2,FALSE),""))</f>
      </c>
    </row>
    <row r="181">
      <c r="A181" s="8"/>
      <c r="F181" s="8"/>
      <c r="G181" s="10"/>
      <c r="H181" s="12" t="str">
        <f>IF(G181="","",IFERROR(DATEDIF(IF(ISNUMBER(G181),G181,DATEVALUE(G181)),TODAY(),"Y"),""))</f>
      </c>
      <c r="O181" t="str">
        <f>IF(OR(K181="",L181=""),"",IFERROR(VLOOKUP(K181&amp;"|"&amp;L181,Postal!$A$2:$B$1643,2,FALSE),""))</f>
      </c>
    </row>
    <row r="182">
      <c r="A182" s="8"/>
      <c r="F182" s="8"/>
      <c r="G182" s="10"/>
      <c r="H182" s="12" t="str">
        <f>IF(G182="","",IFERROR(DATEDIF(IF(ISNUMBER(G182),G182,DATEVALUE(G182)),TODAY(),"Y"),""))</f>
      </c>
      <c r="O182" t="str">
        <f>IF(OR(K182="",L182=""),"",IFERROR(VLOOKUP(K182&amp;"|"&amp;L182,Postal!$A$2:$B$1643,2,FALSE),""))</f>
      </c>
    </row>
    <row r="183">
      <c r="A183" s="8"/>
      <c r="F183" s="8"/>
      <c r="G183" s="10"/>
      <c r="H183" s="12" t="str">
        <f>IF(G183="","",IFERROR(DATEDIF(IF(ISNUMBER(G183),G183,DATEVALUE(G183)),TODAY(),"Y"),""))</f>
      </c>
      <c r="O183" t="str">
        <f>IF(OR(K183="",L183=""),"",IFERROR(VLOOKUP(K183&amp;"|"&amp;L183,Postal!$A$2:$B$1643,2,FALSE),""))</f>
      </c>
    </row>
    <row r="184">
      <c r="A184" s="8"/>
      <c r="F184" s="8"/>
      <c r="G184" s="10"/>
      <c r="H184" s="12" t="str">
        <f>IF(G184="","",IFERROR(DATEDIF(IF(ISNUMBER(G184),G184,DATEVALUE(G184)),TODAY(),"Y"),""))</f>
      </c>
      <c r="O184" t="str">
        <f>IF(OR(K184="",L184=""),"",IFERROR(VLOOKUP(K184&amp;"|"&amp;L184,Postal!$A$2:$B$1643,2,FALSE),""))</f>
      </c>
    </row>
    <row r="185">
      <c r="A185" s="8"/>
      <c r="F185" s="8"/>
      <c r="G185" s="10"/>
      <c r="H185" s="12" t="str">
        <f>IF(G185="","",IFERROR(DATEDIF(IF(ISNUMBER(G185),G185,DATEVALUE(G185)),TODAY(),"Y"),""))</f>
      </c>
      <c r="O185" t="str">
        <f>IF(OR(K185="",L185=""),"",IFERROR(VLOOKUP(K185&amp;"|"&amp;L185,Postal!$A$2:$B$1643,2,FALSE),""))</f>
      </c>
    </row>
    <row r="186">
      <c r="A186" s="8"/>
      <c r="F186" s="8"/>
      <c r="G186" s="10"/>
      <c r="H186" s="12" t="str">
        <f>IF(G186="","",IFERROR(DATEDIF(IF(ISNUMBER(G186),G186,DATEVALUE(G186)),TODAY(),"Y"),""))</f>
      </c>
      <c r="O186" t="str">
        <f>IF(OR(K186="",L186=""),"",IFERROR(VLOOKUP(K186&amp;"|"&amp;L186,Postal!$A$2:$B$1643,2,FALSE),""))</f>
      </c>
    </row>
    <row r="187">
      <c r="A187" s="8"/>
      <c r="F187" s="8"/>
      <c r="G187" s="10"/>
      <c r="H187" s="12" t="str">
        <f>IF(G187="","",IFERROR(DATEDIF(IF(ISNUMBER(G187),G187,DATEVALUE(G187)),TODAY(),"Y"),""))</f>
      </c>
      <c r="O187" t="str">
        <f>IF(OR(K187="",L187=""),"",IFERROR(VLOOKUP(K187&amp;"|"&amp;L187,Postal!$A$2:$B$1643,2,FALSE),""))</f>
      </c>
    </row>
    <row r="188">
      <c r="A188" s="8"/>
      <c r="F188" s="8"/>
      <c r="G188" s="10"/>
      <c r="H188" s="12" t="str">
        <f>IF(G188="","",IFERROR(DATEDIF(IF(ISNUMBER(G188),G188,DATEVALUE(G188)),TODAY(),"Y"),""))</f>
      </c>
      <c r="O188" t="str">
        <f>IF(OR(K188="",L188=""),"",IFERROR(VLOOKUP(K188&amp;"|"&amp;L188,Postal!$A$2:$B$1643,2,FALSE),""))</f>
      </c>
    </row>
    <row r="189">
      <c r="A189" s="8"/>
      <c r="F189" s="8"/>
      <c r="G189" s="10"/>
      <c r="H189" s="12" t="str">
        <f>IF(G189="","",IFERROR(DATEDIF(IF(ISNUMBER(G189),G189,DATEVALUE(G189)),TODAY(),"Y"),""))</f>
      </c>
      <c r="O189" t="str">
        <f>IF(OR(K189="",L189=""),"",IFERROR(VLOOKUP(K189&amp;"|"&amp;L189,Postal!$A$2:$B$1643,2,FALSE),""))</f>
      </c>
    </row>
    <row r="190">
      <c r="A190" s="8"/>
      <c r="F190" s="8"/>
      <c r="G190" s="10"/>
      <c r="H190" s="12" t="str">
        <f>IF(G190="","",IFERROR(DATEDIF(IF(ISNUMBER(G190),G190,DATEVALUE(G190)),TODAY(),"Y"),""))</f>
      </c>
      <c r="O190" t="str">
        <f>IF(OR(K190="",L190=""),"",IFERROR(VLOOKUP(K190&amp;"|"&amp;L190,Postal!$A$2:$B$1643,2,FALSE),""))</f>
      </c>
    </row>
    <row r="191">
      <c r="A191" s="8"/>
      <c r="F191" s="8"/>
      <c r="G191" s="10"/>
      <c r="H191" s="12" t="str">
        <f>IF(G191="","",IFERROR(DATEDIF(IF(ISNUMBER(G191),G191,DATEVALUE(G191)),TODAY(),"Y"),""))</f>
      </c>
      <c r="O191" t="str">
        <f>IF(OR(K191="",L191=""),"",IFERROR(VLOOKUP(K191&amp;"|"&amp;L191,Postal!$A$2:$B$1643,2,FALSE),""))</f>
      </c>
    </row>
    <row r="192">
      <c r="A192" s="8"/>
      <c r="F192" s="8"/>
      <c r="G192" s="10"/>
      <c r="H192" s="12" t="str">
        <f>IF(G192="","",IFERROR(DATEDIF(IF(ISNUMBER(G192),G192,DATEVALUE(G192)),TODAY(),"Y"),""))</f>
      </c>
      <c r="O192" t="str">
        <f>IF(OR(K192="",L192=""),"",IFERROR(VLOOKUP(K192&amp;"|"&amp;L192,Postal!$A$2:$B$1643,2,FALSE),""))</f>
      </c>
    </row>
    <row r="193">
      <c r="A193" s="8"/>
      <c r="F193" s="8"/>
      <c r="G193" s="10"/>
      <c r="H193" s="12" t="str">
        <f>IF(G193="","",IFERROR(DATEDIF(IF(ISNUMBER(G193),G193,DATEVALUE(G193)),TODAY(),"Y"),""))</f>
      </c>
      <c r="O193" t="str">
        <f>IF(OR(K193="",L193=""),"",IFERROR(VLOOKUP(K193&amp;"|"&amp;L193,Postal!$A$2:$B$1643,2,FALSE),""))</f>
      </c>
    </row>
    <row r="194">
      <c r="A194" s="8"/>
      <c r="F194" s="8"/>
      <c r="G194" s="10"/>
      <c r="H194" s="12" t="str">
        <f>IF(G194="","",IFERROR(DATEDIF(IF(ISNUMBER(G194),G194,DATEVALUE(G194)),TODAY(),"Y"),""))</f>
      </c>
      <c r="O194" t="str">
        <f>IF(OR(K194="",L194=""),"",IFERROR(VLOOKUP(K194&amp;"|"&amp;L194,Postal!$A$2:$B$1643,2,FALSE),""))</f>
      </c>
    </row>
    <row r="195">
      <c r="A195" s="8"/>
      <c r="F195" s="8"/>
      <c r="G195" s="10"/>
      <c r="H195" s="12" t="str">
        <f>IF(G195="","",IFERROR(DATEDIF(IF(ISNUMBER(G195),G195,DATEVALUE(G195)),TODAY(),"Y"),""))</f>
      </c>
      <c r="O195" t="str">
        <f>IF(OR(K195="",L195=""),"",IFERROR(VLOOKUP(K195&amp;"|"&amp;L195,Postal!$A$2:$B$1643,2,FALSE),""))</f>
      </c>
    </row>
    <row r="196">
      <c r="A196" s="8"/>
      <c r="F196" s="8"/>
      <c r="G196" s="10"/>
      <c r="H196" s="12" t="str">
        <f>IF(G196="","",IFERROR(DATEDIF(IF(ISNUMBER(G196),G196,DATEVALUE(G196)),TODAY(),"Y"),""))</f>
      </c>
      <c r="O196" t="str">
        <f>IF(OR(K196="",L196=""),"",IFERROR(VLOOKUP(K196&amp;"|"&amp;L196,Postal!$A$2:$B$1643,2,FALSE),""))</f>
      </c>
    </row>
    <row r="197">
      <c r="A197" s="8"/>
      <c r="F197" s="8"/>
      <c r="G197" s="10"/>
      <c r="H197" s="12" t="str">
        <f>IF(G197="","",IFERROR(DATEDIF(IF(ISNUMBER(G197),G197,DATEVALUE(G197)),TODAY(),"Y"),""))</f>
      </c>
      <c r="O197" t="str">
        <f>IF(OR(K197="",L197=""),"",IFERROR(VLOOKUP(K197&amp;"|"&amp;L197,Postal!$A$2:$B$1643,2,FALSE),""))</f>
      </c>
    </row>
    <row r="198">
      <c r="A198" s="8"/>
      <c r="F198" s="8"/>
      <c r="G198" s="10"/>
      <c r="H198" s="12" t="str">
        <f>IF(G198="","",IFERROR(DATEDIF(IF(ISNUMBER(G198),G198,DATEVALUE(G198)),TODAY(),"Y"),""))</f>
      </c>
      <c r="O198" t="str">
        <f>IF(OR(K198="",L198=""),"",IFERROR(VLOOKUP(K198&amp;"|"&amp;L198,Postal!$A$2:$B$1643,2,FALSE),""))</f>
      </c>
    </row>
    <row r="199">
      <c r="A199" s="8"/>
      <c r="F199" s="8"/>
      <c r="G199" s="10"/>
      <c r="H199" s="12" t="str">
        <f>IF(G199="","",IFERROR(DATEDIF(IF(ISNUMBER(G199),G199,DATEVALUE(G199)),TODAY(),"Y"),""))</f>
      </c>
      <c r="O199" t="str">
        <f>IF(OR(K199="",L199=""),"",IFERROR(VLOOKUP(K199&amp;"|"&amp;L199,Postal!$A$2:$B$1643,2,FALSE),""))</f>
      </c>
    </row>
    <row r="200">
      <c r="A200" s="8"/>
      <c r="F200" s="8"/>
      <c r="G200" s="10"/>
      <c r="H200" s="12" t="str">
        <f>IF(G200="","",IFERROR(DATEDIF(IF(ISNUMBER(G200),G200,DATEVALUE(G200)),TODAY(),"Y"),""))</f>
      </c>
      <c r="O200" t="str">
        <f>IF(OR(K200="",L200=""),"",IFERROR(VLOOKUP(K200&amp;"|"&amp;L200,Postal!$A$2:$B$1643,2,FALSE),""))</f>
      </c>
    </row>
    <row r="201">
      <c r="A201" s="8"/>
      <c r="F201" s="8"/>
      <c r="G201" s="10"/>
      <c r="H201" s="12" t="str">
        <f>IF(G201="","",IFERROR(DATEDIF(IF(ISNUMBER(G201),G201,DATEVALUE(G201)),TODAY(),"Y"),""))</f>
      </c>
      <c r="O201" t="str">
        <f>IF(OR(K201="",L201=""),"",IFERROR(VLOOKUP(K201&amp;"|"&amp;L201,Postal!$A$2:$B$1643,2,FALSE),""))</f>
      </c>
    </row>
    <row r="202">
      <c r="A202" s="8"/>
      <c r="F202" s="8"/>
      <c r="G202" s="10"/>
      <c r="H202" s="12" t="str">
        <f>IF(G202="","",IFERROR(DATEDIF(IF(ISNUMBER(G202),G202,DATEVALUE(G202)),TODAY(),"Y"),""))</f>
      </c>
      <c r="O202" t="str">
        <f>IF(OR(K202="",L202=""),"",IFERROR(VLOOKUP(K202&amp;"|"&amp;L202,Postal!$A$2:$B$1643,2,FALSE),""))</f>
      </c>
    </row>
    <row r="203">
      <c r="A203" s="8"/>
      <c r="F203" s="8"/>
      <c r="G203" s="10"/>
      <c r="H203" s="12" t="str">
        <f>IF(G203="","",IFERROR(DATEDIF(IF(ISNUMBER(G203),G203,DATEVALUE(G203)),TODAY(),"Y"),""))</f>
      </c>
      <c r="O203" t="str">
        <f>IF(OR(K203="",L203=""),"",IFERROR(VLOOKUP(K203&amp;"|"&amp;L203,Postal!$A$2:$B$1643,2,FALSE),""))</f>
      </c>
    </row>
    <row r="204">
      <c r="A204" s="8"/>
      <c r="F204" s="8"/>
      <c r="G204" s="10"/>
      <c r="H204" s="12" t="str">
        <f>IF(G204="","",IFERROR(DATEDIF(IF(ISNUMBER(G204),G204,DATEVALUE(G204)),TODAY(),"Y"),""))</f>
      </c>
      <c r="O204" t="str">
        <f>IF(OR(K204="",L204=""),"",IFERROR(VLOOKUP(K204&amp;"|"&amp;L204,Postal!$A$2:$B$1643,2,FALSE),""))</f>
      </c>
    </row>
    <row r="205">
      <c r="A205" s="8"/>
      <c r="F205" s="8"/>
      <c r="G205" s="10"/>
      <c r="H205" s="12" t="str">
        <f>IF(G205="","",IFERROR(DATEDIF(IF(ISNUMBER(G205),G205,DATEVALUE(G205)),TODAY(),"Y"),""))</f>
      </c>
      <c r="O205" t="str">
        <f>IF(OR(K205="",L205=""),"",IFERROR(VLOOKUP(K205&amp;"|"&amp;L205,Postal!$A$2:$B$1643,2,FALSE),""))</f>
      </c>
    </row>
    <row r="206">
      <c r="A206" s="8"/>
      <c r="F206" s="8"/>
      <c r="G206" s="10"/>
      <c r="H206" s="12" t="str">
        <f>IF(G206="","",IFERROR(DATEDIF(IF(ISNUMBER(G206),G206,DATEVALUE(G206)),TODAY(),"Y"),""))</f>
      </c>
      <c r="O206" t="str">
        <f>IF(OR(K206="",L206=""),"",IFERROR(VLOOKUP(K206&amp;"|"&amp;L206,Postal!$A$2:$B$1643,2,FALSE),""))</f>
      </c>
    </row>
    <row r="207">
      <c r="A207" s="8"/>
      <c r="F207" s="8"/>
      <c r="G207" s="10"/>
      <c r="H207" s="12" t="str">
        <f>IF(G207="","",IFERROR(DATEDIF(IF(ISNUMBER(G207),G207,DATEVALUE(G207)),TODAY(),"Y"),""))</f>
      </c>
      <c r="O207" t="str">
        <f>IF(OR(K207="",L207=""),"",IFERROR(VLOOKUP(K207&amp;"|"&amp;L207,Postal!$A$2:$B$1643,2,FALSE),""))</f>
      </c>
    </row>
    <row r="208">
      <c r="A208" s="8"/>
      <c r="F208" s="8"/>
      <c r="G208" s="10"/>
      <c r="H208" s="12" t="str">
        <f>IF(G208="","",IFERROR(DATEDIF(IF(ISNUMBER(G208),G208,DATEVALUE(G208)),TODAY(),"Y"),""))</f>
      </c>
      <c r="O208" t="str">
        <f>IF(OR(K208="",L208=""),"",IFERROR(VLOOKUP(K208&amp;"|"&amp;L208,Postal!$A$2:$B$1643,2,FALSE),""))</f>
      </c>
    </row>
    <row r="209">
      <c r="A209" s="8"/>
      <c r="F209" s="8"/>
      <c r="G209" s="10"/>
      <c r="H209" s="12" t="str">
        <f>IF(G209="","",IFERROR(DATEDIF(IF(ISNUMBER(G209),G209,DATEVALUE(G209)),TODAY(),"Y"),""))</f>
      </c>
      <c r="O209" t="str">
        <f>IF(OR(K209="",L209=""),"",IFERROR(VLOOKUP(K209&amp;"|"&amp;L209,Postal!$A$2:$B$1643,2,FALSE),""))</f>
      </c>
    </row>
    <row r="210">
      <c r="A210" s="8"/>
      <c r="F210" s="8"/>
      <c r="G210" s="10"/>
      <c r="H210" s="12" t="str">
        <f>IF(G210="","",IFERROR(DATEDIF(IF(ISNUMBER(G210),G210,DATEVALUE(G210)),TODAY(),"Y"),""))</f>
      </c>
      <c r="O210" t="str">
        <f>IF(OR(K210="",L210=""),"",IFERROR(VLOOKUP(K210&amp;"|"&amp;L210,Postal!$A$2:$B$1643,2,FALSE),""))</f>
      </c>
    </row>
    <row r="211">
      <c r="A211" s="8"/>
      <c r="F211" s="8"/>
      <c r="G211" s="10"/>
      <c r="H211" s="12" t="str">
        <f>IF(G211="","",IFERROR(DATEDIF(IF(ISNUMBER(G211),G211,DATEVALUE(G211)),TODAY(),"Y"),""))</f>
      </c>
      <c r="O211" t="str">
        <f>IF(OR(K211="",L211=""),"",IFERROR(VLOOKUP(K211&amp;"|"&amp;L211,Postal!$A$2:$B$1643,2,FALSE),""))</f>
      </c>
    </row>
    <row r="212">
      <c r="A212" s="8"/>
      <c r="F212" s="8"/>
      <c r="G212" s="10"/>
      <c r="H212" s="12" t="str">
        <f>IF(G212="","",IFERROR(DATEDIF(IF(ISNUMBER(G212),G212,DATEVALUE(G212)),TODAY(),"Y"),""))</f>
      </c>
      <c r="O212" t="str">
        <f>IF(OR(K212="",L212=""),"",IFERROR(VLOOKUP(K212&amp;"|"&amp;L212,Postal!$A$2:$B$1643,2,FALSE),""))</f>
      </c>
    </row>
    <row r="213">
      <c r="A213" s="8"/>
      <c r="F213" s="8"/>
      <c r="G213" s="10"/>
      <c r="H213" s="12" t="str">
        <f>IF(G213="","",IFERROR(DATEDIF(IF(ISNUMBER(G213),G213,DATEVALUE(G213)),TODAY(),"Y"),""))</f>
      </c>
      <c r="O213" t="str">
        <f>IF(OR(K213="",L213=""),"",IFERROR(VLOOKUP(K213&amp;"|"&amp;L213,Postal!$A$2:$B$1643,2,FALSE),""))</f>
      </c>
    </row>
    <row r="214">
      <c r="A214" s="8"/>
      <c r="F214" s="8"/>
      <c r="G214" s="10"/>
      <c r="H214" s="12" t="str">
        <f>IF(G214="","",IFERROR(DATEDIF(IF(ISNUMBER(G214),G214,DATEVALUE(G214)),TODAY(),"Y"),""))</f>
      </c>
      <c r="O214" t="str">
        <f>IF(OR(K214="",L214=""),"",IFERROR(VLOOKUP(K214&amp;"|"&amp;L214,Postal!$A$2:$B$1643,2,FALSE),""))</f>
      </c>
    </row>
    <row r="215">
      <c r="A215" s="8"/>
      <c r="F215" s="8"/>
      <c r="G215" s="10"/>
      <c r="H215" s="12" t="str">
        <f>IF(G215="","",IFERROR(DATEDIF(IF(ISNUMBER(G215),G215,DATEVALUE(G215)),TODAY(),"Y"),""))</f>
      </c>
      <c r="O215" t="str">
        <f>IF(OR(K215="",L215=""),"",IFERROR(VLOOKUP(K215&amp;"|"&amp;L215,Postal!$A$2:$B$1643,2,FALSE),""))</f>
      </c>
    </row>
    <row r="216">
      <c r="A216" s="8"/>
      <c r="F216" s="8"/>
      <c r="G216" s="10"/>
      <c r="H216" s="12" t="str">
        <f>IF(G216="","",IFERROR(DATEDIF(IF(ISNUMBER(G216),G216,DATEVALUE(G216)),TODAY(),"Y"),""))</f>
      </c>
      <c r="O216" t="str">
        <f>IF(OR(K216="",L216=""),"",IFERROR(VLOOKUP(K216&amp;"|"&amp;L216,Postal!$A$2:$B$1643,2,FALSE),""))</f>
      </c>
    </row>
    <row r="217">
      <c r="A217" s="8"/>
      <c r="F217" s="8"/>
      <c r="G217" s="10"/>
      <c r="H217" s="12" t="str">
        <f>IF(G217="","",IFERROR(DATEDIF(IF(ISNUMBER(G217),G217,DATEVALUE(G217)),TODAY(),"Y"),""))</f>
      </c>
      <c r="O217" t="str">
        <f>IF(OR(K217="",L217=""),"",IFERROR(VLOOKUP(K217&amp;"|"&amp;L217,Postal!$A$2:$B$1643,2,FALSE),""))</f>
      </c>
    </row>
    <row r="218">
      <c r="A218" s="8"/>
      <c r="F218" s="8"/>
      <c r="G218" s="10"/>
      <c r="H218" s="12" t="str">
        <f>IF(G218="","",IFERROR(DATEDIF(IF(ISNUMBER(G218),G218,DATEVALUE(G218)),TODAY(),"Y"),""))</f>
      </c>
      <c r="O218" t="str">
        <f>IF(OR(K218="",L218=""),"",IFERROR(VLOOKUP(K218&amp;"|"&amp;L218,Postal!$A$2:$B$1643,2,FALSE),""))</f>
      </c>
    </row>
    <row r="219">
      <c r="A219" s="8"/>
      <c r="F219" s="8"/>
      <c r="G219" s="10"/>
      <c r="H219" s="12" t="str">
        <f>IF(G219="","",IFERROR(DATEDIF(IF(ISNUMBER(G219),G219,DATEVALUE(G219)),TODAY(),"Y"),""))</f>
      </c>
      <c r="O219" t="str">
        <f>IF(OR(K219="",L219=""),"",IFERROR(VLOOKUP(K219&amp;"|"&amp;L219,Postal!$A$2:$B$1643,2,FALSE),""))</f>
      </c>
    </row>
    <row r="220">
      <c r="A220" s="8"/>
      <c r="F220" s="8"/>
      <c r="G220" s="10"/>
      <c r="H220" s="12" t="str">
        <f>IF(G220="","",IFERROR(DATEDIF(IF(ISNUMBER(G220),G220,DATEVALUE(G220)),TODAY(),"Y"),""))</f>
      </c>
      <c r="O220" t="str">
        <f>IF(OR(K220="",L220=""),"",IFERROR(VLOOKUP(K220&amp;"|"&amp;L220,Postal!$A$2:$B$1643,2,FALSE),""))</f>
      </c>
    </row>
    <row r="221">
      <c r="A221" s="8"/>
      <c r="F221" s="8"/>
      <c r="G221" s="10"/>
      <c r="H221" s="12" t="str">
        <f>IF(G221="","",IFERROR(DATEDIF(IF(ISNUMBER(G221),G221,DATEVALUE(G221)),TODAY(),"Y"),""))</f>
      </c>
      <c r="O221" t="str">
        <f>IF(OR(K221="",L221=""),"",IFERROR(VLOOKUP(K221&amp;"|"&amp;L221,Postal!$A$2:$B$1643,2,FALSE),""))</f>
      </c>
    </row>
    <row r="222">
      <c r="A222" s="8"/>
      <c r="F222" s="8"/>
      <c r="G222" s="10"/>
      <c r="H222" s="12" t="str">
        <f>IF(G222="","",IFERROR(DATEDIF(IF(ISNUMBER(G222),G222,DATEVALUE(G222)),TODAY(),"Y"),""))</f>
      </c>
      <c r="O222" t="str">
        <f>IF(OR(K222="",L222=""),"",IFERROR(VLOOKUP(K222&amp;"|"&amp;L222,Postal!$A$2:$B$1643,2,FALSE),""))</f>
      </c>
    </row>
    <row r="223">
      <c r="A223" s="8"/>
      <c r="F223" s="8"/>
      <c r="G223" s="10"/>
      <c r="H223" s="12" t="str">
        <f>IF(G223="","",IFERROR(DATEDIF(IF(ISNUMBER(G223),G223,DATEVALUE(G223)),TODAY(),"Y"),""))</f>
      </c>
      <c r="O223" t="str">
        <f>IF(OR(K223="",L223=""),"",IFERROR(VLOOKUP(K223&amp;"|"&amp;L223,Postal!$A$2:$B$1643,2,FALSE),""))</f>
      </c>
    </row>
    <row r="224">
      <c r="A224" s="8"/>
      <c r="F224" s="8"/>
      <c r="G224" s="10"/>
      <c r="H224" s="12" t="str">
        <f>IF(G224="","",IFERROR(DATEDIF(IF(ISNUMBER(G224),G224,DATEVALUE(G224)),TODAY(),"Y"),""))</f>
      </c>
      <c r="O224" t="str">
        <f>IF(OR(K224="",L224=""),"",IFERROR(VLOOKUP(K224&amp;"|"&amp;L224,Postal!$A$2:$B$1643,2,FALSE),""))</f>
      </c>
    </row>
    <row r="225">
      <c r="A225" s="8"/>
      <c r="F225" s="8"/>
      <c r="G225" s="10"/>
      <c r="H225" s="12" t="str">
        <f>IF(G225="","",IFERROR(DATEDIF(IF(ISNUMBER(G225),G225,DATEVALUE(G225)),TODAY(),"Y"),""))</f>
      </c>
      <c r="O225" t="str">
        <f>IF(OR(K225="",L225=""),"",IFERROR(VLOOKUP(K225&amp;"|"&amp;L225,Postal!$A$2:$B$1643,2,FALSE),""))</f>
      </c>
    </row>
    <row r="226">
      <c r="A226" s="8"/>
      <c r="F226" s="8"/>
      <c r="G226" s="10"/>
      <c r="H226" s="12" t="str">
        <f>IF(G226="","",IFERROR(DATEDIF(IF(ISNUMBER(G226),G226,DATEVALUE(G226)),TODAY(),"Y"),""))</f>
      </c>
      <c r="O226" t="str">
        <f>IF(OR(K226="",L226=""),"",IFERROR(VLOOKUP(K226&amp;"|"&amp;L226,Postal!$A$2:$B$1643,2,FALSE),""))</f>
      </c>
    </row>
    <row r="227">
      <c r="A227" s="8"/>
      <c r="F227" s="8"/>
      <c r="G227" s="10"/>
      <c r="H227" s="12" t="str">
        <f>IF(G227="","",IFERROR(DATEDIF(IF(ISNUMBER(G227),G227,DATEVALUE(G227)),TODAY(),"Y"),""))</f>
      </c>
      <c r="O227" t="str">
        <f>IF(OR(K227="",L227=""),"",IFERROR(VLOOKUP(K227&amp;"|"&amp;L227,Postal!$A$2:$B$1643,2,FALSE),""))</f>
      </c>
    </row>
    <row r="228">
      <c r="A228" s="8"/>
      <c r="F228" s="8"/>
      <c r="G228" s="10"/>
      <c r="H228" s="12" t="str">
        <f>IF(G228="","",IFERROR(DATEDIF(IF(ISNUMBER(G228),G228,DATEVALUE(G228)),TODAY(),"Y"),""))</f>
      </c>
      <c r="O228" t="str">
        <f>IF(OR(K228="",L228=""),"",IFERROR(VLOOKUP(K228&amp;"|"&amp;L228,Postal!$A$2:$B$1643,2,FALSE),""))</f>
      </c>
    </row>
    <row r="229">
      <c r="A229" s="8"/>
      <c r="F229" s="8"/>
      <c r="G229" s="10"/>
      <c r="H229" s="12" t="str">
        <f>IF(G229="","",IFERROR(DATEDIF(IF(ISNUMBER(G229),G229,DATEVALUE(G229)),TODAY(),"Y"),""))</f>
      </c>
      <c r="O229" t="str">
        <f>IF(OR(K229="",L229=""),"",IFERROR(VLOOKUP(K229&amp;"|"&amp;L229,Postal!$A$2:$B$1643,2,FALSE),""))</f>
      </c>
    </row>
    <row r="230">
      <c r="A230" s="8"/>
      <c r="F230" s="8"/>
      <c r="G230" s="10"/>
      <c r="H230" s="12" t="str">
        <f>IF(G230="","",IFERROR(DATEDIF(IF(ISNUMBER(G230),G230,DATEVALUE(G230)),TODAY(),"Y"),""))</f>
      </c>
      <c r="O230" t="str">
        <f>IF(OR(K230="",L230=""),"",IFERROR(VLOOKUP(K230&amp;"|"&amp;L230,Postal!$A$2:$B$1643,2,FALSE),""))</f>
      </c>
    </row>
    <row r="231">
      <c r="A231" s="8"/>
      <c r="F231" s="8"/>
      <c r="G231" s="10"/>
      <c r="H231" s="12" t="str">
        <f>IF(G231="","",IFERROR(DATEDIF(IF(ISNUMBER(G231),G231,DATEVALUE(G231)),TODAY(),"Y"),""))</f>
      </c>
      <c r="O231" t="str">
        <f>IF(OR(K231="",L231=""),"",IFERROR(VLOOKUP(K231&amp;"|"&amp;L231,Postal!$A$2:$B$1643,2,FALSE),""))</f>
      </c>
    </row>
    <row r="232">
      <c r="A232" s="8"/>
      <c r="F232" s="8"/>
      <c r="G232" s="10"/>
      <c r="H232" s="12" t="str">
        <f>IF(G232="","",IFERROR(DATEDIF(IF(ISNUMBER(G232),G232,DATEVALUE(G232)),TODAY(),"Y"),""))</f>
      </c>
      <c r="O232" t="str">
        <f>IF(OR(K232="",L232=""),"",IFERROR(VLOOKUP(K232&amp;"|"&amp;L232,Postal!$A$2:$B$1643,2,FALSE),""))</f>
      </c>
    </row>
    <row r="233">
      <c r="A233" s="8"/>
      <c r="F233" s="8"/>
      <c r="G233" s="10"/>
      <c r="H233" s="12" t="str">
        <f>IF(G233="","",IFERROR(DATEDIF(IF(ISNUMBER(G233),G233,DATEVALUE(G233)),TODAY(),"Y"),""))</f>
      </c>
      <c r="O233" t="str">
        <f>IF(OR(K233="",L233=""),"",IFERROR(VLOOKUP(K233&amp;"|"&amp;L233,Postal!$A$2:$B$1643,2,FALSE),""))</f>
      </c>
    </row>
    <row r="234">
      <c r="A234" s="8"/>
      <c r="F234" s="8"/>
      <c r="G234" s="10"/>
      <c r="H234" s="12" t="str">
        <f>IF(G234="","",IFERROR(DATEDIF(IF(ISNUMBER(G234),G234,DATEVALUE(G234)),TODAY(),"Y"),""))</f>
      </c>
      <c r="O234" t="str">
        <f>IF(OR(K234="",L234=""),"",IFERROR(VLOOKUP(K234&amp;"|"&amp;L234,Postal!$A$2:$B$1643,2,FALSE),""))</f>
      </c>
    </row>
    <row r="235">
      <c r="A235" s="8"/>
      <c r="F235" s="8"/>
      <c r="G235" s="10"/>
      <c r="H235" s="12" t="str">
        <f>IF(G235="","",IFERROR(DATEDIF(IF(ISNUMBER(G235),G235,DATEVALUE(G235)),TODAY(),"Y"),""))</f>
      </c>
      <c r="O235" t="str">
        <f>IF(OR(K235="",L235=""),"",IFERROR(VLOOKUP(K235&amp;"|"&amp;L235,Postal!$A$2:$B$1643,2,FALSE),""))</f>
      </c>
    </row>
    <row r="236">
      <c r="A236" s="8"/>
      <c r="F236" s="8"/>
      <c r="G236" s="10"/>
      <c r="H236" s="12" t="str">
        <f>IF(G236="","",IFERROR(DATEDIF(IF(ISNUMBER(G236),G236,DATEVALUE(G236)),TODAY(),"Y"),""))</f>
      </c>
      <c r="O236" t="str">
        <f>IF(OR(K236="",L236=""),"",IFERROR(VLOOKUP(K236&amp;"|"&amp;L236,Postal!$A$2:$B$1643,2,FALSE),""))</f>
      </c>
    </row>
    <row r="237">
      <c r="A237" s="8"/>
      <c r="F237" s="8"/>
      <c r="G237" s="10"/>
      <c r="H237" s="12" t="str">
        <f>IF(G237="","",IFERROR(DATEDIF(IF(ISNUMBER(G237),G237,DATEVALUE(G237)),TODAY(),"Y"),""))</f>
      </c>
      <c r="O237" t="str">
        <f>IF(OR(K237="",L237=""),"",IFERROR(VLOOKUP(K237&amp;"|"&amp;L237,Postal!$A$2:$B$1643,2,FALSE),""))</f>
      </c>
    </row>
    <row r="238">
      <c r="A238" s="8"/>
      <c r="F238" s="8"/>
      <c r="G238" s="10"/>
      <c r="H238" s="12" t="str">
        <f>IF(G238="","",IFERROR(DATEDIF(IF(ISNUMBER(G238),G238,DATEVALUE(G238)),TODAY(),"Y"),""))</f>
      </c>
      <c r="O238" t="str">
        <f>IF(OR(K238="",L238=""),"",IFERROR(VLOOKUP(K238&amp;"|"&amp;L238,Postal!$A$2:$B$1643,2,FALSE),""))</f>
      </c>
    </row>
    <row r="239">
      <c r="A239" s="8"/>
      <c r="F239" s="8"/>
      <c r="G239" s="10"/>
      <c r="H239" s="12" t="str">
        <f>IF(G239="","",IFERROR(DATEDIF(IF(ISNUMBER(G239),G239,DATEVALUE(G239)),TODAY(),"Y"),""))</f>
      </c>
      <c r="O239" t="str">
        <f>IF(OR(K239="",L239=""),"",IFERROR(VLOOKUP(K239&amp;"|"&amp;L239,Postal!$A$2:$B$1643,2,FALSE),""))</f>
      </c>
    </row>
    <row r="240">
      <c r="A240" s="8"/>
      <c r="F240" s="8"/>
      <c r="G240" s="10"/>
      <c r="H240" s="12" t="str">
        <f>IF(G240="","",IFERROR(DATEDIF(IF(ISNUMBER(G240),G240,DATEVALUE(G240)),TODAY(),"Y"),""))</f>
      </c>
      <c r="O240" t="str">
        <f>IF(OR(K240="",L240=""),"",IFERROR(VLOOKUP(K240&amp;"|"&amp;L240,Postal!$A$2:$B$1643,2,FALSE),""))</f>
      </c>
    </row>
    <row r="241">
      <c r="A241" s="8"/>
      <c r="F241" s="8"/>
      <c r="G241" s="10"/>
      <c r="H241" s="12" t="str">
        <f>IF(G241="","",IFERROR(DATEDIF(IF(ISNUMBER(G241),G241,DATEVALUE(G241)),TODAY(),"Y"),""))</f>
      </c>
      <c r="O241" t="str">
        <f>IF(OR(K241="",L241=""),"",IFERROR(VLOOKUP(K241&amp;"|"&amp;L241,Postal!$A$2:$B$1643,2,FALSE),""))</f>
      </c>
    </row>
    <row r="242">
      <c r="A242" s="8"/>
      <c r="F242" s="8"/>
      <c r="G242" s="10"/>
      <c r="H242" s="12" t="str">
        <f>IF(G242="","",IFERROR(DATEDIF(IF(ISNUMBER(G242),G242,DATEVALUE(G242)),TODAY(),"Y"),""))</f>
      </c>
      <c r="O242" t="str">
        <f>IF(OR(K242="",L242=""),"",IFERROR(VLOOKUP(K242&amp;"|"&amp;L242,Postal!$A$2:$B$1643,2,FALSE),""))</f>
      </c>
    </row>
    <row r="243">
      <c r="A243" s="8"/>
      <c r="F243" s="8"/>
      <c r="G243" s="10"/>
      <c r="H243" s="12" t="str">
        <f>IF(G243="","",IFERROR(DATEDIF(IF(ISNUMBER(G243),G243,DATEVALUE(G243)),TODAY(),"Y"),""))</f>
      </c>
      <c r="O243" t="str">
        <f>IF(OR(K243="",L243=""),"",IFERROR(VLOOKUP(K243&amp;"|"&amp;L243,Postal!$A$2:$B$1643,2,FALSE),""))</f>
      </c>
    </row>
    <row r="244">
      <c r="A244" s="8"/>
      <c r="F244" s="8"/>
      <c r="G244" s="10"/>
      <c r="H244" s="12" t="str">
        <f>IF(G244="","",IFERROR(DATEDIF(IF(ISNUMBER(G244),G244,DATEVALUE(G244)),TODAY(),"Y"),""))</f>
      </c>
      <c r="O244" t="str">
        <f>IF(OR(K244="",L244=""),"",IFERROR(VLOOKUP(K244&amp;"|"&amp;L244,Postal!$A$2:$B$1643,2,FALSE),""))</f>
      </c>
    </row>
    <row r="245">
      <c r="A245" s="8"/>
      <c r="F245" s="8"/>
      <c r="G245" s="10"/>
      <c r="H245" s="12" t="str">
        <f>IF(G245="","",IFERROR(DATEDIF(IF(ISNUMBER(G245),G245,DATEVALUE(G245)),TODAY(),"Y"),""))</f>
      </c>
      <c r="O245" t="str">
        <f>IF(OR(K245="",L245=""),"",IFERROR(VLOOKUP(K245&amp;"|"&amp;L245,Postal!$A$2:$B$1643,2,FALSE),""))</f>
      </c>
    </row>
    <row r="246">
      <c r="A246" s="8"/>
      <c r="F246" s="8"/>
      <c r="G246" s="10"/>
      <c r="H246" s="12" t="str">
        <f>IF(G246="","",IFERROR(DATEDIF(IF(ISNUMBER(G246),G246,DATEVALUE(G246)),TODAY(),"Y"),""))</f>
      </c>
      <c r="O246" t="str">
        <f>IF(OR(K246="",L246=""),"",IFERROR(VLOOKUP(K246&amp;"|"&amp;L246,Postal!$A$2:$B$1643,2,FALSE),""))</f>
      </c>
    </row>
    <row r="247">
      <c r="A247" s="8"/>
      <c r="F247" s="8"/>
      <c r="G247" s="10"/>
      <c r="H247" s="12" t="str">
        <f>IF(G247="","",IFERROR(DATEDIF(IF(ISNUMBER(G247),G247,DATEVALUE(G247)),TODAY(),"Y"),""))</f>
      </c>
      <c r="O247" t="str">
        <f>IF(OR(K247="",L247=""),"",IFERROR(VLOOKUP(K247&amp;"|"&amp;L247,Postal!$A$2:$B$1643,2,FALSE),""))</f>
      </c>
    </row>
    <row r="248">
      <c r="A248" s="8"/>
      <c r="F248" s="8"/>
      <c r="G248" s="10"/>
      <c r="H248" s="12" t="str">
        <f>IF(G248="","",IFERROR(DATEDIF(IF(ISNUMBER(G248),G248,DATEVALUE(G248)),TODAY(),"Y"),""))</f>
      </c>
      <c r="O248" t="str">
        <f>IF(OR(K248="",L248=""),"",IFERROR(VLOOKUP(K248&amp;"|"&amp;L248,Postal!$A$2:$B$1643,2,FALSE),""))</f>
      </c>
    </row>
    <row r="249">
      <c r="A249" s="8"/>
      <c r="F249" s="8"/>
      <c r="G249" s="10"/>
      <c r="H249" s="12" t="str">
        <f>IF(G249="","",IFERROR(DATEDIF(IF(ISNUMBER(G249),G249,DATEVALUE(G249)),TODAY(),"Y"),""))</f>
      </c>
      <c r="O249" t="str">
        <f>IF(OR(K249="",L249=""),"",IFERROR(VLOOKUP(K249&amp;"|"&amp;L249,Postal!$A$2:$B$1643,2,FALSE),""))</f>
      </c>
    </row>
    <row r="250">
      <c r="A250" s="8"/>
      <c r="F250" s="8"/>
      <c r="G250" s="10"/>
      <c r="H250" s="12" t="str">
        <f>IF(G250="","",IFERROR(DATEDIF(IF(ISNUMBER(G250),G250,DATEVALUE(G250)),TODAY(),"Y"),""))</f>
      </c>
      <c r="O250" t="str">
        <f>IF(OR(K250="",L250=""),"",IFERROR(VLOOKUP(K250&amp;"|"&amp;L250,Postal!$A$2:$B$1643,2,FALSE),""))</f>
      </c>
    </row>
    <row r="251">
      <c r="A251" s="8"/>
      <c r="F251" s="8"/>
      <c r="G251" s="10"/>
      <c r="H251" s="12" t="str">
        <f>IF(G251="","",IFERROR(DATEDIF(IF(ISNUMBER(G251),G251,DATEVALUE(G251)),TODAY(),"Y"),""))</f>
      </c>
      <c r="O251" t="str">
        <f>IF(OR(K251="",L251=""),"",IFERROR(VLOOKUP(K251&amp;"|"&amp;L251,Postal!$A$2:$B$1643,2,FALSE),""))</f>
      </c>
    </row>
    <row r="252">
      <c r="A252" s="8"/>
      <c r="F252" s="8"/>
      <c r="G252" s="10"/>
      <c r="H252" s="12" t="str">
        <f>IF(G252="","",IFERROR(DATEDIF(IF(ISNUMBER(G252),G252,DATEVALUE(G252)),TODAY(),"Y"),""))</f>
      </c>
      <c r="O252" t="str">
        <f>IF(OR(K252="",L252=""),"",IFERROR(VLOOKUP(K252&amp;"|"&amp;L252,Postal!$A$2:$B$1643,2,FALSE),""))</f>
      </c>
    </row>
    <row r="253">
      <c r="A253" s="8"/>
      <c r="F253" s="8"/>
      <c r="G253" s="10"/>
      <c r="H253" s="12" t="str">
        <f>IF(G253="","",IFERROR(DATEDIF(IF(ISNUMBER(G253),G253,DATEVALUE(G253)),TODAY(),"Y"),""))</f>
      </c>
      <c r="O253" t="str">
        <f>IF(OR(K253="",L253=""),"",IFERROR(VLOOKUP(K253&amp;"|"&amp;L253,Postal!$A$2:$B$1643,2,FALSE),""))</f>
      </c>
    </row>
    <row r="254">
      <c r="A254" s="8"/>
      <c r="F254" s="8"/>
      <c r="G254" s="10"/>
      <c r="H254" s="12" t="str">
        <f>IF(G254="","",IFERROR(DATEDIF(IF(ISNUMBER(G254),G254,DATEVALUE(G254)),TODAY(),"Y"),""))</f>
      </c>
      <c r="O254" t="str">
        <f>IF(OR(K254="",L254=""),"",IFERROR(VLOOKUP(K254&amp;"|"&amp;L254,Postal!$A$2:$B$1643,2,FALSE),""))</f>
      </c>
    </row>
    <row r="255">
      <c r="A255" s="8"/>
      <c r="F255" s="8"/>
      <c r="G255" s="10"/>
      <c r="H255" s="12" t="str">
        <f>IF(G255="","",IFERROR(DATEDIF(IF(ISNUMBER(G255),G255,DATEVALUE(G255)),TODAY(),"Y"),""))</f>
      </c>
      <c r="O255" t="str">
        <f>IF(OR(K255="",L255=""),"",IFERROR(VLOOKUP(K255&amp;"|"&amp;L255,Postal!$A$2:$B$1643,2,FALSE),""))</f>
      </c>
    </row>
    <row r="256">
      <c r="A256" s="8"/>
      <c r="F256" s="8"/>
      <c r="G256" s="10"/>
      <c r="H256" s="12" t="str">
        <f>IF(G256="","",IFERROR(DATEDIF(IF(ISNUMBER(G256),G256,DATEVALUE(G256)),TODAY(),"Y"),""))</f>
      </c>
      <c r="O256" t="str">
        <f>IF(OR(K256="",L256=""),"",IFERROR(VLOOKUP(K256&amp;"|"&amp;L256,Postal!$A$2:$B$1643,2,FALSE),""))</f>
      </c>
    </row>
    <row r="257">
      <c r="A257" s="8"/>
      <c r="F257" s="8"/>
      <c r="G257" s="10"/>
      <c r="H257" s="12" t="str">
        <f>IF(G257="","",IFERROR(DATEDIF(IF(ISNUMBER(G257),G257,DATEVALUE(G257)),TODAY(),"Y"),""))</f>
      </c>
      <c r="O257" t="str">
        <f>IF(OR(K257="",L257=""),"",IFERROR(VLOOKUP(K257&amp;"|"&amp;L257,Postal!$A$2:$B$1643,2,FALSE),""))</f>
      </c>
    </row>
    <row r="258">
      <c r="A258" s="8"/>
      <c r="F258" s="8"/>
      <c r="G258" s="10"/>
      <c r="H258" s="12" t="str">
        <f>IF(G258="","",IFERROR(DATEDIF(IF(ISNUMBER(G258),G258,DATEVALUE(G258)),TODAY(),"Y"),""))</f>
      </c>
      <c r="O258" t="str">
        <f>IF(OR(K258="",L258=""),"",IFERROR(VLOOKUP(K258&amp;"|"&amp;L258,Postal!$A$2:$B$1643,2,FALSE),""))</f>
      </c>
    </row>
    <row r="259">
      <c r="A259" s="8"/>
      <c r="F259" s="8"/>
      <c r="G259" s="10"/>
      <c r="H259" s="12" t="str">
        <f>IF(G259="","",IFERROR(DATEDIF(IF(ISNUMBER(G259),G259,DATEVALUE(G259)),TODAY(),"Y"),""))</f>
      </c>
      <c r="O259" t="str">
        <f>IF(OR(K259="",L259=""),"",IFERROR(VLOOKUP(K259&amp;"|"&amp;L259,Postal!$A$2:$B$1643,2,FALSE),""))</f>
      </c>
    </row>
    <row r="260">
      <c r="A260" s="8"/>
      <c r="F260" s="8"/>
      <c r="G260" s="10"/>
      <c r="H260" s="12" t="str">
        <f>IF(G260="","",IFERROR(DATEDIF(IF(ISNUMBER(G260),G260,DATEVALUE(G260)),TODAY(),"Y"),""))</f>
      </c>
      <c r="O260" t="str">
        <f>IF(OR(K260="",L260=""),"",IFERROR(VLOOKUP(K260&amp;"|"&amp;L260,Postal!$A$2:$B$1643,2,FALSE),""))</f>
      </c>
    </row>
    <row r="261">
      <c r="A261" s="8"/>
      <c r="F261" s="8"/>
      <c r="G261" s="10"/>
      <c r="H261" s="12" t="str">
        <f>IF(G261="","",IFERROR(DATEDIF(IF(ISNUMBER(G261),G261,DATEVALUE(G261)),TODAY(),"Y"),""))</f>
      </c>
      <c r="O261" t="str">
        <f>IF(OR(K261="",L261=""),"",IFERROR(VLOOKUP(K261&amp;"|"&amp;L261,Postal!$A$2:$B$1643,2,FALSE),""))</f>
      </c>
    </row>
    <row r="262">
      <c r="A262" s="8"/>
      <c r="F262" s="8"/>
      <c r="G262" s="10"/>
      <c r="H262" s="12" t="str">
        <f>IF(G262="","",IFERROR(DATEDIF(IF(ISNUMBER(G262),G262,DATEVALUE(G262)),TODAY(),"Y"),""))</f>
      </c>
      <c r="O262" t="str">
        <f>IF(OR(K262="",L262=""),"",IFERROR(VLOOKUP(K262&amp;"|"&amp;L262,Postal!$A$2:$B$1643,2,FALSE),""))</f>
      </c>
    </row>
    <row r="263">
      <c r="A263" s="8"/>
      <c r="F263" s="8"/>
      <c r="G263" s="10"/>
      <c r="H263" s="12" t="str">
        <f>IF(G263="","",IFERROR(DATEDIF(IF(ISNUMBER(G263),G263,DATEVALUE(G263)),TODAY(),"Y"),""))</f>
      </c>
      <c r="O263" t="str">
        <f>IF(OR(K263="",L263=""),"",IFERROR(VLOOKUP(K263&amp;"|"&amp;L263,Postal!$A$2:$B$1643,2,FALSE),""))</f>
      </c>
    </row>
    <row r="264">
      <c r="A264" s="8"/>
      <c r="F264" s="8"/>
      <c r="G264" s="10"/>
      <c r="H264" s="12" t="str">
        <f>IF(G264="","",IFERROR(DATEDIF(IF(ISNUMBER(G264),G264,DATEVALUE(G264)),TODAY(),"Y"),""))</f>
      </c>
      <c r="O264" t="str">
        <f>IF(OR(K264="",L264=""),"",IFERROR(VLOOKUP(K264&amp;"|"&amp;L264,Postal!$A$2:$B$1643,2,FALSE),""))</f>
      </c>
    </row>
    <row r="265">
      <c r="A265" s="8"/>
      <c r="F265" s="8"/>
      <c r="G265" s="10"/>
      <c r="H265" s="12" t="str">
        <f>IF(G265="","",IFERROR(DATEDIF(IF(ISNUMBER(G265),G265,DATEVALUE(G265)),TODAY(),"Y"),""))</f>
      </c>
      <c r="O265" t="str">
        <f>IF(OR(K265="",L265=""),"",IFERROR(VLOOKUP(K265&amp;"|"&amp;L265,Postal!$A$2:$B$1643,2,FALSE),""))</f>
      </c>
    </row>
    <row r="266">
      <c r="A266" s="8"/>
      <c r="F266" s="8"/>
      <c r="G266" s="10"/>
      <c r="H266" s="12" t="str">
        <f>IF(G266="","",IFERROR(DATEDIF(IF(ISNUMBER(G266),G266,DATEVALUE(G266)),TODAY(),"Y"),""))</f>
      </c>
      <c r="O266" t="str">
        <f>IF(OR(K266="",L266=""),"",IFERROR(VLOOKUP(K266&amp;"|"&amp;L266,Postal!$A$2:$B$1643,2,FALSE),""))</f>
      </c>
    </row>
    <row r="267">
      <c r="A267" s="8"/>
      <c r="F267" s="8"/>
      <c r="G267" s="10"/>
      <c r="H267" s="12" t="str">
        <f>IF(G267="","",IFERROR(DATEDIF(IF(ISNUMBER(G267),G267,DATEVALUE(G267)),TODAY(),"Y"),""))</f>
      </c>
      <c r="O267" t="str">
        <f>IF(OR(K267="",L267=""),"",IFERROR(VLOOKUP(K267&amp;"|"&amp;L267,Postal!$A$2:$B$1643,2,FALSE),""))</f>
      </c>
    </row>
    <row r="268">
      <c r="A268" s="8"/>
      <c r="F268" s="8"/>
      <c r="G268" s="10"/>
      <c r="H268" s="12" t="str">
        <f>IF(G268="","",IFERROR(DATEDIF(IF(ISNUMBER(G268),G268,DATEVALUE(G268)),TODAY(),"Y"),""))</f>
      </c>
      <c r="O268" t="str">
        <f>IF(OR(K268="",L268=""),"",IFERROR(VLOOKUP(K268&amp;"|"&amp;L268,Postal!$A$2:$B$1643,2,FALSE),""))</f>
      </c>
    </row>
    <row r="269">
      <c r="A269" s="8"/>
      <c r="F269" s="8"/>
      <c r="G269" s="10"/>
      <c r="H269" s="12" t="str">
        <f>IF(G269="","",IFERROR(DATEDIF(IF(ISNUMBER(G269),G269,DATEVALUE(G269)),TODAY(),"Y"),""))</f>
      </c>
      <c r="O269" t="str">
        <f>IF(OR(K269="",L269=""),"",IFERROR(VLOOKUP(K269&amp;"|"&amp;L269,Postal!$A$2:$B$1643,2,FALSE),""))</f>
      </c>
    </row>
    <row r="270">
      <c r="A270" s="8"/>
      <c r="F270" s="8"/>
      <c r="G270" s="10"/>
      <c r="H270" s="12" t="str">
        <f>IF(G270="","",IFERROR(DATEDIF(IF(ISNUMBER(G270),G270,DATEVALUE(G270)),TODAY(),"Y"),""))</f>
      </c>
      <c r="O270" t="str">
        <f>IF(OR(K270="",L270=""),"",IFERROR(VLOOKUP(K270&amp;"|"&amp;L270,Postal!$A$2:$B$1643,2,FALSE),""))</f>
      </c>
    </row>
    <row r="271">
      <c r="A271" s="8"/>
      <c r="F271" s="8"/>
      <c r="G271" s="10"/>
      <c r="H271" s="12" t="str">
        <f>IF(G271="","",IFERROR(DATEDIF(IF(ISNUMBER(G271),G271,DATEVALUE(G271)),TODAY(),"Y"),""))</f>
      </c>
      <c r="O271" t="str">
        <f>IF(OR(K271="",L271=""),"",IFERROR(VLOOKUP(K271&amp;"|"&amp;L271,Postal!$A$2:$B$1643,2,FALSE),""))</f>
      </c>
    </row>
    <row r="272">
      <c r="A272" s="8"/>
      <c r="F272" s="8"/>
      <c r="G272" s="10"/>
      <c r="H272" s="12" t="str">
        <f>IF(G272="","",IFERROR(DATEDIF(IF(ISNUMBER(G272),G272,DATEVALUE(G272)),TODAY(),"Y"),""))</f>
      </c>
      <c r="O272" t="str">
        <f>IF(OR(K272="",L272=""),"",IFERROR(VLOOKUP(K272&amp;"|"&amp;L272,Postal!$A$2:$B$1643,2,FALSE),""))</f>
      </c>
    </row>
    <row r="273">
      <c r="A273" s="8"/>
      <c r="F273" s="8"/>
      <c r="G273" s="10"/>
      <c r="H273" s="12" t="str">
        <f>IF(G273="","",IFERROR(DATEDIF(IF(ISNUMBER(G273),G273,DATEVALUE(G273)),TODAY(),"Y"),""))</f>
      </c>
      <c r="O273" t="str">
        <f>IF(OR(K273="",L273=""),"",IFERROR(VLOOKUP(K273&amp;"|"&amp;L273,Postal!$A$2:$B$1643,2,FALSE),""))</f>
      </c>
    </row>
    <row r="274">
      <c r="A274" s="8"/>
      <c r="F274" s="8"/>
      <c r="G274" s="10"/>
      <c r="H274" s="12" t="str">
        <f>IF(G274="","",IFERROR(DATEDIF(IF(ISNUMBER(G274),G274,DATEVALUE(G274)),TODAY(),"Y"),""))</f>
      </c>
      <c r="O274" t="str">
        <f>IF(OR(K274="",L274=""),"",IFERROR(VLOOKUP(K274&amp;"|"&amp;L274,Postal!$A$2:$B$1643,2,FALSE),""))</f>
      </c>
    </row>
    <row r="275">
      <c r="A275" s="8"/>
      <c r="F275" s="8"/>
      <c r="G275" s="10"/>
      <c r="H275" s="12" t="str">
        <f>IF(G275="","",IFERROR(DATEDIF(IF(ISNUMBER(G275),G275,DATEVALUE(G275)),TODAY(),"Y"),""))</f>
      </c>
      <c r="O275" t="str">
        <f>IF(OR(K275="",L275=""),"",IFERROR(VLOOKUP(K275&amp;"|"&amp;L275,Postal!$A$2:$B$1643,2,FALSE),""))</f>
      </c>
    </row>
    <row r="276">
      <c r="A276" s="8"/>
      <c r="F276" s="8"/>
      <c r="G276" s="10"/>
      <c r="H276" s="12" t="str">
        <f>IF(G276="","",IFERROR(DATEDIF(IF(ISNUMBER(G276),G276,DATEVALUE(G276)),TODAY(),"Y"),""))</f>
      </c>
      <c r="O276" t="str">
        <f>IF(OR(K276="",L276=""),"",IFERROR(VLOOKUP(K276&amp;"|"&amp;L276,Postal!$A$2:$B$1643,2,FALSE),""))</f>
      </c>
    </row>
    <row r="277">
      <c r="A277" s="8"/>
      <c r="F277" s="8"/>
      <c r="G277" s="10"/>
      <c r="H277" s="12" t="str">
        <f>IF(G277="","",IFERROR(DATEDIF(IF(ISNUMBER(G277),G277,DATEVALUE(G277)),TODAY(),"Y"),""))</f>
      </c>
      <c r="O277" t="str">
        <f>IF(OR(K277="",L277=""),"",IFERROR(VLOOKUP(K277&amp;"|"&amp;L277,Postal!$A$2:$B$1643,2,FALSE),""))</f>
      </c>
    </row>
    <row r="278">
      <c r="A278" s="8"/>
      <c r="F278" s="8"/>
      <c r="G278" s="10"/>
      <c r="H278" s="12" t="str">
        <f>IF(G278="","",IFERROR(DATEDIF(IF(ISNUMBER(G278),G278,DATEVALUE(G278)),TODAY(),"Y"),""))</f>
      </c>
      <c r="O278" t="str">
        <f>IF(OR(K278="",L278=""),"",IFERROR(VLOOKUP(K278&amp;"|"&amp;L278,Postal!$A$2:$B$1643,2,FALSE),""))</f>
      </c>
    </row>
    <row r="279">
      <c r="A279" s="8"/>
      <c r="F279" s="8"/>
      <c r="G279" s="10"/>
      <c r="H279" s="12" t="str">
        <f>IF(G279="","",IFERROR(DATEDIF(IF(ISNUMBER(G279),G279,DATEVALUE(G279)),TODAY(),"Y"),""))</f>
      </c>
      <c r="O279" t="str">
        <f>IF(OR(K279="",L279=""),"",IFERROR(VLOOKUP(K279&amp;"|"&amp;L279,Postal!$A$2:$B$1643,2,FALSE),""))</f>
      </c>
    </row>
    <row r="280">
      <c r="A280" s="8"/>
      <c r="F280" s="8"/>
      <c r="G280" s="10"/>
      <c r="H280" s="12" t="str">
        <f>IF(G280="","",IFERROR(DATEDIF(IF(ISNUMBER(G280),G280,DATEVALUE(G280)),TODAY(),"Y"),""))</f>
      </c>
      <c r="O280" t="str">
        <f>IF(OR(K280="",L280=""),"",IFERROR(VLOOKUP(K280&amp;"|"&amp;L280,Postal!$A$2:$B$1643,2,FALSE),""))</f>
      </c>
    </row>
    <row r="281">
      <c r="A281" s="8"/>
      <c r="F281" s="8"/>
      <c r="G281" s="10"/>
      <c r="H281" s="12" t="str">
        <f>IF(G281="","",IFERROR(DATEDIF(IF(ISNUMBER(G281),G281,DATEVALUE(G281)),TODAY(),"Y"),""))</f>
      </c>
      <c r="O281" t="str">
        <f>IF(OR(K281="",L281=""),"",IFERROR(VLOOKUP(K281&amp;"|"&amp;L281,Postal!$A$2:$B$1643,2,FALSE),""))</f>
      </c>
    </row>
    <row r="282">
      <c r="A282" s="8"/>
      <c r="F282" s="8"/>
      <c r="G282" s="10"/>
      <c r="H282" s="12" t="str">
        <f>IF(G282="","",IFERROR(DATEDIF(IF(ISNUMBER(G282),G282,DATEVALUE(G282)),TODAY(),"Y"),""))</f>
      </c>
      <c r="O282" t="str">
        <f>IF(OR(K282="",L282=""),"",IFERROR(VLOOKUP(K282&amp;"|"&amp;L282,Postal!$A$2:$B$1643,2,FALSE),""))</f>
      </c>
    </row>
    <row r="283">
      <c r="A283" s="8"/>
      <c r="F283" s="8"/>
      <c r="G283" s="10"/>
      <c r="H283" s="12" t="str">
        <f>IF(G283="","",IFERROR(DATEDIF(IF(ISNUMBER(G283),G283,DATEVALUE(G283)),TODAY(),"Y"),""))</f>
      </c>
      <c r="O283" t="str">
        <f>IF(OR(K283="",L283=""),"",IFERROR(VLOOKUP(K283&amp;"|"&amp;L283,Postal!$A$2:$B$1643,2,FALSE),""))</f>
      </c>
    </row>
    <row r="284">
      <c r="A284" s="8"/>
      <c r="F284" s="8"/>
      <c r="G284" s="10"/>
      <c r="H284" s="12" t="str">
        <f>IF(G284="","",IFERROR(DATEDIF(IF(ISNUMBER(G284),G284,DATEVALUE(G284)),TODAY(),"Y"),""))</f>
      </c>
      <c r="O284" t="str">
        <f>IF(OR(K284="",L284=""),"",IFERROR(VLOOKUP(K284&amp;"|"&amp;L284,Postal!$A$2:$B$1643,2,FALSE),""))</f>
      </c>
    </row>
    <row r="285">
      <c r="A285" s="8"/>
      <c r="F285" s="8"/>
      <c r="G285" s="10"/>
      <c r="H285" s="12" t="str">
        <f>IF(G285="","",IFERROR(DATEDIF(IF(ISNUMBER(G285),G285,DATEVALUE(G285)),TODAY(),"Y"),""))</f>
      </c>
      <c r="O285" t="str">
        <f>IF(OR(K285="",L285=""),"",IFERROR(VLOOKUP(K285&amp;"|"&amp;L285,Postal!$A$2:$B$1643,2,FALSE),""))</f>
      </c>
    </row>
    <row r="286">
      <c r="A286" s="8"/>
      <c r="F286" s="8"/>
      <c r="G286" s="10"/>
      <c r="H286" s="12" t="str">
        <f>IF(G286="","",IFERROR(DATEDIF(IF(ISNUMBER(G286),G286,DATEVALUE(G286)),TODAY(),"Y"),""))</f>
      </c>
      <c r="O286" t="str">
        <f>IF(OR(K286="",L286=""),"",IFERROR(VLOOKUP(K286&amp;"|"&amp;L286,Postal!$A$2:$B$1643,2,FALSE),""))</f>
      </c>
    </row>
    <row r="287">
      <c r="A287" s="8"/>
      <c r="F287" s="8"/>
      <c r="G287" s="10"/>
      <c r="H287" s="12" t="str">
        <f>IF(G287="","",IFERROR(DATEDIF(IF(ISNUMBER(G287),G287,DATEVALUE(G287)),TODAY(),"Y"),""))</f>
      </c>
      <c r="O287" t="str">
        <f>IF(OR(K287="",L287=""),"",IFERROR(VLOOKUP(K287&amp;"|"&amp;L287,Postal!$A$2:$B$1643,2,FALSE),""))</f>
      </c>
    </row>
    <row r="288">
      <c r="A288" s="8"/>
      <c r="F288" s="8"/>
      <c r="G288" s="10"/>
      <c r="H288" s="12" t="str">
        <f>IF(G288="","",IFERROR(DATEDIF(IF(ISNUMBER(G288),G288,DATEVALUE(G288)),TODAY(),"Y"),""))</f>
      </c>
      <c r="O288" t="str">
        <f>IF(OR(K288="",L288=""),"",IFERROR(VLOOKUP(K288&amp;"|"&amp;L288,Postal!$A$2:$B$1643,2,FALSE),""))</f>
      </c>
    </row>
    <row r="289">
      <c r="A289" s="8"/>
      <c r="F289" s="8"/>
      <c r="G289" s="10"/>
      <c r="H289" s="12" t="str">
        <f>IF(G289="","",IFERROR(DATEDIF(IF(ISNUMBER(G289),G289,DATEVALUE(G289)),TODAY(),"Y"),""))</f>
      </c>
      <c r="O289" t="str">
        <f>IF(OR(K289="",L289=""),"",IFERROR(VLOOKUP(K289&amp;"|"&amp;L289,Postal!$A$2:$B$1643,2,FALSE),""))</f>
      </c>
    </row>
    <row r="290">
      <c r="A290" s="8"/>
      <c r="F290" s="8"/>
      <c r="G290" s="10"/>
      <c r="H290" s="12" t="str">
        <f>IF(G290="","",IFERROR(DATEDIF(IF(ISNUMBER(G290),G290,DATEVALUE(G290)),TODAY(),"Y"),""))</f>
      </c>
      <c r="O290" t="str">
        <f>IF(OR(K290="",L290=""),"",IFERROR(VLOOKUP(K290&amp;"|"&amp;L290,Postal!$A$2:$B$1643,2,FALSE),""))</f>
      </c>
    </row>
    <row r="291">
      <c r="A291" s="8"/>
      <c r="F291" s="8"/>
      <c r="G291" s="10"/>
      <c r="H291" s="12" t="str">
        <f>IF(G291="","",IFERROR(DATEDIF(IF(ISNUMBER(G291),G291,DATEVALUE(G291)),TODAY(),"Y"),""))</f>
      </c>
      <c r="O291" t="str">
        <f>IF(OR(K291="",L291=""),"",IFERROR(VLOOKUP(K291&amp;"|"&amp;L291,Postal!$A$2:$B$1643,2,FALSE),""))</f>
      </c>
    </row>
    <row r="292">
      <c r="A292" s="8"/>
      <c r="F292" s="8"/>
      <c r="G292" s="10"/>
      <c r="H292" s="12" t="str">
        <f>IF(G292="","",IFERROR(DATEDIF(IF(ISNUMBER(G292),G292,DATEVALUE(G292)),TODAY(),"Y"),""))</f>
      </c>
      <c r="O292" t="str">
        <f>IF(OR(K292="",L292=""),"",IFERROR(VLOOKUP(K292&amp;"|"&amp;L292,Postal!$A$2:$B$1643,2,FALSE),""))</f>
      </c>
    </row>
    <row r="293">
      <c r="A293" s="8"/>
      <c r="F293" s="8"/>
      <c r="G293" s="10"/>
      <c r="H293" s="12" t="str">
        <f>IF(G293="","",IFERROR(DATEDIF(IF(ISNUMBER(G293),G293,DATEVALUE(G293)),TODAY(),"Y"),""))</f>
      </c>
      <c r="O293" t="str">
        <f>IF(OR(K293="",L293=""),"",IFERROR(VLOOKUP(K293&amp;"|"&amp;L293,Postal!$A$2:$B$1643,2,FALSE),""))</f>
      </c>
    </row>
    <row r="294">
      <c r="A294" s="8"/>
      <c r="F294" s="8"/>
      <c r="G294" s="10"/>
      <c r="H294" s="12" t="str">
        <f>IF(G294="","",IFERROR(DATEDIF(IF(ISNUMBER(G294),G294,DATEVALUE(G294)),TODAY(),"Y"),""))</f>
      </c>
      <c r="O294" t="str">
        <f>IF(OR(K294="",L294=""),"",IFERROR(VLOOKUP(K294&amp;"|"&amp;L294,Postal!$A$2:$B$1643,2,FALSE),""))</f>
      </c>
    </row>
    <row r="295">
      <c r="A295" s="8"/>
      <c r="F295" s="8"/>
      <c r="G295" s="10"/>
      <c r="H295" s="12" t="str">
        <f>IF(G295="","",IFERROR(DATEDIF(IF(ISNUMBER(G295),G295,DATEVALUE(G295)),TODAY(),"Y"),""))</f>
      </c>
      <c r="O295" t="str">
        <f>IF(OR(K295="",L295=""),"",IFERROR(VLOOKUP(K295&amp;"|"&amp;L295,Postal!$A$2:$B$1643,2,FALSE),""))</f>
      </c>
    </row>
    <row r="296">
      <c r="A296" s="8"/>
      <c r="F296" s="8"/>
      <c r="G296" s="10"/>
      <c r="H296" s="12" t="str">
        <f>IF(G296="","",IFERROR(DATEDIF(IF(ISNUMBER(G296),G296,DATEVALUE(G296)),TODAY(),"Y"),""))</f>
      </c>
      <c r="O296" t="str">
        <f>IF(OR(K296="",L296=""),"",IFERROR(VLOOKUP(K296&amp;"|"&amp;L296,Postal!$A$2:$B$1643,2,FALSE),""))</f>
      </c>
    </row>
    <row r="297">
      <c r="A297" s="8"/>
      <c r="F297" s="8"/>
      <c r="G297" s="10"/>
      <c r="H297" s="12" t="str">
        <f>IF(G297="","",IFERROR(DATEDIF(IF(ISNUMBER(G297),G297,DATEVALUE(G297)),TODAY(),"Y"),""))</f>
      </c>
      <c r="O297" t="str">
        <f>IF(OR(K297="",L297=""),"",IFERROR(VLOOKUP(K297&amp;"|"&amp;L297,Postal!$A$2:$B$1643,2,FALSE),""))</f>
      </c>
    </row>
    <row r="298">
      <c r="A298" s="8"/>
      <c r="F298" s="8"/>
      <c r="G298" s="10"/>
      <c r="H298" s="12" t="str">
        <f>IF(G298="","",IFERROR(DATEDIF(IF(ISNUMBER(G298),G298,DATEVALUE(G298)),TODAY(),"Y"),""))</f>
      </c>
      <c r="O298" t="str">
        <f>IF(OR(K298="",L298=""),"",IFERROR(VLOOKUP(K298&amp;"|"&amp;L298,Postal!$A$2:$B$1643,2,FALSE),""))</f>
      </c>
    </row>
    <row r="299">
      <c r="A299" s="8"/>
      <c r="F299" s="8"/>
      <c r="G299" s="10"/>
      <c r="H299" s="12" t="str">
        <f>IF(G299="","",IFERROR(DATEDIF(IF(ISNUMBER(G299),G299,DATEVALUE(G299)),TODAY(),"Y"),""))</f>
      </c>
      <c r="O299" t="str">
        <f>IF(OR(K299="",L299=""),"",IFERROR(VLOOKUP(K299&amp;"|"&amp;L299,Postal!$A$2:$B$1643,2,FALSE),""))</f>
      </c>
    </row>
    <row r="300">
      <c r="A300" s="8"/>
      <c r="F300" s="8"/>
      <c r="G300" s="10"/>
      <c r="H300" s="12" t="str">
        <f>IF(G300="","",IFERROR(DATEDIF(IF(ISNUMBER(G300),G300,DATEVALUE(G300)),TODAY(),"Y"),""))</f>
      </c>
      <c r="O300" t="str">
        <f>IF(OR(K300="",L300=""),"",IFERROR(VLOOKUP(K300&amp;"|"&amp;L300,Postal!$A$2:$B$1643,2,FALSE),""))</f>
      </c>
    </row>
    <row r="301">
      <c r="A301" s="8"/>
      <c r="F301" s="8"/>
      <c r="G301" s="10"/>
      <c r="H301" s="12" t="str">
        <f>IF(G301="","",IFERROR(DATEDIF(IF(ISNUMBER(G301),G301,DATEVALUE(G301)),TODAY(),"Y"),""))</f>
      </c>
      <c r="O301" t="str">
        <f>IF(OR(K301="",L301=""),"",IFERROR(VLOOKUP(K301&amp;"|"&amp;L301,Postal!$A$2:$B$1643,2,FALSE),""))</f>
      </c>
    </row>
    <row r="302">
      <c r="A302" s="8"/>
      <c r="F302" s="8"/>
      <c r="G302" s="10"/>
      <c r="H302" s="12" t="str">
        <f>IF(G302="","",IFERROR(DATEDIF(IF(ISNUMBER(G302),G302,DATEVALUE(G302)),TODAY(),"Y"),""))</f>
      </c>
      <c r="O302" t="str">
        <f>IF(OR(K302="",L302=""),"",IFERROR(VLOOKUP(K302&amp;"|"&amp;L302,Postal!$A$2:$B$1643,2,FALSE),""))</f>
      </c>
    </row>
    <row r="303">
      <c r="A303" s="8"/>
      <c r="F303" s="8"/>
      <c r="G303" s="10"/>
      <c r="H303" s="12" t="str">
        <f>IF(G303="","",IFERROR(DATEDIF(IF(ISNUMBER(G303),G303,DATEVALUE(G303)),TODAY(),"Y"),""))</f>
      </c>
      <c r="O303" t="str">
        <f>IF(OR(K303="",L303=""),"",IFERROR(VLOOKUP(K303&amp;"|"&amp;L303,Postal!$A$2:$B$1643,2,FALSE),""))</f>
      </c>
    </row>
    <row r="304">
      <c r="A304" s="8"/>
      <c r="F304" s="8"/>
      <c r="G304" s="10"/>
      <c r="H304" s="12" t="str">
        <f>IF(G304="","",IFERROR(DATEDIF(IF(ISNUMBER(G304),G304,DATEVALUE(G304)),TODAY(),"Y"),""))</f>
      </c>
      <c r="O304" t="str">
        <f>IF(OR(K304="",L304=""),"",IFERROR(VLOOKUP(K304&amp;"|"&amp;L304,Postal!$A$2:$B$1643,2,FALSE),""))</f>
      </c>
    </row>
    <row r="305">
      <c r="A305" s="8"/>
      <c r="F305" s="8"/>
      <c r="G305" s="10"/>
      <c r="H305" s="12" t="str">
        <f>IF(G305="","",IFERROR(DATEDIF(IF(ISNUMBER(G305),G305,DATEVALUE(G305)),TODAY(),"Y"),""))</f>
      </c>
      <c r="O305" t="str">
        <f>IF(OR(K305="",L305=""),"",IFERROR(VLOOKUP(K305&amp;"|"&amp;L305,Postal!$A$2:$B$1643,2,FALSE),""))</f>
      </c>
    </row>
    <row r="306">
      <c r="A306" s="8"/>
      <c r="F306" s="8"/>
      <c r="G306" s="10"/>
      <c r="H306" s="12" t="str">
        <f>IF(G306="","",IFERROR(DATEDIF(IF(ISNUMBER(G306),G306,DATEVALUE(G306)),TODAY(),"Y"),""))</f>
      </c>
      <c r="O306" t="str">
        <f>IF(OR(K306="",L306=""),"",IFERROR(VLOOKUP(K306&amp;"|"&amp;L306,Postal!$A$2:$B$1643,2,FALSE),""))</f>
      </c>
    </row>
    <row r="307">
      <c r="A307" s="8"/>
      <c r="F307" s="8"/>
      <c r="G307" s="10"/>
      <c r="H307" s="12" t="str">
        <f>IF(G307="","",IFERROR(DATEDIF(IF(ISNUMBER(G307),G307,DATEVALUE(G307)),TODAY(),"Y"),""))</f>
      </c>
      <c r="O307" t="str">
        <f>IF(OR(K307="",L307=""),"",IFERROR(VLOOKUP(K307&amp;"|"&amp;L307,Postal!$A$2:$B$1643,2,FALSE),""))</f>
      </c>
    </row>
    <row r="308">
      <c r="A308" s="8"/>
      <c r="F308" s="8"/>
      <c r="G308" s="10"/>
      <c r="H308" s="12" t="str">
        <f>IF(G308="","",IFERROR(DATEDIF(IF(ISNUMBER(G308),G308,DATEVALUE(G308)),TODAY(),"Y"),""))</f>
      </c>
      <c r="O308" t="str">
        <f>IF(OR(K308="",L308=""),"",IFERROR(VLOOKUP(K308&amp;"|"&amp;L308,Postal!$A$2:$B$1643,2,FALSE),""))</f>
      </c>
    </row>
    <row r="309">
      <c r="A309" s="8"/>
      <c r="F309" s="8"/>
      <c r="G309" s="10"/>
      <c r="H309" s="12" t="str">
        <f>IF(G309="","",IFERROR(DATEDIF(IF(ISNUMBER(G309),G309,DATEVALUE(G309)),TODAY(),"Y"),""))</f>
      </c>
      <c r="O309" t="str">
        <f>IF(OR(K309="",L309=""),"",IFERROR(VLOOKUP(K309&amp;"|"&amp;L309,Postal!$A$2:$B$1643,2,FALSE),""))</f>
      </c>
    </row>
    <row r="310">
      <c r="A310" s="8"/>
      <c r="F310" s="8"/>
      <c r="G310" s="10"/>
      <c r="H310" s="12" t="str">
        <f>IF(G310="","",IFERROR(DATEDIF(IF(ISNUMBER(G310),G310,DATEVALUE(G310)),TODAY(),"Y"),""))</f>
      </c>
      <c r="O310" t="str">
        <f>IF(OR(K310="",L310=""),"",IFERROR(VLOOKUP(K310&amp;"|"&amp;L310,Postal!$A$2:$B$1643,2,FALSE),""))</f>
      </c>
    </row>
    <row r="311">
      <c r="A311" s="8"/>
      <c r="F311" s="8"/>
      <c r="G311" s="10"/>
      <c r="H311" s="12" t="str">
        <f>IF(G311="","",IFERROR(DATEDIF(IF(ISNUMBER(G311),G311,DATEVALUE(G311)),TODAY(),"Y"),""))</f>
      </c>
      <c r="O311" t="str">
        <f>IF(OR(K311="",L311=""),"",IFERROR(VLOOKUP(K311&amp;"|"&amp;L311,Postal!$A$2:$B$1643,2,FALSE),""))</f>
      </c>
    </row>
    <row r="312">
      <c r="A312" s="8"/>
      <c r="F312" s="8"/>
      <c r="G312" s="10"/>
      <c r="H312" s="12" t="str">
        <f>IF(G312="","",IFERROR(DATEDIF(IF(ISNUMBER(G312),G312,DATEVALUE(G312)),TODAY(),"Y"),""))</f>
      </c>
      <c r="O312" t="str">
        <f>IF(OR(K312="",L312=""),"",IFERROR(VLOOKUP(K312&amp;"|"&amp;L312,Postal!$A$2:$B$1643,2,FALSE),""))</f>
      </c>
    </row>
    <row r="313">
      <c r="A313" s="8"/>
      <c r="F313" s="8"/>
      <c r="G313" s="10"/>
      <c r="H313" s="12" t="str">
        <f>IF(G313="","",IFERROR(DATEDIF(IF(ISNUMBER(G313),G313,DATEVALUE(G313)),TODAY(),"Y"),""))</f>
      </c>
      <c r="O313" t="str">
        <f>IF(OR(K313="",L313=""),"",IFERROR(VLOOKUP(K313&amp;"|"&amp;L313,Postal!$A$2:$B$1643,2,FALSE),""))</f>
      </c>
    </row>
    <row r="314">
      <c r="A314" s="8"/>
      <c r="F314" s="8"/>
      <c r="G314" s="10"/>
      <c r="H314" s="12" t="str">
        <f>IF(G314="","",IFERROR(DATEDIF(IF(ISNUMBER(G314),G314,DATEVALUE(G314)),TODAY(),"Y"),""))</f>
      </c>
      <c r="O314" t="str">
        <f>IF(OR(K314="",L314=""),"",IFERROR(VLOOKUP(K314&amp;"|"&amp;L314,Postal!$A$2:$B$1643,2,FALSE),""))</f>
      </c>
    </row>
    <row r="315">
      <c r="A315" s="8"/>
      <c r="F315" s="8"/>
      <c r="G315" s="10"/>
      <c r="H315" s="12" t="str">
        <f>IF(G315="","",IFERROR(DATEDIF(IF(ISNUMBER(G315),G315,DATEVALUE(G315)),TODAY(),"Y"),""))</f>
      </c>
      <c r="O315" t="str">
        <f>IF(OR(K315="",L315=""),"",IFERROR(VLOOKUP(K315&amp;"|"&amp;L315,Postal!$A$2:$B$1643,2,FALSE),""))</f>
      </c>
    </row>
    <row r="316">
      <c r="A316" s="8"/>
      <c r="F316" s="8"/>
      <c r="G316" s="10"/>
      <c r="H316" s="12" t="str">
        <f>IF(G316="","",IFERROR(DATEDIF(IF(ISNUMBER(G316),G316,DATEVALUE(G316)),TODAY(),"Y"),""))</f>
      </c>
      <c r="O316" t="str">
        <f>IF(OR(K316="",L316=""),"",IFERROR(VLOOKUP(K316&amp;"|"&amp;L316,Postal!$A$2:$B$1643,2,FALSE),""))</f>
      </c>
    </row>
    <row r="317">
      <c r="A317" s="8"/>
      <c r="F317" s="8"/>
      <c r="G317" s="10"/>
      <c r="H317" s="12" t="str">
        <f>IF(G317="","",IFERROR(DATEDIF(IF(ISNUMBER(G317),G317,DATEVALUE(G317)),TODAY(),"Y"),""))</f>
      </c>
      <c r="O317" t="str">
        <f>IF(OR(K317="",L317=""),"",IFERROR(VLOOKUP(K317&amp;"|"&amp;L317,Postal!$A$2:$B$1643,2,FALSE),""))</f>
      </c>
    </row>
    <row r="318">
      <c r="A318" s="8"/>
      <c r="F318" s="8"/>
      <c r="G318" s="10"/>
      <c r="H318" s="12" t="str">
        <f>IF(G318="","",IFERROR(DATEDIF(IF(ISNUMBER(G318),G318,DATEVALUE(G318)),TODAY(),"Y"),""))</f>
      </c>
      <c r="O318" t="str">
        <f>IF(OR(K318="",L318=""),"",IFERROR(VLOOKUP(K318&amp;"|"&amp;L318,Postal!$A$2:$B$1643,2,FALSE),""))</f>
      </c>
    </row>
    <row r="319">
      <c r="A319" s="8"/>
      <c r="F319" s="8"/>
      <c r="G319" s="10"/>
      <c r="H319" s="12" t="str">
        <f>IF(G319="","",IFERROR(DATEDIF(IF(ISNUMBER(G319),G319,DATEVALUE(G319)),TODAY(),"Y"),""))</f>
      </c>
      <c r="O319" t="str">
        <f>IF(OR(K319="",L319=""),"",IFERROR(VLOOKUP(K319&amp;"|"&amp;L319,Postal!$A$2:$B$1643,2,FALSE),""))</f>
      </c>
    </row>
    <row r="320">
      <c r="A320" s="8"/>
      <c r="F320" s="8"/>
      <c r="G320" s="10"/>
      <c r="H320" s="12" t="str">
        <f>IF(G320="","",IFERROR(DATEDIF(IF(ISNUMBER(G320),G320,DATEVALUE(G320)),TODAY(),"Y"),""))</f>
      </c>
      <c r="O320" t="str">
        <f>IF(OR(K320="",L320=""),"",IFERROR(VLOOKUP(K320&amp;"|"&amp;L320,Postal!$A$2:$B$1643,2,FALSE),""))</f>
      </c>
    </row>
    <row r="321">
      <c r="A321" s="8"/>
      <c r="F321" s="8"/>
      <c r="G321" s="10"/>
      <c r="H321" s="12" t="str">
        <f>IF(G321="","",IFERROR(DATEDIF(IF(ISNUMBER(G321),G321,DATEVALUE(G321)),TODAY(),"Y"),""))</f>
      </c>
      <c r="O321" t="str">
        <f>IF(OR(K321="",L321=""),"",IFERROR(VLOOKUP(K321&amp;"|"&amp;L321,Postal!$A$2:$B$1643,2,FALSE),""))</f>
      </c>
    </row>
    <row r="322">
      <c r="A322" s="8"/>
      <c r="F322" s="8"/>
      <c r="G322" s="10"/>
      <c r="H322" s="12" t="str">
        <f>IF(G322="","",IFERROR(DATEDIF(IF(ISNUMBER(G322),G322,DATEVALUE(G322)),TODAY(),"Y"),""))</f>
      </c>
      <c r="O322" t="str">
        <f>IF(OR(K322="",L322=""),"",IFERROR(VLOOKUP(K322&amp;"|"&amp;L322,Postal!$A$2:$B$1643,2,FALSE),""))</f>
      </c>
    </row>
    <row r="323">
      <c r="A323" s="8"/>
      <c r="F323" s="8"/>
      <c r="G323" s="10"/>
      <c r="H323" s="12" t="str">
        <f>IF(G323="","",IFERROR(DATEDIF(IF(ISNUMBER(G323),G323,DATEVALUE(G323)),TODAY(),"Y"),""))</f>
      </c>
      <c r="O323" t="str">
        <f>IF(OR(K323="",L323=""),"",IFERROR(VLOOKUP(K323&amp;"|"&amp;L323,Postal!$A$2:$B$1643,2,FALSE),""))</f>
      </c>
    </row>
    <row r="324">
      <c r="A324" s="8"/>
      <c r="F324" s="8"/>
      <c r="G324" s="10"/>
      <c r="H324" s="12" t="str">
        <f>IF(G324="","",IFERROR(DATEDIF(IF(ISNUMBER(G324),G324,DATEVALUE(G324)),TODAY(),"Y"),""))</f>
      </c>
      <c r="O324" t="str">
        <f>IF(OR(K324="",L324=""),"",IFERROR(VLOOKUP(K324&amp;"|"&amp;L324,Postal!$A$2:$B$1643,2,FALSE),""))</f>
      </c>
    </row>
    <row r="325">
      <c r="A325" s="8"/>
      <c r="F325" s="8"/>
      <c r="G325" s="10"/>
      <c r="H325" s="12" t="str">
        <f>IF(G325="","",IFERROR(DATEDIF(IF(ISNUMBER(G325),G325,DATEVALUE(G325)),TODAY(),"Y"),""))</f>
      </c>
      <c r="O325" t="str">
        <f>IF(OR(K325="",L325=""),"",IFERROR(VLOOKUP(K325&amp;"|"&amp;L325,Postal!$A$2:$B$1643,2,FALSE),""))</f>
      </c>
    </row>
    <row r="326">
      <c r="A326" s="8"/>
      <c r="F326" s="8"/>
      <c r="G326" s="10"/>
      <c r="H326" s="12" t="str">
        <f>IF(G326="","",IFERROR(DATEDIF(IF(ISNUMBER(G326),G326,DATEVALUE(G326)),TODAY(),"Y"),""))</f>
      </c>
      <c r="O326" t="str">
        <f>IF(OR(K326="",L326=""),"",IFERROR(VLOOKUP(K326&amp;"|"&amp;L326,Postal!$A$2:$B$1643,2,FALSE),""))</f>
      </c>
    </row>
    <row r="327">
      <c r="A327" s="8"/>
      <c r="F327" s="8"/>
      <c r="G327" s="10"/>
      <c r="H327" s="12" t="str">
        <f>IF(G327="","",IFERROR(DATEDIF(IF(ISNUMBER(G327),G327,DATEVALUE(G327)),TODAY(),"Y"),""))</f>
      </c>
      <c r="O327" t="str">
        <f>IF(OR(K327="",L327=""),"",IFERROR(VLOOKUP(K327&amp;"|"&amp;L327,Postal!$A$2:$B$1643,2,FALSE),""))</f>
      </c>
    </row>
    <row r="328">
      <c r="A328" s="8"/>
      <c r="F328" s="8"/>
      <c r="G328" s="10"/>
      <c r="H328" s="12" t="str">
        <f>IF(G328="","",IFERROR(DATEDIF(IF(ISNUMBER(G328),G328,DATEVALUE(G328)),TODAY(),"Y"),""))</f>
      </c>
      <c r="O328" t="str">
        <f>IF(OR(K328="",L328=""),"",IFERROR(VLOOKUP(K328&amp;"|"&amp;L328,Postal!$A$2:$B$1643,2,FALSE),""))</f>
      </c>
    </row>
    <row r="329">
      <c r="A329" s="8"/>
      <c r="F329" s="8"/>
      <c r="G329" s="10"/>
      <c r="H329" s="12" t="str">
        <f>IF(G329="","",IFERROR(DATEDIF(IF(ISNUMBER(G329),G329,DATEVALUE(G329)),TODAY(),"Y"),""))</f>
      </c>
      <c r="O329" t="str">
        <f>IF(OR(K329="",L329=""),"",IFERROR(VLOOKUP(K329&amp;"|"&amp;L329,Postal!$A$2:$B$1643,2,FALSE),""))</f>
      </c>
    </row>
    <row r="330">
      <c r="A330" s="8"/>
      <c r="F330" s="8"/>
      <c r="G330" s="10"/>
      <c r="H330" s="12" t="str">
        <f>IF(G330="","",IFERROR(DATEDIF(IF(ISNUMBER(G330),G330,DATEVALUE(G330)),TODAY(),"Y"),""))</f>
      </c>
      <c r="O330" t="str">
        <f>IF(OR(K330="",L330=""),"",IFERROR(VLOOKUP(K330&amp;"|"&amp;L330,Postal!$A$2:$B$1643,2,FALSE),""))</f>
      </c>
    </row>
    <row r="331">
      <c r="A331" s="8"/>
      <c r="F331" s="8"/>
      <c r="G331" s="10"/>
      <c r="H331" s="12" t="str">
        <f>IF(G331="","",IFERROR(DATEDIF(IF(ISNUMBER(G331),G331,DATEVALUE(G331)),TODAY(),"Y"),""))</f>
      </c>
      <c r="O331" t="str">
        <f>IF(OR(K331="",L331=""),"",IFERROR(VLOOKUP(K331&amp;"|"&amp;L331,Postal!$A$2:$B$1643,2,FALSE),""))</f>
      </c>
    </row>
    <row r="332">
      <c r="A332" s="8"/>
      <c r="F332" s="8"/>
      <c r="G332" s="10"/>
      <c r="H332" s="12" t="str">
        <f>IF(G332="","",IFERROR(DATEDIF(IF(ISNUMBER(G332),G332,DATEVALUE(G332)),TODAY(),"Y"),""))</f>
      </c>
      <c r="O332" t="str">
        <f>IF(OR(K332="",L332=""),"",IFERROR(VLOOKUP(K332&amp;"|"&amp;L332,Postal!$A$2:$B$1643,2,FALSE),""))</f>
      </c>
    </row>
    <row r="333">
      <c r="A333" s="8"/>
      <c r="F333" s="8"/>
      <c r="G333" s="10"/>
      <c r="H333" s="12" t="str">
        <f>IF(G333="","",IFERROR(DATEDIF(IF(ISNUMBER(G333),G333,DATEVALUE(G333)),TODAY(),"Y"),""))</f>
      </c>
      <c r="O333" t="str">
        <f>IF(OR(K333="",L333=""),"",IFERROR(VLOOKUP(K333&amp;"|"&amp;L333,Postal!$A$2:$B$1643,2,FALSE),""))</f>
      </c>
    </row>
    <row r="334">
      <c r="A334" s="8"/>
      <c r="F334" s="8"/>
      <c r="G334" s="10"/>
      <c r="H334" s="12" t="str">
        <f>IF(G334="","",IFERROR(DATEDIF(IF(ISNUMBER(G334),G334,DATEVALUE(G334)),TODAY(),"Y"),""))</f>
      </c>
      <c r="O334" t="str">
        <f>IF(OR(K334="",L334=""),"",IFERROR(VLOOKUP(K334&amp;"|"&amp;L334,Postal!$A$2:$B$1643,2,FALSE),""))</f>
      </c>
    </row>
    <row r="335">
      <c r="A335" s="8"/>
      <c r="F335" s="8"/>
      <c r="G335" s="10"/>
      <c r="H335" s="12" t="str">
        <f>IF(G335="","",IFERROR(DATEDIF(IF(ISNUMBER(G335),G335,DATEVALUE(G335)),TODAY(),"Y"),""))</f>
      </c>
      <c r="O335" t="str">
        <f>IF(OR(K335="",L335=""),"",IFERROR(VLOOKUP(K335&amp;"|"&amp;L335,Postal!$A$2:$B$1643,2,FALSE),""))</f>
      </c>
    </row>
    <row r="336">
      <c r="A336" s="8"/>
      <c r="F336" s="8"/>
      <c r="G336" s="10"/>
      <c r="H336" s="12" t="str">
        <f>IF(G336="","",IFERROR(DATEDIF(IF(ISNUMBER(G336),G336,DATEVALUE(G336)),TODAY(),"Y"),""))</f>
      </c>
      <c r="O336" t="str">
        <f>IF(OR(K336="",L336=""),"",IFERROR(VLOOKUP(K336&amp;"|"&amp;L336,Postal!$A$2:$B$1643,2,FALSE),""))</f>
      </c>
    </row>
    <row r="337">
      <c r="A337" s="8"/>
      <c r="F337" s="8"/>
      <c r="G337" s="10"/>
      <c r="H337" s="12" t="str">
        <f>IF(G337="","",IFERROR(DATEDIF(IF(ISNUMBER(G337),G337,DATEVALUE(G337)),TODAY(),"Y"),""))</f>
      </c>
      <c r="O337" t="str">
        <f>IF(OR(K337="",L337=""),"",IFERROR(VLOOKUP(K337&amp;"|"&amp;L337,Postal!$A$2:$B$1643,2,FALSE),""))</f>
      </c>
    </row>
    <row r="338">
      <c r="A338" s="8"/>
      <c r="F338" s="8"/>
      <c r="G338" s="10"/>
      <c r="H338" s="12" t="str">
        <f>IF(G338="","",IFERROR(DATEDIF(IF(ISNUMBER(G338),G338,DATEVALUE(G338)),TODAY(),"Y"),""))</f>
      </c>
      <c r="O338" t="str">
        <f>IF(OR(K338="",L338=""),"",IFERROR(VLOOKUP(K338&amp;"|"&amp;L338,Postal!$A$2:$B$1643,2,FALSE),""))</f>
      </c>
    </row>
    <row r="339">
      <c r="A339" s="8"/>
      <c r="F339" s="8"/>
      <c r="G339" s="10"/>
      <c r="H339" s="12" t="str">
        <f>IF(G339="","",IFERROR(DATEDIF(IF(ISNUMBER(G339),G339,DATEVALUE(G339)),TODAY(),"Y"),""))</f>
      </c>
      <c r="O339" t="str">
        <f>IF(OR(K339="",L339=""),"",IFERROR(VLOOKUP(K339&amp;"|"&amp;L339,Postal!$A$2:$B$1643,2,FALSE),""))</f>
      </c>
    </row>
    <row r="340">
      <c r="A340" s="8"/>
      <c r="F340" s="8"/>
      <c r="G340" s="10"/>
      <c r="H340" s="12" t="str">
        <f>IF(G340="","",IFERROR(DATEDIF(IF(ISNUMBER(G340),G340,DATEVALUE(G340)),TODAY(),"Y"),""))</f>
      </c>
      <c r="O340" t="str">
        <f>IF(OR(K340="",L340=""),"",IFERROR(VLOOKUP(K340&amp;"|"&amp;L340,Postal!$A$2:$B$1643,2,FALSE),""))</f>
      </c>
    </row>
    <row r="341">
      <c r="A341" s="8"/>
      <c r="F341" s="8"/>
      <c r="G341" s="10"/>
      <c r="H341" s="12" t="str">
        <f>IF(G341="","",IFERROR(DATEDIF(IF(ISNUMBER(G341),G341,DATEVALUE(G341)),TODAY(),"Y"),""))</f>
      </c>
      <c r="O341" t="str">
        <f>IF(OR(K341="",L341=""),"",IFERROR(VLOOKUP(K341&amp;"|"&amp;L341,Postal!$A$2:$B$1643,2,FALSE),""))</f>
      </c>
    </row>
    <row r="342">
      <c r="A342" s="8"/>
      <c r="F342" s="8"/>
      <c r="G342" s="10"/>
      <c r="H342" s="12" t="str">
        <f>IF(G342="","",IFERROR(DATEDIF(IF(ISNUMBER(G342),G342,DATEVALUE(G342)),TODAY(),"Y"),""))</f>
      </c>
      <c r="O342" t="str">
        <f>IF(OR(K342="",L342=""),"",IFERROR(VLOOKUP(K342&amp;"|"&amp;L342,Postal!$A$2:$B$1643,2,FALSE),""))</f>
      </c>
    </row>
    <row r="343">
      <c r="A343" s="8"/>
      <c r="F343" s="8"/>
      <c r="G343" s="10"/>
      <c r="H343" s="12" t="str">
        <f>IF(G343="","",IFERROR(DATEDIF(IF(ISNUMBER(G343),G343,DATEVALUE(G343)),TODAY(),"Y"),""))</f>
      </c>
      <c r="O343" t="str">
        <f>IF(OR(K343="",L343=""),"",IFERROR(VLOOKUP(K343&amp;"|"&amp;L343,Postal!$A$2:$B$1643,2,FALSE),""))</f>
      </c>
    </row>
    <row r="344">
      <c r="A344" s="8"/>
      <c r="F344" s="8"/>
      <c r="G344" s="10"/>
      <c r="H344" s="12" t="str">
        <f>IF(G344="","",IFERROR(DATEDIF(IF(ISNUMBER(G344),G344,DATEVALUE(G344)),TODAY(),"Y"),""))</f>
      </c>
      <c r="O344" t="str">
        <f>IF(OR(K344="",L344=""),"",IFERROR(VLOOKUP(K344&amp;"|"&amp;L344,Postal!$A$2:$B$1643,2,FALSE),""))</f>
      </c>
    </row>
    <row r="345">
      <c r="A345" s="8"/>
      <c r="F345" s="8"/>
      <c r="G345" s="10"/>
      <c r="H345" s="12" t="str">
        <f>IF(G345="","",IFERROR(DATEDIF(IF(ISNUMBER(G345),G345,DATEVALUE(G345)),TODAY(),"Y"),""))</f>
      </c>
      <c r="O345" t="str">
        <f>IF(OR(K345="",L345=""),"",IFERROR(VLOOKUP(K345&amp;"|"&amp;L345,Postal!$A$2:$B$1643,2,FALSE),""))</f>
      </c>
    </row>
    <row r="346">
      <c r="A346" s="8"/>
      <c r="F346" s="8"/>
      <c r="G346" s="10"/>
      <c r="H346" s="12" t="str">
        <f>IF(G346="","",IFERROR(DATEDIF(IF(ISNUMBER(G346),G346,DATEVALUE(G346)),TODAY(),"Y"),""))</f>
      </c>
      <c r="O346" t="str">
        <f>IF(OR(K346="",L346=""),"",IFERROR(VLOOKUP(K346&amp;"|"&amp;L346,Postal!$A$2:$B$1643,2,FALSE),""))</f>
      </c>
    </row>
    <row r="347">
      <c r="A347" s="8"/>
      <c r="F347" s="8"/>
      <c r="G347" s="10"/>
      <c r="H347" s="12" t="str">
        <f>IF(G347="","",IFERROR(DATEDIF(IF(ISNUMBER(G347),G347,DATEVALUE(G347)),TODAY(),"Y"),""))</f>
      </c>
      <c r="O347" t="str">
        <f>IF(OR(K347="",L347=""),"",IFERROR(VLOOKUP(K347&amp;"|"&amp;L347,Postal!$A$2:$B$1643,2,FALSE),""))</f>
      </c>
    </row>
    <row r="348">
      <c r="A348" s="8"/>
      <c r="F348" s="8"/>
      <c r="G348" s="10"/>
      <c r="H348" s="12" t="str">
        <f>IF(G348="","",IFERROR(DATEDIF(IF(ISNUMBER(G348),G348,DATEVALUE(G348)),TODAY(),"Y"),""))</f>
      </c>
      <c r="O348" t="str">
        <f>IF(OR(K348="",L348=""),"",IFERROR(VLOOKUP(K348&amp;"|"&amp;L348,Postal!$A$2:$B$1643,2,FALSE),""))</f>
      </c>
    </row>
    <row r="349">
      <c r="A349" s="8"/>
      <c r="F349" s="8"/>
      <c r="G349" s="10"/>
      <c r="H349" s="12" t="str">
        <f>IF(G349="","",IFERROR(DATEDIF(IF(ISNUMBER(G349),G349,DATEVALUE(G349)),TODAY(),"Y"),""))</f>
      </c>
      <c r="O349" t="str">
        <f>IF(OR(K349="",L349=""),"",IFERROR(VLOOKUP(K349&amp;"|"&amp;L349,Postal!$A$2:$B$1643,2,FALSE),""))</f>
      </c>
    </row>
    <row r="350">
      <c r="A350" s="8"/>
      <c r="F350" s="8"/>
      <c r="G350" s="10"/>
      <c r="H350" s="12" t="str">
        <f>IF(G350="","",IFERROR(DATEDIF(IF(ISNUMBER(G350),G350,DATEVALUE(G350)),TODAY(),"Y"),""))</f>
      </c>
      <c r="O350" t="str">
        <f>IF(OR(K350="",L350=""),"",IFERROR(VLOOKUP(K350&amp;"|"&amp;L350,Postal!$A$2:$B$1643,2,FALSE),""))</f>
      </c>
    </row>
    <row r="351">
      <c r="A351" s="8"/>
      <c r="F351" s="8"/>
      <c r="G351" s="10"/>
      <c r="H351" s="12" t="str">
        <f>IF(G351="","",IFERROR(DATEDIF(IF(ISNUMBER(G351),G351,DATEVALUE(G351)),TODAY(),"Y"),""))</f>
      </c>
      <c r="O351" t="str">
        <f>IF(OR(K351="",L351=""),"",IFERROR(VLOOKUP(K351&amp;"|"&amp;L351,Postal!$A$2:$B$1643,2,FALSE),""))</f>
      </c>
    </row>
    <row r="352">
      <c r="A352" s="8"/>
      <c r="F352" s="8"/>
      <c r="G352" s="10"/>
      <c r="H352" s="12" t="str">
        <f>IF(G352="","",IFERROR(DATEDIF(IF(ISNUMBER(G352),G352,DATEVALUE(G352)),TODAY(),"Y"),""))</f>
      </c>
      <c r="O352" t="str">
        <f>IF(OR(K352="",L352=""),"",IFERROR(VLOOKUP(K352&amp;"|"&amp;L352,Postal!$A$2:$B$1643,2,FALSE),""))</f>
      </c>
    </row>
    <row r="353">
      <c r="A353" s="8"/>
      <c r="F353" s="8"/>
      <c r="G353" s="10"/>
      <c r="H353" s="12" t="str">
        <f>IF(G353="","",IFERROR(DATEDIF(IF(ISNUMBER(G353),G353,DATEVALUE(G353)),TODAY(),"Y"),""))</f>
      </c>
      <c r="O353" t="str">
        <f>IF(OR(K353="",L353=""),"",IFERROR(VLOOKUP(K353&amp;"|"&amp;L353,Postal!$A$2:$B$1643,2,FALSE),""))</f>
      </c>
    </row>
    <row r="354">
      <c r="A354" s="8"/>
      <c r="F354" s="8"/>
      <c r="G354" s="10"/>
      <c r="H354" s="12" t="str">
        <f>IF(G354="","",IFERROR(DATEDIF(IF(ISNUMBER(G354),G354,DATEVALUE(G354)),TODAY(),"Y"),""))</f>
      </c>
      <c r="O354" t="str">
        <f>IF(OR(K354="",L354=""),"",IFERROR(VLOOKUP(K354&amp;"|"&amp;L354,Postal!$A$2:$B$1643,2,FALSE),""))</f>
      </c>
    </row>
    <row r="355">
      <c r="A355" s="8"/>
      <c r="F355" s="8"/>
      <c r="G355" s="10"/>
      <c r="H355" s="12" t="str">
        <f>IF(G355="","",IFERROR(DATEDIF(IF(ISNUMBER(G355),G355,DATEVALUE(G355)),TODAY(),"Y"),""))</f>
      </c>
      <c r="O355" t="str">
        <f>IF(OR(K355="",L355=""),"",IFERROR(VLOOKUP(K355&amp;"|"&amp;L355,Postal!$A$2:$B$1643,2,FALSE),""))</f>
      </c>
    </row>
    <row r="356">
      <c r="A356" s="8"/>
      <c r="F356" s="8"/>
      <c r="G356" s="10"/>
      <c r="H356" s="12" t="str">
        <f>IF(G356="","",IFERROR(DATEDIF(IF(ISNUMBER(G356),G356,DATEVALUE(G356)),TODAY(),"Y"),""))</f>
      </c>
      <c r="O356" t="str">
        <f>IF(OR(K356="",L356=""),"",IFERROR(VLOOKUP(K356&amp;"|"&amp;L356,Postal!$A$2:$B$1643,2,FALSE),""))</f>
      </c>
    </row>
    <row r="357">
      <c r="A357" s="8"/>
      <c r="F357" s="8"/>
      <c r="G357" s="10"/>
      <c r="H357" s="12" t="str">
        <f>IF(G357="","",IFERROR(DATEDIF(IF(ISNUMBER(G357),G357,DATEVALUE(G357)),TODAY(),"Y"),""))</f>
      </c>
      <c r="O357" t="str">
        <f>IF(OR(K357="",L357=""),"",IFERROR(VLOOKUP(K357&amp;"|"&amp;L357,Postal!$A$2:$B$1643,2,FALSE),""))</f>
      </c>
    </row>
    <row r="358">
      <c r="A358" s="8"/>
      <c r="F358" s="8"/>
      <c r="G358" s="10"/>
      <c r="H358" s="12" t="str">
        <f>IF(G358="","",IFERROR(DATEDIF(IF(ISNUMBER(G358),G358,DATEVALUE(G358)),TODAY(),"Y"),""))</f>
      </c>
      <c r="O358" t="str">
        <f>IF(OR(K358="",L358=""),"",IFERROR(VLOOKUP(K358&amp;"|"&amp;L358,Postal!$A$2:$B$1643,2,FALSE),""))</f>
      </c>
    </row>
    <row r="359">
      <c r="A359" s="8"/>
      <c r="F359" s="8"/>
      <c r="G359" s="10"/>
      <c r="H359" s="12" t="str">
        <f>IF(G359="","",IFERROR(DATEDIF(IF(ISNUMBER(G359),G359,DATEVALUE(G359)),TODAY(),"Y"),""))</f>
      </c>
      <c r="O359" t="str">
        <f>IF(OR(K359="",L359=""),"",IFERROR(VLOOKUP(K359&amp;"|"&amp;L359,Postal!$A$2:$B$1643,2,FALSE),""))</f>
      </c>
    </row>
    <row r="360">
      <c r="A360" s="8"/>
      <c r="F360" s="8"/>
      <c r="G360" s="10"/>
      <c r="H360" s="12" t="str">
        <f>IF(G360="","",IFERROR(DATEDIF(IF(ISNUMBER(G360),G360,DATEVALUE(G360)),TODAY(),"Y"),""))</f>
      </c>
      <c r="O360" t="str">
        <f>IF(OR(K360="",L360=""),"",IFERROR(VLOOKUP(K360&amp;"|"&amp;L360,Postal!$A$2:$B$1643,2,FALSE),""))</f>
      </c>
    </row>
    <row r="361">
      <c r="A361" s="8"/>
      <c r="F361" s="8"/>
      <c r="G361" s="10"/>
      <c r="H361" s="12" t="str">
        <f>IF(G361="","",IFERROR(DATEDIF(IF(ISNUMBER(G361),G361,DATEVALUE(G361)),TODAY(),"Y"),""))</f>
      </c>
      <c r="O361" t="str">
        <f>IF(OR(K361="",L361=""),"",IFERROR(VLOOKUP(K361&amp;"|"&amp;L361,Postal!$A$2:$B$1643,2,FALSE),""))</f>
      </c>
    </row>
    <row r="362">
      <c r="A362" s="8"/>
      <c r="F362" s="8"/>
      <c r="G362" s="10"/>
      <c r="H362" s="12" t="str">
        <f>IF(G362="","",IFERROR(DATEDIF(IF(ISNUMBER(G362),G362,DATEVALUE(G362)),TODAY(),"Y"),""))</f>
      </c>
      <c r="O362" t="str">
        <f>IF(OR(K362="",L362=""),"",IFERROR(VLOOKUP(K362&amp;"|"&amp;L362,Postal!$A$2:$B$1643,2,FALSE),""))</f>
      </c>
    </row>
    <row r="363">
      <c r="A363" s="8"/>
      <c r="F363" s="8"/>
      <c r="G363" s="10"/>
      <c r="H363" s="12" t="str">
        <f>IF(G363="","",IFERROR(DATEDIF(IF(ISNUMBER(G363),G363,DATEVALUE(G363)),TODAY(),"Y"),""))</f>
      </c>
      <c r="O363" t="str">
        <f>IF(OR(K363="",L363=""),"",IFERROR(VLOOKUP(K363&amp;"|"&amp;L363,Postal!$A$2:$B$1643,2,FALSE),""))</f>
      </c>
    </row>
    <row r="364">
      <c r="A364" s="8"/>
      <c r="F364" s="8"/>
      <c r="G364" s="10"/>
      <c r="H364" s="12" t="str">
        <f>IF(G364="","",IFERROR(DATEDIF(IF(ISNUMBER(G364),G364,DATEVALUE(G364)),TODAY(),"Y"),""))</f>
      </c>
      <c r="O364" t="str">
        <f>IF(OR(K364="",L364=""),"",IFERROR(VLOOKUP(K364&amp;"|"&amp;L364,Postal!$A$2:$B$1643,2,FALSE),""))</f>
      </c>
    </row>
    <row r="365">
      <c r="A365" s="8"/>
      <c r="F365" s="8"/>
      <c r="G365" s="10"/>
      <c r="H365" s="12" t="str">
        <f>IF(G365="","",IFERROR(DATEDIF(IF(ISNUMBER(G365),G365,DATEVALUE(G365)),TODAY(),"Y"),""))</f>
      </c>
      <c r="O365" t="str">
        <f>IF(OR(K365="",L365=""),"",IFERROR(VLOOKUP(K365&amp;"|"&amp;L365,Postal!$A$2:$B$1643,2,FALSE),""))</f>
      </c>
    </row>
    <row r="366">
      <c r="A366" s="8"/>
      <c r="F366" s="8"/>
      <c r="G366" s="10"/>
      <c r="H366" s="12" t="str">
        <f>IF(G366="","",IFERROR(DATEDIF(IF(ISNUMBER(G366),G366,DATEVALUE(G366)),TODAY(),"Y"),""))</f>
      </c>
      <c r="O366" t="str">
        <f>IF(OR(K366="",L366=""),"",IFERROR(VLOOKUP(K366&amp;"|"&amp;L366,Postal!$A$2:$B$1643,2,FALSE),""))</f>
      </c>
    </row>
    <row r="367">
      <c r="A367" s="8"/>
      <c r="F367" s="8"/>
      <c r="G367" s="10"/>
      <c r="H367" s="12" t="str">
        <f>IF(G367="","",IFERROR(DATEDIF(IF(ISNUMBER(G367),G367,DATEVALUE(G367)),TODAY(),"Y"),""))</f>
      </c>
      <c r="O367" t="str">
        <f>IF(OR(K367="",L367=""),"",IFERROR(VLOOKUP(K367&amp;"|"&amp;L367,Postal!$A$2:$B$1643,2,FALSE),""))</f>
      </c>
    </row>
    <row r="368">
      <c r="A368" s="8"/>
      <c r="F368" s="8"/>
      <c r="G368" s="10"/>
      <c r="H368" s="12" t="str">
        <f>IF(G368="","",IFERROR(DATEDIF(IF(ISNUMBER(G368),G368,DATEVALUE(G368)),TODAY(),"Y"),""))</f>
      </c>
      <c r="O368" t="str">
        <f>IF(OR(K368="",L368=""),"",IFERROR(VLOOKUP(K368&amp;"|"&amp;L368,Postal!$A$2:$B$1643,2,FALSE),""))</f>
      </c>
    </row>
    <row r="369">
      <c r="A369" s="8"/>
      <c r="F369" s="8"/>
      <c r="G369" s="10"/>
      <c r="H369" s="12" t="str">
        <f>IF(G369="","",IFERROR(DATEDIF(IF(ISNUMBER(G369),G369,DATEVALUE(G369)),TODAY(),"Y"),""))</f>
      </c>
      <c r="O369" t="str">
        <f>IF(OR(K369="",L369=""),"",IFERROR(VLOOKUP(K369&amp;"|"&amp;L369,Postal!$A$2:$B$1643,2,FALSE),""))</f>
      </c>
    </row>
    <row r="370">
      <c r="A370" s="8"/>
      <c r="F370" s="8"/>
      <c r="G370" s="10"/>
      <c r="H370" s="12" t="str">
        <f>IF(G370="","",IFERROR(DATEDIF(IF(ISNUMBER(G370),G370,DATEVALUE(G370)),TODAY(),"Y"),""))</f>
      </c>
      <c r="O370" t="str">
        <f>IF(OR(K370="",L370=""),"",IFERROR(VLOOKUP(K370&amp;"|"&amp;L370,Postal!$A$2:$B$1643,2,FALSE),""))</f>
      </c>
    </row>
    <row r="371">
      <c r="A371" s="8"/>
      <c r="F371" s="8"/>
      <c r="G371" s="10"/>
      <c r="H371" s="12" t="str">
        <f>IF(G371="","",IFERROR(DATEDIF(IF(ISNUMBER(G371),G371,DATEVALUE(G371)),TODAY(),"Y"),""))</f>
      </c>
      <c r="O371" t="str">
        <f>IF(OR(K371="",L371=""),"",IFERROR(VLOOKUP(K371&amp;"|"&amp;L371,Postal!$A$2:$B$1643,2,FALSE),""))</f>
      </c>
    </row>
    <row r="372">
      <c r="A372" s="8"/>
      <c r="F372" s="8"/>
      <c r="G372" s="10"/>
      <c r="H372" s="12" t="str">
        <f>IF(G372="","",IFERROR(DATEDIF(IF(ISNUMBER(G372),G372,DATEVALUE(G372)),TODAY(),"Y"),""))</f>
      </c>
      <c r="O372" t="str">
        <f>IF(OR(K372="",L372=""),"",IFERROR(VLOOKUP(K372&amp;"|"&amp;L372,Postal!$A$2:$B$1643,2,FALSE),""))</f>
      </c>
    </row>
    <row r="373">
      <c r="A373" s="8"/>
      <c r="F373" s="8"/>
      <c r="G373" s="10"/>
      <c r="H373" s="12" t="str">
        <f>IF(G373="","",IFERROR(DATEDIF(IF(ISNUMBER(G373),G373,DATEVALUE(G373)),TODAY(),"Y"),""))</f>
      </c>
      <c r="O373" t="str">
        <f>IF(OR(K373="",L373=""),"",IFERROR(VLOOKUP(K373&amp;"|"&amp;L373,Postal!$A$2:$B$1643,2,FALSE),""))</f>
      </c>
    </row>
    <row r="374">
      <c r="A374" s="8"/>
      <c r="F374" s="8"/>
      <c r="G374" s="10"/>
      <c r="H374" s="12" t="str">
        <f>IF(G374="","",IFERROR(DATEDIF(IF(ISNUMBER(G374),G374,DATEVALUE(G374)),TODAY(),"Y"),""))</f>
      </c>
      <c r="O374" t="str">
        <f>IF(OR(K374="",L374=""),"",IFERROR(VLOOKUP(K374&amp;"|"&amp;L374,Postal!$A$2:$B$1643,2,FALSE),""))</f>
      </c>
    </row>
    <row r="375">
      <c r="A375" s="8"/>
      <c r="F375" s="8"/>
      <c r="G375" s="10"/>
      <c r="H375" s="12" t="str">
        <f>IF(G375="","",IFERROR(DATEDIF(IF(ISNUMBER(G375),G375,DATEVALUE(G375)),TODAY(),"Y"),""))</f>
      </c>
      <c r="O375" t="str">
        <f>IF(OR(K375="",L375=""),"",IFERROR(VLOOKUP(K375&amp;"|"&amp;L375,Postal!$A$2:$B$1643,2,FALSE),""))</f>
      </c>
    </row>
    <row r="376">
      <c r="A376" s="8"/>
      <c r="F376" s="8"/>
      <c r="G376" s="10"/>
      <c r="H376" s="12" t="str">
        <f>IF(G376="","",IFERROR(DATEDIF(IF(ISNUMBER(G376),G376,DATEVALUE(G376)),TODAY(),"Y"),""))</f>
      </c>
      <c r="O376" t="str">
        <f>IF(OR(K376="",L376=""),"",IFERROR(VLOOKUP(K376&amp;"|"&amp;L376,Postal!$A$2:$B$1643,2,FALSE),""))</f>
      </c>
    </row>
    <row r="377">
      <c r="A377" s="8"/>
      <c r="F377" s="8"/>
      <c r="G377" s="10"/>
      <c r="H377" s="12" t="str">
        <f>IF(G377="","",IFERROR(DATEDIF(IF(ISNUMBER(G377),G377,DATEVALUE(G377)),TODAY(),"Y"),""))</f>
      </c>
      <c r="O377" t="str">
        <f>IF(OR(K377="",L377=""),"",IFERROR(VLOOKUP(K377&amp;"|"&amp;L377,Postal!$A$2:$B$1643,2,FALSE),""))</f>
      </c>
    </row>
    <row r="378">
      <c r="A378" s="8"/>
      <c r="F378" s="8"/>
      <c r="G378" s="10"/>
      <c r="H378" s="12" t="str">
        <f>IF(G378="","",IFERROR(DATEDIF(IF(ISNUMBER(G378),G378,DATEVALUE(G378)),TODAY(),"Y"),""))</f>
      </c>
      <c r="O378" t="str">
        <f>IF(OR(K378="",L378=""),"",IFERROR(VLOOKUP(K378&amp;"|"&amp;L378,Postal!$A$2:$B$1643,2,FALSE),""))</f>
      </c>
    </row>
    <row r="379">
      <c r="A379" s="8"/>
      <c r="F379" s="8"/>
      <c r="G379" s="10"/>
      <c r="H379" s="12" t="str">
        <f>IF(G379="","",IFERROR(DATEDIF(IF(ISNUMBER(G379),G379,DATEVALUE(G379)),TODAY(),"Y"),""))</f>
      </c>
      <c r="O379" t="str">
        <f>IF(OR(K379="",L379=""),"",IFERROR(VLOOKUP(K379&amp;"|"&amp;L379,Postal!$A$2:$B$1643,2,FALSE),""))</f>
      </c>
    </row>
    <row r="380">
      <c r="A380" s="8"/>
      <c r="F380" s="8"/>
      <c r="G380" s="10"/>
      <c r="H380" s="12" t="str">
        <f>IF(G380="","",IFERROR(DATEDIF(IF(ISNUMBER(G380),G380,DATEVALUE(G380)),TODAY(),"Y"),""))</f>
      </c>
      <c r="O380" t="str">
        <f>IF(OR(K380="",L380=""),"",IFERROR(VLOOKUP(K380&amp;"|"&amp;L380,Postal!$A$2:$B$1643,2,FALSE),""))</f>
      </c>
    </row>
    <row r="381">
      <c r="A381" s="8"/>
      <c r="F381" s="8"/>
      <c r="G381" s="10"/>
      <c r="H381" s="12" t="str">
        <f>IF(G381="","",IFERROR(DATEDIF(IF(ISNUMBER(G381),G381,DATEVALUE(G381)),TODAY(),"Y"),""))</f>
      </c>
      <c r="O381" t="str">
        <f>IF(OR(K381="",L381=""),"",IFERROR(VLOOKUP(K381&amp;"|"&amp;L381,Postal!$A$2:$B$1643,2,FALSE),""))</f>
      </c>
    </row>
    <row r="382">
      <c r="A382" s="8"/>
      <c r="F382" s="8"/>
      <c r="G382" s="10"/>
      <c r="H382" s="12" t="str">
        <f>IF(G382="","",IFERROR(DATEDIF(IF(ISNUMBER(G382),G382,DATEVALUE(G382)),TODAY(),"Y"),""))</f>
      </c>
      <c r="O382" t="str">
        <f>IF(OR(K382="",L382=""),"",IFERROR(VLOOKUP(K382&amp;"|"&amp;L382,Postal!$A$2:$B$1643,2,FALSE),""))</f>
      </c>
    </row>
    <row r="383">
      <c r="A383" s="8"/>
      <c r="F383" s="8"/>
      <c r="G383" s="10"/>
      <c r="H383" s="12" t="str">
        <f>IF(G383="","",IFERROR(DATEDIF(IF(ISNUMBER(G383),G383,DATEVALUE(G383)),TODAY(),"Y"),""))</f>
      </c>
      <c r="O383" t="str">
        <f>IF(OR(K383="",L383=""),"",IFERROR(VLOOKUP(K383&amp;"|"&amp;L383,Postal!$A$2:$B$1643,2,FALSE),""))</f>
      </c>
    </row>
    <row r="384">
      <c r="A384" s="8"/>
      <c r="F384" s="8"/>
      <c r="G384" s="10"/>
      <c r="H384" s="12" t="str">
        <f>IF(G384="","",IFERROR(DATEDIF(IF(ISNUMBER(G384),G384,DATEVALUE(G384)),TODAY(),"Y"),""))</f>
      </c>
      <c r="O384" t="str">
        <f>IF(OR(K384="",L384=""),"",IFERROR(VLOOKUP(K384&amp;"|"&amp;L384,Postal!$A$2:$B$1643,2,FALSE),""))</f>
      </c>
    </row>
    <row r="385">
      <c r="A385" s="8"/>
      <c r="F385" s="8"/>
      <c r="G385" s="10"/>
      <c r="H385" s="12" t="str">
        <f>IF(G385="","",IFERROR(DATEDIF(IF(ISNUMBER(G385),G385,DATEVALUE(G385)),TODAY(),"Y"),""))</f>
      </c>
      <c r="O385" t="str">
        <f>IF(OR(K385="",L385=""),"",IFERROR(VLOOKUP(K385&amp;"|"&amp;L385,Postal!$A$2:$B$1643,2,FALSE),""))</f>
      </c>
    </row>
    <row r="386">
      <c r="A386" s="8"/>
      <c r="F386" s="8"/>
      <c r="G386" s="10"/>
      <c r="H386" s="12" t="str">
        <f>IF(G386="","",IFERROR(DATEDIF(IF(ISNUMBER(G386),G386,DATEVALUE(G386)),TODAY(),"Y"),""))</f>
      </c>
      <c r="O386" t="str">
        <f>IF(OR(K386="",L386=""),"",IFERROR(VLOOKUP(K386&amp;"|"&amp;L386,Postal!$A$2:$B$1643,2,FALSE),""))</f>
      </c>
    </row>
    <row r="387">
      <c r="A387" s="8"/>
      <c r="F387" s="8"/>
      <c r="G387" s="10"/>
      <c r="H387" s="12" t="str">
        <f>IF(G387="","",IFERROR(DATEDIF(IF(ISNUMBER(G387),G387,DATEVALUE(G387)),TODAY(),"Y"),""))</f>
      </c>
      <c r="O387" t="str">
        <f>IF(OR(K387="",L387=""),"",IFERROR(VLOOKUP(K387&amp;"|"&amp;L387,Postal!$A$2:$B$1643,2,FALSE),""))</f>
      </c>
    </row>
    <row r="388">
      <c r="A388" s="8"/>
      <c r="F388" s="8"/>
      <c r="G388" s="10"/>
      <c r="H388" s="12" t="str">
        <f>IF(G388="","",IFERROR(DATEDIF(IF(ISNUMBER(G388),G388,DATEVALUE(G388)),TODAY(),"Y"),""))</f>
      </c>
      <c r="O388" t="str">
        <f>IF(OR(K388="",L388=""),"",IFERROR(VLOOKUP(K388&amp;"|"&amp;L388,Postal!$A$2:$B$1643,2,FALSE),""))</f>
      </c>
    </row>
    <row r="389">
      <c r="A389" s="8"/>
      <c r="F389" s="8"/>
      <c r="G389" s="10"/>
      <c r="H389" s="12" t="str">
        <f>IF(G389="","",IFERROR(DATEDIF(IF(ISNUMBER(G389),G389,DATEVALUE(G389)),TODAY(),"Y"),""))</f>
      </c>
      <c r="O389" t="str">
        <f>IF(OR(K389="",L389=""),"",IFERROR(VLOOKUP(K389&amp;"|"&amp;L389,Postal!$A$2:$B$1643,2,FALSE),""))</f>
      </c>
    </row>
    <row r="390">
      <c r="A390" s="8"/>
      <c r="F390" s="8"/>
      <c r="G390" s="10"/>
      <c r="H390" s="12" t="str">
        <f>IF(G390="","",IFERROR(DATEDIF(IF(ISNUMBER(G390),G390,DATEVALUE(G390)),TODAY(),"Y"),""))</f>
      </c>
      <c r="O390" t="str">
        <f>IF(OR(K390="",L390=""),"",IFERROR(VLOOKUP(K390&amp;"|"&amp;L390,Postal!$A$2:$B$1643,2,FALSE),""))</f>
      </c>
    </row>
    <row r="391">
      <c r="A391" s="8"/>
      <c r="F391" s="8"/>
      <c r="G391" s="10"/>
      <c r="H391" s="12" t="str">
        <f>IF(G391="","",IFERROR(DATEDIF(IF(ISNUMBER(G391),G391,DATEVALUE(G391)),TODAY(),"Y"),""))</f>
      </c>
      <c r="O391" t="str">
        <f>IF(OR(K391="",L391=""),"",IFERROR(VLOOKUP(K391&amp;"|"&amp;L391,Postal!$A$2:$B$1643,2,FALSE),""))</f>
      </c>
    </row>
    <row r="392">
      <c r="A392" s="8"/>
      <c r="F392" s="8"/>
      <c r="G392" s="10"/>
      <c r="H392" s="12" t="str">
        <f>IF(G392="","",IFERROR(DATEDIF(IF(ISNUMBER(G392),G392,DATEVALUE(G392)),TODAY(),"Y"),""))</f>
      </c>
      <c r="O392" t="str">
        <f>IF(OR(K392="",L392=""),"",IFERROR(VLOOKUP(K392&amp;"|"&amp;L392,Postal!$A$2:$B$1643,2,FALSE),""))</f>
      </c>
    </row>
    <row r="393">
      <c r="A393" s="8"/>
      <c r="F393" s="8"/>
      <c r="G393" s="10"/>
      <c r="H393" s="12" t="str">
        <f>IF(G393="","",IFERROR(DATEDIF(IF(ISNUMBER(G393),G393,DATEVALUE(G393)),TODAY(),"Y"),""))</f>
      </c>
      <c r="O393" t="str">
        <f>IF(OR(K393="",L393=""),"",IFERROR(VLOOKUP(K393&amp;"|"&amp;L393,Postal!$A$2:$B$1643,2,FALSE),""))</f>
      </c>
    </row>
    <row r="394">
      <c r="A394" s="8"/>
      <c r="F394" s="8"/>
      <c r="G394" s="10"/>
      <c r="H394" s="12" t="str">
        <f>IF(G394="","",IFERROR(DATEDIF(IF(ISNUMBER(G394),G394,DATEVALUE(G394)),TODAY(),"Y"),""))</f>
      </c>
      <c r="O394" t="str">
        <f>IF(OR(K394="",L394=""),"",IFERROR(VLOOKUP(K394&amp;"|"&amp;L394,Postal!$A$2:$B$1643,2,FALSE),""))</f>
      </c>
    </row>
    <row r="395">
      <c r="A395" s="8"/>
      <c r="F395" s="8"/>
      <c r="G395" s="10"/>
      <c r="H395" s="12" t="str">
        <f>IF(G395="","",IFERROR(DATEDIF(IF(ISNUMBER(G395),G395,DATEVALUE(G395)),TODAY(),"Y"),""))</f>
      </c>
      <c r="O395" t="str">
        <f>IF(OR(K395="",L395=""),"",IFERROR(VLOOKUP(K395&amp;"|"&amp;L395,Postal!$A$2:$B$1643,2,FALSE),""))</f>
      </c>
    </row>
    <row r="396">
      <c r="A396" s="8"/>
      <c r="F396" s="8"/>
      <c r="G396" s="10"/>
      <c r="H396" s="12" t="str">
        <f>IF(G396="","",IFERROR(DATEDIF(IF(ISNUMBER(G396),G396,DATEVALUE(G396)),TODAY(),"Y"),""))</f>
      </c>
      <c r="O396" t="str">
        <f>IF(OR(K396="",L396=""),"",IFERROR(VLOOKUP(K396&amp;"|"&amp;L396,Postal!$A$2:$B$1643,2,FALSE),""))</f>
      </c>
    </row>
    <row r="397">
      <c r="A397" s="8"/>
      <c r="F397" s="8"/>
      <c r="G397" s="10"/>
      <c r="H397" s="12" t="str">
        <f>IF(G397="","",IFERROR(DATEDIF(IF(ISNUMBER(G397),G397,DATEVALUE(G397)),TODAY(),"Y"),""))</f>
      </c>
      <c r="O397" t="str">
        <f>IF(OR(K397="",L397=""),"",IFERROR(VLOOKUP(K397&amp;"|"&amp;L397,Postal!$A$2:$B$1643,2,FALSE),""))</f>
      </c>
    </row>
    <row r="398">
      <c r="A398" s="8"/>
      <c r="F398" s="8"/>
      <c r="G398" s="10"/>
      <c r="H398" s="12" t="str">
        <f>IF(G398="","",IFERROR(DATEDIF(IF(ISNUMBER(G398),G398,DATEVALUE(G398)),TODAY(),"Y"),""))</f>
      </c>
      <c r="O398" t="str">
        <f>IF(OR(K398="",L398=""),"",IFERROR(VLOOKUP(K398&amp;"|"&amp;L398,Postal!$A$2:$B$1643,2,FALSE),""))</f>
      </c>
    </row>
    <row r="399">
      <c r="A399" s="8"/>
      <c r="F399" s="8"/>
      <c r="G399" s="10"/>
      <c r="H399" s="12" t="str">
        <f>IF(G399="","",IFERROR(DATEDIF(IF(ISNUMBER(G399),G399,DATEVALUE(G399)),TODAY(),"Y"),""))</f>
      </c>
      <c r="O399" t="str">
        <f>IF(OR(K399="",L399=""),"",IFERROR(VLOOKUP(K399&amp;"|"&amp;L399,Postal!$A$2:$B$1643,2,FALSE),""))</f>
      </c>
    </row>
    <row r="400">
      <c r="A400" s="8"/>
      <c r="F400" s="8"/>
      <c r="G400" s="10"/>
      <c r="H400" s="12" t="str">
        <f>IF(G400="","",IFERROR(DATEDIF(IF(ISNUMBER(G400),G400,DATEVALUE(G400)),TODAY(),"Y"),""))</f>
      </c>
      <c r="O400" t="str">
        <f>IF(OR(K400="",L400=""),"",IFERROR(VLOOKUP(K400&amp;"|"&amp;L400,Postal!$A$2:$B$1643,2,FALSE),""))</f>
      </c>
    </row>
    <row r="401">
      <c r="A401" s="8"/>
      <c r="F401" s="8"/>
      <c r="G401" s="10"/>
      <c r="H401" s="12" t="str">
        <f>IF(G401="","",IFERROR(DATEDIF(IF(ISNUMBER(G401),G401,DATEVALUE(G401)),TODAY(),"Y"),""))</f>
      </c>
      <c r="O401" t="str">
        <f>IF(OR(K401="",L401=""),"",IFERROR(VLOOKUP(K401&amp;"|"&amp;L401,Postal!$A$2:$B$1643,2,FALSE),""))</f>
      </c>
    </row>
    <row r="402">
      <c r="A402" s="8"/>
      <c r="F402" s="8"/>
      <c r="G402" s="10"/>
      <c r="H402" s="12" t="str">
        <f>IF(G402="","",IFERROR(DATEDIF(IF(ISNUMBER(G402),G402,DATEVALUE(G402)),TODAY(),"Y"),""))</f>
      </c>
      <c r="O402" t="str">
        <f>IF(OR(K402="",L402=""),"",IFERROR(VLOOKUP(K402&amp;"|"&amp;L402,Postal!$A$2:$B$1643,2,FALSE),""))</f>
      </c>
    </row>
    <row r="403">
      <c r="A403" s="8"/>
      <c r="F403" s="8"/>
      <c r="G403" s="10"/>
      <c r="H403" s="12" t="str">
        <f>IF(G403="","",IFERROR(DATEDIF(IF(ISNUMBER(G403),G403,DATEVALUE(G403)),TODAY(),"Y"),""))</f>
      </c>
      <c r="O403" t="str">
        <f>IF(OR(K403="",L403=""),"",IFERROR(VLOOKUP(K403&amp;"|"&amp;L403,Postal!$A$2:$B$1643,2,FALSE),""))</f>
      </c>
    </row>
    <row r="404">
      <c r="A404" s="8"/>
      <c r="F404" s="8"/>
      <c r="G404" s="10"/>
      <c r="H404" s="12" t="str">
        <f>IF(G404="","",IFERROR(DATEDIF(IF(ISNUMBER(G404),G404,DATEVALUE(G404)),TODAY(),"Y"),""))</f>
      </c>
      <c r="O404" t="str">
        <f>IF(OR(K404="",L404=""),"",IFERROR(VLOOKUP(K404&amp;"|"&amp;L404,Postal!$A$2:$B$1643,2,FALSE),""))</f>
      </c>
    </row>
    <row r="405">
      <c r="A405" s="8"/>
      <c r="F405" s="8"/>
      <c r="G405" s="10"/>
      <c r="H405" s="12" t="str">
        <f>IF(G405="","",IFERROR(DATEDIF(IF(ISNUMBER(G405),G405,DATEVALUE(G405)),TODAY(),"Y"),""))</f>
      </c>
      <c r="O405" t="str">
        <f>IF(OR(K405="",L405=""),"",IFERROR(VLOOKUP(K405&amp;"|"&amp;L405,Postal!$A$2:$B$1643,2,FALSE),""))</f>
      </c>
    </row>
    <row r="406">
      <c r="A406" s="8"/>
      <c r="F406" s="8"/>
      <c r="G406" s="10"/>
      <c r="H406" s="12" t="str">
        <f>IF(G406="","",IFERROR(DATEDIF(IF(ISNUMBER(G406),G406,DATEVALUE(G406)),TODAY(),"Y"),""))</f>
      </c>
      <c r="O406" t="str">
        <f>IF(OR(K406="",L406=""),"",IFERROR(VLOOKUP(K406&amp;"|"&amp;L406,Postal!$A$2:$B$1643,2,FALSE),""))</f>
      </c>
    </row>
    <row r="407">
      <c r="A407" s="8"/>
      <c r="F407" s="8"/>
      <c r="G407" s="10"/>
      <c r="H407" s="12" t="str">
        <f>IF(G407="","",IFERROR(DATEDIF(IF(ISNUMBER(G407),G407,DATEVALUE(G407)),TODAY(),"Y"),""))</f>
      </c>
      <c r="O407" t="str">
        <f>IF(OR(K407="",L407=""),"",IFERROR(VLOOKUP(K407&amp;"|"&amp;L407,Postal!$A$2:$B$1643,2,FALSE),""))</f>
      </c>
    </row>
    <row r="408">
      <c r="A408" s="8"/>
      <c r="F408" s="8"/>
      <c r="G408" s="10"/>
      <c r="H408" s="12" t="str">
        <f>IF(G408="","",IFERROR(DATEDIF(IF(ISNUMBER(G408),G408,DATEVALUE(G408)),TODAY(),"Y"),""))</f>
      </c>
      <c r="O408" t="str">
        <f>IF(OR(K408="",L408=""),"",IFERROR(VLOOKUP(K408&amp;"|"&amp;L408,Postal!$A$2:$B$1643,2,FALSE),""))</f>
      </c>
    </row>
    <row r="409">
      <c r="A409" s="8"/>
      <c r="F409" s="8"/>
      <c r="G409" s="10"/>
      <c r="H409" s="12" t="str">
        <f>IF(G409="","",IFERROR(DATEDIF(IF(ISNUMBER(G409),G409,DATEVALUE(G409)),TODAY(),"Y"),""))</f>
      </c>
      <c r="O409" t="str">
        <f>IF(OR(K409="",L409=""),"",IFERROR(VLOOKUP(K409&amp;"|"&amp;L409,Postal!$A$2:$B$1643,2,FALSE),""))</f>
      </c>
    </row>
    <row r="410">
      <c r="A410" s="8"/>
      <c r="F410" s="8"/>
      <c r="G410" s="10"/>
      <c r="H410" s="12" t="str">
        <f>IF(G410="","",IFERROR(DATEDIF(IF(ISNUMBER(G410),G410,DATEVALUE(G410)),TODAY(),"Y"),""))</f>
      </c>
      <c r="O410" t="str">
        <f>IF(OR(K410="",L410=""),"",IFERROR(VLOOKUP(K410&amp;"|"&amp;L410,Postal!$A$2:$B$1643,2,FALSE),""))</f>
      </c>
    </row>
    <row r="411">
      <c r="A411" s="8"/>
      <c r="F411" s="8"/>
      <c r="G411" s="10"/>
      <c r="H411" s="12" t="str">
        <f>IF(G411="","",IFERROR(DATEDIF(IF(ISNUMBER(G411),G411,DATEVALUE(G411)),TODAY(),"Y"),""))</f>
      </c>
      <c r="O411" t="str">
        <f>IF(OR(K411="",L411=""),"",IFERROR(VLOOKUP(K411&amp;"|"&amp;L411,Postal!$A$2:$B$1643,2,FALSE),""))</f>
      </c>
    </row>
    <row r="412">
      <c r="A412" s="8"/>
      <c r="F412" s="8"/>
      <c r="G412" s="10"/>
      <c r="H412" s="12" t="str">
        <f>IF(G412="","",IFERROR(DATEDIF(IF(ISNUMBER(G412),G412,DATEVALUE(G412)),TODAY(),"Y"),""))</f>
      </c>
      <c r="O412" t="str">
        <f>IF(OR(K412="",L412=""),"",IFERROR(VLOOKUP(K412&amp;"|"&amp;L412,Postal!$A$2:$B$1643,2,FALSE),""))</f>
      </c>
    </row>
    <row r="413">
      <c r="A413" s="8"/>
      <c r="F413" s="8"/>
      <c r="G413" s="10"/>
      <c r="H413" s="12" t="str">
        <f>IF(G413="","",IFERROR(DATEDIF(IF(ISNUMBER(G413),G413,DATEVALUE(G413)),TODAY(),"Y"),""))</f>
      </c>
      <c r="O413" t="str">
        <f>IF(OR(K413="",L413=""),"",IFERROR(VLOOKUP(K413&amp;"|"&amp;L413,Postal!$A$2:$B$1643,2,FALSE),""))</f>
      </c>
    </row>
    <row r="414">
      <c r="A414" s="8"/>
      <c r="F414" s="8"/>
      <c r="G414" s="10"/>
      <c r="H414" s="12" t="str">
        <f>IF(G414="","",IFERROR(DATEDIF(IF(ISNUMBER(G414),G414,DATEVALUE(G414)),TODAY(),"Y"),""))</f>
      </c>
      <c r="O414" t="str">
        <f>IF(OR(K414="",L414=""),"",IFERROR(VLOOKUP(K414&amp;"|"&amp;L414,Postal!$A$2:$B$1643,2,FALSE),""))</f>
      </c>
    </row>
    <row r="415">
      <c r="A415" s="8"/>
      <c r="F415" s="8"/>
      <c r="G415" s="10"/>
      <c r="H415" s="12" t="str">
        <f>IF(G415="","",IFERROR(DATEDIF(IF(ISNUMBER(G415),G415,DATEVALUE(G415)),TODAY(),"Y"),""))</f>
      </c>
      <c r="O415" t="str">
        <f>IF(OR(K415="",L415=""),"",IFERROR(VLOOKUP(K415&amp;"|"&amp;L415,Postal!$A$2:$B$1643,2,FALSE),""))</f>
      </c>
    </row>
    <row r="416">
      <c r="A416" s="8"/>
      <c r="F416" s="8"/>
      <c r="G416" s="10"/>
      <c r="H416" s="12" t="str">
        <f>IF(G416="","",IFERROR(DATEDIF(IF(ISNUMBER(G416),G416,DATEVALUE(G416)),TODAY(),"Y"),""))</f>
      </c>
      <c r="O416" t="str">
        <f>IF(OR(K416="",L416=""),"",IFERROR(VLOOKUP(K416&amp;"|"&amp;L416,Postal!$A$2:$B$1643,2,FALSE),""))</f>
      </c>
    </row>
    <row r="417">
      <c r="A417" s="8"/>
      <c r="F417" s="8"/>
      <c r="G417" s="10"/>
      <c r="H417" s="12" t="str">
        <f>IF(G417="","",IFERROR(DATEDIF(IF(ISNUMBER(G417),G417,DATEVALUE(G417)),TODAY(),"Y"),""))</f>
      </c>
      <c r="O417" t="str">
        <f>IF(OR(K417="",L417=""),"",IFERROR(VLOOKUP(K417&amp;"|"&amp;L417,Postal!$A$2:$B$1643,2,FALSE),""))</f>
      </c>
    </row>
    <row r="418">
      <c r="A418" s="8"/>
      <c r="F418" s="8"/>
      <c r="G418" s="10"/>
      <c r="H418" s="12" t="str">
        <f>IF(G418="","",IFERROR(DATEDIF(IF(ISNUMBER(G418),G418,DATEVALUE(G418)),TODAY(),"Y"),""))</f>
      </c>
      <c r="O418" t="str">
        <f>IF(OR(K418="",L418=""),"",IFERROR(VLOOKUP(K418&amp;"|"&amp;L418,Postal!$A$2:$B$1643,2,FALSE),""))</f>
      </c>
    </row>
    <row r="419">
      <c r="A419" s="8"/>
      <c r="F419" s="8"/>
      <c r="G419" s="10"/>
      <c r="H419" s="12" t="str">
        <f>IF(G419="","",IFERROR(DATEDIF(IF(ISNUMBER(G419),G419,DATEVALUE(G419)),TODAY(),"Y"),""))</f>
      </c>
      <c r="O419" t="str">
        <f>IF(OR(K419="",L419=""),"",IFERROR(VLOOKUP(K419&amp;"|"&amp;L419,Postal!$A$2:$B$1643,2,FALSE),""))</f>
      </c>
    </row>
    <row r="420">
      <c r="A420" s="8"/>
      <c r="F420" s="8"/>
      <c r="G420" s="10"/>
      <c r="H420" s="12" t="str">
        <f>IF(G420="","",IFERROR(DATEDIF(IF(ISNUMBER(G420),G420,DATEVALUE(G420)),TODAY(),"Y"),""))</f>
      </c>
      <c r="O420" t="str">
        <f>IF(OR(K420="",L420=""),"",IFERROR(VLOOKUP(K420&amp;"|"&amp;L420,Postal!$A$2:$B$1643,2,FALSE),""))</f>
      </c>
    </row>
    <row r="421">
      <c r="A421" s="8"/>
      <c r="F421" s="8"/>
      <c r="G421" s="10"/>
      <c r="H421" s="12" t="str">
        <f>IF(G421="","",IFERROR(DATEDIF(IF(ISNUMBER(G421),G421,DATEVALUE(G421)),TODAY(),"Y"),""))</f>
      </c>
      <c r="O421" t="str">
        <f>IF(OR(K421="",L421=""),"",IFERROR(VLOOKUP(K421&amp;"|"&amp;L421,Postal!$A$2:$B$1643,2,FALSE),""))</f>
      </c>
    </row>
    <row r="422">
      <c r="A422" s="8"/>
      <c r="F422" s="8"/>
      <c r="G422" s="10"/>
      <c r="H422" s="12" t="str">
        <f>IF(G422="","",IFERROR(DATEDIF(IF(ISNUMBER(G422),G422,DATEVALUE(G422)),TODAY(),"Y"),""))</f>
      </c>
      <c r="O422" t="str">
        <f>IF(OR(K422="",L422=""),"",IFERROR(VLOOKUP(K422&amp;"|"&amp;L422,Postal!$A$2:$B$1643,2,FALSE),""))</f>
      </c>
    </row>
    <row r="423">
      <c r="A423" s="8"/>
      <c r="F423" s="8"/>
      <c r="G423" s="10"/>
      <c r="H423" s="12" t="str">
        <f>IF(G423="","",IFERROR(DATEDIF(IF(ISNUMBER(G423),G423,DATEVALUE(G423)),TODAY(),"Y"),""))</f>
      </c>
      <c r="O423" t="str">
        <f>IF(OR(K423="",L423=""),"",IFERROR(VLOOKUP(K423&amp;"|"&amp;L423,Postal!$A$2:$B$1643,2,FALSE),""))</f>
      </c>
    </row>
    <row r="424">
      <c r="A424" s="8"/>
      <c r="F424" s="8"/>
      <c r="G424" s="10"/>
      <c r="H424" s="12" t="str">
        <f>IF(G424="","",IFERROR(DATEDIF(IF(ISNUMBER(G424),G424,DATEVALUE(G424)),TODAY(),"Y"),""))</f>
      </c>
      <c r="O424" t="str">
        <f>IF(OR(K424="",L424=""),"",IFERROR(VLOOKUP(K424&amp;"|"&amp;L424,Postal!$A$2:$B$1643,2,FALSE),""))</f>
      </c>
    </row>
    <row r="425">
      <c r="A425" s="8"/>
      <c r="F425" s="8"/>
      <c r="G425" s="10"/>
      <c r="H425" s="12" t="str">
        <f>IF(G425="","",IFERROR(DATEDIF(IF(ISNUMBER(G425),G425,DATEVALUE(G425)),TODAY(),"Y"),""))</f>
      </c>
      <c r="O425" t="str">
        <f>IF(OR(K425="",L425=""),"",IFERROR(VLOOKUP(K425&amp;"|"&amp;L425,Postal!$A$2:$B$1643,2,FALSE),""))</f>
      </c>
    </row>
    <row r="426">
      <c r="A426" s="8"/>
      <c r="F426" s="8"/>
      <c r="G426" s="10"/>
      <c r="H426" s="12" t="str">
        <f>IF(G426="","",IFERROR(DATEDIF(IF(ISNUMBER(G426),G426,DATEVALUE(G426)),TODAY(),"Y"),""))</f>
      </c>
      <c r="O426" t="str">
        <f>IF(OR(K426="",L426=""),"",IFERROR(VLOOKUP(K426&amp;"|"&amp;L426,Postal!$A$2:$B$1643,2,FALSE),""))</f>
      </c>
    </row>
    <row r="427">
      <c r="A427" s="8"/>
      <c r="F427" s="8"/>
      <c r="G427" s="10"/>
      <c r="H427" s="12" t="str">
        <f>IF(G427="","",IFERROR(DATEDIF(IF(ISNUMBER(G427),G427,DATEVALUE(G427)),TODAY(),"Y"),""))</f>
      </c>
      <c r="O427" t="str">
        <f>IF(OR(K427="",L427=""),"",IFERROR(VLOOKUP(K427&amp;"|"&amp;L427,Postal!$A$2:$B$1643,2,FALSE),""))</f>
      </c>
    </row>
    <row r="428">
      <c r="A428" s="8"/>
      <c r="F428" s="8"/>
      <c r="G428" s="10"/>
      <c r="H428" s="12" t="str">
        <f>IF(G428="","",IFERROR(DATEDIF(IF(ISNUMBER(G428),G428,DATEVALUE(G428)),TODAY(),"Y"),""))</f>
      </c>
      <c r="O428" t="str">
        <f>IF(OR(K428="",L428=""),"",IFERROR(VLOOKUP(K428&amp;"|"&amp;L428,Postal!$A$2:$B$1643,2,FALSE),""))</f>
      </c>
    </row>
    <row r="429">
      <c r="A429" s="8"/>
      <c r="F429" s="8"/>
      <c r="G429" s="10"/>
      <c r="H429" s="12" t="str">
        <f>IF(G429="","",IFERROR(DATEDIF(IF(ISNUMBER(G429),G429,DATEVALUE(G429)),TODAY(),"Y"),""))</f>
      </c>
      <c r="O429" t="str">
        <f>IF(OR(K429="",L429=""),"",IFERROR(VLOOKUP(K429&amp;"|"&amp;L429,Postal!$A$2:$B$1643,2,FALSE),""))</f>
      </c>
    </row>
    <row r="430">
      <c r="A430" s="8"/>
      <c r="F430" s="8"/>
      <c r="G430" s="10"/>
      <c r="H430" s="12" t="str">
        <f>IF(G430="","",IFERROR(DATEDIF(IF(ISNUMBER(G430),G430,DATEVALUE(G430)),TODAY(),"Y"),""))</f>
      </c>
      <c r="O430" t="str">
        <f>IF(OR(K430="",L430=""),"",IFERROR(VLOOKUP(K430&amp;"|"&amp;L430,Postal!$A$2:$B$1643,2,FALSE),""))</f>
      </c>
    </row>
    <row r="431">
      <c r="A431" s="8"/>
      <c r="F431" s="8"/>
      <c r="G431" s="10"/>
      <c r="H431" s="12" t="str">
        <f>IF(G431="","",IFERROR(DATEDIF(IF(ISNUMBER(G431),G431,DATEVALUE(G431)),TODAY(),"Y"),""))</f>
      </c>
      <c r="O431" t="str">
        <f>IF(OR(K431="",L431=""),"",IFERROR(VLOOKUP(K431&amp;"|"&amp;L431,Postal!$A$2:$B$1643,2,FALSE),""))</f>
      </c>
    </row>
    <row r="432">
      <c r="A432" s="8"/>
      <c r="F432" s="8"/>
      <c r="G432" s="10"/>
      <c r="H432" s="12" t="str">
        <f>IF(G432="","",IFERROR(DATEDIF(IF(ISNUMBER(G432),G432,DATEVALUE(G432)),TODAY(),"Y"),""))</f>
      </c>
      <c r="O432" t="str">
        <f>IF(OR(K432="",L432=""),"",IFERROR(VLOOKUP(K432&amp;"|"&amp;L432,Postal!$A$2:$B$1643,2,FALSE),""))</f>
      </c>
    </row>
    <row r="433">
      <c r="A433" s="8"/>
      <c r="F433" s="8"/>
      <c r="G433" s="10"/>
      <c r="H433" s="12" t="str">
        <f>IF(G433="","",IFERROR(DATEDIF(IF(ISNUMBER(G433),G433,DATEVALUE(G433)),TODAY(),"Y"),""))</f>
      </c>
      <c r="O433" t="str">
        <f>IF(OR(K433="",L433=""),"",IFERROR(VLOOKUP(K433&amp;"|"&amp;L433,Postal!$A$2:$B$1643,2,FALSE),""))</f>
      </c>
    </row>
    <row r="434">
      <c r="A434" s="8"/>
      <c r="F434" s="8"/>
      <c r="G434" s="10"/>
      <c r="H434" s="12" t="str">
        <f>IF(G434="","",IFERROR(DATEDIF(IF(ISNUMBER(G434),G434,DATEVALUE(G434)),TODAY(),"Y"),""))</f>
      </c>
      <c r="O434" t="str">
        <f>IF(OR(K434="",L434=""),"",IFERROR(VLOOKUP(K434&amp;"|"&amp;L434,Postal!$A$2:$B$1643,2,FALSE),""))</f>
      </c>
    </row>
    <row r="435">
      <c r="A435" s="8"/>
      <c r="F435" s="8"/>
      <c r="G435" s="10"/>
      <c r="H435" s="12" t="str">
        <f>IF(G435="","",IFERROR(DATEDIF(IF(ISNUMBER(G435),G435,DATEVALUE(G435)),TODAY(),"Y"),""))</f>
      </c>
      <c r="O435" t="str">
        <f>IF(OR(K435="",L435=""),"",IFERROR(VLOOKUP(K435&amp;"|"&amp;L435,Postal!$A$2:$B$1643,2,FALSE),""))</f>
      </c>
    </row>
    <row r="436">
      <c r="A436" s="8"/>
      <c r="F436" s="8"/>
      <c r="G436" s="10"/>
      <c r="H436" s="12" t="str">
        <f>IF(G436="","",IFERROR(DATEDIF(IF(ISNUMBER(G436),G436,DATEVALUE(G436)),TODAY(),"Y"),""))</f>
      </c>
      <c r="O436" t="str">
        <f>IF(OR(K436="",L436=""),"",IFERROR(VLOOKUP(K436&amp;"|"&amp;L436,Postal!$A$2:$B$1643,2,FALSE),""))</f>
      </c>
    </row>
    <row r="437">
      <c r="A437" s="8"/>
      <c r="F437" s="8"/>
      <c r="G437" s="10"/>
      <c r="H437" s="12" t="str">
        <f>IF(G437="","",IFERROR(DATEDIF(IF(ISNUMBER(G437),G437,DATEVALUE(G437)),TODAY(),"Y"),""))</f>
      </c>
      <c r="O437" t="str">
        <f>IF(OR(K437="",L437=""),"",IFERROR(VLOOKUP(K437&amp;"|"&amp;L437,Postal!$A$2:$B$1643,2,FALSE),""))</f>
      </c>
    </row>
    <row r="438">
      <c r="A438" s="8"/>
      <c r="F438" s="8"/>
      <c r="G438" s="10"/>
      <c r="H438" s="12" t="str">
        <f>IF(G438="","",IFERROR(DATEDIF(IF(ISNUMBER(G438),G438,DATEVALUE(G438)),TODAY(),"Y"),""))</f>
      </c>
      <c r="O438" t="str">
        <f>IF(OR(K438="",L438=""),"",IFERROR(VLOOKUP(K438&amp;"|"&amp;L438,Postal!$A$2:$B$1643,2,FALSE),""))</f>
      </c>
    </row>
    <row r="439">
      <c r="A439" s="8"/>
      <c r="F439" s="8"/>
      <c r="G439" s="10"/>
      <c r="H439" s="12" t="str">
        <f>IF(G439="","",IFERROR(DATEDIF(IF(ISNUMBER(G439),G439,DATEVALUE(G439)),TODAY(),"Y"),""))</f>
      </c>
      <c r="O439" t="str">
        <f>IF(OR(K439="",L439=""),"",IFERROR(VLOOKUP(K439&amp;"|"&amp;L439,Postal!$A$2:$B$1643,2,FALSE),""))</f>
      </c>
    </row>
    <row r="440">
      <c r="A440" s="8"/>
      <c r="F440" s="8"/>
      <c r="G440" s="10"/>
      <c r="H440" s="12" t="str">
        <f>IF(G440="","",IFERROR(DATEDIF(IF(ISNUMBER(G440),G440,DATEVALUE(G440)),TODAY(),"Y"),""))</f>
      </c>
      <c r="O440" t="str">
        <f>IF(OR(K440="",L440=""),"",IFERROR(VLOOKUP(K440&amp;"|"&amp;L440,Postal!$A$2:$B$1643,2,FALSE),""))</f>
      </c>
    </row>
    <row r="441">
      <c r="A441" s="8"/>
      <c r="F441" s="8"/>
      <c r="G441" s="10"/>
      <c r="H441" s="12" t="str">
        <f>IF(G441="","",IFERROR(DATEDIF(IF(ISNUMBER(G441),G441,DATEVALUE(G441)),TODAY(),"Y"),""))</f>
      </c>
      <c r="O441" t="str">
        <f>IF(OR(K441="",L441=""),"",IFERROR(VLOOKUP(K441&amp;"|"&amp;L441,Postal!$A$2:$B$1643,2,FALSE),""))</f>
      </c>
    </row>
    <row r="442">
      <c r="A442" s="8"/>
      <c r="F442" s="8"/>
      <c r="G442" s="10"/>
      <c r="H442" s="12" t="str">
        <f>IF(G442="","",IFERROR(DATEDIF(IF(ISNUMBER(G442),G442,DATEVALUE(G442)),TODAY(),"Y"),""))</f>
      </c>
      <c r="O442" t="str">
        <f>IF(OR(K442="",L442=""),"",IFERROR(VLOOKUP(K442&amp;"|"&amp;L442,Postal!$A$2:$B$1643,2,FALSE),""))</f>
      </c>
    </row>
    <row r="443">
      <c r="A443" s="8"/>
      <c r="F443" s="8"/>
      <c r="G443" s="10"/>
      <c r="H443" s="12" t="str">
        <f>IF(G443="","",IFERROR(DATEDIF(IF(ISNUMBER(G443),G443,DATEVALUE(G443)),TODAY(),"Y"),""))</f>
      </c>
      <c r="O443" t="str">
        <f>IF(OR(K443="",L443=""),"",IFERROR(VLOOKUP(K443&amp;"|"&amp;L443,Postal!$A$2:$B$1643,2,FALSE),""))</f>
      </c>
    </row>
    <row r="444">
      <c r="A444" s="8"/>
      <c r="F444" s="8"/>
      <c r="G444" s="10"/>
      <c r="H444" s="12" t="str">
        <f>IF(G444="","",IFERROR(DATEDIF(IF(ISNUMBER(G444),G444,DATEVALUE(G444)),TODAY(),"Y"),""))</f>
      </c>
      <c r="O444" t="str">
        <f>IF(OR(K444="",L444=""),"",IFERROR(VLOOKUP(K444&amp;"|"&amp;L444,Postal!$A$2:$B$1643,2,FALSE),""))</f>
      </c>
    </row>
    <row r="445">
      <c r="A445" s="8"/>
      <c r="F445" s="8"/>
      <c r="G445" s="10"/>
      <c r="H445" s="12" t="str">
        <f>IF(G445="","",IFERROR(DATEDIF(IF(ISNUMBER(G445),G445,DATEVALUE(G445)),TODAY(),"Y"),""))</f>
      </c>
      <c r="O445" t="str">
        <f>IF(OR(K445="",L445=""),"",IFERROR(VLOOKUP(K445&amp;"|"&amp;L445,Postal!$A$2:$B$1643,2,FALSE),""))</f>
      </c>
    </row>
    <row r="446">
      <c r="A446" s="8"/>
      <c r="F446" s="8"/>
      <c r="G446" s="10"/>
      <c r="H446" s="12" t="str">
        <f>IF(G446="","",IFERROR(DATEDIF(IF(ISNUMBER(G446),G446,DATEVALUE(G446)),TODAY(),"Y"),""))</f>
      </c>
      <c r="O446" t="str">
        <f>IF(OR(K446="",L446=""),"",IFERROR(VLOOKUP(K446&amp;"|"&amp;L446,Postal!$A$2:$B$1643,2,FALSE),""))</f>
      </c>
    </row>
    <row r="447">
      <c r="A447" s="8"/>
      <c r="F447" s="8"/>
      <c r="G447" s="10"/>
      <c r="H447" s="12" t="str">
        <f>IF(G447="","",IFERROR(DATEDIF(IF(ISNUMBER(G447),G447,DATEVALUE(G447)),TODAY(),"Y"),""))</f>
      </c>
      <c r="O447" t="str">
        <f>IF(OR(K447="",L447=""),"",IFERROR(VLOOKUP(K447&amp;"|"&amp;L447,Postal!$A$2:$B$1643,2,FALSE),""))</f>
      </c>
    </row>
    <row r="448">
      <c r="A448" s="8"/>
      <c r="F448" s="8"/>
      <c r="G448" s="10"/>
      <c r="H448" s="12" t="str">
        <f>IF(G448="","",IFERROR(DATEDIF(IF(ISNUMBER(G448),G448,DATEVALUE(G448)),TODAY(),"Y"),""))</f>
      </c>
      <c r="O448" t="str">
        <f>IF(OR(K448="",L448=""),"",IFERROR(VLOOKUP(K448&amp;"|"&amp;L448,Postal!$A$2:$B$1643,2,FALSE),""))</f>
      </c>
    </row>
    <row r="449">
      <c r="A449" s="8"/>
      <c r="F449" s="8"/>
      <c r="G449" s="10"/>
      <c r="H449" s="12" t="str">
        <f>IF(G449="","",IFERROR(DATEDIF(IF(ISNUMBER(G449),G449,DATEVALUE(G449)),TODAY(),"Y"),""))</f>
      </c>
      <c r="O449" t="str">
        <f>IF(OR(K449="",L449=""),"",IFERROR(VLOOKUP(K449&amp;"|"&amp;L449,Postal!$A$2:$B$1643,2,FALSE),""))</f>
      </c>
    </row>
    <row r="450">
      <c r="A450" s="8"/>
      <c r="F450" s="8"/>
      <c r="G450" s="10"/>
      <c r="H450" s="12" t="str">
        <f>IF(G450="","",IFERROR(DATEDIF(IF(ISNUMBER(G450),G450,DATEVALUE(G450)),TODAY(),"Y"),""))</f>
      </c>
      <c r="O450" t="str">
        <f>IF(OR(K450="",L450=""),"",IFERROR(VLOOKUP(K450&amp;"|"&amp;L450,Postal!$A$2:$B$1643,2,FALSE),""))</f>
      </c>
    </row>
    <row r="451">
      <c r="A451" s="8"/>
      <c r="F451" s="8"/>
      <c r="G451" s="10"/>
      <c r="H451" s="12" t="str">
        <f>IF(G451="","",IFERROR(DATEDIF(IF(ISNUMBER(G451),G451,DATEVALUE(G451)),TODAY(),"Y"),""))</f>
      </c>
      <c r="O451" t="str">
        <f>IF(OR(K451="",L451=""),"",IFERROR(VLOOKUP(K451&amp;"|"&amp;L451,Postal!$A$2:$B$1643,2,FALSE),""))</f>
      </c>
    </row>
    <row r="452">
      <c r="A452" s="8"/>
      <c r="F452" s="8"/>
      <c r="G452" s="10"/>
      <c r="H452" s="12" t="str">
        <f>IF(G452="","",IFERROR(DATEDIF(IF(ISNUMBER(G452),G452,DATEVALUE(G452)),TODAY(),"Y"),""))</f>
      </c>
      <c r="O452" t="str">
        <f>IF(OR(K452="",L452=""),"",IFERROR(VLOOKUP(K452&amp;"|"&amp;L452,Postal!$A$2:$B$1643,2,FALSE),""))</f>
      </c>
    </row>
    <row r="453">
      <c r="A453" s="8"/>
      <c r="F453" s="8"/>
      <c r="G453" s="10"/>
      <c r="H453" s="12" t="str">
        <f>IF(G453="","",IFERROR(DATEDIF(IF(ISNUMBER(G453),G453,DATEVALUE(G453)),TODAY(),"Y"),""))</f>
      </c>
      <c r="O453" t="str">
        <f>IF(OR(K453="",L453=""),"",IFERROR(VLOOKUP(K453&amp;"|"&amp;L453,Postal!$A$2:$B$1643,2,FALSE),""))</f>
      </c>
    </row>
    <row r="454">
      <c r="A454" s="8"/>
      <c r="F454" s="8"/>
      <c r="G454" s="10"/>
      <c r="H454" s="12" t="str">
        <f>IF(G454="","",IFERROR(DATEDIF(IF(ISNUMBER(G454),G454,DATEVALUE(G454)),TODAY(),"Y"),""))</f>
      </c>
      <c r="O454" t="str">
        <f>IF(OR(K454="",L454=""),"",IFERROR(VLOOKUP(K454&amp;"|"&amp;L454,Postal!$A$2:$B$1643,2,FALSE),""))</f>
      </c>
    </row>
    <row r="455">
      <c r="A455" s="8"/>
      <c r="F455" s="8"/>
      <c r="G455" s="10"/>
      <c r="H455" s="12" t="str">
        <f>IF(G455="","",IFERROR(DATEDIF(IF(ISNUMBER(G455),G455,DATEVALUE(G455)),TODAY(),"Y"),""))</f>
      </c>
      <c r="O455" t="str">
        <f>IF(OR(K455="",L455=""),"",IFERROR(VLOOKUP(K455&amp;"|"&amp;L455,Postal!$A$2:$B$1643,2,FALSE),""))</f>
      </c>
    </row>
    <row r="456">
      <c r="A456" s="8"/>
      <c r="F456" s="8"/>
      <c r="G456" s="10"/>
      <c r="H456" s="12" t="str">
        <f>IF(G456="","",IFERROR(DATEDIF(IF(ISNUMBER(G456),G456,DATEVALUE(G456)),TODAY(),"Y"),""))</f>
      </c>
      <c r="O456" t="str">
        <f>IF(OR(K456="",L456=""),"",IFERROR(VLOOKUP(K456&amp;"|"&amp;L456,Postal!$A$2:$B$1643,2,FALSE),""))</f>
      </c>
    </row>
    <row r="457">
      <c r="A457" s="8"/>
      <c r="F457" s="8"/>
      <c r="G457" s="10"/>
      <c r="H457" s="12" t="str">
        <f>IF(G457="","",IFERROR(DATEDIF(IF(ISNUMBER(G457),G457,DATEVALUE(G457)),TODAY(),"Y"),""))</f>
      </c>
      <c r="O457" t="str">
        <f>IF(OR(K457="",L457=""),"",IFERROR(VLOOKUP(K457&amp;"|"&amp;L457,Postal!$A$2:$B$1643,2,FALSE),""))</f>
      </c>
    </row>
    <row r="458">
      <c r="A458" s="8"/>
      <c r="F458" s="8"/>
      <c r="G458" s="10"/>
      <c r="H458" s="12" t="str">
        <f>IF(G458="","",IFERROR(DATEDIF(IF(ISNUMBER(G458),G458,DATEVALUE(G458)),TODAY(),"Y"),""))</f>
      </c>
      <c r="O458" t="str">
        <f>IF(OR(K458="",L458=""),"",IFERROR(VLOOKUP(K458&amp;"|"&amp;L458,Postal!$A$2:$B$1643,2,FALSE),""))</f>
      </c>
    </row>
    <row r="459">
      <c r="A459" s="8"/>
      <c r="F459" s="8"/>
      <c r="G459" s="10"/>
      <c r="H459" s="12" t="str">
        <f>IF(G459="","",IFERROR(DATEDIF(IF(ISNUMBER(G459),G459,DATEVALUE(G459)),TODAY(),"Y"),""))</f>
      </c>
      <c r="O459" t="str">
        <f>IF(OR(K459="",L459=""),"",IFERROR(VLOOKUP(K459&amp;"|"&amp;L459,Postal!$A$2:$B$1643,2,FALSE),""))</f>
      </c>
    </row>
    <row r="460">
      <c r="A460" s="8"/>
      <c r="F460" s="8"/>
      <c r="G460" s="10"/>
      <c r="H460" s="12" t="str">
        <f>IF(G460="","",IFERROR(DATEDIF(IF(ISNUMBER(G460),G460,DATEVALUE(G460)),TODAY(),"Y"),""))</f>
      </c>
      <c r="O460" t="str">
        <f>IF(OR(K460="",L460=""),"",IFERROR(VLOOKUP(K460&amp;"|"&amp;L460,Postal!$A$2:$B$1643,2,FALSE),""))</f>
      </c>
    </row>
    <row r="461">
      <c r="A461" s="8"/>
      <c r="F461" s="8"/>
      <c r="G461" s="10"/>
      <c r="H461" s="12" t="str">
        <f>IF(G461="","",IFERROR(DATEDIF(IF(ISNUMBER(G461),G461,DATEVALUE(G461)),TODAY(),"Y"),""))</f>
      </c>
      <c r="O461" t="str">
        <f>IF(OR(K461="",L461=""),"",IFERROR(VLOOKUP(K461&amp;"|"&amp;L461,Postal!$A$2:$B$1643,2,FALSE),""))</f>
      </c>
    </row>
    <row r="462">
      <c r="A462" s="8"/>
      <c r="F462" s="8"/>
      <c r="G462" s="10"/>
      <c r="H462" s="12" t="str">
        <f>IF(G462="","",IFERROR(DATEDIF(IF(ISNUMBER(G462),G462,DATEVALUE(G462)),TODAY(),"Y"),""))</f>
      </c>
      <c r="O462" t="str">
        <f>IF(OR(K462="",L462=""),"",IFERROR(VLOOKUP(K462&amp;"|"&amp;L462,Postal!$A$2:$B$1643,2,FALSE),""))</f>
      </c>
    </row>
    <row r="463">
      <c r="A463" s="8"/>
      <c r="F463" s="8"/>
      <c r="G463" s="10"/>
      <c r="H463" s="12" t="str">
        <f>IF(G463="","",IFERROR(DATEDIF(IF(ISNUMBER(G463),G463,DATEVALUE(G463)),TODAY(),"Y"),""))</f>
      </c>
      <c r="O463" t="str">
        <f>IF(OR(K463="",L463=""),"",IFERROR(VLOOKUP(K463&amp;"|"&amp;L463,Postal!$A$2:$B$1643,2,FALSE),""))</f>
      </c>
    </row>
    <row r="464">
      <c r="A464" s="8"/>
      <c r="F464" s="8"/>
      <c r="G464" s="10"/>
      <c r="H464" s="12" t="str">
        <f>IF(G464="","",IFERROR(DATEDIF(IF(ISNUMBER(G464),G464,DATEVALUE(G464)),TODAY(),"Y"),""))</f>
      </c>
      <c r="O464" t="str">
        <f>IF(OR(K464="",L464=""),"",IFERROR(VLOOKUP(K464&amp;"|"&amp;L464,Postal!$A$2:$B$1643,2,FALSE),""))</f>
      </c>
    </row>
    <row r="465">
      <c r="A465" s="8"/>
      <c r="F465" s="8"/>
      <c r="G465" s="10"/>
      <c r="H465" s="12" t="str">
        <f>IF(G465="","",IFERROR(DATEDIF(IF(ISNUMBER(G465),G465,DATEVALUE(G465)),TODAY(),"Y"),""))</f>
      </c>
      <c r="O465" t="str">
        <f>IF(OR(K465="",L465=""),"",IFERROR(VLOOKUP(K465&amp;"|"&amp;L465,Postal!$A$2:$B$1643,2,FALSE),""))</f>
      </c>
    </row>
    <row r="466">
      <c r="A466" s="8"/>
      <c r="F466" s="8"/>
      <c r="G466" s="10"/>
      <c r="H466" s="12" t="str">
        <f>IF(G466="","",IFERROR(DATEDIF(IF(ISNUMBER(G466),G466,DATEVALUE(G466)),TODAY(),"Y"),""))</f>
      </c>
      <c r="O466" t="str">
        <f>IF(OR(K466="",L466=""),"",IFERROR(VLOOKUP(K466&amp;"|"&amp;L466,Postal!$A$2:$B$1643,2,FALSE),""))</f>
      </c>
    </row>
    <row r="467">
      <c r="A467" s="8"/>
      <c r="F467" s="8"/>
      <c r="G467" s="10"/>
      <c r="H467" s="12" t="str">
        <f>IF(G467="","",IFERROR(DATEDIF(IF(ISNUMBER(G467),G467,DATEVALUE(G467)),TODAY(),"Y"),""))</f>
      </c>
      <c r="O467" t="str">
        <f>IF(OR(K467="",L467=""),"",IFERROR(VLOOKUP(K467&amp;"|"&amp;L467,Postal!$A$2:$B$1643,2,FALSE),""))</f>
      </c>
    </row>
    <row r="468">
      <c r="A468" s="8"/>
      <c r="F468" s="8"/>
      <c r="G468" s="10"/>
      <c r="H468" s="12" t="str">
        <f>IF(G468="","",IFERROR(DATEDIF(IF(ISNUMBER(G468),G468,DATEVALUE(G468)),TODAY(),"Y"),""))</f>
      </c>
      <c r="O468" t="str">
        <f>IF(OR(K468="",L468=""),"",IFERROR(VLOOKUP(K468&amp;"|"&amp;L468,Postal!$A$2:$B$1643,2,FALSE),""))</f>
      </c>
    </row>
    <row r="469">
      <c r="A469" s="8"/>
      <c r="F469" s="8"/>
      <c r="G469" s="10"/>
      <c r="H469" s="12" t="str">
        <f>IF(G469="","",IFERROR(DATEDIF(IF(ISNUMBER(G469),G469,DATEVALUE(G469)),TODAY(),"Y"),""))</f>
      </c>
      <c r="O469" t="str">
        <f>IF(OR(K469="",L469=""),"",IFERROR(VLOOKUP(K469&amp;"|"&amp;L469,Postal!$A$2:$B$1643,2,FALSE),""))</f>
      </c>
    </row>
    <row r="470">
      <c r="A470" s="8"/>
      <c r="F470" s="8"/>
      <c r="G470" s="10"/>
      <c r="H470" s="12" t="str">
        <f>IF(G470="","",IFERROR(DATEDIF(IF(ISNUMBER(G470),G470,DATEVALUE(G470)),TODAY(),"Y"),""))</f>
      </c>
      <c r="O470" t="str">
        <f>IF(OR(K470="",L470=""),"",IFERROR(VLOOKUP(K470&amp;"|"&amp;L470,Postal!$A$2:$B$1643,2,FALSE),""))</f>
      </c>
    </row>
    <row r="471">
      <c r="A471" s="8"/>
      <c r="F471" s="8"/>
      <c r="G471" s="10"/>
      <c r="H471" s="12" t="str">
        <f>IF(G471="","",IFERROR(DATEDIF(IF(ISNUMBER(G471),G471,DATEVALUE(G471)),TODAY(),"Y"),""))</f>
      </c>
      <c r="O471" t="str">
        <f>IF(OR(K471="",L471=""),"",IFERROR(VLOOKUP(K471&amp;"|"&amp;L471,Postal!$A$2:$B$1643,2,FALSE),""))</f>
      </c>
    </row>
    <row r="472">
      <c r="A472" s="8"/>
      <c r="F472" s="8"/>
      <c r="G472" s="10"/>
      <c r="H472" s="12" t="str">
        <f>IF(G472="","",IFERROR(DATEDIF(IF(ISNUMBER(G472),G472,DATEVALUE(G472)),TODAY(),"Y"),""))</f>
      </c>
      <c r="O472" t="str">
        <f>IF(OR(K472="",L472=""),"",IFERROR(VLOOKUP(K472&amp;"|"&amp;L472,Postal!$A$2:$B$1643,2,FALSE),""))</f>
      </c>
    </row>
    <row r="473">
      <c r="A473" s="8"/>
      <c r="F473" s="8"/>
      <c r="G473" s="10"/>
      <c r="H473" s="12" t="str">
        <f>IF(G473="","",IFERROR(DATEDIF(IF(ISNUMBER(G473),G473,DATEVALUE(G473)),TODAY(),"Y"),""))</f>
      </c>
      <c r="O473" t="str">
        <f>IF(OR(K473="",L473=""),"",IFERROR(VLOOKUP(K473&amp;"|"&amp;L473,Postal!$A$2:$B$1643,2,FALSE),""))</f>
      </c>
    </row>
    <row r="474">
      <c r="A474" s="8"/>
      <c r="F474" s="8"/>
      <c r="G474" s="10"/>
      <c r="H474" s="12" t="str">
        <f>IF(G474="","",IFERROR(DATEDIF(IF(ISNUMBER(G474),G474,DATEVALUE(G474)),TODAY(),"Y"),""))</f>
      </c>
      <c r="O474" t="str">
        <f>IF(OR(K474="",L474=""),"",IFERROR(VLOOKUP(K474&amp;"|"&amp;L474,Postal!$A$2:$B$1643,2,FALSE),""))</f>
      </c>
    </row>
    <row r="475">
      <c r="A475" s="8"/>
      <c r="F475" s="8"/>
      <c r="G475" s="10"/>
      <c r="H475" s="12" t="str">
        <f>IF(G475="","",IFERROR(DATEDIF(IF(ISNUMBER(G475),G475,DATEVALUE(G475)),TODAY(),"Y"),""))</f>
      </c>
      <c r="O475" t="str">
        <f>IF(OR(K475="",L475=""),"",IFERROR(VLOOKUP(K475&amp;"|"&amp;L475,Postal!$A$2:$B$1643,2,FALSE),""))</f>
      </c>
    </row>
    <row r="476">
      <c r="A476" s="8"/>
      <c r="F476" s="8"/>
      <c r="G476" s="10"/>
      <c r="H476" s="12" t="str">
        <f>IF(G476="","",IFERROR(DATEDIF(IF(ISNUMBER(G476),G476,DATEVALUE(G476)),TODAY(),"Y"),""))</f>
      </c>
      <c r="O476" t="str">
        <f>IF(OR(K476="",L476=""),"",IFERROR(VLOOKUP(K476&amp;"|"&amp;L476,Postal!$A$2:$B$1643,2,FALSE),""))</f>
      </c>
    </row>
    <row r="477">
      <c r="A477" s="8"/>
      <c r="F477" s="8"/>
      <c r="G477" s="10"/>
      <c r="H477" s="12" t="str">
        <f>IF(G477="","",IFERROR(DATEDIF(IF(ISNUMBER(G477),G477,DATEVALUE(G477)),TODAY(),"Y"),""))</f>
      </c>
      <c r="O477" t="str">
        <f>IF(OR(K477="",L477=""),"",IFERROR(VLOOKUP(K477&amp;"|"&amp;L477,Postal!$A$2:$B$1643,2,FALSE),""))</f>
      </c>
    </row>
    <row r="478">
      <c r="A478" s="8"/>
      <c r="F478" s="8"/>
      <c r="G478" s="10"/>
      <c r="H478" s="12" t="str">
        <f>IF(G478="","",IFERROR(DATEDIF(IF(ISNUMBER(G478),G478,DATEVALUE(G478)),TODAY(),"Y"),""))</f>
      </c>
      <c r="O478" t="str">
        <f>IF(OR(K478="",L478=""),"",IFERROR(VLOOKUP(K478&amp;"|"&amp;L478,Postal!$A$2:$B$1643,2,FALSE),""))</f>
      </c>
    </row>
    <row r="479">
      <c r="A479" s="8"/>
      <c r="F479" s="8"/>
      <c r="G479" s="10"/>
      <c r="H479" s="12" t="str">
        <f>IF(G479="","",IFERROR(DATEDIF(IF(ISNUMBER(G479),G479,DATEVALUE(G479)),TODAY(),"Y"),""))</f>
      </c>
      <c r="O479" t="str">
        <f>IF(OR(K479="",L479=""),"",IFERROR(VLOOKUP(K479&amp;"|"&amp;L479,Postal!$A$2:$B$1643,2,FALSE),""))</f>
      </c>
    </row>
    <row r="480">
      <c r="A480" s="8"/>
      <c r="F480" s="8"/>
      <c r="G480" s="10"/>
      <c r="H480" s="12" t="str">
        <f>IF(G480="","",IFERROR(DATEDIF(IF(ISNUMBER(G480),G480,DATEVALUE(G480)),TODAY(),"Y"),""))</f>
      </c>
      <c r="O480" t="str">
        <f>IF(OR(K480="",L480=""),"",IFERROR(VLOOKUP(K480&amp;"|"&amp;L480,Postal!$A$2:$B$1643,2,FALSE),""))</f>
      </c>
    </row>
    <row r="481">
      <c r="A481" s="8"/>
      <c r="F481" s="8"/>
      <c r="G481" s="10"/>
      <c r="H481" s="12" t="str">
        <f>IF(G481="","",IFERROR(DATEDIF(IF(ISNUMBER(G481),G481,DATEVALUE(G481)),TODAY(),"Y"),""))</f>
      </c>
      <c r="O481" t="str">
        <f>IF(OR(K481="",L481=""),"",IFERROR(VLOOKUP(K481&amp;"|"&amp;L481,Postal!$A$2:$B$1643,2,FALSE),""))</f>
      </c>
    </row>
    <row r="482">
      <c r="A482" s="8"/>
      <c r="F482" s="8"/>
      <c r="G482" s="10"/>
      <c r="H482" s="12" t="str">
        <f>IF(G482="","",IFERROR(DATEDIF(IF(ISNUMBER(G482),G482,DATEVALUE(G482)),TODAY(),"Y"),""))</f>
      </c>
      <c r="O482" t="str">
        <f>IF(OR(K482="",L482=""),"",IFERROR(VLOOKUP(K482&amp;"|"&amp;L482,Postal!$A$2:$B$1643,2,FALSE),""))</f>
      </c>
    </row>
    <row r="483">
      <c r="A483" s="8"/>
      <c r="F483" s="8"/>
      <c r="G483" s="10"/>
      <c r="H483" s="12" t="str">
        <f>IF(G483="","",IFERROR(DATEDIF(IF(ISNUMBER(G483),G483,DATEVALUE(G483)),TODAY(),"Y"),""))</f>
      </c>
      <c r="O483" t="str">
        <f>IF(OR(K483="",L483=""),"",IFERROR(VLOOKUP(K483&amp;"|"&amp;L483,Postal!$A$2:$B$1643,2,FALSE),""))</f>
      </c>
    </row>
    <row r="484">
      <c r="A484" s="8"/>
      <c r="F484" s="8"/>
      <c r="G484" s="10"/>
      <c r="H484" s="12" t="str">
        <f>IF(G484="","",IFERROR(DATEDIF(IF(ISNUMBER(G484),G484,DATEVALUE(G484)),TODAY(),"Y"),""))</f>
      </c>
      <c r="O484" t="str">
        <f>IF(OR(K484="",L484=""),"",IFERROR(VLOOKUP(K484&amp;"|"&amp;L484,Postal!$A$2:$B$1643,2,FALSE),""))</f>
      </c>
    </row>
    <row r="485">
      <c r="A485" s="8"/>
      <c r="F485" s="8"/>
      <c r="G485" s="10"/>
      <c r="H485" s="12" t="str">
        <f>IF(G485="","",IFERROR(DATEDIF(IF(ISNUMBER(G485),G485,DATEVALUE(G485)),TODAY(),"Y"),""))</f>
      </c>
      <c r="O485" t="str">
        <f>IF(OR(K485="",L485=""),"",IFERROR(VLOOKUP(K485&amp;"|"&amp;L485,Postal!$A$2:$B$1643,2,FALSE),""))</f>
      </c>
    </row>
    <row r="486">
      <c r="A486" s="8"/>
      <c r="F486" s="8"/>
      <c r="G486" s="10"/>
      <c r="H486" s="12" t="str">
        <f>IF(G486="","",IFERROR(DATEDIF(IF(ISNUMBER(G486),G486,DATEVALUE(G486)),TODAY(),"Y"),""))</f>
      </c>
      <c r="O486" t="str">
        <f>IF(OR(K486="",L486=""),"",IFERROR(VLOOKUP(K486&amp;"|"&amp;L486,Postal!$A$2:$B$1643,2,FALSE),""))</f>
      </c>
    </row>
    <row r="487">
      <c r="A487" s="8"/>
      <c r="F487" s="8"/>
      <c r="G487" s="10"/>
      <c r="H487" s="12" t="str">
        <f>IF(G487="","",IFERROR(DATEDIF(IF(ISNUMBER(G487),G487,DATEVALUE(G487)),TODAY(),"Y"),""))</f>
      </c>
      <c r="O487" t="str">
        <f>IF(OR(K487="",L487=""),"",IFERROR(VLOOKUP(K487&amp;"|"&amp;L487,Postal!$A$2:$B$1643,2,FALSE),""))</f>
      </c>
    </row>
    <row r="488">
      <c r="A488" s="8"/>
      <c r="F488" s="8"/>
      <c r="G488" s="10"/>
      <c r="H488" s="12" t="str">
        <f>IF(G488="","",IFERROR(DATEDIF(IF(ISNUMBER(G488),G488,DATEVALUE(G488)),TODAY(),"Y"),""))</f>
      </c>
      <c r="O488" t="str">
        <f>IF(OR(K488="",L488=""),"",IFERROR(VLOOKUP(K488&amp;"|"&amp;L488,Postal!$A$2:$B$1643,2,FALSE),""))</f>
      </c>
    </row>
    <row r="489">
      <c r="A489" s="8"/>
      <c r="F489" s="8"/>
      <c r="G489" s="10"/>
      <c r="H489" s="12" t="str">
        <f>IF(G489="","",IFERROR(DATEDIF(IF(ISNUMBER(G489),G489,DATEVALUE(G489)),TODAY(),"Y"),""))</f>
      </c>
      <c r="O489" t="str">
        <f>IF(OR(K489="",L489=""),"",IFERROR(VLOOKUP(K489&amp;"|"&amp;L489,Postal!$A$2:$B$1643,2,FALSE),""))</f>
      </c>
    </row>
    <row r="490">
      <c r="A490" s="8"/>
      <c r="F490" s="8"/>
      <c r="G490" s="10"/>
      <c r="H490" s="12" t="str">
        <f>IF(G490="","",IFERROR(DATEDIF(IF(ISNUMBER(G490),G490,DATEVALUE(G490)),TODAY(),"Y"),""))</f>
      </c>
      <c r="O490" t="str">
        <f>IF(OR(K490="",L490=""),"",IFERROR(VLOOKUP(K490&amp;"|"&amp;L490,Postal!$A$2:$B$1643,2,FALSE),""))</f>
      </c>
    </row>
    <row r="491">
      <c r="A491" s="8"/>
      <c r="F491" s="8"/>
      <c r="G491" s="10"/>
      <c r="H491" s="12" t="str">
        <f>IF(G491="","",IFERROR(DATEDIF(IF(ISNUMBER(G491),G491,DATEVALUE(G491)),TODAY(),"Y"),""))</f>
      </c>
      <c r="O491" t="str">
        <f>IF(OR(K491="",L491=""),"",IFERROR(VLOOKUP(K491&amp;"|"&amp;L491,Postal!$A$2:$B$1643,2,FALSE),""))</f>
      </c>
    </row>
    <row r="492">
      <c r="A492" s="8"/>
      <c r="F492" s="8"/>
      <c r="G492" s="10"/>
      <c r="H492" s="12" t="str">
        <f>IF(G492="","",IFERROR(DATEDIF(IF(ISNUMBER(G492),G492,DATEVALUE(G492)),TODAY(),"Y"),""))</f>
      </c>
      <c r="O492" t="str">
        <f>IF(OR(K492="",L492=""),"",IFERROR(VLOOKUP(K492&amp;"|"&amp;L492,Postal!$A$2:$B$1643,2,FALSE),""))</f>
      </c>
    </row>
    <row r="493">
      <c r="A493" s="8"/>
      <c r="F493" s="8"/>
      <c r="G493" s="10"/>
      <c r="H493" s="12" t="str">
        <f>IF(G493="","",IFERROR(DATEDIF(IF(ISNUMBER(G493),G493,DATEVALUE(G493)),TODAY(),"Y"),""))</f>
      </c>
      <c r="O493" t="str">
        <f>IF(OR(K493="",L493=""),"",IFERROR(VLOOKUP(K493&amp;"|"&amp;L493,Postal!$A$2:$B$1643,2,FALSE),""))</f>
      </c>
    </row>
    <row r="494">
      <c r="A494" s="8"/>
      <c r="F494" s="8"/>
      <c r="G494" s="10"/>
      <c r="H494" s="12" t="str">
        <f>IF(G494="","",IFERROR(DATEDIF(IF(ISNUMBER(G494),G494,DATEVALUE(G494)),TODAY(),"Y"),""))</f>
      </c>
      <c r="O494" t="str">
        <f>IF(OR(K494="",L494=""),"",IFERROR(VLOOKUP(K494&amp;"|"&amp;L494,Postal!$A$2:$B$1643,2,FALSE),""))</f>
      </c>
    </row>
    <row r="495">
      <c r="A495" s="8"/>
      <c r="F495" s="8"/>
      <c r="G495" s="10"/>
      <c r="H495" s="12" t="str">
        <f>IF(G495="","",IFERROR(DATEDIF(IF(ISNUMBER(G495),G495,DATEVALUE(G495)),TODAY(),"Y"),""))</f>
      </c>
      <c r="O495" t="str">
        <f>IF(OR(K495="",L495=""),"",IFERROR(VLOOKUP(K495&amp;"|"&amp;L495,Postal!$A$2:$B$1643,2,FALSE),""))</f>
      </c>
    </row>
    <row r="496">
      <c r="A496" s="8"/>
      <c r="F496" s="8"/>
      <c r="G496" s="10"/>
      <c r="H496" s="12" t="str">
        <f>IF(G496="","",IFERROR(DATEDIF(IF(ISNUMBER(G496),G496,DATEVALUE(G496)),TODAY(),"Y"),""))</f>
      </c>
      <c r="O496" t="str">
        <f>IF(OR(K496="",L496=""),"",IFERROR(VLOOKUP(K496&amp;"|"&amp;L496,Postal!$A$2:$B$1643,2,FALSE),""))</f>
      </c>
    </row>
    <row r="497">
      <c r="A497" s="8"/>
      <c r="F497" s="8"/>
      <c r="G497" s="10"/>
      <c r="H497" s="12" t="str">
        <f>IF(G497="","",IFERROR(DATEDIF(IF(ISNUMBER(G497),G497,DATEVALUE(G497)),TODAY(),"Y"),""))</f>
      </c>
      <c r="O497" t="str">
        <f>IF(OR(K497="",L497=""),"",IFERROR(VLOOKUP(K497&amp;"|"&amp;L497,Postal!$A$2:$B$1643,2,FALSE),""))</f>
      </c>
    </row>
    <row r="498">
      <c r="A498" s="8"/>
      <c r="F498" s="8"/>
      <c r="G498" s="10"/>
      <c r="H498" s="12" t="str">
        <f>IF(G498="","",IFERROR(DATEDIF(IF(ISNUMBER(G498),G498,DATEVALUE(G498)),TODAY(),"Y"),""))</f>
      </c>
      <c r="O498" t="str">
        <f>IF(OR(K498="",L498=""),"",IFERROR(VLOOKUP(K498&amp;"|"&amp;L498,Postal!$A$2:$B$1643,2,FALSE),""))</f>
      </c>
    </row>
    <row r="499">
      <c r="A499" s="8"/>
      <c r="F499" s="8"/>
      <c r="G499" s="10"/>
      <c r="H499" s="12" t="str">
        <f>IF(G499="","",IFERROR(DATEDIF(IF(ISNUMBER(G499),G499,DATEVALUE(G499)),TODAY(),"Y"),""))</f>
      </c>
      <c r="O499" t="str">
        <f>IF(OR(K499="",L499=""),"",IFERROR(VLOOKUP(K499&amp;"|"&amp;L499,Postal!$A$2:$B$1643,2,FALSE),""))</f>
      </c>
    </row>
    <row r="500">
      <c r="A500" s="8"/>
      <c r="F500" s="8"/>
      <c r="G500" s="10"/>
      <c r="H500" s="12" t="str">
        <f>IF(G500="","",IFERROR(DATEDIF(IF(ISNUMBER(G500),G500,DATEVALUE(G500)),TODAY(),"Y"),""))</f>
      </c>
      <c r="O500" t="str">
        <f>IF(OR(K500="",L500=""),"",IFERROR(VLOOKUP(K500&amp;"|"&amp;L500,Postal!$A$2:$B$1643,2,FALSE),""))</f>
      </c>
    </row>
    <row r="501">
      <c r="A501" s="8"/>
      <c r="F501" s="8"/>
      <c r="G501" s="10"/>
      <c r="H501" s="12" t="str">
        <f>IF(G501="","",IFERROR(DATEDIF(IF(ISNUMBER(G501),G501,DATEVALUE(G501)),TODAY(),"Y"),""))</f>
      </c>
      <c r="O501" t="str">
        <f>IF(OR(K501="",L501=""),"",IFERROR(VLOOKUP(K501&amp;"|"&amp;L501,Postal!$A$2:$B$1643,2,FALSE),""))</f>
      </c>
    </row>
  </sheetData>
  <dataValidations count="8">
    <dataValidation type="custom" errorStyle="stop" allowBlank="1" showInputMessage="1" showErrorMessage="1" errorTitle="Invalid or duplicate official ID" error="Enter uppercase AAIYYMMNNNN (valid month and nonzero sequence), or an approved AA- legacy ID containing exactly 6 letters and 6 digits. Duplicates are blocked." promptTitle="Invalid or duplicate official ID" prompt="Enter the EXISTING company-issued AAI / AA- number; leave blank only if none has been issued. Never make up an ID." sqref="A2:A501">
      <formula1>OR(A2="",INDIRECT("_HeadMatches!$D"&amp;ROW())=TRUE)</formula1>
    </dataValidation>
    <dataValidation type="custom" errorStyle="stop" allowBlank="1" showInputMessage="1" showErrorMessage="1" errorTitle="Invalid mobile number" error="Use exactly 11 digits starting with 09. Letters and symbols are not accepted; store as text." promptTitle="11-digit mobile" prompt="Example: 09123456789 (text format; preserve leading zero)." sqref="F2:F501">
      <formula1>OR(F2="",AND(ISTEXT(F2),LEN(F2)=11,LEFT(F2,2)="09",SUMPRODUCT(--ISNUMBER(SEARCH(MID(F2,ROW($1:$11),1),"0123456789")))=11))</formula1>
    </dataValidation>
    <dataValidation type="date" errorStyle="stop" operator="between" allowBlank="1" showInputMessage="1" showErrorMessage="1" errorTitle="Invalid birthdate" error="Enter a real past date and use yyyy-mm-dd format." promptTitle="Date of birth" prompt="Enter a date (yyyy-mm-dd). Calendar popup depends on Excel edition." sqref="G2:G501">
      <formula1>DATE(1900,1,1)</formula1>
      <formula2>TODAY()</formula2>
    </dataValidation>
    <dataValidation type="list" allowBlank="1" showDropDown="0" sqref="I2:I501">
      <formula1>"Male,Female"</formula1>
    </dataValidation>
    <dataValidation type="list" allowBlank="1" showDropDown="0" sqref="J2:J501">
      <formula1>"Single,Married,Widowed,Separated"</formula1>
    </dataValidation>
    <dataValidation type="list" allowBlank="1" showDropDown="0" sqref="K2:K501">
      <formula1>INDIRECT("PSGC_ProvinceList!$A$2:$A$99")</formula1>
    </dataValidation>
    <dataValidation type="list" allowBlank="1" showDropDown="0" sqref="L2:L501">
      <formula1>OFFSET(INDIRECT("PSGC_CityList!$B$2"),MATCH(K2,INDIRECT("PSGC_CityList!$A$2:$A$1643"),0)-1,0,COUNTIF(INDIRECT("PSGC_CityList!$A$2:$A$1643"),K2),1)</formula1>
    </dataValidation>
    <dataValidation type="list" allowBlank="1" showDropDown="0" sqref="M2:M501">
      <formula1>OFFSET(INDIRECT("PSGC_BarangayList!$A$2"),VLOOKUP(K2&amp;"|"&amp;L2,INDIRECT("PSGC_CityIndex!$A$2:$C$1643"),2,0)-2,0,VLOOKUP(K2&amp;"|"&amp;L2,INDIRECT("PSGC_CityIndex!$A$2:$C$1643"),3,0),1)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6538A3"/>
  </sheetPr>
  <sheetViews>
    <sheetView workbookViewId="0" showGridLines="1" zoomScale="90" zoomScaleNormal="100">
      <pane ySplit="1" topLeftCell="A2" activePane="bottomLeft" state="frozen"/>
    </sheetView>
  </sheetViews>
  <sheetFormatPr defaultRowHeight="15"/>
  <cols>
    <col min="1" max="1" width="35" hidden="0" customWidth="1"/>
    <col min="2" max="2" width="28" hidden="0" customWidth="1"/>
    <col min="3" max="3" width="44" hidden="0" customWidth="1"/>
    <col min="4" max="4" width="43" hidden="0" customWidth="1"/>
    <col min="5" max="5" width="39" hidden="0" customWidth="1"/>
  </cols>
  <sheetData>
    <row r="1" ht="35" customHeight="1">
      <c r="A1" s="49" t="str">
        <v>Applicant Name (Auto)</v>
      </c>
      <c r="B1" s="49" t="str">
        <v>Position</v>
      </c>
      <c r="C1" s="49" t="str">
        <v>Head Member Name</v>
      </c>
      <c r="D1" s="49" t="str">
        <v>Hierarchy Check (Auto)</v>
      </c>
      <c r="E1" s="49" t="str">
        <v>Search Head Member (All Rows)</v>
      </c>
    </row>
    <row r="2">
      <c r="A2" t="str">
        <f>IF(OR(Identity!B2="",Identity!D2=""),"",TRIM(Identity!B2&amp;" "&amp;Identity!C2&amp;" "&amp;Identity!D2))</f>
      </c>
      <c r="D2" t="str">
        <f>IF(A2="","",IF(B2="","Select Position",IF(B2="Vice Director",IF(C2="","Ready - No Head Needed","Clear Head Member"),IF(C2="","Select Head Member",IF(C2=A2,"Invalid - Same Applicant",IF(B2="Senior Sales Manager",IF(COUNTIF(Teams!$A$2:$A$1001,C2)=1,"VD selected - Verify ID","Missing/Ambiguous VD"),IF(B2="Sales Manager",IF(COUNTIF(Teams!$B$2:$B$1001,C2)=1,"SSM selected - Verify ID","Missing/Ambiguous SSM"),"Invalid Position")))))))</f>
      </c>
    </row>
    <row r="3">
      <c r="A3" t="str">
        <f>IF(OR(Identity!B3="",Identity!D3=""),"",TRIM(Identity!B3&amp;" "&amp;Identity!C3&amp;" "&amp;Identity!D3))</f>
      </c>
      <c r="D3" t="str">
        <f>IF(A3="","",IF(B3="","Select Position",IF(B3="Vice Director",IF(C3="","Ready - No Head Needed","Clear Head Member"),IF(C3="","Select Head Member",IF(C3=A3,"Invalid - Same Applicant",IF(B3="Senior Sales Manager",IF(COUNTIF(Teams!$A$2:$A$1001,C3)=1,"VD selected - Verify ID","Missing/Ambiguous VD"),IF(B3="Sales Manager",IF(COUNTIF(Teams!$B$2:$B$1001,C3)=1,"SSM selected - Verify ID","Missing/Ambiguous SSM"),"Invalid Position")))))))</f>
      </c>
      <c r="E3"/>
    </row>
    <row r="4">
      <c r="A4" t="str">
        <f>IF(OR(Identity!B4="",Identity!D4=""),"",TRIM(Identity!B4&amp;" "&amp;Identity!C4&amp;" "&amp;Identity!D4))</f>
      </c>
      <c r="D4" t="str">
        <f>IF(A4="","",IF(B4="","Select Position",IF(B4="Vice Director",IF(C4="","Ready - No Head Needed","Clear Head Member"),IF(C4="","Select Head Member",IF(C4=A4,"Invalid - Same Applicant",IF(B4="Senior Sales Manager",IF(COUNTIF(Teams!$A$2:$A$1001,C4)=1,"VD selected - Verify ID","Missing/Ambiguous VD"),IF(B4="Sales Manager",IF(COUNTIF(Teams!$B$2:$B$1001,C4)=1,"SSM selected - Verify ID","Missing/Ambiguous SSM"),"Invalid Position")))))))</f>
      </c>
      <c r="E4"/>
    </row>
    <row r="5">
      <c r="A5" t="str">
        <f>IF(OR(Identity!B5="",Identity!D5=""),"",TRIM(Identity!B5&amp;" "&amp;Identity!C5&amp;" "&amp;Identity!D5))</f>
      </c>
      <c r="D5" t="str">
        <f>IF(A5="","",IF(B5="","Select Position",IF(B5="Vice Director",IF(C5="","Ready - No Head Needed","Clear Head Member"),IF(C5="","Select Head Member",IF(C5=A5,"Invalid - Same Applicant",IF(B5="Senior Sales Manager",IF(COUNTIF(Teams!$A$2:$A$1001,C5)=1,"VD selected - Verify ID","Missing/Ambiguous VD"),IF(B5="Sales Manager",IF(COUNTIF(Teams!$B$2:$B$1001,C5)=1,"SSM selected - Verify ID","Missing/Ambiguous SSM"),"Invalid Position")))))))</f>
      </c>
    </row>
    <row r="6">
      <c r="A6" t="str">
        <f>IF(OR(Identity!B6="",Identity!D6=""),"",TRIM(Identity!B6&amp;" "&amp;Identity!C6&amp;" "&amp;Identity!D6))</f>
      </c>
      <c r="D6" t="str">
        <f>IF(A6="","",IF(B6="","Select Position",IF(B6="Vice Director",IF(C6="","Ready - No Head Needed","Clear Head Member"),IF(C6="","Select Head Member",IF(C6=A6,"Invalid - Same Applicant",IF(B6="Senior Sales Manager",IF(COUNTIF(Teams!$A$2:$A$1001,C6)=1,"VD selected - Verify ID","Missing/Ambiguous VD"),IF(B6="Sales Manager",IF(COUNTIF(Teams!$B$2:$B$1001,C6)=1,"SSM selected - Verify ID","Missing/Ambiguous SSM"),"Invalid Position")))))))</f>
      </c>
    </row>
    <row r="7">
      <c r="A7" t="str">
        <f>IF(OR(Identity!B7="",Identity!D7=""),"",TRIM(Identity!B7&amp;" "&amp;Identity!C7&amp;" "&amp;Identity!D7))</f>
      </c>
      <c r="D7" t="str">
        <f>IF(A7="","",IF(B7="","Select Position",IF(B7="Vice Director",IF(C7="","Ready - No Head Needed","Clear Head Member"),IF(C7="","Select Head Member",IF(C7=A7,"Invalid - Same Applicant",IF(B7="Senior Sales Manager",IF(COUNTIF(Teams!$A$2:$A$1001,C7)=1,"VD selected - Verify ID","Missing/Ambiguous VD"),IF(B7="Sales Manager",IF(COUNTIF(Teams!$B$2:$B$1001,C7)=1,"SSM selected - Verify ID","Missing/Ambiguous SSM"),"Invalid Position")))))))</f>
      </c>
    </row>
    <row r="8">
      <c r="A8" t="str">
        <f>IF(OR(Identity!B8="",Identity!D8=""),"",TRIM(Identity!B8&amp;" "&amp;Identity!C8&amp;" "&amp;Identity!D8))</f>
      </c>
      <c r="D8" t="str">
        <f>IF(A8="","",IF(B8="","Select Position",IF(B8="Vice Director",IF(C8="","Ready - No Head Needed","Clear Head Member"),IF(C8="","Select Head Member",IF(C8=A8,"Invalid - Same Applicant",IF(B8="Senior Sales Manager",IF(COUNTIF(Teams!$A$2:$A$1001,C8)=1,"VD selected - Verify ID","Missing/Ambiguous VD"),IF(B8="Sales Manager",IF(COUNTIF(Teams!$B$2:$B$1001,C8)=1,"SSM selected - Verify ID","Missing/Ambiguous SSM"),"Invalid Position")))))))</f>
      </c>
    </row>
    <row r="9">
      <c r="A9" t="str">
        <f>IF(OR(Identity!B9="",Identity!D9=""),"",TRIM(Identity!B9&amp;" "&amp;Identity!C9&amp;" "&amp;Identity!D9))</f>
      </c>
      <c r="D9" t="str">
        <f>IF(A9="","",IF(B9="","Select Position",IF(B9="Vice Director",IF(C9="","Ready - No Head Needed","Clear Head Member"),IF(C9="","Select Head Member",IF(C9=A9,"Invalid - Same Applicant",IF(B9="Senior Sales Manager",IF(COUNTIF(Teams!$A$2:$A$1001,C9)=1,"VD selected - Verify ID","Missing/Ambiguous VD"),IF(B9="Sales Manager",IF(COUNTIF(Teams!$B$2:$B$1001,C9)=1,"SSM selected - Verify ID","Missing/Ambiguous SSM"),"Invalid Position")))))))</f>
      </c>
    </row>
    <row r="10">
      <c r="A10" t="str">
        <f>IF(OR(Identity!B10="",Identity!D10=""),"",TRIM(Identity!B10&amp;" "&amp;Identity!C10&amp;" "&amp;Identity!D10))</f>
      </c>
      <c r="D10" t="str">
        <f>IF(A10="","",IF(B10="","Select Position",IF(B10="Vice Director",IF(C10="","Ready - No Head Needed","Clear Head Member"),IF(C10="","Select Head Member",IF(C10=A10,"Invalid - Same Applicant",IF(B10="Senior Sales Manager",IF(COUNTIF(Teams!$A$2:$A$1001,C10)=1,"VD selected - Verify ID","Missing/Ambiguous VD"),IF(B10="Sales Manager",IF(COUNTIF(Teams!$B$2:$B$1001,C10)=1,"SSM selected - Verify ID","Missing/Ambiguous SSM"),"Invalid Position")))))))</f>
      </c>
    </row>
    <row r="11">
      <c r="A11" t="str">
        <f>IF(OR(Identity!B11="",Identity!D11=""),"",TRIM(Identity!B11&amp;" "&amp;Identity!C11&amp;" "&amp;Identity!D11))</f>
      </c>
      <c r="D11" t="str">
        <f>IF(A11="","",IF(B11="","Select Position",IF(B11="Vice Director",IF(C11="","Ready - No Head Needed","Clear Head Member"),IF(C11="","Select Head Member",IF(C11=A11,"Invalid - Same Applicant",IF(B11="Senior Sales Manager",IF(COUNTIF(Teams!$A$2:$A$1001,C11)=1,"VD selected - Verify ID","Missing/Ambiguous VD"),IF(B11="Sales Manager",IF(COUNTIF(Teams!$B$2:$B$1001,C11)=1,"SSM selected - Verify ID","Missing/Ambiguous SSM"),"Invalid Position")))))))</f>
      </c>
    </row>
    <row r="12">
      <c r="A12" t="str">
        <f>IF(OR(Identity!B12="",Identity!D12=""),"",TRIM(Identity!B12&amp;" "&amp;Identity!C12&amp;" "&amp;Identity!D12))</f>
      </c>
      <c r="D12" t="str">
        <f>IF(A12="","",IF(B12="","Select Position",IF(B12="Vice Director",IF(C12="","Ready - No Head Needed","Clear Head Member"),IF(C12="","Select Head Member",IF(C12=A12,"Invalid - Same Applicant",IF(B12="Senior Sales Manager",IF(COUNTIF(Teams!$A$2:$A$1001,C12)=1,"VD selected - Verify ID","Missing/Ambiguous VD"),IF(B12="Sales Manager",IF(COUNTIF(Teams!$B$2:$B$1001,C12)=1,"SSM selected - Verify ID","Missing/Ambiguous SSM"),"Invalid Position")))))))</f>
      </c>
    </row>
    <row r="13">
      <c r="A13" t="str">
        <f>IF(OR(Identity!B13="",Identity!D13=""),"",TRIM(Identity!B13&amp;" "&amp;Identity!C13&amp;" "&amp;Identity!D13))</f>
      </c>
      <c r="D13" t="str">
        <f>IF(A13="","",IF(B13="","Select Position",IF(B13="Vice Director",IF(C13="","Ready - No Head Needed","Clear Head Member"),IF(C13="","Select Head Member",IF(C13=A13,"Invalid - Same Applicant",IF(B13="Senior Sales Manager",IF(COUNTIF(Teams!$A$2:$A$1001,C13)=1,"VD selected - Verify ID","Missing/Ambiguous VD"),IF(B13="Sales Manager",IF(COUNTIF(Teams!$B$2:$B$1001,C13)=1,"SSM selected - Verify ID","Missing/Ambiguous SSM"),"Invalid Position")))))))</f>
      </c>
    </row>
    <row r="14">
      <c r="A14" t="str">
        <f>IF(OR(Identity!B14="",Identity!D14=""),"",TRIM(Identity!B14&amp;" "&amp;Identity!C14&amp;" "&amp;Identity!D14))</f>
      </c>
      <c r="D14" t="str">
        <f>IF(A14="","",IF(B14="","Select Position",IF(B14="Vice Director",IF(C14="","Ready - No Head Needed","Clear Head Member"),IF(C14="","Select Head Member",IF(C14=A14,"Invalid - Same Applicant",IF(B14="Senior Sales Manager",IF(COUNTIF(Teams!$A$2:$A$1001,C14)=1,"VD selected - Verify ID","Missing/Ambiguous VD"),IF(B14="Sales Manager",IF(COUNTIF(Teams!$B$2:$B$1001,C14)=1,"SSM selected - Verify ID","Missing/Ambiguous SSM"),"Invalid Position")))))))</f>
      </c>
    </row>
    <row r="15">
      <c r="A15" t="str">
        <f>IF(OR(Identity!B15="",Identity!D15=""),"",TRIM(Identity!B15&amp;" "&amp;Identity!C15&amp;" "&amp;Identity!D15))</f>
      </c>
      <c r="D15" t="str">
        <f>IF(A15="","",IF(B15="","Select Position",IF(B15="Vice Director",IF(C15="","Ready - No Head Needed","Clear Head Member"),IF(C15="","Select Head Member",IF(C15=A15,"Invalid - Same Applicant",IF(B15="Senior Sales Manager",IF(COUNTIF(Teams!$A$2:$A$1001,C15)=1,"VD selected - Verify ID","Missing/Ambiguous VD"),IF(B15="Sales Manager",IF(COUNTIF(Teams!$B$2:$B$1001,C15)=1,"SSM selected - Verify ID","Missing/Ambiguous SSM"),"Invalid Position")))))))</f>
      </c>
    </row>
    <row r="16">
      <c r="A16" t="str">
        <f>IF(OR(Identity!B16="",Identity!D16=""),"",TRIM(Identity!B16&amp;" "&amp;Identity!C16&amp;" "&amp;Identity!D16))</f>
      </c>
      <c r="D16" t="str">
        <f>IF(A16="","",IF(B16="","Select Position",IF(B16="Vice Director",IF(C16="","Ready - No Head Needed","Clear Head Member"),IF(C16="","Select Head Member",IF(C16=A16,"Invalid - Same Applicant",IF(B16="Senior Sales Manager",IF(COUNTIF(Teams!$A$2:$A$1001,C16)=1,"VD selected - Verify ID","Missing/Ambiguous VD"),IF(B16="Sales Manager",IF(COUNTIF(Teams!$B$2:$B$1001,C16)=1,"SSM selected - Verify ID","Missing/Ambiguous SSM"),"Invalid Position")))))))</f>
      </c>
    </row>
    <row r="17">
      <c r="A17" t="str">
        <f>IF(OR(Identity!B17="",Identity!D17=""),"",TRIM(Identity!B17&amp;" "&amp;Identity!C17&amp;" "&amp;Identity!D17))</f>
      </c>
      <c r="D17" t="str">
        <f>IF(A17="","",IF(B17="","Select Position",IF(B17="Vice Director",IF(C17="","Ready - No Head Needed","Clear Head Member"),IF(C17="","Select Head Member",IF(C17=A17,"Invalid - Same Applicant",IF(B17="Senior Sales Manager",IF(COUNTIF(Teams!$A$2:$A$1001,C17)=1,"VD selected - Verify ID","Missing/Ambiguous VD"),IF(B17="Sales Manager",IF(COUNTIF(Teams!$B$2:$B$1001,C17)=1,"SSM selected - Verify ID","Missing/Ambiguous SSM"),"Invalid Position")))))))</f>
      </c>
    </row>
    <row r="18">
      <c r="A18" t="str">
        <f>IF(OR(Identity!B18="",Identity!D18=""),"",TRIM(Identity!B18&amp;" "&amp;Identity!C18&amp;" "&amp;Identity!D18))</f>
      </c>
      <c r="D18" t="str">
        <f>IF(A18="","",IF(B18="","Select Position",IF(B18="Vice Director",IF(C18="","Ready - No Head Needed","Clear Head Member"),IF(C18="","Select Head Member",IF(C18=A18,"Invalid - Same Applicant",IF(B18="Senior Sales Manager",IF(COUNTIF(Teams!$A$2:$A$1001,C18)=1,"VD selected - Verify ID","Missing/Ambiguous VD"),IF(B18="Sales Manager",IF(COUNTIF(Teams!$B$2:$B$1001,C18)=1,"SSM selected - Verify ID","Missing/Ambiguous SSM"),"Invalid Position")))))))</f>
      </c>
    </row>
    <row r="19">
      <c r="A19" t="str">
        <f>IF(OR(Identity!B19="",Identity!D19=""),"",TRIM(Identity!B19&amp;" "&amp;Identity!C19&amp;" "&amp;Identity!D19))</f>
      </c>
      <c r="D19" t="str">
        <f>IF(A19="","",IF(B19="","Select Position",IF(B19="Vice Director",IF(C19="","Ready - No Head Needed","Clear Head Member"),IF(C19="","Select Head Member",IF(C19=A19,"Invalid - Same Applicant",IF(B19="Senior Sales Manager",IF(COUNTIF(Teams!$A$2:$A$1001,C19)=1,"VD selected - Verify ID","Missing/Ambiguous VD"),IF(B19="Sales Manager",IF(COUNTIF(Teams!$B$2:$B$1001,C19)=1,"SSM selected - Verify ID","Missing/Ambiguous SSM"),"Invalid Position")))))))</f>
      </c>
    </row>
    <row r="20">
      <c r="A20" t="str">
        <f>IF(OR(Identity!B20="",Identity!D20=""),"",TRIM(Identity!B20&amp;" "&amp;Identity!C20&amp;" "&amp;Identity!D20))</f>
      </c>
      <c r="D20" t="str">
        <f>IF(A20="","",IF(B20="","Select Position",IF(B20="Vice Director",IF(C20="","Ready - No Head Needed","Clear Head Member"),IF(C20="","Select Head Member",IF(C20=A20,"Invalid - Same Applicant",IF(B20="Senior Sales Manager",IF(COUNTIF(Teams!$A$2:$A$1001,C20)=1,"VD selected - Verify ID","Missing/Ambiguous VD"),IF(B20="Sales Manager",IF(COUNTIF(Teams!$B$2:$B$1001,C20)=1,"SSM selected - Verify ID","Missing/Ambiguous SSM"),"Invalid Position")))))))</f>
      </c>
    </row>
    <row r="21">
      <c r="A21" t="str">
        <f>IF(OR(Identity!B21="",Identity!D21=""),"",TRIM(Identity!B21&amp;" "&amp;Identity!C21&amp;" "&amp;Identity!D21))</f>
      </c>
      <c r="D21" t="str">
        <f>IF(A21="","",IF(B21="","Select Position",IF(B21="Vice Director",IF(C21="","Ready - No Head Needed","Clear Head Member"),IF(C21="","Select Head Member",IF(C21=A21,"Invalid - Same Applicant",IF(B21="Senior Sales Manager",IF(COUNTIF(Teams!$A$2:$A$1001,C21)=1,"VD selected - Verify ID","Missing/Ambiguous VD"),IF(B21="Sales Manager",IF(COUNTIF(Teams!$B$2:$B$1001,C21)=1,"SSM selected - Verify ID","Missing/Ambiguous SSM"),"Invalid Position")))))))</f>
      </c>
    </row>
    <row r="22">
      <c r="A22" t="str">
        <f>IF(OR(Identity!B22="",Identity!D22=""),"",TRIM(Identity!B22&amp;" "&amp;Identity!C22&amp;" "&amp;Identity!D22))</f>
      </c>
      <c r="D22" t="str">
        <f>IF(A22="","",IF(B22="","Select Position",IF(B22="Vice Director",IF(C22="","Ready - No Head Needed","Clear Head Member"),IF(C22="","Select Head Member",IF(C22=A22,"Invalid - Same Applicant",IF(B22="Senior Sales Manager",IF(COUNTIF(Teams!$A$2:$A$1001,C22)=1,"VD selected - Verify ID","Missing/Ambiguous VD"),IF(B22="Sales Manager",IF(COUNTIF(Teams!$B$2:$B$1001,C22)=1,"SSM selected - Verify ID","Missing/Ambiguous SSM"),"Invalid Position")))))))</f>
      </c>
    </row>
    <row r="23">
      <c r="A23" t="str">
        <f>IF(OR(Identity!B23="",Identity!D23=""),"",TRIM(Identity!B23&amp;" "&amp;Identity!C23&amp;" "&amp;Identity!D23))</f>
      </c>
      <c r="D23" t="str">
        <f>IF(A23="","",IF(B23="","Select Position",IF(B23="Vice Director",IF(C23="","Ready - No Head Needed","Clear Head Member"),IF(C23="","Select Head Member",IF(C23=A23,"Invalid - Same Applicant",IF(B23="Senior Sales Manager",IF(COUNTIF(Teams!$A$2:$A$1001,C23)=1,"VD selected - Verify ID","Missing/Ambiguous VD"),IF(B23="Sales Manager",IF(COUNTIF(Teams!$B$2:$B$1001,C23)=1,"SSM selected - Verify ID","Missing/Ambiguous SSM"),"Invalid Position")))))))</f>
      </c>
    </row>
    <row r="24">
      <c r="A24" t="str">
        <f>IF(OR(Identity!B24="",Identity!D24=""),"",TRIM(Identity!B24&amp;" "&amp;Identity!C24&amp;" "&amp;Identity!D24))</f>
      </c>
      <c r="D24" t="str">
        <f>IF(A24="","",IF(B24="","Select Position",IF(B24="Vice Director",IF(C24="","Ready - No Head Needed","Clear Head Member"),IF(C24="","Select Head Member",IF(C24=A24,"Invalid - Same Applicant",IF(B24="Senior Sales Manager",IF(COUNTIF(Teams!$A$2:$A$1001,C24)=1,"VD selected - Verify ID","Missing/Ambiguous VD"),IF(B24="Sales Manager",IF(COUNTIF(Teams!$B$2:$B$1001,C24)=1,"SSM selected - Verify ID","Missing/Ambiguous SSM"),"Invalid Position")))))))</f>
      </c>
    </row>
    <row r="25">
      <c r="A25" t="str">
        <f>IF(OR(Identity!B25="",Identity!D25=""),"",TRIM(Identity!B25&amp;" "&amp;Identity!C25&amp;" "&amp;Identity!D25))</f>
      </c>
      <c r="D25" t="str">
        <f>IF(A25="","",IF(B25="","Select Position",IF(B25="Vice Director",IF(C25="","Ready - No Head Needed","Clear Head Member"),IF(C25="","Select Head Member",IF(C25=A25,"Invalid - Same Applicant",IF(B25="Senior Sales Manager",IF(COUNTIF(Teams!$A$2:$A$1001,C25)=1,"VD selected - Verify ID","Missing/Ambiguous VD"),IF(B25="Sales Manager",IF(COUNTIF(Teams!$B$2:$B$1001,C25)=1,"SSM selected - Verify ID","Missing/Ambiguous SSM"),"Invalid Position")))))))</f>
      </c>
    </row>
    <row r="26">
      <c r="A26" t="str">
        <f>IF(OR(Identity!B26="",Identity!D26=""),"",TRIM(Identity!B26&amp;" "&amp;Identity!C26&amp;" "&amp;Identity!D26))</f>
      </c>
      <c r="D26" t="str">
        <f>IF(A26="","",IF(B26="","Select Position",IF(B26="Vice Director",IF(C26="","Ready - No Head Needed","Clear Head Member"),IF(C26="","Select Head Member",IF(C26=A26,"Invalid - Same Applicant",IF(B26="Senior Sales Manager",IF(COUNTIF(Teams!$A$2:$A$1001,C26)=1,"VD selected - Verify ID","Missing/Ambiguous VD"),IF(B26="Sales Manager",IF(COUNTIF(Teams!$B$2:$B$1001,C26)=1,"SSM selected - Verify ID","Missing/Ambiguous SSM"),"Invalid Position")))))))</f>
      </c>
    </row>
    <row r="27">
      <c r="A27" t="str">
        <f>IF(OR(Identity!B27="",Identity!D27=""),"",TRIM(Identity!B27&amp;" "&amp;Identity!C27&amp;" "&amp;Identity!D27))</f>
      </c>
      <c r="D27" t="str">
        <f>IF(A27="","",IF(B27="","Select Position",IF(B27="Vice Director",IF(C27="","Ready - No Head Needed","Clear Head Member"),IF(C27="","Select Head Member",IF(C27=A27,"Invalid - Same Applicant",IF(B27="Senior Sales Manager",IF(COUNTIF(Teams!$A$2:$A$1001,C27)=1,"VD selected - Verify ID","Missing/Ambiguous VD"),IF(B27="Sales Manager",IF(COUNTIF(Teams!$B$2:$B$1001,C27)=1,"SSM selected - Verify ID","Missing/Ambiguous SSM"),"Invalid Position")))))))</f>
      </c>
    </row>
    <row r="28">
      <c r="A28" t="str">
        <f>IF(OR(Identity!B28="",Identity!D28=""),"",TRIM(Identity!B28&amp;" "&amp;Identity!C28&amp;" "&amp;Identity!D28))</f>
      </c>
      <c r="D28" t="str">
        <f>IF(A28="","",IF(B28="","Select Position",IF(B28="Vice Director",IF(C28="","Ready - No Head Needed","Clear Head Member"),IF(C28="","Select Head Member",IF(C28=A28,"Invalid - Same Applicant",IF(B28="Senior Sales Manager",IF(COUNTIF(Teams!$A$2:$A$1001,C28)=1,"VD selected - Verify ID","Missing/Ambiguous VD"),IF(B28="Sales Manager",IF(COUNTIF(Teams!$B$2:$B$1001,C28)=1,"SSM selected - Verify ID","Missing/Ambiguous SSM"),"Invalid Position")))))))</f>
      </c>
    </row>
    <row r="29">
      <c r="A29" t="str">
        <f>IF(OR(Identity!B29="",Identity!D29=""),"",TRIM(Identity!B29&amp;" "&amp;Identity!C29&amp;" "&amp;Identity!D29))</f>
      </c>
      <c r="D29" t="str">
        <f>IF(A29="","",IF(B29="","Select Position",IF(B29="Vice Director",IF(C29="","Ready - No Head Needed","Clear Head Member"),IF(C29="","Select Head Member",IF(C29=A29,"Invalid - Same Applicant",IF(B29="Senior Sales Manager",IF(COUNTIF(Teams!$A$2:$A$1001,C29)=1,"VD selected - Verify ID","Missing/Ambiguous VD"),IF(B29="Sales Manager",IF(COUNTIF(Teams!$B$2:$B$1001,C29)=1,"SSM selected - Verify ID","Missing/Ambiguous SSM"),"Invalid Position")))))))</f>
      </c>
    </row>
    <row r="30">
      <c r="A30" t="str">
        <f>IF(OR(Identity!B30="",Identity!D30=""),"",TRIM(Identity!B30&amp;" "&amp;Identity!C30&amp;" "&amp;Identity!D30))</f>
      </c>
      <c r="D30" t="str">
        <f>IF(A30="","",IF(B30="","Select Position",IF(B30="Vice Director",IF(C30="","Ready - No Head Needed","Clear Head Member"),IF(C30="","Select Head Member",IF(C30=A30,"Invalid - Same Applicant",IF(B30="Senior Sales Manager",IF(COUNTIF(Teams!$A$2:$A$1001,C30)=1,"VD selected - Verify ID","Missing/Ambiguous VD"),IF(B30="Sales Manager",IF(COUNTIF(Teams!$B$2:$B$1001,C30)=1,"SSM selected - Verify ID","Missing/Ambiguous SSM"),"Invalid Position")))))))</f>
      </c>
    </row>
    <row r="31">
      <c r="A31" t="str">
        <f>IF(OR(Identity!B31="",Identity!D31=""),"",TRIM(Identity!B31&amp;" "&amp;Identity!C31&amp;" "&amp;Identity!D31))</f>
      </c>
      <c r="D31" t="str">
        <f>IF(A31="","",IF(B31="","Select Position",IF(B31="Vice Director",IF(C31="","Ready - No Head Needed","Clear Head Member"),IF(C31="","Select Head Member",IF(C31=A31,"Invalid - Same Applicant",IF(B31="Senior Sales Manager",IF(COUNTIF(Teams!$A$2:$A$1001,C31)=1,"VD selected - Verify ID","Missing/Ambiguous VD"),IF(B31="Sales Manager",IF(COUNTIF(Teams!$B$2:$B$1001,C31)=1,"SSM selected - Verify ID","Missing/Ambiguous SSM"),"Invalid Position")))))))</f>
      </c>
    </row>
    <row r="32">
      <c r="A32" t="str">
        <f>IF(OR(Identity!B32="",Identity!D32=""),"",TRIM(Identity!B32&amp;" "&amp;Identity!C32&amp;" "&amp;Identity!D32))</f>
      </c>
      <c r="D32" t="str">
        <f>IF(A32="","",IF(B32="","Select Position",IF(B32="Vice Director",IF(C32="","Ready - No Head Needed","Clear Head Member"),IF(C32="","Select Head Member",IF(C32=A32,"Invalid - Same Applicant",IF(B32="Senior Sales Manager",IF(COUNTIF(Teams!$A$2:$A$1001,C32)=1,"VD selected - Verify ID","Missing/Ambiguous VD"),IF(B32="Sales Manager",IF(COUNTIF(Teams!$B$2:$B$1001,C32)=1,"SSM selected - Verify ID","Missing/Ambiguous SSM"),"Invalid Position")))))))</f>
      </c>
    </row>
    <row r="33">
      <c r="A33" t="str">
        <f>IF(OR(Identity!B33="",Identity!D33=""),"",TRIM(Identity!B33&amp;" "&amp;Identity!C33&amp;" "&amp;Identity!D33))</f>
      </c>
      <c r="D33" t="str">
        <f>IF(A33="","",IF(B33="","Select Position",IF(B33="Vice Director",IF(C33="","Ready - No Head Needed","Clear Head Member"),IF(C33="","Select Head Member",IF(C33=A33,"Invalid - Same Applicant",IF(B33="Senior Sales Manager",IF(COUNTIF(Teams!$A$2:$A$1001,C33)=1,"VD selected - Verify ID","Missing/Ambiguous VD"),IF(B33="Sales Manager",IF(COUNTIF(Teams!$B$2:$B$1001,C33)=1,"SSM selected - Verify ID","Missing/Ambiguous SSM"),"Invalid Position")))))))</f>
      </c>
    </row>
    <row r="34">
      <c r="A34" t="str">
        <f>IF(OR(Identity!B34="",Identity!D34=""),"",TRIM(Identity!B34&amp;" "&amp;Identity!C34&amp;" "&amp;Identity!D34))</f>
      </c>
      <c r="D34" t="str">
        <f>IF(A34="","",IF(B34="","Select Position",IF(B34="Vice Director",IF(C34="","Ready - No Head Needed","Clear Head Member"),IF(C34="","Select Head Member",IF(C34=A34,"Invalid - Same Applicant",IF(B34="Senior Sales Manager",IF(COUNTIF(Teams!$A$2:$A$1001,C34)=1,"VD selected - Verify ID","Missing/Ambiguous VD"),IF(B34="Sales Manager",IF(COUNTIF(Teams!$B$2:$B$1001,C34)=1,"SSM selected - Verify ID","Missing/Ambiguous SSM"),"Invalid Position")))))))</f>
      </c>
    </row>
    <row r="35">
      <c r="A35" t="str">
        <f>IF(OR(Identity!B35="",Identity!D35=""),"",TRIM(Identity!B35&amp;" "&amp;Identity!C35&amp;" "&amp;Identity!D35))</f>
      </c>
      <c r="D35" t="str">
        <f>IF(A35="","",IF(B35="","Select Position",IF(B35="Vice Director",IF(C35="","Ready - No Head Needed","Clear Head Member"),IF(C35="","Select Head Member",IF(C35=A35,"Invalid - Same Applicant",IF(B35="Senior Sales Manager",IF(COUNTIF(Teams!$A$2:$A$1001,C35)=1,"VD selected - Verify ID","Missing/Ambiguous VD"),IF(B35="Sales Manager",IF(COUNTIF(Teams!$B$2:$B$1001,C35)=1,"SSM selected - Verify ID","Missing/Ambiguous SSM"),"Invalid Position")))))))</f>
      </c>
    </row>
    <row r="36">
      <c r="A36" t="str">
        <f>IF(OR(Identity!B36="",Identity!D36=""),"",TRIM(Identity!B36&amp;" "&amp;Identity!C36&amp;" "&amp;Identity!D36))</f>
      </c>
      <c r="D36" t="str">
        <f>IF(A36="","",IF(B36="","Select Position",IF(B36="Vice Director",IF(C36="","Ready - No Head Needed","Clear Head Member"),IF(C36="","Select Head Member",IF(C36=A36,"Invalid - Same Applicant",IF(B36="Senior Sales Manager",IF(COUNTIF(Teams!$A$2:$A$1001,C36)=1,"VD selected - Verify ID","Missing/Ambiguous VD"),IF(B36="Sales Manager",IF(COUNTIF(Teams!$B$2:$B$1001,C36)=1,"SSM selected - Verify ID","Missing/Ambiguous SSM"),"Invalid Position")))))))</f>
      </c>
    </row>
    <row r="37">
      <c r="A37" t="str">
        <f>IF(OR(Identity!B37="",Identity!D37=""),"",TRIM(Identity!B37&amp;" "&amp;Identity!C37&amp;" "&amp;Identity!D37))</f>
      </c>
      <c r="D37" t="str">
        <f>IF(A37="","",IF(B37="","Select Position",IF(B37="Vice Director",IF(C37="","Ready - No Head Needed","Clear Head Member"),IF(C37="","Select Head Member",IF(C37=A37,"Invalid - Same Applicant",IF(B37="Senior Sales Manager",IF(COUNTIF(Teams!$A$2:$A$1001,C37)=1,"VD selected - Verify ID","Missing/Ambiguous VD"),IF(B37="Sales Manager",IF(COUNTIF(Teams!$B$2:$B$1001,C37)=1,"SSM selected - Verify ID","Missing/Ambiguous SSM"),"Invalid Position")))))))</f>
      </c>
    </row>
    <row r="38">
      <c r="A38" t="str">
        <f>IF(OR(Identity!B38="",Identity!D38=""),"",TRIM(Identity!B38&amp;" "&amp;Identity!C38&amp;" "&amp;Identity!D38))</f>
      </c>
      <c r="D38" t="str">
        <f>IF(A38="","",IF(B38="","Select Position",IF(B38="Vice Director",IF(C38="","Ready - No Head Needed","Clear Head Member"),IF(C38="","Select Head Member",IF(C38=A38,"Invalid - Same Applicant",IF(B38="Senior Sales Manager",IF(COUNTIF(Teams!$A$2:$A$1001,C38)=1,"VD selected - Verify ID","Missing/Ambiguous VD"),IF(B38="Sales Manager",IF(COUNTIF(Teams!$B$2:$B$1001,C38)=1,"SSM selected - Verify ID","Missing/Ambiguous SSM"),"Invalid Position")))))))</f>
      </c>
    </row>
    <row r="39">
      <c r="A39" t="str">
        <f>IF(OR(Identity!B39="",Identity!D39=""),"",TRIM(Identity!B39&amp;" "&amp;Identity!C39&amp;" "&amp;Identity!D39))</f>
      </c>
      <c r="D39" t="str">
        <f>IF(A39="","",IF(B39="","Select Position",IF(B39="Vice Director",IF(C39="","Ready - No Head Needed","Clear Head Member"),IF(C39="","Select Head Member",IF(C39=A39,"Invalid - Same Applicant",IF(B39="Senior Sales Manager",IF(COUNTIF(Teams!$A$2:$A$1001,C39)=1,"VD selected - Verify ID","Missing/Ambiguous VD"),IF(B39="Sales Manager",IF(COUNTIF(Teams!$B$2:$B$1001,C39)=1,"SSM selected - Verify ID","Missing/Ambiguous SSM"),"Invalid Position")))))))</f>
      </c>
    </row>
    <row r="40">
      <c r="A40" t="str">
        <f>IF(OR(Identity!B40="",Identity!D40=""),"",TRIM(Identity!B40&amp;" "&amp;Identity!C40&amp;" "&amp;Identity!D40))</f>
      </c>
      <c r="D40" t="str">
        <f>IF(A40="","",IF(B40="","Select Position",IF(B40="Vice Director",IF(C40="","Ready - No Head Needed","Clear Head Member"),IF(C40="","Select Head Member",IF(C40=A40,"Invalid - Same Applicant",IF(B40="Senior Sales Manager",IF(COUNTIF(Teams!$A$2:$A$1001,C40)=1,"VD selected - Verify ID","Missing/Ambiguous VD"),IF(B40="Sales Manager",IF(COUNTIF(Teams!$B$2:$B$1001,C40)=1,"SSM selected - Verify ID","Missing/Ambiguous SSM"),"Invalid Position")))))))</f>
      </c>
    </row>
    <row r="41">
      <c r="A41" t="str">
        <f>IF(OR(Identity!B41="",Identity!D41=""),"",TRIM(Identity!B41&amp;" "&amp;Identity!C41&amp;" "&amp;Identity!D41))</f>
      </c>
      <c r="D41" t="str">
        <f>IF(A41="","",IF(B41="","Select Position",IF(B41="Vice Director",IF(C41="","Ready - No Head Needed","Clear Head Member"),IF(C41="","Select Head Member",IF(C41=A41,"Invalid - Same Applicant",IF(B41="Senior Sales Manager",IF(COUNTIF(Teams!$A$2:$A$1001,C41)=1,"VD selected - Verify ID","Missing/Ambiguous VD"),IF(B41="Sales Manager",IF(COUNTIF(Teams!$B$2:$B$1001,C41)=1,"SSM selected - Verify ID","Missing/Ambiguous SSM"),"Invalid Position")))))))</f>
      </c>
    </row>
    <row r="42">
      <c r="A42" t="str">
        <f>IF(OR(Identity!B42="",Identity!D42=""),"",TRIM(Identity!B42&amp;" "&amp;Identity!C42&amp;" "&amp;Identity!D42))</f>
      </c>
      <c r="D42" t="str">
        <f>IF(A42="","",IF(B42="","Select Position",IF(B42="Vice Director",IF(C42="","Ready - No Head Needed","Clear Head Member"),IF(C42="","Select Head Member",IF(C42=A42,"Invalid - Same Applicant",IF(B42="Senior Sales Manager",IF(COUNTIF(Teams!$A$2:$A$1001,C42)=1,"VD selected - Verify ID","Missing/Ambiguous VD"),IF(B42="Sales Manager",IF(COUNTIF(Teams!$B$2:$B$1001,C42)=1,"SSM selected - Verify ID","Missing/Ambiguous SSM"),"Invalid Position")))))))</f>
      </c>
    </row>
    <row r="43">
      <c r="A43" t="str">
        <f>IF(OR(Identity!B43="",Identity!D43=""),"",TRIM(Identity!B43&amp;" "&amp;Identity!C43&amp;" "&amp;Identity!D43))</f>
      </c>
      <c r="D43" t="str">
        <f>IF(A43="","",IF(B43="","Select Position",IF(B43="Vice Director",IF(C43="","Ready - No Head Needed","Clear Head Member"),IF(C43="","Select Head Member",IF(C43=A43,"Invalid - Same Applicant",IF(B43="Senior Sales Manager",IF(COUNTIF(Teams!$A$2:$A$1001,C43)=1,"VD selected - Verify ID","Missing/Ambiguous VD"),IF(B43="Sales Manager",IF(COUNTIF(Teams!$B$2:$B$1001,C43)=1,"SSM selected - Verify ID","Missing/Ambiguous SSM"),"Invalid Position")))))))</f>
      </c>
    </row>
    <row r="44">
      <c r="A44" t="str">
        <f>IF(OR(Identity!B44="",Identity!D44=""),"",TRIM(Identity!B44&amp;" "&amp;Identity!C44&amp;" "&amp;Identity!D44))</f>
      </c>
      <c r="D44" t="str">
        <f>IF(A44="","",IF(B44="","Select Position",IF(B44="Vice Director",IF(C44="","Ready - No Head Needed","Clear Head Member"),IF(C44="","Select Head Member",IF(C44=A44,"Invalid - Same Applicant",IF(B44="Senior Sales Manager",IF(COUNTIF(Teams!$A$2:$A$1001,C44)=1,"VD selected - Verify ID","Missing/Ambiguous VD"),IF(B44="Sales Manager",IF(COUNTIF(Teams!$B$2:$B$1001,C44)=1,"SSM selected - Verify ID","Missing/Ambiguous SSM"),"Invalid Position")))))))</f>
      </c>
    </row>
    <row r="45">
      <c r="A45" t="str">
        <f>IF(OR(Identity!B45="",Identity!D45=""),"",TRIM(Identity!B45&amp;" "&amp;Identity!C45&amp;" "&amp;Identity!D45))</f>
      </c>
      <c r="D45" t="str">
        <f>IF(A45="","",IF(B45="","Select Position",IF(B45="Vice Director",IF(C45="","Ready - No Head Needed","Clear Head Member"),IF(C45="","Select Head Member",IF(C45=A45,"Invalid - Same Applicant",IF(B45="Senior Sales Manager",IF(COUNTIF(Teams!$A$2:$A$1001,C45)=1,"VD selected - Verify ID","Missing/Ambiguous VD"),IF(B45="Sales Manager",IF(COUNTIF(Teams!$B$2:$B$1001,C45)=1,"SSM selected - Verify ID","Missing/Ambiguous SSM"),"Invalid Position")))))))</f>
      </c>
    </row>
    <row r="46">
      <c r="A46" t="str">
        <f>IF(OR(Identity!B46="",Identity!D46=""),"",TRIM(Identity!B46&amp;" "&amp;Identity!C46&amp;" "&amp;Identity!D46))</f>
      </c>
      <c r="D46" t="str">
        <f>IF(A46="","",IF(B46="","Select Position",IF(B46="Vice Director",IF(C46="","Ready - No Head Needed","Clear Head Member"),IF(C46="","Select Head Member",IF(C46=A46,"Invalid - Same Applicant",IF(B46="Senior Sales Manager",IF(COUNTIF(Teams!$A$2:$A$1001,C46)=1,"VD selected - Verify ID","Missing/Ambiguous VD"),IF(B46="Sales Manager",IF(COUNTIF(Teams!$B$2:$B$1001,C46)=1,"SSM selected - Verify ID","Missing/Ambiguous SSM"),"Invalid Position")))))))</f>
      </c>
    </row>
    <row r="47">
      <c r="A47" t="str">
        <f>IF(OR(Identity!B47="",Identity!D47=""),"",TRIM(Identity!B47&amp;" "&amp;Identity!C47&amp;" "&amp;Identity!D47))</f>
      </c>
      <c r="D47" t="str">
        <f>IF(A47="","",IF(B47="","Select Position",IF(B47="Vice Director",IF(C47="","Ready - No Head Needed","Clear Head Member"),IF(C47="","Select Head Member",IF(C47=A47,"Invalid - Same Applicant",IF(B47="Senior Sales Manager",IF(COUNTIF(Teams!$A$2:$A$1001,C47)=1,"VD selected - Verify ID","Missing/Ambiguous VD"),IF(B47="Sales Manager",IF(COUNTIF(Teams!$B$2:$B$1001,C47)=1,"SSM selected - Verify ID","Missing/Ambiguous SSM"),"Invalid Position")))))))</f>
      </c>
    </row>
    <row r="48">
      <c r="A48" t="str">
        <f>IF(OR(Identity!B48="",Identity!D48=""),"",TRIM(Identity!B48&amp;" "&amp;Identity!C48&amp;" "&amp;Identity!D48))</f>
      </c>
      <c r="D48" t="str">
        <f>IF(A48="","",IF(B48="","Select Position",IF(B48="Vice Director",IF(C48="","Ready - No Head Needed","Clear Head Member"),IF(C48="","Select Head Member",IF(C48=A48,"Invalid - Same Applicant",IF(B48="Senior Sales Manager",IF(COUNTIF(Teams!$A$2:$A$1001,C48)=1,"VD selected - Verify ID","Missing/Ambiguous VD"),IF(B48="Sales Manager",IF(COUNTIF(Teams!$B$2:$B$1001,C48)=1,"SSM selected - Verify ID","Missing/Ambiguous SSM"),"Invalid Position")))))))</f>
      </c>
    </row>
    <row r="49">
      <c r="A49" t="str">
        <f>IF(OR(Identity!B49="",Identity!D49=""),"",TRIM(Identity!B49&amp;" "&amp;Identity!C49&amp;" "&amp;Identity!D49))</f>
      </c>
      <c r="D49" t="str">
        <f>IF(A49="","",IF(B49="","Select Position",IF(B49="Vice Director",IF(C49="","Ready - No Head Needed","Clear Head Member"),IF(C49="","Select Head Member",IF(C49=A49,"Invalid - Same Applicant",IF(B49="Senior Sales Manager",IF(COUNTIF(Teams!$A$2:$A$1001,C49)=1,"VD selected - Verify ID","Missing/Ambiguous VD"),IF(B49="Sales Manager",IF(COUNTIF(Teams!$B$2:$B$1001,C49)=1,"SSM selected - Verify ID","Missing/Ambiguous SSM"),"Invalid Position")))))))</f>
      </c>
    </row>
    <row r="50">
      <c r="A50" t="str">
        <f>IF(OR(Identity!B50="",Identity!D50=""),"",TRIM(Identity!B50&amp;" "&amp;Identity!C50&amp;" "&amp;Identity!D50))</f>
      </c>
      <c r="D50" t="str">
        <f>IF(A50="","",IF(B50="","Select Position",IF(B50="Vice Director",IF(C50="","Ready - No Head Needed","Clear Head Member"),IF(C50="","Select Head Member",IF(C50=A50,"Invalid - Same Applicant",IF(B50="Senior Sales Manager",IF(COUNTIF(Teams!$A$2:$A$1001,C50)=1,"VD selected - Verify ID","Missing/Ambiguous VD"),IF(B50="Sales Manager",IF(COUNTIF(Teams!$B$2:$B$1001,C50)=1,"SSM selected - Verify ID","Missing/Ambiguous SSM"),"Invalid Position")))))))</f>
      </c>
    </row>
    <row r="51">
      <c r="A51" t="str">
        <f>IF(OR(Identity!B51="",Identity!D51=""),"",TRIM(Identity!B51&amp;" "&amp;Identity!C51&amp;" "&amp;Identity!D51))</f>
      </c>
      <c r="D51" t="str">
        <f>IF(A51="","",IF(B51="","Select Position",IF(B51="Vice Director",IF(C51="","Ready - No Head Needed","Clear Head Member"),IF(C51="","Select Head Member",IF(C51=A51,"Invalid - Same Applicant",IF(B51="Senior Sales Manager",IF(COUNTIF(Teams!$A$2:$A$1001,C51)=1,"VD selected - Verify ID","Missing/Ambiguous VD"),IF(B51="Sales Manager",IF(COUNTIF(Teams!$B$2:$B$1001,C51)=1,"SSM selected - Verify ID","Missing/Ambiguous SSM"),"Invalid Position")))))))</f>
      </c>
    </row>
    <row r="52">
      <c r="A52" t="str">
        <f>IF(OR(Identity!B52="",Identity!D52=""),"",TRIM(Identity!B52&amp;" "&amp;Identity!C52&amp;" "&amp;Identity!D52))</f>
      </c>
      <c r="D52" t="str">
        <f>IF(A52="","",IF(B52="","Select Position",IF(B52="Vice Director",IF(C52="","Ready - No Head Needed","Clear Head Member"),IF(C52="","Select Head Member",IF(C52=A52,"Invalid - Same Applicant",IF(B52="Senior Sales Manager",IF(COUNTIF(Teams!$A$2:$A$1001,C52)=1,"VD selected - Verify ID","Missing/Ambiguous VD"),IF(B52="Sales Manager",IF(COUNTIF(Teams!$B$2:$B$1001,C52)=1,"SSM selected - Verify ID","Missing/Ambiguous SSM"),"Invalid Position")))))))</f>
      </c>
    </row>
    <row r="53">
      <c r="A53" t="str">
        <f>IF(OR(Identity!B53="",Identity!D53=""),"",TRIM(Identity!B53&amp;" "&amp;Identity!C53&amp;" "&amp;Identity!D53))</f>
      </c>
      <c r="D53" t="str">
        <f>IF(A53="","",IF(B53="","Select Position",IF(B53="Vice Director",IF(C53="","Ready - No Head Needed","Clear Head Member"),IF(C53="","Select Head Member",IF(C53=A53,"Invalid - Same Applicant",IF(B53="Senior Sales Manager",IF(COUNTIF(Teams!$A$2:$A$1001,C53)=1,"VD selected - Verify ID","Missing/Ambiguous VD"),IF(B53="Sales Manager",IF(COUNTIF(Teams!$B$2:$B$1001,C53)=1,"SSM selected - Verify ID","Missing/Ambiguous SSM"),"Invalid Position")))))))</f>
      </c>
    </row>
    <row r="54">
      <c r="A54" t="str">
        <f>IF(OR(Identity!B54="",Identity!D54=""),"",TRIM(Identity!B54&amp;" "&amp;Identity!C54&amp;" "&amp;Identity!D54))</f>
      </c>
      <c r="D54" t="str">
        <f>IF(A54="","",IF(B54="","Select Position",IF(B54="Vice Director",IF(C54="","Ready - No Head Needed","Clear Head Member"),IF(C54="","Select Head Member",IF(C54=A54,"Invalid - Same Applicant",IF(B54="Senior Sales Manager",IF(COUNTIF(Teams!$A$2:$A$1001,C54)=1,"VD selected - Verify ID","Missing/Ambiguous VD"),IF(B54="Sales Manager",IF(COUNTIF(Teams!$B$2:$B$1001,C54)=1,"SSM selected - Verify ID","Missing/Ambiguous SSM"),"Invalid Position")))))))</f>
      </c>
    </row>
    <row r="55">
      <c r="A55" t="str">
        <f>IF(OR(Identity!B55="",Identity!D55=""),"",TRIM(Identity!B55&amp;" "&amp;Identity!C55&amp;" "&amp;Identity!D55))</f>
      </c>
      <c r="D55" t="str">
        <f>IF(A55="","",IF(B55="","Select Position",IF(B55="Vice Director",IF(C55="","Ready - No Head Needed","Clear Head Member"),IF(C55="","Select Head Member",IF(C55=A55,"Invalid - Same Applicant",IF(B55="Senior Sales Manager",IF(COUNTIF(Teams!$A$2:$A$1001,C55)=1,"VD selected - Verify ID","Missing/Ambiguous VD"),IF(B55="Sales Manager",IF(COUNTIF(Teams!$B$2:$B$1001,C55)=1,"SSM selected - Verify ID","Missing/Ambiguous SSM"),"Invalid Position")))))))</f>
      </c>
    </row>
    <row r="56">
      <c r="A56" t="str">
        <f>IF(OR(Identity!B56="",Identity!D56=""),"",TRIM(Identity!B56&amp;" "&amp;Identity!C56&amp;" "&amp;Identity!D56))</f>
      </c>
      <c r="D56" t="str">
        <f>IF(A56="","",IF(B56="","Select Position",IF(B56="Vice Director",IF(C56="","Ready - No Head Needed","Clear Head Member"),IF(C56="","Select Head Member",IF(C56=A56,"Invalid - Same Applicant",IF(B56="Senior Sales Manager",IF(COUNTIF(Teams!$A$2:$A$1001,C56)=1,"VD selected - Verify ID","Missing/Ambiguous VD"),IF(B56="Sales Manager",IF(COUNTIF(Teams!$B$2:$B$1001,C56)=1,"SSM selected - Verify ID","Missing/Ambiguous SSM"),"Invalid Position")))))))</f>
      </c>
    </row>
    <row r="57">
      <c r="A57" t="str">
        <f>IF(OR(Identity!B57="",Identity!D57=""),"",TRIM(Identity!B57&amp;" "&amp;Identity!C57&amp;" "&amp;Identity!D57))</f>
      </c>
      <c r="D57" t="str">
        <f>IF(A57="","",IF(B57="","Select Position",IF(B57="Vice Director",IF(C57="","Ready - No Head Needed","Clear Head Member"),IF(C57="","Select Head Member",IF(C57=A57,"Invalid - Same Applicant",IF(B57="Senior Sales Manager",IF(COUNTIF(Teams!$A$2:$A$1001,C57)=1,"VD selected - Verify ID","Missing/Ambiguous VD"),IF(B57="Sales Manager",IF(COUNTIF(Teams!$B$2:$B$1001,C57)=1,"SSM selected - Verify ID","Missing/Ambiguous SSM"),"Invalid Position")))))))</f>
      </c>
    </row>
    <row r="58">
      <c r="A58" t="str">
        <f>IF(OR(Identity!B58="",Identity!D58=""),"",TRIM(Identity!B58&amp;" "&amp;Identity!C58&amp;" "&amp;Identity!D58))</f>
      </c>
      <c r="D58" t="str">
        <f>IF(A58="","",IF(B58="","Select Position",IF(B58="Vice Director",IF(C58="","Ready - No Head Needed","Clear Head Member"),IF(C58="","Select Head Member",IF(C58=A58,"Invalid - Same Applicant",IF(B58="Senior Sales Manager",IF(COUNTIF(Teams!$A$2:$A$1001,C58)=1,"VD selected - Verify ID","Missing/Ambiguous VD"),IF(B58="Sales Manager",IF(COUNTIF(Teams!$B$2:$B$1001,C58)=1,"SSM selected - Verify ID","Missing/Ambiguous SSM"),"Invalid Position")))))))</f>
      </c>
    </row>
    <row r="59">
      <c r="A59" t="str">
        <f>IF(OR(Identity!B59="",Identity!D59=""),"",TRIM(Identity!B59&amp;" "&amp;Identity!C59&amp;" "&amp;Identity!D59))</f>
      </c>
      <c r="D59" t="str">
        <f>IF(A59="","",IF(B59="","Select Position",IF(B59="Vice Director",IF(C59="","Ready - No Head Needed","Clear Head Member"),IF(C59="","Select Head Member",IF(C59=A59,"Invalid - Same Applicant",IF(B59="Senior Sales Manager",IF(COUNTIF(Teams!$A$2:$A$1001,C59)=1,"VD selected - Verify ID","Missing/Ambiguous VD"),IF(B59="Sales Manager",IF(COUNTIF(Teams!$B$2:$B$1001,C59)=1,"SSM selected - Verify ID","Missing/Ambiguous SSM"),"Invalid Position")))))))</f>
      </c>
    </row>
    <row r="60">
      <c r="A60" t="str">
        <f>IF(OR(Identity!B60="",Identity!D60=""),"",TRIM(Identity!B60&amp;" "&amp;Identity!C60&amp;" "&amp;Identity!D60))</f>
      </c>
      <c r="D60" t="str">
        <f>IF(A60="","",IF(B60="","Select Position",IF(B60="Vice Director",IF(C60="","Ready - No Head Needed","Clear Head Member"),IF(C60="","Select Head Member",IF(C60=A60,"Invalid - Same Applicant",IF(B60="Senior Sales Manager",IF(COUNTIF(Teams!$A$2:$A$1001,C60)=1,"VD selected - Verify ID","Missing/Ambiguous VD"),IF(B60="Sales Manager",IF(COUNTIF(Teams!$B$2:$B$1001,C60)=1,"SSM selected - Verify ID","Missing/Ambiguous SSM"),"Invalid Position")))))))</f>
      </c>
    </row>
    <row r="61">
      <c r="A61" t="str">
        <f>IF(OR(Identity!B61="",Identity!D61=""),"",TRIM(Identity!B61&amp;" "&amp;Identity!C61&amp;" "&amp;Identity!D61))</f>
      </c>
      <c r="D61" t="str">
        <f>IF(A61="","",IF(B61="","Select Position",IF(B61="Vice Director",IF(C61="","Ready - No Head Needed","Clear Head Member"),IF(C61="","Select Head Member",IF(C61=A61,"Invalid - Same Applicant",IF(B61="Senior Sales Manager",IF(COUNTIF(Teams!$A$2:$A$1001,C61)=1,"VD selected - Verify ID","Missing/Ambiguous VD"),IF(B61="Sales Manager",IF(COUNTIF(Teams!$B$2:$B$1001,C61)=1,"SSM selected - Verify ID","Missing/Ambiguous SSM"),"Invalid Position")))))))</f>
      </c>
    </row>
    <row r="62">
      <c r="A62" t="str">
        <f>IF(OR(Identity!B62="",Identity!D62=""),"",TRIM(Identity!B62&amp;" "&amp;Identity!C62&amp;" "&amp;Identity!D62))</f>
      </c>
      <c r="D62" t="str">
        <f>IF(A62="","",IF(B62="","Select Position",IF(B62="Vice Director",IF(C62="","Ready - No Head Needed","Clear Head Member"),IF(C62="","Select Head Member",IF(C62=A62,"Invalid - Same Applicant",IF(B62="Senior Sales Manager",IF(COUNTIF(Teams!$A$2:$A$1001,C62)=1,"VD selected - Verify ID","Missing/Ambiguous VD"),IF(B62="Sales Manager",IF(COUNTIF(Teams!$B$2:$B$1001,C62)=1,"SSM selected - Verify ID","Missing/Ambiguous SSM"),"Invalid Position")))))))</f>
      </c>
    </row>
    <row r="63">
      <c r="A63" t="str">
        <f>IF(OR(Identity!B63="",Identity!D63=""),"",TRIM(Identity!B63&amp;" "&amp;Identity!C63&amp;" "&amp;Identity!D63))</f>
      </c>
      <c r="D63" t="str">
        <f>IF(A63="","",IF(B63="","Select Position",IF(B63="Vice Director",IF(C63="","Ready - No Head Needed","Clear Head Member"),IF(C63="","Select Head Member",IF(C63=A63,"Invalid - Same Applicant",IF(B63="Senior Sales Manager",IF(COUNTIF(Teams!$A$2:$A$1001,C63)=1,"VD selected - Verify ID","Missing/Ambiguous VD"),IF(B63="Sales Manager",IF(COUNTIF(Teams!$B$2:$B$1001,C63)=1,"SSM selected - Verify ID","Missing/Ambiguous SSM"),"Invalid Position")))))))</f>
      </c>
    </row>
    <row r="64">
      <c r="A64" t="str">
        <f>IF(OR(Identity!B64="",Identity!D64=""),"",TRIM(Identity!B64&amp;" "&amp;Identity!C64&amp;" "&amp;Identity!D64))</f>
      </c>
      <c r="D64" t="str">
        <f>IF(A64="","",IF(B64="","Select Position",IF(B64="Vice Director",IF(C64="","Ready - No Head Needed","Clear Head Member"),IF(C64="","Select Head Member",IF(C64=A64,"Invalid - Same Applicant",IF(B64="Senior Sales Manager",IF(COUNTIF(Teams!$A$2:$A$1001,C64)=1,"VD selected - Verify ID","Missing/Ambiguous VD"),IF(B64="Sales Manager",IF(COUNTIF(Teams!$B$2:$B$1001,C64)=1,"SSM selected - Verify ID","Missing/Ambiguous SSM"),"Invalid Position")))))))</f>
      </c>
    </row>
    <row r="65">
      <c r="A65" t="str">
        <f>IF(OR(Identity!B65="",Identity!D65=""),"",TRIM(Identity!B65&amp;" "&amp;Identity!C65&amp;" "&amp;Identity!D65))</f>
      </c>
      <c r="D65" t="str">
        <f>IF(A65="","",IF(B65="","Select Position",IF(B65="Vice Director",IF(C65="","Ready - No Head Needed","Clear Head Member"),IF(C65="","Select Head Member",IF(C65=A65,"Invalid - Same Applicant",IF(B65="Senior Sales Manager",IF(COUNTIF(Teams!$A$2:$A$1001,C65)=1,"VD selected - Verify ID","Missing/Ambiguous VD"),IF(B65="Sales Manager",IF(COUNTIF(Teams!$B$2:$B$1001,C65)=1,"SSM selected - Verify ID","Missing/Ambiguous SSM"),"Invalid Position")))))))</f>
      </c>
    </row>
    <row r="66">
      <c r="A66" t="str">
        <f>IF(OR(Identity!B66="",Identity!D66=""),"",TRIM(Identity!B66&amp;" "&amp;Identity!C66&amp;" "&amp;Identity!D66))</f>
      </c>
      <c r="D66" t="str">
        <f>IF(A66="","",IF(B66="","Select Position",IF(B66="Vice Director",IF(C66="","Ready - No Head Needed","Clear Head Member"),IF(C66="","Select Head Member",IF(C66=A66,"Invalid - Same Applicant",IF(B66="Senior Sales Manager",IF(COUNTIF(Teams!$A$2:$A$1001,C66)=1,"VD selected - Verify ID","Missing/Ambiguous VD"),IF(B66="Sales Manager",IF(COUNTIF(Teams!$B$2:$B$1001,C66)=1,"SSM selected - Verify ID","Missing/Ambiguous SSM"),"Invalid Position")))))))</f>
      </c>
    </row>
    <row r="67">
      <c r="A67" t="str">
        <f>IF(OR(Identity!B67="",Identity!D67=""),"",TRIM(Identity!B67&amp;" "&amp;Identity!C67&amp;" "&amp;Identity!D67))</f>
      </c>
      <c r="D67" t="str">
        <f>IF(A67="","",IF(B67="","Select Position",IF(B67="Vice Director",IF(C67="","Ready - No Head Needed","Clear Head Member"),IF(C67="","Select Head Member",IF(C67=A67,"Invalid - Same Applicant",IF(B67="Senior Sales Manager",IF(COUNTIF(Teams!$A$2:$A$1001,C67)=1,"VD selected - Verify ID","Missing/Ambiguous VD"),IF(B67="Sales Manager",IF(COUNTIF(Teams!$B$2:$B$1001,C67)=1,"SSM selected - Verify ID","Missing/Ambiguous SSM"),"Invalid Position")))))))</f>
      </c>
    </row>
    <row r="68">
      <c r="A68" t="str">
        <f>IF(OR(Identity!B68="",Identity!D68=""),"",TRIM(Identity!B68&amp;" "&amp;Identity!C68&amp;" "&amp;Identity!D68))</f>
      </c>
      <c r="D68" t="str">
        <f>IF(A68="","",IF(B68="","Select Position",IF(B68="Vice Director",IF(C68="","Ready - No Head Needed","Clear Head Member"),IF(C68="","Select Head Member",IF(C68=A68,"Invalid - Same Applicant",IF(B68="Senior Sales Manager",IF(COUNTIF(Teams!$A$2:$A$1001,C68)=1,"VD selected - Verify ID","Missing/Ambiguous VD"),IF(B68="Sales Manager",IF(COUNTIF(Teams!$B$2:$B$1001,C68)=1,"SSM selected - Verify ID","Missing/Ambiguous SSM"),"Invalid Position")))))))</f>
      </c>
    </row>
    <row r="69">
      <c r="A69" t="str">
        <f>IF(OR(Identity!B69="",Identity!D69=""),"",TRIM(Identity!B69&amp;" "&amp;Identity!C69&amp;" "&amp;Identity!D69))</f>
      </c>
      <c r="D69" t="str">
        <f>IF(A69="","",IF(B69="","Select Position",IF(B69="Vice Director",IF(C69="","Ready - No Head Needed","Clear Head Member"),IF(C69="","Select Head Member",IF(C69=A69,"Invalid - Same Applicant",IF(B69="Senior Sales Manager",IF(COUNTIF(Teams!$A$2:$A$1001,C69)=1,"VD selected - Verify ID","Missing/Ambiguous VD"),IF(B69="Sales Manager",IF(COUNTIF(Teams!$B$2:$B$1001,C69)=1,"SSM selected - Verify ID","Missing/Ambiguous SSM"),"Invalid Position")))))))</f>
      </c>
    </row>
    <row r="70">
      <c r="A70" t="str">
        <f>IF(OR(Identity!B70="",Identity!D70=""),"",TRIM(Identity!B70&amp;" "&amp;Identity!C70&amp;" "&amp;Identity!D70))</f>
      </c>
      <c r="D70" t="str">
        <f>IF(A70="","",IF(B70="","Select Position",IF(B70="Vice Director",IF(C70="","Ready - No Head Needed","Clear Head Member"),IF(C70="","Select Head Member",IF(C70=A70,"Invalid - Same Applicant",IF(B70="Senior Sales Manager",IF(COUNTIF(Teams!$A$2:$A$1001,C70)=1,"VD selected - Verify ID","Missing/Ambiguous VD"),IF(B70="Sales Manager",IF(COUNTIF(Teams!$B$2:$B$1001,C70)=1,"SSM selected - Verify ID","Missing/Ambiguous SSM"),"Invalid Position")))))))</f>
      </c>
    </row>
    <row r="71">
      <c r="A71" t="str">
        <f>IF(OR(Identity!B71="",Identity!D71=""),"",TRIM(Identity!B71&amp;" "&amp;Identity!C71&amp;" "&amp;Identity!D71))</f>
      </c>
      <c r="D71" t="str">
        <f>IF(A71="","",IF(B71="","Select Position",IF(B71="Vice Director",IF(C71="","Ready - No Head Needed","Clear Head Member"),IF(C71="","Select Head Member",IF(C71=A71,"Invalid - Same Applicant",IF(B71="Senior Sales Manager",IF(COUNTIF(Teams!$A$2:$A$1001,C71)=1,"VD selected - Verify ID","Missing/Ambiguous VD"),IF(B71="Sales Manager",IF(COUNTIF(Teams!$B$2:$B$1001,C71)=1,"SSM selected - Verify ID","Missing/Ambiguous SSM"),"Invalid Position")))))))</f>
      </c>
    </row>
    <row r="72">
      <c r="A72" t="str">
        <f>IF(OR(Identity!B72="",Identity!D72=""),"",TRIM(Identity!B72&amp;" "&amp;Identity!C72&amp;" "&amp;Identity!D72))</f>
      </c>
      <c r="D72" t="str">
        <f>IF(A72="","",IF(B72="","Select Position",IF(B72="Vice Director",IF(C72="","Ready - No Head Needed","Clear Head Member"),IF(C72="","Select Head Member",IF(C72=A72,"Invalid - Same Applicant",IF(B72="Senior Sales Manager",IF(COUNTIF(Teams!$A$2:$A$1001,C72)=1,"VD selected - Verify ID","Missing/Ambiguous VD"),IF(B72="Sales Manager",IF(COUNTIF(Teams!$B$2:$B$1001,C72)=1,"SSM selected - Verify ID","Missing/Ambiguous SSM"),"Invalid Position")))))))</f>
      </c>
    </row>
    <row r="73">
      <c r="A73" t="str">
        <f>IF(OR(Identity!B73="",Identity!D73=""),"",TRIM(Identity!B73&amp;" "&amp;Identity!C73&amp;" "&amp;Identity!D73))</f>
      </c>
      <c r="D73" t="str">
        <f>IF(A73="","",IF(B73="","Select Position",IF(B73="Vice Director",IF(C73="","Ready - No Head Needed","Clear Head Member"),IF(C73="","Select Head Member",IF(C73=A73,"Invalid - Same Applicant",IF(B73="Senior Sales Manager",IF(COUNTIF(Teams!$A$2:$A$1001,C73)=1,"VD selected - Verify ID","Missing/Ambiguous VD"),IF(B73="Sales Manager",IF(COUNTIF(Teams!$B$2:$B$1001,C73)=1,"SSM selected - Verify ID","Missing/Ambiguous SSM"),"Invalid Position")))))))</f>
      </c>
    </row>
    <row r="74">
      <c r="A74" t="str">
        <f>IF(OR(Identity!B74="",Identity!D74=""),"",TRIM(Identity!B74&amp;" "&amp;Identity!C74&amp;" "&amp;Identity!D74))</f>
      </c>
      <c r="D74" t="str">
        <f>IF(A74="","",IF(B74="","Select Position",IF(B74="Vice Director",IF(C74="","Ready - No Head Needed","Clear Head Member"),IF(C74="","Select Head Member",IF(C74=A74,"Invalid - Same Applicant",IF(B74="Senior Sales Manager",IF(COUNTIF(Teams!$A$2:$A$1001,C74)=1,"VD selected - Verify ID","Missing/Ambiguous VD"),IF(B74="Sales Manager",IF(COUNTIF(Teams!$B$2:$B$1001,C74)=1,"SSM selected - Verify ID","Missing/Ambiguous SSM"),"Invalid Position")))))))</f>
      </c>
    </row>
    <row r="75">
      <c r="A75" t="str">
        <f>IF(OR(Identity!B75="",Identity!D75=""),"",TRIM(Identity!B75&amp;" "&amp;Identity!C75&amp;" "&amp;Identity!D75))</f>
      </c>
      <c r="D75" t="str">
        <f>IF(A75="","",IF(B75="","Select Position",IF(B75="Vice Director",IF(C75="","Ready - No Head Needed","Clear Head Member"),IF(C75="","Select Head Member",IF(C75=A75,"Invalid - Same Applicant",IF(B75="Senior Sales Manager",IF(COUNTIF(Teams!$A$2:$A$1001,C75)=1,"VD selected - Verify ID","Missing/Ambiguous VD"),IF(B75="Sales Manager",IF(COUNTIF(Teams!$B$2:$B$1001,C75)=1,"SSM selected - Verify ID","Missing/Ambiguous SSM"),"Invalid Position")))))))</f>
      </c>
    </row>
    <row r="76">
      <c r="A76" t="str">
        <f>IF(OR(Identity!B76="",Identity!D76=""),"",TRIM(Identity!B76&amp;" "&amp;Identity!C76&amp;" "&amp;Identity!D76))</f>
      </c>
      <c r="D76" t="str">
        <f>IF(A76="","",IF(B76="","Select Position",IF(B76="Vice Director",IF(C76="","Ready - No Head Needed","Clear Head Member"),IF(C76="","Select Head Member",IF(C76=A76,"Invalid - Same Applicant",IF(B76="Senior Sales Manager",IF(COUNTIF(Teams!$A$2:$A$1001,C76)=1,"VD selected - Verify ID","Missing/Ambiguous VD"),IF(B76="Sales Manager",IF(COUNTIF(Teams!$B$2:$B$1001,C76)=1,"SSM selected - Verify ID","Missing/Ambiguous SSM"),"Invalid Position")))))))</f>
      </c>
    </row>
    <row r="77">
      <c r="A77" t="str">
        <f>IF(OR(Identity!B77="",Identity!D77=""),"",TRIM(Identity!B77&amp;" "&amp;Identity!C77&amp;" "&amp;Identity!D77))</f>
      </c>
      <c r="D77" t="str">
        <f>IF(A77="","",IF(B77="","Select Position",IF(B77="Vice Director",IF(C77="","Ready - No Head Needed","Clear Head Member"),IF(C77="","Select Head Member",IF(C77=A77,"Invalid - Same Applicant",IF(B77="Senior Sales Manager",IF(COUNTIF(Teams!$A$2:$A$1001,C77)=1,"VD selected - Verify ID","Missing/Ambiguous VD"),IF(B77="Sales Manager",IF(COUNTIF(Teams!$B$2:$B$1001,C77)=1,"SSM selected - Verify ID","Missing/Ambiguous SSM"),"Invalid Position")))))))</f>
      </c>
    </row>
    <row r="78">
      <c r="A78" t="str">
        <f>IF(OR(Identity!B78="",Identity!D78=""),"",TRIM(Identity!B78&amp;" "&amp;Identity!C78&amp;" "&amp;Identity!D78))</f>
      </c>
      <c r="D78" t="str">
        <f>IF(A78="","",IF(B78="","Select Position",IF(B78="Vice Director",IF(C78="","Ready - No Head Needed","Clear Head Member"),IF(C78="","Select Head Member",IF(C78=A78,"Invalid - Same Applicant",IF(B78="Senior Sales Manager",IF(COUNTIF(Teams!$A$2:$A$1001,C78)=1,"VD selected - Verify ID","Missing/Ambiguous VD"),IF(B78="Sales Manager",IF(COUNTIF(Teams!$B$2:$B$1001,C78)=1,"SSM selected - Verify ID","Missing/Ambiguous SSM"),"Invalid Position")))))))</f>
      </c>
    </row>
    <row r="79">
      <c r="A79" t="str">
        <f>IF(OR(Identity!B79="",Identity!D79=""),"",TRIM(Identity!B79&amp;" "&amp;Identity!C79&amp;" "&amp;Identity!D79))</f>
      </c>
      <c r="D79" t="str">
        <f>IF(A79="","",IF(B79="","Select Position",IF(B79="Vice Director",IF(C79="","Ready - No Head Needed","Clear Head Member"),IF(C79="","Select Head Member",IF(C79=A79,"Invalid - Same Applicant",IF(B79="Senior Sales Manager",IF(COUNTIF(Teams!$A$2:$A$1001,C79)=1,"VD selected - Verify ID","Missing/Ambiguous VD"),IF(B79="Sales Manager",IF(COUNTIF(Teams!$B$2:$B$1001,C79)=1,"SSM selected - Verify ID","Missing/Ambiguous SSM"),"Invalid Position")))))))</f>
      </c>
    </row>
    <row r="80">
      <c r="A80" t="str">
        <f>IF(OR(Identity!B80="",Identity!D80=""),"",TRIM(Identity!B80&amp;" "&amp;Identity!C80&amp;" "&amp;Identity!D80))</f>
      </c>
      <c r="D80" t="str">
        <f>IF(A80="","",IF(B80="","Select Position",IF(B80="Vice Director",IF(C80="","Ready - No Head Needed","Clear Head Member"),IF(C80="","Select Head Member",IF(C80=A80,"Invalid - Same Applicant",IF(B80="Senior Sales Manager",IF(COUNTIF(Teams!$A$2:$A$1001,C80)=1,"VD selected - Verify ID","Missing/Ambiguous VD"),IF(B80="Sales Manager",IF(COUNTIF(Teams!$B$2:$B$1001,C80)=1,"SSM selected - Verify ID","Missing/Ambiguous SSM"),"Invalid Position")))))))</f>
      </c>
    </row>
    <row r="81">
      <c r="A81" t="str">
        <f>IF(OR(Identity!B81="",Identity!D81=""),"",TRIM(Identity!B81&amp;" "&amp;Identity!C81&amp;" "&amp;Identity!D81))</f>
      </c>
      <c r="D81" t="str">
        <f>IF(A81="","",IF(B81="","Select Position",IF(B81="Vice Director",IF(C81="","Ready - No Head Needed","Clear Head Member"),IF(C81="","Select Head Member",IF(C81=A81,"Invalid - Same Applicant",IF(B81="Senior Sales Manager",IF(COUNTIF(Teams!$A$2:$A$1001,C81)=1,"VD selected - Verify ID","Missing/Ambiguous VD"),IF(B81="Sales Manager",IF(COUNTIF(Teams!$B$2:$B$1001,C81)=1,"SSM selected - Verify ID","Missing/Ambiguous SSM"),"Invalid Position")))))))</f>
      </c>
    </row>
    <row r="82">
      <c r="A82" t="str">
        <f>IF(OR(Identity!B82="",Identity!D82=""),"",TRIM(Identity!B82&amp;" "&amp;Identity!C82&amp;" "&amp;Identity!D82))</f>
      </c>
      <c r="D82" t="str">
        <f>IF(A82="","",IF(B82="","Select Position",IF(B82="Vice Director",IF(C82="","Ready - No Head Needed","Clear Head Member"),IF(C82="","Select Head Member",IF(C82=A82,"Invalid - Same Applicant",IF(B82="Senior Sales Manager",IF(COUNTIF(Teams!$A$2:$A$1001,C82)=1,"VD selected - Verify ID","Missing/Ambiguous VD"),IF(B82="Sales Manager",IF(COUNTIF(Teams!$B$2:$B$1001,C82)=1,"SSM selected - Verify ID","Missing/Ambiguous SSM"),"Invalid Position")))))))</f>
      </c>
    </row>
    <row r="83">
      <c r="A83" t="str">
        <f>IF(OR(Identity!B83="",Identity!D83=""),"",TRIM(Identity!B83&amp;" "&amp;Identity!C83&amp;" "&amp;Identity!D83))</f>
      </c>
      <c r="D83" t="str">
        <f>IF(A83="","",IF(B83="","Select Position",IF(B83="Vice Director",IF(C83="","Ready - No Head Needed","Clear Head Member"),IF(C83="","Select Head Member",IF(C83=A83,"Invalid - Same Applicant",IF(B83="Senior Sales Manager",IF(COUNTIF(Teams!$A$2:$A$1001,C83)=1,"VD selected - Verify ID","Missing/Ambiguous VD"),IF(B83="Sales Manager",IF(COUNTIF(Teams!$B$2:$B$1001,C83)=1,"SSM selected - Verify ID","Missing/Ambiguous SSM"),"Invalid Position")))))))</f>
      </c>
    </row>
    <row r="84">
      <c r="A84" t="str">
        <f>IF(OR(Identity!B84="",Identity!D84=""),"",TRIM(Identity!B84&amp;" "&amp;Identity!C84&amp;" "&amp;Identity!D84))</f>
      </c>
      <c r="D84" t="str">
        <f>IF(A84="","",IF(B84="","Select Position",IF(B84="Vice Director",IF(C84="","Ready - No Head Needed","Clear Head Member"),IF(C84="","Select Head Member",IF(C84=A84,"Invalid - Same Applicant",IF(B84="Senior Sales Manager",IF(COUNTIF(Teams!$A$2:$A$1001,C84)=1,"VD selected - Verify ID","Missing/Ambiguous VD"),IF(B84="Sales Manager",IF(COUNTIF(Teams!$B$2:$B$1001,C84)=1,"SSM selected - Verify ID","Missing/Ambiguous SSM"),"Invalid Position")))))))</f>
      </c>
    </row>
    <row r="85">
      <c r="A85" t="str">
        <f>IF(OR(Identity!B85="",Identity!D85=""),"",TRIM(Identity!B85&amp;" "&amp;Identity!C85&amp;" "&amp;Identity!D85))</f>
      </c>
      <c r="D85" t="str">
        <f>IF(A85="","",IF(B85="","Select Position",IF(B85="Vice Director",IF(C85="","Ready - No Head Needed","Clear Head Member"),IF(C85="","Select Head Member",IF(C85=A85,"Invalid - Same Applicant",IF(B85="Senior Sales Manager",IF(COUNTIF(Teams!$A$2:$A$1001,C85)=1,"VD selected - Verify ID","Missing/Ambiguous VD"),IF(B85="Sales Manager",IF(COUNTIF(Teams!$B$2:$B$1001,C85)=1,"SSM selected - Verify ID","Missing/Ambiguous SSM"),"Invalid Position")))))))</f>
      </c>
    </row>
    <row r="86">
      <c r="A86" t="str">
        <f>IF(OR(Identity!B86="",Identity!D86=""),"",TRIM(Identity!B86&amp;" "&amp;Identity!C86&amp;" "&amp;Identity!D86))</f>
      </c>
      <c r="D86" t="str">
        <f>IF(A86="","",IF(B86="","Select Position",IF(B86="Vice Director",IF(C86="","Ready - No Head Needed","Clear Head Member"),IF(C86="","Select Head Member",IF(C86=A86,"Invalid - Same Applicant",IF(B86="Senior Sales Manager",IF(COUNTIF(Teams!$A$2:$A$1001,C86)=1,"VD selected - Verify ID","Missing/Ambiguous VD"),IF(B86="Sales Manager",IF(COUNTIF(Teams!$B$2:$B$1001,C86)=1,"SSM selected - Verify ID","Missing/Ambiguous SSM"),"Invalid Position")))))))</f>
      </c>
    </row>
    <row r="87">
      <c r="A87" t="str">
        <f>IF(OR(Identity!B87="",Identity!D87=""),"",TRIM(Identity!B87&amp;" "&amp;Identity!C87&amp;" "&amp;Identity!D87))</f>
      </c>
      <c r="D87" t="str">
        <f>IF(A87="","",IF(B87="","Select Position",IF(B87="Vice Director",IF(C87="","Ready - No Head Needed","Clear Head Member"),IF(C87="","Select Head Member",IF(C87=A87,"Invalid - Same Applicant",IF(B87="Senior Sales Manager",IF(COUNTIF(Teams!$A$2:$A$1001,C87)=1,"VD selected - Verify ID","Missing/Ambiguous VD"),IF(B87="Sales Manager",IF(COUNTIF(Teams!$B$2:$B$1001,C87)=1,"SSM selected - Verify ID","Missing/Ambiguous SSM"),"Invalid Position")))))))</f>
      </c>
    </row>
    <row r="88">
      <c r="A88" t="str">
        <f>IF(OR(Identity!B88="",Identity!D88=""),"",TRIM(Identity!B88&amp;" "&amp;Identity!C88&amp;" "&amp;Identity!D88))</f>
      </c>
      <c r="D88" t="str">
        <f>IF(A88="","",IF(B88="","Select Position",IF(B88="Vice Director",IF(C88="","Ready - No Head Needed","Clear Head Member"),IF(C88="","Select Head Member",IF(C88=A88,"Invalid - Same Applicant",IF(B88="Senior Sales Manager",IF(COUNTIF(Teams!$A$2:$A$1001,C88)=1,"VD selected - Verify ID","Missing/Ambiguous VD"),IF(B88="Sales Manager",IF(COUNTIF(Teams!$B$2:$B$1001,C88)=1,"SSM selected - Verify ID","Missing/Ambiguous SSM"),"Invalid Position")))))))</f>
      </c>
    </row>
    <row r="89">
      <c r="A89" t="str">
        <f>IF(OR(Identity!B89="",Identity!D89=""),"",TRIM(Identity!B89&amp;" "&amp;Identity!C89&amp;" "&amp;Identity!D89))</f>
      </c>
      <c r="D89" t="str">
        <f>IF(A89="","",IF(B89="","Select Position",IF(B89="Vice Director",IF(C89="","Ready - No Head Needed","Clear Head Member"),IF(C89="","Select Head Member",IF(C89=A89,"Invalid - Same Applicant",IF(B89="Senior Sales Manager",IF(COUNTIF(Teams!$A$2:$A$1001,C89)=1,"VD selected - Verify ID","Missing/Ambiguous VD"),IF(B89="Sales Manager",IF(COUNTIF(Teams!$B$2:$B$1001,C89)=1,"SSM selected - Verify ID","Missing/Ambiguous SSM"),"Invalid Position")))))))</f>
      </c>
    </row>
    <row r="90">
      <c r="A90" t="str">
        <f>IF(OR(Identity!B90="",Identity!D90=""),"",TRIM(Identity!B90&amp;" "&amp;Identity!C90&amp;" "&amp;Identity!D90))</f>
      </c>
      <c r="D90" t="str">
        <f>IF(A90="","",IF(B90="","Select Position",IF(B90="Vice Director",IF(C90="","Ready - No Head Needed","Clear Head Member"),IF(C90="","Select Head Member",IF(C90=A90,"Invalid - Same Applicant",IF(B90="Senior Sales Manager",IF(COUNTIF(Teams!$A$2:$A$1001,C90)=1,"VD selected - Verify ID","Missing/Ambiguous VD"),IF(B90="Sales Manager",IF(COUNTIF(Teams!$B$2:$B$1001,C90)=1,"SSM selected - Verify ID","Missing/Ambiguous SSM"),"Invalid Position")))))))</f>
      </c>
    </row>
    <row r="91">
      <c r="A91" t="str">
        <f>IF(OR(Identity!B91="",Identity!D91=""),"",TRIM(Identity!B91&amp;" "&amp;Identity!C91&amp;" "&amp;Identity!D91))</f>
      </c>
      <c r="D91" t="str">
        <f>IF(A91="","",IF(B91="","Select Position",IF(B91="Vice Director",IF(C91="","Ready - No Head Needed","Clear Head Member"),IF(C91="","Select Head Member",IF(C91=A91,"Invalid - Same Applicant",IF(B91="Senior Sales Manager",IF(COUNTIF(Teams!$A$2:$A$1001,C91)=1,"VD selected - Verify ID","Missing/Ambiguous VD"),IF(B91="Sales Manager",IF(COUNTIF(Teams!$B$2:$B$1001,C91)=1,"SSM selected - Verify ID","Missing/Ambiguous SSM"),"Invalid Position")))))))</f>
      </c>
    </row>
    <row r="92">
      <c r="A92" t="str">
        <f>IF(OR(Identity!B92="",Identity!D92=""),"",TRIM(Identity!B92&amp;" "&amp;Identity!C92&amp;" "&amp;Identity!D92))</f>
      </c>
      <c r="D92" t="str">
        <f>IF(A92="","",IF(B92="","Select Position",IF(B92="Vice Director",IF(C92="","Ready - No Head Needed","Clear Head Member"),IF(C92="","Select Head Member",IF(C92=A92,"Invalid - Same Applicant",IF(B92="Senior Sales Manager",IF(COUNTIF(Teams!$A$2:$A$1001,C92)=1,"VD selected - Verify ID","Missing/Ambiguous VD"),IF(B92="Sales Manager",IF(COUNTIF(Teams!$B$2:$B$1001,C92)=1,"SSM selected - Verify ID","Missing/Ambiguous SSM"),"Invalid Position")))))))</f>
      </c>
    </row>
    <row r="93">
      <c r="A93" t="str">
        <f>IF(OR(Identity!B93="",Identity!D93=""),"",TRIM(Identity!B93&amp;" "&amp;Identity!C93&amp;" "&amp;Identity!D93))</f>
      </c>
      <c r="D93" t="str">
        <f>IF(A93="","",IF(B93="","Select Position",IF(B93="Vice Director",IF(C93="","Ready - No Head Needed","Clear Head Member"),IF(C93="","Select Head Member",IF(C93=A93,"Invalid - Same Applicant",IF(B93="Senior Sales Manager",IF(COUNTIF(Teams!$A$2:$A$1001,C93)=1,"VD selected - Verify ID","Missing/Ambiguous VD"),IF(B93="Sales Manager",IF(COUNTIF(Teams!$B$2:$B$1001,C93)=1,"SSM selected - Verify ID","Missing/Ambiguous SSM"),"Invalid Position")))))))</f>
      </c>
    </row>
    <row r="94">
      <c r="A94" t="str">
        <f>IF(OR(Identity!B94="",Identity!D94=""),"",TRIM(Identity!B94&amp;" "&amp;Identity!C94&amp;" "&amp;Identity!D94))</f>
      </c>
      <c r="D94" t="str">
        <f>IF(A94="","",IF(B94="","Select Position",IF(B94="Vice Director",IF(C94="","Ready - No Head Needed","Clear Head Member"),IF(C94="","Select Head Member",IF(C94=A94,"Invalid - Same Applicant",IF(B94="Senior Sales Manager",IF(COUNTIF(Teams!$A$2:$A$1001,C94)=1,"VD selected - Verify ID","Missing/Ambiguous VD"),IF(B94="Sales Manager",IF(COUNTIF(Teams!$B$2:$B$1001,C94)=1,"SSM selected - Verify ID","Missing/Ambiguous SSM"),"Invalid Position")))))))</f>
      </c>
    </row>
    <row r="95">
      <c r="A95" t="str">
        <f>IF(OR(Identity!B95="",Identity!D95=""),"",TRIM(Identity!B95&amp;" "&amp;Identity!C95&amp;" "&amp;Identity!D95))</f>
      </c>
      <c r="D95" t="str">
        <f>IF(A95="","",IF(B95="","Select Position",IF(B95="Vice Director",IF(C95="","Ready - No Head Needed","Clear Head Member"),IF(C95="","Select Head Member",IF(C95=A95,"Invalid - Same Applicant",IF(B95="Senior Sales Manager",IF(COUNTIF(Teams!$A$2:$A$1001,C95)=1,"VD selected - Verify ID","Missing/Ambiguous VD"),IF(B95="Sales Manager",IF(COUNTIF(Teams!$B$2:$B$1001,C95)=1,"SSM selected - Verify ID","Missing/Ambiguous SSM"),"Invalid Position")))))))</f>
      </c>
    </row>
    <row r="96">
      <c r="A96" t="str">
        <f>IF(OR(Identity!B96="",Identity!D96=""),"",TRIM(Identity!B96&amp;" "&amp;Identity!C96&amp;" "&amp;Identity!D96))</f>
      </c>
      <c r="D96" t="str">
        <f>IF(A96="","",IF(B96="","Select Position",IF(B96="Vice Director",IF(C96="","Ready - No Head Needed","Clear Head Member"),IF(C96="","Select Head Member",IF(C96=A96,"Invalid - Same Applicant",IF(B96="Senior Sales Manager",IF(COUNTIF(Teams!$A$2:$A$1001,C96)=1,"VD selected - Verify ID","Missing/Ambiguous VD"),IF(B96="Sales Manager",IF(COUNTIF(Teams!$B$2:$B$1001,C96)=1,"SSM selected - Verify ID","Missing/Ambiguous SSM"),"Invalid Position")))))))</f>
      </c>
    </row>
    <row r="97">
      <c r="A97" t="str">
        <f>IF(OR(Identity!B97="",Identity!D97=""),"",TRIM(Identity!B97&amp;" "&amp;Identity!C97&amp;" "&amp;Identity!D97))</f>
      </c>
      <c r="D97" t="str">
        <f>IF(A97="","",IF(B97="","Select Position",IF(B97="Vice Director",IF(C97="","Ready - No Head Needed","Clear Head Member"),IF(C97="","Select Head Member",IF(C97=A97,"Invalid - Same Applicant",IF(B97="Senior Sales Manager",IF(COUNTIF(Teams!$A$2:$A$1001,C97)=1,"VD selected - Verify ID","Missing/Ambiguous VD"),IF(B97="Sales Manager",IF(COUNTIF(Teams!$B$2:$B$1001,C97)=1,"SSM selected - Verify ID","Missing/Ambiguous SSM"),"Invalid Position")))))))</f>
      </c>
    </row>
    <row r="98">
      <c r="A98" t="str">
        <f>IF(OR(Identity!B98="",Identity!D98=""),"",TRIM(Identity!B98&amp;" "&amp;Identity!C98&amp;" "&amp;Identity!D98))</f>
      </c>
      <c r="D98" t="str">
        <f>IF(A98="","",IF(B98="","Select Position",IF(B98="Vice Director",IF(C98="","Ready - No Head Needed","Clear Head Member"),IF(C98="","Select Head Member",IF(C98=A98,"Invalid - Same Applicant",IF(B98="Senior Sales Manager",IF(COUNTIF(Teams!$A$2:$A$1001,C98)=1,"VD selected - Verify ID","Missing/Ambiguous VD"),IF(B98="Sales Manager",IF(COUNTIF(Teams!$B$2:$B$1001,C98)=1,"SSM selected - Verify ID","Missing/Ambiguous SSM"),"Invalid Position")))))))</f>
      </c>
    </row>
    <row r="99">
      <c r="A99" t="str">
        <f>IF(OR(Identity!B99="",Identity!D99=""),"",TRIM(Identity!B99&amp;" "&amp;Identity!C99&amp;" "&amp;Identity!D99))</f>
      </c>
      <c r="D99" t="str">
        <f>IF(A99="","",IF(B99="","Select Position",IF(B99="Vice Director",IF(C99="","Ready - No Head Needed","Clear Head Member"),IF(C99="","Select Head Member",IF(C99=A99,"Invalid - Same Applicant",IF(B99="Senior Sales Manager",IF(COUNTIF(Teams!$A$2:$A$1001,C99)=1,"VD selected - Verify ID","Missing/Ambiguous VD"),IF(B99="Sales Manager",IF(COUNTIF(Teams!$B$2:$B$1001,C99)=1,"SSM selected - Verify ID","Missing/Ambiguous SSM"),"Invalid Position")))))))</f>
      </c>
    </row>
    <row r="100">
      <c r="A100" t="str">
        <f>IF(OR(Identity!B100="",Identity!D100=""),"",TRIM(Identity!B100&amp;" "&amp;Identity!C100&amp;" "&amp;Identity!D100))</f>
      </c>
      <c r="D100" t="str">
        <f>IF(A100="","",IF(B100="","Select Position",IF(B100="Vice Director",IF(C100="","Ready - No Head Needed","Clear Head Member"),IF(C100="","Select Head Member",IF(C100=A100,"Invalid - Same Applicant",IF(B100="Senior Sales Manager",IF(COUNTIF(Teams!$A$2:$A$1001,C100)=1,"VD selected - Verify ID","Missing/Ambiguous VD"),IF(B100="Sales Manager",IF(COUNTIF(Teams!$B$2:$B$1001,C100)=1,"SSM selected - Verify ID","Missing/Ambiguous SSM"),"Invalid Position")))))))</f>
      </c>
    </row>
    <row r="101">
      <c r="A101" t="str">
        <f>IF(OR(Identity!B101="",Identity!D101=""),"",TRIM(Identity!B101&amp;" "&amp;Identity!C101&amp;" "&amp;Identity!D101))</f>
      </c>
      <c r="D101" t="str">
        <f>IF(A101="","",IF(B101="","Select Position",IF(B101="Vice Director",IF(C101="","Ready - No Head Needed","Clear Head Member"),IF(C101="","Select Head Member",IF(C101=A101,"Invalid - Same Applicant",IF(B101="Senior Sales Manager",IF(COUNTIF(Teams!$A$2:$A$1001,C101)=1,"VD selected - Verify ID","Missing/Ambiguous VD"),IF(B101="Sales Manager",IF(COUNTIF(Teams!$B$2:$B$1001,C101)=1,"SSM selected - Verify ID","Missing/Ambiguous SSM"),"Invalid Position")))))))</f>
      </c>
    </row>
    <row r="102">
      <c r="A102" t="str">
        <f>IF(OR(Identity!B102="",Identity!D102=""),"",TRIM(Identity!B102&amp;" "&amp;Identity!C102&amp;" "&amp;Identity!D102))</f>
      </c>
      <c r="D102" t="str">
        <f>IF(A102="","",IF(B102="","Select Position",IF(B102="Vice Director",IF(C102="","Ready - No Head Needed","Clear Head Member"),IF(C102="","Select Head Member",IF(C102=A102,"Invalid - Same Applicant",IF(B102="Senior Sales Manager",IF(COUNTIF(Teams!$A$2:$A$1001,C102)=1,"VD selected - Verify ID","Missing/Ambiguous VD"),IF(B102="Sales Manager",IF(COUNTIF(Teams!$B$2:$B$1001,C102)=1,"SSM selected - Verify ID","Missing/Ambiguous SSM"),"Invalid Position")))))))</f>
      </c>
    </row>
    <row r="103">
      <c r="A103" t="str">
        <f>IF(OR(Identity!B103="",Identity!D103=""),"",TRIM(Identity!B103&amp;" "&amp;Identity!C103&amp;" "&amp;Identity!D103))</f>
      </c>
      <c r="D103" t="str">
        <f>IF(A103="","",IF(B103="","Select Position",IF(B103="Vice Director",IF(C103="","Ready - No Head Needed","Clear Head Member"),IF(C103="","Select Head Member",IF(C103=A103,"Invalid - Same Applicant",IF(B103="Senior Sales Manager",IF(COUNTIF(Teams!$A$2:$A$1001,C103)=1,"VD selected - Verify ID","Missing/Ambiguous VD"),IF(B103="Sales Manager",IF(COUNTIF(Teams!$B$2:$B$1001,C103)=1,"SSM selected - Verify ID","Missing/Ambiguous SSM"),"Invalid Position")))))))</f>
      </c>
    </row>
    <row r="104">
      <c r="A104" t="str">
        <f>IF(OR(Identity!B104="",Identity!D104=""),"",TRIM(Identity!B104&amp;" "&amp;Identity!C104&amp;" "&amp;Identity!D104))</f>
      </c>
      <c r="D104" t="str">
        <f>IF(A104="","",IF(B104="","Select Position",IF(B104="Vice Director",IF(C104="","Ready - No Head Needed","Clear Head Member"),IF(C104="","Select Head Member",IF(C104=A104,"Invalid - Same Applicant",IF(B104="Senior Sales Manager",IF(COUNTIF(Teams!$A$2:$A$1001,C104)=1,"VD selected - Verify ID","Missing/Ambiguous VD"),IF(B104="Sales Manager",IF(COUNTIF(Teams!$B$2:$B$1001,C104)=1,"SSM selected - Verify ID","Missing/Ambiguous SSM"),"Invalid Position")))))))</f>
      </c>
    </row>
    <row r="105">
      <c r="A105" t="str">
        <f>IF(OR(Identity!B105="",Identity!D105=""),"",TRIM(Identity!B105&amp;" "&amp;Identity!C105&amp;" "&amp;Identity!D105))</f>
      </c>
      <c r="D105" t="str">
        <f>IF(A105="","",IF(B105="","Select Position",IF(B105="Vice Director",IF(C105="","Ready - No Head Needed","Clear Head Member"),IF(C105="","Select Head Member",IF(C105=A105,"Invalid - Same Applicant",IF(B105="Senior Sales Manager",IF(COUNTIF(Teams!$A$2:$A$1001,C105)=1,"VD selected - Verify ID","Missing/Ambiguous VD"),IF(B105="Sales Manager",IF(COUNTIF(Teams!$B$2:$B$1001,C105)=1,"SSM selected - Verify ID","Missing/Ambiguous SSM"),"Invalid Position")))))))</f>
      </c>
    </row>
    <row r="106">
      <c r="A106" t="str">
        <f>IF(OR(Identity!B106="",Identity!D106=""),"",TRIM(Identity!B106&amp;" "&amp;Identity!C106&amp;" "&amp;Identity!D106))</f>
      </c>
      <c r="D106" t="str">
        <f>IF(A106="","",IF(B106="","Select Position",IF(B106="Vice Director",IF(C106="","Ready - No Head Needed","Clear Head Member"),IF(C106="","Select Head Member",IF(C106=A106,"Invalid - Same Applicant",IF(B106="Senior Sales Manager",IF(COUNTIF(Teams!$A$2:$A$1001,C106)=1,"VD selected - Verify ID","Missing/Ambiguous VD"),IF(B106="Sales Manager",IF(COUNTIF(Teams!$B$2:$B$1001,C106)=1,"SSM selected - Verify ID","Missing/Ambiguous SSM"),"Invalid Position")))))))</f>
      </c>
    </row>
    <row r="107">
      <c r="A107" t="str">
        <f>IF(OR(Identity!B107="",Identity!D107=""),"",TRIM(Identity!B107&amp;" "&amp;Identity!C107&amp;" "&amp;Identity!D107))</f>
      </c>
      <c r="D107" t="str">
        <f>IF(A107="","",IF(B107="","Select Position",IF(B107="Vice Director",IF(C107="","Ready - No Head Needed","Clear Head Member"),IF(C107="","Select Head Member",IF(C107=A107,"Invalid - Same Applicant",IF(B107="Senior Sales Manager",IF(COUNTIF(Teams!$A$2:$A$1001,C107)=1,"VD selected - Verify ID","Missing/Ambiguous VD"),IF(B107="Sales Manager",IF(COUNTIF(Teams!$B$2:$B$1001,C107)=1,"SSM selected - Verify ID","Missing/Ambiguous SSM"),"Invalid Position")))))))</f>
      </c>
    </row>
    <row r="108">
      <c r="A108" t="str">
        <f>IF(OR(Identity!B108="",Identity!D108=""),"",TRIM(Identity!B108&amp;" "&amp;Identity!C108&amp;" "&amp;Identity!D108))</f>
      </c>
      <c r="D108" t="str">
        <f>IF(A108="","",IF(B108="","Select Position",IF(B108="Vice Director",IF(C108="","Ready - No Head Needed","Clear Head Member"),IF(C108="","Select Head Member",IF(C108=A108,"Invalid - Same Applicant",IF(B108="Senior Sales Manager",IF(COUNTIF(Teams!$A$2:$A$1001,C108)=1,"VD selected - Verify ID","Missing/Ambiguous VD"),IF(B108="Sales Manager",IF(COUNTIF(Teams!$B$2:$B$1001,C108)=1,"SSM selected - Verify ID","Missing/Ambiguous SSM"),"Invalid Position")))))))</f>
      </c>
    </row>
    <row r="109">
      <c r="A109" t="str">
        <f>IF(OR(Identity!B109="",Identity!D109=""),"",TRIM(Identity!B109&amp;" "&amp;Identity!C109&amp;" "&amp;Identity!D109))</f>
      </c>
      <c r="D109" t="str">
        <f>IF(A109="","",IF(B109="","Select Position",IF(B109="Vice Director",IF(C109="","Ready - No Head Needed","Clear Head Member"),IF(C109="","Select Head Member",IF(C109=A109,"Invalid - Same Applicant",IF(B109="Senior Sales Manager",IF(COUNTIF(Teams!$A$2:$A$1001,C109)=1,"VD selected - Verify ID","Missing/Ambiguous VD"),IF(B109="Sales Manager",IF(COUNTIF(Teams!$B$2:$B$1001,C109)=1,"SSM selected - Verify ID","Missing/Ambiguous SSM"),"Invalid Position")))))))</f>
      </c>
    </row>
    <row r="110">
      <c r="A110" t="str">
        <f>IF(OR(Identity!B110="",Identity!D110=""),"",TRIM(Identity!B110&amp;" "&amp;Identity!C110&amp;" "&amp;Identity!D110))</f>
      </c>
      <c r="D110" t="str">
        <f>IF(A110="","",IF(B110="","Select Position",IF(B110="Vice Director",IF(C110="","Ready - No Head Needed","Clear Head Member"),IF(C110="","Select Head Member",IF(C110=A110,"Invalid - Same Applicant",IF(B110="Senior Sales Manager",IF(COUNTIF(Teams!$A$2:$A$1001,C110)=1,"VD selected - Verify ID","Missing/Ambiguous VD"),IF(B110="Sales Manager",IF(COUNTIF(Teams!$B$2:$B$1001,C110)=1,"SSM selected - Verify ID","Missing/Ambiguous SSM"),"Invalid Position")))))))</f>
      </c>
    </row>
    <row r="111">
      <c r="A111" t="str">
        <f>IF(OR(Identity!B111="",Identity!D111=""),"",TRIM(Identity!B111&amp;" "&amp;Identity!C111&amp;" "&amp;Identity!D111))</f>
      </c>
      <c r="D111" t="str">
        <f>IF(A111="","",IF(B111="","Select Position",IF(B111="Vice Director",IF(C111="","Ready - No Head Needed","Clear Head Member"),IF(C111="","Select Head Member",IF(C111=A111,"Invalid - Same Applicant",IF(B111="Senior Sales Manager",IF(COUNTIF(Teams!$A$2:$A$1001,C111)=1,"VD selected - Verify ID","Missing/Ambiguous VD"),IF(B111="Sales Manager",IF(COUNTIF(Teams!$B$2:$B$1001,C111)=1,"SSM selected - Verify ID","Missing/Ambiguous SSM"),"Invalid Position")))))))</f>
      </c>
    </row>
    <row r="112">
      <c r="A112" t="str">
        <f>IF(OR(Identity!B112="",Identity!D112=""),"",TRIM(Identity!B112&amp;" "&amp;Identity!C112&amp;" "&amp;Identity!D112))</f>
      </c>
      <c r="D112" t="str">
        <f>IF(A112="","",IF(B112="","Select Position",IF(B112="Vice Director",IF(C112="","Ready - No Head Needed","Clear Head Member"),IF(C112="","Select Head Member",IF(C112=A112,"Invalid - Same Applicant",IF(B112="Senior Sales Manager",IF(COUNTIF(Teams!$A$2:$A$1001,C112)=1,"VD selected - Verify ID","Missing/Ambiguous VD"),IF(B112="Sales Manager",IF(COUNTIF(Teams!$B$2:$B$1001,C112)=1,"SSM selected - Verify ID","Missing/Ambiguous SSM"),"Invalid Position")))))))</f>
      </c>
    </row>
    <row r="113">
      <c r="A113" t="str">
        <f>IF(OR(Identity!B113="",Identity!D113=""),"",TRIM(Identity!B113&amp;" "&amp;Identity!C113&amp;" "&amp;Identity!D113))</f>
      </c>
      <c r="D113" t="str">
        <f>IF(A113="","",IF(B113="","Select Position",IF(B113="Vice Director",IF(C113="","Ready - No Head Needed","Clear Head Member"),IF(C113="","Select Head Member",IF(C113=A113,"Invalid - Same Applicant",IF(B113="Senior Sales Manager",IF(COUNTIF(Teams!$A$2:$A$1001,C113)=1,"VD selected - Verify ID","Missing/Ambiguous VD"),IF(B113="Sales Manager",IF(COUNTIF(Teams!$B$2:$B$1001,C113)=1,"SSM selected - Verify ID","Missing/Ambiguous SSM"),"Invalid Position")))))))</f>
      </c>
    </row>
    <row r="114">
      <c r="A114" t="str">
        <f>IF(OR(Identity!B114="",Identity!D114=""),"",TRIM(Identity!B114&amp;" "&amp;Identity!C114&amp;" "&amp;Identity!D114))</f>
      </c>
      <c r="D114" t="str">
        <f>IF(A114="","",IF(B114="","Select Position",IF(B114="Vice Director",IF(C114="","Ready - No Head Needed","Clear Head Member"),IF(C114="","Select Head Member",IF(C114=A114,"Invalid - Same Applicant",IF(B114="Senior Sales Manager",IF(COUNTIF(Teams!$A$2:$A$1001,C114)=1,"VD selected - Verify ID","Missing/Ambiguous VD"),IF(B114="Sales Manager",IF(COUNTIF(Teams!$B$2:$B$1001,C114)=1,"SSM selected - Verify ID","Missing/Ambiguous SSM"),"Invalid Position")))))))</f>
      </c>
    </row>
    <row r="115">
      <c r="A115" t="str">
        <f>IF(OR(Identity!B115="",Identity!D115=""),"",TRIM(Identity!B115&amp;" "&amp;Identity!C115&amp;" "&amp;Identity!D115))</f>
      </c>
      <c r="D115" t="str">
        <f>IF(A115="","",IF(B115="","Select Position",IF(B115="Vice Director",IF(C115="","Ready - No Head Needed","Clear Head Member"),IF(C115="","Select Head Member",IF(C115=A115,"Invalid - Same Applicant",IF(B115="Senior Sales Manager",IF(COUNTIF(Teams!$A$2:$A$1001,C115)=1,"VD selected - Verify ID","Missing/Ambiguous VD"),IF(B115="Sales Manager",IF(COUNTIF(Teams!$B$2:$B$1001,C115)=1,"SSM selected - Verify ID","Missing/Ambiguous SSM"),"Invalid Position")))))))</f>
      </c>
    </row>
    <row r="116">
      <c r="A116" t="str">
        <f>IF(OR(Identity!B116="",Identity!D116=""),"",TRIM(Identity!B116&amp;" "&amp;Identity!C116&amp;" "&amp;Identity!D116))</f>
      </c>
      <c r="D116" t="str">
        <f>IF(A116="","",IF(B116="","Select Position",IF(B116="Vice Director",IF(C116="","Ready - No Head Needed","Clear Head Member"),IF(C116="","Select Head Member",IF(C116=A116,"Invalid - Same Applicant",IF(B116="Senior Sales Manager",IF(COUNTIF(Teams!$A$2:$A$1001,C116)=1,"VD selected - Verify ID","Missing/Ambiguous VD"),IF(B116="Sales Manager",IF(COUNTIF(Teams!$B$2:$B$1001,C116)=1,"SSM selected - Verify ID","Missing/Ambiguous SSM"),"Invalid Position")))))))</f>
      </c>
    </row>
    <row r="117">
      <c r="A117" t="str">
        <f>IF(OR(Identity!B117="",Identity!D117=""),"",TRIM(Identity!B117&amp;" "&amp;Identity!C117&amp;" "&amp;Identity!D117))</f>
      </c>
      <c r="D117" t="str">
        <f>IF(A117="","",IF(B117="","Select Position",IF(B117="Vice Director",IF(C117="","Ready - No Head Needed","Clear Head Member"),IF(C117="","Select Head Member",IF(C117=A117,"Invalid - Same Applicant",IF(B117="Senior Sales Manager",IF(COUNTIF(Teams!$A$2:$A$1001,C117)=1,"VD selected - Verify ID","Missing/Ambiguous VD"),IF(B117="Sales Manager",IF(COUNTIF(Teams!$B$2:$B$1001,C117)=1,"SSM selected - Verify ID","Missing/Ambiguous SSM"),"Invalid Position")))))))</f>
      </c>
    </row>
    <row r="118">
      <c r="A118" t="str">
        <f>IF(OR(Identity!B118="",Identity!D118=""),"",TRIM(Identity!B118&amp;" "&amp;Identity!C118&amp;" "&amp;Identity!D118))</f>
      </c>
      <c r="D118" t="str">
        <f>IF(A118="","",IF(B118="","Select Position",IF(B118="Vice Director",IF(C118="","Ready - No Head Needed","Clear Head Member"),IF(C118="","Select Head Member",IF(C118=A118,"Invalid - Same Applicant",IF(B118="Senior Sales Manager",IF(COUNTIF(Teams!$A$2:$A$1001,C118)=1,"VD selected - Verify ID","Missing/Ambiguous VD"),IF(B118="Sales Manager",IF(COUNTIF(Teams!$B$2:$B$1001,C118)=1,"SSM selected - Verify ID","Missing/Ambiguous SSM"),"Invalid Position")))))))</f>
      </c>
    </row>
    <row r="119">
      <c r="A119" t="str">
        <f>IF(OR(Identity!B119="",Identity!D119=""),"",TRIM(Identity!B119&amp;" "&amp;Identity!C119&amp;" "&amp;Identity!D119))</f>
      </c>
      <c r="D119" t="str">
        <f>IF(A119="","",IF(B119="","Select Position",IF(B119="Vice Director",IF(C119="","Ready - No Head Needed","Clear Head Member"),IF(C119="","Select Head Member",IF(C119=A119,"Invalid - Same Applicant",IF(B119="Senior Sales Manager",IF(COUNTIF(Teams!$A$2:$A$1001,C119)=1,"VD selected - Verify ID","Missing/Ambiguous VD"),IF(B119="Sales Manager",IF(COUNTIF(Teams!$B$2:$B$1001,C119)=1,"SSM selected - Verify ID","Missing/Ambiguous SSM"),"Invalid Position")))))))</f>
      </c>
    </row>
    <row r="120">
      <c r="A120" t="str">
        <f>IF(OR(Identity!B120="",Identity!D120=""),"",TRIM(Identity!B120&amp;" "&amp;Identity!C120&amp;" "&amp;Identity!D120))</f>
      </c>
      <c r="D120" t="str">
        <f>IF(A120="","",IF(B120="","Select Position",IF(B120="Vice Director",IF(C120="","Ready - No Head Needed","Clear Head Member"),IF(C120="","Select Head Member",IF(C120=A120,"Invalid - Same Applicant",IF(B120="Senior Sales Manager",IF(COUNTIF(Teams!$A$2:$A$1001,C120)=1,"VD selected - Verify ID","Missing/Ambiguous VD"),IF(B120="Sales Manager",IF(COUNTIF(Teams!$B$2:$B$1001,C120)=1,"SSM selected - Verify ID","Missing/Ambiguous SSM"),"Invalid Position")))))))</f>
      </c>
    </row>
    <row r="121">
      <c r="A121" t="str">
        <f>IF(OR(Identity!B121="",Identity!D121=""),"",TRIM(Identity!B121&amp;" "&amp;Identity!C121&amp;" "&amp;Identity!D121))</f>
      </c>
      <c r="D121" t="str">
        <f>IF(A121="","",IF(B121="","Select Position",IF(B121="Vice Director",IF(C121="","Ready - No Head Needed","Clear Head Member"),IF(C121="","Select Head Member",IF(C121=A121,"Invalid - Same Applicant",IF(B121="Senior Sales Manager",IF(COUNTIF(Teams!$A$2:$A$1001,C121)=1,"VD selected - Verify ID","Missing/Ambiguous VD"),IF(B121="Sales Manager",IF(COUNTIF(Teams!$B$2:$B$1001,C121)=1,"SSM selected - Verify ID","Missing/Ambiguous SSM"),"Invalid Position")))))))</f>
      </c>
    </row>
    <row r="122">
      <c r="A122" t="str">
        <f>IF(OR(Identity!B122="",Identity!D122=""),"",TRIM(Identity!B122&amp;" "&amp;Identity!C122&amp;" "&amp;Identity!D122))</f>
      </c>
      <c r="D122" t="str">
        <f>IF(A122="","",IF(B122="","Select Position",IF(B122="Vice Director",IF(C122="","Ready - No Head Needed","Clear Head Member"),IF(C122="","Select Head Member",IF(C122=A122,"Invalid - Same Applicant",IF(B122="Senior Sales Manager",IF(COUNTIF(Teams!$A$2:$A$1001,C122)=1,"VD selected - Verify ID","Missing/Ambiguous VD"),IF(B122="Sales Manager",IF(COUNTIF(Teams!$B$2:$B$1001,C122)=1,"SSM selected - Verify ID","Missing/Ambiguous SSM"),"Invalid Position")))))))</f>
      </c>
    </row>
    <row r="123">
      <c r="A123" t="str">
        <f>IF(OR(Identity!B123="",Identity!D123=""),"",TRIM(Identity!B123&amp;" "&amp;Identity!C123&amp;" "&amp;Identity!D123))</f>
      </c>
      <c r="D123" t="str">
        <f>IF(A123="","",IF(B123="","Select Position",IF(B123="Vice Director",IF(C123="","Ready - No Head Needed","Clear Head Member"),IF(C123="","Select Head Member",IF(C123=A123,"Invalid - Same Applicant",IF(B123="Senior Sales Manager",IF(COUNTIF(Teams!$A$2:$A$1001,C123)=1,"VD selected - Verify ID","Missing/Ambiguous VD"),IF(B123="Sales Manager",IF(COUNTIF(Teams!$B$2:$B$1001,C123)=1,"SSM selected - Verify ID","Missing/Ambiguous SSM"),"Invalid Position")))))))</f>
      </c>
    </row>
    <row r="124">
      <c r="A124" t="str">
        <f>IF(OR(Identity!B124="",Identity!D124=""),"",TRIM(Identity!B124&amp;" "&amp;Identity!C124&amp;" "&amp;Identity!D124))</f>
      </c>
      <c r="D124" t="str">
        <f>IF(A124="","",IF(B124="","Select Position",IF(B124="Vice Director",IF(C124="","Ready - No Head Needed","Clear Head Member"),IF(C124="","Select Head Member",IF(C124=A124,"Invalid - Same Applicant",IF(B124="Senior Sales Manager",IF(COUNTIF(Teams!$A$2:$A$1001,C124)=1,"VD selected - Verify ID","Missing/Ambiguous VD"),IF(B124="Sales Manager",IF(COUNTIF(Teams!$B$2:$B$1001,C124)=1,"SSM selected - Verify ID","Missing/Ambiguous SSM"),"Invalid Position")))))))</f>
      </c>
    </row>
    <row r="125">
      <c r="A125" t="str">
        <f>IF(OR(Identity!B125="",Identity!D125=""),"",TRIM(Identity!B125&amp;" "&amp;Identity!C125&amp;" "&amp;Identity!D125))</f>
      </c>
      <c r="D125" t="str">
        <f>IF(A125="","",IF(B125="","Select Position",IF(B125="Vice Director",IF(C125="","Ready - No Head Needed","Clear Head Member"),IF(C125="","Select Head Member",IF(C125=A125,"Invalid - Same Applicant",IF(B125="Senior Sales Manager",IF(COUNTIF(Teams!$A$2:$A$1001,C125)=1,"VD selected - Verify ID","Missing/Ambiguous VD"),IF(B125="Sales Manager",IF(COUNTIF(Teams!$B$2:$B$1001,C125)=1,"SSM selected - Verify ID","Missing/Ambiguous SSM"),"Invalid Position")))))))</f>
      </c>
    </row>
    <row r="126">
      <c r="A126" t="str">
        <f>IF(OR(Identity!B126="",Identity!D126=""),"",TRIM(Identity!B126&amp;" "&amp;Identity!C126&amp;" "&amp;Identity!D126))</f>
      </c>
      <c r="D126" t="str">
        <f>IF(A126="","",IF(B126="","Select Position",IF(B126="Vice Director",IF(C126="","Ready - No Head Needed","Clear Head Member"),IF(C126="","Select Head Member",IF(C126=A126,"Invalid - Same Applicant",IF(B126="Senior Sales Manager",IF(COUNTIF(Teams!$A$2:$A$1001,C126)=1,"VD selected - Verify ID","Missing/Ambiguous VD"),IF(B126="Sales Manager",IF(COUNTIF(Teams!$B$2:$B$1001,C126)=1,"SSM selected - Verify ID","Missing/Ambiguous SSM"),"Invalid Position")))))))</f>
      </c>
    </row>
    <row r="127">
      <c r="A127" t="str">
        <f>IF(OR(Identity!B127="",Identity!D127=""),"",TRIM(Identity!B127&amp;" "&amp;Identity!C127&amp;" "&amp;Identity!D127))</f>
      </c>
      <c r="D127" t="str">
        <f>IF(A127="","",IF(B127="","Select Position",IF(B127="Vice Director",IF(C127="","Ready - No Head Needed","Clear Head Member"),IF(C127="","Select Head Member",IF(C127=A127,"Invalid - Same Applicant",IF(B127="Senior Sales Manager",IF(COUNTIF(Teams!$A$2:$A$1001,C127)=1,"VD selected - Verify ID","Missing/Ambiguous VD"),IF(B127="Sales Manager",IF(COUNTIF(Teams!$B$2:$B$1001,C127)=1,"SSM selected - Verify ID","Missing/Ambiguous SSM"),"Invalid Position")))))))</f>
      </c>
    </row>
    <row r="128">
      <c r="A128" t="str">
        <f>IF(OR(Identity!B128="",Identity!D128=""),"",TRIM(Identity!B128&amp;" "&amp;Identity!C128&amp;" "&amp;Identity!D128))</f>
      </c>
      <c r="D128" t="str">
        <f>IF(A128="","",IF(B128="","Select Position",IF(B128="Vice Director",IF(C128="","Ready - No Head Needed","Clear Head Member"),IF(C128="","Select Head Member",IF(C128=A128,"Invalid - Same Applicant",IF(B128="Senior Sales Manager",IF(COUNTIF(Teams!$A$2:$A$1001,C128)=1,"VD selected - Verify ID","Missing/Ambiguous VD"),IF(B128="Sales Manager",IF(COUNTIF(Teams!$B$2:$B$1001,C128)=1,"SSM selected - Verify ID","Missing/Ambiguous SSM"),"Invalid Position")))))))</f>
      </c>
    </row>
    <row r="129">
      <c r="A129" t="str">
        <f>IF(OR(Identity!B129="",Identity!D129=""),"",TRIM(Identity!B129&amp;" "&amp;Identity!C129&amp;" "&amp;Identity!D129))</f>
      </c>
      <c r="D129" t="str">
        <f>IF(A129="","",IF(B129="","Select Position",IF(B129="Vice Director",IF(C129="","Ready - No Head Needed","Clear Head Member"),IF(C129="","Select Head Member",IF(C129=A129,"Invalid - Same Applicant",IF(B129="Senior Sales Manager",IF(COUNTIF(Teams!$A$2:$A$1001,C129)=1,"VD selected - Verify ID","Missing/Ambiguous VD"),IF(B129="Sales Manager",IF(COUNTIF(Teams!$B$2:$B$1001,C129)=1,"SSM selected - Verify ID","Missing/Ambiguous SSM"),"Invalid Position")))))))</f>
      </c>
    </row>
    <row r="130">
      <c r="A130" t="str">
        <f>IF(OR(Identity!B130="",Identity!D130=""),"",TRIM(Identity!B130&amp;" "&amp;Identity!C130&amp;" "&amp;Identity!D130))</f>
      </c>
      <c r="D130" t="str">
        <f>IF(A130="","",IF(B130="","Select Position",IF(B130="Vice Director",IF(C130="","Ready - No Head Needed","Clear Head Member"),IF(C130="","Select Head Member",IF(C130=A130,"Invalid - Same Applicant",IF(B130="Senior Sales Manager",IF(COUNTIF(Teams!$A$2:$A$1001,C130)=1,"VD selected - Verify ID","Missing/Ambiguous VD"),IF(B130="Sales Manager",IF(COUNTIF(Teams!$B$2:$B$1001,C130)=1,"SSM selected - Verify ID","Missing/Ambiguous SSM"),"Invalid Position")))))))</f>
      </c>
    </row>
    <row r="131">
      <c r="A131" t="str">
        <f>IF(OR(Identity!B131="",Identity!D131=""),"",TRIM(Identity!B131&amp;" "&amp;Identity!C131&amp;" "&amp;Identity!D131))</f>
      </c>
      <c r="D131" t="str">
        <f>IF(A131="","",IF(B131="","Select Position",IF(B131="Vice Director",IF(C131="","Ready - No Head Needed","Clear Head Member"),IF(C131="","Select Head Member",IF(C131=A131,"Invalid - Same Applicant",IF(B131="Senior Sales Manager",IF(COUNTIF(Teams!$A$2:$A$1001,C131)=1,"VD selected - Verify ID","Missing/Ambiguous VD"),IF(B131="Sales Manager",IF(COUNTIF(Teams!$B$2:$B$1001,C131)=1,"SSM selected - Verify ID","Missing/Ambiguous SSM"),"Invalid Position")))))))</f>
      </c>
    </row>
    <row r="132">
      <c r="A132" t="str">
        <f>IF(OR(Identity!B132="",Identity!D132=""),"",TRIM(Identity!B132&amp;" "&amp;Identity!C132&amp;" "&amp;Identity!D132))</f>
      </c>
      <c r="D132" t="str">
        <f>IF(A132="","",IF(B132="","Select Position",IF(B132="Vice Director",IF(C132="","Ready - No Head Needed","Clear Head Member"),IF(C132="","Select Head Member",IF(C132=A132,"Invalid - Same Applicant",IF(B132="Senior Sales Manager",IF(COUNTIF(Teams!$A$2:$A$1001,C132)=1,"VD selected - Verify ID","Missing/Ambiguous VD"),IF(B132="Sales Manager",IF(COUNTIF(Teams!$B$2:$B$1001,C132)=1,"SSM selected - Verify ID","Missing/Ambiguous SSM"),"Invalid Position")))))))</f>
      </c>
    </row>
    <row r="133">
      <c r="A133" t="str">
        <f>IF(OR(Identity!B133="",Identity!D133=""),"",TRIM(Identity!B133&amp;" "&amp;Identity!C133&amp;" "&amp;Identity!D133))</f>
      </c>
      <c r="D133" t="str">
        <f>IF(A133="","",IF(B133="","Select Position",IF(B133="Vice Director",IF(C133="","Ready - No Head Needed","Clear Head Member"),IF(C133="","Select Head Member",IF(C133=A133,"Invalid - Same Applicant",IF(B133="Senior Sales Manager",IF(COUNTIF(Teams!$A$2:$A$1001,C133)=1,"VD selected - Verify ID","Missing/Ambiguous VD"),IF(B133="Sales Manager",IF(COUNTIF(Teams!$B$2:$B$1001,C133)=1,"SSM selected - Verify ID","Missing/Ambiguous SSM"),"Invalid Position")))))))</f>
      </c>
    </row>
    <row r="134">
      <c r="A134" t="str">
        <f>IF(OR(Identity!B134="",Identity!D134=""),"",TRIM(Identity!B134&amp;" "&amp;Identity!C134&amp;" "&amp;Identity!D134))</f>
      </c>
      <c r="D134" t="str">
        <f>IF(A134="","",IF(B134="","Select Position",IF(B134="Vice Director",IF(C134="","Ready - No Head Needed","Clear Head Member"),IF(C134="","Select Head Member",IF(C134=A134,"Invalid - Same Applicant",IF(B134="Senior Sales Manager",IF(COUNTIF(Teams!$A$2:$A$1001,C134)=1,"VD selected - Verify ID","Missing/Ambiguous VD"),IF(B134="Sales Manager",IF(COUNTIF(Teams!$B$2:$B$1001,C134)=1,"SSM selected - Verify ID","Missing/Ambiguous SSM"),"Invalid Position")))))))</f>
      </c>
    </row>
    <row r="135">
      <c r="A135" t="str">
        <f>IF(OR(Identity!B135="",Identity!D135=""),"",TRIM(Identity!B135&amp;" "&amp;Identity!C135&amp;" "&amp;Identity!D135))</f>
      </c>
      <c r="D135" t="str">
        <f>IF(A135="","",IF(B135="","Select Position",IF(B135="Vice Director",IF(C135="","Ready - No Head Needed","Clear Head Member"),IF(C135="","Select Head Member",IF(C135=A135,"Invalid - Same Applicant",IF(B135="Senior Sales Manager",IF(COUNTIF(Teams!$A$2:$A$1001,C135)=1,"VD selected - Verify ID","Missing/Ambiguous VD"),IF(B135="Sales Manager",IF(COUNTIF(Teams!$B$2:$B$1001,C135)=1,"SSM selected - Verify ID","Missing/Ambiguous SSM"),"Invalid Position")))))))</f>
      </c>
    </row>
    <row r="136">
      <c r="A136" t="str">
        <f>IF(OR(Identity!B136="",Identity!D136=""),"",TRIM(Identity!B136&amp;" "&amp;Identity!C136&amp;" "&amp;Identity!D136))</f>
      </c>
      <c r="D136" t="str">
        <f>IF(A136="","",IF(B136="","Select Position",IF(B136="Vice Director",IF(C136="","Ready - No Head Needed","Clear Head Member"),IF(C136="","Select Head Member",IF(C136=A136,"Invalid - Same Applicant",IF(B136="Senior Sales Manager",IF(COUNTIF(Teams!$A$2:$A$1001,C136)=1,"VD selected - Verify ID","Missing/Ambiguous VD"),IF(B136="Sales Manager",IF(COUNTIF(Teams!$B$2:$B$1001,C136)=1,"SSM selected - Verify ID","Missing/Ambiguous SSM"),"Invalid Position")))))))</f>
      </c>
    </row>
    <row r="137">
      <c r="A137" t="str">
        <f>IF(OR(Identity!B137="",Identity!D137=""),"",TRIM(Identity!B137&amp;" "&amp;Identity!C137&amp;" "&amp;Identity!D137))</f>
      </c>
      <c r="D137" t="str">
        <f>IF(A137="","",IF(B137="","Select Position",IF(B137="Vice Director",IF(C137="","Ready - No Head Needed","Clear Head Member"),IF(C137="","Select Head Member",IF(C137=A137,"Invalid - Same Applicant",IF(B137="Senior Sales Manager",IF(COUNTIF(Teams!$A$2:$A$1001,C137)=1,"VD selected - Verify ID","Missing/Ambiguous VD"),IF(B137="Sales Manager",IF(COUNTIF(Teams!$B$2:$B$1001,C137)=1,"SSM selected - Verify ID","Missing/Ambiguous SSM"),"Invalid Position")))))))</f>
      </c>
    </row>
    <row r="138">
      <c r="A138" t="str">
        <f>IF(OR(Identity!B138="",Identity!D138=""),"",TRIM(Identity!B138&amp;" "&amp;Identity!C138&amp;" "&amp;Identity!D138))</f>
      </c>
      <c r="D138" t="str">
        <f>IF(A138="","",IF(B138="","Select Position",IF(B138="Vice Director",IF(C138="","Ready - No Head Needed","Clear Head Member"),IF(C138="","Select Head Member",IF(C138=A138,"Invalid - Same Applicant",IF(B138="Senior Sales Manager",IF(COUNTIF(Teams!$A$2:$A$1001,C138)=1,"VD selected - Verify ID","Missing/Ambiguous VD"),IF(B138="Sales Manager",IF(COUNTIF(Teams!$B$2:$B$1001,C138)=1,"SSM selected - Verify ID","Missing/Ambiguous SSM"),"Invalid Position")))))))</f>
      </c>
    </row>
    <row r="139">
      <c r="A139" t="str">
        <f>IF(OR(Identity!B139="",Identity!D139=""),"",TRIM(Identity!B139&amp;" "&amp;Identity!C139&amp;" "&amp;Identity!D139))</f>
      </c>
      <c r="D139" t="str">
        <f>IF(A139="","",IF(B139="","Select Position",IF(B139="Vice Director",IF(C139="","Ready - No Head Needed","Clear Head Member"),IF(C139="","Select Head Member",IF(C139=A139,"Invalid - Same Applicant",IF(B139="Senior Sales Manager",IF(COUNTIF(Teams!$A$2:$A$1001,C139)=1,"VD selected - Verify ID","Missing/Ambiguous VD"),IF(B139="Sales Manager",IF(COUNTIF(Teams!$B$2:$B$1001,C139)=1,"SSM selected - Verify ID","Missing/Ambiguous SSM"),"Invalid Position")))))))</f>
      </c>
    </row>
    <row r="140">
      <c r="A140" t="str">
        <f>IF(OR(Identity!B140="",Identity!D140=""),"",TRIM(Identity!B140&amp;" "&amp;Identity!C140&amp;" "&amp;Identity!D140))</f>
      </c>
      <c r="D140" t="str">
        <f>IF(A140="","",IF(B140="","Select Position",IF(B140="Vice Director",IF(C140="","Ready - No Head Needed","Clear Head Member"),IF(C140="","Select Head Member",IF(C140=A140,"Invalid - Same Applicant",IF(B140="Senior Sales Manager",IF(COUNTIF(Teams!$A$2:$A$1001,C140)=1,"VD selected - Verify ID","Missing/Ambiguous VD"),IF(B140="Sales Manager",IF(COUNTIF(Teams!$B$2:$B$1001,C140)=1,"SSM selected - Verify ID","Missing/Ambiguous SSM"),"Invalid Position")))))))</f>
      </c>
    </row>
    <row r="141">
      <c r="A141" t="str">
        <f>IF(OR(Identity!B141="",Identity!D141=""),"",TRIM(Identity!B141&amp;" "&amp;Identity!C141&amp;" "&amp;Identity!D141))</f>
      </c>
      <c r="D141" t="str">
        <f>IF(A141="","",IF(B141="","Select Position",IF(B141="Vice Director",IF(C141="","Ready - No Head Needed","Clear Head Member"),IF(C141="","Select Head Member",IF(C141=A141,"Invalid - Same Applicant",IF(B141="Senior Sales Manager",IF(COUNTIF(Teams!$A$2:$A$1001,C141)=1,"VD selected - Verify ID","Missing/Ambiguous VD"),IF(B141="Sales Manager",IF(COUNTIF(Teams!$B$2:$B$1001,C141)=1,"SSM selected - Verify ID","Missing/Ambiguous SSM"),"Invalid Position")))))))</f>
      </c>
    </row>
    <row r="142">
      <c r="A142" t="str">
        <f>IF(OR(Identity!B142="",Identity!D142=""),"",TRIM(Identity!B142&amp;" "&amp;Identity!C142&amp;" "&amp;Identity!D142))</f>
      </c>
      <c r="D142" t="str">
        <f>IF(A142="","",IF(B142="","Select Position",IF(B142="Vice Director",IF(C142="","Ready - No Head Needed","Clear Head Member"),IF(C142="","Select Head Member",IF(C142=A142,"Invalid - Same Applicant",IF(B142="Senior Sales Manager",IF(COUNTIF(Teams!$A$2:$A$1001,C142)=1,"VD selected - Verify ID","Missing/Ambiguous VD"),IF(B142="Sales Manager",IF(COUNTIF(Teams!$B$2:$B$1001,C142)=1,"SSM selected - Verify ID","Missing/Ambiguous SSM"),"Invalid Position")))))))</f>
      </c>
    </row>
    <row r="143">
      <c r="A143" t="str">
        <f>IF(OR(Identity!B143="",Identity!D143=""),"",TRIM(Identity!B143&amp;" "&amp;Identity!C143&amp;" "&amp;Identity!D143))</f>
      </c>
      <c r="D143" t="str">
        <f>IF(A143="","",IF(B143="","Select Position",IF(B143="Vice Director",IF(C143="","Ready - No Head Needed","Clear Head Member"),IF(C143="","Select Head Member",IF(C143=A143,"Invalid - Same Applicant",IF(B143="Senior Sales Manager",IF(COUNTIF(Teams!$A$2:$A$1001,C143)=1,"VD selected - Verify ID","Missing/Ambiguous VD"),IF(B143="Sales Manager",IF(COUNTIF(Teams!$B$2:$B$1001,C143)=1,"SSM selected - Verify ID","Missing/Ambiguous SSM"),"Invalid Position")))))))</f>
      </c>
    </row>
    <row r="144">
      <c r="A144" t="str">
        <f>IF(OR(Identity!B144="",Identity!D144=""),"",TRIM(Identity!B144&amp;" "&amp;Identity!C144&amp;" "&amp;Identity!D144))</f>
      </c>
      <c r="D144" t="str">
        <f>IF(A144="","",IF(B144="","Select Position",IF(B144="Vice Director",IF(C144="","Ready - No Head Needed","Clear Head Member"),IF(C144="","Select Head Member",IF(C144=A144,"Invalid - Same Applicant",IF(B144="Senior Sales Manager",IF(COUNTIF(Teams!$A$2:$A$1001,C144)=1,"VD selected - Verify ID","Missing/Ambiguous VD"),IF(B144="Sales Manager",IF(COUNTIF(Teams!$B$2:$B$1001,C144)=1,"SSM selected - Verify ID","Missing/Ambiguous SSM"),"Invalid Position")))))))</f>
      </c>
    </row>
    <row r="145">
      <c r="A145" t="str">
        <f>IF(OR(Identity!B145="",Identity!D145=""),"",TRIM(Identity!B145&amp;" "&amp;Identity!C145&amp;" "&amp;Identity!D145))</f>
      </c>
      <c r="D145" t="str">
        <f>IF(A145="","",IF(B145="","Select Position",IF(B145="Vice Director",IF(C145="","Ready - No Head Needed","Clear Head Member"),IF(C145="","Select Head Member",IF(C145=A145,"Invalid - Same Applicant",IF(B145="Senior Sales Manager",IF(COUNTIF(Teams!$A$2:$A$1001,C145)=1,"VD selected - Verify ID","Missing/Ambiguous VD"),IF(B145="Sales Manager",IF(COUNTIF(Teams!$B$2:$B$1001,C145)=1,"SSM selected - Verify ID","Missing/Ambiguous SSM"),"Invalid Position")))))))</f>
      </c>
    </row>
    <row r="146">
      <c r="A146" t="str">
        <f>IF(OR(Identity!B146="",Identity!D146=""),"",TRIM(Identity!B146&amp;" "&amp;Identity!C146&amp;" "&amp;Identity!D146))</f>
      </c>
      <c r="D146" t="str">
        <f>IF(A146="","",IF(B146="","Select Position",IF(B146="Vice Director",IF(C146="","Ready - No Head Needed","Clear Head Member"),IF(C146="","Select Head Member",IF(C146=A146,"Invalid - Same Applicant",IF(B146="Senior Sales Manager",IF(COUNTIF(Teams!$A$2:$A$1001,C146)=1,"VD selected - Verify ID","Missing/Ambiguous VD"),IF(B146="Sales Manager",IF(COUNTIF(Teams!$B$2:$B$1001,C146)=1,"SSM selected - Verify ID","Missing/Ambiguous SSM"),"Invalid Position")))))))</f>
      </c>
    </row>
    <row r="147">
      <c r="A147" t="str">
        <f>IF(OR(Identity!B147="",Identity!D147=""),"",TRIM(Identity!B147&amp;" "&amp;Identity!C147&amp;" "&amp;Identity!D147))</f>
      </c>
      <c r="D147" t="str">
        <f>IF(A147="","",IF(B147="","Select Position",IF(B147="Vice Director",IF(C147="","Ready - No Head Needed","Clear Head Member"),IF(C147="","Select Head Member",IF(C147=A147,"Invalid - Same Applicant",IF(B147="Senior Sales Manager",IF(COUNTIF(Teams!$A$2:$A$1001,C147)=1,"VD selected - Verify ID","Missing/Ambiguous VD"),IF(B147="Sales Manager",IF(COUNTIF(Teams!$B$2:$B$1001,C147)=1,"SSM selected - Verify ID","Missing/Ambiguous SSM"),"Invalid Position")))))))</f>
      </c>
    </row>
    <row r="148">
      <c r="A148" t="str">
        <f>IF(OR(Identity!B148="",Identity!D148=""),"",TRIM(Identity!B148&amp;" "&amp;Identity!C148&amp;" "&amp;Identity!D148))</f>
      </c>
      <c r="D148" t="str">
        <f>IF(A148="","",IF(B148="","Select Position",IF(B148="Vice Director",IF(C148="","Ready - No Head Needed","Clear Head Member"),IF(C148="","Select Head Member",IF(C148=A148,"Invalid - Same Applicant",IF(B148="Senior Sales Manager",IF(COUNTIF(Teams!$A$2:$A$1001,C148)=1,"VD selected - Verify ID","Missing/Ambiguous VD"),IF(B148="Sales Manager",IF(COUNTIF(Teams!$B$2:$B$1001,C148)=1,"SSM selected - Verify ID","Missing/Ambiguous SSM"),"Invalid Position")))))))</f>
      </c>
    </row>
    <row r="149">
      <c r="A149" t="str">
        <f>IF(OR(Identity!B149="",Identity!D149=""),"",TRIM(Identity!B149&amp;" "&amp;Identity!C149&amp;" "&amp;Identity!D149))</f>
      </c>
      <c r="D149" t="str">
        <f>IF(A149="","",IF(B149="","Select Position",IF(B149="Vice Director",IF(C149="","Ready - No Head Needed","Clear Head Member"),IF(C149="","Select Head Member",IF(C149=A149,"Invalid - Same Applicant",IF(B149="Senior Sales Manager",IF(COUNTIF(Teams!$A$2:$A$1001,C149)=1,"VD selected - Verify ID","Missing/Ambiguous VD"),IF(B149="Sales Manager",IF(COUNTIF(Teams!$B$2:$B$1001,C149)=1,"SSM selected - Verify ID","Missing/Ambiguous SSM"),"Invalid Position")))))))</f>
      </c>
    </row>
    <row r="150">
      <c r="A150" t="str">
        <f>IF(OR(Identity!B150="",Identity!D150=""),"",TRIM(Identity!B150&amp;" "&amp;Identity!C150&amp;" "&amp;Identity!D150))</f>
      </c>
      <c r="D150" t="str">
        <f>IF(A150="","",IF(B150="","Select Position",IF(B150="Vice Director",IF(C150="","Ready - No Head Needed","Clear Head Member"),IF(C150="","Select Head Member",IF(C150=A150,"Invalid - Same Applicant",IF(B150="Senior Sales Manager",IF(COUNTIF(Teams!$A$2:$A$1001,C150)=1,"VD selected - Verify ID","Missing/Ambiguous VD"),IF(B150="Sales Manager",IF(COUNTIF(Teams!$B$2:$B$1001,C150)=1,"SSM selected - Verify ID","Missing/Ambiguous SSM"),"Invalid Position")))))))</f>
      </c>
    </row>
    <row r="151">
      <c r="A151" t="str">
        <f>IF(OR(Identity!B151="",Identity!D151=""),"",TRIM(Identity!B151&amp;" "&amp;Identity!C151&amp;" "&amp;Identity!D151))</f>
      </c>
      <c r="D151" t="str">
        <f>IF(A151="","",IF(B151="","Select Position",IF(B151="Vice Director",IF(C151="","Ready - No Head Needed","Clear Head Member"),IF(C151="","Select Head Member",IF(C151=A151,"Invalid - Same Applicant",IF(B151="Senior Sales Manager",IF(COUNTIF(Teams!$A$2:$A$1001,C151)=1,"VD selected - Verify ID","Missing/Ambiguous VD"),IF(B151="Sales Manager",IF(COUNTIF(Teams!$B$2:$B$1001,C151)=1,"SSM selected - Verify ID","Missing/Ambiguous SSM"),"Invalid Position")))))))</f>
      </c>
    </row>
    <row r="152">
      <c r="A152" t="str">
        <f>IF(OR(Identity!B152="",Identity!D152=""),"",TRIM(Identity!B152&amp;" "&amp;Identity!C152&amp;" "&amp;Identity!D152))</f>
      </c>
      <c r="D152" t="str">
        <f>IF(A152="","",IF(B152="","Select Position",IF(B152="Vice Director",IF(C152="","Ready - No Head Needed","Clear Head Member"),IF(C152="","Select Head Member",IF(C152=A152,"Invalid - Same Applicant",IF(B152="Senior Sales Manager",IF(COUNTIF(Teams!$A$2:$A$1001,C152)=1,"VD selected - Verify ID","Missing/Ambiguous VD"),IF(B152="Sales Manager",IF(COUNTIF(Teams!$B$2:$B$1001,C152)=1,"SSM selected - Verify ID","Missing/Ambiguous SSM"),"Invalid Position")))))))</f>
      </c>
    </row>
    <row r="153">
      <c r="A153" t="str">
        <f>IF(OR(Identity!B153="",Identity!D153=""),"",TRIM(Identity!B153&amp;" "&amp;Identity!C153&amp;" "&amp;Identity!D153))</f>
      </c>
      <c r="D153" t="str">
        <f>IF(A153="","",IF(B153="","Select Position",IF(B153="Vice Director",IF(C153="","Ready - No Head Needed","Clear Head Member"),IF(C153="","Select Head Member",IF(C153=A153,"Invalid - Same Applicant",IF(B153="Senior Sales Manager",IF(COUNTIF(Teams!$A$2:$A$1001,C153)=1,"VD selected - Verify ID","Missing/Ambiguous VD"),IF(B153="Sales Manager",IF(COUNTIF(Teams!$B$2:$B$1001,C153)=1,"SSM selected - Verify ID","Missing/Ambiguous SSM"),"Invalid Position")))))))</f>
      </c>
    </row>
    <row r="154">
      <c r="A154" t="str">
        <f>IF(OR(Identity!B154="",Identity!D154=""),"",TRIM(Identity!B154&amp;" "&amp;Identity!C154&amp;" "&amp;Identity!D154))</f>
      </c>
      <c r="D154" t="str">
        <f>IF(A154="","",IF(B154="","Select Position",IF(B154="Vice Director",IF(C154="","Ready - No Head Needed","Clear Head Member"),IF(C154="","Select Head Member",IF(C154=A154,"Invalid - Same Applicant",IF(B154="Senior Sales Manager",IF(COUNTIF(Teams!$A$2:$A$1001,C154)=1,"VD selected - Verify ID","Missing/Ambiguous VD"),IF(B154="Sales Manager",IF(COUNTIF(Teams!$B$2:$B$1001,C154)=1,"SSM selected - Verify ID","Missing/Ambiguous SSM"),"Invalid Position")))))))</f>
      </c>
    </row>
    <row r="155">
      <c r="A155" t="str">
        <f>IF(OR(Identity!B155="",Identity!D155=""),"",TRIM(Identity!B155&amp;" "&amp;Identity!C155&amp;" "&amp;Identity!D155))</f>
      </c>
      <c r="D155" t="str">
        <f>IF(A155="","",IF(B155="","Select Position",IF(B155="Vice Director",IF(C155="","Ready - No Head Needed","Clear Head Member"),IF(C155="","Select Head Member",IF(C155=A155,"Invalid - Same Applicant",IF(B155="Senior Sales Manager",IF(COUNTIF(Teams!$A$2:$A$1001,C155)=1,"VD selected - Verify ID","Missing/Ambiguous VD"),IF(B155="Sales Manager",IF(COUNTIF(Teams!$B$2:$B$1001,C155)=1,"SSM selected - Verify ID","Missing/Ambiguous SSM"),"Invalid Position")))))))</f>
      </c>
    </row>
    <row r="156">
      <c r="A156" t="str">
        <f>IF(OR(Identity!B156="",Identity!D156=""),"",TRIM(Identity!B156&amp;" "&amp;Identity!C156&amp;" "&amp;Identity!D156))</f>
      </c>
      <c r="D156" t="str">
        <f>IF(A156="","",IF(B156="","Select Position",IF(B156="Vice Director",IF(C156="","Ready - No Head Needed","Clear Head Member"),IF(C156="","Select Head Member",IF(C156=A156,"Invalid - Same Applicant",IF(B156="Senior Sales Manager",IF(COUNTIF(Teams!$A$2:$A$1001,C156)=1,"VD selected - Verify ID","Missing/Ambiguous VD"),IF(B156="Sales Manager",IF(COUNTIF(Teams!$B$2:$B$1001,C156)=1,"SSM selected - Verify ID","Missing/Ambiguous SSM"),"Invalid Position")))))))</f>
      </c>
    </row>
    <row r="157">
      <c r="A157" t="str">
        <f>IF(OR(Identity!B157="",Identity!D157=""),"",TRIM(Identity!B157&amp;" "&amp;Identity!C157&amp;" "&amp;Identity!D157))</f>
      </c>
      <c r="D157" t="str">
        <f>IF(A157="","",IF(B157="","Select Position",IF(B157="Vice Director",IF(C157="","Ready - No Head Needed","Clear Head Member"),IF(C157="","Select Head Member",IF(C157=A157,"Invalid - Same Applicant",IF(B157="Senior Sales Manager",IF(COUNTIF(Teams!$A$2:$A$1001,C157)=1,"VD selected - Verify ID","Missing/Ambiguous VD"),IF(B157="Sales Manager",IF(COUNTIF(Teams!$B$2:$B$1001,C157)=1,"SSM selected - Verify ID","Missing/Ambiguous SSM"),"Invalid Position")))))))</f>
      </c>
    </row>
    <row r="158">
      <c r="A158" t="str">
        <f>IF(OR(Identity!B158="",Identity!D158=""),"",TRIM(Identity!B158&amp;" "&amp;Identity!C158&amp;" "&amp;Identity!D158))</f>
      </c>
      <c r="D158" t="str">
        <f>IF(A158="","",IF(B158="","Select Position",IF(B158="Vice Director",IF(C158="","Ready - No Head Needed","Clear Head Member"),IF(C158="","Select Head Member",IF(C158=A158,"Invalid - Same Applicant",IF(B158="Senior Sales Manager",IF(COUNTIF(Teams!$A$2:$A$1001,C158)=1,"VD selected - Verify ID","Missing/Ambiguous VD"),IF(B158="Sales Manager",IF(COUNTIF(Teams!$B$2:$B$1001,C158)=1,"SSM selected - Verify ID","Missing/Ambiguous SSM"),"Invalid Position")))))))</f>
      </c>
    </row>
    <row r="159">
      <c r="A159" t="str">
        <f>IF(OR(Identity!B159="",Identity!D159=""),"",TRIM(Identity!B159&amp;" "&amp;Identity!C159&amp;" "&amp;Identity!D159))</f>
      </c>
      <c r="D159" t="str">
        <f>IF(A159="","",IF(B159="","Select Position",IF(B159="Vice Director",IF(C159="","Ready - No Head Needed","Clear Head Member"),IF(C159="","Select Head Member",IF(C159=A159,"Invalid - Same Applicant",IF(B159="Senior Sales Manager",IF(COUNTIF(Teams!$A$2:$A$1001,C159)=1,"VD selected - Verify ID","Missing/Ambiguous VD"),IF(B159="Sales Manager",IF(COUNTIF(Teams!$B$2:$B$1001,C159)=1,"SSM selected - Verify ID","Missing/Ambiguous SSM"),"Invalid Position")))))))</f>
      </c>
    </row>
    <row r="160">
      <c r="A160" t="str">
        <f>IF(OR(Identity!B160="",Identity!D160=""),"",TRIM(Identity!B160&amp;" "&amp;Identity!C160&amp;" "&amp;Identity!D160))</f>
      </c>
      <c r="D160" t="str">
        <f>IF(A160="","",IF(B160="","Select Position",IF(B160="Vice Director",IF(C160="","Ready - No Head Needed","Clear Head Member"),IF(C160="","Select Head Member",IF(C160=A160,"Invalid - Same Applicant",IF(B160="Senior Sales Manager",IF(COUNTIF(Teams!$A$2:$A$1001,C160)=1,"VD selected - Verify ID","Missing/Ambiguous VD"),IF(B160="Sales Manager",IF(COUNTIF(Teams!$B$2:$B$1001,C160)=1,"SSM selected - Verify ID","Missing/Ambiguous SSM"),"Invalid Position")))))))</f>
      </c>
    </row>
    <row r="161">
      <c r="A161" t="str">
        <f>IF(OR(Identity!B161="",Identity!D161=""),"",TRIM(Identity!B161&amp;" "&amp;Identity!C161&amp;" "&amp;Identity!D161))</f>
      </c>
      <c r="D161" t="str">
        <f>IF(A161="","",IF(B161="","Select Position",IF(B161="Vice Director",IF(C161="","Ready - No Head Needed","Clear Head Member"),IF(C161="","Select Head Member",IF(C161=A161,"Invalid - Same Applicant",IF(B161="Senior Sales Manager",IF(COUNTIF(Teams!$A$2:$A$1001,C161)=1,"VD selected - Verify ID","Missing/Ambiguous VD"),IF(B161="Sales Manager",IF(COUNTIF(Teams!$B$2:$B$1001,C161)=1,"SSM selected - Verify ID","Missing/Ambiguous SSM"),"Invalid Position")))))))</f>
      </c>
    </row>
    <row r="162">
      <c r="A162" t="str">
        <f>IF(OR(Identity!B162="",Identity!D162=""),"",TRIM(Identity!B162&amp;" "&amp;Identity!C162&amp;" "&amp;Identity!D162))</f>
      </c>
      <c r="D162" t="str">
        <f>IF(A162="","",IF(B162="","Select Position",IF(B162="Vice Director",IF(C162="","Ready - No Head Needed","Clear Head Member"),IF(C162="","Select Head Member",IF(C162=A162,"Invalid - Same Applicant",IF(B162="Senior Sales Manager",IF(COUNTIF(Teams!$A$2:$A$1001,C162)=1,"VD selected - Verify ID","Missing/Ambiguous VD"),IF(B162="Sales Manager",IF(COUNTIF(Teams!$B$2:$B$1001,C162)=1,"SSM selected - Verify ID","Missing/Ambiguous SSM"),"Invalid Position")))))))</f>
      </c>
    </row>
    <row r="163">
      <c r="A163" t="str">
        <f>IF(OR(Identity!B163="",Identity!D163=""),"",TRIM(Identity!B163&amp;" "&amp;Identity!C163&amp;" "&amp;Identity!D163))</f>
      </c>
      <c r="D163" t="str">
        <f>IF(A163="","",IF(B163="","Select Position",IF(B163="Vice Director",IF(C163="","Ready - No Head Needed","Clear Head Member"),IF(C163="","Select Head Member",IF(C163=A163,"Invalid - Same Applicant",IF(B163="Senior Sales Manager",IF(COUNTIF(Teams!$A$2:$A$1001,C163)=1,"VD selected - Verify ID","Missing/Ambiguous VD"),IF(B163="Sales Manager",IF(COUNTIF(Teams!$B$2:$B$1001,C163)=1,"SSM selected - Verify ID","Missing/Ambiguous SSM"),"Invalid Position")))))))</f>
      </c>
    </row>
    <row r="164">
      <c r="A164" t="str">
        <f>IF(OR(Identity!B164="",Identity!D164=""),"",TRIM(Identity!B164&amp;" "&amp;Identity!C164&amp;" "&amp;Identity!D164))</f>
      </c>
      <c r="D164" t="str">
        <f>IF(A164="","",IF(B164="","Select Position",IF(B164="Vice Director",IF(C164="","Ready - No Head Needed","Clear Head Member"),IF(C164="","Select Head Member",IF(C164=A164,"Invalid - Same Applicant",IF(B164="Senior Sales Manager",IF(COUNTIF(Teams!$A$2:$A$1001,C164)=1,"VD selected - Verify ID","Missing/Ambiguous VD"),IF(B164="Sales Manager",IF(COUNTIF(Teams!$B$2:$B$1001,C164)=1,"SSM selected - Verify ID","Missing/Ambiguous SSM"),"Invalid Position")))))))</f>
      </c>
    </row>
    <row r="165">
      <c r="A165" t="str">
        <f>IF(OR(Identity!B165="",Identity!D165=""),"",TRIM(Identity!B165&amp;" "&amp;Identity!C165&amp;" "&amp;Identity!D165))</f>
      </c>
      <c r="D165" t="str">
        <f>IF(A165="","",IF(B165="","Select Position",IF(B165="Vice Director",IF(C165="","Ready - No Head Needed","Clear Head Member"),IF(C165="","Select Head Member",IF(C165=A165,"Invalid - Same Applicant",IF(B165="Senior Sales Manager",IF(COUNTIF(Teams!$A$2:$A$1001,C165)=1,"VD selected - Verify ID","Missing/Ambiguous VD"),IF(B165="Sales Manager",IF(COUNTIF(Teams!$B$2:$B$1001,C165)=1,"SSM selected - Verify ID","Missing/Ambiguous SSM"),"Invalid Position")))))))</f>
      </c>
    </row>
    <row r="166">
      <c r="A166" t="str">
        <f>IF(OR(Identity!B166="",Identity!D166=""),"",TRIM(Identity!B166&amp;" "&amp;Identity!C166&amp;" "&amp;Identity!D166))</f>
      </c>
      <c r="D166" t="str">
        <f>IF(A166="","",IF(B166="","Select Position",IF(B166="Vice Director",IF(C166="","Ready - No Head Needed","Clear Head Member"),IF(C166="","Select Head Member",IF(C166=A166,"Invalid - Same Applicant",IF(B166="Senior Sales Manager",IF(COUNTIF(Teams!$A$2:$A$1001,C166)=1,"VD selected - Verify ID","Missing/Ambiguous VD"),IF(B166="Sales Manager",IF(COUNTIF(Teams!$B$2:$B$1001,C166)=1,"SSM selected - Verify ID","Missing/Ambiguous SSM"),"Invalid Position")))))))</f>
      </c>
    </row>
    <row r="167">
      <c r="A167" t="str">
        <f>IF(OR(Identity!B167="",Identity!D167=""),"",TRIM(Identity!B167&amp;" "&amp;Identity!C167&amp;" "&amp;Identity!D167))</f>
      </c>
      <c r="D167" t="str">
        <f>IF(A167="","",IF(B167="","Select Position",IF(B167="Vice Director",IF(C167="","Ready - No Head Needed","Clear Head Member"),IF(C167="","Select Head Member",IF(C167=A167,"Invalid - Same Applicant",IF(B167="Senior Sales Manager",IF(COUNTIF(Teams!$A$2:$A$1001,C167)=1,"VD selected - Verify ID","Missing/Ambiguous VD"),IF(B167="Sales Manager",IF(COUNTIF(Teams!$B$2:$B$1001,C167)=1,"SSM selected - Verify ID","Missing/Ambiguous SSM"),"Invalid Position")))))))</f>
      </c>
    </row>
    <row r="168">
      <c r="A168" t="str">
        <f>IF(OR(Identity!B168="",Identity!D168=""),"",TRIM(Identity!B168&amp;" "&amp;Identity!C168&amp;" "&amp;Identity!D168))</f>
      </c>
      <c r="D168" t="str">
        <f>IF(A168="","",IF(B168="","Select Position",IF(B168="Vice Director",IF(C168="","Ready - No Head Needed","Clear Head Member"),IF(C168="","Select Head Member",IF(C168=A168,"Invalid - Same Applicant",IF(B168="Senior Sales Manager",IF(COUNTIF(Teams!$A$2:$A$1001,C168)=1,"VD selected - Verify ID","Missing/Ambiguous VD"),IF(B168="Sales Manager",IF(COUNTIF(Teams!$B$2:$B$1001,C168)=1,"SSM selected - Verify ID","Missing/Ambiguous SSM"),"Invalid Position")))))))</f>
      </c>
    </row>
    <row r="169">
      <c r="A169" t="str">
        <f>IF(OR(Identity!B169="",Identity!D169=""),"",TRIM(Identity!B169&amp;" "&amp;Identity!C169&amp;" "&amp;Identity!D169))</f>
      </c>
      <c r="D169" t="str">
        <f>IF(A169="","",IF(B169="","Select Position",IF(B169="Vice Director",IF(C169="","Ready - No Head Needed","Clear Head Member"),IF(C169="","Select Head Member",IF(C169=A169,"Invalid - Same Applicant",IF(B169="Senior Sales Manager",IF(COUNTIF(Teams!$A$2:$A$1001,C169)=1,"VD selected - Verify ID","Missing/Ambiguous VD"),IF(B169="Sales Manager",IF(COUNTIF(Teams!$B$2:$B$1001,C169)=1,"SSM selected - Verify ID","Missing/Ambiguous SSM"),"Invalid Position")))))))</f>
      </c>
    </row>
    <row r="170">
      <c r="A170" t="str">
        <f>IF(OR(Identity!B170="",Identity!D170=""),"",TRIM(Identity!B170&amp;" "&amp;Identity!C170&amp;" "&amp;Identity!D170))</f>
      </c>
      <c r="D170" t="str">
        <f>IF(A170="","",IF(B170="","Select Position",IF(B170="Vice Director",IF(C170="","Ready - No Head Needed","Clear Head Member"),IF(C170="","Select Head Member",IF(C170=A170,"Invalid - Same Applicant",IF(B170="Senior Sales Manager",IF(COUNTIF(Teams!$A$2:$A$1001,C170)=1,"VD selected - Verify ID","Missing/Ambiguous VD"),IF(B170="Sales Manager",IF(COUNTIF(Teams!$B$2:$B$1001,C170)=1,"SSM selected - Verify ID","Missing/Ambiguous SSM"),"Invalid Position")))))))</f>
      </c>
    </row>
    <row r="171">
      <c r="A171" t="str">
        <f>IF(OR(Identity!B171="",Identity!D171=""),"",TRIM(Identity!B171&amp;" "&amp;Identity!C171&amp;" "&amp;Identity!D171))</f>
      </c>
      <c r="D171" t="str">
        <f>IF(A171="","",IF(B171="","Select Position",IF(B171="Vice Director",IF(C171="","Ready - No Head Needed","Clear Head Member"),IF(C171="","Select Head Member",IF(C171=A171,"Invalid - Same Applicant",IF(B171="Senior Sales Manager",IF(COUNTIF(Teams!$A$2:$A$1001,C171)=1,"VD selected - Verify ID","Missing/Ambiguous VD"),IF(B171="Sales Manager",IF(COUNTIF(Teams!$B$2:$B$1001,C171)=1,"SSM selected - Verify ID","Missing/Ambiguous SSM"),"Invalid Position")))))))</f>
      </c>
    </row>
    <row r="172">
      <c r="A172" t="str">
        <f>IF(OR(Identity!B172="",Identity!D172=""),"",TRIM(Identity!B172&amp;" "&amp;Identity!C172&amp;" "&amp;Identity!D172))</f>
      </c>
      <c r="D172" t="str">
        <f>IF(A172="","",IF(B172="","Select Position",IF(B172="Vice Director",IF(C172="","Ready - No Head Needed","Clear Head Member"),IF(C172="","Select Head Member",IF(C172=A172,"Invalid - Same Applicant",IF(B172="Senior Sales Manager",IF(COUNTIF(Teams!$A$2:$A$1001,C172)=1,"VD selected - Verify ID","Missing/Ambiguous VD"),IF(B172="Sales Manager",IF(COUNTIF(Teams!$B$2:$B$1001,C172)=1,"SSM selected - Verify ID","Missing/Ambiguous SSM"),"Invalid Position")))))))</f>
      </c>
    </row>
    <row r="173">
      <c r="A173" t="str">
        <f>IF(OR(Identity!B173="",Identity!D173=""),"",TRIM(Identity!B173&amp;" "&amp;Identity!C173&amp;" "&amp;Identity!D173))</f>
      </c>
      <c r="D173" t="str">
        <f>IF(A173="","",IF(B173="","Select Position",IF(B173="Vice Director",IF(C173="","Ready - No Head Needed","Clear Head Member"),IF(C173="","Select Head Member",IF(C173=A173,"Invalid - Same Applicant",IF(B173="Senior Sales Manager",IF(COUNTIF(Teams!$A$2:$A$1001,C173)=1,"VD selected - Verify ID","Missing/Ambiguous VD"),IF(B173="Sales Manager",IF(COUNTIF(Teams!$B$2:$B$1001,C173)=1,"SSM selected - Verify ID","Missing/Ambiguous SSM"),"Invalid Position")))))))</f>
      </c>
    </row>
    <row r="174">
      <c r="A174" t="str">
        <f>IF(OR(Identity!B174="",Identity!D174=""),"",TRIM(Identity!B174&amp;" "&amp;Identity!C174&amp;" "&amp;Identity!D174))</f>
      </c>
      <c r="D174" t="str">
        <f>IF(A174="","",IF(B174="","Select Position",IF(B174="Vice Director",IF(C174="","Ready - No Head Needed","Clear Head Member"),IF(C174="","Select Head Member",IF(C174=A174,"Invalid - Same Applicant",IF(B174="Senior Sales Manager",IF(COUNTIF(Teams!$A$2:$A$1001,C174)=1,"VD selected - Verify ID","Missing/Ambiguous VD"),IF(B174="Sales Manager",IF(COUNTIF(Teams!$B$2:$B$1001,C174)=1,"SSM selected - Verify ID","Missing/Ambiguous SSM"),"Invalid Position")))))))</f>
      </c>
    </row>
    <row r="175">
      <c r="A175" t="str">
        <f>IF(OR(Identity!B175="",Identity!D175=""),"",TRIM(Identity!B175&amp;" "&amp;Identity!C175&amp;" "&amp;Identity!D175))</f>
      </c>
      <c r="D175" t="str">
        <f>IF(A175="","",IF(B175="","Select Position",IF(B175="Vice Director",IF(C175="","Ready - No Head Needed","Clear Head Member"),IF(C175="","Select Head Member",IF(C175=A175,"Invalid - Same Applicant",IF(B175="Senior Sales Manager",IF(COUNTIF(Teams!$A$2:$A$1001,C175)=1,"VD selected - Verify ID","Missing/Ambiguous VD"),IF(B175="Sales Manager",IF(COUNTIF(Teams!$B$2:$B$1001,C175)=1,"SSM selected - Verify ID","Missing/Ambiguous SSM"),"Invalid Position")))))))</f>
      </c>
    </row>
    <row r="176">
      <c r="A176" t="str">
        <f>IF(OR(Identity!B176="",Identity!D176=""),"",TRIM(Identity!B176&amp;" "&amp;Identity!C176&amp;" "&amp;Identity!D176))</f>
      </c>
      <c r="D176" t="str">
        <f>IF(A176="","",IF(B176="","Select Position",IF(B176="Vice Director",IF(C176="","Ready - No Head Needed","Clear Head Member"),IF(C176="","Select Head Member",IF(C176=A176,"Invalid - Same Applicant",IF(B176="Senior Sales Manager",IF(COUNTIF(Teams!$A$2:$A$1001,C176)=1,"VD selected - Verify ID","Missing/Ambiguous VD"),IF(B176="Sales Manager",IF(COUNTIF(Teams!$B$2:$B$1001,C176)=1,"SSM selected - Verify ID","Missing/Ambiguous SSM"),"Invalid Position")))))))</f>
      </c>
    </row>
    <row r="177">
      <c r="A177" t="str">
        <f>IF(OR(Identity!B177="",Identity!D177=""),"",TRIM(Identity!B177&amp;" "&amp;Identity!C177&amp;" "&amp;Identity!D177))</f>
      </c>
      <c r="D177" t="str">
        <f>IF(A177="","",IF(B177="","Select Position",IF(B177="Vice Director",IF(C177="","Ready - No Head Needed","Clear Head Member"),IF(C177="","Select Head Member",IF(C177=A177,"Invalid - Same Applicant",IF(B177="Senior Sales Manager",IF(COUNTIF(Teams!$A$2:$A$1001,C177)=1,"VD selected - Verify ID","Missing/Ambiguous VD"),IF(B177="Sales Manager",IF(COUNTIF(Teams!$B$2:$B$1001,C177)=1,"SSM selected - Verify ID","Missing/Ambiguous SSM"),"Invalid Position")))))))</f>
      </c>
    </row>
    <row r="178">
      <c r="A178" t="str">
        <f>IF(OR(Identity!B178="",Identity!D178=""),"",TRIM(Identity!B178&amp;" "&amp;Identity!C178&amp;" "&amp;Identity!D178))</f>
      </c>
      <c r="D178" t="str">
        <f>IF(A178="","",IF(B178="","Select Position",IF(B178="Vice Director",IF(C178="","Ready - No Head Needed","Clear Head Member"),IF(C178="","Select Head Member",IF(C178=A178,"Invalid - Same Applicant",IF(B178="Senior Sales Manager",IF(COUNTIF(Teams!$A$2:$A$1001,C178)=1,"VD selected - Verify ID","Missing/Ambiguous VD"),IF(B178="Sales Manager",IF(COUNTIF(Teams!$B$2:$B$1001,C178)=1,"SSM selected - Verify ID","Missing/Ambiguous SSM"),"Invalid Position")))))))</f>
      </c>
    </row>
    <row r="179">
      <c r="A179" t="str">
        <f>IF(OR(Identity!B179="",Identity!D179=""),"",TRIM(Identity!B179&amp;" "&amp;Identity!C179&amp;" "&amp;Identity!D179))</f>
      </c>
      <c r="D179" t="str">
        <f>IF(A179="","",IF(B179="","Select Position",IF(B179="Vice Director",IF(C179="","Ready - No Head Needed","Clear Head Member"),IF(C179="","Select Head Member",IF(C179=A179,"Invalid - Same Applicant",IF(B179="Senior Sales Manager",IF(COUNTIF(Teams!$A$2:$A$1001,C179)=1,"VD selected - Verify ID","Missing/Ambiguous VD"),IF(B179="Sales Manager",IF(COUNTIF(Teams!$B$2:$B$1001,C179)=1,"SSM selected - Verify ID","Missing/Ambiguous SSM"),"Invalid Position")))))))</f>
      </c>
    </row>
    <row r="180">
      <c r="A180" t="str">
        <f>IF(OR(Identity!B180="",Identity!D180=""),"",TRIM(Identity!B180&amp;" "&amp;Identity!C180&amp;" "&amp;Identity!D180))</f>
      </c>
      <c r="D180" t="str">
        <f>IF(A180="","",IF(B180="","Select Position",IF(B180="Vice Director",IF(C180="","Ready - No Head Needed","Clear Head Member"),IF(C180="","Select Head Member",IF(C180=A180,"Invalid - Same Applicant",IF(B180="Senior Sales Manager",IF(COUNTIF(Teams!$A$2:$A$1001,C180)=1,"VD selected - Verify ID","Missing/Ambiguous VD"),IF(B180="Sales Manager",IF(COUNTIF(Teams!$B$2:$B$1001,C180)=1,"SSM selected - Verify ID","Missing/Ambiguous SSM"),"Invalid Position")))))))</f>
      </c>
    </row>
    <row r="181">
      <c r="A181" t="str">
        <f>IF(OR(Identity!B181="",Identity!D181=""),"",TRIM(Identity!B181&amp;" "&amp;Identity!C181&amp;" "&amp;Identity!D181))</f>
      </c>
      <c r="D181" t="str">
        <f>IF(A181="","",IF(B181="","Select Position",IF(B181="Vice Director",IF(C181="","Ready - No Head Needed","Clear Head Member"),IF(C181="","Select Head Member",IF(C181=A181,"Invalid - Same Applicant",IF(B181="Senior Sales Manager",IF(COUNTIF(Teams!$A$2:$A$1001,C181)=1,"VD selected - Verify ID","Missing/Ambiguous VD"),IF(B181="Sales Manager",IF(COUNTIF(Teams!$B$2:$B$1001,C181)=1,"SSM selected - Verify ID","Missing/Ambiguous SSM"),"Invalid Position")))))))</f>
      </c>
    </row>
    <row r="182">
      <c r="A182" t="str">
        <f>IF(OR(Identity!B182="",Identity!D182=""),"",TRIM(Identity!B182&amp;" "&amp;Identity!C182&amp;" "&amp;Identity!D182))</f>
      </c>
      <c r="D182" t="str">
        <f>IF(A182="","",IF(B182="","Select Position",IF(B182="Vice Director",IF(C182="","Ready - No Head Needed","Clear Head Member"),IF(C182="","Select Head Member",IF(C182=A182,"Invalid - Same Applicant",IF(B182="Senior Sales Manager",IF(COUNTIF(Teams!$A$2:$A$1001,C182)=1,"VD selected - Verify ID","Missing/Ambiguous VD"),IF(B182="Sales Manager",IF(COUNTIF(Teams!$B$2:$B$1001,C182)=1,"SSM selected - Verify ID","Missing/Ambiguous SSM"),"Invalid Position")))))))</f>
      </c>
    </row>
    <row r="183">
      <c r="A183" t="str">
        <f>IF(OR(Identity!B183="",Identity!D183=""),"",TRIM(Identity!B183&amp;" "&amp;Identity!C183&amp;" "&amp;Identity!D183))</f>
      </c>
      <c r="D183" t="str">
        <f>IF(A183="","",IF(B183="","Select Position",IF(B183="Vice Director",IF(C183="","Ready - No Head Needed","Clear Head Member"),IF(C183="","Select Head Member",IF(C183=A183,"Invalid - Same Applicant",IF(B183="Senior Sales Manager",IF(COUNTIF(Teams!$A$2:$A$1001,C183)=1,"VD selected - Verify ID","Missing/Ambiguous VD"),IF(B183="Sales Manager",IF(COUNTIF(Teams!$B$2:$B$1001,C183)=1,"SSM selected - Verify ID","Missing/Ambiguous SSM"),"Invalid Position")))))))</f>
      </c>
    </row>
    <row r="184">
      <c r="A184" t="str">
        <f>IF(OR(Identity!B184="",Identity!D184=""),"",TRIM(Identity!B184&amp;" "&amp;Identity!C184&amp;" "&amp;Identity!D184))</f>
      </c>
      <c r="D184" t="str">
        <f>IF(A184="","",IF(B184="","Select Position",IF(B184="Vice Director",IF(C184="","Ready - No Head Needed","Clear Head Member"),IF(C184="","Select Head Member",IF(C184=A184,"Invalid - Same Applicant",IF(B184="Senior Sales Manager",IF(COUNTIF(Teams!$A$2:$A$1001,C184)=1,"VD selected - Verify ID","Missing/Ambiguous VD"),IF(B184="Sales Manager",IF(COUNTIF(Teams!$B$2:$B$1001,C184)=1,"SSM selected - Verify ID","Missing/Ambiguous SSM"),"Invalid Position")))))))</f>
      </c>
    </row>
    <row r="185">
      <c r="A185" t="str">
        <f>IF(OR(Identity!B185="",Identity!D185=""),"",TRIM(Identity!B185&amp;" "&amp;Identity!C185&amp;" "&amp;Identity!D185))</f>
      </c>
      <c r="D185" t="str">
        <f>IF(A185="","",IF(B185="","Select Position",IF(B185="Vice Director",IF(C185="","Ready - No Head Needed","Clear Head Member"),IF(C185="","Select Head Member",IF(C185=A185,"Invalid - Same Applicant",IF(B185="Senior Sales Manager",IF(COUNTIF(Teams!$A$2:$A$1001,C185)=1,"VD selected - Verify ID","Missing/Ambiguous VD"),IF(B185="Sales Manager",IF(COUNTIF(Teams!$B$2:$B$1001,C185)=1,"SSM selected - Verify ID","Missing/Ambiguous SSM"),"Invalid Position")))))))</f>
      </c>
    </row>
    <row r="186">
      <c r="A186" t="str">
        <f>IF(OR(Identity!B186="",Identity!D186=""),"",TRIM(Identity!B186&amp;" "&amp;Identity!C186&amp;" "&amp;Identity!D186))</f>
      </c>
      <c r="D186" t="str">
        <f>IF(A186="","",IF(B186="","Select Position",IF(B186="Vice Director",IF(C186="","Ready - No Head Needed","Clear Head Member"),IF(C186="","Select Head Member",IF(C186=A186,"Invalid - Same Applicant",IF(B186="Senior Sales Manager",IF(COUNTIF(Teams!$A$2:$A$1001,C186)=1,"VD selected - Verify ID","Missing/Ambiguous VD"),IF(B186="Sales Manager",IF(COUNTIF(Teams!$B$2:$B$1001,C186)=1,"SSM selected - Verify ID","Missing/Ambiguous SSM"),"Invalid Position")))))))</f>
      </c>
    </row>
    <row r="187">
      <c r="A187" t="str">
        <f>IF(OR(Identity!B187="",Identity!D187=""),"",TRIM(Identity!B187&amp;" "&amp;Identity!C187&amp;" "&amp;Identity!D187))</f>
      </c>
      <c r="D187" t="str">
        <f>IF(A187="","",IF(B187="","Select Position",IF(B187="Vice Director",IF(C187="","Ready - No Head Needed","Clear Head Member"),IF(C187="","Select Head Member",IF(C187=A187,"Invalid - Same Applicant",IF(B187="Senior Sales Manager",IF(COUNTIF(Teams!$A$2:$A$1001,C187)=1,"VD selected - Verify ID","Missing/Ambiguous VD"),IF(B187="Sales Manager",IF(COUNTIF(Teams!$B$2:$B$1001,C187)=1,"SSM selected - Verify ID","Missing/Ambiguous SSM"),"Invalid Position")))))))</f>
      </c>
    </row>
    <row r="188">
      <c r="A188" t="str">
        <f>IF(OR(Identity!B188="",Identity!D188=""),"",TRIM(Identity!B188&amp;" "&amp;Identity!C188&amp;" "&amp;Identity!D188))</f>
      </c>
      <c r="D188" t="str">
        <f>IF(A188="","",IF(B188="","Select Position",IF(B188="Vice Director",IF(C188="","Ready - No Head Needed","Clear Head Member"),IF(C188="","Select Head Member",IF(C188=A188,"Invalid - Same Applicant",IF(B188="Senior Sales Manager",IF(COUNTIF(Teams!$A$2:$A$1001,C188)=1,"VD selected - Verify ID","Missing/Ambiguous VD"),IF(B188="Sales Manager",IF(COUNTIF(Teams!$B$2:$B$1001,C188)=1,"SSM selected - Verify ID","Missing/Ambiguous SSM"),"Invalid Position")))))))</f>
      </c>
    </row>
    <row r="189">
      <c r="A189" t="str">
        <f>IF(OR(Identity!B189="",Identity!D189=""),"",TRIM(Identity!B189&amp;" "&amp;Identity!C189&amp;" "&amp;Identity!D189))</f>
      </c>
      <c r="D189" t="str">
        <f>IF(A189="","",IF(B189="","Select Position",IF(B189="Vice Director",IF(C189="","Ready - No Head Needed","Clear Head Member"),IF(C189="","Select Head Member",IF(C189=A189,"Invalid - Same Applicant",IF(B189="Senior Sales Manager",IF(COUNTIF(Teams!$A$2:$A$1001,C189)=1,"VD selected - Verify ID","Missing/Ambiguous VD"),IF(B189="Sales Manager",IF(COUNTIF(Teams!$B$2:$B$1001,C189)=1,"SSM selected - Verify ID","Missing/Ambiguous SSM"),"Invalid Position")))))))</f>
      </c>
    </row>
    <row r="190">
      <c r="A190" t="str">
        <f>IF(OR(Identity!B190="",Identity!D190=""),"",TRIM(Identity!B190&amp;" "&amp;Identity!C190&amp;" "&amp;Identity!D190))</f>
      </c>
      <c r="D190" t="str">
        <f>IF(A190="","",IF(B190="","Select Position",IF(B190="Vice Director",IF(C190="","Ready - No Head Needed","Clear Head Member"),IF(C190="","Select Head Member",IF(C190=A190,"Invalid - Same Applicant",IF(B190="Senior Sales Manager",IF(COUNTIF(Teams!$A$2:$A$1001,C190)=1,"VD selected - Verify ID","Missing/Ambiguous VD"),IF(B190="Sales Manager",IF(COUNTIF(Teams!$B$2:$B$1001,C190)=1,"SSM selected - Verify ID","Missing/Ambiguous SSM"),"Invalid Position")))))))</f>
      </c>
    </row>
    <row r="191">
      <c r="A191" t="str">
        <f>IF(OR(Identity!B191="",Identity!D191=""),"",TRIM(Identity!B191&amp;" "&amp;Identity!C191&amp;" "&amp;Identity!D191))</f>
      </c>
      <c r="D191" t="str">
        <f>IF(A191="","",IF(B191="","Select Position",IF(B191="Vice Director",IF(C191="","Ready - No Head Needed","Clear Head Member"),IF(C191="","Select Head Member",IF(C191=A191,"Invalid - Same Applicant",IF(B191="Senior Sales Manager",IF(COUNTIF(Teams!$A$2:$A$1001,C191)=1,"VD selected - Verify ID","Missing/Ambiguous VD"),IF(B191="Sales Manager",IF(COUNTIF(Teams!$B$2:$B$1001,C191)=1,"SSM selected - Verify ID","Missing/Ambiguous SSM"),"Invalid Position")))))))</f>
      </c>
    </row>
    <row r="192">
      <c r="A192" t="str">
        <f>IF(OR(Identity!B192="",Identity!D192=""),"",TRIM(Identity!B192&amp;" "&amp;Identity!C192&amp;" "&amp;Identity!D192))</f>
      </c>
      <c r="D192" t="str">
        <f>IF(A192="","",IF(B192="","Select Position",IF(B192="Vice Director",IF(C192="","Ready - No Head Needed","Clear Head Member"),IF(C192="","Select Head Member",IF(C192=A192,"Invalid - Same Applicant",IF(B192="Senior Sales Manager",IF(COUNTIF(Teams!$A$2:$A$1001,C192)=1,"VD selected - Verify ID","Missing/Ambiguous VD"),IF(B192="Sales Manager",IF(COUNTIF(Teams!$B$2:$B$1001,C192)=1,"SSM selected - Verify ID","Missing/Ambiguous SSM"),"Invalid Position")))))))</f>
      </c>
    </row>
    <row r="193">
      <c r="A193" t="str">
        <f>IF(OR(Identity!B193="",Identity!D193=""),"",TRIM(Identity!B193&amp;" "&amp;Identity!C193&amp;" "&amp;Identity!D193))</f>
      </c>
      <c r="D193" t="str">
        <f>IF(A193="","",IF(B193="","Select Position",IF(B193="Vice Director",IF(C193="","Ready - No Head Needed","Clear Head Member"),IF(C193="","Select Head Member",IF(C193=A193,"Invalid - Same Applicant",IF(B193="Senior Sales Manager",IF(COUNTIF(Teams!$A$2:$A$1001,C193)=1,"VD selected - Verify ID","Missing/Ambiguous VD"),IF(B193="Sales Manager",IF(COUNTIF(Teams!$B$2:$B$1001,C193)=1,"SSM selected - Verify ID","Missing/Ambiguous SSM"),"Invalid Position")))))))</f>
      </c>
    </row>
    <row r="194">
      <c r="A194" t="str">
        <f>IF(OR(Identity!B194="",Identity!D194=""),"",TRIM(Identity!B194&amp;" "&amp;Identity!C194&amp;" "&amp;Identity!D194))</f>
      </c>
      <c r="D194" t="str">
        <f>IF(A194="","",IF(B194="","Select Position",IF(B194="Vice Director",IF(C194="","Ready - No Head Needed","Clear Head Member"),IF(C194="","Select Head Member",IF(C194=A194,"Invalid - Same Applicant",IF(B194="Senior Sales Manager",IF(COUNTIF(Teams!$A$2:$A$1001,C194)=1,"VD selected - Verify ID","Missing/Ambiguous VD"),IF(B194="Sales Manager",IF(COUNTIF(Teams!$B$2:$B$1001,C194)=1,"SSM selected - Verify ID","Missing/Ambiguous SSM"),"Invalid Position")))))))</f>
      </c>
    </row>
    <row r="195">
      <c r="A195" t="str">
        <f>IF(OR(Identity!B195="",Identity!D195=""),"",TRIM(Identity!B195&amp;" "&amp;Identity!C195&amp;" "&amp;Identity!D195))</f>
      </c>
      <c r="D195" t="str">
        <f>IF(A195="","",IF(B195="","Select Position",IF(B195="Vice Director",IF(C195="","Ready - No Head Needed","Clear Head Member"),IF(C195="","Select Head Member",IF(C195=A195,"Invalid - Same Applicant",IF(B195="Senior Sales Manager",IF(COUNTIF(Teams!$A$2:$A$1001,C195)=1,"VD selected - Verify ID","Missing/Ambiguous VD"),IF(B195="Sales Manager",IF(COUNTIF(Teams!$B$2:$B$1001,C195)=1,"SSM selected - Verify ID","Missing/Ambiguous SSM"),"Invalid Position")))))))</f>
      </c>
    </row>
    <row r="196">
      <c r="A196" t="str">
        <f>IF(OR(Identity!B196="",Identity!D196=""),"",TRIM(Identity!B196&amp;" "&amp;Identity!C196&amp;" "&amp;Identity!D196))</f>
      </c>
      <c r="D196" t="str">
        <f>IF(A196="","",IF(B196="","Select Position",IF(B196="Vice Director",IF(C196="","Ready - No Head Needed","Clear Head Member"),IF(C196="","Select Head Member",IF(C196=A196,"Invalid - Same Applicant",IF(B196="Senior Sales Manager",IF(COUNTIF(Teams!$A$2:$A$1001,C196)=1,"VD selected - Verify ID","Missing/Ambiguous VD"),IF(B196="Sales Manager",IF(COUNTIF(Teams!$B$2:$B$1001,C196)=1,"SSM selected - Verify ID","Missing/Ambiguous SSM"),"Invalid Position")))))))</f>
      </c>
    </row>
    <row r="197">
      <c r="A197" t="str">
        <f>IF(OR(Identity!B197="",Identity!D197=""),"",TRIM(Identity!B197&amp;" "&amp;Identity!C197&amp;" "&amp;Identity!D197))</f>
      </c>
      <c r="D197" t="str">
        <f>IF(A197="","",IF(B197="","Select Position",IF(B197="Vice Director",IF(C197="","Ready - No Head Needed","Clear Head Member"),IF(C197="","Select Head Member",IF(C197=A197,"Invalid - Same Applicant",IF(B197="Senior Sales Manager",IF(COUNTIF(Teams!$A$2:$A$1001,C197)=1,"VD selected - Verify ID","Missing/Ambiguous VD"),IF(B197="Sales Manager",IF(COUNTIF(Teams!$B$2:$B$1001,C197)=1,"SSM selected - Verify ID","Missing/Ambiguous SSM"),"Invalid Position")))))))</f>
      </c>
    </row>
    <row r="198">
      <c r="A198" t="str">
        <f>IF(OR(Identity!B198="",Identity!D198=""),"",TRIM(Identity!B198&amp;" "&amp;Identity!C198&amp;" "&amp;Identity!D198))</f>
      </c>
      <c r="D198" t="str">
        <f>IF(A198="","",IF(B198="","Select Position",IF(B198="Vice Director",IF(C198="","Ready - No Head Needed","Clear Head Member"),IF(C198="","Select Head Member",IF(C198=A198,"Invalid - Same Applicant",IF(B198="Senior Sales Manager",IF(COUNTIF(Teams!$A$2:$A$1001,C198)=1,"VD selected - Verify ID","Missing/Ambiguous VD"),IF(B198="Sales Manager",IF(COUNTIF(Teams!$B$2:$B$1001,C198)=1,"SSM selected - Verify ID","Missing/Ambiguous SSM"),"Invalid Position")))))))</f>
      </c>
    </row>
    <row r="199">
      <c r="A199" t="str">
        <f>IF(OR(Identity!B199="",Identity!D199=""),"",TRIM(Identity!B199&amp;" "&amp;Identity!C199&amp;" "&amp;Identity!D199))</f>
      </c>
      <c r="D199" t="str">
        <f>IF(A199="","",IF(B199="","Select Position",IF(B199="Vice Director",IF(C199="","Ready - No Head Needed","Clear Head Member"),IF(C199="","Select Head Member",IF(C199=A199,"Invalid - Same Applicant",IF(B199="Senior Sales Manager",IF(COUNTIF(Teams!$A$2:$A$1001,C199)=1,"VD selected - Verify ID","Missing/Ambiguous VD"),IF(B199="Sales Manager",IF(COUNTIF(Teams!$B$2:$B$1001,C199)=1,"SSM selected - Verify ID","Missing/Ambiguous SSM"),"Invalid Position")))))))</f>
      </c>
    </row>
    <row r="200">
      <c r="A200" t="str">
        <f>IF(OR(Identity!B200="",Identity!D200=""),"",TRIM(Identity!B200&amp;" "&amp;Identity!C200&amp;" "&amp;Identity!D200))</f>
      </c>
      <c r="D200" t="str">
        <f>IF(A200="","",IF(B200="","Select Position",IF(B200="Vice Director",IF(C200="","Ready - No Head Needed","Clear Head Member"),IF(C200="","Select Head Member",IF(C200=A200,"Invalid - Same Applicant",IF(B200="Senior Sales Manager",IF(COUNTIF(Teams!$A$2:$A$1001,C200)=1,"VD selected - Verify ID","Missing/Ambiguous VD"),IF(B200="Sales Manager",IF(COUNTIF(Teams!$B$2:$B$1001,C200)=1,"SSM selected - Verify ID","Missing/Ambiguous SSM"),"Invalid Position")))))))</f>
      </c>
    </row>
    <row r="201">
      <c r="A201" t="str">
        <f>IF(OR(Identity!B201="",Identity!D201=""),"",TRIM(Identity!B201&amp;" "&amp;Identity!C201&amp;" "&amp;Identity!D201))</f>
      </c>
      <c r="D201" t="str">
        <f>IF(A201="","",IF(B201="","Select Position",IF(B201="Vice Director",IF(C201="","Ready - No Head Needed","Clear Head Member"),IF(C201="","Select Head Member",IF(C201=A201,"Invalid - Same Applicant",IF(B201="Senior Sales Manager",IF(COUNTIF(Teams!$A$2:$A$1001,C201)=1,"VD selected - Verify ID","Missing/Ambiguous VD"),IF(B201="Sales Manager",IF(COUNTIF(Teams!$B$2:$B$1001,C201)=1,"SSM selected - Verify ID","Missing/Ambiguous SSM"),"Invalid Position")))))))</f>
      </c>
    </row>
    <row r="202">
      <c r="A202" t="str">
        <f>IF(OR(Identity!B202="",Identity!D202=""),"",TRIM(Identity!B202&amp;" "&amp;Identity!C202&amp;" "&amp;Identity!D202))</f>
      </c>
      <c r="D202" t="str">
        <f>IF(A202="","",IF(B202="","Select Position",IF(B202="Vice Director",IF(C202="","Ready - No Head Needed","Clear Head Member"),IF(C202="","Select Head Member",IF(C202=A202,"Invalid - Same Applicant",IF(B202="Senior Sales Manager",IF(COUNTIF(Teams!$A$2:$A$1001,C202)=1,"VD selected - Verify ID","Missing/Ambiguous VD"),IF(B202="Sales Manager",IF(COUNTIF(Teams!$B$2:$B$1001,C202)=1,"SSM selected - Verify ID","Missing/Ambiguous SSM"),"Invalid Position")))))))</f>
      </c>
    </row>
    <row r="203">
      <c r="A203" t="str">
        <f>IF(OR(Identity!B203="",Identity!D203=""),"",TRIM(Identity!B203&amp;" "&amp;Identity!C203&amp;" "&amp;Identity!D203))</f>
      </c>
      <c r="D203" t="str">
        <f>IF(A203="","",IF(B203="","Select Position",IF(B203="Vice Director",IF(C203="","Ready - No Head Needed","Clear Head Member"),IF(C203="","Select Head Member",IF(C203=A203,"Invalid - Same Applicant",IF(B203="Senior Sales Manager",IF(COUNTIF(Teams!$A$2:$A$1001,C203)=1,"VD selected - Verify ID","Missing/Ambiguous VD"),IF(B203="Sales Manager",IF(COUNTIF(Teams!$B$2:$B$1001,C203)=1,"SSM selected - Verify ID","Missing/Ambiguous SSM"),"Invalid Position")))))))</f>
      </c>
    </row>
    <row r="204">
      <c r="A204" t="str">
        <f>IF(OR(Identity!B204="",Identity!D204=""),"",TRIM(Identity!B204&amp;" "&amp;Identity!C204&amp;" "&amp;Identity!D204))</f>
      </c>
      <c r="D204" t="str">
        <f>IF(A204="","",IF(B204="","Select Position",IF(B204="Vice Director",IF(C204="","Ready - No Head Needed","Clear Head Member"),IF(C204="","Select Head Member",IF(C204=A204,"Invalid - Same Applicant",IF(B204="Senior Sales Manager",IF(COUNTIF(Teams!$A$2:$A$1001,C204)=1,"VD selected - Verify ID","Missing/Ambiguous VD"),IF(B204="Sales Manager",IF(COUNTIF(Teams!$B$2:$B$1001,C204)=1,"SSM selected - Verify ID","Missing/Ambiguous SSM"),"Invalid Position")))))))</f>
      </c>
    </row>
    <row r="205">
      <c r="A205" t="str">
        <f>IF(OR(Identity!B205="",Identity!D205=""),"",TRIM(Identity!B205&amp;" "&amp;Identity!C205&amp;" "&amp;Identity!D205))</f>
      </c>
      <c r="D205" t="str">
        <f>IF(A205="","",IF(B205="","Select Position",IF(B205="Vice Director",IF(C205="","Ready - No Head Needed","Clear Head Member"),IF(C205="","Select Head Member",IF(C205=A205,"Invalid - Same Applicant",IF(B205="Senior Sales Manager",IF(COUNTIF(Teams!$A$2:$A$1001,C205)=1,"VD selected - Verify ID","Missing/Ambiguous VD"),IF(B205="Sales Manager",IF(COUNTIF(Teams!$B$2:$B$1001,C205)=1,"SSM selected - Verify ID","Missing/Ambiguous SSM"),"Invalid Position")))))))</f>
      </c>
    </row>
    <row r="206">
      <c r="A206" t="str">
        <f>IF(OR(Identity!B206="",Identity!D206=""),"",TRIM(Identity!B206&amp;" "&amp;Identity!C206&amp;" "&amp;Identity!D206))</f>
      </c>
      <c r="D206" t="str">
        <f>IF(A206="","",IF(B206="","Select Position",IF(B206="Vice Director",IF(C206="","Ready - No Head Needed","Clear Head Member"),IF(C206="","Select Head Member",IF(C206=A206,"Invalid - Same Applicant",IF(B206="Senior Sales Manager",IF(COUNTIF(Teams!$A$2:$A$1001,C206)=1,"VD selected - Verify ID","Missing/Ambiguous VD"),IF(B206="Sales Manager",IF(COUNTIF(Teams!$B$2:$B$1001,C206)=1,"SSM selected - Verify ID","Missing/Ambiguous SSM"),"Invalid Position")))))))</f>
      </c>
    </row>
    <row r="207">
      <c r="A207" t="str">
        <f>IF(OR(Identity!B207="",Identity!D207=""),"",TRIM(Identity!B207&amp;" "&amp;Identity!C207&amp;" "&amp;Identity!D207))</f>
      </c>
      <c r="D207" t="str">
        <f>IF(A207="","",IF(B207="","Select Position",IF(B207="Vice Director",IF(C207="","Ready - No Head Needed","Clear Head Member"),IF(C207="","Select Head Member",IF(C207=A207,"Invalid - Same Applicant",IF(B207="Senior Sales Manager",IF(COUNTIF(Teams!$A$2:$A$1001,C207)=1,"VD selected - Verify ID","Missing/Ambiguous VD"),IF(B207="Sales Manager",IF(COUNTIF(Teams!$B$2:$B$1001,C207)=1,"SSM selected - Verify ID","Missing/Ambiguous SSM"),"Invalid Position")))))))</f>
      </c>
    </row>
    <row r="208">
      <c r="A208" t="str">
        <f>IF(OR(Identity!B208="",Identity!D208=""),"",TRIM(Identity!B208&amp;" "&amp;Identity!C208&amp;" "&amp;Identity!D208))</f>
      </c>
      <c r="D208" t="str">
        <f>IF(A208="","",IF(B208="","Select Position",IF(B208="Vice Director",IF(C208="","Ready - No Head Needed","Clear Head Member"),IF(C208="","Select Head Member",IF(C208=A208,"Invalid - Same Applicant",IF(B208="Senior Sales Manager",IF(COUNTIF(Teams!$A$2:$A$1001,C208)=1,"VD selected - Verify ID","Missing/Ambiguous VD"),IF(B208="Sales Manager",IF(COUNTIF(Teams!$B$2:$B$1001,C208)=1,"SSM selected - Verify ID","Missing/Ambiguous SSM"),"Invalid Position")))))))</f>
      </c>
    </row>
    <row r="209">
      <c r="A209" t="str">
        <f>IF(OR(Identity!B209="",Identity!D209=""),"",TRIM(Identity!B209&amp;" "&amp;Identity!C209&amp;" "&amp;Identity!D209))</f>
      </c>
      <c r="D209" t="str">
        <f>IF(A209="","",IF(B209="","Select Position",IF(B209="Vice Director",IF(C209="","Ready - No Head Needed","Clear Head Member"),IF(C209="","Select Head Member",IF(C209=A209,"Invalid - Same Applicant",IF(B209="Senior Sales Manager",IF(COUNTIF(Teams!$A$2:$A$1001,C209)=1,"VD selected - Verify ID","Missing/Ambiguous VD"),IF(B209="Sales Manager",IF(COUNTIF(Teams!$B$2:$B$1001,C209)=1,"SSM selected - Verify ID","Missing/Ambiguous SSM"),"Invalid Position")))))))</f>
      </c>
    </row>
    <row r="210">
      <c r="A210" t="str">
        <f>IF(OR(Identity!B210="",Identity!D210=""),"",TRIM(Identity!B210&amp;" "&amp;Identity!C210&amp;" "&amp;Identity!D210))</f>
      </c>
      <c r="D210" t="str">
        <f>IF(A210="","",IF(B210="","Select Position",IF(B210="Vice Director",IF(C210="","Ready - No Head Needed","Clear Head Member"),IF(C210="","Select Head Member",IF(C210=A210,"Invalid - Same Applicant",IF(B210="Senior Sales Manager",IF(COUNTIF(Teams!$A$2:$A$1001,C210)=1,"VD selected - Verify ID","Missing/Ambiguous VD"),IF(B210="Sales Manager",IF(COUNTIF(Teams!$B$2:$B$1001,C210)=1,"SSM selected - Verify ID","Missing/Ambiguous SSM"),"Invalid Position")))))))</f>
      </c>
    </row>
    <row r="211">
      <c r="A211" t="str">
        <f>IF(OR(Identity!B211="",Identity!D211=""),"",TRIM(Identity!B211&amp;" "&amp;Identity!C211&amp;" "&amp;Identity!D211))</f>
      </c>
      <c r="D211" t="str">
        <f>IF(A211="","",IF(B211="","Select Position",IF(B211="Vice Director",IF(C211="","Ready - No Head Needed","Clear Head Member"),IF(C211="","Select Head Member",IF(C211=A211,"Invalid - Same Applicant",IF(B211="Senior Sales Manager",IF(COUNTIF(Teams!$A$2:$A$1001,C211)=1,"VD selected - Verify ID","Missing/Ambiguous VD"),IF(B211="Sales Manager",IF(COUNTIF(Teams!$B$2:$B$1001,C211)=1,"SSM selected - Verify ID","Missing/Ambiguous SSM"),"Invalid Position")))))))</f>
      </c>
    </row>
    <row r="212">
      <c r="A212" t="str">
        <f>IF(OR(Identity!B212="",Identity!D212=""),"",TRIM(Identity!B212&amp;" "&amp;Identity!C212&amp;" "&amp;Identity!D212))</f>
      </c>
      <c r="D212" t="str">
        <f>IF(A212="","",IF(B212="","Select Position",IF(B212="Vice Director",IF(C212="","Ready - No Head Needed","Clear Head Member"),IF(C212="","Select Head Member",IF(C212=A212,"Invalid - Same Applicant",IF(B212="Senior Sales Manager",IF(COUNTIF(Teams!$A$2:$A$1001,C212)=1,"VD selected - Verify ID","Missing/Ambiguous VD"),IF(B212="Sales Manager",IF(COUNTIF(Teams!$B$2:$B$1001,C212)=1,"SSM selected - Verify ID","Missing/Ambiguous SSM"),"Invalid Position")))))))</f>
      </c>
    </row>
    <row r="213">
      <c r="A213" t="str">
        <f>IF(OR(Identity!B213="",Identity!D213=""),"",TRIM(Identity!B213&amp;" "&amp;Identity!C213&amp;" "&amp;Identity!D213))</f>
      </c>
      <c r="D213" t="str">
        <f>IF(A213="","",IF(B213="","Select Position",IF(B213="Vice Director",IF(C213="","Ready - No Head Needed","Clear Head Member"),IF(C213="","Select Head Member",IF(C213=A213,"Invalid - Same Applicant",IF(B213="Senior Sales Manager",IF(COUNTIF(Teams!$A$2:$A$1001,C213)=1,"VD selected - Verify ID","Missing/Ambiguous VD"),IF(B213="Sales Manager",IF(COUNTIF(Teams!$B$2:$B$1001,C213)=1,"SSM selected - Verify ID","Missing/Ambiguous SSM"),"Invalid Position")))))))</f>
      </c>
    </row>
    <row r="214">
      <c r="A214" t="str">
        <f>IF(OR(Identity!B214="",Identity!D214=""),"",TRIM(Identity!B214&amp;" "&amp;Identity!C214&amp;" "&amp;Identity!D214))</f>
      </c>
      <c r="D214" t="str">
        <f>IF(A214="","",IF(B214="","Select Position",IF(B214="Vice Director",IF(C214="","Ready - No Head Needed","Clear Head Member"),IF(C214="","Select Head Member",IF(C214=A214,"Invalid - Same Applicant",IF(B214="Senior Sales Manager",IF(COUNTIF(Teams!$A$2:$A$1001,C214)=1,"VD selected - Verify ID","Missing/Ambiguous VD"),IF(B214="Sales Manager",IF(COUNTIF(Teams!$B$2:$B$1001,C214)=1,"SSM selected - Verify ID","Missing/Ambiguous SSM"),"Invalid Position")))))))</f>
      </c>
    </row>
    <row r="215">
      <c r="A215" t="str">
        <f>IF(OR(Identity!B215="",Identity!D215=""),"",TRIM(Identity!B215&amp;" "&amp;Identity!C215&amp;" "&amp;Identity!D215))</f>
      </c>
      <c r="D215" t="str">
        <f>IF(A215="","",IF(B215="","Select Position",IF(B215="Vice Director",IF(C215="","Ready - No Head Needed","Clear Head Member"),IF(C215="","Select Head Member",IF(C215=A215,"Invalid - Same Applicant",IF(B215="Senior Sales Manager",IF(COUNTIF(Teams!$A$2:$A$1001,C215)=1,"VD selected - Verify ID","Missing/Ambiguous VD"),IF(B215="Sales Manager",IF(COUNTIF(Teams!$B$2:$B$1001,C215)=1,"SSM selected - Verify ID","Missing/Ambiguous SSM"),"Invalid Position")))))))</f>
      </c>
    </row>
    <row r="216">
      <c r="A216" t="str">
        <f>IF(OR(Identity!B216="",Identity!D216=""),"",TRIM(Identity!B216&amp;" "&amp;Identity!C216&amp;" "&amp;Identity!D216))</f>
      </c>
      <c r="D216" t="str">
        <f>IF(A216="","",IF(B216="","Select Position",IF(B216="Vice Director",IF(C216="","Ready - No Head Needed","Clear Head Member"),IF(C216="","Select Head Member",IF(C216=A216,"Invalid - Same Applicant",IF(B216="Senior Sales Manager",IF(COUNTIF(Teams!$A$2:$A$1001,C216)=1,"VD selected - Verify ID","Missing/Ambiguous VD"),IF(B216="Sales Manager",IF(COUNTIF(Teams!$B$2:$B$1001,C216)=1,"SSM selected - Verify ID","Missing/Ambiguous SSM"),"Invalid Position")))))))</f>
      </c>
    </row>
    <row r="217">
      <c r="A217" t="str">
        <f>IF(OR(Identity!B217="",Identity!D217=""),"",TRIM(Identity!B217&amp;" "&amp;Identity!C217&amp;" "&amp;Identity!D217))</f>
      </c>
      <c r="D217" t="str">
        <f>IF(A217="","",IF(B217="","Select Position",IF(B217="Vice Director",IF(C217="","Ready - No Head Needed","Clear Head Member"),IF(C217="","Select Head Member",IF(C217=A217,"Invalid - Same Applicant",IF(B217="Senior Sales Manager",IF(COUNTIF(Teams!$A$2:$A$1001,C217)=1,"VD selected - Verify ID","Missing/Ambiguous VD"),IF(B217="Sales Manager",IF(COUNTIF(Teams!$B$2:$B$1001,C217)=1,"SSM selected - Verify ID","Missing/Ambiguous SSM"),"Invalid Position")))))))</f>
      </c>
    </row>
    <row r="218">
      <c r="A218" t="str">
        <f>IF(OR(Identity!B218="",Identity!D218=""),"",TRIM(Identity!B218&amp;" "&amp;Identity!C218&amp;" "&amp;Identity!D218))</f>
      </c>
      <c r="D218" t="str">
        <f>IF(A218="","",IF(B218="","Select Position",IF(B218="Vice Director",IF(C218="","Ready - No Head Needed","Clear Head Member"),IF(C218="","Select Head Member",IF(C218=A218,"Invalid - Same Applicant",IF(B218="Senior Sales Manager",IF(COUNTIF(Teams!$A$2:$A$1001,C218)=1,"VD selected - Verify ID","Missing/Ambiguous VD"),IF(B218="Sales Manager",IF(COUNTIF(Teams!$B$2:$B$1001,C218)=1,"SSM selected - Verify ID","Missing/Ambiguous SSM"),"Invalid Position")))))))</f>
      </c>
    </row>
    <row r="219">
      <c r="A219" t="str">
        <f>IF(OR(Identity!B219="",Identity!D219=""),"",TRIM(Identity!B219&amp;" "&amp;Identity!C219&amp;" "&amp;Identity!D219))</f>
      </c>
      <c r="D219" t="str">
        <f>IF(A219="","",IF(B219="","Select Position",IF(B219="Vice Director",IF(C219="","Ready - No Head Needed","Clear Head Member"),IF(C219="","Select Head Member",IF(C219=A219,"Invalid - Same Applicant",IF(B219="Senior Sales Manager",IF(COUNTIF(Teams!$A$2:$A$1001,C219)=1,"VD selected - Verify ID","Missing/Ambiguous VD"),IF(B219="Sales Manager",IF(COUNTIF(Teams!$B$2:$B$1001,C219)=1,"SSM selected - Verify ID","Missing/Ambiguous SSM"),"Invalid Position")))))))</f>
      </c>
    </row>
    <row r="220">
      <c r="A220" t="str">
        <f>IF(OR(Identity!B220="",Identity!D220=""),"",TRIM(Identity!B220&amp;" "&amp;Identity!C220&amp;" "&amp;Identity!D220))</f>
      </c>
      <c r="D220" t="str">
        <f>IF(A220="","",IF(B220="","Select Position",IF(B220="Vice Director",IF(C220="","Ready - No Head Needed","Clear Head Member"),IF(C220="","Select Head Member",IF(C220=A220,"Invalid - Same Applicant",IF(B220="Senior Sales Manager",IF(COUNTIF(Teams!$A$2:$A$1001,C220)=1,"VD selected - Verify ID","Missing/Ambiguous VD"),IF(B220="Sales Manager",IF(COUNTIF(Teams!$B$2:$B$1001,C220)=1,"SSM selected - Verify ID","Missing/Ambiguous SSM"),"Invalid Position")))))))</f>
      </c>
    </row>
    <row r="221">
      <c r="A221" t="str">
        <f>IF(OR(Identity!B221="",Identity!D221=""),"",TRIM(Identity!B221&amp;" "&amp;Identity!C221&amp;" "&amp;Identity!D221))</f>
      </c>
      <c r="D221" t="str">
        <f>IF(A221="","",IF(B221="","Select Position",IF(B221="Vice Director",IF(C221="","Ready - No Head Needed","Clear Head Member"),IF(C221="","Select Head Member",IF(C221=A221,"Invalid - Same Applicant",IF(B221="Senior Sales Manager",IF(COUNTIF(Teams!$A$2:$A$1001,C221)=1,"VD selected - Verify ID","Missing/Ambiguous VD"),IF(B221="Sales Manager",IF(COUNTIF(Teams!$B$2:$B$1001,C221)=1,"SSM selected - Verify ID","Missing/Ambiguous SSM"),"Invalid Position")))))))</f>
      </c>
    </row>
    <row r="222">
      <c r="A222" t="str">
        <f>IF(OR(Identity!B222="",Identity!D222=""),"",TRIM(Identity!B222&amp;" "&amp;Identity!C222&amp;" "&amp;Identity!D222))</f>
      </c>
      <c r="D222" t="str">
        <f>IF(A222="","",IF(B222="","Select Position",IF(B222="Vice Director",IF(C222="","Ready - No Head Needed","Clear Head Member"),IF(C222="","Select Head Member",IF(C222=A222,"Invalid - Same Applicant",IF(B222="Senior Sales Manager",IF(COUNTIF(Teams!$A$2:$A$1001,C222)=1,"VD selected - Verify ID","Missing/Ambiguous VD"),IF(B222="Sales Manager",IF(COUNTIF(Teams!$B$2:$B$1001,C222)=1,"SSM selected - Verify ID","Missing/Ambiguous SSM"),"Invalid Position")))))))</f>
      </c>
    </row>
    <row r="223">
      <c r="A223" t="str">
        <f>IF(OR(Identity!B223="",Identity!D223=""),"",TRIM(Identity!B223&amp;" "&amp;Identity!C223&amp;" "&amp;Identity!D223))</f>
      </c>
      <c r="D223" t="str">
        <f>IF(A223="","",IF(B223="","Select Position",IF(B223="Vice Director",IF(C223="","Ready - No Head Needed","Clear Head Member"),IF(C223="","Select Head Member",IF(C223=A223,"Invalid - Same Applicant",IF(B223="Senior Sales Manager",IF(COUNTIF(Teams!$A$2:$A$1001,C223)=1,"VD selected - Verify ID","Missing/Ambiguous VD"),IF(B223="Sales Manager",IF(COUNTIF(Teams!$B$2:$B$1001,C223)=1,"SSM selected - Verify ID","Missing/Ambiguous SSM"),"Invalid Position")))))))</f>
      </c>
    </row>
    <row r="224">
      <c r="A224" t="str">
        <f>IF(OR(Identity!B224="",Identity!D224=""),"",TRIM(Identity!B224&amp;" "&amp;Identity!C224&amp;" "&amp;Identity!D224))</f>
      </c>
      <c r="D224" t="str">
        <f>IF(A224="","",IF(B224="","Select Position",IF(B224="Vice Director",IF(C224="","Ready - No Head Needed","Clear Head Member"),IF(C224="","Select Head Member",IF(C224=A224,"Invalid - Same Applicant",IF(B224="Senior Sales Manager",IF(COUNTIF(Teams!$A$2:$A$1001,C224)=1,"VD selected - Verify ID","Missing/Ambiguous VD"),IF(B224="Sales Manager",IF(COUNTIF(Teams!$B$2:$B$1001,C224)=1,"SSM selected - Verify ID","Missing/Ambiguous SSM"),"Invalid Position")))))))</f>
      </c>
    </row>
    <row r="225">
      <c r="A225" t="str">
        <f>IF(OR(Identity!B225="",Identity!D225=""),"",TRIM(Identity!B225&amp;" "&amp;Identity!C225&amp;" "&amp;Identity!D225))</f>
      </c>
      <c r="D225" t="str">
        <f>IF(A225="","",IF(B225="","Select Position",IF(B225="Vice Director",IF(C225="","Ready - No Head Needed","Clear Head Member"),IF(C225="","Select Head Member",IF(C225=A225,"Invalid - Same Applicant",IF(B225="Senior Sales Manager",IF(COUNTIF(Teams!$A$2:$A$1001,C225)=1,"VD selected - Verify ID","Missing/Ambiguous VD"),IF(B225="Sales Manager",IF(COUNTIF(Teams!$B$2:$B$1001,C225)=1,"SSM selected - Verify ID","Missing/Ambiguous SSM"),"Invalid Position")))))))</f>
      </c>
    </row>
    <row r="226">
      <c r="A226" t="str">
        <f>IF(OR(Identity!B226="",Identity!D226=""),"",TRIM(Identity!B226&amp;" "&amp;Identity!C226&amp;" "&amp;Identity!D226))</f>
      </c>
      <c r="D226" t="str">
        <f>IF(A226="","",IF(B226="","Select Position",IF(B226="Vice Director",IF(C226="","Ready - No Head Needed","Clear Head Member"),IF(C226="","Select Head Member",IF(C226=A226,"Invalid - Same Applicant",IF(B226="Senior Sales Manager",IF(COUNTIF(Teams!$A$2:$A$1001,C226)=1,"VD selected - Verify ID","Missing/Ambiguous VD"),IF(B226="Sales Manager",IF(COUNTIF(Teams!$B$2:$B$1001,C226)=1,"SSM selected - Verify ID","Missing/Ambiguous SSM"),"Invalid Position")))))))</f>
      </c>
    </row>
    <row r="227">
      <c r="A227" t="str">
        <f>IF(OR(Identity!B227="",Identity!D227=""),"",TRIM(Identity!B227&amp;" "&amp;Identity!C227&amp;" "&amp;Identity!D227))</f>
      </c>
      <c r="D227" t="str">
        <f>IF(A227="","",IF(B227="","Select Position",IF(B227="Vice Director",IF(C227="","Ready - No Head Needed","Clear Head Member"),IF(C227="","Select Head Member",IF(C227=A227,"Invalid - Same Applicant",IF(B227="Senior Sales Manager",IF(COUNTIF(Teams!$A$2:$A$1001,C227)=1,"VD selected - Verify ID","Missing/Ambiguous VD"),IF(B227="Sales Manager",IF(COUNTIF(Teams!$B$2:$B$1001,C227)=1,"SSM selected - Verify ID","Missing/Ambiguous SSM"),"Invalid Position")))))))</f>
      </c>
    </row>
    <row r="228">
      <c r="A228" t="str">
        <f>IF(OR(Identity!B228="",Identity!D228=""),"",TRIM(Identity!B228&amp;" "&amp;Identity!C228&amp;" "&amp;Identity!D228))</f>
      </c>
      <c r="D228" t="str">
        <f>IF(A228="","",IF(B228="","Select Position",IF(B228="Vice Director",IF(C228="","Ready - No Head Needed","Clear Head Member"),IF(C228="","Select Head Member",IF(C228=A228,"Invalid - Same Applicant",IF(B228="Senior Sales Manager",IF(COUNTIF(Teams!$A$2:$A$1001,C228)=1,"VD selected - Verify ID","Missing/Ambiguous VD"),IF(B228="Sales Manager",IF(COUNTIF(Teams!$B$2:$B$1001,C228)=1,"SSM selected - Verify ID","Missing/Ambiguous SSM"),"Invalid Position")))))))</f>
      </c>
    </row>
    <row r="229">
      <c r="A229" t="str">
        <f>IF(OR(Identity!B229="",Identity!D229=""),"",TRIM(Identity!B229&amp;" "&amp;Identity!C229&amp;" "&amp;Identity!D229))</f>
      </c>
      <c r="D229" t="str">
        <f>IF(A229="","",IF(B229="","Select Position",IF(B229="Vice Director",IF(C229="","Ready - No Head Needed","Clear Head Member"),IF(C229="","Select Head Member",IF(C229=A229,"Invalid - Same Applicant",IF(B229="Senior Sales Manager",IF(COUNTIF(Teams!$A$2:$A$1001,C229)=1,"VD selected - Verify ID","Missing/Ambiguous VD"),IF(B229="Sales Manager",IF(COUNTIF(Teams!$B$2:$B$1001,C229)=1,"SSM selected - Verify ID","Missing/Ambiguous SSM"),"Invalid Position")))))))</f>
      </c>
    </row>
    <row r="230">
      <c r="A230" t="str">
        <f>IF(OR(Identity!B230="",Identity!D230=""),"",TRIM(Identity!B230&amp;" "&amp;Identity!C230&amp;" "&amp;Identity!D230))</f>
      </c>
      <c r="D230" t="str">
        <f>IF(A230="","",IF(B230="","Select Position",IF(B230="Vice Director",IF(C230="","Ready - No Head Needed","Clear Head Member"),IF(C230="","Select Head Member",IF(C230=A230,"Invalid - Same Applicant",IF(B230="Senior Sales Manager",IF(COUNTIF(Teams!$A$2:$A$1001,C230)=1,"VD selected - Verify ID","Missing/Ambiguous VD"),IF(B230="Sales Manager",IF(COUNTIF(Teams!$B$2:$B$1001,C230)=1,"SSM selected - Verify ID","Missing/Ambiguous SSM"),"Invalid Position")))))))</f>
      </c>
    </row>
    <row r="231">
      <c r="A231" t="str">
        <f>IF(OR(Identity!B231="",Identity!D231=""),"",TRIM(Identity!B231&amp;" "&amp;Identity!C231&amp;" "&amp;Identity!D231))</f>
      </c>
      <c r="D231" t="str">
        <f>IF(A231="","",IF(B231="","Select Position",IF(B231="Vice Director",IF(C231="","Ready - No Head Needed","Clear Head Member"),IF(C231="","Select Head Member",IF(C231=A231,"Invalid - Same Applicant",IF(B231="Senior Sales Manager",IF(COUNTIF(Teams!$A$2:$A$1001,C231)=1,"VD selected - Verify ID","Missing/Ambiguous VD"),IF(B231="Sales Manager",IF(COUNTIF(Teams!$B$2:$B$1001,C231)=1,"SSM selected - Verify ID","Missing/Ambiguous SSM"),"Invalid Position")))))))</f>
      </c>
    </row>
    <row r="232">
      <c r="A232" t="str">
        <f>IF(OR(Identity!B232="",Identity!D232=""),"",TRIM(Identity!B232&amp;" "&amp;Identity!C232&amp;" "&amp;Identity!D232))</f>
      </c>
      <c r="D232" t="str">
        <f>IF(A232="","",IF(B232="","Select Position",IF(B232="Vice Director",IF(C232="","Ready - No Head Needed","Clear Head Member"),IF(C232="","Select Head Member",IF(C232=A232,"Invalid - Same Applicant",IF(B232="Senior Sales Manager",IF(COUNTIF(Teams!$A$2:$A$1001,C232)=1,"VD selected - Verify ID","Missing/Ambiguous VD"),IF(B232="Sales Manager",IF(COUNTIF(Teams!$B$2:$B$1001,C232)=1,"SSM selected - Verify ID","Missing/Ambiguous SSM"),"Invalid Position")))))))</f>
      </c>
    </row>
    <row r="233">
      <c r="A233" t="str">
        <f>IF(OR(Identity!B233="",Identity!D233=""),"",TRIM(Identity!B233&amp;" "&amp;Identity!C233&amp;" "&amp;Identity!D233))</f>
      </c>
      <c r="D233" t="str">
        <f>IF(A233="","",IF(B233="","Select Position",IF(B233="Vice Director",IF(C233="","Ready - No Head Needed","Clear Head Member"),IF(C233="","Select Head Member",IF(C233=A233,"Invalid - Same Applicant",IF(B233="Senior Sales Manager",IF(COUNTIF(Teams!$A$2:$A$1001,C233)=1,"VD selected - Verify ID","Missing/Ambiguous VD"),IF(B233="Sales Manager",IF(COUNTIF(Teams!$B$2:$B$1001,C233)=1,"SSM selected - Verify ID","Missing/Ambiguous SSM"),"Invalid Position")))))))</f>
      </c>
    </row>
    <row r="234">
      <c r="A234" t="str">
        <f>IF(OR(Identity!B234="",Identity!D234=""),"",TRIM(Identity!B234&amp;" "&amp;Identity!C234&amp;" "&amp;Identity!D234))</f>
      </c>
      <c r="D234" t="str">
        <f>IF(A234="","",IF(B234="","Select Position",IF(B234="Vice Director",IF(C234="","Ready - No Head Needed","Clear Head Member"),IF(C234="","Select Head Member",IF(C234=A234,"Invalid - Same Applicant",IF(B234="Senior Sales Manager",IF(COUNTIF(Teams!$A$2:$A$1001,C234)=1,"VD selected - Verify ID","Missing/Ambiguous VD"),IF(B234="Sales Manager",IF(COUNTIF(Teams!$B$2:$B$1001,C234)=1,"SSM selected - Verify ID","Missing/Ambiguous SSM"),"Invalid Position")))))))</f>
      </c>
    </row>
    <row r="235">
      <c r="A235" t="str">
        <f>IF(OR(Identity!B235="",Identity!D235=""),"",TRIM(Identity!B235&amp;" "&amp;Identity!C235&amp;" "&amp;Identity!D235))</f>
      </c>
      <c r="D235" t="str">
        <f>IF(A235="","",IF(B235="","Select Position",IF(B235="Vice Director",IF(C235="","Ready - No Head Needed","Clear Head Member"),IF(C235="","Select Head Member",IF(C235=A235,"Invalid - Same Applicant",IF(B235="Senior Sales Manager",IF(COUNTIF(Teams!$A$2:$A$1001,C235)=1,"VD selected - Verify ID","Missing/Ambiguous VD"),IF(B235="Sales Manager",IF(COUNTIF(Teams!$B$2:$B$1001,C235)=1,"SSM selected - Verify ID","Missing/Ambiguous SSM"),"Invalid Position")))))))</f>
      </c>
    </row>
    <row r="236">
      <c r="A236" t="str">
        <f>IF(OR(Identity!B236="",Identity!D236=""),"",TRIM(Identity!B236&amp;" "&amp;Identity!C236&amp;" "&amp;Identity!D236))</f>
      </c>
      <c r="D236" t="str">
        <f>IF(A236="","",IF(B236="","Select Position",IF(B236="Vice Director",IF(C236="","Ready - No Head Needed","Clear Head Member"),IF(C236="","Select Head Member",IF(C236=A236,"Invalid - Same Applicant",IF(B236="Senior Sales Manager",IF(COUNTIF(Teams!$A$2:$A$1001,C236)=1,"VD selected - Verify ID","Missing/Ambiguous VD"),IF(B236="Sales Manager",IF(COUNTIF(Teams!$B$2:$B$1001,C236)=1,"SSM selected - Verify ID","Missing/Ambiguous SSM"),"Invalid Position")))))))</f>
      </c>
    </row>
    <row r="237">
      <c r="A237" t="str">
        <f>IF(OR(Identity!B237="",Identity!D237=""),"",TRIM(Identity!B237&amp;" "&amp;Identity!C237&amp;" "&amp;Identity!D237))</f>
      </c>
      <c r="D237" t="str">
        <f>IF(A237="","",IF(B237="","Select Position",IF(B237="Vice Director",IF(C237="","Ready - No Head Needed","Clear Head Member"),IF(C237="","Select Head Member",IF(C237=A237,"Invalid - Same Applicant",IF(B237="Senior Sales Manager",IF(COUNTIF(Teams!$A$2:$A$1001,C237)=1,"VD selected - Verify ID","Missing/Ambiguous VD"),IF(B237="Sales Manager",IF(COUNTIF(Teams!$B$2:$B$1001,C237)=1,"SSM selected - Verify ID","Missing/Ambiguous SSM"),"Invalid Position")))))))</f>
      </c>
    </row>
    <row r="238">
      <c r="A238" t="str">
        <f>IF(OR(Identity!B238="",Identity!D238=""),"",TRIM(Identity!B238&amp;" "&amp;Identity!C238&amp;" "&amp;Identity!D238))</f>
      </c>
      <c r="D238" t="str">
        <f>IF(A238="","",IF(B238="","Select Position",IF(B238="Vice Director",IF(C238="","Ready - No Head Needed","Clear Head Member"),IF(C238="","Select Head Member",IF(C238=A238,"Invalid - Same Applicant",IF(B238="Senior Sales Manager",IF(COUNTIF(Teams!$A$2:$A$1001,C238)=1,"VD selected - Verify ID","Missing/Ambiguous VD"),IF(B238="Sales Manager",IF(COUNTIF(Teams!$B$2:$B$1001,C238)=1,"SSM selected - Verify ID","Missing/Ambiguous SSM"),"Invalid Position")))))))</f>
      </c>
    </row>
    <row r="239">
      <c r="A239" t="str">
        <f>IF(OR(Identity!B239="",Identity!D239=""),"",TRIM(Identity!B239&amp;" "&amp;Identity!C239&amp;" "&amp;Identity!D239))</f>
      </c>
      <c r="D239" t="str">
        <f>IF(A239="","",IF(B239="","Select Position",IF(B239="Vice Director",IF(C239="","Ready - No Head Needed","Clear Head Member"),IF(C239="","Select Head Member",IF(C239=A239,"Invalid - Same Applicant",IF(B239="Senior Sales Manager",IF(COUNTIF(Teams!$A$2:$A$1001,C239)=1,"VD selected - Verify ID","Missing/Ambiguous VD"),IF(B239="Sales Manager",IF(COUNTIF(Teams!$B$2:$B$1001,C239)=1,"SSM selected - Verify ID","Missing/Ambiguous SSM"),"Invalid Position")))))))</f>
      </c>
    </row>
    <row r="240">
      <c r="A240" t="str">
        <f>IF(OR(Identity!B240="",Identity!D240=""),"",TRIM(Identity!B240&amp;" "&amp;Identity!C240&amp;" "&amp;Identity!D240))</f>
      </c>
      <c r="D240" t="str">
        <f>IF(A240="","",IF(B240="","Select Position",IF(B240="Vice Director",IF(C240="","Ready - No Head Needed","Clear Head Member"),IF(C240="","Select Head Member",IF(C240=A240,"Invalid - Same Applicant",IF(B240="Senior Sales Manager",IF(COUNTIF(Teams!$A$2:$A$1001,C240)=1,"VD selected - Verify ID","Missing/Ambiguous VD"),IF(B240="Sales Manager",IF(COUNTIF(Teams!$B$2:$B$1001,C240)=1,"SSM selected - Verify ID","Missing/Ambiguous SSM"),"Invalid Position")))))))</f>
      </c>
    </row>
    <row r="241">
      <c r="A241" t="str">
        <f>IF(OR(Identity!B241="",Identity!D241=""),"",TRIM(Identity!B241&amp;" "&amp;Identity!C241&amp;" "&amp;Identity!D241))</f>
      </c>
      <c r="D241" t="str">
        <f>IF(A241="","",IF(B241="","Select Position",IF(B241="Vice Director",IF(C241="","Ready - No Head Needed","Clear Head Member"),IF(C241="","Select Head Member",IF(C241=A241,"Invalid - Same Applicant",IF(B241="Senior Sales Manager",IF(COUNTIF(Teams!$A$2:$A$1001,C241)=1,"VD selected - Verify ID","Missing/Ambiguous VD"),IF(B241="Sales Manager",IF(COUNTIF(Teams!$B$2:$B$1001,C241)=1,"SSM selected - Verify ID","Missing/Ambiguous SSM"),"Invalid Position")))))))</f>
      </c>
    </row>
    <row r="242">
      <c r="A242" t="str">
        <f>IF(OR(Identity!B242="",Identity!D242=""),"",TRIM(Identity!B242&amp;" "&amp;Identity!C242&amp;" "&amp;Identity!D242))</f>
      </c>
      <c r="D242" t="str">
        <f>IF(A242="","",IF(B242="","Select Position",IF(B242="Vice Director",IF(C242="","Ready - No Head Needed","Clear Head Member"),IF(C242="","Select Head Member",IF(C242=A242,"Invalid - Same Applicant",IF(B242="Senior Sales Manager",IF(COUNTIF(Teams!$A$2:$A$1001,C242)=1,"VD selected - Verify ID","Missing/Ambiguous VD"),IF(B242="Sales Manager",IF(COUNTIF(Teams!$B$2:$B$1001,C242)=1,"SSM selected - Verify ID","Missing/Ambiguous SSM"),"Invalid Position")))))))</f>
      </c>
    </row>
    <row r="243">
      <c r="A243" t="str">
        <f>IF(OR(Identity!B243="",Identity!D243=""),"",TRIM(Identity!B243&amp;" "&amp;Identity!C243&amp;" "&amp;Identity!D243))</f>
      </c>
      <c r="D243" t="str">
        <f>IF(A243="","",IF(B243="","Select Position",IF(B243="Vice Director",IF(C243="","Ready - No Head Needed","Clear Head Member"),IF(C243="","Select Head Member",IF(C243=A243,"Invalid - Same Applicant",IF(B243="Senior Sales Manager",IF(COUNTIF(Teams!$A$2:$A$1001,C243)=1,"VD selected - Verify ID","Missing/Ambiguous VD"),IF(B243="Sales Manager",IF(COUNTIF(Teams!$B$2:$B$1001,C243)=1,"SSM selected - Verify ID","Missing/Ambiguous SSM"),"Invalid Position")))))))</f>
      </c>
    </row>
    <row r="244">
      <c r="A244" t="str">
        <f>IF(OR(Identity!B244="",Identity!D244=""),"",TRIM(Identity!B244&amp;" "&amp;Identity!C244&amp;" "&amp;Identity!D244))</f>
      </c>
      <c r="D244" t="str">
        <f>IF(A244="","",IF(B244="","Select Position",IF(B244="Vice Director",IF(C244="","Ready - No Head Needed","Clear Head Member"),IF(C244="","Select Head Member",IF(C244=A244,"Invalid - Same Applicant",IF(B244="Senior Sales Manager",IF(COUNTIF(Teams!$A$2:$A$1001,C244)=1,"VD selected - Verify ID","Missing/Ambiguous VD"),IF(B244="Sales Manager",IF(COUNTIF(Teams!$B$2:$B$1001,C244)=1,"SSM selected - Verify ID","Missing/Ambiguous SSM"),"Invalid Position")))))))</f>
      </c>
    </row>
    <row r="245">
      <c r="A245" t="str">
        <f>IF(OR(Identity!B245="",Identity!D245=""),"",TRIM(Identity!B245&amp;" "&amp;Identity!C245&amp;" "&amp;Identity!D245))</f>
      </c>
      <c r="D245" t="str">
        <f>IF(A245="","",IF(B245="","Select Position",IF(B245="Vice Director",IF(C245="","Ready - No Head Needed","Clear Head Member"),IF(C245="","Select Head Member",IF(C245=A245,"Invalid - Same Applicant",IF(B245="Senior Sales Manager",IF(COUNTIF(Teams!$A$2:$A$1001,C245)=1,"VD selected - Verify ID","Missing/Ambiguous VD"),IF(B245="Sales Manager",IF(COUNTIF(Teams!$B$2:$B$1001,C245)=1,"SSM selected - Verify ID","Missing/Ambiguous SSM"),"Invalid Position")))))))</f>
      </c>
    </row>
    <row r="246">
      <c r="A246" t="str">
        <f>IF(OR(Identity!B246="",Identity!D246=""),"",TRIM(Identity!B246&amp;" "&amp;Identity!C246&amp;" "&amp;Identity!D246))</f>
      </c>
      <c r="D246" t="str">
        <f>IF(A246="","",IF(B246="","Select Position",IF(B246="Vice Director",IF(C246="","Ready - No Head Needed","Clear Head Member"),IF(C246="","Select Head Member",IF(C246=A246,"Invalid - Same Applicant",IF(B246="Senior Sales Manager",IF(COUNTIF(Teams!$A$2:$A$1001,C246)=1,"VD selected - Verify ID","Missing/Ambiguous VD"),IF(B246="Sales Manager",IF(COUNTIF(Teams!$B$2:$B$1001,C246)=1,"SSM selected - Verify ID","Missing/Ambiguous SSM"),"Invalid Position")))))))</f>
      </c>
    </row>
    <row r="247">
      <c r="A247" t="str">
        <f>IF(OR(Identity!B247="",Identity!D247=""),"",TRIM(Identity!B247&amp;" "&amp;Identity!C247&amp;" "&amp;Identity!D247))</f>
      </c>
      <c r="D247" t="str">
        <f>IF(A247="","",IF(B247="","Select Position",IF(B247="Vice Director",IF(C247="","Ready - No Head Needed","Clear Head Member"),IF(C247="","Select Head Member",IF(C247=A247,"Invalid - Same Applicant",IF(B247="Senior Sales Manager",IF(COUNTIF(Teams!$A$2:$A$1001,C247)=1,"VD selected - Verify ID","Missing/Ambiguous VD"),IF(B247="Sales Manager",IF(COUNTIF(Teams!$B$2:$B$1001,C247)=1,"SSM selected - Verify ID","Missing/Ambiguous SSM"),"Invalid Position")))))))</f>
      </c>
    </row>
    <row r="248">
      <c r="A248" t="str">
        <f>IF(OR(Identity!B248="",Identity!D248=""),"",TRIM(Identity!B248&amp;" "&amp;Identity!C248&amp;" "&amp;Identity!D248))</f>
      </c>
      <c r="D248" t="str">
        <f>IF(A248="","",IF(B248="","Select Position",IF(B248="Vice Director",IF(C248="","Ready - No Head Needed","Clear Head Member"),IF(C248="","Select Head Member",IF(C248=A248,"Invalid - Same Applicant",IF(B248="Senior Sales Manager",IF(COUNTIF(Teams!$A$2:$A$1001,C248)=1,"VD selected - Verify ID","Missing/Ambiguous VD"),IF(B248="Sales Manager",IF(COUNTIF(Teams!$B$2:$B$1001,C248)=1,"SSM selected - Verify ID","Missing/Ambiguous SSM"),"Invalid Position")))))))</f>
      </c>
    </row>
    <row r="249">
      <c r="A249" t="str">
        <f>IF(OR(Identity!B249="",Identity!D249=""),"",TRIM(Identity!B249&amp;" "&amp;Identity!C249&amp;" "&amp;Identity!D249))</f>
      </c>
      <c r="D249" t="str">
        <f>IF(A249="","",IF(B249="","Select Position",IF(B249="Vice Director",IF(C249="","Ready - No Head Needed","Clear Head Member"),IF(C249="","Select Head Member",IF(C249=A249,"Invalid - Same Applicant",IF(B249="Senior Sales Manager",IF(COUNTIF(Teams!$A$2:$A$1001,C249)=1,"VD selected - Verify ID","Missing/Ambiguous VD"),IF(B249="Sales Manager",IF(COUNTIF(Teams!$B$2:$B$1001,C249)=1,"SSM selected - Verify ID","Missing/Ambiguous SSM"),"Invalid Position")))))))</f>
      </c>
    </row>
    <row r="250">
      <c r="A250" t="str">
        <f>IF(OR(Identity!B250="",Identity!D250=""),"",TRIM(Identity!B250&amp;" "&amp;Identity!C250&amp;" "&amp;Identity!D250))</f>
      </c>
      <c r="D250" t="str">
        <f>IF(A250="","",IF(B250="","Select Position",IF(B250="Vice Director",IF(C250="","Ready - No Head Needed","Clear Head Member"),IF(C250="","Select Head Member",IF(C250=A250,"Invalid - Same Applicant",IF(B250="Senior Sales Manager",IF(COUNTIF(Teams!$A$2:$A$1001,C250)=1,"VD selected - Verify ID","Missing/Ambiguous VD"),IF(B250="Sales Manager",IF(COUNTIF(Teams!$B$2:$B$1001,C250)=1,"SSM selected - Verify ID","Missing/Ambiguous SSM"),"Invalid Position")))))))</f>
      </c>
    </row>
    <row r="251">
      <c r="A251" t="str">
        <f>IF(OR(Identity!B251="",Identity!D251=""),"",TRIM(Identity!B251&amp;" "&amp;Identity!C251&amp;" "&amp;Identity!D251))</f>
      </c>
      <c r="D251" t="str">
        <f>IF(A251="","",IF(B251="","Select Position",IF(B251="Vice Director",IF(C251="","Ready - No Head Needed","Clear Head Member"),IF(C251="","Select Head Member",IF(C251=A251,"Invalid - Same Applicant",IF(B251="Senior Sales Manager",IF(COUNTIF(Teams!$A$2:$A$1001,C251)=1,"VD selected - Verify ID","Missing/Ambiguous VD"),IF(B251="Sales Manager",IF(COUNTIF(Teams!$B$2:$B$1001,C251)=1,"SSM selected - Verify ID","Missing/Ambiguous SSM"),"Invalid Position")))))))</f>
      </c>
    </row>
    <row r="252">
      <c r="A252" t="str">
        <f>IF(OR(Identity!B252="",Identity!D252=""),"",TRIM(Identity!B252&amp;" "&amp;Identity!C252&amp;" "&amp;Identity!D252))</f>
      </c>
      <c r="D252" t="str">
        <f>IF(A252="","",IF(B252="","Select Position",IF(B252="Vice Director",IF(C252="","Ready - No Head Needed","Clear Head Member"),IF(C252="","Select Head Member",IF(C252=A252,"Invalid - Same Applicant",IF(B252="Senior Sales Manager",IF(COUNTIF(Teams!$A$2:$A$1001,C252)=1,"VD selected - Verify ID","Missing/Ambiguous VD"),IF(B252="Sales Manager",IF(COUNTIF(Teams!$B$2:$B$1001,C252)=1,"SSM selected - Verify ID","Missing/Ambiguous SSM"),"Invalid Position")))))))</f>
      </c>
    </row>
    <row r="253">
      <c r="A253" t="str">
        <f>IF(OR(Identity!B253="",Identity!D253=""),"",TRIM(Identity!B253&amp;" "&amp;Identity!C253&amp;" "&amp;Identity!D253))</f>
      </c>
      <c r="D253" t="str">
        <f>IF(A253="","",IF(B253="","Select Position",IF(B253="Vice Director",IF(C253="","Ready - No Head Needed","Clear Head Member"),IF(C253="","Select Head Member",IF(C253=A253,"Invalid - Same Applicant",IF(B253="Senior Sales Manager",IF(COUNTIF(Teams!$A$2:$A$1001,C253)=1,"VD selected - Verify ID","Missing/Ambiguous VD"),IF(B253="Sales Manager",IF(COUNTIF(Teams!$B$2:$B$1001,C253)=1,"SSM selected - Verify ID","Missing/Ambiguous SSM"),"Invalid Position")))))))</f>
      </c>
    </row>
    <row r="254">
      <c r="A254" t="str">
        <f>IF(OR(Identity!B254="",Identity!D254=""),"",TRIM(Identity!B254&amp;" "&amp;Identity!C254&amp;" "&amp;Identity!D254))</f>
      </c>
      <c r="D254" t="str">
        <f>IF(A254="","",IF(B254="","Select Position",IF(B254="Vice Director",IF(C254="","Ready - No Head Needed","Clear Head Member"),IF(C254="","Select Head Member",IF(C254=A254,"Invalid - Same Applicant",IF(B254="Senior Sales Manager",IF(COUNTIF(Teams!$A$2:$A$1001,C254)=1,"VD selected - Verify ID","Missing/Ambiguous VD"),IF(B254="Sales Manager",IF(COUNTIF(Teams!$B$2:$B$1001,C254)=1,"SSM selected - Verify ID","Missing/Ambiguous SSM"),"Invalid Position")))))))</f>
      </c>
    </row>
    <row r="255">
      <c r="A255" t="str">
        <f>IF(OR(Identity!B255="",Identity!D255=""),"",TRIM(Identity!B255&amp;" "&amp;Identity!C255&amp;" "&amp;Identity!D255))</f>
      </c>
      <c r="D255" t="str">
        <f>IF(A255="","",IF(B255="","Select Position",IF(B255="Vice Director",IF(C255="","Ready - No Head Needed","Clear Head Member"),IF(C255="","Select Head Member",IF(C255=A255,"Invalid - Same Applicant",IF(B255="Senior Sales Manager",IF(COUNTIF(Teams!$A$2:$A$1001,C255)=1,"VD selected - Verify ID","Missing/Ambiguous VD"),IF(B255="Sales Manager",IF(COUNTIF(Teams!$B$2:$B$1001,C255)=1,"SSM selected - Verify ID","Missing/Ambiguous SSM"),"Invalid Position")))))))</f>
      </c>
    </row>
    <row r="256">
      <c r="A256" t="str">
        <f>IF(OR(Identity!B256="",Identity!D256=""),"",TRIM(Identity!B256&amp;" "&amp;Identity!C256&amp;" "&amp;Identity!D256))</f>
      </c>
      <c r="D256" t="str">
        <f>IF(A256="","",IF(B256="","Select Position",IF(B256="Vice Director",IF(C256="","Ready - No Head Needed","Clear Head Member"),IF(C256="","Select Head Member",IF(C256=A256,"Invalid - Same Applicant",IF(B256="Senior Sales Manager",IF(COUNTIF(Teams!$A$2:$A$1001,C256)=1,"VD selected - Verify ID","Missing/Ambiguous VD"),IF(B256="Sales Manager",IF(COUNTIF(Teams!$B$2:$B$1001,C256)=1,"SSM selected - Verify ID","Missing/Ambiguous SSM"),"Invalid Position")))))))</f>
      </c>
    </row>
    <row r="257">
      <c r="A257" t="str">
        <f>IF(OR(Identity!B257="",Identity!D257=""),"",TRIM(Identity!B257&amp;" "&amp;Identity!C257&amp;" "&amp;Identity!D257))</f>
      </c>
      <c r="D257" t="str">
        <f>IF(A257="","",IF(B257="","Select Position",IF(B257="Vice Director",IF(C257="","Ready - No Head Needed","Clear Head Member"),IF(C257="","Select Head Member",IF(C257=A257,"Invalid - Same Applicant",IF(B257="Senior Sales Manager",IF(COUNTIF(Teams!$A$2:$A$1001,C257)=1,"VD selected - Verify ID","Missing/Ambiguous VD"),IF(B257="Sales Manager",IF(COUNTIF(Teams!$B$2:$B$1001,C257)=1,"SSM selected - Verify ID","Missing/Ambiguous SSM"),"Invalid Position")))))))</f>
      </c>
    </row>
    <row r="258">
      <c r="A258" t="str">
        <f>IF(OR(Identity!B258="",Identity!D258=""),"",TRIM(Identity!B258&amp;" "&amp;Identity!C258&amp;" "&amp;Identity!D258))</f>
      </c>
      <c r="D258" t="str">
        <f>IF(A258="","",IF(B258="","Select Position",IF(B258="Vice Director",IF(C258="","Ready - No Head Needed","Clear Head Member"),IF(C258="","Select Head Member",IF(C258=A258,"Invalid - Same Applicant",IF(B258="Senior Sales Manager",IF(COUNTIF(Teams!$A$2:$A$1001,C258)=1,"VD selected - Verify ID","Missing/Ambiguous VD"),IF(B258="Sales Manager",IF(COUNTIF(Teams!$B$2:$B$1001,C258)=1,"SSM selected - Verify ID","Missing/Ambiguous SSM"),"Invalid Position")))))))</f>
      </c>
    </row>
    <row r="259">
      <c r="A259" t="str">
        <f>IF(OR(Identity!B259="",Identity!D259=""),"",TRIM(Identity!B259&amp;" "&amp;Identity!C259&amp;" "&amp;Identity!D259))</f>
      </c>
      <c r="D259" t="str">
        <f>IF(A259="","",IF(B259="","Select Position",IF(B259="Vice Director",IF(C259="","Ready - No Head Needed","Clear Head Member"),IF(C259="","Select Head Member",IF(C259=A259,"Invalid - Same Applicant",IF(B259="Senior Sales Manager",IF(COUNTIF(Teams!$A$2:$A$1001,C259)=1,"VD selected - Verify ID","Missing/Ambiguous VD"),IF(B259="Sales Manager",IF(COUNTIF(Teams!$B$2:$B$1001,C259)=1,"SSM selected - Verify ID","Missing/Ambiguous SSM"),"Invalid Position")))))))</f>
      </c>
    </row>
    <row r="260">
      <c r="A260" t="str">
        <f>IF(OR(Identity!B260="",Identity!D260=""),"",TRIM(Identity!B260&amp;" "&amp;Identity!C260&amp;" "&amp;Identity!D260))</f>
      </c>
      <c r="D260" t="str">
        <f>IF(A260="","",IF(B260="","Select Position",IF(B260="Vice Director",IF(C260="","Ready - No Head Needed","Clear Head Member"),IF(C260="","Select Head Member",IF(C260=A260,"Invalid - Same Applicant",IF(B260="Senior Sales Manager",IF(COUNTIF(Teams!$A$2:$A$1001,C260)=1,"VD selected - Verify ID","Missing/Ambiguous VD"),IF(B260="Sales Manager",IF(COUNTIF(Teams!$B$2:$B$1001,C260)=1,"SSM selected - Verify ID","Missing/Ambiguous SSM"),"Invalid Position")))))))</f>
      </c>
    </row>
    <row r="261">
      <c r="A261" t="str">
        <f>IF(OR(Identity!B261="",Identity!D261=""),"",TRIM(Identity!B261&amp;" "&amp;Identity!C261&amp;" "&amp;Identity!D261))</f>
      </c>
      <c r="D261" t="str">
        <f>IF(A261="","",IF(B261="","Select Position",IF(B261="Vice Director",IF(C261="","Ready - No Head Needed","Clear Head Member"),IF(C261="","Select Head Member",IF(C261=A261,"Invalid - Same Applicant",IF(B261="Senior Sales Manager",IF(COUNTIF(Teams!$A$2:$A$1001,C261)=1,"VD selected - Verify ID","Missing/Ambiguous VD"),IF(B261="Sales Manager",IF(COUNTIF(Teams!$B$2:$B$1001,C261)=1,"SSM selected - Verify ID","Missing/Ambiguous SSM"),"Invalid Position")))))))</f>
      </c>
    </row>
    <row r="262">
      <c r="A262" t="str">
        <f>IF(OR(Identity!B262="",Identity!D262=""),"",TRIM(Identity!B262&amp;" "&amp;Identity!C262&amp;" "&amp;Identity!D262))</f>
      </c>
      <c r="D262" t="str">
        <f>IF(A262="","",IF(B262="","Select Position",IF(B262="Vice Director",IF(C262="","Ready - No Head Needed","Clear Head Member"),IF(C262="","Select Head Member",IF(C262=A262,"Invalid - Same Applicant",IF(B262="Senior Sales Manager",IF(COUNTIF(Teams!$A$2:$A$1001,C262)=1,"VD selected - Verify ID","Missing/Ambiguous VD"),IF(B262="Sales Manager",IF(COUNTIF(Teams!$B$2:$B$1001,C262)=1,"SSM selected - Verify ID","Missing/Ambiguous SSM"),"Invalid Position")))))))</f>
      </c>
    </row>
    <row r="263">
      <c r="A263" t="str">
        <f>IF(OR(Identity!B263="",Identity!D263=""),"",TRIM(Identity!B263&amp;" "&amp;Identity!C263&amp;" "&amp;Identity!D263))</f>
      </c>
      <c r="D263" t="str">
        <f>IF(A263="","",IF(B263="","Select Position",IF(B263="Vice Director",IF(C263="","Ready - No Head Needed","Clear Head Member"),IF(C263="","Select Head Member",IF(C263=A263,"Invalid - Same Applicant",IF(B263="Senior Sales Manager",IF(COUNTIF(Teams!$A$2:$A$1001,C263)=1,"VD selected - Verify ID","Missing/Ambiguous VD"),IF(B263="Sales Manager",IF(COUNTIF(Teams!$B$2:$B$1001,C263)=1,"SSM selected - Verify ID","Missing/Ambiguous SSM"),"Invalid Position")))))))</f>
      </c>
    </row>
    <row r="264">
      <c r="A264" t="str">
        <f>IF(OR(Identity!B264="",Identity!D264=""),"",TRIM(Identity!B264&amp;" "&amp;Identity!C264&amp;" "&amp;Identity!D264))</f>
      </c>
      <c r="D264" t="str">
        <f>IF(A264="","",IF(B264="","Select Position",IF(B264="Vice Director",IF(C264="","Ready - No Head Needed","Clear Head Member"),IF(C264="","Select Head Member",IF(C264=A264,"Invalid - Same Applicant",IF(B264="Senior Sales Manager",IF(COUNTIF(Teams!$A$2:$A$1001,C264)=1,"VD selected - Verify ID","Missing/Ambiguous VD"),IF(B264="Sales Manager",IF(COUNTIF(Teams!$B$2:$B$1001,C264)=1,"SSM selected - Verify ID","Missing/Ambiguous SSM"),"Invalid Position")))))))</f>
      </c>
    </row>
    <row r="265">
      <c r="A265" t="str">
        <f>IF(OR(Identity!B265="",Identity!D265=""),"",TRIM(Identity!B265&amp;" "&amp;Identity!C265&amp;" "&amp;Identity!D265))</f>
      </c>
      <c r="D265" t="str">
        <f>IF(A265="","",IF(B265="","Select Position",IF(B265="Vice Director",IF(C265="","Ready - No Head Needed","Clear Head Member"),IF(C265="","Select Head Member",IF(C265=A265,"Invalid - Same Applicant",IF(B265="Senior Sales Manager",IF(COUNTIF(Teams!$A$2:$A$1001,C265)=1,"VD selected - Verify ID","Missing/Ambiguous VD"),IF(B265="Sales Manager",IF(COUNTIF(Teams!$B$2:$B$1001,C265)=1,"SSM selected - Verify ID","Missing/Ambiguous SSM"),"Invalid Position")))))))</f>
      </c>
    </row>
    <row r="266">
      <c r="A266" t="str">
        <f>IF(OR(Identity!B266="",Identity!D266=""),"",TRIM(Identity!B266&amp;" "&amp;Identity!C266&amp;" "&amp;Identity!D266))</f>
      </c>
      <c r="D266" t="str">
        <f>IF(A266="","",IF(B266="","Select Position",IF(B266="Vice Director",IF(C266="","Ready - No Head Needed","Clear Head Member"),IF(C266="","Select Head Member",IF(C266=A266,"Invalid - Same Applicant",IF(B266="Senior Sales Manager",IF(COUNTIF(Teams!$A$2:$A$1001,C266)=1,"VD selected - Verify ID","Missing/Ambiguous VD"),IF(B266="Sales Manager",IF(COUNTIF(Teams!$B$2:$B$1001,C266)=1,"SSM selected - Verify ID","Missing/Ambiguous SSM"),"Invalid Position")))))))</f>
      </c>
    </row>
    <row r="267">
      <c r="A267" t="str">
        <f>IF(OR(Identity!B267="",Identity!D267=""),"",TRIM(Identity!B267&amp;" "&amp;Identity!C267&amp;" "&amp;Identity!D267))</f>
      </c>
      <c r="D267" t="str">
        <f>IF(A267="","",IF(B267="","Select Position",IF(B267="Vice Director",IF(C267="","Ready - No Head Needed","Clear Head Member"),IF(C267="","Select Head Member",IF(C267=A267,"Invalid - Same Applicant",IF(B267="Senior Sales Manager",IF(COUNTIF(Teams!$A$2:$A$1001,C267)=1,"VD selected - Verify ID","Missing/Ambiguous VD"),IF(B267="Sales Manager",IF(COUNTIF(Teams!$B$2:$B$1001,C267)=1,"SSM selected - Verify ID","Missing/Ambiguous SSM"),"Invalid Position")))))))</f>
      </c>
    </row>
    <row r="268">
      <c r="A268" t="str">
        <f>IF(OR(Identity!B268="",Identity!D268=""),"",TRIM(Identity!B268&amp;" "&amp;Identity!C268&amp;" "&amp;Identity!D268))</f>
      </c>
      <c r="D268" t="str">
        <f>IF(A268="","",IF(B268="","Select Position",IF(B268="Vice Director",IF(C268="","Ready - No Head Needed","Clear Head Member"),IF(C268="","Select Head Member",IF(C268=A268,"Invalid - Same Applicant",IF(B268="Senior Sales Manager",IF(COUNTIF(Teams!$A$2:$A$1001,C268)=1,"VD selected - Verify ID","Missing/Ambiguous VD"),IF(B268="Sales Manager",IF(COUNTIF(Teams!$B$2:$B$1001,C268)=1,"SSM selected - Verify ID","Missing/Ambiguous SSM"),"Invalid Position")))))))</f>
      </c>
    </row>
    <row r="269">
      <c r="A269" t="str">
        <f>IF(OR(Identity!B269="",Identity!D269=""),"",TRIM(Identity!B269&amp;" "&amp;Identity!C269&amp;" "&amp;Identity!D269))</f>
      </c>
      <c r="D269" t="str">
        <f>IF(A269="","",IF(B269="","Select Position",IF(B269="Vice Director",IF(C269="","Ready - No Head Needed","Clear Head Member"),IF(C269="","Select Head Member",IF(C269=A269,"Invalid - Same Applicant",IF(B269="Senior Sales Manager",IF(COUNTIF(Teams!$A$2:$A$1001,C269)=1,"VD selected - Verify ID","Missing/Ambiguous VD"),IF(B269="Sales Manager",IF(COUNTIF(Teams!$B$2:$B$1001,C269)=1,"SSM selected - Verify ID","Missing/Ambiguous SSM"),"Invalid Position")))))))</f>
      </c>
    </row>
    <row r="270">
      <c r="A270" t="str">
        <f>IF(OR(Identity!B270="",Identity!D270=""),"",TRIM(Identity!B270&amp;" "&amp;Identity!C270&amp;" "&amp;Identity!D270))</f>
      </c>
      <c r="D270" t="str">
        <f>IF(A270="","",IF(B270="","Select Position",IF(B270="Vice Director",IF(C270="","Ready - No Head Needed","Clear Head Member"),IF(C270="","Select Head Member",IF(C270=A270,"Invalid - Same Applicant",IF(B270="Senior Sales Manager",IF(COUNTIF(Teams!$A$2:$A$1001,C270)=1,"VD selected - Verify ID","Missing/Ambiguous VD"),IF(B270="Sales Manager",IF(COUNTIF(Teams!$B$2:$B$1001,C270)=1,"SSM selected - Verify ID","Missing/Ambiguous SSM"),"Invalid Position")))))))</f>
      </c>
    </row>
    <row r="271">
      <c r="A271" t="str">
        <f>IF(OR(Identity!B271="",Identity!D271=""),"",TRIM(Identity!B271&amp;" "&amp;Identity!C271&amp;" "&amp;Identity!D271))</f>
      </c>
      <c r="D271" t="str">
        <f>IF(A271="","",IF(B271="","Select Position",IF(B271="Vice Director",IF(C271="","Ready - No Head Needed","Clear Head Member"),IF(C271="","Select Head Member",IF(C271=A271,"Invalid - Same Applicant",IF(B271="Senior Sales Manager",IF(COUNTIF(Teams!$A$2:$A$1001,C271)=1,"VD selected - Verify ID","Missing/Ambiguous VD"),IF(B271="Sales Manager",IF(COUNTIF(Teams!$B$2:$B$1001,C271)=1,"SSM selected - Verify ID","Missing/Ambiguous SSM"),"Invalid Position")))))))</f>
      </c>
    </row>
    <row r="272">
      <c r="A272" t="str">
        <f>IF(OR(Identity!B272="",Identity!D272=""),"",TRIM(Identity!B272&amp;" "&amp;Identity!C272&amp;" "&amp;Identity!D272))</f>
      </c>
      <c r="D272" t="str">
        <f>IF(A272="","",IF(B272="","Select Position",IF(B272="Vice Director",IF(C272="","Ready - No Head Needed","Clear Head Member"),IF(C272="","Select Head Member",IF(C272=A272,"Invalid - Same Applicant",IF(B272="Senior Sales Manager",IF(COUNTIF(Teams!$A$2:$A$1001,C272)=1,"VD selected - Verify ID","Missing/Ambiguous VD"),IF(B272="Sales Manager",IF(COUNTIF(Teams!$B$2:$B$1001,C272)=1,"SSM selected - Verify ID","Missing/Ambiguous SSM"),"Invalid Position")))))))</f>
      </c>
    </row>
    <row r="273">
      <c r="A273" t="str">
        <f>IF(OR(Identity!B273="",Identity!D273=""),"",TRIM(Identity!B273&amp;" "&amp;Identity!C273&amp;" "&amp;Identity!D273))</f>
      </c>
      <c r="D273" t="str">
        <f>IF(A273="","",IF(B273="","Select Position",IF(B273="Vice Director",IF(C273="","Ready - No Head Needed","Clear Head Member"),IF(C273="","Select Head Member",IF(C273=A273,"Invalid - Same Applicant",IF(B273="Senior Sales Manager",IF(COUNTIF(Teams!$A$2:$A$1001,C273)=1,"VD selected - Verify ID","Missing/Ambiguous VD"),IF(B273="Sales Manager",IF(COUNTIF(Teams!$B$2:$B$1001,C273)=1,"SSM selected - Verify ID","Missing/Ambiguous SSM"),"Invalid Position")))))))</f>
      </c>
    </row>
    <row r="274">
      <c r="A274" t="str">
        <f>IF(OR(Identity!B274="",Identity!D274=""),"",TRIM(Identity!B274&amp;" "&amp;Identity!C274&amp;" "&amp;Identity!D274))</f>
      </c>
      <c r="D274" t="str">
        <f>IF(A274="","",IF(B274="","Select Position",IF(B274="Vice Director",IF(C274="","Ready - No Head Needed","Clear Head Member"),IF(C274="","Select Head Member",IF(C274=A274,"Invalid - Same Applicant",IF(B274="Senior Sales Manager",IF(COUNTIF(Teams!$A$2:$A$1001,C274)=1,"VD selected - Verify ID","Missing/Ambiguous VD"),IF(B274="Sales Manager",IF(COUNTIF(Teams!$B$2:$B$1001,C274)=1,"SSM selected - Verify ID","Missing/Ambiguous SSM"),"Invalid Position")))))))</f>
      </c>
    </row>
    <row r="275">
      <c r="A275" t="str">
        <f>IF(OR(Identity!B275="",Identity!D275=""),"",TRIM(Identity!B275&amp;" "&amp;Identity!C275&amp;" "&amp;Identity!D275))</f>
      </c>
      <c r="D275" t="str">
        <f>IF(A275="","",IF(B275="","Select Position",IF(B275="Vice Director",IF(C275="","Ready - No Head Needed","Clear Head Member"),IF(C275="","Select Head Member",IF(C275=A275,"Invalid - Same Applicant",IF(B275="Senior Sales Manager",IF(COUNTIF(Teams!$A$2:$A$1001,C275)=1,"VD selected - Verify ID","Missing/Ambiguous VD"),IF(B275="Sales Manager",IF(COUNTIF(Teams!$B$2:$B$1001,C275)=1,"SSM selected - Verify ID","Missing/Ambiguous SSM"),"Invalid Position")))))))</f>
      </c>
    </row>
    <row r="276">
      <c r="A276" t="str">
        <f>IF(OR(Identity!B276="",Identity!D276=""),"",TRIM(Identity!B276&amp;" "&amp;Identity!C276&amp;" "&amp;Identity!D276))</f>
      </c>
      <c r="D276" t="str">
        <f>IF(A276="","",IF(B276="","Select Position",IF(B276="Vice Director",IF(C276="","Ready - No Head Needed","Clear Head Member"),IF(C276="","Select Head Member",IF(C276=A276,"Invalid - Same Applicant",IF(B276="Senior Sales Manager",IF(COUNTIF(Teams!$A$2:$A$1001,C276)=1,"VD selected - Verify ID","Missing/Ambiguous VD"),IF(B276="Sales Manager",IF(COUNTIF(Teams!$B$2:$B$1001,C276)=1,"SSM selected - Verify ID","Missing/Ambiguous SSM"),"Invalid Position")))))))</f>
      </c>
    </row>
    <row r="277">
      <c r="A277" t="str">
        <f>IF(OR(Identity!B277="",Identity!D277=""),"",TRIM(Identity!B277&amp;" "&amp;Identity!C277&amp;" "&amp;Identity!D277))</f>
      </c>
      <c r="D277" t="str">
        <f>IF(A277="","",IF(B277="","Select Position",IF(B277="Vice Director",IF(C277="","Ready - No Head Needed","Clear Head Member"),IF(C277="","Select Head Member",IF(C277=A277,"Invalid - Same Applicant",IF(B277="Senior Sales Manager",IF(COUNTIF(Teams!$A$2:$A$1001,C277)=1,"VD selected - Verify ID","Missing/Ambiguous VD"),IF(B277="Sales Manager",IF(COUNTIF(Teams!$B$2:$B$1001,C277)=1,"SSM selected - Verify ID","Missing/Ambiguous SSM"),"Invalid Position")))))))</f>
      </c>
    </row>
    <row r="278">
      <c r="A278" t="str">
        <f>IF(OR(Identity!B278="",Identity!D278=""),"",TRIM(Identity!B278&amp;" "&amp;Identity!C278&amp;" "&amp;Identity!D278))</f>
      </c>
      <c r="D278" t="str">
        <f>IF(A278="","",IF(B278="","Select Position",IF(B278="Vice Director",IF(C278="","Ready - No Head Needed","Clear Head Member"),IF(C278="","Select Head Member",IF(C278=A278,"Invalid - Same Applicant",IF(B278="Senior Sales Manager",IF(COUNTIF(Teams!$A$2:$A$1001,C278)=1,"VD selected - Verify ID","Missing/Ambiguous VD"),IF(B278="Sales Manager",IF(COUNTIF(Teams!$B$2:$B$1001,C278)=1,"SSM selected - Verify ID","Missing/Ambiguous SSM"),"Invalid Position")))))))</f>
      </c>
    </row>
    <row r="279">
      <c r="A279" t="str">
        <f>IF(OR(Identity!B279="",Identity!D279=""),"",TRIM(Identity!B279&amp;" "&amp;Identity!C279&amp;" "&amp;Identity!D279))</f>
      </c>
      <c r="D279" t="str">
        <f>IF(A279="","",IF(B279="","Select Position",IF(B279="Vice Director",IF(C279="","Ready - No Head Needed","Clear Head Member"),IF(C279="","Select Head Member",IF(C279=A279,"Invalid - Same Applicant",IF(B279="Senior Sales Manager",IF(COUNTIF(Teams!$A$2:$A$1001,C279)=1,"VD selected - Verify ID","Missing/Ambiguous VD"),IF(B279="Sales Manager",IF(COUNTIF(Teams!$B$2:$B$1001,C279)=1,"SSM selected - Verify ID","Missing/Ambiguous SSM"),"Invalid Position")))))))</f>
      </c>
    </row>
    <row r="280">
      <c r="A280" t="str">
        <f>IF(OR(Identity!B280="",Identity!D280=""),"",TRIM(Identity!B280&amp;" "&amp;Identity!C280&amp;" "&amp;Identity!D280))</f>
      </c>
      <c r="D280" t="str">
        <f>IF(A280="","",IF(B280="","Select Position",IF(B280="Vice Director",IF(C280="","Ready - No Head Needed","Clear Head Member"),IF(C280="","Select Head Member",IF(C280=A280,"Invalid - Same Applicant",IF(B280="Senior Sales Manager",IF(COUNTIF(Teams!$A$2:$A$1001,C280)=1,"VD selected - Verify ID","Missing/Ambiguous VD"),IF(B280="Sales Manager",IF(COUNTIF(Teams!$B$2:$B$1001,C280)=1,"SSM selected - Verify ID","Missing/Ambiguous SSM"),"Invalid Position")))))))</f>
      </c>
    </row>
    <row r="281">
      <c r="A281" t="str">
        <f>IF(OR(Identity!B281="",Identity!D281=""),"",TRIM(Identity!B281&amp;" "&amp;Identity!C281&amp;" "&amp;Identity!D281))</f>
      </c>
      <c r="D281" t="str">
        <f>IF(A281="","",IF(B281="","Select Position",IF(B281="Vice Director",IF(C281="","Ready - No Head Needed","Clear Head Member"),IF(C281="","Select Head Member",IF(C281=A281,"Invalid - Same Applicant",IF(B281="Senior Sales Manager",IF(COUNTIF(Teams!$A$2:$A$1001,C281)=1,"VD selected - Verify ID","Missing/Ambiguous VD"),IF(B281="Sales Manager",IF(COUNTIF(Teams!$B$2:$B$1001,C281)=1,"SSM selected - Verify ID","Missing/Ambiguous SSM"),"Invalid Position")))))))</f>
      </c>
    </row>
    <row r="282">
      <c r="A282" t="str">
        <f>IF(OR(Identity!B282="",Identity!D282=""),"",TRIM(Identity!B282&amp;" "&amp;Identity!C282&amp;" "&amp;Identity!D282))</f>
      </c>
      <c r="D282" t="str">
        <f>IF(A282="","",IF(B282="","Select Position",IF(B282="Vice Director",IF(C282="","Ready - No Head Needed","Clear Head Member"),IF(C282="","Select Head Member",IF(C282=A282,"Invalid - Same Applicant",IF(B282="Senior Sales Manager",IF(COUNTIF(Teams!$A$2:$A$1001,C282)=1,"VD selected - Verify ID","Missing/Ambiguous VD"),IF(B282="Sales Manager",IF(COUNTIF(Teams!$B$2:$B$1001,C282)=1,"SSM selected - Verify ID","Missing/Ambiguous SSM"),"Invalid Position")))))))</f>
      </c>
    </row>
    <row r="283">
      <c r="A283" t="str">
        <f>IF(OR(Identity!B283="",Identity!D283=""),"",TRIM(Identity!B283&amp;" "&amp;Identity!C283&amp;" "&amp;Identity!D283))</f>
      </c>
      <c r="D283" t="str">
        <f>IF(A283="","",IF(B283="","Select Position",IF(B283="Vice Director",IF(C283="","Ready - No Head Needed","Clear Head Member"),IF(C283="","Select Head Member",IF(C283=A283,"Invalid - Same Applicant",IF(B283="Senior Sales Manager",IF(COUNTIF(Teams!$A$2:$A$1001,C283)=1,"VD selected - Verify ID","Missing/Ambiguous VD"),IF(B283="Sales Manager",IF(COUNTIF(Teams!$B$2:$B$1001,C283)=1,"SSM selected - Verify ID","Missing/Ambiguous SSM"),"Invalid Position")))))))</f>
      </c>
    </row>
    <row r="284">
      <c r="A284" t="str">
        <f>IF(OR(Identity!B284="",Identity!D284=""),"",TRIM(Identity!B284&amp;" "&amp;Identity!C284&amp;" "&amp;Identity!D284))</f>
      </c>
      <c r="D284" t="str">
        <f>IF(A284="","",IF(B284="","Select Position",IF(B284="Vice Director",IF(C284="","Ready - No Head Needed","Clear Head Member"),IF(C284="","Select Head Member",IF(C284=A284,"Invalid - Same Applicant",IF(B284="Senior Sales Manager",IF(COUNTIF(Teams!$A$2:$A$1001,C284)=1,"VD selected - Verify ID","Missing/Ambiguous VD"),IF(B284="Sales Manager",IF(COUNTIF(Teams!$B$2:$B$1001,C284)=1,"SSM selected - Verify ID","Missing/Ambiguous SSM"),"Invalid Position")))))))</f>
      </c>
    </row>
    <row r="285">
      <c r="A285" t="str">
        <f>IF(OR(Identity!B285="",Identity!D285=""),"",TRIM(Identity!B285&amp;" "&amp;Identity!C285&amp;" "&amp;Identity!D285))</f>
      </c>
      <c r="D285" t="str">
        <f>IF(A285="","",IF(B285="","Select Position",IF(B285="Vice Director",IF(C285="","Ready - No Head Needed","Clear Head Member"),IF(C285="","Select Head Member",IF(C285=A285,"Invalid - Same Applicant",IF(B285="Senior Sales Manager",IF(COUNTIF(Teams!$A$2:$A$1001,C285)=1,"VD selected - Verify ID","Missing/Ambiguous VD"),IF(B285="Sales Manager",IF(COUNTIF(Teams!$B$2:$B$1001,C285)=1,"SSM selected - Verify ID","Missing/Ambiguous SSM"),"Invalid Position")))))))</f>
      </c>
    </row>
    <row r="286">
      <c r="A286" t="str">
        <f>IF(OR(Identity!B286="",Identity!D286=""),"",TRIM(Identity!B286&amp;" "&amp;Identity!C286&amp;" "&amp;Identity!D286))</f>
      </c>
      <c r="D286" t="str">
        <f>IF(A286="","",IF(B286="","Select Position",IF(B286="Vice Director",IF(C286="","Ready - No Head Needed","Clear Head Member"),IF(C286="","Select Head Member",IF(C286=A286,"Invalid - Same Applicant",IF(B286="Senior Sales Manager",IF(COUNTIF(Teams!$A$2:$A$1001,C286)=1,"VD selected - Verify ID","Missing/Ambiguous VD"),IF(B286="Sales Manager",IF(COUNTIF(Teams!$B$2:$B$1001,C286)=1,"SSM selected - Verify ID","Missing/Ambiguous SSM"),"Invalid Position")))))))</f>
      </c>
    </row>
    <row r="287">
      <c r="A287" t="str">
        <f>IF(OR(Identity!B287="",Identity!D287=""),"",TRIM(Identity!B287&amp;" "&amp;Identity!C287&amp;" "&amp;Identity!D287))</f>
      </c>
      <c r="D287" t="str">
        <f>IF(A287="","",IF(B287="","Select Position",IF(B287="Vice Director",IF(C287="","Ready - No Head Needed","Clear Head Member"),IF(C287="","Select Head Member",IF(C287=A287,"Invalid - Same Applicant",IF(B287="Senior Sales Manager",IF(COUNTIF(Teams!$A$2:$A$1001,C287)=1,"VD selected - Verify ID","Missing/Ambiguous VD"),IF(B287="Sales Manager",IF(COUNTIF(Teams!$B$2:$B$1001,C287)=1,"SSM selected - Verify ID","Missing/Ambiguous SSM"),"Invalid Position")))))))</f>
      </c>
    </row>
    <row r="288">
      <c r="A288" t="str">
        <f>IF(OR(Identity!B288="",Identity!D288=""),"",TRIM(Identity!B288&amp;" "&amp;Identity!C288&amp;" "&amp;Identity!D288))</f>
      </c>
      <c r="D288" t="str">
        <f>IF(A288="","",IF(B288="","Select Position",IF(B288="Vice Director",IF(C288="","Ready - No Head Needed","Clear Head Member"),IF(C288="","Select Head Member",IF(C288=A288,"Invalid - Same Applicant",IF(B288="Senior Sales Manager",IF(COUNTIF(Teams!$A$2:$A$1001,C288)=1,"VD selected - Verify ID","Missing/Ambiguous VD"),IF(B288="Sales Manager",IF(COUNTIF(Teams!$B$2:$B$1001,C288)=1,"SSM selected - Verify ID","Missing/Ambiguous SSM"),"Invalid Position")))))))</f>
      </c>
    </row>
    <row r="289">
      <c r="A289" t="str">
        <f>IF(OR(Identity!B289="",Identity!D289=""),"",TRIM(Identity!B289&amp;" "&amp;Identity!C289&amp;" "&amp;Identity!D289))</f>
      </c>
      <c r="D289" t="str">
        <f>IF(A289="","",IF(B289="","Select Position",IF(B289="Vice Director",IF(C289="","Ready - No Head Needed","Clear Head Member"),IF(C289="","Select Head Member",IF(C289=A289,"Invalid - Same Applicant",IF(B289="Senior Sales Manager",IF(COUNTIF(Teams!$A$2:$A$1001,C289)=1,"VD selected - Verify ID","Missing/Ambiguous VD"),IF(B289="Sales Manager",IF(COUNTIF(Teams!$B$2:$B$1001,C289)=1,"SSM selected - Verify ID","Missing/Ambiguous SSM"),"Invalid Position")))))))</f>
      </c>
    </row>
    <row r="290">
      <c r="A290" t="str">
        <f>IF(OR(Identity!B290="",Identity!D290=""),"",TRIM(Identity!B290&amp;" "&amp;Identity!C290&amp;" "&amp;Identity!D290))</f>
      </c>
      <c r="D290" t="str">
        <f>IF(A290="","",IF(B290="","Select Position",IF(B290="Vice Director",IF(C290="","Ready - No Head Needed","Clear Head Member"),IF(C290="","Select Head Member",IF(C290=A290,"Invalid - Same Applicant",IF(B290="Senior Sales Manager",IF(COUNTIF(Teams!$A$2:$A$1001,C290)=1,"VD selected - Verify ID","Missing/Ambiguous VD"),IF(B290="Sales Manager",IF(COUNTIF(Teams!$B$2:$B$1001,C290)=1,"SSM selected - Verify ID","Missing/Ambiguous SSM"),"Invalid Position")))))))</f>
      </c>
    </row>
    <row r="291">
      <c r="A291" t="str">
        <f>IF(OR(Identity!B291="",Identity!D291=""),"",TRIM(Identity!B291&amp;" "&amp;Identity!C291&amp;" "&amp;Identity!D291))</f>
      </c>
      <c r="D291" t="str">
        <f>IF(A291="","",IF(B291="","Select Position",IF(B291="Vice Director",IF(C291="","Ready - No Head Needed","Clear Head Member"),IF(C291="","Select Head Member",IF(C291=A291,"Invalid - Same Applicant",IF(B291="Senior Sales Manager",IF(COUNTIF(Teams!$A$2:$A$1001,C291)=1,"VD selected - Verify ID","Missing/Ambiguous VD"),IF(B291="Sales Manager",IF(COUNTIF(Teams!$B$2:$B$1001,C291)=1,"SSM selected - Verify ID","Missing/Ambiguous SSM"),"Invalid Position")))))))</f>
      </c>
    </row>
    <row r="292">
      <c r="A292" t="str">
        <f>IF(OR(Identity!B292="",Identity!D292=""),"",TRIM(Identity!B292&amp;" "&amp;Identity!C292&amp;" "&amp;Identity!D292))</f>
      </c>
      <c r="D292" t="str">
        <f>IF(A292="","",IF(B292="","Select Position",IF(B292="Vice Director",IF(C292="","Ready - No Head Needed","Clear Head Member"),IF(C292="","Select Head Member",IF(C292=A292,"Invalid - Same Applicant",IF(B292="Senior Sales Manager",IF(COUNTIF(Teams!$A$2:$A$1001,C292)=1,"VD selected - Verify ID","Missing/Ambiguous VD"),IF(B292="Sales Manager",IF(COUNTIF(Teams!$B$2:$B$1001,C292)=1,"SSM selected - Verify ID","Missing/Ambiguous SSM"),"Invalid Position")))))))</f>
      </c>
    </row>
    <row r="293">
      <c r="A293" t="str">
        <f>IF(OR(Identity!B293="",Identity!D293=""),"",TRIM(Identity!B293&amp;" "&amp;Identity!C293&amp;" "&amp;Identity!D293))</f>
      </c>
      <c r="D293" t="str">
        <f>IF(A293="","",IF(B293="","Select Position",IF(B293="Vice Director",IF(C293="","Ready - No Head Needed","Clear Head Member"),IF(C293="","Select Head Member",IF(C293=A293,"Invalid - Same Applicant",IF(B293="Senior Sales Manager",IF(COUNTIF(Teams!$A$2:$A$1001,C293)=1,"VD selected - Verify ID","Missing/Ambiguous VD"),IF(B293="Sales Manager",IF(COUNTIF(Teams!$B$2:$B$1001,C293)=1,"SSM selected - Verify ID","Missing/Ambiguous SSM"),"Invalid Position")))))))</f>
      </c>
    </row>
    <row r="294">
      <c r="A294" t="str">
        <f>IF(OR(Identity!B294="",Identity!D294=""),"",TRIM(Identity!B294&amp;" "&amp;Identity!C294&amp;" "&amp;Identity!D294))</f>
      </c>
      <c r="D294" t="str">
        <f>IF(A294="","",IF(B294="","Select Position",IF(B294="Vice Director",IF(C294="","Ready - No Head Needed","Clear Head Member"),IF(C294="","Select Head Member",IF(C294=A294,"Invalid - Same Applicant",IF(B294="Senior Sales Manager",IF(COUNTIF(Teams!$A$2:$A$1001,C294)=1,"VD selected - Verify ID","Missing/Ambiguous VD"),IF(B294="Sales Manager",IF(COUNTIF(Teams!$B$2:$B$1001,C294)=1,"SSM selected - Verify ID","Missing/Ambiguous SSM"),"Invalid Position")))))))</f>
      </c>
    </row>
    <row r="295">
      <c r="A295" t="str">
        <f>IF(OR(Identity!B295="",Identity!D295=""),"",TRIM(Identity!B295&amp;" "&amp;Identity!C295&amp;" "&amp;Identity!D295))</f>
      </c>
      <c r="D295" t="str">
        <f>IF(A295="","",IF(B295="","Select Position",IF(B295="Vice Director",IF(C295="","Ready - No Head Needed","Clear Head Member"),IF(C295="","Select Head Member",IF(C295=A295,"Invalid - Same Applicant",IF(B295="Senior Sales Manager",IF(COUNTIF(Teams!$A$2:$A$1001,C295)=1,"VD selected - Verify ID","Missing/Ambiguous VD"),IF(B295="Sales Manager",IF(COUNTIF(Teams!$B$2:$B$1001,C295)=1,"SSM selected - Verify ID","Missing/Ambiguous SSM"),"Invalid Position")))))))</f>
      </c>
    </row>
    <row r="296">
      <c r="A296" t="str">
        <f>IF(OR(Identity!B296="",Identity!D296=""),"",TRIM(Identity!B296&amp;" "&amp;Identity!C296&amp;" "&amp;Identity!D296))</f>
      </c>
      <c r="D296" t="str">
        <f>IF(A296="","",IF(B296="","Select Position",IF(B296="Vice Director",IF(C296="","Ready - No Head Needed","Clear Head Member"),IF(C296="","Select Head Member",IF(C296=A296,"Invalid - Same Applicant",IF(B296="Senior Sales Manager",IF(COUNTIF(Teams!$A$2:$A$1001,C296)=1,"VD selected - Verify ID","Missing/Ambiguous VD"),IF(B296="Sales Manager",IF(COUNTIF(Teams!$B$2:$B$1001,C296)=1,"SSM selected - Verify ID","Missing/Ambiguous SSM"),"Invalid Position")))))))</f>
      </c>
    </row>
    <row r="297">
      <c r="A297" t="str">
        <f>IF(OR(Identity!B297="",Identity!D297=""),"",TRIM(Identity!B297&amp;" "&amp;Identity!C297&amp;" "&amp;Identity!D297))</f>
      </c>
      <c r="D297" t="str">
        <f>IF(A297="","",IF(B297="","Select Position",IF(B297="Vice Director",IF(C297="","Ready - No Head Needed","Clear Head Member"),IF(C297="","Select Head Member",IF(C297=A297,"Invalid - Same Applicant",IF(B297="Senior Sales Manager",IF(COUNTIF(Teams!$A$2:$A$1001,C297)=1,"VD selected - Verify ID","Missing/Ambiguous VD"),IF(B297="Sales Manager",IF(COUNTIF(Teams!$B$2:$B$1001,C297)=1,"SSM selected - Verify ID","Missing/Ambiguous SSM"),"Invalid Position")))))))</f>
      </c>
    </row>
    <row r="298">
      <c r="A298" t="str">
        <f>IF(OR(Identity!B298="",Identity!D298=""),"",TRIM(Identity!B298&amp;" "&amp;Identity!C298&amp;" "&amp;Identity!D298))</f>
      </c>
      <c r="D298" t="str">
        <f>IF(A298="","",IF(B298="","Select Position",IF(B298="Vice Director",IF(C298="","Ready - No Head Needed","Clear Head Member"),IF(C298="","Select Head Member",IF(C298=A298,"Invalid - Same Applicant",IF(B298="Senior Sales Manager",IF(COUNTIF(Teams!$A$2:$A$1001,C298)=1,"VD selected - Verify ID","Missing/Ambiguous VD"),IF(B298="Sales Manager",IF(COUNTIF(Teams!$B$2:$B$1001,C298)=1,"SSM selected - Verify ID","Missing/Ambiguous SSM"),"Invalid Position")))))))</f>
      </c>
    </row>
    <row r="299">
      <c r="A299" t="str">
        <f>IF(OR(Identity!B299="",Identity!D299=""),"",TRIM(Identity!B299&amp;" "&amp;Identity!C299&amp;" "&amp;Identity!D299))</f>
      </c>
      <c r="D299" t="str">
        <f>IF(A299="","",IF(B299="","Select Position",IF(B299="Vice Director",IF(C299="","Ready - No Head Needed","Clear Head Member"),IF(C299="","Select Head Member",IF(C299=A299,"Invalid - Same Applicant",IF(B299="Senior Sales Manager",IF(COUNTIF(Teams!$A$2:$A$1001,C299)=1,"VD selected - Verify ID","Missing/Ambiguous VD"),IF(B299="Sales Manager",IF(COUNTIF(Teams!$B$2:$B$1001,C299)=1,"SSM selected - Verify ID","Missing/Ambiguous SSM"),"Invalid Position")))))))</f>
      </c>
    </row>
    <row r="300">
      <c r="A300" t="str">
        <f>IF(OR(Identity!B300="",Identity!D300=""),"",TRIM(Identity!B300&amp;" "&amp;Identity!C300&amp;" "&amp;Identity!D300))</f>
      </c>
      <c r="D300" t="str">
        <f>IF(A300="","",IF(B300="","Select Position",IF(B300="Vice Director",IF(C300="","Ready - No Head Needed","Clear Head Member"),IF(C300="","Select Head Member",IF(C300=A300,"Invalid - Same Applicant",IF(B300="Senior Sales Manager",IF(COUNTIF(Teams!$A$2:$A$1001,C300)=1,"VD selected - Verify ID","Missing/Ambiguous VD"),IF(B300="Sales Manager",IF(COUNTIF(Teams!$B$2:$B$1001,C300)=1,"SSM selected - Verify ID","Missing/Ambiguous SSM"),"Invalid Position")))))))</f>
      </c>
    </row>
    <row r="301">
      <c r="A301" t="str">
        <f>IF(OR(Identity!B301="",Identity!D301=""),"",TRIM(Identity!B301&amp;" "&amp;Identity!C301&amp;" "&amp;Identity!D301))</f>
      </c>
      <c r="D301" t="str">
        <f>IF(A301="","",IF(B301="","Select Position",IF(B301="Vice Director",IF(C301="","Ready - No Head Needed","Clear Head Member"),IF(C301="","Select Head Member",IF(C301=A301,"Invalid - Same Applicant",IF(B301="Senior Sales Manager",IF(COUNTIF(Teams!$A$2:$A$1001,C301)=1,"VD selected - Verify ID","Missing/Ambiguous VD"),IF(B301="Sales Manager",IF(COUNTIF(Teams!$B$2:$B$1001,C301)=1,"SSM selected - Verify ID","Missing/Ambiguous SSM"),"Invalid Position")))))))</f>
      </c>
    </row>
    <row r="302">
      <c r="A302" t="str">
        <f>IF(OR(Identity!B302="",Identity!D302=""),"",TRIM(Identity!B302&amp;" "&amp;Identity!C302&amp;" "&amp;Identity!D302))</f>
      </c>
      <c r="D302" t="str">
        <f>IF(A302="","",IF(B302="","Select Position",IF(B302="Vice Director",IF(C302="","Ready - No Head Needed","Clear Head Member"),IF(C302="","Select Head Member",IF(C302=A302,"Invalid - Same Applicant",IF(B302="Senior Sales Manager",IF(COUNTIF(Teams!$A$2:$A$1001,C302)=1,"VD selected - Verify ID","Missing/Ambiguous VD"),IF(B302="Sales Manager",IF(COUNTIF(Teams!$B$2:$B$1001,C302)=1,"SSM selected - Verify ID","Missing/Ambiguous SSM"),"Invalid Position")))))))</f>
      </c>
    </row>
    <row r="303">
      <c r="A303" t="str">
        <f>IF(OR(Identity!B303="",Identity!D303=""),"",TRIM(Identity!B303&amp;" "&amp;Identity!C303&amp;" "&amp;Identity!D303))</f>
      </c>
      <c r="D303" t="str">
        <f>IF(A303="","",IF(B303="","Select Position",IF(B303="Vice Director",IF(C303="","Ready - No Head Needed","Clear Head Member"),IF(C303="","Select Head Member",IF(C303=A303,"Invalid - Same Applicant",IF(B303="Senior Sales Manager",IF(COUNTIF(Teams!$A$2:$A$1001,C303)=1,"VD selected - Verify ID","Missing/Ambiguous VD"),IF(B303="Sales Manager",IF(COUNTIF(Teams!$B$2:$B$1001,C303)=1,"SSM selected - Verify ID","Missing/Ambiguous SSM"),"Invalid Position")))))))</f>
      </c>
    </row>
    <row r="304">
      <c r="A304" t="str">
        <f>IF(OR(Identity!B304="",Identity!D304=""),"",TRIM(Identity!B304&amp;" "&amp;Identity!C304&amp;" "&amp;Identity!D304))</f>
      </c>
      <c r="D304" t="str">
        <f>IF(A304="","",IF(B304="","Select Position",IF(B304="Vice Director",IF(C304="","Ready - No Head Needed","Clear Head Member"),IF(C304="","Select Head Member",IF(C304=A304,"Invalid - Same Applicant",IF(B304="Senior Sales Manager",IF(COUNTIF(Teams!$A$2:$A$1001,C304)=1,"VD selected - Verify ID","Missing/Ambiguous VD"),IF(B304="Sales Manager",IF(COUNTIF(Teams!$B$2:$B$1001,C304)=1,"SSM selected - Verify ID","Missing/Ambiguous SSM"),"Invalid Position")))))))</f>
      </c>
    </row>
    <row r="305">
      <c r="A305" t="str">
        <f>IF(OR(Identity!B305="",Identity!D305=""),"",TRIM(Identity!B305&amp;" "&amp;Identity!C305&amp;" "&amp;Identity!D305))</f>
      </c>
      <c r="D305" t="str">
        <f>IF(A305="","",IF(B305="","Select Position",IF(B305="Vice Director",IF(C305="","Ready - No Head Needed","Clear Head Member"),IF(C305="","Select Head Member",IF(C305=A305,"Invalid - Same Applicant",IF(B305="Senior Sales Manager",IF(COUNTIF(Teams!$A$2:$A$1001,C305)=1,"VD selected - Verify ID","Missing/Ambiguous VD"),IF(B305="Sales Manager",IF(COUNTIF(Teams!$B$2:$B$1001,C305)=1,"SSM selected - Verify ID","Missing/Ambiguous SSM"),"Invalid Position")))))))</f>
      </c>
    </row>
    <row r="306">
      <c r="A306" t="str">
        <f>IF(OR(Identity!B306="",Identity!D306=""),"",TRIM(Identity!B306&amp;" "&amp;Identity!C306&amp;" "&amp;Identity!D306))</f>
      </c>
      <c r="D306" t="str">
        <f>IF(A306="","",IF(B306="","Select Position",IF(B306="Vice Director",IF(C306="","Ready - No Head Needed","Clear Head Member"),IF(C306="","Select Head Member",IF(C306=A306,"Invalid - Same Applicant",IF(B306="Senior Sales Manager",IF(COUNTIF(Teams!$A$2:$A$1001,C306)=1,"VD selected - Verify ID","Missing/Ambiguous VD"),IF(B306="Sales Manager",IF(COUNTIF(Teams!$B$2:$B$1001,C306)=1,"SSM selected - Verify ID","Missing/Ambiguous SSM"),"Invalid Position")))))))</f>
      </c>
    </row>
    <row r="307">
      <c r="A307" t="str">
        <f>IF(OR(Identity!B307="",Identity!D307=""),"",TRIM(Identity!B307&amp;" "&amp;Identity!C307&amp;" "&amp;Identity!D307))</f>
      </c>
      <c r="D307" t="str">
        <f>IF(A307="","",IF(B307="","Select Position",IF(B307="Vice Director",IF(C307="","Ready - No Head Needed","Clear Head Member"),IF(C307="","Select Head Member",IF(C307=A307,"Invalid - Same Applicant",IF(B307="Senior Sales Manager",IF(COUNTIF(Teams!$A$2:$A$1001,C307)=1,"VD selected - Verify ID","Missing/Ambiguous VD"),IF(B307="Sales Manager",IF(COUNTIF(Teams!$B$2:$B$1001,C307)=1,"SSM selected - Verify ID","Missing/Ambiguous SSM"),"Invalid Position")))))))</f>
      </c>
    </row>
    <row r="308">
      <c r="A308" t="str">
        <f>IF(OR(Identity!B308="",Identity!D308=""),"",TRIM(Identity!B308&amp;" "&amp;Identity!C308&amp;" "&amp;Identity!D308))</f>
      </c>
      <c r="D308" t="str">
        <f>IF(A308="","",IF(B308="","Select Position",IF(B308="Vice Director",IF(C308="","Ready - No Head Needed","Clear Head Member"),IF(C308="","Select Head Member",IF(C308=A308,"Invalid - Same Applicant",IF(B308="Senior Sales Manager",IF(COUNTIF(Teams!$A$2:$A$1001,C308)=1,"VD selected - Verify ID","Missing/Ambiguous VD"),IF(B308="Sales Manager",IF(COUNTIF(Teams!$B$2:$B$1001,C308)=1,"SSM selected - Verify ID","Missing/Ambiguous SSM"),"Invalid Position")))))))</f>
      </c>
    </row>
    <row r="309">
      <c r="A309" t="str">
        <f>IF(OR(Identity!B309="",Identity!D309=""),"",TRIM(Identity!B309&amp;" "&amp;Identity!C309&amp;" "&amp;Identity!D309))</f>
      </c>
      <c r="D309" t="str">
        <f>IF(A309="","",IF(B309="","Select Position",IF(B309="Vice Director",IF(C309="","Ready - No Head Needed","Clear Head Member"),IF(C309="","Select Head Member",IF(C309=A309,"Invalid - Same Applicant",IF(B309="Senior Sales Manager",IF(COUNTIF(Teams!$A$2:$A$1001,C309)=1,"VD selected - Verify ID","Missing/Ambiguous VD"),IF(B309="Sales Manager",IF(COUNTIF(Teams!$B$2:$B$1001,C309)=1,"SSM selected - Verify ID","Missing/Ambiguous SSM"),"Invalid Position")))))))</f>
      </c>
    </row>
    <row r="310">
      <c r="A310" t="str">
        <f>IF(OR(Identity!B310="",Identity!D310=""),"",TRIM(Identity!B310&amp;" "&amp;Identity!C310&amp;" "&amp;Identity!D310))</f>
      </c>
      <c r="D310" t="str">
        <f>IF(A310="","",IF(B310="","Select Position",IF(B310="Vice Director",IF(C310="","Ready - No Head Needed","Clear Head Member"),IF(C310="","Select Head Member",IF(C310=A310,"Invalid - Same Applicant",IF(B310="Senior Sales Manager",IF(COUNTIF(Teams!$A$2:$A$1001,C310)=1,"VD selected - Verify ID","Missing/Ambiguous VD"),IF(B310="Sales Manager",IF(COUNTIF(Teams!$B$2:$B$1001,C310)=1,"SSM selected - Verify ID","Missing/Ambiguous SSM"),"Invalid Position")))))))</f>
      </c>
    </row>
    <row r="311">
      <c r="A311" t="str">
        <f>IF(OR(Identity!B311="",Identity!D311=""),"",TRIM(Identity!B311&amp;" "&amp;Identity!C311&amp;" "&amp;Identity!D311))</f>
      </c>
      <c r="D311" t="str">
        <f>IF(A311="","",IF(B311="","Select Position",IF(B311="Vice Director",IF(C311="","Ready - No Head Needed","Clear Head Member"),IF(C311="","Select Head Member",IF(C311=A311,"Invalid - Same Applicant",IF(B311="Senior Sales Manager",IF(COUNTIF(Teams!$A$2:$A$1001,C311)=1,"VD selected - Verify ID","Missing/Ambiguous VD"),IF(B311="Sales Manager",IF(COUNTIF(Teams!$B$2:$B$1001,C311)=1,"SSM selected - Verify ID","Missing/Ambiguous SSM"),"Invalid Position")))))))</f>
      </c>
    </row>
    <row r="312">
      <c r="A312" t="str">
        <f>IF(OR(Identity!B312="",Identity!D312=""),"",TRIM(Identity!B312&amp;" "&amp;Identity!C312&amp;" "&amp;Identity!D312))</f>
      </c>
      <c r="D312" t="str">
        <f>IF(A312="","",IF(B312="","Select Position",IF(B312="Vice Director",IF(C312="","Ready - No Head Needed","Clear Head Member"),IF(C312="","Select Head Member",IF(C312=A312,"Invalid - Same Applicant",IF(B312="Senior Sales Manager",IF(COUNTIF(Teams!$A$2:$A$1001,C312)=1,"VD selected - Verify ID","Missing/Ambiguous VD"),IF(B312="Sales Manager",IF(COUNTIF(Teams!$B$2:$B$1001,C312)=1,"SSM selected - Verify ID","Missing/Ambiguous SSM"),"Invalid Position")))))))</f>
      </c>
    </row>
    <row r="313">
      <c r="A313" t="str">
        <f>IF(OR(Identity!B313="",Identity!D313=""),"",TRIM(Identity!B313&amp;" "&amp;Identity!C313&amp;" "&amp;Identity!D313))</f>
      </c>
      <c r="D313" t="str">
        <f>IF(A313="","",IF(B313="","Select Position",IF(B313="Vice Director",IF(C313="","Ready - No Head Needed","Clear Head Member"),IF(C313="","Select Head Member",IF(C313=A313,"Invalid - Same Applicant",IF(B313="Senior Sales Manager",IF(COUNTIF(Teams!$A$2:$A$1001,C313)=1,"VD selected - Verify ID","Missing/Ambiguous VD"),IF(B313="Sales Manager",IF(COUNTIF(Teams!$B$2:$B$1001,C313)=1,"SSM selected - Verify ID","Missing/Ambiguous SSM"),"Invalid Position")))))))</f>
      </c>
    </row>
    <row r="314">
      <c r="A314" t="str">
        <f>IF(OR(Identity!B314="",Identity!D314=""),"",TRIM(Identity!B314&amp;" "&amp;Identity!C314&amp;" "&amp;Identity!D314))</f>
      </c>
      <c r="D314" t="str">
        <f>IF(A314="","",IF(B314="","Select Position",IF(B314="Vice Director",IF(C314="","Ready - No Head Needed","Clear Head Member"),IF(C314="","Select Head Member",IF(C314=A314,"Invalid - Same Applicant",IF(B314="Senior Sales Manager",IF(COUNTIF(Teams!$A$2:$A$1001,C314)=1,"VD selected - Verify ID","Missing/Ambiguous VD"),IF(B314="Sales Manager",IF(COUNTIF(Teams!$B$2:$B$1001,C314)=1,"SSM selected - Verify ID","Missing/Ambiguous SSM"),"Invalid Position")))))))</f>
      </c>
    </row>
    <row r="315">
      <c r="A315" t="str">
        <f>IF(OR(Identity!B315="",Identity!D315=""),"",TRIM(Identity!B315&amp;" "&amp;Identity!C315&amp;" "&amp;Identity!D315))</f>
      </c>
      <c r="D315" t="str">
        <f>IF(A315="","",IF(B315="","Select Position",IF(B315="Vice Director",IF(C315="","Ready - No Head Needed","Clear Head Member"),IF(C315="","Select Head Member",IF(C315=A315,"Invalid - Same Applicant",IF(B315="Senior Sales Manager",IF(COUNTIF(Teams!$A$2:$A$1001,C315)=1,"VD selected - Verify ID","Missing/Ambiguous VD"),IF(B315="Sales Manager",IF(COUNTIF(Teams!$B$2:$B$1001,C315)=1,"SSM selected - Verify ID","Missing/Ambiguous SSM"),"Invalid Position")))))))</f>
      </c>
    </row>
    <row r="316">
      <c r="A316" t="str">
        <f>IF(OR(Identity!B316="",Identity!D316=""),"",TRIM(Identity!B316&amp;" "&amp;Identity!C316&amp;" "&amp;Identity!D316))</f>
      </c>
      <c r="D316" t="str">
        <f>IF(A316="","",IF(B316="","Select Position",IF(B316="Vice Director",IF(C316="","Ready - No Head Needed","Clear Head Member"),IF(C316="","Select Head Member",IF(C316=A316,"Invalid - Same Applicant",IF(B316="Senior Sales Manager",IF(COUNTIF(Teams!$A$2:$A$1001,C316)=1,"VD selected - Verify ID","Missing/Ambiguous VD"),IF(B316="Sales Manager",IF(COUNTIF(Teams!$B$2:$B$1001,C316)=1,"SSM selected - Verify ID","Missing/Ambiguous SSM"),"Invalid Position")))))))</f>
      </c>
    </row>
    <row r="317">
      <c r="A317" t="str">
        <f>IF(OR(Identity!B317="",Identity!D317=""),"",TRIM(Identity!B317&amp;" "&amp;Identity!C317&amp;" "&amp;Identity!D317))</f>
      </c>
      <c r="D317" t="str">
        <f>IF(A317="","",IF(B317="","Select Position",IF(B317="Vice Director",IF(C317="","Ready - No Head Needed","Clear Head Member"),IF(C317="","Select Head Member",IF(C317=A317,"Invalid - Same Applicant",IF(B317="Senior Sales Manager",IF(COUNTIF(Teams!$A$2:$A$1001,C317)=1,"VD selected - Verify ID","Missing/Ambiguous VD"),IF(B317="Sales Manager",IF(COUNTIF(Teams!$B$2:$B$1001,C317)=1,"SSM selected - Verify ID","Missing/Ambiguous SSM"),"Invalid Position")))))))</f>
      </c>
    </row>
    <row r="318">
      <c r="A318" t="str">
        <f>IF(OR(Identity!B318="",Identity!D318=""),"",TRIM(Identity!B318&amp;" "&amp;Identity!C318&amp;" "&amp;Identity!D318))</f>
      </c>
      <c r="D318" t="str">
        <f>IF(A318="","",IF(B318="","Select Position",IF(B318="Vice Director",IF(C318="","Ready - No Head Needed","Clear Head Member"),IF(C318="","Select Head Member",IF(C318=A318,"Invalid - Same Applicant",IF(B318="Senior Sales Manager",IF(COUNTIF(Teams!$A$2:$A$1001,C318)=1,"VD selected - Verify ID","Missing/Ambiguous VD"),IF(B318="Sales Manager",IF(COUNTIF(Teams!$B$2:$B$1001,C318)=1,"SSM selected - Verify ID","Missing/Ambiguous SSM"),"Invalid Position")))))))</f>
      </c>
    </row>
    <row r="319">
      <c r="A319" t="str">
        <f>IF(OR(Identity!B319="",Identity!D319=""),"",TRIM(Identity!B319&amp;" "&amp;Identity!C319&amp;" "&amp;Identity!D319))</f>
      </c>
      <c r="D319" t="str">
        <f>IF(A319="","",IF(B319="","Select Position",IF(B319="Vice Director",IF(C319="","Ready - No Head Needed","Clear Head Member"),IF(C319="","Select Head Member",IF(C319=A319,"Invalid - Same Applicant",IF(B319="Senior Sales Manager",IF(COUNTIF(Teams!$A$2:$A$1001,C319)=1,"VD selected - Verify ID","Missing/Ambiguous VD"),IF(B319="Sales Manager",IF(COUNTIF(Teams!$B$2:$B$1001,C319)=1,"SSM selected - Verify ID","Missing/Ambiguous SSM"),"Invalid Position")))))))</f>
      </c>
    </row>
    <row r="320">
      <c r="A320" t="str">
        <f>IF(OR(Identity!B320="",Identity!D320=""),"",TRIM(Identity!B320&amp;" "&amp;Identity!C320&amp;" "&amp;Identity!D320))</f>
      </c>
      <c r="D320" t="str">
        <f>IF(A320="","",IF(B320="","Select Position",IF(B320="Vice Director",IF(C320="","Ready - No Head Needed","Clear Head Member"),IF(C320="","Select Head Member",IF(C320=A320,"Invalid - Same Applicant",IF(B320="Senior Sales Manager",IF(COUNTIF(Teams!$A$2:$A$1001,C320)=1,"VD selected - Verify ID","Missing/Ambiguous VD"),IF(B320="Sales Manager",IF(COUNTIF(Teams!$B$2:$B$1001,C320)=1,"SSM selected - Verify ID","Missing/Ambiguous SSM"),"Invalid Position")))))))</f>
      </c>
    </row>
    <row r="321">
      <c r="A321" t="str">
        <f>IF(OR(Identity!B321="",Identity!D321=""),"",TRIM(Identity!B321&amp;" "&amp;Identity!C321&amp;" "&amp;Identity!D321))</f>
      </c>
      <c r="D321" t="str">
        <f>IF(A321="","",IF(B321="","Select Position",IF(B321="Vice Director",IF(C321="","Ready - No Head Needed","Clear Head Member"),IF(C321="","Select Head Member",IF(C321=A321,"Invalid - Same Applicant",IF(B321="Senior Sales Manager",IF(COUNTIF(Teams!$A$2:$A$1001,C321)=1,"VD selected - Verify ID","Missing/Ambiguous VD"),IF(B321="Sales Manager",IF(COUNTIF(Teams!$B$2:$B$1001,C321)=1,"SSM selected - Verify ID","Missing/Ambiguous SSM"),"Invalid Position")))))))</f>
      </c>
    </row>
    <row r="322">
      <c r="A322" t="str">
        <f>IF(OR(Identity!B322="",Identity!D322=""),"",TRIM(Identity!B322&amp;" "&amp;Identity!C322&amp;" "&amp;Identity!D322))</f>
      </c>
      <c r="D322" t="str">
        <f>IF(A322="","",IF(B322="","Select Position",IF(B322="Vice Director",IF(C322="","Ready - No Head Needed","Clear Head Member"),IF(C322="","Select Head Member",IF(C322=A322,"Invalid - Same Applicant",IF(B322="Senior Sales Manager",IF(COUNTIF(Teams!$A$2:$A$1001,C322)=1,"VD selected - Verify ID","Missing/Ambiguous VD"),IF(B322="Sales Manager",IF(COUNTIF(Teams!$B$2:$B$1001,C322)=1,"SSM selected - Verify ID","Missing/Ambiguous SSM"),"Invalid Position")))))))</f>
      </c>
    </row>
    <row r="323">
      <c r="A323" t="str">
        <f>IF(OR(Identity!B323="",Identity!D323=""),"",TRIM(Identity!B323&amp;" "&amp;Identity!C323&amp;" "&amp;Identity!D323))</f>
      </c>
      <c r="D323" t="str">
        <f>IF(A323="","",IF(B323="","Select Position",IF(B323="Vice Director",IF(C323="","Ready - No Head Needed","Clear Head Member"),IF(C323="","Select Head Member",IF(C323=A323,"Invalid - Same Applicant",IF(B323="Senior Sales Manager",IF(COUNTIF(Teams!$A$2:$A$1001,C323)=1,"VD selected - Verify ID","Missing/Ambiguous VD"),IF(B323="Sales Manager",IF(COUNTIF(Teams!$B$2:$B$1001,C323)=1,"SSM selected - Verify ID","Missing/Ambiguous SSM"),"Invalid Position")))))))</f>
      </c>
    </row>
    <row r="324">
      <c r="A324" t="str">
        <f>IF(OR(Identity!B324="",Identity!D324=""),"",TRIM(Identity!B324&amp;" "&amp;Identity!C324&amp;" "&amp;Identity!D324))</f>
      </c>
      <c r="D324" t="str">
        <f>IF(A324="","",IF(B324="","Select Position",IF(B324="Vice Director",IF(C324="","Ready - No Head Needed","Clear Head Member"),IF(C324="","Select Head Member",IF(C324=A324,"Invalid - Same Applicant",IF(B324="Senior Sales Manager",IF(COUNTIF(Teams!$A$2:$A$1001,C324)=1,"VD selected - Verify ID","Missing/Ambiguous VD"),IF(B324="Sales Manager",IF(COUNTIF(Teams!$B$2:$B$1001,C324)=1,"SSM selected - Verify ID","Missing/Ambiguous SSM"),"Invalid Position")))))))</f>
      </c>
    </row>
    <row r="325">
      <c r="A325" t="str">
        <f>IF(OR(Identity!B325="",Identity!D325=""),"",TRIM(Identity!B325&amp;" "&amp;Identity!C325&amp;" "&amp;Identity!D325))</f>
      </c>
      <c r="D325" t="str">
        <f>IF(A325="","",IF(B325="","Select Position",IF(B325="Vice Director",IF(C325="","Ready - No Head Needed","Clear Head Member"),IF(C325="","Select Head Member",IF(C325=A325,"Invalid - Same Applicant",IF(B325="Senior Sales Manager",IF(COUNTIF(Teams!$A$2:$A$1001,C325)=1,"VD selected - Verify ID","Missing/Ambiguous VD"),IF(B325="Sales Manager",IF(COUNTIF(Teams!$B$2:$B$1001,C325)=1,"SSM selected - Verify ID","Missing/Ambiguous SSM"),"Invalid Position")))))))</f>
      </c>
    </row>
    <row r="326">
      <c r="A326" t="str">
        <f>IF(OR(Identity!B326="",Identity!D326=""),"",TRIM(Identity!B326&amp;" "&amp;Identity!C326&amp;" "&amp;Identity!D326))</f>
      </c>
      <c r="D326" t="str">
        <f>IF(A326="","",IF(B326="","Select Position",IF(B326="Vice Director",IF(C326="","Ready - No Head Needed","Clear Head Member"),IF(C326="","Select Head Member",IF(C326=A326,"Invalid - Same Applicant",IF(B326="Senior Sales Manager",IF(COUNTIF(Teams!$A$2:$A$1001,C326)=1,"VD selected - Verify ID","Missing/Ambiguous VD"),IF(B326="Sales Manager",IF(COUNTIF(Teams!$B$2:$B$1001,C326)=1,"SSM selected - Verify ID","Missing/Ambiguous SSM"),"Invalid Position")))))))</f>
      </c>
    </row>
    <row r="327">
      <c r="A327" t="str">
        <f>IF(OR(Identity!B327="",Identity!D327=""),"",TRIM(Identity!B327&amp;" "&amp;Identity!C327&amp;" "&amp;Identity!D327))</f>
      </c>
      <c r="D327" t="str">
        <f>IF(A327="","",IF(B327="","Select Position",IF(B327="Vice Director",IF(C327="","Ready - No Head Needed","Clear Head Member"),IF(C327="","Select Head Member",IF(C327=A327,"Invalid - Same Applicant",IF(B327="Senior Sales Manager",IF(COUNTIF(Teams!$A$2:$A$1001,C327)=1,"VD selected - Verify ID","Missing/Ambiguous VD"),IF(B327="Sales Manager",IF(COUNTIF(Teams!$B$2:$B$1001,C327)=1,"SSM selected - Verify ID","Missing/Ambiguous SSM"),"Invalid Position")))))))</f>
      </c>
    </row>
    <row r="328">
      <c r="A328" t="str">
        <f>IF(OR(Identity!B328="",Identity!D328=""),"",TRIM(Identity!B328&amp;" "&amp;Identity!C328&amp;" "&amp;Identity!D328))</f>
      </c>
      <c r="D328" t="str">
        <f>IF(A328="","",IF(B328="","Select Position",IF(B328="Vice Director",IF(C328="","Ready - No Head Needed","Clear Head Member"),IF(C328="","Select Head Member",IF(C328=A328,"Invalid - Same Applicant",IF(B328="Senior Sales Manager",IF(COUNTIF(Teams!$A$2:$A$1001,C328)=1,"VD selected - Verify ID","Missing/Ambiguous VD"),IF(B328="Sales Manager",IF(COUNTIF(Teams!$B$2:$B$1001,C328)=1,"SSM selected - Verify ID","Missing/Ambiguous SSM"),"Invalid Position")))))))</f>
      </c>
    </row>
    <row r="329">
      <c r="A329" t="str">
        <f>IF(OR(Identity!B329="",Identity!D329=""),"",TRIM(Identity!B329&amp;" "&amp;Identity!C329&amp;" "&amp;Identity!D329))</f>
      </c>
      <c r="D329" t="str">
        <f>IF(A329="","",IF(B329="","Select Position",IF(B329="Vice Director",IF(C329="","Ready - No Head Needed","Clear Head Member"),IF(C329="","Select Head Member",IF(C329=A329,"Invalid - Same Applicant",IF(B329="Senior Sales Manager",IF(COUNTIF(Teams!$A$2:$A$1001,C329)=1,"VD selected - Verify ID","Missing/Ambiguous VD"),IF(B329="Sales Manager",IF(COUNTIF(Teams!$B$2:$B$1001,C329)=1,"SSM selected - Verify ID","Missing/Ambiguous SSM"),"Invalid Position")))))))</f>
      </c>
    </row>
    <row r="330">
      <c r="A330" t="str">
        <f>IF(OR(Identity!B330="",Identity!D330=""),"",TRIM(Identity!B330&amp;" "&amp;Identity!C330&amp;" "&amp;Identity!D330))</f>
      </c>
      <c r="D330" t="str">
        <f>IF(A330="","",IF(B330="","Select Position",IF(B330="Vice Director",IF(C330="","Ready - No Head Needed","Clear Head Member"),IF(C330="","Select Head Member",IF(C330=A330,"Invalid - Same Applicant",IF(B330="Senior Sales Manager",IF(COUNTIF(Teams!$A$2:$A$1001,C330)=1,"VD selected - Verify ID","Missing/Ambiguous VD"),IF(B330="Sales Manager",IF(COUNTIF(Teams!$B$2:$B$1001,C330)=1,"SSM selected - Verify ID","Missing/Ambiguous SSM"),"Invalid Position")))))))</f>
      </c>
    </row>
    <row r="331">
      <c r="A331" t="str">
        <f>IF(OR(Identity!B331="",Identity!D331=""),"",TRIM(Identity!B331&amp;" "&amp;Identity!C331&amp;" "&amp;Identity!D331))</f>
      </c>
      <c r="D331" t="str">
        <f>IF(A331="","",IF(B331="","Select Position",IF(B331="Vice Director",IF(C331="","Ready - No Head Needed","Clear Head Member"),IF(C331="","Select Head Member",IF(C331=A331,"Invalid - Same Applicant",IF(B331="Senior Sales Manager",IF(COUNTIF(Teams!$A$2:$A$1001,C331)=1,"VD selected - Verify ID","Missing/Ambiguous VD"),IF(B331="Sales Manager",IF(COUNTIF(Teams!$B$2:$B$1001,C331)=1,"SSM selected - Verify ID","Missing/Ambiguous SSM"),"Invalid Position")))))))</f>
      </c>
    </row>
    <row r="332">
      <c r="A332" t="str">
        <f>IF(OR(Identity!B332="",Identity!D332=""),"",TRIM(Identity!B332&amp;" "&amp;Identity!C332&amp;" "&amp;Identity!D332))</f>
      </c>
      <c r="D332" t="str">
        <f>IF(A332="","",IF(B332="","Select Position",IF(B332="Vice Director",IF(C332="","Ready - No Head Needed","Clear Head Member"),IF(C332="","Select Head Member",IF(C332=A332,"Invalid - Same Applicant",IF(B332="Senior Sales Manager",IF(COUNTIF(Teams!$A$2:$A$1001,C332)=1,"VD selected - Verify ID","Missing/Ambiguous VD"),IF(B332="Sales Manager",IF(COUNTIF(Teams!$B$2:$B$1001,C332)=1,"SSM selected - Verify ID","Missing/Ambiguous SSM"),"Invalid Position")))))))</f>
      </c>
    </row>
    <row r="333">
      <c r="A333" t="str">
        <f>IF(OR(Identity!B333="",Identity!D333=""),"",TRIM(Identity!B333&amp;" "&amp;Identity!C333&amp;" "&amp;Identity!D333))</f>
      </c>
      <c r="D333" t="str">
        <f>IF(A333="","",IF(B333="","Select Position",IF(B333="Vice Director",IF(C333="","Ready - No Head Needed","Clear Head Member"),IF(C333="","Select Head Member",IF(C333=A333,"Invalid - Same Applicant",IF(B333="Senior Sales Manager",IF(COUNTIF(Teams!$A$2:$A$1001,C333)=1,"VD selected - Verify ID","Missing/Ambiguous VD"),IF(B333="Sales Manager",IF(COUNTIF(Teams!$B$2:$B$1001,C333)=1,"SSM selected - Verify ID","Missing/Ambiguous SSM"),"Invalid Position")))))))</f>
      </c>
    </row>
    <row r="334">
      <c r="A334" t="str">
        <f>IF(OR(Identity!B334="",Identity!D334=""),"",TRIM(Identity!B334&amp;" "&amp;Identity!C334&amp;" "&amp;Identity!D334))</f>
      </c>
      <c r="D334" t="str">
        <f>IF(A334="","",IF(B334="","Select Position",IF(B334="Vice Director",IF(C334="","Ready - No Head Needed","Clear Head Member"),IF(C334="","Select Head Member",IF(C334=A334,"Invalid - Same Applicant",IF(B334="Senior Sales Manager",IF(COUNTIF(Teams!$A$2:$A$1001,C334)=1,"VD selected - Verify ID","Missing/Ambiguous VD"),IF(B334="Sales Manager",IF(COUNTIF(Teams!$B$2:$B$1001,C334)=1,"SSM selected - Verify ID","Missing/Ambiguous SSM"),"Invalid Position")))))))</f>
      </c>
    </row>
    <row r="335">
      <c r="A335" t="str">
        <f>IF(OR(Identity!B335="",Identity!D335=""),"",TRIM(Identity!B335&amp;" "&amp;Identity!C335&amp;" "&amp;Identity!D335))</f>
      </c>
      <c r="D335" t="str">
        <f>IF(A335="","",IF(B335="","Select Position",IF(B335="Vice Director",IF(C335="","Ready - No Head Needed","Clear Head Member"),IF(C335="","Select Head Member",IF(C335=A335,"Invalid - Same Applicant",IF(B335="Senior Sales Manager",IF(COUNTIF(Teams!$A$2:$A$1001,C335)=1,"VD selected - Verify ID","Missing/Ambiguous VD"),IF(B335="Sales Manager",IF(COUNTIF(Teams!$B$2:$B$1001,C335)=1,"SSM selected - Verify ID","Missing/Ambiguous SSM"),"Invalid Position")))))))</f>
      </c>
    </row>
    <row r="336">
      <c r="A336" t="str">
        <f>IF(OR(Identity!B336="",Identity!D336=""),"",TRIM(Identity!B336&amp;" "&amp;Identity!C336&amp;" "&amp;Identity!D336))</f>
      </c>
      <c r="D336" t="str">
        <f>IF(A336="","",IF(B336="","Select Position",IF(B336="Vice Director",IF(C336="","Ready - No Head Needed","Clear Head Member"),IF(C336="","Select Head Member",IF(C336=A336,"Invalid - Same Applicant",IF(B336="Senior Sales Manager",IF(COUNTIF(Teams!$A$2:$A$1001,C336)=1,"VD selected - Verify ID","Missing/Ambiguous VD"),IF(B336="Sales Manager",IF(COUNTIF(Teams!$B$2:$B$1001,C336)=1,"SSM selected - Verify ID","Missing/Ambiguous SSM"),"Invalid Position")))))))</f>
      </c>
    </row>
    <row r="337">
      <c r="A337" t="str">
        <f>IF(OR(Identity!B337="",Identity!D337=""),"",TRIM(Identity!B337&amp;" "&amp;Identity!C337&amp;" "&amp;Identity!D337))</f>
      </c>
      <c r="D337" t="str">
        <f>IF(A337="","",IF(B337="","Select Position",IF(B337="Vice Director",IF(C337="","Ready - No Head Needed","Clear Head Member"),IF(C337="","Select Head Member",IF(C337=A337,"Invalid - Same Applicant",IF(B337="Senior Sales Manager",IF(COUNTIF(Teams!$A$2:$A$1001,C337)=1,"VD selected - Verify ID","Missing/Ambiguous VD"),IF(B337="Sales Manager",IF(COUNTIF(Teams!$B$2:$B$1001,C337)=1,"SSM selected - Verify ID","Missing/Ambiguous SSM"),"Invalid Position")))))))</f>
      </c>
    </row>
    <row r="338">
      <c r="A338" t="str">
        <f>IF(OR(Identity!B338="",Identity!D338=""),"",TRIM(Identity!B338&amp;" "&amp;Identity!C338&amp;" "&amp;Identity!D338))</f>
      </c>
      <c r="D338" t="str">
        <f>IF(A338="","",IF(B338="","Select Position",IF(B338="Vice Director",IF(C338="","Ready - No Head Needed","Clear Head Member"),IF(C338="","Select Head Member",IF(C338=A338,"Invalid - Same Applicant",IF(B338="Senior Sales Manager",IF(COUNTIF(Teams!$A$2:$A$1001,C338)=1,"VD selected - Verify ID","Missing/Ambiguous VD"),IF(B338="Sales Manager",IF(COUNTIF(Teams!$B$2:$B$1001,C338)=1,"SSM selected - Verify ID","Missing/Ambiguous SSM"),"Invalid Position")))))))</f>
      </c>
    </row>
    <row r="339">
      <c r="A339" t="str">
        <f>IF(OR(Identity!B339="",Identity!D339=""),"",TRIM(Identity!B339&amp;" "&amp;Identity!C339&amp;" "&amp;Identity!D339))</f>
      </c>
      <c r="D339" t="str">
        <f>IF(A339="","",IF(B339="","Select Position",IF(B339="Vice Director",IF(C339="","Ready - No Head Needed","Clear Head Member"),IF(C339="","Select Head Member",IF(C339=A339,"Invalid - Same Applicant",IF(B339="Senior Sales Manager",IF(COUNTIF(Teams!$A$2:$A$1001,C339)=1,"VD selected - Verify ID","Missing/Ambiguous VD"),IF(B339="Sales Manager",IF(COUNTIF(Teams!$B$2:$B$1001,C339)=1,"SSM selected - Verify ID","Missing/Ambiguous SSM"),"Invalid Position")))))))</f>
      </c>
    </row>
    <row r="340">
      <c r="A340" t="str">
        <f>IF(OR(Identity!B340="",Identity!D340=""),"",TRIM(Identity!B340&amp;" "&amp;Identity!C340&amp;" "&amp;Identity!D340))</f>
      </c>
      <c r="D340" t="str">
        <f>IF(A340="","",IF(B340="","Select Position",IF(B340="Vice Director",IF(C340="","Ready - No Head Needed","Clear Head Member"),IF(C340="","Select Head Member",IF(C340=A340,"Invalid - Same Applicant",IF(B340="Senior Sales Manager",IF(COUNTIF(Teams!$A$2:$A$1001,C340)=1,"VD selected - Verify ID","Missing/Ambiguous VD"),IF(B340="Sales Manager",IF(COUNTIF(Teams!$B$2:$B$1001,C340)=1,"SSM selected - Verify ID","Missing/Ambiguous SSM"),"Invalid Position")))))))</f>
      </c>
    </row>
    <row r="341">
      <c r="A341" t="str">
        <f>IF(OR(Identity!B341="",Identity!D341=""),"",TRIM(Identity!B341&amp;" "&amp;Identity!C341&amp;" "&amp;Identity!D341))</f>
      </c>
      <c r="D341" t="str">
        <f>IF(A341="","",IF(B341="","Select Position",IF(B341="Vice Director",IF(C341="","Ready - No Head Needed","Clear Head Member"),IF(C341="","Select Head Member",IF(C341=A341,"Invalid - Same Applicant",IF(B341="Senior Sales Manager",IF(COUNTIF(Teams!$A$2:$A$1001,C341)=1,"VD selected - Verify ID","Missing/Ambiguous VD"),IF(B341="Sales Manager",IF(COUNTIF(Teams!$B$2:$B$1001,C341)=1,"SSM selected - Verify ID","Missing/Ambiguous SSM"),"Invalid Position")))))))</f>
      </c>
    </row>
    <row r="342">
      <c r="A342" t="str">
        <f>IF(OR(Identity!B342="",Identity!D342=""),"",TRIM(Identity!B342&amp;" "&amp;Identity!C342&amp;" "&amp;Identity!D342))</f>
      </c>
      <c r="D342" t="str">
        <f>IF(A342="","",IF(B342="","Select Position",IF(B342="Vice Director",IF(C342="","Ready - No Head Needed","Clear Head Member"),IF(C342="","Select Head Member",IF(C342=A342,"Invalid - Same Applicant",IF(B342="Senior Sales Manager",IF(COUNTIF(Teams!$A$2:$A$1001,C342)=1,"VD selected - Verify ID","Missing/Ambiguous VD"),IF(B342="Sales Manager",IF(COUNTIF(Teams!$B$2:$B$1001,C342)=1,"SSM selected - Verify ID","Missing/Ambiguous SSM"),"Invalid Position")))))))</f>
      </c>
    </row>
    <row r="343">
      <c r="A343" t="str">
        <f>IF(OR(Identity!B343="",Identity!D343=""),"",TRIM(Identity!B343&amp;" "&amp;Identity!C343&amp;" "&amp;Identity!D343))</f>
      </c>
      <c r="D343" t="str">
        <f>IF(A343="","",IF(B343="","Select Position",IF(B343="Vice Director",IF(C343="","Ready - No Head Needed","Clear Head Member"),IF(C343="","Select Head Member",IF(C343=A343,"Invalid - Same Applicant",IF(B343="Senior Sales Manager",IF(COUNTIF(Teams!$A$2:$A$1001,C343)=1,"VD selected - Verify ID","Missing/Ambiguous VD"),IF(B343="Sales Manager",IF(COUNTIF(Teams!$B$2:$B$1001,C343)=1,"SSM selected - Verify ID","Missing/Ambiguous SSM"),"Invalid Position")))))))</f>
      </c>
    </row>
    <row r="344">
      <c r="A344" t="str">
        <f>IF(OR(Identity!B344="",Identity!D344=""),"",TRIM(Identity!B344&amp;" "&amp;Identity!C344&amp;" "&amp;Identity!D344))</f>
      </c>
      <c r="D344" t="str">
        <f>IF(A344="","",IF(B344="","Select Position",IF(B344="Vice Director",IF(C344="","Ready - No Head Needed","Clear Head Member"),IF(C344="","Select Head Member",IF(C344=A344,"Invalid - Same Applicant",IF(B344="Senior Sales Manager",IF(COUNTIF(Teams!$A$2:$A$1001,C344)=1,"VD selected - Verify ID","Missing/Ambiguous VD"),IF(B344="Sales Manager",IF(COUNTIF(Teams!$B$2:$B$1001,C344)=1,"SSM selected - Verify ID","Missing/Ambiguous SSM"),"Invalid Position")))))))</f>
      </c>
    </row>
    <row r="345">
      <c r="A345" t="str">
        <f>IF(OR(Identity!B345="",Identity!D345=""),"",TRIM(Identity!B345&amp;" "&amp;Identity!C345&amp;" "&amp;Identity!D345))</f>
      </c>
      <c r="D345" t="str">
        <f>IF(A345="","",IF(B345="","Select Position",IF(B345="Vice Director",IF(C345="","Ready - No Head Needed","Clear Head Member"),IF(C345="","Select Head Member",IF(C345=A345,"Invalid - Same Applicant",IF(B345="Senior Sales Manager",IF(COUNTIF(Teams!$A$2:$A$1001,C345)=1,"VD selected - Verify ID","Missing/Ambiguous VD"),IF(B345="Sales Manager",IF(COUNTIF(Teams!$B$2:$B$1001,C345)=1,"SSM selected - Verify ID","Missing/Ambiguous SSM"),"Invalid Position")))))))</f>
      </c>
    </row>
    <row r="346">
      <c r="A346" t="str">
        <f>IF(OR(Identity!B346="",Identity!D346=""),"",TRIM(Identity!B346&amp;" "&amp;Identity!C346&amp;" "&amp;Identity!D346))</f>
      </c>
      <c r="D346" t="str">
        <f>IF(A346="","",IF(B346="","Select Position",IF(B346="Vice Director",IF(C346="","Ready - No Head Needed","Clear Head Member"),IF(C346="","Select Head Member",IF(C346=A346,"Invalid - Same Applicant",IF(B346="Senior Sales Manager",IF(COUNTIF(Teams!$A$2:$A$1001,C346)=1,"VD selected - Verify ID","Missing/Ambiguous VD"),IF(B346="Sales Manager",IF(COUNTIF(Teams!$B$2:$B$1001,C346)=1,"SSM selected - Verify ID","Missing/Ambiguous SSM"),"Invalid Position")))))))</f>
      </c>
    </row>
    <row r="347">
      <c r="A347" t="str">
        <f>IF(OR(Identity!B347="",Identity!D347=""),"",TRIM(Identity!B347&amp;" "&amp;Identity!C347&amp;" "&amp;Identity!D347))</f>
      </c>
      <c r="D347" t="str">
        <f>IF(A347="","",IF(B347="","Select Position",IF(B347="Vice Director",IF(C347="","Ready - No Head Needed","Clear Head Member"),IF(C347="","Select Head Member",IF(C347=A347,"Invalid - Same Applicant",IF(B347="Senior Sales Manager",IF(COUNTIF(Teams!$A$2:$A$1001,C347)=1,"VD selected - Verify ID","Missing/Ambiguous VD"),IF(B347="Sales Manager",IF(COUNTIF(Teams!$B$2:$B$1001,C347)=1,"SSM selected - Verify ID","Missing/Ambiguous SSM"),"Invalid Position")))))))</f>
      </c>
    </row>
    <row r="348">
      <c r="A348" t="str">
        <f>IF(OR(Identity!B348="",Identity!D348=""),"",TRIM(Identity!B348&amp;" "&amp;Identity!C348&amp;" "&amp;Identity!D348))</f>
      </c>
      <c r="D348" t="str">
        <f>IF(A348="","",IF(B348="","Select Position",IF(B348="Vice Director",IF(C348="","Ready - No Head Needed","Clear Head Member"),IF(C348="","Select Head Member",IF(C348=A348,"Invalid - Same Applicant",IF(B348="Senior Sales Manager",IF(COUNTIF(Teams!$A$2:$A$1001,C348)=1,"VD selected - Verify ID","Missing/Ambiguous VD"),IF(B348="Sales Manager",IF(COUNTIF(Teams!$B$2:$B$1001,C348)=1,"SSM selected - Verify ID","Missing/Ambiguous SSM"),"Invalid Position")))))))</f>
      </c>
    </row>
    <row r="349">
      <c r="A349" t="str">
        <f>IF(OR(Identity!B349="",Identity!D349=""),"",TRIM(Identity!B349&amp;" "&amp;Identity!C349&amp;" "&amp;Identity!D349))</f>
      </c>
      <c r="D349" t="str">
        <f>IF(A349="","",IF(B349="","Select Position",IF(B349="Vice Director",IF(C349="","Ready - No Head Needed","Clear Head Member"),IF(C349="","Select Head Member",IF(C349=A349,"Invalid - Same Applicant",IF(B349="Senior Sales Manager",IF(COUNTIF(Teams!$A$2:$A$1001,C349)=1,"VD selected - Verify ID","Missing/Ambiguous VD"),IF(B349="Sales Manager",IF(COUNTIF(Teams!$B$2:$B$1001,C349)=1,"SSM selected - Verify ID","Missing/Ambiguous SSM"),"Invalid Position")))))))</f>
      </c>
    </row>
    <row r="350">
      <c r="A350" t="str">
        <f>IF(OR(Identity!B350="",Identity!D350=""),"",TRIM(Identity!B350&amp;" "&amp;Identity!C350&amp;" "&amp;Identity!D350))</f>
      </c>
      <c r="D350" t="str">
        <f>IF(A350="","",IF(B350="","Select Position",IF(B350="Vice Director",IF(C350="","Ready - No Head Needed","Clear Head Member"),IF(C350="","Select Head Member",IF(C350=A350,"Invalid - Same Applicant",IF(B350="Senior Sales Manager",IF(COUNTIF(Teams!$A$2:$A$1001,C350)=1,"VD selected - Verify ID","Missing/Ambiguous VD"),IF(B350="Sales Manager",IF(COUNTIF(Teams!$B$2:$B$1001,C350)=1,"SSM selected - Verify ID","Missing/Ambiguous SSM"),"Invalid Position")))))))</f>
      </c>
    </row>
    <row r="351">
      <c r="A351" t="str">
        <f>IF(OR(Identity!B351="",Identity!D351=""),"",TRIM(Identity!B351&amp;" "&amp;Identity!C351&amp;" "&amp;Identity!D351))</f>
      </c>
      <c r="D351" t="str">
        <f>IF(A351="","",IF(B351="","Select Position",IF(B351="Vice Director",IF(C351="","Ready - No Head Needed","Clear Head Member"),IF(C351="","Select Head Member",IF(C351=A351,"Invalid - Same Applicant",IF(B351="Senior Sales Manager",IF(COUNTIF(Teams!$A$2:$A$1001,C351)=1,"VD selected - Verify ID","Missing/Ambiguous VD"),IF(B351="Sales Manager",IF(COUNTIF(Teams!$B$2:$B$1001,C351)=1,"SSM selected - Verify ID","Missing/Ambiguous SSM"),"Invalid Position")))))))</f>
      </c>
    </row>
    <row r="352">
      <c r="A352" t="str">
        <f>IF(OR(Identity!B352="",Identity!D352=""),"",TRIM(Identity!B352&amp;" "&amp;Identity!C352&amp;" "&amp;Identity!D352))</f>
      </c>
      <c r="D352" t="str">
        <f>IF(A352="","",IF(B352="","Select Position",IF(B352="Vice Director",IF(C352="","Ready - No Head Needed","Clear Head Member"),IF(C352="","Select Head Member",IF(C352=A352,"Invalid - Same Applicant",IF(B352="Senior Sales Manager",IF(COUNTIF(Teams!$A$2:$A$1001,C352)=1,"VD selected - Verify ID","Missing/Ambiguous VD"),IF(B352="Sales Manager",IF(COUNTIF(Teams!$B$2:$B$1001,C352)=1,"SSM selected - Verify ID","Missing/Ambiguous SSM"),"Invalid Position")))))))</f>
      </c>
    </row>
    <row r="353">
      <c r="A353" t="str">
        <f>IF(OR(Identity!B353="",Identity!D353=""),"",TRIM(Identity!B353&amp;" "&amp;Identity!C353&amp;" "&amp;Identity!D353))</f>
      </c>
      <c r="D353" t="str">
        <f>IF(A353="","",IF(B353="","Select Position",IF(B353="Vice Director",IF(C353="","Ready - No Head Needed","Clear Head Member"),IF(C353="","Select Head Member",IF(C353=A353,"Invalid - Same Applicant",IF(B353="Senior Sales Manager",IF(COUNTIF(Teams!$A$2:$A$1001,C353)=1,"VD selected - Verify ID","Missing/Ambiguous VD"),IF(B353="Sales Manager",IF(COUNTIF(Teams!$B$2:$B$1001,C353)=1,"SSM selected - Verify ID","Missing/Ambiguous SSM"),"Invalid Position")))))))</f>
      </c>
    </row>
    <row r="354">
      <c r="A354" t="str">
        <f>IF(OR(Identity!B354="",Identity!D354=""),"",TRIM(Identity!B354&amp;" "&amp;Identity!C354&amp;" "&amp;Identity!D354))</f>
      </c>
      <c r="D354" t="str">
        <f>IF(A354="","",IF(B354="","Select Position",IF(B354="Vice Director",IF(C354="","Ready - No Head Needed","Clear Head Member"),IF(C354="","Select Head Member",IF(C354=A354,"Invalid - Same Applicant",IF(B354="Senior Sales Manager",IF(COUNTIF(Teams!$A$2:$A$1001,C354)=1,"VD selected - Verify ID","Missing/Ambiguous VD"),IF(B354="Sales Manager",IF(COUNTIF(Teams!$B$2:$B$1001,C354)=1,"SSM selected - Verify ID","Missing/Ambiguous SSM"),"Invalid Position")))))))</f>
      </c>
    </row>
    <row r="355">
      <c r="A355" t="str">
        <f>IF(OR(Identity!B355="",Identity!D355=""),"",TRIM(Identity!B355&amp;" "&amp;Identity!C355&amp;" "&amp;Identity!D355))</f>
      </c>
      <c r="D355" t="str">
        <f>IF(A355="","",IF(B355="","Select Position",IF(B355="Vice Director",IF(C355="","Ready - No Head Needed","Clear Head Member"),IF(C355="","Select Head Member",IF(C355=A355,"Invalid - Same Applicant",IF(B355="Senior Sales Manager",IF(COUNTIF(Teams!$A$2:$A$1001,C355)=1,"VD selected - Verify ID","Missing/Ambiguous VD"),IF(B355="Sales Manager",IF(COUNTIF(Teams!$B$2:$B$1001,C355)=1,"SSM selected - Verify ID","Missing/Ambiguous SSM"),"Invalid Position")))))))</f>
      </c>
    </row>
    <row r="356">
      <c r="A356" t="str">
        <f>IF(OR(Identity!B356="",Identity!D356=""),"",TRIM(Identity!B356&amp;" "&amp;Identity!C356&amp;" "&amp;Identity!D356))</f>
      </c>
      <c r="D356" t="str">
        <f>IF(A356="","",IF(B356="","Select Position",IF(B356="Vice Director",IF(C356="","Ready - No Head Needed","Clear Head Member"),IF(C356="","Select Head Member",IF(C356=A356,"Invalid - Same Applicant",IF(B356="Senior Sales Manager",IF(COUNTIF(Teams!$A$2:$A$1001,C356)=1,"VD selected - Verify ID","Missing/Ambiguous VD"),IF(B356="Sales Manager",IF(COUNTIF(Teams!$B$2:$B$1001,C356)=1,"SSM selected - Verify ID","Missing/Ambiguous SSM"),"Invalid Position")))))))</f>
      </c>
    </row>
    <row r="357">
      <c r="A357" t="str">
        <f>IF(OR(Identity!B357="",Identity!D357=""),"",TRIM(Identity!B357&amp;" "&amp;Identity!C357&amp;" "&amp;Identity!D357))</f>
      </c>
      <c r="D357" t="str">
        <f>IF(A357="","",IF(B357="","Select Position",IF(B357="Vice Director",IF(C357="","Ready - No Head Needed","Clear Head Member"),IF(C357="","Select Head Member",IF(C357=A357,"Invalid - Same Applicant",IF(B357="Senior Sales Manager",IF(COUNTIF(Teams!$A$2:$A$1001,C357)=1,"VD selected - Verify ID","Missing/Ambiguous VD"),IF(B357="Sales Manager",IF(COUNTIF(Teams!$B$2:$B$1001,C357)=1,"SSM selected - Verify ID","Missing/Ambiguous SSM"),"Invalid Position")))))))</f>
      </c>
    </row>
    <row r="358">
      <c r="A358" t="str">
        <f>IF(OR(Identity!B358="",Identity!D358=""),"",TRIM(Identity!B358&amp;" "&amp;Identity!C358&amp;" "&amp;Identity!D358))</f>
      </c>
      <c r="D358" t="str">
        <f>IF(A358="","",IF(B358="","Select Position",IF(B358="Vice Director",IF(C358="","Ready - No Head Needed","Clear Head Member"),IF(C358="","Select Head Member",IF(C358=A358,"Invalid - Same Applicant",IF(B358="Senior Sales Manager",IF(COUNTIF(Teams!$A$2:$A$1001,C358)=1,"VD selected - Verify ID","Missing/Ambiguous VD"),IF(B358="Sales Manager",IF(COUNTIF(Teams!$B$2:$B$1001,C358)=1,"SSM selected - Verify ID","Missing/Ambiguous SSM"),"Invalid Position")))))))</f>
      </c>
    </row>
    <row r="359">
      <c r="A359" t="str">
        <f>IF(OR(Identity!B359="",Identity!D359=""),"",TRIM(Identity!B359&amp;" "&amp;Identity!C359&amp;" "&amp;Identity!D359))</f>
      </c>
      <c r="D359" t="str">
        <f>IF(A359="","",IF(B359="","Select Position",IF(B359="Vice Director",IF(C359="","Ready - No Head Needed","Clear Head Member"),IF(C359="","Select Head Member",IF(C359=A359,"Invalid - Same Applicant",IF(B359="Senior Sales Manager",IF(COUNTIF(Teams!$A$2:$A$1001,C359)=1,"VD selected - Verify ID","Missing/Ambiguous VD"),IF(B359="Sales Manager",IF(COUNTIF(Teams!$B$2:$B$1001,C359)=1,"SSM selected - Verify ID","Missing/Ambiguous SSM"),"Invalid Position")))))))</f>
      </c>
    </row>
    <row r="360">
      <c r="A360" t="str">
        <f>IF(OR(Identity!B360="",Identity!D360=""),"",TRIM(Identity!B360&amp;" "&amp;Identity!C360&amp;" "&amp;Identity!D360))</f>
      </c>
      <c r="D360" t="str">
        <f>IF(A360="","",IF(B360="","Select Position",IF(B360="Vice Director",IF(C360="","Ready - No Head Needed","Clear Head Member"),IF(C360="","Select Head Member",IF(C360=A360,"Invalid - Same Applicant",IF(B360="Senior Sales Manager",IF(COUNTIF(Teams!$A$2:$A$1001,C360)=1,"VD selected - Verify ID","Missing/Ambiguous VD"),IF(B360="Sales Manager",IF(COUNTIF(Teams!$B$2:$B$1001,C360)=1,"SSM selected - Verify ID","Missing/Ambiguous SSM"),"Invalid Position")))))))</f>
      </c>
    </row>
    <row r="361">
      <c r="A361" t="str">
        <f>IF(OR(Identity!B361="",Identity!D361=""),"",TRIM(Identity!B361&amp;" "&amp;Identity!C361&amp;" "&amp;Identity!D361))</f>
      </c>
      <c r="D361" t="str">
        <f>IF(A361="","",IF(B361="","Select Position",IF(B361="Vice Director",IF(C361="","Ready - No Head Needed","Clear Head Member"),IF(C361="","Select Head Member",IF(C361=A361,"Invalid - Same Applicant",IF(B361="Senior Sales Manager",IF(COUNTIF(Teams!$A$2:$A$1001,C361)=1,"VD selected - Verify ID","Missing/Ambiguous VD"),IF(B361="Sales Manager",IF(COUNTIF(Teams!$B$2:$B$1001,C361)=1,"SSM selected - Verify ID","Missing/Ambiguous SSM"),"Invalid Position")))))))</f>
      </c>
    </row>
    <row r="362">
      <c r="A362" t="str">
        <f>IF(OR(Identity!B362="",Identity!D362=""),"",TRIM(Identity!B362&amp;" "&amp;Identity!C362&amp;" "&amp;Identity!D362))</f>
      </c>
      <c r="D362" t="str">
        <f>IF(A362="","",IF(B362="","Select Position",IF(B362="Vice Director",IF(C362="","Ready - No Head Needed","Clear Head Member"),IF(C362="","Select Head Member",IF(C362=A362,"Invalid - Same Applicant",IF(B362="Senior Sales Manager",IF(COUNTIF(Teams!$A$2:$A$1001,C362)=1,"VD selected - Verify ID","Missing/Ambiguous VD"),IF(B362="Sales Manager",IF(COUNTIF(Teams!$B$2:$B$1001,C362)=1,"SSM selected - Verify ID","Missing/Ambiguous SSM"),"Invalid Position")))))))</f>
      </c>
    </row>
    <row r="363">
      <c r="A363" t="str">
        <f>IF(OR(Identity!B363="",Identity!D363=""),"",TRIM(Identity!B363&amp;" "&amp;Identity!C363&amp;" "&amp;Identity!D363))</f>
      </c>
      <c r="D363" t="str">
        <f>IF(A363="","",IF(B363="","Select Position",IF(B363="Vice Director",IF(C363="","Ready - No Head Needed","Clear Head Member"),IF(C363="","Select Head Member",IF(C363=A363,"Invalid - Same Applicant",IF(B363="Senior Sales Manager",IF(COUNTIF(Teams!$A$2:$A$1001,C363)=1,"VD selected - Verify ID","Missing/Ambiguous VD"),IF(B363="Sales Manager",IF(COUNTIF(Teams!$B$2:$B$1001,C363)=1,"SSM selected - Verify ID","Missing/Ambiguous SSM"),"Invalid Position")))))))</f>
      </c>
    </row>
    <row r="364">
      <c r="A364" t="str">
        <f>IF(OR(Identity!B364="",Identity!D364=""),"",TRIM(Identity!B364&amp;" "&amp;Identity!C364&amp;" "&amp;Identity!D364))</f>
      </c>
      <c r="D364" t="str">
        <f>IF(A364="","",IF(B364="","Select Position",IF(B364="Vice Director",IF(C364="","Ready - No Head Needed","Clear Head Member"),IF(C364="","Select Head Member",IF(C364=A364,"Invalid - Same Applicant",IF(B364="Senior Sales Manager",IF(COUNTIF(Teams!$A$2:$A$1001,C364)=1,"VD selected - Verify ID","Missing/Ambiguous VD"),IF(B364="Sales Manager",IF(COUNTIF(Teams!$B$2:$B$1001,C364)=1,"SSM selected - Verify ID","Missing/Ambiguous SSM"),"Invalid Position")))))))</f>
      </c>
    </row>
    <row r="365">
      <c r="A365" t="str">
        <f>IF(OR(Identity!B365="",Identity!D365=""),"",TRIM(Identity!B365&amp;" "&amp;Identity!C365&amp;" "&amp;Identity!D365))</f>
      </c>
      <c r="D365" t="str">
        <f>IF(A365="","",IF(B365="","Select Position",IF(B365="Vice Director",IF(C365="","Ready - No Head Needed","Clear Head Member"),IF(C365="","Select Head Member",IF(C365=A365,"Invalid - Same Applicant",IF(B365="Senior Sales Manager",IF(COUNTIF(Teams!$A$2:$A$1001,C365)=1,"VD selected - Verify ID","Missing/Ambiguous VD"),IF(B365="Sales Manager",IF(COUNTIF(Teams!$B$2:$B$1001,C365)=1,"SSM selected - Verify ID","Missing/Ambiguous SSM"),"Invalid Position")))))))</f>
      </c>
    </row>
    <row r="366">
      <c r="A366" t="str">
        <f>IF(OR(Identity!B366="",Identity!D366=""),"",TRIM(Identity!B366&amp;" "&amp;Identity!C366&amp;" "&amp;Identity!D366))</f>
      </c>
      <c r="D366" t="str">
        <f>IF(A366="","",IF(B366="","Select Position",IF(B366="Vice Director",IF(C366="","Ready - No Head Needed","Clear Head Member"),IF(C366="","Select Head Member",IF(C366=A366,"Invalid - Same Applicant",IF(B366="Senior Sales Manager",IF(COUNTIF(Teams!$A$2:$A$1001,C366)=1,"VD selected - Verify ID","Missing/Ambiguous VD"),IF(B366="Sales Manager",IF(COUNTIF(Teams!$B$2:$B$1001,C366)=1,"SSM selected - Verify ID","Missing/Ambiguous SSM"),"Invalid Position")))))))</f>
      </c>
    </row>
    <row r="367">
      <c r="A367" t="str">
        <f>IF(OR(Identity!B367="",Identity!D367=""),"",TRIM(Identity!B367&amp;" "&amp;Identity!C367&amp;" "&amp;Identity!D367))</f>
      </c>
      <c r="D367" t="str">
        <f>IF(A367="","",IF(B367="","Select Position",IF(B367="Vice Director",IF(C367="","Ready - No Head Needed","Clear Head Member"),IF(C367="","Select Head Member",IF(C367=A367,"Invalid - Same Applicant",IF(B367="Senior Sales Manager",IF(COUNTIF(Teams!$A$2:$A$1001,C367)=1,"VD selected - Verify ID","Missing/Ambiguous VD"),IF(B367="Sales Manager",IF(COUNTIF(Teams!$B$2:$B$1001,C367)=1,"SSM selected - Verify ID","Missing/Ambiguous SSM"),"Invalid Position")))))))</f>
      </c>
    </row>
    <row r="368">
      <c r="A368" t="str">
        <f>IF(OR(Identity!B368="",Identity!D368=""),"",TRIM(Identity!B368&amp;" "&amp;Identity!C368&amp;" "&amp;Identity!D368))</f>
      </c>
      <c r="D368" t="str">
        <f>IF(A368="","",IF(B368="","Select Position",IF(B368="Vice Director",IF(C368="","Ready - No Head Needed","Clear Head Member"),IF(C368="","Select Head Member",IF(C368=A368,"Invalid - Same Applicant",IF(B368="Senior Sales Manager",IF(COUNTIF(Teams!$A$2:$A$1001,C368)=1,"VD selected - Verify ID","Missing/Ambiguous VD"),IF(B368="Sales Manager",IF(COUNTIF(Teams!$B$2:$B$1001,C368)=1,"SSM selected - Verify ID","Missing/Ambiguous SSM"),"Invalid Position")))))))</f>
      </c>
    </row>
    <row r="369">
      <c r="A369" t="str">
        <f>IF(OR(Identity!B369="",Identity!D369=""),"",TRIM(Identity!B369&amp;" "&amp;Identity!C369&amp;" "&amp;Identity!D369))</f>
      </c>
      <c r="D369" t="str">
        <f>IF(A369="","",IF(B369="","Select Position",IF(B369="Vice Director",IF(C369="","Ready - No Head Needed","Clear Head Member"),IF(C369="","Select Head Member",IF(C369=A369,"Invalid - Same Applicant",IF(B369="Senior Sales Manager",IF(COUNTIF(Teams!$A$2:$A$1001,C369)=1,"VD selected - Verify ID","Missing/Ambiguous VD"),IF(B369="Sales Manager",IF(COUNTIF(Teams!$B$2:$B$1001,C369)=1,"SSM selected - Verify ID","Missing/Ambiguous SSM"),"Invalid Position")))))))</f>
      </c>
    </row>
    <row r="370">
      <c r="A370" t="str">
        <f>IF(OR(Identity!B370="",Identity!D370=""),"",TRIM(Identity!B370&amp;" "&amp;Identity!C370&amp;" "&amp;Identity!D370))</f>
      </c>
      <c r="D370" t="str">
        <f>IF(A370="","",IF(B370="","Select Position",IF(B370="Vice Director",IF(C370="","Ready - No Head Needed","Clear Head Member"),IF(C370="","Select Head Member",IF(C370=A370,"Invalid - Same Applicant",IF(B370="Senior Sales Manager",IF(COUNTIF(Teams!$A$2:$A$1001,C370)=1,"VD selected - Verify ID","Missing/Ambiguous VD"),IF(B370="Sales Manager",IF(COUNTIF(Teams!$B$2:$B$1001,C370)=1,"SSM selected - Verify ID","Missing/Ambiguous SSM"),"Invalid Position")))))))</f>
      </c>
    </row>
    <row r="371">
      <c r="A371" t="str">
        <f>IF(OR(Identity!B371="",Identity!D371=""),"",TRIM(Identity!B371&amp;" "&amp;Identity!C371&amp;" "&amp;Identity!D371))</f>
      </c>
      <c r="D371" t="str">
        <f>IF(A371="","",IF(B371="","Select Position",IF(B371="Vice Director",IF(C371="","Ready - No Head Needed","Clear Head Member"),IF(C371="","Select Head Member",IF(C371=A371,"Invalid - Same Applicant",IF(B371="Senior Sales Manager",IF(COUNTIF(Teams!$A$2:$A$1001,C371)=1,"VD selected - Verify ID","Missing/Ambiguous VD"),IF(B371="Sales Manager",IF(COUNTIF(Teams!$B$2:$B$1001,C371)=1,"SSM selected - Verify ID","Missing/Ambiguous SSM"),"Invalid Position")))))))</f>
      </c>
    </row>
    <row r="372">
      <c r="A372" t="str">
        <f>IF(OR(Identity!B372="",Identity!D372=""),"",TRIM(Identity!B372&amp;" "&amp;Identity!C372&amp;" "&amp;Identity!D372))</f>
      </c>
      <c r="D372" t="str">
        <f>IF(A372="","",IF(B372="","Select Position",IF(B372="Vice Director",IF(C372="","Ready - No Head Needed","Clear Head Member"),IF(C372="","Select Head Member",IF(C372=A372,"Invalid - Same Applicant",IF(B372="Senior Sales Manager",IF(COUNTIF(Teams!$A$2:$A$1001,C372)=1,"VD selected - Verify ID","Missing/Ambiguous VD"),IF(B372="Sales Manager",IF(COUNTIF(Teams!$B$2:$B$1001,C372)=1,"SSM selected - Verify ID","Missing/Ambiguous SSM"),"Invalid Position")))))))</f>
      </c>
    </row>
    <row r="373">
      <c r="A373" t="str">
        <f>IF(OR(Identity!B373="",Identity!D373=""),"",TRIM(Identity!B373&amp;" "&amp;Identity!C373&amp;" "&amp;Identity!D373))</f>
      </c>
      <c r="D373" t="str">
        <f>IF(A373="","",IF(B373="","Select Position",IF(B373="Vice Director",IF(C373="","Ready - No Head Needed","Clear Head Member"),IF(C373="","Select Head Member",IF(C373=A373,"Invalid - Same Applicant",IF(B373="Senior Sales Manager",IF(COUNTIF(Teams!$A$2:$A$1001,C373)=1,"VD selected - Verify ID","Missing/Ambiguous VD"),IF(B373="Sales Manager",IF(COUNTIF(Teams!$B$2:$B$1001,C373)=1,"SSM selected - Verify ID","Missing/Ambiguous SSM"),"Invalid Position")))))))</f>
      </c>
    </row>
    <row r="374">
      <c r="A374" t="str">
        <f>IF(OR(Identity!B374="",Identity!D374=""),"",TRIM(Identity!B374&amp;" "&amp;Identity!C374&amp;" "&amp;Identity!D374))</f>
      </c>
      <c r="D374" t="str">
        <f>IF(A374="","",IF(B374="","Select Position",IF(B374="Vice Director",IF(C374="","Ready - No Head Needed","Clear Head Member"),IF(C374="","Select Head Member",IF(C374=A374,"Invalid - Same Applicant",IF(B374="Senior Sales Manager",IF(COUNTIF(Teams!$A$2:$A$1001,C374)=1,"VD selected - Verify ID","Missing/Ambiguous VD"),IF(B374="Sales Manager",IF(COUNTIF(Teams!$B$2:$B$1001,C374)=1,"SSM selected - Verify ID","Missing/Ambiguous SSM"),"Invalid Position")))))))</f>
      </c>
    </row>
    <row r="375">
      <c r="A375" t="str">
        <f>IF(OR(Identity!B375="",Identity!D375=""),"",TRIM(Identity!B375&amp;" "&amp;Identity!C375&amp;" "&amp;Identity!D375))</f>
      </c>
      <c r="D375" t="str">
        <f>IF(A375="","",IF(B375="","Select Position",IF(B375="Vice Director",IF(C375="","Ready - No Head Needed","Clear Head Member"),IF(C375="","Select Head Member",IF(C375=A375,"Invalid - Same Applicant",IF(B375="Senior Sales Manager",IF(COUNTIF(Teams!$A$2:$A$1001,C375)=1,"VD selected - Verify ID","Missing/Ambiguous VD"),IF(B375="Sales Manager",IF(COUNTIF(Teams!$B$2:$B$1001,C375)=1,"SSM selected - Verify ID","Missing/Ambiguous SSM"),"Invalid Position")))))))</f>
      </c>
    </row>
    <row r="376">
      <c r="A376" t="str">
        <f>IF(OR(Identity!B376="",Identity!D376=""),"",TRIM(Identity!B376&amp;" "&amp;Identity!C376&amp;" "&amp;Identity!D376))</f>
      </c>
      <c r="D376" t="str">
        <f>IF(A376="","",IF(B376="","Select Position",IF(B376="Vice Director",IF(C376="","Ready - No Head Needed","Clear Head Member"),IF(C376="","Select Head Member",IF(C376=A376,"Invalid - Same Applicant",IF(B376="Senior Sales Manager",IF(COUNTIF(Teams!$A$2:$A$1001,C376)=1,"VD selected - Verify ID","Missing/Ambiguous VD"),IF(B376="Sales Manager",IF(COUNTIF(Teams!$B$2:$B$1001,C376)=1,"SSM selected - Verify ID","Missing/Ambiguous SSM"),"Invalid Position")))))))</f>
      </c>
    </row>
    <row r="377">
      <c r="A377" t="str">
        <f>IF(OR(Identity!B377="",Identity!D377=""),"",TRIM(Identity!B377&amp;" "&amp;Identity!C377&amp;" "&amp;Identity!D377))</f>
      </c>
      <c r="D377" t="str">
        <f>IF(A377="","",IF(B377="","Select Position",IF(B377="Vice Director",IF(C377="","Ready - No Head Needed","Clear Head Member"),IF(C377="","Select Head Member",IF(C377=A377,"Invalid - Same Applicant",IF(B377="Senior Sales Manager",IF(COUNTIF(Teams!$A$2:$A$1001,C377)=1,"VD selected - Verify ID","Missing/Ambiguous VD"),IF(B377="Sales Manager",IF(COUNTIF(Teams!$B$2:$B$1001,C377)=1,"SSM selected - Verify ID","Missing/Ambiguous SSM"),"Invalid Position")))))))</f>
      </c>
    </row>
    <row r="378">
      <c r="A378" t="str">
        <f>IF(OR(Identity!B378="",Identity!D378=""),"",TRIM(Identity!B378&amp;" "&amp;Identity!C378&amp;" "&amp;Identity!D378))</f>
      </c>
      <c r="D378" t="str">
        <f>IF(A378="","",IF(B378="","Select Position",IF(B378="Vice Director",IF(C378="","Ready - No Head Needed","Clear Head Member"),IF(C378="","Select Head Member",IF(C378=A378,"Invalid - Same Applicant",IF(B378="Senior Sales Manager",IF(COUNTIF(Teams!$A$2:$A$1001,C378)=1,"VD selected - Verify ID","Missing/Ambiguous VD"),IF(B378="Sales Manager",IF(COUNTIF(Teams!$B$2:$B$1001,C378)=1,"SSM selected - Verify ID","Missing/Ambiguous SSM"),"Invalid Position")))))))</f>
      </c>
    </row>
    <row r="379">
      <c r="A379" t="str">
        <f>IF(OR(Identity!B379="",Identity!D379=""),"",TRIM(Identity!B379&amp;" "&amp;Identity!C379&amp;" "&amp;Identity!D379))</f>
      </c>
      <c r="D379" t="str">
        <f>IF(A379="","",IF(B379="","Select Position",IF(B379="Vice Director",IF(C379="","Ready - No Head Needed","Clear Head Member"),IF(C379="","Select Head Member",IF(C379=A379,"Invalid - Same Applicant",IF(B379="Senior Sales Manager",IF(COUNTIF(Teams!$A$2:$A$1001,C379)=1,"VD selected - Verify ID","Missing/Ambiguous VD"),IF(B379="Sales Manager",IF(COUNTIF(Teams!$B$2:$B$1001,C379)=1,"SSM selected - Verify ID","Missing/Ambiguous SSM"),"Invalid Position")))))))</f>
      </c>
    </row>
    <row r="380">
      <c r="A380" t="str">
        <f>IF(OR(Identity!B380="",Identity!D380=""),"",TRIM(Identity!B380&amp;" "&amp;Identity!C380&amp;" "&amp;Identity!D380))</f>
      </c>
      <c r="D380" t="str">
        <f>IF(A380="","",IF(B380="","Select Position",IF(B380="Vice Director",IF(C380="","Ready - No Head Needed","Clear Head Member"),IF(C380="","Select Head Member",IF(C380=A380,"Invalid - Same Applicant",IF(B380="Senior Sales Manager",IF(COUNTIF(Teams!$A$2:$A$1001,C380)=1,"VD selected - Verify ID","Missing/Ambiguous VD"),IF(B380="Sales Manager",IF(COUNTIF(Teams!$B$2:$B$1001,C380)=1,"SSM selected - Verify ID","Missing/Ambiguous SSM"),"Invalid Position")))))))</f>
      </c>
    </row>
    <row r="381">
      <c r="A381" t="str">
        <f>IF(OR(Identity!B381="",Identity!D381=""),"",TRIM(Identity!B381&amp;" "&amp;Identity!C381&amp;" "&amp;Identity!D381))</f>
      </c>
      <c r="D381" t="str">
        <f>IF(A381="","",IF(B381="","Select Position",IF(B381="Vice Director",IF(C381="","Ready - No Head Needed","Clear Head Member"),IF(C381="","Select Head Member",IF(C381=A381,"Invalid - Same Applicant",IF(B381="Senior Sales Manager",IF(COUNTIF(Teams!$A$2:$A$1001,C381)=1,"VD selected - Verify ID","Missing/Ambiguous VD"),IF(B381="Sales Manager",IF(COUNTIF(Teams!$B$2:$B$1001,C381)=1,"SSM selected - Verify ID","Missing/Ambiguous SSM"),"Invalid Position")))))))</f>
      </c>
    </row>
    <row r="382">
      <c r="A382" t="str">
        <f>IF(OR(Identity!B382="",Identity!D382=""),"",TRIM(Identity!B382&amp;" "&amp;Identity!C382&amp;" "&amp;Identity!D382))</f>
      </c>
      <c r="D382" t="str">
        <f>IF(A382="","",IF(B382="","Select Position",IF(B382="Vice Director",IF(C382="","Ready - No Head Needed","Clear Head Member"),IF(C382="","Select Head Member",IF(C382=A382,"Invalid - Same Applicant",IF(B382="Senior Sales Manager",IF(COUNTIF(Teams!$A$2:$A$1001,C382)=1,"VD selected - Verify ID","Missing/Ambiguous VD"),IF(B382="Sales Manager",IF(COUNTIF(Teams!$B$2:$B$1001,C382)=1,"SSM selected - Verify ID","Missing/Ambiguous SSM"),"Invalid Position")))))))</f>
      </c>
    </row>
    <row r="383">
      <c r="A383" t="str">
        <f>IF(OR(Identity!B383="",Identity!D383=""),"",TRIM(Identity!B383&amp;" "&amp;Identity!C383&amp;" "&amp;Identity!D383))</f>
      </c>
      <c r="D383" t="str">
        <f>IF(A383="","",IF(B383="","Select Position",IF(B383="Vice Director",IF(C383="","Ready - No Head Needed","Clear Head Member"),IF(C383="","Select Head Member",IF(C383=A383,"Invalid - Same Applicant",IF(B383="Senior Sales Manager",IF(COUNTIF(Teams!$A$2:$A$1001,C383)=1,"VD selected - Verify ID","Missing/Ambiguous VD"),IF(B383="Sales Manager",IF(COUNTIF(Teams!$B$2:$B$1001,C383)=1,"SSM selected - Verify ID","Missing/Ambiguous SSM"),"Invalid Position")))))))</f>
      </c>
    </row>
    <row r="384">
      <c r="A384" t="str">
        <f>IF(OR(Identity!B384="",Identity!D384=""),"",TRIM(Identity!B384&amp;" "&amp;Identity!C384&amp;" "&amp;Identity!D384))</f>
      </c>
      <c r="D384" t="str">
        <f>IF(A384="","",IF(B384="","Select Position",IF(B384="Vice Director",IF(C384="","Ready - No Head Needed","Clear Head Member"),IF(C384="","Select Head Member",IF(C384=A384,"Invalid - Same Applicant",IF(B384="Senior Sales Manager",IF(COUNTIF(Teams!$A$2:$A$1001,C384)=1,"VD selected - Verify ID","Missing/Ambiguous VD"),IF(B384="Sales Manager",IF(COUNTIF(Teams!$B$2:$B$1001,C384)=1,"SSM selected - Verify ID","Missing/Ambiguous SSM"),"Invalid Position")))))))</f>
      </c>
    </row>
    <row r="385">
      <c r="A385" t="str">
        <f>IF(OR(Identity!B385="",Identity!D385=""),"",TRIM(Identity!B385&amp;" "&amp;Identity!C385&amp;" "&amp;Identity!D385))</f>
      </c>
      <c r="D385" t="str">
        <f>IF(A385="","",IF(B385="","Select Position",IF(B385="Vice Director",IF(C385="","Ready - No Head Needed","Clear Head Member"),IF(C385="","Select Head Member",IF(C385=A385,"Invalid - Same Applicant",IF(B385="Senior Sales Manager",IF(COUNTIF(Teams!$A$2:$A$1001,C385)=1,"VD selected - Verify ID","Missing/Ambiguous VD"),IF(B385="Sales Manager",IF(COUNTIF(Teams!$B$2:$B$1001,C385)=1,"SSM selected - Verify ID","Missing/Ambiguous SSM"),"Invalid Position")))))))</f>
      </c>
    </row>
    <row r="386">
      <c r="A386" t="str">
        <f>IF(OR(Identity!B386="",Identity!D386=""),"",TRIM(Identity!B386&amp;" "&amp;Identity!C386&amp;" "&amp;Identity!D386))</f>
      </c>
      <c r="D386" t="str">
        <f>IF(A386="","",IF(B386="","Select Position",IF(B386="Vice Director",IF(C386="","Ready - No Head Needed","Clear Head Member"),IF(C386="","Select Head Member",IF(C386=A386,"Invalid - Same Applicant",IF(B386="Senior Sales Manager",IF(COUNTIF(Teams!$A$2:$A$1001,C386)=1,"VD selected - Verify ID","Missing/Ambiguous VD"),IF(B386="Sales Manager",IF(COUNTIF(Teams!$B$2:$B$1001,C386)=1,"SSM selected - Verify ID","Missing/Ambiguous SSM"),"Invalid Position")))))))</f>
      </c>
    </row>
    <row r="387">
      <c r="A387" t="str">
        <f>IF(OR(Identity!B387="",Identity!D387=""),"",TRIM(Identity!B387&amp;" "&amp;Identity!C387&amp;" "&amp;Identity!D387))</f>
      </c>
      <c r="D387" t="str">
        <f>IF(A387="","",IF(B387="","Select Position",IF(B387="Vice Director",IF(C387="","Ready - No Head Needed","Clear Head Member"),IF(C387="","Select Head Member",IF(C387=A387,"Invalid - Same Applicant",IF(B387="Senior Sales Manager",IF(COUNTIF(Teams!$A$2:$A$1001,C387)=1,"VD selected - Verify ID","Missing/Ambiguous VD"),IF(B387="Sales Manager",IF(COUNTIF(Teams!$B$2:$B$1001,C387)=1,"SSM selected - Verify ID","Missing/Ambiguous SSM"),"Invalid Position")))))))</f>
      </c>
    </row>
    <row r="388">
      <c r="A388" t="str">
        <f>IF(OR(Identity!B388="",Identity!D388=""),"",TRIM(Identity!B388&amp;" "&amp;Identity!C388&amp;" "&amp;Identity!D388))</f>
      </c>
      <c r="D388" t="str">
        <f>IF(A388="","",IF(B388="","Select Position",IF(B388="Vice Director",IF(C388="","Ready - No Head Needed","Clear Head Member"),IF(C388="","Select Head Member",IF(C388=A388,"Invalid - Same Applicant",IF(B388="Senior Sales Manager",IF(COUNTIF(Teams!$A$2:$A$1001,C388)=1,"VD selected - Verify ID","Missing/Ambiguous VD"),IF(B388="Sales Manager",IF(COUNTIF(Teams!$B$2:$B$1001,C388)=1,"SSM selected - Verify ID","Missing/Ambiguous SSM"),"Invalid Position")))))))</f>
      </c>
    </row>
    <row r="389">
      <c r="A389" t="str">
        <f>IF(OR(Identity!B389="",Identity!D389=""),"",TRIM(Identity!B389&amp;" "&amp;Identity!C389&amp;" "&amp;Identity!D389))</f>
      </c>
      <c r="D389" t="str">
        <f>IF(A389="","",IF(B389="","Select Position",IF(B389="Vice Director",IF(C389="","Ready - No Head Needed","Clear Head Member"),IF(C389="","Select Head Member",IF(C389=A389,"Invalid - Same Applicant",IF(B389="Senior Sales Manager",IF(COUNTIF(Teams!$A$2:$A$1001,C389)=1,"VD selected - Verify ID","Missing/Ambiguous VD"),IF(B389="Sales Manager",IF(COUNTIF(Teams!$B$2:$B$1001,C389)=1,"SSM selected - Verify ID","Missing/Ambiguous SSM"),"Invalid Position")))))))</f>
      </c>
    </row>
    <row r="390">
      <c r="A390" t="str">
        <f>IF(OR(Identity!B390="",Identity!D390=""),"",TRIM(Identity!B390&amp;" "&amp;Identity!C390&amp;" "&amp;Identity!D390))</f>
      </c>
      <c r="D390" t="str">
        <f>IF(A390="","",IF(B390="","Select Position",IF(B390="Vice Director",IF(C390="","Ready - No Head Needed","Clear Head Member"),IF(C390="","Select Head Member",IF(C390=A390,"Invalid - Same Applicant",IF(B390="Senior Sales Manager",IF(COUNTIF(Teams!$A$2:$A$1001,C390)=1,"VD selected - Verify ID","Missing/Ambiguous VD"),IF(B390="Sales Manager",IF(COUNTIF(Teams!$B$2:$B$1001,C390)=1,"SSM selected - Verify ID","Missing/Ambiguous SSM"),"Invalid Position")))))))</f>
      </c>
    </row>
    <row r="391">
      <c r="A391" t="str">
        <f>IF(OR(Identity!B391="",Identity!D391=""),"",TRIM(Identity!B391&amp;" "&amp;Identity!C391&amp;" "&amp;Identity!D391))</f>
      </c>
      <c r="D391" t="str">
        <f>IF(A391="","",IF(B391="","Select Position",IF(B391="Vice Director",IF(C391="","Ready - No Head Needed","Clear Head Member"),IF(C391="","Select Head Member",IF(C391=A391,"Invalid - Same Applicant",IF(B391="Senior Sales Manager",IF(COUNTIF(Teams!$A$2:$A$1001,C391)=1,"VD selected - Verify ID","Missing/Ambiguous VD"),IF(B391="Sales Manager",IF(COUNTIF(Teams!$B$2:$B$1001,C391)=1,"SSM selected - Verify ID","Missing/Ambiguous SSM"),"Invalid Position")))))))</f>
      </c>
    </row>
    <row r="392">
      <c r="A392" t="str">
        <f>IF(OR(Identity!B392="",Identity!D392=""),"",TRIM(Identity!B392&amp;" "&amp;Identity!C392&amp;" "&amp;Identity!D392))</f>
      </c>
      <c r="D392" t="str">
        <f>IF(A392="","",IF(B392="","Select Position",IF(B392="Vice Director",IF(C392="","Ready - No Head Needed","Clear Head Member"),IF(C392="","Select Head Member",IF(C392=A392,"Invalid - Same Applicant",IF(B392="Senior Sales Manager",IF(COUNTIF(Teams!$A$2:$A$1001,C392)=1,"VD selected - Verify ID","Missing/Ambiguous VD"),IF(B392="Sales Manager",IF(COUNTIF(Teams!$B$2:$B$1001,C392)=1,"SSM selected - Verify ID","Missing/Ambiguous SSM"),"Invalid Position")))))))</f>
      </c>
    </row>
    <row r="393">
      <c r="A393" t="str">
        <f>IF(OR(Identity!B393="",Identity!D393=""),"",TRIM(Identity!B393&amp;" "&amp;Identity!C393&amp;" "&amp;Identity!D393))</f>
      </c>
      <c r="D393" t="str">
        <f>IF(A393="","",IF(B393="","Select Position",IF(B393="Vice Director",IF(C393="","Ready - No Head Needed","Clear Head Member"),IF(C393="","Select Head Member",IF(C393=A393,"Invalid - Same Applicant",IF(B393="Senior Sales Manager",IF(COUNTIF(Teams!$A$2:$A$1001,C393)=1,"VD selected - Verify ID","Missing/Ambiguous VD"),IF(B393="Sales Manager",IF(COUNTIF(Teams!$B$2:$B$1001,C393)=1,"SSM selected - Verify ID","Missing/Ambiguous SSM"),"Invalid Position")))))))</f>
      </c>
    </row>
    <row r="394">
      <c r="A394" t="str">
        <f>IF(OR(Identity!B394="",Identity!D394=""),"",TRIM(Identity!B394&amp;" "&amp;Identity!C394&amp;" "&amp;Identity!D394))</f>
      </c>
      <c r="D394" t="str">
        <f>IF(A394="","",IF(B394="","Select Position",IF(B394="Vice Director",IF(C394="","Ready - No Head Needed","Clear Head Member"),IF(C394="","Select Head Member",IF(C394=A394,"Invalid - Same Applicant",IF(B394="Senior Sales Manager",IF(COUNTIF(Teams!$A$2:$A$1001,C394)=1,"VD selected - Verify ID","Missing/Ambiguous VD"),IF(B394="Sales Manager",IF(COUNTIF(Teams!$B$2:$B$1001,C394)=1,"SSM selected - Verify ID","Missing/Ambiguous SSM"),"Invalid Position")))))))</f>
      </c>
    </row>
    <row r="395">
      <c r="A395" t="str">
        <f>IF(OR(Identity!B395="",Identity!D395=""),"",TRIM(Identity!B395&amp;" "&amp;Identity!C395&amp;" "&amp;Identity!D395))</f>
      </c>
      <c r="D395" t="str">
        <f>IF(A395="","",IF(B395="","Select Position",IF(B395="Vice Director",IF(C395="","Ready - No Head Needed","Clear Head Member"),IF(C395="","Select Head Member",IF(C395=A395,"Invalid - Same Applicant",IF(B395="Senior Sales Manager",IF(COUNTIF(Teams!$A$2:$A$1001,C395)=1,"VD selected - Verify ID","Missing/Ambiguous VD"),IF(B395="Sales Manager",IF(COUNTIF(Teams!$B$2:$B$1001,C395)=1,"SSM selected - Verify ID","Missing/Ambiguous SSM"),"Invalid Position")))))))</f>
      </c>
    </row>
    <row r="396">
      <c r="A396" t="str">
        <f>IF(OR(Identity!B396="",Identity!D396=""),"",TRIM(Identity!B396&amp;" "&amp;Identity!C396&amp;" "&amp;Identity!D396))</f>
      </c>
      <c r="D396" t="str">
        <f>IF(A396="","",IF(B396="","Select Position",IF(B396="Vice Director",IF(C396="","Ready - No Head Needed","Clear Head Member"),IF(C396="","Select Head Member",IF(C396=A396,"Invalid - Same Applicant",IF(B396="Senior Sales Manager",IF(COUNTIF(Teams!$A$2:$A$1001,C396)=1,"VD selected - Verify ID","Missing/Ambiguous VD"),IF(B396="Sales Manager",IF(COUNTIF(Teams!$B$2:$B$1001,C396)=1,"SSM selected - Verify ID","Missing/Ambiguous SSM"),"Invalid Position")))))))</f>
      </c>
    </row>
    <row r="397">
      <c r="A397" t="str">
        <f>IF(OR(Identity!B397="",Identity!D397=""),"",TRIM(Identity!B397&amp;" "&amp;Identity!C397&amp;" "&amp;Identity!D397))</f>
      </c>
      <c r="D397" t="str">
        <f>IF(A397="","",IF(B397="","Select Position",IF(B397="Vice Director",IF(C397="","Ready - No Head Needed","Clear Head Member"),IF(C397="","Select Head Member",IF(C397=A397,"Invalid - Same Applicant",IF(B397="Senior Sales Manager",IF(COUNTIF(Teams!$A$2:$A$1001,C397)=1,"VD selected - Verify ID","Missing/Ambiguous VD"),IF(B397="Sales Manager",IF(COUNTIF(Teams!$B$2:$B$1001,C397)=1,"SSM selected - Verify ID","Missing/Ambiguous SSM"),"Invalid Position")))))))</f>
      </c>
    </row>
    <row r="398">
      <c r="A398" t="str">
        <f>IF(OR(Identity!B398="",Identity!D398=""),"",TRIM(Identity!B398&amp;" "&amp;Identity!C398&amp;" "&amp;Identity!D398))</f>
      </c>
      <c r="D398" t="str">
        <f>IF(A398="","",IF(B398="","Select Position",IF(B398="Vice Director",IF(C398="","Ready - No Head Needed","Clear Head Member"),IF(C398="","Select Head Member",IF(C398=A398,"Invalid - Same Applicant",IF(B398="Senior Sales Manager",IF(COUNTIF(Teams!$A$2:$A$1001,C398)=1,"VD selected - Verify ID","Missing/Ambiguous VD"),IF(B398="Sales Manager",IF(COUNTIF(Teams!$B$2:$B$1001,C398)=1,"SSM selected - Verify ID","Missing/Ambiguous SSM"),"Invalid Position")))))))</f>
      </c>
    </row>
    <row r="399">
      <c r="A399" t="str">
        <f>IF(OR(Identity!B399="",Identity!D399=""),"",TRIM(Identity!B399&amp;" "&amp;Identity!C399&amp;" "&amp;Identity!D399))</f>
      </c>
      <c r="D399" t="str">
        <f>IF(A399="","",IF(B399="","Select Position",IF(B399="Vice Director",IF(C399="","Ready - No Head Needed","Clear Head Member"),IF(C399="","Select Head Member",IF(C399=A399,"Invalid - Same Applicant",IF(B399="Senior Sales Manager",IF(COUNTIF(Teams!$A$2:$A$1001,C399)=1,"VD selected - Verify ID","Missing/Ambiguous VD"),IF(B399="Sales Manager",IF(COUNTIF(Teams!$B$2:$B$1001,C399)=1,"SSM selected - Verify ID","Missing/Ambiguous SSM"),"Invalid Position")))))))</f>
      </c>
    </row>
    <row r="400">
      <c r="A400" t="str">
        <f>IF(OR(Identity!B400="",Identity!D400=""),"",TRIM(Identity!B400&amp;" "&amp;Identity!C400&amp;" "&amp;Identity!D400))</f>
      </c>
      <c r="D400" t="str">
        <f>IF(A400="","",IF(B400="","Select Position",IF(B400="Vice Director",IF(C400="","Ready - No Head Needed","Clear Head Member"),IF(C400="","Select Head Member",IF(C400=A400,"Invalid - Same Applicant",IF(B400="Senior Sales Manager",IF(COUNTIF(Teams!$A$2:$A$1001,C400)=1,"VD selected - Verify ID","Missing/Ambiguous VD"),IF(B400="Sales Manager",IF(COUNTIF(Teams!$B$2:$B$1001,C400)=1,"SSM selected - Verify ID","Missing/Ambiguous SSM"),"Invalid Position")))))))</f>
      </c>
    </row>
    <row r="401">
      <c r="A401" t="str">
        <f>IF(OR(Identity!B401="",Identity!D401=""),"",TRIM(Identity!B401&amp;" "&amp;Identity!C401&amp;" "&amp;Identity!D401))</f>
      </c>
      <c r="D401" t="str">
        <f>IF(A401="","",IF(B401="","Select Position",IF(B401="Vice Director",IF(C401="","Ready - No Head Needed","Clear Head Member"),IF(C401="","Select Head Member",IF(C401=A401,"Invalid - Same Applicant",IF(B401="Senior Sales Manager",IF(COUNTIF(Teams!$A$2:$A$1001,C401)=1,"VD selected - Verify ID","Missing/Ambiguous VD"),IF(B401="Sales Manager",IF(COUNTIF(Teams!$B$2:$B$1001,C401)=1,"SSM selected - Verify ID","Missing/Ambiguous SSM"),"Invalid Position")))))))</f>
      </c>
    </row>
    <row r="402">
      <c r="A402" t="str">
        <f>IF(OR(Identity!B402="",Identity!D402=""),"",TRIM(Identity!B402&amp;" "&amp;Identity!C402&amp;" "&amp;Identity!D402))</f>
      </c>
      <c r="D402" t="str">
        <f>IF(A402="","",IF(B402="","Select Position",IF(B402="Vice Director",IF(C402="","Ready - No Head Needed","Clear Head Member"),IF(C402="","Select Head Member",IF(C402=A402,"Invalid - Same Applicant",IF(B402="Senior Sales Manager",IF(COUNTIF(Teams!$A$2:$A$1001,C402)=1,"VD selected - Verify ID","Missing/Ambiguous VD"),IF(B402="Sales Manager",IF(COUNTIF(Teams!$B$2:$B$1001,C402)=1,"SSM selected - Verify ID","Missing/Ambiguous SSM"),"Invalid Position")))))))</f>
      </c>
    </row>
    <row r="403">
      <c r="A403" t="str">
        <f>IF(OR(Identity!B403="",Identity!D403=""),"",TRIM(Identity!B403&amp;" "&amp;Identity!C403&amp;" "&amp;Identity!D403))</f>
      </c>
      <c r="D403" t="str">
        <f>IF(A403="","",IF(B403="","Select Position",IF(B403="Vice Director",IF(C403="","Ready - No Head Needed","Clear Head Member"),IF(C403="","Select Head Member",IF(C403=A403,"Invalid - Same Applicant",IF(B403="Senior Sales Manager",IF(COUNTIF(Teams!$A$2:$A$1001,C403)=1,"VD selected - Verify ID","Missing/Ambiguous VD"),IF(B403="Sales Manager",IF(COUNTIF(Teams!$B$2:$B$1001,C403)=1,"SSM selected - Verify ID","Missing/Ambiguous SSM"),"Invalid Position")))))))</f>
      </c>
    </row>
    <row r="404">
      <c r="A404" t="str">
        <f>IF(OR(Identity!B404="",Identity!D404=""),"",TRIM(Identity!B404&amp;" "&amp;Identity!C404&amp;" "&amp;Identity!D404))</f>
      </c>
      <c r="D404" t="str">
        <f>IF(A404="","",IF(B404="","Select Position",IF(B404="Vice Director",IF(C404="","Ready - No Head Needed","Clear Head Member"),IF(C404="","Select Head Member",IF(C404=A404,"Invalid - Same Applicant",IF(B404="Senior Sales Manager",IF(COUNTIF(Teams!$A$2:$A$1001,C404)=1,"VD selected - Verify ID","Missing/Ambiguous VD"),IF(B404="Sales Manager",IF(COUNTIF(Teams!$B$2:$B$1001,C404)=1,"SSM selected - Verify ID","Missing/Ambiguous SSM"),"Invalid Position")))))))</f>
      </c>
    </row>
    <row r="405">
      <c r="A405" t="str">
        <f>IF(OR(Identity!B405="",Identity!D405=""),"",TRIM(Identity!B405&amp;" "&amp;Identity!C405&amp;" "&amp;Identity!D405))</f>
      </c>
      <c r="D405" t="str">
        <f>IF(A405="","",IF(B405="","Select Position",IF(B405="Vice Director",IF(C405="","Ready - No Head Needed","Clear Head Member"),IF(C405="","Select Head Member",IF(C405=A405,"Invalid - Same Applicant",IF(B405="Senior Sales Manager",IF(COUNTIF(Teams!$A$2:$A$1001,C405)=1,"VD selected - Verify ID","Missing/Ambiguous VD"),IF(B405="Sales Manager",IF(COUNTIF(Teams!$B$2:$B$1001,C405)=1,"SSM selected - Verify ID","Missing/Ambiguous SSM"),"Invalid Position")))))))</f>
      </c>
    </row>
    <row r="406">
      <c r="A406" t="str">
        <f>IF(OR(Identity!B406="",Identity!D406=""),"",TRIM(Identity!B406&amp;" "&amp;Identity!C406&amp;" "&amp;Identity!D406))</f>
      </c>
      <c r="D406" t="str">
        <f>IF(A406="","",IF(B406="","Select Position",IF(B406="Vice Director",IF(C406="","Ready - No Head Needed","Clear Head Member"),IF(C406="","Select Head Member",IF(C406=A406,"Invalid - Same Applicant",IF(B406="Senior Sales Manager",IF(COUNTIF(Teams!$A$2:$A$1001,C406)=1,"VD selected - Verify ID","Missing/Ambiguous VD"),IF(B406="Sales Manager",IF(COUNTIF(Teams!$B$2:$B$1001,C406)=1,"SSM selected - Verify ID","Missing/Ambiguous SSM"),"Invalid Position")))))))</f>
      </c>
    </row>
    <row r="407">
      <c r="A407" t="str">
        <f>IF(OR(Identity!B407="",Identity!D407=""),"",TRIM(Identity!B407&amp;" "&amp;Identity!C407&amp;" "&amp;Identity!D407))</f>
      </c>
      <c r="D407" t="str">
        <f>IF(A407="","",IF(B407="","Select Position",IF(B407="Vice Director",IF(C407="","Ready - No Head Needed","Clear Head Member"),IF(C407="","Select Head Member",IF(C407=A407,"Invalid - Same Applicant",IF(B407="Senior Sales Manager",IF(COUNTIF(Teams!$A$2:$A$1001,C407)=1,"VD selected - Verify ID","Missing/Ambiguous VD"),IF(B407="Sales Manager",IF(COUNTIF(Teams!$B$2:$B$1001,C407)=1,"SSM selected - Verify ID","Missing/Ambiguous SSM"),"Invalid Position")))))))</f>
      </c>
    </row>
    <row r="408">
      <c r="A408" t="str">
        <f>IF(OR(Identity!B408="",Identity!D408=""),"",TRIM(Identity!B408&amp;" "&amp;Identity!C408&amp;" "&amp;Identity!D408))</f>
      </c>
      <c r="D408" t="str">
        <f>IF(A408="","",IF(B408="","Select Position",IF(B408="Vice Director",IF(C408="","Ready - No Head Needed","Clear Head Member"),IF(C408="","Select Head Member",IF(C408=A408,"Invalid - Same Applicant",IF(B408="Senior Sales Manager",IF(COUNTIF(Teams!$A$2:$A$1001,C408)=1,"VD selected - Verify ID","Missing/Ambiguous VD"),IF(B408="Sales Manager",IF(COUNTIF(Teams!$B$2:$B$1001,C408)=1,"SSM selected - Verify ID","Missing/Ambiguous SSM"),"Invalid Position")))))))</f>
      </c>
    </row>
    <row r="409">
      <c r="A409" t="str">
        <f>IF(OR(Identity!B409="",Identity!D409=""),"",TRIM(Identity!B409&amp;" "&amp;Identity!C409&amp;" "&amp;Identity!D409))</f>
      </c>
      <c r="D409" t="str">
        <f>IF(A409="","",IF(B409="","Select Position",IF(B409="Vice Director",IF(C409="","Ready - No Head Needed","Clear Head Member"),IF(C409="","Select Head Member",IF(C409=A409,"Invalid - Same Applicant",IF(B409="Senior Sales Manager",IF(COUNTIF(Teams!$A$2:$A$1001,C409)=1,"VD selected - Verify ID","Missing/Ambiguous VD"),IF(B409="Sales Manager",IF(COUNTIF(Teams!$B$2:$B$1001,C409)=1,"SSM selected - Verify ID","Missing/Ambiguous SSM"),"Invalid Position")))))))</f>
      </c>
    </row>
    <row r="410">
      <c r="A410" t="str">
        <f>IF(OR(Identity!B410="",Identity!D410=""),"",TRIM(Identity!B410&amp;" "&amp;Identity!C410&amp;" "&amp;Identity!D410))</f>
      </c>
      <c r="D410" t="str">
        <f>IF(A410="","",IF(B410="","Select Position",IF(B410="Vice Director",IF(C410="","Ready - No Head Needed","Clear Head Member"),IF(C410="","Select Head Member",IF(C410=A410,"Invalid - Same Applicant",IF(B410="Senior Sales Manager",IF(COUNTIF(Teams!$A$2:$A$1001,C410)=1,"VD selected - Verify ID","Missing/Ambiguous VD"),IF(B410="Sales Manager",IF(COUNTIF(Teams!$B$2:$B$1001,C410)=1,"SSM selected - Verify ID","Missing/Ambiguous SSM"),"Invalid Position")))))))</f>
      </c>
    </row>
    <row r="411">
      <c r="A411" t="str">
        <f>IF(OR(Identity!B411="",Identity!D411=""),"",TRIM(Identity!B411&amp;" "&amp;Identity!C411&amp;" "&amp;Identity!D411))</f>
      </c>
      <c r="D411" t="str">
        <f>IF(A411="","",IF(B411="","Select Position",IF(B411="Vice Director",IF(C411="","Ready - No Head Needed","Clear Head Member"),IF(C411="","Select Head Member",IF(C411=A411,"Invalid - Same Applicant",IF(B411="Senior Sales Manager",IF(COUNTIF(Teams!$A$2:$A$1001,C411)=1,"VD selected - Verify ID","Missing/Ambiguous VD"),IF(B411="Sales Manager",IF(COUNTIF(Teams!$B$2:$B$1001,C411)=1,"SSM selected - Verify ID","Missing/Ambiguous SSM"),"Invalid Position")))))))</f>
      </c>
    </row>
    <row r="412">
      <c r="A412" t="str">
        <f>IF(OR(Identity!B412="",Identity!D412=""),"",TRIM(Identity!B412&amp;" "&amp;Identity!C412&amp;" "&amp;Identity!D412))</f>
      </c>
      <c r="D412" t="str">
        <f>IF(A412="","",IF(B412="","Select Position",IF(B412="Vice Director",IF(C412="","Ready - No Head Needed","Clear Head Member"),IF(C412="","Select Head Member",IF(C412=A412,"Invalid - Same Applicant",IF(B412="Senior Sales Manager",IF(COUNTIF(Teams!$A$2:$A$1001,C412)=1,"VD selected - Verify ID","Missing/Ambiguous VD"),IF(B412="Sales Manager",IF(COUNTIF(Teams!$B$2:$B$1001,C412)=1,"SSM selected - Verify ID","Missing/Ambiguous SSM"),"Invalid Position")))))))</f>
      </c>
    </row>
    <row r="413">
      <c r="A413" t="str">
        <f>IF(OR(Identity!B413="",Identity!D413=""),"",TRIM(Identity!B413&amp;" "&amp;Identity!C413&amp;" "&amp;Identity!D413))</f>
      </c>
      <c r="D413" t="str">
        <f>IF(A413="","",IF(B413="","Select Position",IF(B413="Vice Director",IF(C413="","Ready - No Head Needed","Clear Head Member"),IF(C413="","Select Head Member",IF(C413=A413,"Invalid - Same Applicant",IF(B413="Senior Sales Manager",IF(COUNTIF(Teams!$A$2:$A$1001,C413)=1,"VD selected - Verify ID","Missing/Ambiguous VD"),IF(B413="Sales Manager",IF(COUNTIF(Teams!$B$2:$B$1001,C413)=1,"SSM selected - Verify ID","Missing/Ambiguous SSM"),"Invalid Position")))))))</f>
      </c>
    </row>
    <row r="414">
      <c r="A414" t="str">
        <f>IF(OR(Identity!B414="",Identity!D414=""),"",TRIM(Identity!B414&amp;" "&amp;Identity!C414&amp;" "&amp;Identity!D414))</f>
      </c>
      <c r="D414" t="str">
        <f>IF(A414="","",IF(B414="","Select Position",IF(B414="Vice Director",IF(C414="","Ready - No Head Needed","Clear Head Member"),IF(C414="","Select Head Member",IF(C414=A414,"Invalid - Same Applicant",IF(B414="Senior Sales Manager",IF(COUNTIF(Teams!$A$2:$A$1001,C414)=1,"VD selected - Verify ID","Missing/Ambiguous VD"),IF(B414="Sales Manager",IF(COUNTIF(Teams!$B$2:$B$1001,C414)=1,"SSM selected - Verify ID","Missing/Ambiguous SSM"),"Invalid Position")))))))</f>
      </c>
    </row>
    <row r="415">
      <c r="A415" t="str">
        <f>IF(OR(Identity!B415="",Identity!D415=""),"",TRIM(Identity!B415&amp;" "&amp;Identity!C415&amp;" "&amp;Identity!D415))</f>
      </c>
      <c r="D415" t="str">
        <f>IF(A415="","",IF(B415="","Select Position",IF(B415="Vice Director",IF(C415="","Ready - No Head Needed","Clear Head Member"),IF(C415="","Select Head Member",IF(C415=A415,"Invalid - Same Applicant",IF(B415="Senior Sales Manager",IF(COUNTIF(Teams!$A$2:$A$1001,C415)=1,"VD selected - Verify ID","Missing/Ambiguous VD"),IF(B415="Sales Manager",IF(COUNTIF(Teams!$B$2:$B$1001,C415)=1,"SSM selected - Verify ID","Missing/Ambiguous SSM"),"Invalid Position")))))))</f>
      </c>
    </row>
    <row r="416">
      <c r="A416" t="str">
        <f>IF(OR(Identity!B416="",Identity!D416=""),"",TRIM(Identity!B416&amp;" "&amp;Identity!C416&amp;" "&amp;Identity!D416))</f>
      </c>
      <c r="D416" t="str">
        <f>IF(A416="","",IF(B416="","Select Position",IF(B416="Vice Director",IF(C416="","Ready - No Head Needed","Clear Head Member"),IF(C416="","Select Head Member",IF(C416=A416,"Invalid - Same Applicant",IF(B416="Senior Sales Manager",IF(COUNTIF(Teams!$A$2:$A$1001,C416)=1,"VD selected - Verify ID","Missing/Ambiguous VD"),IF(B416="Sales Manager",IF(COUNTIF(Teams!$B$2:$B$1001,C416)=1,"SSM selected - Verify ID","Missing/Ambiguous SSM"),"Invalid Position")))))))</f>
      </c>
    </row>
    <row r="417">
      <c r="A417" t="str">
        <f>IF(OR(Identity!B417="",Identity!D417=""),"",TRIM(Identity!B417&amp;" "&amp;Identity!C417&amp;" "&amp;Identity!D417))</f>
      </c>
      <c r="D417" t="str">
        <f>IF(A417="","",IF(B417="","Select Position",IF(B417="Vice Director",IF(C417="","Ready - No Head Needed","Clear Head Member"),IF(C417="","Select Head Member",IF(C417=A417,"Invalid - Same Applicant",IF(B417="Senior Sales Manager",IF(COUNTIF(Teams!$A$2:$A$1001,C417)=1,"VD selected - Verify ID","Missing/Ambiguous VD"),IF(B417="Sales Manager",IF(COUNTIF(Teams!$B$2:$B$1001,C417)=1,"SSM selected - Verify ID","Missing/Ambiguous SSM"),"Invalid Position")))))))</f>
      </c>
    </row>
    <row r="418">
      <c r="A418" t="str">
        <f>IF(OR(Identity!B418="",Identity!D418=""),"",TRIM(Identity!B418&amp;" "&amp;Identity!C418&amp;" "&amp;Identity!D418))</f>
      </c>
      <c r="D418" t="str">
        <f>IF(A418="","",IF(B418="","Select Position",IF(B418="Vice Director",IF(C418="","Ready - No Head Needed","Clear Head Member"),IF(C418="","Select Head Member",IF(C418=A418,"Invalid - Same Applicant",IF(B418="Senior Sales Manager",IF(COUNTIF(Teams!$A$2:$A$1001,C418)=1,"VD selected - Verify ID","Missing/Ambiguous VD"),IF(B418="Sales Manager",IF(COUNTIF(Teams!$B$2:$B$1001,C418)=1,"SSM selected - Verify ID","Missing/Ambiguous SSM"),"Invalid Position")))))))</f>
      </c>
    </row>
    <row r="419">
      <c r="A419" t="str">
        <f>IF(OR(Identity!B419="",Identity!D419=""),"",TRIM(Identity!B419&amp;" "&amp;Identity!C419&amp;" "&amp;Identity!D419))</f>
      </c>
      <c r="D419" t="str">
        <f>IF(A419="","",IF(B419="","Select Position",IF(B419="Vice Director",IF(C419="","Ready - No Head Needed","Clear Head Member"),IF(C419="","Select Head Member",IF(C419=A419,"Invalid - Same Applicant",IF(B419="Senior Sales Manager",IF(COUNTIF(Teams!$A$2:$A$1001,C419)=1,"VD selected - Verify ID","Missing/Ambiguous VD"),IF(B419="Sales Manager",IF(COUNTIF(Teams!$B$2:$B$1001,C419)=1,"SSM selected - Verify ID","Missing/Ambiguous SSM"),"Invalid Position")))))))</f>
      </c>
    </row>
    <row r="420">
      <c r="A420" t="str">
        <f>IF(OR(Identity!B420="",Identity!D420=""),"",TRIM(Identity!B420&amp;" "&amp;Identity!C420&amp;" "&amp;Identity!D420))</f>
      </c>
      <c r="D420" t="str">
        <f>IF(A420="","",IF(B420="","Select Position",IF(B420="Vice Director",IF(C420="","Ready - No Head Needed","Clear Head Member"),IF(C420="","Select Head Member",IF(C420=A420,"Invalid - Same Applicant",IF(B420="Senior Sales Manager",IF(COUNTIF(Teams!$A$2:$A$1001,C420)=1,"VD selected - Verify ID","Missing/Ambiguous VD"),IF(B420="Sales Manager",IF(COUNTIF(Teams!$B$2:$B$1001,C420)=1,"SSM selected - Verify ID","Missing/Ambiguous SSM"),"Invalid Position")))))))</f>
      </c>
    </row>
    <row r="421">
      <c r="A421" t="str">
        <f>IF(OR(Identity!B421="",Identity!D421=""),"",TRIM(Identity!B421&amp;" "&amp;Identity!C421&amp;" "&amp;Identity!D421))</f>
      </c>
      <c r="D421" t="str">
        <f>IF(A421="","",IF(B421="","Select Position",IF(B421="Vice Director",IF(C421="","Ready - No Head Needed","Clear Head Member"),IF(C421="","Select Head Member",IF(C421=A421,"Invalid - Same Applicant",IF(B421="Senior Sales Manager",IF(COUNTIF(Teams!$A$2:$A$1001,C421)=1,"VD selected - Verify ID","Missing/Ambiguous VD"),IF(B421="Sales Manager",IF(COUNTIF(Teams!$B$2:$B$1001,C421)=1,"SSM selected - Verify ID","Missing/Ambiguous SSM"),"Invalid Position")))))))</f>
      </c>
    </row>
    <row r="422">
      <c r="A422" t="str">
        <f>IF(OR(Identity!B422="",Identity!D422=""),"",TRIM(Identity!B422&amp;" "&amp;Identity!C422&amp;" "&amp;Identity!D422))</f>
      </c>
      <c r="D422" t="str">
        <f>IF(A422="","",IF(B422="","Select Position",IF(B422="Vice Director",IF(C422="","Ready - No Head Needed","Clear Head Member"),IF(C422="","Select Head Member",IF(C422=A422,"Invalid - Same Applicant",IF(B422="Senior Sales Manager",IF(COUNTIF(Teams!$A$2:$A$1001,C422)=1,"VD selected - Verify ID","Missing/Ambiguous VD"),IF(B422="Sales Manager",IF(COUNTIF(Teams!$B$2:$B$1001,C422)=1,"SSM selected - Verify ID","Missing/Ambiguous SSM"),"Invalid Position")))))))</f>
      </c>
    </row>
    <row r="423">
      <c r="A423" t="str">
        <f>IF(OR(Identity!B423="",Identity!D423=""),"",TRIM(Identity!B423&amp;" "&amp;Identity!C423&amp;" "&amp;Identity!D423))</f>
      </c>
      <c r="D423" t="str">
        <f>IF(A423="","",IF(B423="","Select Position",IF(B423="Vice Director",IF(C423="","Ready - No Head Needed","Clear Head Member"),IF(C423="","Select Head Member",IF(C423=A423,"Invalid - Same Applicant",IF(B423="Senior Sales Manager",IF(COUNTIF(Teams!$A$2:$A$1001,C423)=1,"VD selected - Verify ID","Missing/Ambiguous VD"),IF(B423="Sales Manager",IF(COUNTIF(Teams!$B$2:$B$1001,C423)=1,"SSM selected - Verify ID","Missing/Ambiguous SSM"),"Invalid Position")))))))</f>
      </c>
    </row>
    <row r="424">
      <c r="A424" t="str">
        <f>IF(OR(Identity!B424="",Identity!D424=""),"",TRIM(Identity!B424&amp;" "&amp;Identity!C424&amp;" "&amp;Identity!D424))</f>
      </c>
      <c r="D424" t="str">
        <f>IF(A424="","",IF(B424="","Select Position",IF(B424="Vice Director",IF(C424="","Ready - No Head Needed","Clear Head Member"),IF(C424="","Select Head Member",IF(C424=A424,"Invalid - Same Applicant",IF(B424="Senior Sales Manager",IF(COUNTIF(Teams!$A$2:$A$1001,C424)=1,"VD selected - Verify ID","Missing/Ambiguous VD"),IF(B424="Sales Manager",IF(COUNTIF(Teams!$B$2:$B$1001,C424)=1,"SSM selected - Verify ID","Missing/Ambiguous SSM"),"Invalid Position")))))))</f>
      </c>
    </row>
    <row r="425">
      <c r="A425" t="str">
        <f>IF(OR(Identity!B425="",Identity!D425=""),"",TRIM(Identity!B425&amp;" "&amp;Identity!C425&amp;" "&amp;Identity!D425))</f>
      </c>
      <c r="D425" t="str">
        <f>IF(A425="","",IF(B425="","Select Position",IF(B425="Vice Director",IF(C425="","Ready - No Head Needed","Clear Head Member"),IF(C425="","Select Head Member",IF(C425=A425,"Invalid - Same Applicant",IF(B425="Senior Sales Manager",IF(COUNTIF(Teams!$A$2:$A$1001,C425)=1,"VD selected - Verify ID","Missing/Ambiguous VD"),IF(B425="Sales Manager",IF(COUNTIF(Teams!$B$2:$B$1001,C425)=1,"SSM selected - Verify ID","Missing/Ambiguous SSM"),"Invalid Position")))))))</f>
      </c>
    </row>
    <row r="426">
      <c r="A426" t="str">
        <f>IF(OR(Identity!B426="",Identity!D426=""),"",TRIM(Identity!B426&amp;" "&amp;Identity!C426&amp;" "&amp;Identity!D426))</f>
      </c>
      <c r="D426" t="str">
        <f>IF(A426="","",IF(B426="","Select Position",IF(B426="Vice Director",IF(C426="","Ready - No Head Needed","Clear Head Member"),IF(C426="","Select Head Member",IF(C426=A426,"Invalid - Same Applicant",IF(B426="Senior Sales Manager",IF(COUNTIF(Teams!$A$2:$A$1001,C426)=1,"VD selected - Verify ID","Missing/Ambiguous VD"),IF(B426="Sales Manager",IF(COUNTIF(Teams!$B$2:$B$1001,C426)=1,"SSM selected - Verify ID","Missing/Ambiguous SSM"),"Invalid Position")))))))</f>
      </c>
    </row>
    <row r="427">
      <c r="A427" t="str">
        <f>IF(OR(Identity!B427="",Identity!D427=""),"",TRIM(Identity!B427&amp;" "&amp;Identity!C427&amp;" "&amp;Identity!D427))</f>
      </c>
      <c r="D427" t="str">
        <f>IF(A427="","",IF(B427="","Select Position",IF(B427="Vice Director",IF(C427="","Ready - No Head Needed","Clear Head Member"),IF(C427="","Select Head Member",IF(C427=A427,"Invalid - Same Applicant",IF(B427="Senior Sales Manager",IF(COUNTIF(Teams!$A$2:$A$1001,C427)=1,"VD selected - Verify ID","Missing/Ambiguous VD"),IF(B427="Sales Manager",IF(COUNTIF(Teams!$B$2:$B$1001,C427)=1,"SSM selected - Verify ID","Missing/Ambiguous SSM"),"Invalid Position")))))))</f>
      </c>
    </row>
    <row r="428">
      <c r="A428" t="str">
        <f>IF(OR(Identity!B428="",Identity!D428=""),"",TRIM(Identity!B428&amp;" "&amp;Identity!C428&amp;" "&amp;Identity!D428))</f>
      </c>
      <c r="D428" t="str">
        <f>IF(A428="","",IF(B428="","Select Position",IF(B428="Vice Director",IF(C428="","Ready - No Head Needed","Clear Head Member"),IF(C428="","Select Head Member",IF(C428=A428,"Invalid - Same Applicant",IF(B428="Senior Sales Manager",IF(COUNTIF(Teams!$A$2:$A$1001,C428)=1,"VD selected - Verify ID","Missing/Ambiguous VD"),IF(B428="Sales Manager",IF(COUNTIF(Teams!$B$2:$B$1001,C428)=1,"SSM selected - Verify ID","Missing/Ambiguous SSM"),"Invalid Position")))))))</f>
      </c>
    </row>
    <row r="429">
      <c r="A429" t="str">
        <f>IF(OR(Identity!B429="",Identity!D429=""),"",TRIM(Identity!B429&amp;" "&amp;Identity!C429&amp;" "&amp;Identity!D429))</f>
      </c>
      <c r="D429" t="str">
        <f>IF(A429="","",IF(B429="","Select Position",IF(B429="Vice Director",IF(C429="","Ready - No Head Needed","Clear Head Member"),IF(C429="","Select Head Member",IF(C429=A429,"Invalid - Same Applicant",IF(B429="Senior Sales Manager",IF(COUNTIF(Teams!$A$2:$A$1001,C429)=1,"VD selected - Verify ID","Missing/Ambiguous VD"),IF(B429="Sales Manager",IF(COUNTIF(Teams!$B$2:$B$1001,C429)=1,"SSM selected - Verify ID","Missing/Ambiguous SSM"),"Invalid Position")))))))</f>
      </c>
    </row>
    <row r="430">
      <c r="A430" t="str">
        <f>IF(OR(Identity!B430="",Identity!D430=""),"",TRIM(Identity!B430&amp;" "&amp;Identity!C430&amp;" "&amp;Identity!D430))</f>
      </c>
      <c r="D430" t="str">
        <f>IF(A430="","",IF(B430="","Select Position",IF(B430="Vice Director",IF(C430="","Ready - No Head Needed","Clear Head Member"),IF(C430="","Select Head Member",IF(C430=A430,"Invalid - Same Applicant",IF(B430="Senior Sales Manager",IF(COUNTIF(Teams!$A$2:$A$1001,C430)=1,"VD selected - Verify ID","Missing/Ambiguous VD"),IF(B430="Sales Manager",IF(COUNTIF(Teams!$B$2:$B$1001,C430)=1,"SSM selected - Verify ID","Missing/Ambiguous SSM"),"Invalid Position")))))))</f>
      </c>
    </row>
    <row r="431">
      <c r="A431" t="str">
        <f>IF(OR(Identity!B431="",Identity!D431=""),"",TRIM(Identity!B431&amp;" "&amp;Identity!C431&amp;" "&amp;Identity!D431))</f>
      </c>
      <c r="D431" t="str">
        <f>IF(A431="","",IF(B431="","Select Position",IF(B431="Vice Director",IF(C431="","Ready - No Head Needed","Clear Head Member"),IF(C431="","Select Head Member",IF(C431=A431,"Invalid - Same Applicant",IF(B431="Senior Sales Manager",IF(COUNTIF(Teams!$A$2:$A$1001,C431)=1,"VD selected - Verify ID","Missing/Ambiguous VD"),IF(B431="Sales Manager",IF(COUNTIF(Teams!$B$2:$B$1001,C431)=1,"SSM selected - Verify ID","Missing/Ambiguous SSM"),"Invalid Position")))))))</f>
      </c>
    </row>
    <row r="432">
      <c r="A432" t="str">
        <f>IF(OR(Identity!B432="",Identity!D432=""),"",TRIM(Identity!B432&amp;" "&amp;Identity!C432&amp;" "&amp;Identity!D432))</f>
      </c>
      <c r="D432" t="str">
        <f>IF(A432="","",IF(B432="","Select Position",IF(B432="Vice Director",IF(C432="","Ready - No Head Needed","Clear Head Member"),IF(C432="","Select Head Member",IF(C432=A432,"Invalid - Same Applicant",IF(B432="Senior Sales Manager",IF(COUNTIF(Teams!$A$2:$A$1001,C432)=1,"VD selected - Verify ID","Missing/Ambiguous VD"),IF(B432="Sales Manager",IF(COUNTIF(Teams!$B$2:$B$1001,C432)=1,"SSM selected - Verify ID","Missing/Ambiguous SSM"),"Invalid Position")))))))</f>
      </c>
    </row>
    <row r="433">
      <c r="A433" t="str">
        <f>IF(OR(Identity!B433="",Identity!D433=""),"",TRIM(Identity!B433&amp;" "&amp;Identity!C433&amp;" "&amp;Identity!D433))</f>
      </c>
      <c r="D433" t="str">
        <f>IF(A433="","",IF(B433="","Select Position",IF(B433="Vice Director",IF(C433="","Ready - No Head Needed","Clear Head Member"),IF(C433="","Select Head Member",IF(C433=A433,"Invalid - Same Applicant",IF(B433="Senior Sales Manager",IF(COUNTIF(Teams!$A$2:$A$1001,C433)=1,"VD selected - Verify ID","Missing/Ambiguous VD"),IF(B433="Sales Manager",IF(COUNTIF(Teams!$B$2:$B$1001,C433)=1,"SSM selected - Verify ID","Missing/Ambiguous SSM"),"Invalid Position")))))))</f>
      </c>
    </row>
    <row r="434">
      <c r="A434" t="str">
        <f>IF(OR(Identity!B434="",Identity!D434=""),"",TRIM(Identity!B434&amp;" "&amp;Identity!C434&amp;" "&amp;Identity!D434))</f>
      </c>
      <c r="D434" t="str">
        <f>IF(A434="","",IF(B434="","Select Position",IF(B434="Vice Director",IF(C434="","Ready - No Head Needed","Clear Head Member"),IF(C434="","Select Head Member",IF(C434=A434,"Invalid - Same Applicant",IF(B434="Senior Sales Manager",IF(COUNTIF(Teams!$A$2:$A$1001,C434)=1,"VD selected - Verify ID","Missing/Ambiguous VD"),IF(B434="Sales Manager",IF(COUNTIF(Teams!$B$2:$B$1001,C434)=1,"SSM selected - Verify ID","Missing/Ambiguous SSM"),"Invalid Position")))))))</f>
      </c>
    </row>
    <row r="435">
      <c r="A435" t="str">
        <f>IF(OR(Identity!B435="",Identity!D435=""),"",TRIM(Identity!B435&amp;" "&amp;Identity!C435&amp;" "&amp;Identity!D435))</f>
      </c>
      <c r="D435" t="str">
        <f>IF(A435="","",IF(B435="","Select Position",IF(B435="Vice Director",IF(C435="","Ready - No Head Needed","Clear Head Member"),IF(C435="","Select Head Member",IF(C435=A435,"Invalid - Same Applicant",IF(B435="Senior Sales Manager",IF(COUNTIF(Teams!$A$2:$A$1001,C435)=1,"VD selected - Verify ID","Missing/Ambiguous VD"),IF(B435="Sales Manager",IF(COUNTIF(Teams!$B$2:$B$1001,C435)=1,"SSM selected - Verify ID","Missing/Ambiguous SSM"),"Invalid Position")))))))</f>
      </c>
    </row>
    <row r="436">
      <c r="A436" t="str">
        <f>IF(OR(Identity!B436="",Identity!D436=""),"",TRIM(Identity!B436&amp;" "&amp;Identity!C436&amp;" "&amp;Identity!D436))</f>
      </c>
      <c r="D436" t="str">
        <f>IF(A436="","",IF(B436="","Select Position",IF(B436="Vice Director",IF(C436="","Ready - No Head Needed","Clear Head Member"),IF(C436="","Select Head Member",IF(C436=A436,"Invalid - Same Applicant",IF(B436="Senior Sales Manager",IF(COUNTIF(Teams!$A$2:$A$1001,C436)=1,"VD selected - Verify ID","Missing/Ambiguous VD"),IF(B436="Sales Manager",IF(COUNTIF(Teams!$B$2:$B$1001,C436)=1,"SSM selected - Verify ID","Missing/Ambiguous SSM"),"Invalid Position")))))))</f>
      </c>
    </row>
    <row r="437">
      <c r="A437" t="str">
        <f>IF(OR(Identity!B437="",Identity!D437=""),"",TRIM(Identity!B437&amp;" "&amp;Identity!C437&amp;" "&amp;Identity!D437))</f>
      </c>
      <c r="D437" t="str">
        <f>IF(A437="","",IF(B437="","Select Position",IF(B437="Vice Director",IF(C437="","Ready - No Head Needed","Clear Head Member"),IF(C437="","Select Head Member",IF(C437=A437,"Invalid - Same Applicant",IF(B437="Senior Sales Manager",IF(COUNTIF(Teams!$A$2:$A$1001,C437)=1,"VD selected - Verify ID","Missing/Ambiguous VD"),IF(B437="Sales Manager",IF(COUNTIF(Teams!$B$2:$B$1001,C437)=1,"SSM selected - Verify ID","Missing/Ambiguous SSM"),"Invalid Position")))))))</f>
      </c>
    </row>
    <row r="438">
      <c r="A438" t="str">
        <f>IF(OR(Identity!B438="",Identity!D438=""),"",TRIM(Identity!B438&amp;" "&amp;Identity!C438&amp;" "&amp;Identity!D438))</f>
      </c>
      <c r="D438" t="str">
        <f>IF(A438="","",IF(B438="","Select Position",IF(B438="Vice Director",IF(C438="","Ready - No Head Needed","Clear Head Member"),IF(C438="","Select Head Member",IF(C438=A438,"Invalid - Same Applicant",IF(B438="Senior Sales Manager",IF(COUNTIF(Teams!$A$2:$A$1001,C438)=1,"VD selected - Verify ID","Missing/Ambiguous VD"),IF(B438="Sales Manager",IF(COUNTIF(Teams!$B$2:$B$1001,C438)=1,"SSM selected - Verify ID","Missing/Ambiguous SSM"),"Invalid Position")))))))</f>
      </c>
    </row>
    <row r="439">
      <c r="A439" t="str">
        <f>IF(OR(Identity!B439="",Identity!D439=""),"",TRIM(Identity!B439&amp;" "&amp;Identity!C439&amp;" "&amp;Identity!D439))</f>
      </c>
      <c r="D439" t="str">
        <f>IF(A439="","",IF(B439="","Select Position",IF(B439="Vice Director",IF(C439="","Ready - No Head Needed","Clear Head Member"),IF(C439="","Select Head Member",IF(C439=A439,"Invalid - Same Applicant",IF(B439="Senior Sales Manager",IF(COUNTIF(Teams!$A$2:$A$1001,C439)=1,"VD selected - Verify ID","Missing/Ambiguous VD"),IF(B439="Sales Manager",IF(COUNTIF(Teams!$B$2:$B$1001,C439)=1,"SSM selected - Verify ID","Missing/Ambiguous SSM"),"Invalid Position")))))))</f>
      </c>
    </row>
    <row r="440">
      <c r="A440" t="str">
        <f>IF(OR(Identity!B440="",Identity!D440=""),"",TRIM(Identity!B440&amp;" "&amp;Identity!C440&amp;" "&amp;Identity!D440))</f>
      </c>
      <c r="D440" t="str">
        <f>IF(A440="","",IF(B440="","Select Position",IF(B440="Vice Director",IF(C440="","Ready - No Head Needed","Clear Head Member"),IF(C440="","Select Head Member",IF(C440=A440,"Invalid - Same Applicant",IF(B440="Senior Sales Manager",IF(COUNTIF(Teams!$A$2:$A$1001,C440)=1,"VD selected - Verify ID","Missing/Ambiguous VD"),IF(B440="Sales Manager",IF(COUNTIF(Teams!$B$2:$B$1001,C440)=1,"SSM selected - Verify ID","Missing/Ambiguous SSM"),"Invalid Position")))))))</f>
      </c>
    </row>
    <row r="441">
      <c r="A441" t="str">
        <f>IF(OR(Identity!B441="",Identity!D441=""),"",TRIM(Identity!B441&amp;" "&amp;Identity!C441&amp;" "&amp;Identity!D441))</f>
      </c>
      <c r="D441" t="str">
        <f>IF(A441="","",IF(B441="","Select Position",IF(B441="Vice Director",IF(C441="","Ready - No Head Needed","Clear Head Member"),IF(C441="","Select Head Member",IF(C441=A441,"Invalid - Same Applicant",IF(B441="Senior Sales Manager",IF(COUNTIF(Teams!$A$2:$A$1001,C441)=1,"VD selected - Verify ID","Missing/Ambiguous VD"),IF(B441="Sales Manager",IF(COUNTIF(Teams!$B$2:$B$1001,C441)=1,"SSM selected - Verify ID","Missing/Ambiguous SSM"),"Invalid Position")))))))</f>
      </c>
    </row>
    <row r="442">
      <c r="A442" t="str">
        <f>IF(OR(Identity!B442="",Identity!D442=""),"",TRIM(Identity!B442&amp;" "&amp;Identity!C442&amp;" "&amp;Identity!D442))</f>
      </c>
      <c r="D442" t="str">
        <f>IF(A442="","",IF(B442="","Select Position",IF(B442="Vice Director",IF(C442="","Ready - No Head Needed","Clear Head Member"),IF(C442="","Select Head Member",IF(C442=A442,"Invalid - Same Applicant",IF(B442="Senior Sales Manager",IF(COUNTIF(Teams!$A$2:$A$1001,C442)=1,"VD selected - Verify ID","Missing/Ambiguous VD"),IF(B442="Sales Manager",IF(COUNTIF(Teams!$B$2:$B$1001,C442)=1,"SSM selected - Verify ID","Missing/Ambiguous SSM"),"Invalid Position")))))))</f>
      </c>
    </row>
    <row r="443">
      <c r="A443" t="str">
        <f>IF(OR(Identity!B443="",Identity!D443=""),"",TRIM(Identity!B443&amp;" "&amp;Identity!C443&amp;" "&amp;Identity!D443))</f>
      </c>
      <c r="D443" t="str">
        <f>IF(A443="","",IF(B443="","Select Position",IF(B443="Vice Director",IF(C443="","Ready - No Head Needed","Clear Head Member"),IF(C443="","Select Head Member",IF(C443=A443,"Invalid - Same Applicant",IF(B443="Senior Sales Manager",IF(COUNTIF(Teams!$A$2:$A$1001,C443)=1,"VD selected - Verify ID","Missing/Ambiguous VD"),IF(B443="Sales Manager",IF(COUNTIF(Teams!$B$2:$B$1001,C443)=1,"SSM selected - Verify ID","Missing/Ambiguous SSM"),"Invalid Position")))))))</f>
      </c>
    </row>
    <row r="444">
      <c r="A444" t="str">
        <f>IF(OR(Identity!B444="",Identity!D444=""),"",TRIM(Identity!B444&amp;" "&amp;Identity!C444&amp;" "&amp;Identity!D444))</f>
      </c>
      <c r="D444" t="str">
        <f>IF(A444="","",IF(B444="","Select Position",IF(B444="Vice Director",IF(C444="","Ready - No Head Needed","Clear Head Member"),IF(C444="","Select Head Member",IF(C444=A444,"Invalid - Same Applicant",IF(B444="Senior Sales Manager",IF(COUNTIF(Teams!$A$2:$A$1001,C444)=1,"VD selected - Verify ID","Missing/Ambiguous VD"),IF(B444="Sales Manager",IF(COUNTIF(Teams!$B$2:$B$1001,C444)=1,"SSM selected - Verify ID","Missing/Ambiguous SSM"),"Invalid Position")))))))</f>
      </c>
    </row>
    <row r="445">
      <c r="A445" t="str">
        <f>IF(OR(Identity!B445="",Identity!D445=""),"",TRIM(Identity!B445&amp;" "&amp;Identity!C445&amp;" "&amp;Identity!D445))</f>
      </c>
      <c r="D445" t="str">
        <f>IF(A445="","",IF(B445="","Select Position",IF(B445="Vice Director",IF(C445="","Ready - No Head Needed","Clear Head Member"),IF(C445="","Select Head Member",IF(C445=A445,"Invalid - Same Applicant",IF(B445="Senior Sales Manager",IF(COUNTIF(Teams!$A$2:$A$1001,C445)=1,"VD selected - Verify ID","Missing/Ambiguous VD"),IF(B445="Sales Manager",IF(COUNTIF(Teams!$B$2:$B$1001,C445)=1,"SSM selected - Verify ID","Missing/Ambiguous SSM"),"Invalid Position")))))))</f>
      </c>
    </row>
    <row r="446">
      <c r="A446" t="str">
        <f>IF(OR(Identity!B446="",Identity!D446=""),"",TRIM(Identity!B446&amp;" "&amp;Identity!C446&amp;" "&amp;Identity!D446))</f>
      </c>
      <c r="D446" t="str">
        <f>IF(A446="","",IF(B446="","Select Position",IF(B446="Vice Director",IF(C446="","Ready - No Head Needed","Clear Head Member"),IF(C446="","Select Head Member",IF(C446=A446,"Invalid - Same Applicant",IF(B446="Senior Sales Manager",IF(COUNTIF(Teams!$A$2:$A$1001,C446)=1,"VD selected - Verify ID","Missing/Ambiguous VD"),IF(B446="Sales Manager",IF(COUNTIF(Teams!$B$2:$B$1001,C446)=1,"SSM selected - Verify ID","Missing/Ambiguous SSM"),"Invalid Position")))))))</f>
      </c>
    </row>
    <row r="447">
      <c r="A447" t="str">
        <f>IF(OR(Identity!B447="",Identity!D447=""),"",TRIM(Identity!B447&amp;" "&amp;Identity!C447&amp;" "&amp;Identity!D447))</f>
      </c>
      <c r="D447" t="str">
        <f>IF(A447="","",IF(B447="","Select Position",IF(B447="Vice Director",IF(C447="","Ready - No Head Needed","Clear Head Member"),IF(C447="","Select Head Member",IF(C447=A447,"Invalid - Same Applicant",IF(B447="Senior Sales Manager",IF(COUNTIF(Teams!$A$2:$A$1001,C447)=1,"VD selected - Verify ID","Missing/Ambiguous VD"),IF(B447="Sales Manager",IF(COUNTIF(Teams!$B$2:$B$1001,C447)=1,"SSM selected - Verify ID","Missing/Ambiguous SSM"),"Invalid Position")))))))</f>
      </c>
    </row>
    <row r="448">
      <c r="A448" t="str">
        <f>IF(OR(Identity!B448="",Identity!D448=""),"",TRIM(Identity!B448&amp;" "&amp;Identity!C448&amp;" "&amp;Identity!D448))</f>
      </c>
      <c r="D448" t="str">
        <f>IF(A448="","",IF(B448="","Select Position",IF(B448="Vice Director",IF(C448="","Ready - No Head Needed","Clear Head Member"),IF(C448="","Select Head Member",IF(C448=A448,"Invalid - Same Applicant",IF(B448="Senior Sales Manager",IF(COUNTIF(Teams!$A$2:$A$1001,C448)=1,"VD selected - Verify ID","Missing/Ambiguous VD"),IF(B448="Sales Manager",IF(COUNTIF(Teams!$B$2:$B$1001,C448)=1,"SSM selected - Verify ID","Missing/Ambiguous SSM"),"Invalid Position")))))))</f>
      </c>
    </row>
    <row r="449">
      <c r="A449" t="str">
        <f>IF(OR(Identity!B449="",Identity!D449=""),"",TRIM(Identity!B449&amp;" "&amp;Identity!C449&amp;" "&amp;Identity!D449))</f>
      </c>
      <c r="D449" t="str">
        <f>IF(A449="","",IF(B449="","Select Position",IF(B449="Vice Director",IF(C449="","Ready - No Head Needed","Clear Head Member"),IF(C449="","Select Head Member",IF(C449=A449,"Invalid - Same Applicant",IF(B449="Senior Sales Manager",IF(COUNTIF(Teams!$A$2:$A$1001,C449)=1,"VD selected - Verify ID","Missing/Ambiguous VD"),IF(B449="Sales Manager",IF(COUNTIF(Teams!$B$2:$B$1001,C449)=1,"SSM selected - Verify ID","Missing/Ambiguous SSM"),"Invalid Position")))))))</f>
      </c>
    </row>
    <row r="450">
      <c r="A450" t="str">
        <f>IF(OR(Identity!B450="",Identity!D450=""),"",TRIM(Identity!B450&amp;" "&amp;Identity!C450&amp;" "&amp;Identity!D450))</f>
      </c>
      <c r="D450" t="str">
        <f>IF(A450="","",IF(B450="","Select Position",IF(B450="Vice Director",IF(C450="","Ready - No Head Needed","Clear Head Member"),IF(C450="","Select Head Member",IF(C450=A450,"Invalid - Same Applicant",IF(B450="Senior Sales Manager",IF(COUNTIF(Teams!$A$2:$A$1001,C450)=1,"VD selected - Verify ID","Missing/Ambiguous VD"),IF(B450="Sales Manager",IF(COUNTIF(Teams!$B$2:$B$1001,C450)=1,"SSM selected - Verify ID","Missing/Ambiguous SSM"),"Invalid Position")))))))</f>
      </c>
    </row>
    <row r="451">
      <c r="A451" t="str">
        <f>IF(OR(Identity!B451="",Identity!D451=""),"",TRIM(Identity!B451&amp;" "&amp;Identity!C451&amp;" "&amp;Identity!D451))</f>
      </c>
      <c r="D451" t="str">
        <f>IF(A451="","",IF(B451="","Select Position",IF(B451="Vice Director",IF(C451="","Ready - No Head Needed","Clear Head Member"),IF(C451="","Select Head Member",IF(C451=A451,"Invalid - Same Applicant",IF(B451="Senior Sales Manager",IF(COUNTIF(Teams!$A$2:$A$1001,C451)=1,"VD selected - Verify ID","Missing/Ambiguous VD"),IF(B451="Sales Manager",IF(COUNTIF(Teams!$B$2:$B$1001,C451)=1,"SSM selected - Verify ID","Missing/Ambiguous SSM"),"Invalid Position")))))))</f>
      </c>
    </row>
    <row r="452">
      <c r="A452" t="str">
        <f>IF(OR(Identity!B452="",Identity!D452=""),"",TRIM(Identity!B452&amp;" "&amp;Identity!C452&amp;" "&amp;Identity!D452))</f>
      </c>
      <c r="D452" t="str">
        <f>IF(A452="","",IF(B452="","Select Position",IF(B452="Vice Director",IF(C452="","Ready - No Head Needed","Clear Head Member"),IF(C452="","Select Head Member",IF(C452=A452,"Invalid - Same Applicant",IF(B452="Senior Sales Manager",IF(COUNTIF(Teams!$A$2:$A$1001,C452)=1,"VD selected - Verify ID","Missing/Ambiguous VD"),IF(B452="Sales Manager",IF(COUNTIF(Teams!$B$2:$B$1001,C452)=1,"SSM selected - Verify ID","Missing/Ambiguous SSM"),"Invalid Position")))))))</f>
      </c>
    </row>
    <row r="453">
      <c r="A453" t="str">
        <f>IF(OR(Identity!B453="",Identity!D453=""),"",TRIM(Identity!B453&amp;" "&amp;Identity!C453&amp;" "&amp;Identity!D453))</f>
      </c>
      <c r="D453" t="str">
        <f>IF(A453="","",IF(B453="","Select Position",IF(B453="Vice Director",IF(C453="","Ready - No Head Needed","Clear Head Member"),IF(C453="","Select Head Member",IF(C453=A453,"Invalid - Same Applicant",IF(B453="Senior Sales Manager",IF(COUNTIF(Teams!$A$2:$A$1001,C453)=1,"VD selected - Verify ID","Missing/Ambiguous VD"),IF(B453="Sales Manager",IF(COUNTIF(Teams!$B$2:$B$1001,C453)=1,"SSM selected - Verify ID","Missing/Ambiguous SSM"),"Invalid Position")))))))</f>
      </c>
    </row>
    <row r="454">
      <c r="A454" t="str">
        <f>IF(OR(Identity!B454="",Identity!D454=""),"",TRIM(Identity!B454&amp;" "&amp;Identity!C454&amp;" "&amp;Identity!D454))</f>
      </c>
      <c r="D454" t="str">
        <f>IF(A454="","",IF(B454="","Select Position",IF(B454="Vice Director",IF(C454="","Ready - No Head Needed","Clear Head Member"),IF(C454="","Select Head Member",IF(C454=A454,"Invalid - Same Applicant",IF(B454="Senior Sales Manager",IF(COUNTIF(Teams!$A$2:$A$1001,C454)=1,"VD selected - Verify ID","Missing/Ambiguous VD"),IF(B454="Sales Manager",IF(COUNTIF(Teams!$B$2:$B$1001,C454)=1,"SSM selected - Verify ID","Missing/Ambiguous SSM"),"Invalid Position")))))))</f>
      </c>
    </row>
    <row r="455">
      <c r="A455" t="str">
        <f>IF(OR(Identity!B455="",Identity!D455=""),"",TRIM(Identity!B455&amp;" "&amp;Identity!C455&amp;" "&amp;Identity!D455))</f>
      </c>
      <c r="D455" t="str">
        <f>IF(A455="","",IF(B455="","Select Position",IF(B455="Vice Director",IF(C455="","Ready - No Head Needed","Clear Head Member"),IF(C455="","Select Head Member",IF(C455=A455,"Invalid - Same Applicant",IF(B455="Senior Sales Manager",IF(COUNTIF(Teams!$A$2:$A$1001,C455)=1,"VD selected - Verify ID","Missing/Ambiguous VD"),IF(B455="Sales Manager",IF(COUNTIF(Teams!$B$2:$B$1001,C455)=1,"SSM selected - Verify ID","Missing/Ambiguous SSM"),"Invalid Position")))))))</f>
      </c>
    </row>
    <row r="456">
      <c r="A456" t="str">
        <f>IF(OR(Identity!B456="",Identity!D456=""),"",TRIM(Identity!B456&amp;" "&amp;Identity!C456&amp;" "&amp;Identity!D456))</f>
      </c>
      <c r="D456" t="str">
        <f>IF(A456="","",IF(B456="","Select Position",IF(B456="Vice Director",IF(C456="","Ready - No Head Needed","Clear Head Member"),IF(C456="","Select Head Member",IF(C456=A456,"Invalid - Same Applicant",IF(B456="Senior Sales Manager",IF(COUNTIF(Teams!$A$2:$A$1001,C456)=1,"VD selected - Verify ID","Missing/Ambiguous VD"),IF(B456="Sales Manager",IF(COUNTIF(Teams!$B$2:$B$1001,C456)=1,"SSM selected - Verify ID","Missing/Ambiguous SSM"),"Invalid Position")))))))</f>
      </c>
    </row>
    <row r="457">
      <c r="A457" t="str">
        <f>IF(OR(Identity!B457="",Identity!D457=""),"",TRIM(Identity!B457&amp;" "&amp;Identity!C457&amp;" "&amp;Identity!D457))</f>
      </c>
      <c r="D457" t="str">
        <f>IF(A457="","",IF(B457="","Select Position",IF(B457="Vice Director",IF(C457="","Ready - No Head Needed","Clear Head Member"),IF(C457="","Select Head Member",IF(C457=A457,"Invalid - Same Applicant",IF(B457="Senior Sales Manager",IF(COUNTIF(Teams!$A$2:$A$1001,C457)=1,"VD selected - Verify ID","Missing/Ambiguous VD"),IF(B457="Sales Manager",IF(COUNTIF(Teams!$B$2:$B$1001,C457)=1,"SSM selected - Verify ID","Missing/Ambiguous SSM"),"Invalid Position")))))))</f>
      </c>
    </row>
    <row r="458">
      <c r="A458" t="str">
        <f>IF(OR(Identity!B458="",Identity!D458=""),"",TRIM(Identity!B458&amp;" "&amp;Identity!C458&amp;" "&amp;Identity!D458))</f>
      </c>
      <c r="D458" t="str">
        <f>IF(A458="","",IF(B458="","Select Position",IF(B458="Vice Director",IF(C458="","Ready - No Head Needed","Clear Head Member"),IF(C458="","Select Head Member",IF(C458=A458,"Invalid - Same Applicant",IF(B458="Senior Sales Manager",IF(COUNTIF(Teams!$A$2:$A$1001,C458)=1,"VD selected - Verify ID","Missing/Ambiguous VD"),IF(B458="Sales Manager",IF(COUNTIF(Teams!$B$2:$B$1001,C458)=1,"SSM selected - Verify ID","Missing/Ambiguous SSM"),"Invalid Position")))))))</f>
      </c>
    </row>
    <row r="459">
      <c r="A459" t="str">
        <f>IF(OR(Identity!B459="",Identity!D459=""),"",TRIM(Identity!B459&amp;" "&amp;Identity!C459&amp;" "&amp;Identity!D459))</f>
      </c>
      <c r="D459" t="str">
        <f>IF(A459="","",IF(B459="","Select Position",IF(B459="Vice Director",IF(C459="","Ready - No Head Needed","Clear Head Member"),IF(C459="","Select Head Member",IF(C459=A459,"Invalid - Same Applicant",IF(B459="Senior Sales Manager",IF(COUNTIF(Teams!$A$2:$A$1001,C459)=1,"VD selected - Verify ID","Missing/Ambiguous VD"),IF(B459="Sales Manager",IF(COUNTIF(Teams!$B$2:$B$1001,C459)=1,"SSM selected - Verify ID","Missing/Ambiguous SSM"),"Invalid Position")))))))</f>
      </c>
    </row>
    <row r="460">
      <c r="A460" t="str">
        <f>IF(OR(Identity!B460="",Identity!D460=""),"",TRIM(Identity!B460&amp;" "&amp;Identity!C460&amp;" "&amp;Identity!D460))</f>
      </c>
      <c r="D460" t="str">
        <f>IF(A460="","",IF(B460="","Select Position",IF(B460="Vice Director",IF(C460="","Ready - No Head Needed","Clear Head Member"),IF(C460="","Select Head Member",IF(C460=A460,"Invalid - Same Applicant",IF(B460="Senior Sales Manager",IF(COUNTIF(Teams!$A$2:$A$1001,C460)=1,"VD selected - Verify ID","Missing/Ambiguous VD"),IF(B460="Sales Manager",IF(COUNTIF(Teams!$B$2:$B$1001,C460)=1,"SSM selected - Verify ID","Missing/Ambiguous SSM"),"Invalid Position")))))))</f>
      </c>
    </row>
    <row r="461">
      <c r="A461" t="str">
        <f>IF(OR(Identity!B461="",Identity!D461=""),"",TRIM(Identity!B461&amp;" "&amp;Identity!C461&amp;" "&amp;Identity!D461))</f>
      </c>
      <c r="D461" t="str">
        <f>IF(A461="","",IF(B461="","Select Position",IF(B461="Vice Director",IF(C461="","Ready - No Head Needed","Clear Head Member"),IF(C461="","Select Head Member",IF(C461=A461,"Invalid - Same Applicant",IF(B461="Senior Sales Manager",IF(COUNTIF(Teams!$A$2:$A$1001,C461)=1,"VD selected - Verify ID","Missing/Ambiguous VD"),IF(B461="Sales Manager",IF(COUNTIF(Teams!$B$2:$B$1001,C461)=1,"SSM selected - Verify ID","Missing/Ambiguous SSM"),"Invalid Position")))))))</f>
      </c>
    </row>
    <row r="462">
      <c r="A462" t="str">
        <f>IF(OR(Identity!B462="",Identity!D462=""),"",TRIM(Identity!B462&amp;" "&amp;Identity!C462&amp;" "&amp;Identity!D462))</f>
      </c>
      <c r="D462" t="str">
        <f>IF(A462="","",IF(B462="","Select Position",IF(B462="Vice Director",IF(C462="","Ready - No Head Needed","Clear Head Member"),IF(C462="","Select Head Member",IF(C462=A462,"Invalid - Same Applicant",IF(B462="Senior Sales Manager",IF(COUNTIF(Teams!$A$2:$A$1001,C462)=1,"VD selected - Verify ID","Missing/Ambiguous VD"),IF(B462="Sales Manager",IF(COUNTIF(Teams!$B$2:$B$1001,C462)=1,"SSM selected - Verify ID","Missing/Ambiguous SSM"),"Invalid Position")))))))</f>
      </c>
    </row>
    <row r="463">
      <c r="A463" t="str">
        <f>IF(OR(Identity!B463="",Identity!D463=""),"",TRIM(Identity!B463&amp;" "&amp;Identity!C463&amp;" "&amp;Identity!D463))</f>
      </c>
      <c r="D463" t="str">
        <f>IF(A463="","",IF(B463="","Select Position",IF(B463="Vice Director",IF(C463="","Ready - No Head Needed","Clear Head Member"),IF(C463="","Select Head Member",IF(C463=A463,"Invalid - Same Applicant",IF(B463="Senior Sales Manager",IF(COUNTIF(Teams!$A$2:$A$1001,C463)=1,"VD selected - Verify ID","Missing/Ambiguous VD"),IF(B463="Sales Manager",IF(COUNTIF(Teams!$B$2:$B$1001,C463)=1,"SSM selected - Verify ID","Missing/Ambiguous SSM"),"Invalid Position")))))))</f>
      </c>
    </row>
    <row r="464">
      <c r="A464" t="str">
        <f>IF(OR(Identity!B464="",Identity!D464=""),"",TRIM(Identity!B464&amp;" "&amp;Identity!C464&amp;" "&amp;Identity!D464))</f>
      </c>
      <c r="D464" t="str">
        <f>IF(A464="","",IF(B464="","Select Position",IF(B464="Vice Director",IF(C464="","Ready - No Head Needed","Clear Head Member"),IF(C464="","Select Head Member",IF(C464=A464,"Invalid - Same Applicant",IF(B464="Senior Sales Manager",IF(COUNTIF(Teams!$A$2:$A$1001,C464)=1,"VD selected - Verify ID","Missing/Ambiguous VD"),IF(B464="Sales Manager",IF(COUNTIF(Teams!$B$2:$B$1001,C464)=1,"SSM selected - Verify ID","Missing/Ambiguous SSM"),"Invalid Position")))))))</f>
      </c>
    </row>
    <row r="465">
      <c r="A465" t="str">
        <f>IF(OR(Identity!B465="",Identity!D465=""),"",TRIM(Identity!B465&amp;" "&amp;Identity!C465&amp;" "&amp;Identity!D465))</f>
      </c>
      <c r="D465" t="str">
        <f>IF(A465="","",IF(B465="","Select Position",IF(B465="Vice Director",IF(C465="","Ready - No Head Needed","Clear Head Member"),IF(C465="","Select Head Member",IF(C465=A465,"Invalid - Same Applicant",IF(B465="Senior Sales Manager",IF(COUNTIF(Teams!$A$2:$A$1001,C465)=1,"VD selected - Verify ID","Missing/Ambiguous VD"),IF(B465="Sales Manager",IF(COUNTIF(Teams!$B$2:$B$1001,C465)=1,"SSM selected - Verify ID","Missing/Ambiguous SSM"),"Invalid Position")))))))</f>
      </c>
    </row>
    <row r="466">
      <c r="A466" t="str">
        <f>IF(OR(Identity!B466="",Identity!D466=""),"",TRIM(Identity!B466&amp;" "&amp;Identity!C466&amp;" "&amp;Identity!D466))</f>
      </c>
      <c r="D466" t="str">
        <f>IF(A466="","",IF(B466="","Select Position",IF(B466="Vice Director",IF(C466="","Ready - No Head Needed","Clear Head Member"),IF(C466="","Select Head Member",IF(C466=A466,"Invalid - Same Applicant",IF(B466="Senior Sales Manager",IF(COUNTIF(Teams!$A$2:$A$1001,C466)=1,"VD selected - Verify ID","Missing/Ambiguous VD"),IF(B466="Sales Manager",IF(COUNTIF(Teams!$B$2:$B$1001,C466)=1,"SSM selected - Verify ID","Missing/Ambiguous SSM"),"Invalid Position")))))))</f>
      </c>
    </row>
    <row r="467">
      <c r="A467" t="str">
        <f>IF(OR(Identity!B467="",Identity!D467=""),"",TRIM(Identity!B467&amp;" "&amp;Identity!C467&amp;" "&amp;Identity!D467))</f>
      </c>
      <c r="D467" t="str">
        <f>IF(A467="","",IF(B467="","Select Position",IF(B467="Vice Director",IF(C467="","Ready - No Head Needed","Clear Head Member"),IF(C467="","Select Head Member",IF(C467=A467,"Invalid - Same Applicant",IF(B467="Senior Sales Manager",IF(COUNTIF(Teams!$A$2:$A$1001,C467)=1,"VD selected - Verify ID","Missing/Ambiguous VD"),IF(B467="Sales Manager",IF(COUNTIF(Teams!$B$2:$B$1001,C467)=1,"SSM selected - Verify ID","Missing/Ambiguous SSM"),"Invalid Position")))))))</f>
      </c>
    </row>
    <row r="468">
      <c r="A468" t="str">
        <f>IF(OR(Identity!B468="",Identity!D468=""),"",TRIM(Identity!B468&amp;" "&amp;Identity!C468&amp;" "&amp;Identity!D468))</f>
      </c>
      <c r="D468" t="str">
        <f>IF(A468="","",IF(B468="","Select Position",IF(B468="Vice Director",IF(C468="","Ready - No Head Needed","Clear Head Member"),IF(C468="","Select Head Member",IF(C468=A468,"Invalid - Same Applicant",IF(B468="Senior Sales Manager",IF(COUNTIF(Teams!$A$2:$A$1001,C468)=1,"VD selected - Verify ID","Missing/Ambiguous VD"),IF(B468="Sales Manager",IF(COUNTIF(Teams!$B$2:$B$1001,C468)=1,"SSM selected - Verify ID","Missing/Ambiguous SSM"),"Invalid Position")))))))</f>
      </c>
    </row>
    <row r="469">
      <c r="A469" t="str">
        <f>IF(OR(Identity!B469="",Identity!D469=""),"",TRIM(Identity!B469&amp;" "&amp;Identity!C469&amp;" "&amp;Identity!D469))</f>
      </c>
      <c r="D469" t="str">
        <f>IF(A469="","",IF(B469="","Select Position",IF(B469="Vice Director",IF(C469="","Ready - No Head Needed","Clear Head Member"),IF(C469="","Select Head Member",IF(C469=A469,"Invalid - Same Applicant",IF(B469="Senior Sales Manager",IF(COUNTIF(Teams!$A$2:$A$1001,C469)=1,"VD selected - Verify ID","Missing/Ambiguous VD"),IF(B469="Sales Manager",IF(COUNTIF(Teams!$B$2:$B$1001,C469)=1,"SSM selected - Verify ID","Missing/Ambiguous SSM"),"Invalid Position")))))))</f>
      </c>
    </row>
    <row r="470">
      <c r="A470" t="str">
        <f>IF(OR(Identity!B470="",Identity!D470=""),"",TRIM(Identity!B470&amp;" "&amp;Identity!C470&amp;" "&amp;Identity!D470))</f>
      </c>
      <c r="D470" t="str">
        <f>IF(A470="","",IF(B470="","Select Position",IF(B470="Vice Director",IF(C470="","Ready - No Head Needed","Clear Head Member"),IF(C470="","Select Head Member",IF(C470=A470,"Invalid - Same Applicant",IF(B470="Senior Sales Manager",IF(COUNTIF(Teams!$A$2:$A$1001,C470)=1,"VD selected - Verify ID","Missing/Ambiguous VD"),IF(B470="Sales Manager",IF(COUNTIF(Teams!$B$2:$B$1001,C470)=1,"SSM selected - Verify ID","Missing/Ambiguous SSM"),"Invalid Position")))))))</f>
      </c>
    </row>
    <row r="471">
      <c r="A471" t="str">
        <f>IF(OR(Identity!B471="",Identity!D471=""),"",TRIM(Identity!B471&amp;" "&amp;Identity!C471&amp;" "&amp;Identity!D471))</f>
      </c>
      <c r="D471" t="str">
        <f>IF(A471="","",IF(B471="","Select Position",IF(B471="Vice Director",IF(C471="","Ready - No Head Needed","Clear Head Member"),IF(C471="","Select Head Member",IF(C471=A471,"Invalid - Same Applicant",IF(B471="Senior Sales Manager",IF(COUNTIF(Teams!$A$2:$A$1001,C471)=1,"VD selected - Verify ID","Missing/Ambiguous VD"),IF(B471="Sales Manager",IF(COUNTIF(Teams!$B$2:$B$1001,C471)=1,"SSM selected - Verify ID","Missing/Ambiguous SSM"),"Invalid Position")))))))</f>
      </c>
    </row>
    <row r="472">
      <c r="A472" t="str">
        <f>IF(OR(Identity!B472="",Identity!D472=""),"",TRIM(Identity!B472&amp;" "&amp;Identity!C472&amp;" "&amp;Identity!D472))</f>
      </c>
      <c r="D472" t="str">
        <f>IF(A472="","",IF(B472="","Select Position",IF(B472="Vice Director",IF(C472="","Ready - No Head Needed","Clear Head Member"),IF(C472="","Select Head Member",IF(C472=A472,"Invalid - Same Applicant",IF(B472="Senior Sales Manager",IF(COUNTIF(Teams!$A$2:$A$1001,C472)=1,"VD selected - Verify ID","Missing/Ambiguous VD"),IF(B472="Sales Manager",IF(COUNTIF(Teams!$B$2:$B$1001,C472)=1,"SSM selected - Verify ID","Missing/Ambiguous SSM"),"Invalid Position")))))))</f>
      </c>
    </row>
    <row r="473">
      <c r="A473" t="str">
        <f>IF(OR(Identity!B473="",Identity!D473=""),"",TRIM(Identity!B473&amp;" "&amp;Identity!C473&amp;" "&amp;Identity!D473))</f>
      </c>
      <c r="D473" t="str">
        <f>IF(A473="","",IF(B473="","Select Position",IF(B473="Vice Director",IF(C473="","Ready - No Head Needed","Clear Head Member"),IF(C473="","Select Head Member",IF(C473=A473,"Invalid - Same Applicant",IF(B473="Senior Sales Manager",IF(COUNTIF(Teams!$A$2:$A$1001,C473)=1,"VD selected - Verify ID","Missing/Ambiguous VD"),IF(B473="Sales Manager",IF(COUNTIF(Teams!$B$2:$B$1001,C473)=1,"SSM selected - Verify ID","Missing/Ambiguous SSM"),"Invalid Position")))))))</f>
      </c>
    </row>
    <row r="474">
      <c r="A474" t="str">
        <f>IF(OR(Identity!B474="",Identity!D474=""),"",TRIM(Identity!B474&amp;" "&amp;Identity!C474&amp;" "&amp;Identity!D474))</f>
      </c>
      <c r="D474" t="str">
        <f>IF(A474="","",IF(B474="","Select Position",IF(B474="Vice Director",IF(C474="","Ready - No Head Needed","Clear Head Member"),IF(C474="","Select Head Member",IF(C474=A474,"Invalid - Same Applicant",IF(B474="Senior Sales Manager",IF(COUNTIF(Teams!$A$2:$A$1001,C474)=1,"VD selected - Verify ID","Missing/Ambiguous VD"),IF(B474="Sales Manager",IF(COUNTIF(Teams!$B$2:$B$1001,C474)=1,"SSM selected - Verify ID","Missing/Ambiguous SSM"),"Invalid Position")))))))</f>
      </c>
    </row>
    <row r="475">
      <c r="A475" t="str">
        <f>IF(OR(Identity!B475="",Identity!D475=""),"",TRIM(Identity!B475&amp;" "&amp;Identity!C475&amp;" "&amp;Identity!D475))</f>
      </c>
      <c r="D475" t="str">
        <f>IF(A475="","",IF(B475="","Select Position",IF(B475="Vice Director",IF(C475="","Ready - No Head Needed","Clear Head Member"),IF(C475="","Select Head Member",IF(C475=A475,"Invalid - Same Applicant",IF(B475="Senior Sales Manager",IF(COUNTIF(Teams!$A$2:$A$1001,C475)=1,"VD selected - Verify ID","Missing/Ambiguous VD"),IF(B475="Sales Manager",IF(COUNTIF(Teams!$B$2:$B$1001,C475)=1,"SSM selected - Verify ID","Missing/Ambiguous SSM"),"Invalid Position")))))))</f>
      </c>
    </row>
    <row r="476">
      <c r="A476" t="str">
        <f>IF(OR(Identity!B476="",Identity!D476=""),"",TRIM(Identity!B476&amp;" "&amp;Identity!C476&amp;" "&amp;Identity!D476))</f>
      </c>
      <c r="D476" t="str">
        <f>IF(A476="","",IF(B476="","Select Position",IF(B476="Vice Director",IF(C476="","Ready - No Head Needed","Clear Head Member"),IF(C476="","Select Head Member",IF(C476=A476,"Invalid - Same Applicant",IF(B476="Senior Sales Manager",IF(COUNTIF(Teams!$A$2:$A$1001,C476)=1,"VD selected - Verify ID","Missing/Ambiguous VD"),IF(B476="Sales Manager",IF(COUNTIF(Teams!$B$2:$B$1001,C476)=1,"SSM selected - Verify ID","Missing/Ambiguous SSM"),"Invalid Position")))))))</f>
      </c>
    </row>
    <row r="477">
      <c r="A477" t="str">
        <f>IF(OR(Identity!B477="",Identity!D477=""),"",TRIM(Identity!B477&amp;" "&amp;Identity!C477&amp;" "&amp;Identity!D477))</f>
      </c>
      <c r="D477" t="str">
        <f>IF(A477="","",IF(B477="","Select Position",IF(B477="Vice Director",IF(C477="","Ready - No Head Needed","Clear Head Member"),IF(C477="","Select Head Member",IF(C477=A477,"Invalid - Same Applicant",IF(B477="Senior Sales Manager",IF(COUNTIF(Teams!$A$2:$A$1001,C477)=1,"VD selected - Verify ID","Missing/Ambiguous VD"),IF(B477="Sales Manager",IF(COUNTIF(Teams!$B$2:$B$1001,C477)=1,"SSM selected - Verify ID","Missing/Ambiguous SSM"),"Invalid Position")))))))</f>
      </c>
    </row>
    <row r="478">
      <c r="A478" t="str">
        <f>IF(OR(Identity!B478="",Identity!D478=""),"",TRIM(Identity!B478&amp;" "&amp;Identity!C478&amp;" "&amp;Identity!D478))</f>
      </c>
      <c r="D478" t="str">
        <f>IF(A478="","",IF(B478="","Select Position",IF(B478="Vice Director",IF(C478="","Ready - No Head Needed","Clear Head Member"),IF(C478="","Select Head Member",IF(C478=A478,"Invalid - Same Applicant",IF(B478="Senior Sales Manager",IF(COUNTIF(Teams!$A$2:$A$1001,C478)=1,"VD selected - Verify ID","Missing/Ambiguous VD"),IF(B478="Sales Manager",IF(COUNTIF(Teams!$B$2:$B$1001,C478)=1,"SSM selected - Verify ID","Missing/Ambiguous SSM"),"Invalid Position")))))))</f>
      </c>
    </row>
    <row r="479">
      <c r="A479" t="str">
        <f>IF(OR(Identity!B479="",Identity!D479=""),"",TRIM(Identity!B479&amp;" "&amp;Identity!C479&amp;" "&amp;Identity!D479))</f>
      </c>
      <c r="D479" t="str">
        <f>IF(A479="","",IF(B479="","Select Position",IF(B479="Vice Director",IF(C479="","Ready - No Head Needed","Clear Head Member"),IF(C479="","Select Head Member",IF(C479=A479,"Invalid - Same Applicant",IF(B479="Senior Sales Manager",IF(COUNTIF(Teams!$A$2:$A$1001,C479)=1,"VD selected - Verify ID","Missing/Ambiguous VD"),IF(B479="Sales Manager",IF(COUNTIF(Teams!$B$2:$B$1001,C479)=1,"SSM selected - Verify ID","Missing/Ambiguous SSM"),"Invalid Position")))))))</f>
      </c>
    </row>
    <row r="480">
      <c r="A480" t="str">
        <f>IF(OR(Identity!B480="",Identity!D480=""),"",TRIM(Identity!B480&amp;" "&amp;Identity!C480&amp;" "&amp;Identity!D480))</f>
      </c>
      <c r="D480" t="str">
        <f>IF(A480="","",IF(B480="","Select Position",IF(B480="Vice Director",IF(C480="","Ready - No Head Needed","Clear Head Member"),IF(C480="","Select Head Member",IF(C480=A480,"Invalid - Same Applicant",IF(B480="Senior Sales Manager",IF(COUNTIF(Teams!$A$2:$A$1001,C480)=1,"VD selected - Verify ID","Missing/Ambiguous VD"),IF(B480="Sales Manager",IF(COUNTIF(Teams!$B$2:$B$1001,C480)=1,"SSM selected - Verify ID","Missing/Ambiguous SSM"),"Invalid Position")))))))</f>
      </c>
    </row>
    <row r="481">
      <c r="A481" t="str">
        <f>IF(OR(Identity!B481="",Identity!D481=""),"",TRIM(Identity!B481&amp;" "&amp;Identity!C481&amp;" "&amp;Identity!D481))</f>
      </c>
      <c r="D481" t="str">
        <f>IF(A481="","",IF(B481="","Select Position",IF(B481="Vice Director",IF(C481="","Ready - No Head Needed","Clear Head Member"),IF(C481="","Select Head Member",IF(C481=A481,"Invalid - Same Applicant",IF(B481="Senior Sales Manager",IF(COUNTIF(Teams!$A$2:$A$1001,C481)=1,"VD selected - Verify ID","Missing/Ambiguous VD"),IF(B481="Sales Manager",IF(COUNTIF(Teams!$B$2:$B$1001,C481)=1,"SSM selected - Verify ID","Missing/Ambiguous SSM"),"Invalid Position")))))))</f>
      </c>
    </row>
    <row r="482">
      <c r="A482" t="str">
        <f>IF(OR(Identity!B482="",Identity!D482=""),"",TRIM(Identity!B482&amp;" "&amp;Identity!C482&amp;" "&amp;Identity!D482))</f>
      </c>
      <c r="D482" t="str">
        <f>IF(A482="","",IF(B482="","Select Position",IF(B482="Vice Director",IF(C482="","Ready - No Head Needed","Clear Head Member"),IF(C482="","Select Head Member",IF(C482=A482,"Invalid - Same Applicant",IF(B482="Senior Sales Manager",IF(COUNTIF(Teams!$A$2:$A$1001,C482)=1,"VD selected - Verify ID","Missing/Ambiguous VD"),IF(B482="Sales Manager",IF(COUNTIF(Teams!$B$2:$B$1001,C482)=1,"SSM selected - Verify ID","Missing/Ambiguous SSM"),"Invalid Position")))))))</f>
      </c>
    </row>
    <row r="483">
      <c r="A483" t="str">
        <f>IF(OR(Identity!B483="",Identity!D483=""),"",TRIM(Identity!B483&amp;" "&amp;Identity!C483&amp;" "&amp;Identity!D483))</f>
      </c>
      <c r="D483" t="str">
        <f>IF(A483="","",IF(B483="","Select Position",IF(B483="Vice Director",IF(C483="","Ready - No Head Needed","Clear Head Member"),IF(C483="","Select Head Member",IF(C483=A483,"Invalid - Same Applicant",IF(B483="Senior Sales Manager",IF(COUNTIF(Teams!$A$2:$A$1001,C483)=1,"VD selected - Verify ID","Missing/Ambiguous VD"),IF(B483="Sales Manager",IF(COUNTIF(Teams!$B$2:$B$1001,C483)=1,"SSM selected - Verify ID","Missing/Ambiguous SSM"),"Invalid Position")))))))</f>
      </c>
    </row>
    <row r="484">
      <c r="A484" t="str">
        <f>IF(OR(Identity!B484="",Identity!D484=""),"",TRIM(Identity!B484&amp;" "&amp;Identity!C484&amp;" "&amp;Identity!D484))</f>
      </c>
      <c r="D484" t="str">
        <f>IF(A484="","",IF(B484="","Select Position",IF(B484="Vice Director",IF(C484="","Ready - No Head Needed","Clear Head Member"),IF(C484="","Select Head Member",IF(C484=A484,"Invalid - Same Applicant",IF(B484="Senior Sales Manager",IF(COUNTIF(Teams!$A$2:$A$1001,C484)=1,"VD selected - Verify ID","Missing/Ambiguous VD"),IF(B484="Sales Manager",IF(COUNTIF(Teams!$B$2:$B$1001,C484)=1,"SSM selected - Verify ID","Missing/Ambiguous SSM"),"Invalid Position")))))))</f>
      </c>
    </row>
    <row r="485">
      <c r="A485" t="str">
        <f>IF(OR(Identity!B485="",Identity!D485=""),"",TRIM(Identity!B485&amp;" "&amp;Identity!C485&amp;" "&amp;Identity!D485))</f>
      </c>
      <c r="D485" t="str">
        <f>IF(A485="","",IF(B485="","Select Position",IF(B485="Vice Director",IF(C485="","Ready - No Head Needed","Clear Head Member"),IF(C485="","Select Head Member",IF(C485=A485,"Invalid - Same Applicant",IF(B485="Senior Sales Manager",IF(COUNTIF(Teams!$A$2:$A$1001,C485)=1,"VD selected - Verify ID","Missing/Ambiguous VD"),IF(B485="Sales Manager",IF(COUNTIF(Teams!$B$2:$B$1001,C485)=1,"SSM selected - Verify ID","Missing/Ambiguous SSM"),"Invalid Position")))))))</f>
      </c>
    </row>
    <row r="486">
      <c r="A486" t="str">
        <f>IF(OR(Identity!B486="",Identity!D486=""),"",TRIM(Identity!B486&amp;" "&amp;Identity!C486&amp;" "&amp;Identity!D486))</f>
      </c>
      <c r="D486" t="str">
        <f>IF(A486="","",IF(B486="","Select Position",IF(B486="Vice Director",IF(C486="","Ready - No Head Needed","Clear Head Member"),IF(C486="","Select Head Member",IF(C486=A486,"Invalid - Same Applicant",IF(B486="Senior Sales Manager",IF(COUNTIF(Teams!$A$2:$A$1001,C486)=1,"VD selected - Verify ID","Missing/Ambiguous VD"),IF(B486="Sales Manager",IF(COUNTIF(Teams!$B$2:$B$1001,C486)=1,"SSM selected - Verify ID","Missing/Ambiguous SSM"),"Invalid Position")))))))</f>
      </c>
    </row>
    <row r="487">
      <c r="A487" t="str">
        <f>IF(OR(Identity!B487="",Identity!D487=""),"",TRIM(Identity!B487&amp;" "&amp;Identity!C487&amp;" "&amp;Identity!D487))</f>
      </c>
      <c r="D487" t="str">
        <f>IF(A487="","",IF(B487="","Select Position",IF(B487="Vice Director",IF(C487="","Ready - No Head Needed","Clear Head Member"),IF(C487="","Select Head Member",IF(C487=A487,"Invalid - Same Applicant",IF(B487="Senior Sales Manager",IF(COUNTIF(Teams!$A$2:$A$1001,C487)=1,"VD selected - Verify ID","Missing/Ambiguous VD"),IF(B487="Sales Manager",IF(COUNTIF(Teams!$B$2:$B$1001,C487)=1,"SSM selected - Verify ID","Missing/Ambiguous SSM"),"Invalid Position")))))))</f>
      </c>
    </row>
    <row r="488">
      <c r="A488" t="str">
        <f>IF(OR(Identity!B488="",Identity!D488=""),"",TRIM(Identity!B488&amp;" "&amp;Identity!C488&amp;" "&amp;Identity!D488))</f>
      </c>
      <c r="D488" t="str">
        <f>IF(A488="","",IF(B488="","Select Position",IF(B488="Vice Director",IF(C488="","Ready - No Head Needed","Clear Head Member"),IF(C488="","Select Head Member",IF(C488=A488,"Invalid - Same Applicant",IF(B488="Senior Sales Manager",IF(COUNTIF(Teams!$A$2:$A$1001,C488)=1,"VD selected - Verify ID","Missing/Ambiguous VD"),IF(B488="Sales Manager",IF(COUNTIF(Teams!$B$2:$B$1001,C488)=1,"SSM selected - Verify ID","Missing/Ambiguous SSM"),"Invalid Position")))))))</f>
      </c>
    </row>
    <row r="489">
      <c r="A489" t="str">
        <f>IF(OR(Identity!B489="",Identity!D489=""),"",TRIM(Identity!B489&amp;" "&amp;Identity!C489&amp;" "&amp;Identity!D489))</f>
      </c>
      <c r="D489" t="str">
        <f>IF(A489="","",IF(B489="","Select Position",IF(B489="Vice Director",IF(C489="","Ready - No Head Needed","Clear Head Member"),IF(C489="","Select Head Member",IF(C489=A489,"Invalid - Same Applicant",IF(B489="Senior Sales Manager",IF(COUNTIF(Teams!$A$2:$A$1001,C489)=1,"VD selected - Verify ID","Missing/Ambiguous VD"),IF(B489="Sales Manager",IF(COUNTIF(Teams!$B$2:$B$1001,C489)=1,"SSM selected - Verify ID","Missing/Ambiguous SSM"),"Invalid Position")))))))</f>
      </c>
    </row>
    <row r="490">
      <c r="A490" t="str">
        <f>IF(OR(Identity!B490="",Identity!D490=""),"",TRIM(Identity!B490&amp;" "&amp;Identity!C490&amp;" "&amp;Identity!D490))</f>
      </c>
      <c r="D490" t="str">
        <f>IF(A490="","",IF(B490="","Select Position",IF(B490="Vice Director",IF(C490="","Ready - No Head Needed","Clear Head Member"),IF(C490="","Select Head Member",IF(C490=A490,"Invalid - Same Applicant",IF(B490="Senior Sales Manager",IF(COUNTIF(Teams!$A$2:$A$1001,C490)=1,"VD selected - Verify ID","Missing/Ambiguous VD"),IF(B490="Sales Manager",IF(COUNTIF(Teams!$B$2:$B$1001,C490)=1,"SSM selected - Verify ID","Missing/Ambiguous SSM"),"Invalid Position")))))))</f>
      </c>
    </row>
    <row r="491">
      <c r="A491" t="str">
        <f>IF(OR(Identity!B491="",Identity!D491=""),"",TRIM(Identity!B491&amp;" "&amp;Identity!C491&amp;" "&amp;Identity!D491))</f>
      </c>
      <c r="D491" t="str">
        <f>IF(A491="","",IF(B491="","Select Position",IF(B491="Vice Director",IF(C491="","Ready - No Head Needed","Clear Head Member"),IF(C491="","Select Head Member",IF(C491=A491,"Invalid - Same Applicant",IF(B491="Senior Sales Manager",IF(COUNTIF(Teams!$A$2:$A$1001,C491)=1,"VD selected - Verify ID","Missing/Ambiguous VD"),IF(B491="Sales Manager",IF(COUNTIF(Teams!$B$2:$B$1001,C491)=1,"SSM selected - Verify ID","Missing/Ambiguous SSM"),"Invalid Position")))))))</f>
      </c>
    </row>
    <row r="492">
      <c r="A492" t="str">
        <f>IF(OR(Identity!B492="",Identity!D492=""),"",TRIM(Identity!B492&amp;" "&amp;Identity!C492&amp;" "&amp;Identity!D492))</f>
      </c>
      <c r="D492" t="str">
        <f>IF(A492="","",IF(B492="","Select Position",IF(B492="Vice Director",IF(C492="","Ready - No Head Needed","Clear Head Member"),IF(C492="","Select Head Member",IF(C492=A492,"Invalid - Same Applicant",IF(B492="Senior Sales Manager",IF(COUNTIF(Teams!$A$2:$A$1001,C492)=1,"VD selected - Verify ID","Missing/Ambiguous VD"),IF(B492="Sales Manager",IF(COUNTIF(Teams!$B$2:$B$1001,C492)=1,"SSM selected - Verify ID","Missing/Ambiguous SSM"),"Invalid Position")))))))</f>
      </c>
    </row>
    <row r="493">
      <c r="A493" t="str">
        <f>IF(OR(Identity!B493="",Identity!D493=""),"",TRIM(Identity!B493&amp;" "&amp;Identity!C493&amp;" "&amp;Identity!D493))</f>
      </c>
      <c r="D493" t="str">
        <f>IF(A493="","",IF(B493="","Select Position",IF(B493="Vice Director",IF(C493="","Ready - No Head Needed","Clear Head Member"),IF(C493="","Select Head Member",IF(C493=A493,"Invalid - Same Applicant",IF(B493="Senior Sales Manager",IF(COUNTIF(Teams!$A$2:$A$1001,C493)=1,"VD selected - Verify ID","Missing/Ambiguous VD"),IF(B493="Sales Manager",IF(COUNTIF(Teams!$B$2:$B$1001,C493)=1,"SSM selected - Verify ID","Missing/Ambiguous SSM"),"Invalid Position")))))))</f>
      </c>
    </row>
    <row r="494">
      <c r="A494" t="str">
        <f>IF(OR(Identity!B494="",Identity!D494=""),"",TRIM(Identity!B494&amp;" "&amp;Identity!C494&amp;" "&amp;Identity!D494))</f>
      </c>
      <c r="D494" t="str">
        <f>IF(A494="","",IF(B494="","Select Position",IF(B494="Vice Director",IF(C494="","Ready - No Head Needed","Clear Head Member"),IF(C494="","Select Head Member",IF(C494=A494,"Invalid - Same Applicant",IF(B494="Senior Sales Manager",IF(COUNTIF(Teams!$A$2:$A$1001,C494)=1,"VD selected - Verify ID","Missing/Ambiguous VD"),IF(B494="Sales Manager",IF(COUNTIF(Teams!$B$2:$B$1001,C494)=1,"SSM selected - Verify ID","Missing/Ambiguous SSM"),"Invalid Position")))))))</f>
      </c>
    </row>
    <row r="495">
      <c r="A495" t="str">
        <f>IF(OR(Identity!B495="",Identity!D495=""),"",TRIM(Identity!B495&amp;" "&amp;Identity!C495&amp;" "&amp;Identity!D495))</f>
      </c>
      <c r="D495" t="str">
        <f>IF(A495="","",IF(B495="","Select Position",IF(B495="Vice Director",IF(C495="","Ready - No Head Needed","Clear Head Member"),IF(C495="","Select Head Member",IF(C495=A495,"Invalid - Same Applicant",IF(B495="Senior Sales Manager",IF(COUNTIF(Teams!$A$2:$A$1001,C495)=1,"VD selected - Verify ID","Missing/Ambiguous VD"),IF(B495="Sales Manager",IF(COUNTIF(Teams!$B$2:$B$1001,C495)=1,"SSM selected - Verify ID","Missing/Ambiguous SSM"),"Invalid Position")))))))</f>
      </c>
    </row>
    <row r="496">
      <c r="A496" t="str">
        <f>IF(OR(Identity!B496="",Identity!D496=""),"",TRIM(Identity!B496&amp;" "&amp;Identity!C496&amp;" "&amp;Identity!D496))</f>
      </c>
      <c r="D496" t="str">
        <f>IF(A496="","",IF(B496="","Select Position",IF(B496="Vice Director",IF(C496="","Ready - No Head Needed","Clear Head Member"),IF(C496="","Select Head Member",IF(C496=A496,"Invalid - Same Applicant",IF(B496="Senior Sales Manager",IF(COUNTIF(Teams!$A$2:$A$1001,C496)=1,"VD selected - Verify ID","Missing/Ambiguous VD"),IF(B496="Sales Manager",IF(COUNTIF(Teams!$B$2:$B$1001,C496)=1,"SSM selected - Verify ID","Missing/Ambiguous SSM"),"Invalid Position")))))))</f>
      </c>
    </row>
    <row r="497">
      <c r="A497" t="str">
        <f>IF(OR(Identity!B497="",Identity!D497=""),"",TRIM(Identity!B497&amp;" "&amp;Identity!C497&amp;" "&amp;Identity!D497))</f>
      </c>
      <c r="D497" t="str">
        <f>IF(A497="","",IF(B497="","Select Position",IF(B497="Vice Director",IF(C497="","Ready - No Head Needed","Clear Head Member"),IF(C497="","Select Head Member",IF(C497=A497,"Invalid - Same Applicant",IF(B497="Senior Sales Manager",IF(COUNTIF(Teams!$A$2:$A$1001,C497)=1,"VD selected - Verify ID","Missing/Ambiguous VD"),IF(B497="Sales Manager",IF(COUNTIF(Teams!$B$2:$B$1001,C497)=1,"SSM selected - Verify ID","Missing/Ambiguous SSM"),"Invalid Position")))))))</f>
      </c>
    </row>
    <row r="498">
      <c r="A498" t="str">
        <f>IF(OR(Identity!B498="",Identity!D498=""),"",TRIM(Identity!B498&amp;" "&amp;Identity!C498&amp;" "&amp;Identity!D498))</f>
      </c>
      <c r="D498" t="str">
        <f>IF(A498="","",IF(B498="","Select Position",IF(B498="Vice Director",IF(C498="","Ready - No Head Needed","Clear Head Member"),IF(C498="","Select Head Member",IF(C498=A498,"Invalid - Same Applicant",IF(B498="Senior Sales Manager",IF(COUNTIF(Teams!$A$2:$A$1001,C498)=1,"VD selected - Verify ID","Missing/Ambiguous VD"),IF(B498="Sales Manager",IF(COUNTIF(Teams!$B$2:$B$1001,C498)=1,"SSM selected - Verify ID","Missing/Ambiguous SSM"),"Invalid Position")))))))</f>
      </c>
    </row>
    <row r="499">
      <c r="A499" t="str">
        <f>IF(OR(Identity!B499="",Identity!D499=""),"",TRIM(Identity!B499&amp;" "&amp;Identity!C499&amp;" "&amp;Identity!D499))</f>
      </c>
      <c r="D499" t="str">
        <f>IF(A499="","",IF(B499="","Select Position",IF(B499="Vice Director",IF(C499="","Ready - No Head Needed","Clear Head Member"),IF(C499="","Select Head Member",IF(C499=A499,"Invalid - Same Applicant",IF(B499="Senior Sales Manager",IF(COUNTIF(Teams!$A$2:$A$1001,C499)=1,"VD selected - Verify ID","Missing/Ambiguous VD"),IF(B499="Sales Manager",IF(COUNTIF(Teams!$B$2:$B$1001,C499)=1,"SSM selected - Verify ID","Missing/Ambiguous SSM"),"Invalid Position")))))))</f>
      </c>
    </row>
    <row r="500">
      <c r="A500" t="str">
        <f>IF(OR(Identity!B500="",Identity!D500=""),"",TRIM(Identity!B500&amp;" "&amp;Identity!C500&amp;" "&amp;Identity!D500))</f>
      </c>
      <c r="D500" t="str">
        <f>IF(A500="","",IF(B500="","Select Position",IF(B500="Vice Director",IF(C500="","Ready - No Head Needed","Clear Head Member"),IF(C500="","Select Head Member",IF(C500=A500,"Invalid - Same Applicant",IF(B500="Senior Sales Manager",IF(COUNTIF(Teams!$A$2:$A$1001,C500)=1,"VD selected - Verify ID","Missing/Ambiguous VD"),IF(B500="Sales Manager",IF(COUNTIF(Teams!$B$2:$B$1001,C500)=1,"SSM selected - Verify ID","Missing/Ambiguous SSM"),"Invalid Position")))))))</f>
      </c>
    </row>
    <row r="501">
      <c r="A501" t="str">
        <f>IF(OR(Identity!B501="",Identity!D501=""),"",TRIM(Identity!B501&amp;" "&amp;Identity!C501&amp;" "&amp;Identity!D501))</f>
      </c>
      <c r="D501" t="str">
        <f>IF(A501="","",IF(B501="","Select Position",IF(B501="Vice Director",IF(C501="","Ready - No Head Needed","Clear Head Member"),IF(C501="","Select Head Member",IF(C501=A501,"Invalid - Same Applicant",IF(B501="Senior Sales Manager",IF(COUNTIF(Teams!$A$2:$A$1001,C501)=1,"VD selected - Verify ID","Missing/Ambiguous VD"),IF(B501="Sales Manager",IF(COUNTIF(Teams!$B$2:$B$1001,C501)=1,"SSM selected - Verify ID","Missing/Ambiguous SSM"),"Invalid Position")))))))</f>
      </c>
    </row>
  </sheetData>
  <dataValidations count="3">
    <dataValidation type="list" allowBlank="1" showDropDown="0" showInputMessage="1" promptTitle="Choose IST position" prompt="Choose Position before choosing Head Member Name." sqref="B2:B501" errorStyle="stop" showErrorMessage="1" errorTitle="Choose IST position" error="Select Vice Director, Senior Sales Manager or Sales Manager.">
      <formula1>"Vice Director,Senior Sales Manager,Sales Manager"</formula1>
    </dataValidation>
    <dataValidation type="list" allowBlank="1" showDropDown="0" showInputMessage="1" promptTitle="Invalid Head Member" prompt="Choose a listed Head Member. Team!E2 can filter names in Microsoft 365. Never guess when names repeat." sqref="C2:C501" errorStyle="stop" showErrorMessage="1" errorTitle="Invalid Head Member" error="Select a name listed for the chosen role. Backend must verify exact identity and genealogy.">
      <formula1>IF($B2="Senior Sales Manager",IF($E$2="",INDIRECT("Teams!$A$2:$A$1001"),INDIRECT("_HeadMatches!$A$2:$A$1001")),IF($B2="Sales Manager",IF($E$2="",INDIRECT("Teams!$B$2:$B$1001"),INDIRECT("_HeadMatches!$B$2:$B$1001")),INDIRECT("Team!$C$502:$C$502")))</formula1>
    </dataValidation>
    <dataValidation type="custom" errorStyle="stop" showInputMessage="1" showErrorMessage="1" errorTitle="Search limit" error="Enter 70 characters or fewer to search head names." promptTitle="Search limit" prompt="Search in Team!E2 and select a matching Head Member name." sqref="E2" allowBlank="1">
      <formula1>LEN(E2)&lt;=70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166A5"/>
  </sheetPr>
  <sheetViews>
    <sheetView workbookViewId="0" showGridLines="1" zoomScale="90" zoomScaleNormal="100">
      <pane ySplit="1" topLeftCell="A2" activePane="bottomLeft" state="frozen"/>
    </sheetView>
  </sheetViews>
  <sheetFormatPr defaultRowHeight="15"/>
  <cols>
    <col min="1" max="1" width="35" hidden="0" customWidth="1"/>
    <col min="2" max="2" width="26" hidden="0" customWidth="1"/>
    <col min="3" max="3" width="28" hidden="0" customWidth="1"/>
    <col min="4" max="4" width="24" hidden="0" customWidth="1"/>
    <col min="5" max="5" width="23" hidden="0" customWidth="1"/>
    <col min="6" max="6" width="25" hidden="0" customWidth="1"/>
    <col min="7" max="7" width="29" hidden="0" customWidth="1"/>
    <col min="8" max="8" width="39" hidden="0" customWidth="1"/>
    <col min="9" max="9" width="27" hidden="0" customWidth="1"/>
  </cols>
  <sheetData>
    <row r="1" ht="35" customHeight="1">
      <c r="A1" s="57" t="str">
        <v>Applicant Name (Auto)</v>
      </c>
      <c r="B1" s="57" t="str">
        <v>Government ID Type</v>
      </c>
      <c r="C1" s="57" t="str">
        <v>Government ID Number</v>
      </c>
      <c r="D1" s="57" t="str">
        <v>TIN</v>
      </c>
      <c r="E1" s="57" t="str">
        <v>Telephone</v>
      </c>
      <c r="F1" s="57" t="str">
        <v>Messenger</v>
      </c>
      <c r="G1" s="57" t="str">
        <v>Employer Name</v>
      </c>
      <c r="H1" s="57" t="str">
        <v>Employer Address</v>
      </c>
      <c r="I1" s="57" t="str">
        <v>Job Position</v>
      </c>
    </row>
    <row r="2">
      <c r="A2" t="str">
        <f>IF(OR(Identity!B2="",Identity!D2=""),"",TRIM(Identity!B2&amp;" "&amp;Identity!C2&amp;" "&amp;Identity!D2))</f>
      </c>
      <c r="C2" s="8"/>
      <c r="D2" s="8"/>
      <c r="E2" s="8"/>
    </row>
    <row r="3">
      <c r="A3" t="str">
        <f>IF(OR(Identity!B3="",Identity!D3=""),"",TRIM(Identity!B3&amp;" "&amp;Identity!C3&amp;" "&amp;Identity!D3))</f>
      </c>
      <c r="C3" s="8"/>
      <c r="D3" s="8"/>
      <c r="E3" s="8"/>
    </row>
    <row r="4">
      <c r="A4" t="str">
        <f>IF(OR(Identity!B4="",Identity!D4=""),"",TRIM(Identity!B4&amp;" "&amp;Identity!C4&amp;" "&amp;Identity!D4))</f>
      </c>
      <c r="C4" s="8"/>
      <c r="D4" s="8"/>
      <c r="E4" s="8"/>
    </row>
    <row r="5">
      <c r="A5" t="str">
        <f>IF(OR(Identity!B5="",Identity!D5=""),"",TRIM(Identity!B5&amp;" "&amp;Identity!C5&amp;" "&amp;Identity!D5))</f>
      </c>
      <c r="C5" s="8"/>
      <c r="D5" s="8"/>
      <c r="E5" s="8"/>
    </row>
    <row r="6">
      <c r="A6" t="str">
        <f>IF(OR(Identity!B6="",Identity!D6=""),"",TRIM(Identity!B6&amp;" "&amp;Identity!C6&amp;" "&amp;Identity!D6))</f>
      </c>
      <c r="C6" s="8"/>
      <c r="D6" s="8"/>
      <c r="E6" s="8"/>
    </row>
    <row r="7">
      <c r="A7" t="str">
        <f>IF(OR(Identity!B7="",Identity!D7=""),"",TRIM(Identity!B7&amp;" "&amp;Identity!C7&amp;" "&amp;Identity!D7))</f>
      </c>
      <c r="C7" s="8"/>
      <c r="D7" s="8"/>
      <c r="E7" s="8"/>
    </row>
    <row r="8">
      <c r="A8" t="str">
        <f>IF(OR(Identity!B8="",Identity!D8=""),"",TRIM(Identity!B8&amp;" "&amp;Identity!C8&amp;" "&amp;Identity!D8))</f>
      </c>
      <c r="C8" s="8"/>
      <c r="D8" s="8"/>
      <c r="E8" s="8"/>
    </row>
    <row r="9">
      <c r="A9" t="str">
        <f>IF(OR(Identity!B9="",Identity!D9=""),"",TRIM(Identity!B9&amp;" "&amp;Identity!C9&amp;" "&amp;Identity!D9))</f>
      </c>
      <c r="C9" s="8"/>
      <c r="D9" s="8"/>
      <c r="E9" s="8"/>
    </row>
    <row r="10">
      <c r="A10" t="str">
        <f>IF(OR(Identity!B10="",Identity!D10=""),"",TRIM(Identity!B10&amp;" "&amp;Identity!C10&amp;" "&amp;Identity!D10))</f>
      </c>
      <c r="C10" s="8"/>
      <c r="D10" s="8"/>
      <c r="E10" s="8"/>
    </row>
    <row r="11">
      <c r="A11" t="str">
        <f>IF(OR(Identity!B11="",Identity!D11=""),"",TRIM(Identity!B11&amp;" "&amp;Identity!C11&amp;" "&amp;Identity!D11))</f>
      </c>
      <c r="C11" s="8"/>
      <c r="D11" s="8"/>
      <c r="E11" s="8"/>
    </row>
    <row r="12">
      <c r="A12" t="str">
        <f>IF(OR(Identity!B12="",Identity!D12=""),"",TRIM(Identity!B12&amp;" "&amp;Identity!C12&amp;" "&amp;Identity!D12))</f>
      </c>
      <c r="C12" s="8"/>
      <c r="D12" s="8"/>
      <c r="E12" s="8"/>
    </row>
    <row r="13">
      <c r="A13" t="str">
        <f>IF(OR(Identity!B13="",Identity!D13=""),"",TRIM(Identity!B13&amp;" "&amp;Identity!C13&amp;" "&amp;Identity!D13))</f>
      </c>
      <c r="C13" s="8"/>
      <c r="D13" s="8"/>
      <c r="E13" s="8"/>
    </row>
    <row r="14">
      <c r="A14" t="str">
        <f>IF(OR(Identity!B14="",Identity!D14=""),"",TRIM(Identity!B14&amp;" "&amp;Identity!C14&amp;" "&amp;Identity!D14))</f>
      </c>
      <c r="C14" s="8"/>
      <c r="D14" s="8"/>
      <c r="E14" s="8"/>
    </row>
    <row r="15">
      <c r="A15" t="str">
        <f>IF(OR(Identity!B15="",Identity!D15=""),"",TRIM(Identity!B15&amp;" "&amp;Identity!C15&amp;" "&amp;Identity!D15))</f>
      </c>
      <c r="C15" s="8"/>
      <c r="D15" s="8"/>
      <c r="E15" s="8"/>
    </row>
    <row r="16">
      <c r="A16" t="str">
        <f>IF(OR(Identity!B16="",Identity!D16=""),"",TRIM(Identity!B16&amp;" "&amp;Identity!C16&amp;" "&amp;Identity!D16))</f>
      </c>
      <c r="C16" s="8"/>
      <c r="D16" s="8"/>
      <c r="E16" s="8"/>
    </row>
    <row r="17">
      <c r="A17" t="str">
        <f>IF(OR(Identity!B17="",Identity!D17=""),"",TRIM(Identity!B17&amp;" "&amp;Identity!C17&amp;" "&amp;Identity!D17))</f>
      </c>
      <c r="C17" s="8"/>
      <c r="D17" s="8"/>
      <c r="E17" s="8"/>
    </row>
    <row r="18">
      <c r="A18" t="str">
        <f>IF(OR(Identity!B18="",Identity!D18=""),"",TRIM(Identity!B18&amp;" "&amp;Identity!C18&amp;" "&amp;Identity!D18))</f>
      </c>
      <c r="C18" s="8"/>
      <c r="D18" s="8"/>
      <c r="E18" s="8"/>
    </row>
    <row r="19">
      <c r="A19" t="str">
        <f>IF(OR(Identity!B19="",Identity!D19=""),"",TRIM(Identity!B19&amp;" "&amp;Identity!C19&amp;" "&amp;Identity!D19))</f>
      </c>
      <c r="C19" s="8"/>
      <c r="D19" s="8"/>
      <c r="E19" s="8"/>
    </row>
    <row r="20">
      <c r="A20" t="str">
        <f>IF(OR(Identity!B20="",Identity!D20=""),"",TRIM(Identity!B20&amp;" "&amp;Identity!C20&amp;" "&amp;Identity!D20))</f>
      </c>
      <c r="C20" s="8"/>
      <c r="D20" s="8"/>
      <c r="E20" s="8"/>
    </row>
    <row r="21">
      <c r="A21" t="str">
        <f>IF(OR(Identity!B21="",Identity!D21=""),"",TRIM(Identity!B21&amp;" "&amp;Identity!C21&amp;" "&amp;Identity!D21))</f>
      </c>
      <c r="C21" s="8"/>
      <c r="D21" s="8"/>
      <c r="E21" s="8"/>
    </row>
    <row r="22">
      <c r="A22" t="str">
        <f>IF(OR(Identity!B22="",Identity!D22=""),"",TRIM(Identity!B22&amp;" "&amp;Identity!C22&amp;" "&amp;Identity!D22))</f>
      </c>
      <c r="C22" s="8"/>
      <c r="D22" s="8"/>
      <c r="E22" s="8"/>
    </row>
    <row r="23">
      <c r="A23" t="str">
        <f>IF(OR(Identity!B23="",Identity!D23=""),"",TRIM(Identity!B23&amp;" "&amp;Identity!C23&amp;" "&amp;Identity!D23))</f>
      </c>
      <c r="C23" s="8"/>
      <c r="D23" s="8"/>
      <c r="E23" s="8"/>
    </row>
    <row r="24">
      <c r="A24" t="str">
        <f>IF(OR(Identity!B24="",Identity!D24=""),"",TRIM(Identity!B24&amp;" "&amp;Identity!C24&amp;" "&amp;Identity!D24))</f>
      </c>
      <c r="C24" s="8"/>
      <c r="D24" s="8"/>
      <c r="E24" s="8"/>
    </row>
    <row r="25">
      <c r="A25" t="str">
        <f>IF(OR(Identity!B25="",Identity!D25=""),"",TRIM(Identity!B25&amp;" "&amp;Identity!C25&amp;" "&amp;Identity!D25))</f>
      </c>
      <c r="C25" s="8"/>
      <c r="D25" s="8"/>
      <c r="E25" s="8"/>
    </row>
    <row r="26">
      <c r="A26" t="str">
        <f>IF(OR(Identity!B26="",Identity!D26=""),"",TRIM(Identity!B26&amp;" "&amp;Identity!C26&amp;" "&amp;Identity!D26))</f>
      </c>
      <c r="C26" s="8"/>
      <c r="D26" s="8"/>
      <c r="E26" s="8"/>
    </row>
    <row r="27">
      <c r="A27" t="str">
        <f>IF(OR(Identity!B27="",Identity!D27=""),"",TRIM(Identity!B27&amp;" "&amp;Identity!C27&amp;" "&amp;Identity!D27))</f>
      </c>
      <c r="C27" s="8"/>
      <c r="D27" s="8"/>
      <c r="E27" s="8"/>
    </row>
    <row r="28">
      <c r="A28" t="str">
        <f>IF(OR(Identity!B28="",Identity!D28=""),"",TRIM(Identity!B28&amp;" "&amp;Identity!C28&amp;" "&amp;Identity!D28))</f>
      </c>
      <c r="C28" s="8"/>
      <c r="D28" s="8"/>
      <c r="E28" s="8"/>
    </row>
    <row r="29">
      <c r="A29" t="str">
        <f>IF(OR(Identity!B29="",Identity!D29=""),"",TRIM(Identity!B29&amp;" "&amp;Identity!C29&amp;" "&amp;Identity!D29))</f>
      </c>
      <c r="C29" s="8"/>
      <c r="D29" s="8"/>
      <c r="E29" s="8"/>
    </row>
    <row r="30">
      <c r="A30" t="str">
        <f>IF(OR(Identity!B30="",Identity!D30=""),"",TRIM(Identity!B30&amp;" "&amp;Identity!C30&amp;" "&amp;Identity!D30))</f>
      </c>
      <c r="C30" s="8"/>
      <c r="D30" s="8"/>
      <c r="E30" s="8"/>
    </row>
    <row r="31">
      <c r="A31" t="str">
        <f>IF(OR(Identity!B31="",Identity!D31=""),"",TRIM(Identity!B31&amp;" "&amp;Identity!C31&amp;" "&amp;Identity!D31))</f>
      </c>
      <c r="C31" s="8"/>
      <c r="D31" s="8"/>
      <c r="E31" s="8"/>
    </row>
    <row r="32">
      <c r="A32" t="str">
        <f>IF(OR(Identity!B32="",Identity!D32=""),"",TRIM(Identity!B32&amp;" "&amp;Identity!C32&amp;" "&amp;Identity!D32))</f>
      </c>
      <c r="C32" s="8"/>
      <c r="D32" s="8"/>
      <c r="E32" s="8"/>
    </row>
    <row r="33">
      <c r="A33" t="str">
        <f>IF(OR(Identity!B33="",Identity!D33=""),"",TRIM(Identity!B33&amp;" "&amp;Identity!C33&amp;" "&amp;Identity!D33))</f>
      </c>
      <c r="C33" s="8"/>
      <c r="D33" s="8"/>
      <c r="E33" s="8"/>
    </row>
    <row r="34">
      <c r="A34" t="str">
        <f>IF(OR(Identity!B34="",Identity!D34=""),"",TRIM(Identity!B34&amp;" "&amp;Identity!C34&amp;" "&amp;Identity!D34))</f>
      </c>
      <c r="C34" s="8"/>
      <c r="D34" s="8"/>
      <c r="E34" s="8"/>
    </row>
    <row r="35">
      <c r="A35" t="str">
        <f>IF(OR(Identity!B35="",Identity!D35=""),"",TRIM(Identity!B35&amp;" "&amp;Identity!C35&amp;" "&amp;Identity!D35))</f>
      </c>
      <c r="C35" s="8"/>
      <c r="D35" s="8"/>
      <c r="E35" s="8"/>
    </row>
    <row r="36">
      <c r="A36" t="str">
        <f>IF(OR(Identity!B36="",Identity!D36=""),"",TRIM(Identity!B36&amp;" "&amp;Identity!C36&amp;" "&amp;Identity!D36))</f>
      </c>
      <c r="C36" s="8"/>
      <c r="D36" s="8"/>
      <c r="E36" s="8"/>
    </row>
    <row r="37">
      <c r="A37" t="str">
        <f>IF(OR(Identity!B37="",Identity!D37=""),"",TRIM(Identity!B37&amp;" "&amp;Identity!C37&amp;" "&amp;Identity!D37))</f>
      </c>
      <c r="C37" s="8"/>
      <c r="D37" s="8"/>
      <c r="E37" s="8"/>
    </row>
    <row r="38">
      <c r="A38" t="str">
        <f>IF(OR(Identity!B38="",Identity!D38=""),"",TRIM(Identity!B38&amp;" "&amp;Identity!C38&amp;" "&amp;Identity!D38))</f>
      </c>
      <c r="C38" s="8"/>
      <c r="D38" s="8"/>
      <c r="E38" s="8"/>
    </row>
    <row r="39">
      <c r="A39" t="str">
        <f>IF(OR(Identity!B39="",Identity!D39=""),"",TRIM(Identity!B39&amp;" "&amp;Identity!C39&amp;" "&amp;Identity!D39))</f>
      </c>
      <c r="C39" s="8"/>
      <c r="D39" s="8"/>
      <c r="E39" s="8"/>
    </row>
    <row r="40">
      <c r="A40" t="str">
        <f>IF(OR(Identity!B40="",Identity!D40=""),"",TRIM(Identity!B40&amp;" "&amp;Identity!C40&amp;" "&amp;Identity!D40))</f>
      </c>
      <c r="C40" s="8"/>
      <c r="D40" s="8"/>
      <c r="E40" s="8"/>
    </row>
    <row r="41">
      <c r="A41" t="str">
        <f>IF(OR(Identity!B41="",Identity!D41=""),"",TRIM(Identity!B41&amp;" "&amp;Identity!C41&amp;" "&amp;Identity!D41))</f>
      </c>
      <c r="C41" s="8"/>
      <c r="D41" s="8"/>
      <c r="E41" s="8"/>
    </row>
    <row r="42">
      <c r="A42" t="str">
        <f>IF(OR(Identity!B42="",Identity!D42=""),"",TRIM(Identity!B42&amp;" "&amp;Identity!C42&amp;" "&amp;Identity!D42))</f>
      </c>
      <c r="C42" s="8"/>
      <c r="D42" s="8"/>
      <c r="E42" s="8"/>
    </row>
    <row r="43">
      <c r="A43" t="str">
        <f>IF(OR(Identity!B43="",Identity!D43=""),"",TRIM(Identity!B43&amp;" "&amp;Identity!C43&amp;" "&amp;Identity!D43))</f>
      </c>
      <c r="C43" s="8"/>
      <c r="D43" s="8"/>
      <c r="E43" s="8"/>
    </row>
    <row r="44">
      <c r="A44" t="str">
        <f>IF(OR(Identity!B44="",Identity!D44=""),"",TRIM(Identity!B44&amp;" "&amp;Identity!C44&amp;" "&amp;Identity!D44))</f>
      </c>
      <c r="C44" s="8"/>
      <c r="D44" s="8"/>
      <c r="E44" s="8"/>
    </row>
    <row r="45">
      <c r="A45" t="str">
        <f>IF(OR(Identity!B45="",Identity!D45=""),"",TRIM(Identity!B45&amp;" "&amp;Identity!C45&amp;" "&amp;Identity!D45))</f>
      </c>
      <c r="C45" s="8"/>
      <c r="D45" s="8"/>
      <c r="E45" s="8"/>
    </row>
    <row r="46">
      <c r="A46" t="str">
        <f>IF(OR(Identity!B46="",Identity!D46=""),"",TRIM(Identity!B46&amp;" "&amp;Identity!C46&amp;" "&amp;Identity!D46))</f>
      </c>
      <c r="C46" s="8"/>
      <c r="D46" s="8"/>
      <c r="E46" s="8"/>
    </row>
    <row r="47">
      <c r="A47" t="str">
        <f>IF(OR(Identity!B47="",Identity!D47=""),"",TRIM(Identity!B47&amp;" "&amp;Identity!C47&amp;" "&amp;Identity!D47))</f>
      </c>
      <c r="C47" s="8"/>
      <c r="D47" s="8"/>
      <c r="E47" s="8"/>
    </row>
    <row r="48">
      <c r="A48" t="str">
        <f>IF(OR(Identity!B48="",Identity!D48=""),"",TRIM(Identity!B48&amp;" "&amp;Identity!C48&amp;" "&amp;Identity!D48))</f>
      </c>
      <c r="C48" s="8"/>
      <c r="D48" s="8"/>
      <c r="E48" s="8"/>
    </row>
    <row r="49">
      <c r="A49" t="str">
        <f>IF(OR(Identity!B49="",Identity!D49=""),"",TRIM(Identity!B49&amp;" "&amp;Identity!C49&amp;" "&amp;Identity!D49))</f>
      </c>
      <c r="C49" s="8"/>
      <c r="D49" s="8"/>
      <c r="E49" s="8"/>
    </row>
    <row r="50">
      <c r="A50" t="str">
        <f>IF(OR(Identity!B50="",Identity!D50=""),"",TRIM(Identity!B50&amp;" "&amp;Identity!C50&amp;" "&amp;Identity!D50))</f>
      </c>
      <c r="C50" s="8"/>
      <c r="D50" s="8"/>
      <c r="E50" s="8"/>
    </row>
    <row r="51">
      <c r="A51" t="str">
        <f>IF(OR(Identity!B51="",Identity!D51=""),"",TRIM(Identity!B51&amp;" "&amp;Identity!C51&amp;" "&amp;Identity!D51))</f>
      </c>
      <c r="C51" s="8"/>
      <c r="D51" s="8"/>
      <c r="E51" s="8"/>
    </row>
    <row r="52">
      <c r="A52" t="str">
        <f>IF(OR(Identity!B52="",Identity!D52=""),"",TRIM(Identity!B52&amp;" "&amp;Identity!C52&amp;" "&amp;Identity!D52))</f>
      </c>
      <c r="C52" s="8"/>
      <c r="D52" s="8"/>
      <c r="E52" s="8"/>
    </row>
    <row r="53">
      <c r="A53" t="str">
        <f>IF(OR(Identity!B53="",Identity!D53=""),"",TRIM(Identity!B53&amp;" "&amp;Identity!C53&amp;" "&amp;Identity!D53))</f>
      </c>
      <c r="C53" s="8"/>
      <c r="D53" s="8"/>
      <c r="E53" s="8"/>
    </row>
    <row r="54">
      <c r="A54" t="str">
        <f>IF(OR(Identity!B54="",Identity!D54=""),"",TRIM(Identity!B54&amp;" "&amp;Identity!C54&amp;" "&amp;Identity!D54))</f>
      </c>
      <c r="C54" s="8"/>
      <c r="D54" s="8"/>
      <c r="E54" s="8"/>
    </row>
    <row r="55">
      <c r="A55" t="str">
        <f>IF(OR(Identity!B55="",Identity!D55=""),"",TRIM(Identity!B55&amp;" "&amp;Identity!C55&amp;" "&amp;Identity!D55))</f>
      </c>
      <c r="C55" s="8"/>
      <c r="D55" s="8"/>
      <c r="E55" s="8"/>
    </row>
    <row r="56">
      <c r="A56" t="str">
        <f>IF(OR(Identity!B56="",Identity!D56=""),"",TRIM(Identity!B56&amp;" "&amp;Identity!C56&amp;" "&amp;Identity!D56))</f>
      </c>
      <c r="C56" s="8"/>
      <c r="D56" s="8"/>
      <c r="E56" s="8"/>
    </row>
    <row r="57">
      <c r="A57" t="str">
        <f>IF(OR(Identity!B57="",Identity!D57=""),"",TRIM(Identity!B57&amp;" "&amp;Identity!C57&amp;" "&amp;Identity!D57))</f>
      </c>
      <c r="C57" s="8"/>
      <c r="D57" s="8"/>
      <c r="E57" s="8"/>
    </row>
    <row r="58">
      <c r="A58" t="str">
        <f>IF(OR(Identity!B58="",Identity!D58=""),"",TRIM(Identity!B58&amp;" "&amp;Identity!C58&amp;" "&amp;Identity!D58))</f>
      </c>
      <c r="C58" s="8"/>
      <c r="D58" s="8"/>
      <c r="E58" s="8"/>
    </row>
    <row r="59">
      <c r="A59" t="str">
        <f>IF(OR(Identity!B59="",Identity!D59=""),"",TRIM(Identity!B59&amp;" "&amp;Identity!C59&amp;" "&amp;Identity!D59))</f>
      </c>
      <c r="C59" s="8"/>
      <c r="D59" s="8"/>
      <c r="E59" s="8"/>
    </row>
    <row r="60">
      <c r="A60" t="str">
        <f>IF(OR(Identity!B60="",Identity!D60=""),"",TRIM(Identity!B60&amp;" "&amp;Identity!C60&amp;" "&amp;Identity!D60))</f>
      </c>
      <c r="C60" s="8"/>
      <c r="D60" s="8"/>
      <c r="E60" s="8"/>
    </row>
    <row r="61">
      <c r="A61" t="str">
        <f>IF(OR(Identity!B61="",Identity!D61=""),"",TRIM(Identity!B61&amp;" "&amp;Identity!C61&amp;" "&amp;Identity!D61))</f>
      </c>
      <c r="C61" s="8"/>
      <c r="D61" s="8"/>
      <c r="E61" s="8"/>
    </row>
    <row r="62">
      <c r="A62" t="str">
        <f>IF(OR(Identity!B62="",Identity!D62=""),"",TRIM(Identity!B62&amp;" "&amp;Identity!C62&amp;" "&amp;Identity!D62))</f>
      </c>
      <c r="C62" s="8"/>
      <c r="D62" s="8"/>
      <c r="E62" s="8"/>
    </row>
    <row r="63">
      <c r="A63" t="str">
        <f>IF(OR(Identity!B63="",Identity!D63=""),"",TRIM(Identity!B63&amp;" "&amp;Identity!C63&amp;" "&amp;Identity!D63))</f>
      </c>
      <c r="C63" s="8"/>
      <c r="D63" s="8"/>
      <c r="E63" s="8"/>
    </row>
    <row r="64">
      <c r="A64" t="str">
        <f>IF(OR(Identity!B64="",Identity!D64=""),"",TRIM(Identity!B64&amp;" "&amp;Identity!C64&amp;" "&amp;Identity!D64))</f>
      </c>
      <c r="C64" s="8"/>
      <c r="D64" s="8"/>
      <c r="E64" s="8"/>
    </row>
    <row r="65">
      <c r="A65" t="str">
        <f>IF(OR(Identity!B65="",Identity!D65=""),"",TRIM(Identity!B65&amp;" "&amp;Identity!C65&amp;" "&amp;Identity!D65))</f>
      </c>
      <c r="C65" s="8"/>
      <c r="D65" s="8"/>
      <c r="E65" s="8"/>
    </row>
    <row r="66">
      <c r="A66" t="str">
        <f>IF(OR(Identity!B66="",Identity!D66=""),"",TRIM(Identity!B66&amp;" "&amp;Identity!C66&amp;" "&amp;Identity!D66))</f>
      </c>
      <c r="C66" s="8"/>
      <c r="D66" s="8"/>
      <c r="E66" s="8"/>
    </row>
    <row r="67">
      <c r="A67" t="str">
        <f>IF(OR(Identity!B67="",Identity!D67=""),"",TRIM(Identity!B67&amp;" "&amp;Identity!C67&amp;" "&amp;Identity!D67))</f>
      </c>
      <c r="C67" s="8"/>
      <c r="D67" s="8"/>
      <c r="E67" s="8"/>
    </row>
    <row r="68">
      <c r="A68" t="str">
        <f>IF(OR(Identity!B68="",Identity!D68=""),"",TRIM(Identity!B68&amp;" "&amp;Identity!C68&amp;" "&amp;Identity!D68))</f>
      </c>
      <c r="C68" s="8"/>
      <c r="D68" s="8"/>
      <c r="E68" s="8"/>
    </row>
    <row r="69">
      <c r="A69" t="str">
        <f>IF(OR(Identity!B69="",Identity!D69=""),"",TRIM(Identity!B69&amp;" "&amp;Identity!C69&amp;" "&amp;Identity!D69))</f>
      </c>
      <c r="C69" s="8"/>
      <c r="D69" s="8"/>
      <c r="E69" s="8"/>
    </row>
    <row r="70">
      <c r="A70" t="str">
        <f>IF(OR(Identity!B70="",Identity!D70=""),"",TRIM(Identity!B70&amp;" "&amp;Identity!C70&amp;" "&amp;Identity!D70))</f>
      </c>
      <c r="C70" s="8"/>
      <c r="D70" s="8"/>
      <c r="E70" s="8"/>
    </row>
    <row r="71">
      <c r="A71" t="str">
        <f>IF(OR(Identity!B71="",Identity!D71=""),"",TRIM(Identity!B71&amp;" "&amp;Identity!C71&amp;" "&amp;Identity!D71))</f>
      </c>
      <c r="C71" s="8"/>
      <c r="D71" s="8"/>
      <c r="E71" s="8"/>
    </row>
    <row r="72">
      <c r="A72" t="str">
        <f>IF(OR(Identity!B72="",Identity!D72=""),"",TRIM(Identity!B72&amp;" "&amp;Identity!C72&amp;" "&amp;Identity!D72))</f>
      </c>
      <c r="C72" s="8"/>
      <c r="D72" s="8"/>
      <c r="E72" s="8"/>
    </row>
    <row r="73">
      <c r="A73" t="str">
        <f>IF(OR(Identity!B73="",Identity!D73=""),"",TRIM(Identity!B73&amp;" "&amp;Identity!C73&amp;" "&amp;Identity!D73))</f>
      </c>
      <c r="C73" s="8"/>
      <c r="D73" s="8"/>
      <c r="E73" s="8"/>
    </row>
    <row r="74">
      <c r="A74" t="str">
        <f>IF(OR(Identity!B74="",Identity!D74=""),"",TRIM(Identity!B74&amp;" "&amp;Identity!C74&amp;" "&amp;Identity!D74))</f>
      </c>
      <c r="C74" s="8"/>
      <c r="D74" s="8"/>
      <c r="E74" s="8"/>
    </row>
    <row r="75">
      <c r="A75" t="str">
        <f>IF(OR(Identity!B75="",Identity!D75=""),"",TRIM(Identity!B75&amp;" "&amp;Identity!C75&amp;" "&amp;Identity!D75))</f>
      </c>
      <c r="C75" s="8"/>
      <c r="D75" s="8"/>
      <c r="E75" s="8"/>
    </row>
    <row r="76">
      <c r="A76" t="str">
        <f>IF(OR(Identity!B76="",Identity!D76=""),"",TRIM(Identity!B76&amp;" "&amp;Identity!C76&amp;" "&amp;Identity!D76))</f>
      </c>
      <c r="C76" s="8"/>
      <c r="D76" s="8"/>
      <c r="E76" s="8"/>
    </row>
    <row r="77">
      <c r="A77" t="str">
        <f>IF(OR(Identity!B77="",Identity!D77=""),"",TRIM(Identity!B77&amp;" "&amp;Identity!C77&amp;" "&amp;Identity!D77))</f>
      </c>
      <c r="C77" s="8"/>
      <c r="D77" s="8"/>
      <c r="E77" s="8"/>
    </row>
    <row r="78">
      <c r="A78" t="str">
        <f>IF(OR(Identity!B78="",Identity!D78=""),"",TRIM(Identity!B78&amp;" "&amp;Identity!C78&amp;" "&amp;Identity!D78))</f>
      </c>
      <c r="C78" s="8"/>
      <c r="D78" s="8"/>
      <c r="E78" s="8"/>
    </row>
    <row r="79">
      <c r="A79" t="str">
        <f>IF(OR(Identity!B79="",Identity!D79=""),"",TRIM(Identity!B79&amp;" "&amp;Identity!C79&amp;" "&amp;Identity!D79))</f>
      </c>
      <c r="C79" s="8"/>
      <c r="D79" s="8"/>
      <c r="E79" s="8"/>
    </row>
    <row r="80">
      <c r="A80" t="str">
        <f>IF(OR(Identity!B80="",Identity!D80=""),"",TRIM(Identity!B80&amp;" "&amp;Identity!C80&amp;" "&amp;Identity!D80))</f>
      </c>
      <c r="C80" s="8"/>
      <c r="D80" s="8"/>
      <c r="E80" s="8"/>
    </row>
    <row r="81">
      <c r="A81" t="str">
        <f>IF(OR(Identity!B81="",Identity!D81=""),"",TRIM(Identity!B81&amp;" "&amp;Identity!C81&amp;" "&amp;Identity!D81))</f>
      </c>
      <c r="C81" s="8"/>
      <c r="D81" s="8"/>
      <c r="E81" s="8"/>
    </row>
    <row r="82">
      <c r="A82" t="str">
        <f>IF(OR(Identity!B82="",Identity!D82=""),"",TRIM(Identity!B82&amp;" "&amp;Identity!C82&amp;" "&amp;Identity!D82))</f>
      </c>
      <c r="C82" s="8"/>
      <c r="D82" s="8"/>
      <c r="E82" s="8"/>
    </row>
    <row r="83">
      <c r="A83" t="str">
        <f>IF(OR(Identity!B83="",Identity!D83=""),"",TRIM(Identity!B83&amp;" "&amp;Identity!C83&amp;" "&amp;Identity!D83))</f>
      </c>
      <c r="C83" s="8"/>
      <c r="D83" s="8"/>
      <c r="E83" s="8"/>
    </row>
    <row r="84">
      <c r="A84" t="str">
        <f>IF(OR(Identity!B84="",Identity!D84=""),"",TRIM(Identity!B84&amp;" "&amp;Identity!C84&amp;" "&amp;Identity!D84))</f>
      </c>
      <c r="C84" s="8"/>
      <c r="D84" s="8"/>
      <c r="E84" s="8"/>
    </row>
    <row r="85">
      <c r="A85" t="str">
        <f>IF(OR(Identity!B85="",Identity!D85=""),"",TRIM(Identity!B85&amp;" "&amp;Identity!C85&amp;" "&amp;Identity!D85))</f>
      </c>
      <c r="C85" s="8"/>
      <c r="D85" s="8"/>
      <c r="E85" s="8"/>
    </row>
    <row r="86">
      <c r="A86" t="str">
        <f>IF(OR(Identity!B86="",Identity!D86=""),"",TRIM(Identity!B86&amp;" "&amp;Identity!C86&amp;" "&amp;Identity!D86))</f>
      </c>
      <c r="C86" s="8"/>
      <c r="D86" s="8"/>
      <c r="E86" s="8"/>
    </row>
    <row r="87">
      <c r="A87" t="str">
        <f>IF(OR(Identity!B87="",Identity!D87=""),"",TRIM(Identity!B87&amp;" "&amp;Identity!C87&amp;" "&amp;Identity!D87))</f>
      </c>
      <c r="C87" s="8"/>
      <c r="D87" s="8"/>
      <c r="E87" s="8"/>
    </row>
    <row r="88">
      <c r="A88" t="str">
        <f>IF(OR(Identity!B88="",Identity!D88=""),"",TRIM(Identity!B88&amp;" "&amp;Identity!C88&amp;" "&amp;Identity!D88))</f>
      </c>
      <c r="C88" s="8"/>
      <c r="D88" s="8"/>
      <c r="E88" s="8"/>
    </row>
    <row r="89">
      <c r="A89" t="str">
        <f>IF(OR(Identity!B89="",Identity!D89=""),"",TRIM(Identity!B89&amp;" "&amp;Identity!C89&amp;" "&amp;Identity!D89))</f>
      </c>
      <c r="C89" s="8"/>
      <c r="D89" s="8"/>
      <c r="E89" s="8"/>
    </row>
    <row r="90">
      <c r="A90" t="str">
        <f>IF(OR(Identity!B90="",Identity!D90=""),"",TRIM(Identity!B90&amp;" "&amp;Identity!C90&amp;" "&amp;Identity!D90))</f>
      </c>
      <c r="C90" s="8"/>
      <c r="D90" s="8"/>
      <c r="E90" s="8"/>
    </row>
    <row r="91">
      <c r="A91" t="str">
        <f>IF(OR(Identity!B91="",Identity!D91=""),"",TRIM(Identity!B91&amp;" "&amp;Identity!C91&amp;" "&amp;Identity!D91))</f>
      </c>
      <c r="C91" s="8"/>
      <c r="D91" s="8"/>
      <c r="E91" s="8"/>
    </row>
    <row r="92">
      <c r="A92" t="str">
        <f>IF(OR(Identity!B92="",Identity!D92=""),"",TRIM(Identity!B92&amp;" "&amp;Identity!C92&amp;" "&amp;Identity!D92))</f>
      </c>
      <c r="C92" s="8"/>
      <c r="D92" s="8"/>
      <c r="E92" s="8"/>
    </row>
    <row r="93">
      <c r="A93" t="str">
        <f>IF(OR(Identity!B93="",Identity!D93=""),"",TRIM(Identity!B93&amp;" "&amp;Identity!C93&amp;" "&amp;Identity!D93))</f>
      </c>
      <c r="C93" s="8"/>
      <c r="D93" s="8"/>
      <c r="E93" s="8"/>
    </row>
    <row r="94">
      <c r="A94" t="str">
        <f>IF(OR(Identity!B94="",Identity!D94=""),"",TRIM(Identity!B94&amp;" "&amp;Identity!C94&amp;" "&amp;Identity!D94))</f>
      </c>
      <c r="C94" s="8"/>
      <c r="D94" s="8"/>
      <c r="E94" s="8"/>
    </row>
    <row r="95">
      <c r="A95" t="str">
        <f>IF(OR(Identity!B95="",Identity!D95=""),"",TRIM(Identity!B95&amp;" "&amp;Identity!C95&amp;" "&amp;Identity!D95))</f>
      </c>
      <c r="C95" s="8"/>
      <c r="D95" s="8"/>
      <c r="E95" s="8"/>
    </row>
    <row r="96">
      <c r="A96" t="str">
        <f>IF(OR(Identity!B96="",Identity!D96=""),"",TRIM(Identity!B96&amp;" "&amp;Identity!C96&amp;" "&amp;Identity!D96))</f>
      </c>
      <c r="C96" s="8"/>
      <c r="D96" s="8"/>
      <c r="E96" s="8"/>
    </row>
    <row r="97">
      <c r="A97" t="str">
        <f>IF(OR(Identity!B97="",Identity!D97=""),"",TRIM(Identity!B97&amp;" "&amp;Identity!C97&amp;" "&amp;Identity!D97))</f>
      </c>
      <c r="C97" s="8"/>
      <c r="D97" s="8"/>
      <c r="E97" s="8"/>
    </row>
    <row r="98">
      <c r="A98" t="str">
        <f>IF(OR(Identity!B98="",Identity!D98=""),"",TRIM(Identity!B98&amp;" "&amp;Identity!C98&amp;" "&amp;Identity!D98))</f>
      </c>
      <c r="C98" s="8"/>
      <c r="D98" s="8"/>
      <c r="E98" s="8"/>
    </row>
    <row r="99">
      <c r="A99" t="str">
        <f>IF(OR(Identity!B99="",Identity!D99=""),"",TRIM(Identity!B99&amp;" "&amp;Identity!C99&amp;" "&amp;Identity!D99))</f>
      </c>
      <c r="C99" s="8"/>
      <c r="D99" s="8"/>
      <c r="E99" s="8"/>
    </row>
    <row r="100">
      <c r="A100" t="str">
        <f>IF(OR(Identity!B100="",Identity!D100=""),"",TRIM(Identity!B100&amp;" "&amp;Identity!C100&amp;" "&amp;Identity!D100))</f>
      </c>
      <c r="C100" s="8"/>
      <c r="D100" s="8"/>
      <c r="E100" s="8"/>
    </row>
    <row r="101">
      <c r="A101" t="str">
        <f>IF(OR(Identity!B101="",Identity!D101=""),"",TRIM(Identity!B101&amp;" "&amp;Identity!C101&amp;" "&amp;Identity!D101))</f>
      </c>
      <c r="C101" s="8"/>
      <c r="D101" s="8"/>
      <c r="E101" s="8"/>
    </row>
    <row r="102">
      <c r="A102" t="str">
        <f>IF(OR(Identity!B102="",Identity!D102=""),"",TRIM(Identity!B102&amp;" "&amp;Identity!C102&amp;" "&amp;Identity!D102))</f>
      </c>
      <c r="C102" s="8"/>
      <c r="D102" s="8"/>
      <c r="E102" s="8"/>
    </row>
    <row r="103">
      <c r="A103" t="str">
        <f>IF(OR(Identity!B103="",Identity!D103=""),"",TRIM(Identity!B103&amp;" "&amp;Identity!C103&amp;" "&amp;Identity!D103))</f>
      </c>
      <c r="C103" s="8"/>
      <c r="D103" s="8"/>
      <c r="E103" s="8"/>
    </row>
    <row r="104">
      <c r="A104" t="str">
        <f>IF(OR(Identity!B104="",Identity!D104=""),"",TRIM(Identity!B104&amp;" "&amp;Identity!C104&amp;" "&amp;Identity!D104))</f>
      </c>
      <c r="C104" s="8"/>
      <c r="D104" s="8"/>
      <c r="E104" s="8"/>
    </row>
    <row r="105">
      <c r="A105" t="str">
        <f>IF(OR(Identity!B105="",Identity!D105=""),"",TRIM(Identity!B105&amp;" "&amp;Identity!C105&amp;" "&amp;Identity!D105))</f>
      </c>
      <c r="C105" s="8"/>
      <c r="D105" s="8"/>
      <c r="E105" s="8"/>
    </row>
    <row r="106">
      <c r="A106" t="str">
        <f>IF(OR(Identity!B106="",Identity!D106=""),"",TRIM(Identity!B106&amp;" "&amp;Identity!C106&amp;" "&amp;Identity!D106))</f>
      </c>
      <c r="C106" s="8"/>
      <c r="D106" s="8"/>
      <c r="E106" s="8"/>
    </row>
    <row r="107">
      <c r="A107" t="str">
        <f>IF(OR(Identity!B107="",Identity!D107=""),"",TRIM(Identity!B107&amp;" "&amp;Identity!C107&amp;" "&amp;Identity!D107))</f>
      </c>
      <c r="C107" s="8"/>
      <c r="D107" s="8"/>
      <c r="E107" s="8"/>
    </row>
    <row r="108">
      <c r="A108" t="str">
        <f>IF(OR(Identity!B108="",Identity!D108=""),"",TRIM(Identity!B108&amp;" "&amp;Identity!C108&amp;" "&amp;Identity!D108))</f>
      </c>
      <c r="C108" s="8"/>
      <c r="D108" s="8"/>
      <c r="E108" s="8"/>
    </row>
    <row r="109">
      <c r="A109" t="str">
        <f>IF(OR(Identity!B109="",Identity!D109=""),"",TRIM(Identity!B109&amp;" "&amp;Identity!C109&amp;" "&amp;Identity!D109))</f>
      </c>
      <c r="C109" s="8"/>
      <c r="D109" s="8"/>
      <c r="E109" s="8"/>
    </row>
    <row r="110">
      <c r="A110" t="str">
        <f>IF(OR(Identity!B110="",Identity!D110=""),"",TRIM(Identity!B110&amp;" "&amp;Identity!C110&amp;" "&amp;Identity!D110))</f>
      </c>
      <c r="C110" s="8"/>
      <c r="D110" s="8"/>
      <c r="E110" s="8"/>
    </row>
    <row r="111">
      <c r="A111" t="str">
        <f>IF(OR(Identity!B111="",Identity!D111=""),"",TRIM(Identity!B111&amp;" "&amp;Identity!C111&amp;" "&amp;Identity!D111))</f>
      </c>
      <c r="C111" s="8"/>
      <c r="D111" s="8"/>
      <c r="E111" s="8"/>
    </row>
    <row r="112">
      <c r="A112" t="str">
        <f>IF(OR(Identity!B112="",Identity!D112=""),"",TRIM(Identity!B112&amp;" "&amp;Identity!C112&amp;" "&amp;Identity!D112))</f>
      </c>
      <c r="C112" s="8"/>
      <c r="D112" s="8"/>
      <c r="E112" s="8"/>
    </row>
    <row r="113">
      <c r="A113" t="str">
        <f>IF(OR(Identity!B113="",Identity!D113=""),"",TRIM(Identity!B113&amp;" "&amp;Identity!C113&amp;" "&amp;Identity!D113))</f>
      </c>
      <c r="C113" s="8"/>
      <c r="D113" s="8"/>
      <c r="E113" s="8"/>
    </row>
    <row r="114">
      <c r="A114" t="str">
        <f>IF(OR(Identity!B114="",Identity!D114=""),"",TRIM(Identity!B114&amp;" "&amp;Identity!C114&amp;" "&amp;Identity!D114))</f>
      </c>
      <c r="C114" s="8"/>
      <c r="D114" s="8"/>
      <c r="E114" s="8"/>
    </row>
    <row r="115">
      <c r="A115" t="str">
        <f>IF(OR(Identity!B115="",Identity!D115=""),"",TRIM(Identity!B115&amp;" "&amp;Identity!C115&amp;" "&amp;Identity!D115))</f>
      </c>
      <c r="C115" s="8"/>
      <c r="D115" s="8"/>
      <c r="E115" s="8"/>
    </row>
    <row r="116">
      <c r="A116" t="str">
        <f>IF(OR(Identity!B116="",Identity!D116=""),"",TRIM(Identity!B116&amp;" "&amp;Identity!C116&amp;" "&amp;Identity!D116))</f>
      </c>
      <c r="C116" s="8"/>
      <c r="D116" s="8"/>
      <c r="E116" s="8"/>
    </row>
    <row r="117">
      <c r="A117" t="str">
        <f>IF(OR(Identity!B117="",Identity!D117=""),"",TRIM(Identity!B117&amp;" "&amp;Identity!C117&amp;" "&amp;Identity!D117))</f>
      </c>
      <c r="C117" s="8"/>
      <c r="D117" s="8"/>
      <c r="E117" s="8"/>
    </row>
    <row r="118">
      <c r="A118" t="str">
        <f>IF(OR(Identity!B118="",Identity!D118=""),"",TRIM(Identity!B118&amp;" "&amp;Identity!C118&amp;" "&amp;Identity!D118))</f>
      </c>
      <c r="C118" s="8"/>
      <c r="D118" s="8"/>
      <c r="E118" s="8"/>
    </row>
    <row r="119">
      <c r="A119" t="str">
        <f>IF(OR(Identity!B119="",Identity!D119=""),"",TRIM(Identity!B119&amp;" "&amp;Identity!C119&amp;" "&amp;Identity!D119))</f>
      </c>
      <c r="C119" s="8"/>
      <c r="D119" s="8"/>
      <c r="E119" s="8"/>
    </row>
    <row r="120">
      <c r="A120" t="str">
        <f>IF(OR(Identity!B120="",Identity!D120=""),"",TRIM(Identity!B120&amp;" "&amp;Identity!C120&amp;" "&amp;Identity!D120))</f>
      </c>
      <c r="C120" s="8"/>
      <c r="D120" s="8"/>
      <c r="E120" s="8"/>
    </row>
    <row r="121">
      <c r="A121" t="str">
        <f>IF(OR(Identity!B121="",Identity!D121=""),"",TRIM(Identity!B121&amp;" "&amp;Identity!C121&amp;" "&amp;Identity!D121))</f>
      </c>
      <c r="C121" s="8"/>
      <c r="D121" s="8"/>
      <c r="E121" s="8"/>
    </row>
    <row r="122">
      <c r="A122" t="str">
        <f>IF(OR(Identity!B122="",Identity!D122=""),"",TRIM(Identity!B122&amp;" "&amp;Identity!C122&amp;" "&amp;Identity!D122))</f>
      </c>
      <c r="C122" s="8"/>
      <c r="D122" s="8"/>
      <c r="E122" s="8"/>
    </row>
    <row r="123">
      <c r="A123" t="str">
        <f>IF(OR(Identity!B123="",Identity!D123=""),"",TRIM(Identity!B123&amp;" "&amp;Identity!C123&amp;" "&amp;Identity!D123))</f>
      </c>
      <c r="C123" s="8"/>
      <c r="D123" s="8"/>
      <c r="E123" s="8"/>
    </row>
    <row r="124">
      <c r="A124" t="str">
        <f>IF(OR(Identity!B124="",Identity!D124=""),"",TRIM(Identity!B124&amp;" "&amp;Identity!C124&amp;" "&amp;Identity!D124))</f>
      </c>
      <c r="C124" s="8"/>
      <c r="D124" s="8"/>
      <c r="E124" s="8"/>
    </row>
    <row r="125">
      <c r="A125" t="str">
        <f>IF(OR(Identity!B125="",Identity!D125=""),"",TRIM(Identity!B125&amp;" "&amp;Identity!C125&amp;" "&amp;Identity!D125))</f>
      </c>
      <c r="C125" s="8"/>
      <c r="D125" s="8"/>
      <c r="E125" s="8"/>
    </row>
    <row r="126">
      <c r="A126" t="str">
        <f>IF(OR(Identity!B126="",Identity!D126=""),"",TRIM(Identity!B126&amp;" "&amp;Identity!C126&amp;" "&amp;Identity!D126))</f>
      </c>
      <c r="C126" s="8"/>
      <c r="D126" s="8"/>
      <c r="E126" s="8"/>
    </row>
    <row r="127">
      <c r="A127" t="str">
        <f>IF(OR(Identity!B127="",Identity!D127=""),"",TRIM(Identity!B127&amp;" "&amp;Identity!C127&amp;" "&amp;Identity!D127))</f>
      </c>
      <c r="C127" s="8"/>
      <c r="D127" s="8"/>
      <c r="E127" s="8"/>
    </row>
    <row r="128">
      <c r="A128" t="str">
        <f>IF(OR(Identity!B128="",Identity!D128=""),"",TRIM(Identity!B128&amp;" "&amp;Identity!C128&amp;" "&amp;Identity!D128))</f>
      </c>
      <c r="C128" s="8"/>
      <c r="D128" s="8"/>
      <c r="E128" s="8"/>
    </row>
    <row r="129">
      <c r="A129" t="str">
        <f>IF(OR(Identity!B129="",Identity!D129=""),"",TRIM(Identity!B129&amp;" "&amp;Identity!C129&amp;" "&amp;Identity!D129))</f>
      </c>
      <c r="C129" s="8"/>
      <c r="D129" s="8"/>
      <c r="E129" s="8"/>
    </row>
    <row r="130">
      <c r="A130" t="str">
        <f>IF(OR(Identity!B130="",Identity!D130=""),"",TRIM(Identity!B130&amp;" "&amp;Identity!C130&amp;" "&amp;Identity!D130))</f>
      </c>
      <c r="C130" s="8"/>
      <c r="D130" s="8"/>
      <c r="E130" s="8"/>
    </row>
    <row r="131">
      <c r="A131" t="str">
        <f>IF(OR(Identity!B131="",Identity!D131=""),"",TRIM(Identity!B131&amp;" "&amp;Identity!C131&amp;" "&amp;Identity!D131))</f>
      </c>
      <c r="C131" s="8"/>
      <c r="D131" s="8"/>
      <c r="E131" s="8"/>
    </row>
    <row r="132">
      <c r="A132" t="str">
        <f>IF(OR(Identity!B132="",Identity!D132=""),"",TRIM(Identity!B132&amp;" "&amp;Identity!C132&amp;" "&amp;Identity!D132))</f>
      </c>
      <c r="C132" s="8"/>
      <c r="D132" s="8"/>
      <c r="E132" s="8"/>
    </row>
    <row r="133">
      <c r="A133" t="str">
        <f>IF(OR(Identity!B133="",Identity!D133=""),"",TRIM(Identity!B133&amp;" "&amp;Identity!C133&amp;" "&amp;Identity!D133))</f>
      </c>
      <c r="C133" s="8"/>
      <c r="D133" s="8"/>
      <c r="E133" s="8"/>
    </row>
    <row r="134">
      <c r="A134" t="str">
        <f>IF(OR(Identity!B134="",Identity!D134=""),"",TRIM(Identity!B134&amp;" "&amp;Identity!C134&amp;" "&amp;Identity!D134))</f>
      </c>
      <c r="C134" s="8"/>
      <c r="D134" s="8"/>
      <c r="E134" s="8"/>
    </row>
    <row r="135">
      <c r="A135" t="str">
        <f>IF(OR(Identity!B135="",Identity!D135=""),"",TRIM(Identity!B135&amp;" "&amp;Identity!C135&amp;" "&amp;Identity!D135))</f>
      </c>
      <c r="C135" s="8"/>
      <c r="D135" s="8"/>
      <c r="E135" s="8"/>
    </row>
    <row r="136">
      <c r="A136" t="str">
        <f>IF(OR(Identity!B136="",Identity!D136=""),"",TRIM(Identity!B136&amp;" "&amp;Identity!C136&amp;" "&amp;Identity!D136))</f>
      </c>
      <c r="C136" s="8"/>
      <c r="D136" s="8"/>
      <c r="E136" s="8"/>
    </row>
    <row r="137">
      <c r="A137" t="str">
        <f>IF(OR(Identity!B137="",Identity!D137=""),"",TRIM(Identity!B137&amp;" "&amp;Identity!C137&amp;" "&amp;Identity!D137))</f>
      </c>
      <c r="C137" s="8"/>
      <c r="D137" s="8"/>
      <c r="E137" s="8"/>
    </row>
    <row r="138">
      <c r="A138" t="str">
        <f>IF(OR(Identity!B138="",Identity!D138=""),"",TRIM(Identity!B138&amp;" "&amp;Identity!C138&amp;" "&amp;Identity!D138))</f>
      </c>
      <c r="C138" s="8"/>
      <c r="D138" s="8"/>
      <c r="E138" s="8"/>
    </row>
    <row r="139">
      <c r="A139" t="str">
        <f>IF(OR(Identity!B139="",Identity!D139=""),"",TRIM(Identity!B139&amp;" "&amp;Identity!C139&amp;" "&amp;Identity!D139))</f>
      </c>
      <c r="C139" s="8"/>
      <c r="D139" s="8"/>
      <c r="E139" s="8"/>
    </row>
    <row r="140">
      <c r="A140" t="str">
        <f>IF(OR(Identity!B140="",Identity!D140=""),"",TRIM(Identity!B140&amp;" "&amp;Identity!C140&amp;" "&amp;Identity!D140))</f>
      </c>
      <c r="C140" s="8"/>
      <c r="D140" s="8"/>
      <c r="E140" s="8"/>
    </row>
    <row r="141">
      <c r="A141" t="str">
        <f>IF(OR(Identity!B141="",Identity!D141=""),"",TRIM(Identity!B141&amp;" "&amp;Identity!C141&amp;" "&amp;Identity!D141))</f>
      </c>
      <c r="C141" s="8"/>
      <c r="D141" s="8"/>
      <c r="E141" s="8"/>
    </row>
    <row r="142">
      <c r="A142" t="str">
        <f>IF(OR(Identity!B142="",Identity!D142=""),"",TRIM(Identity!B142&amp;" "&amp;Identity!C142&amp;" "&amp;Identity!D142))</f>
      </c>
      <c r="C142" s="8"/>
      <c r="D142" s="8"/>
      <c r="E142" s="8"/>
    </row>
    <row r="143">
      <c r="A143" t="str">
        <f>IF(OR(Identity!B143="",Identity!D143=""),"",TRIM(Identity!B143&amp;" "&amp;Identity!C143&amp;" "&amp;Identity!D143))</f>
      </c>
      <c r="C143" s="8"/>
      <c r="D143" s="8"/>
      <c r="E143" s="8"/>
    </row>
    <row r="144">
      <c r="A144" t="str">
        <f>IF(OR(Identity!B144="",Identity!D144=""),"",TRIM(Identity!B144&amp;" "&amp;Identity!C144&amp;" "&amp;Identity!D144))</f>
      </c>
      <c r="C144" s="8"/>
      <c r="D144" s="8"/>
      <c r="E144" s="8"/>
    </row>
    <row r="145">
      <c r="A145" t="str">
        <f>IF(OR(Identity!B145="",Identity!D145=""),"",TRIM(Identity!B145&amp;" "&amp;Identity!C145&amp;" "&amp;Identity!D145))</f>
      </c>
      <c r="C145" s="8"/>
      <c r="D145" s="8"/>
      <c r="E145" s="8"/>
    </row>
    <row r="146">
      <c r="A146" t="str">
        <f>IF(OR(Identity!B146="",Identity!D146=""),"",TRIM(Identity!B146&amp;" "&amp;Identity!C146&amp;" "&amp;Identity!D146))</f>
      </c>
      <c r="C146" s="8"/>
      <c r="D146" s="8"/>
      <c r="E146" s="8"/>
    </row>
    <row r="147">
      <c r="A147" t="str">
        <f>IF(OR(Identity!B147="",Identity!D147=""),"",TRIM(Identity!B147&amp;" "&amp;Identity!C147&amp;" "&amp;Identity!D147))</f>
      </c>
      <c r="C147" s="8"/>
      <c r="D147" s="8"/>
      <c r="E147" s="8"/>
    </row>
    <row r="148">
      <c r="A148" t="str">
        <f>IF(OR(Identity!B148="",Identity!D148=""),"",TRIM(Identity!B148&amp;" "&amp;Identity!C148&amp;" "&amp;Identity!D148))</f>
      </c>
      <c r="C148" s="8"/>
      <c r="D148" s="8"/>
      <c r="E148" s="8"/>
    </row>
    <row r="149">
      <c r="A149" t="str">
        <f>IF(OR(Identity!B149="",Identity!D149=""),"",TRIM(Identity!B149&amp;" "&amp;Identity!C149&amp;" "&amp;Identity!D149))</f>
      </c>
      <c r="C149" s="8"/>
      <c r="D149" s="8"/>
      <c r="E149" s="8"/>
    </row>
    <row r="150">
      <c r="A150" t="str">
        <f>IF(OR(Identity!B150="",Identity!D150=""),"",TRIM(Identity!B150&amp;" "&amp;Identity!C150&amp;" "&amp;Identity!D150))</f>
      </c>
      <c r="C150" s="8"/>
      <c r="D150" s="8"/>
      <c r="E150" s="8"/>
    </row>
    <row r="151">
      <c r="A151" t="str">
        <f>IF(OR(Identity!B151="",Identity!D151=""),"",TRIM(Identity!B151&amp;" "&amp;Identity!C151&amp;" "&amp;Identity!D151))</f>
      </c>
      <c r="C151" s="8"/>
      <c r="D151" s="8"/>
      <c r="E151" s="8"/>
    </row>
    <row r="152">
      <c r="A152" t="str">
        <f>IF(OR(Identity!B152="",Identity!D152=""),"",TRIM(Identity!B152&amp;" "&amp;Identity!C152&amp;" "&amp;Identity!D152))</f>
      </c>
      <c r="C152" s="8"/>
      <c r="D152" s="8"/>
      <c r="E152" s="8"/>
    </row>
    <row r="153">
      <c r="A153" t="str">
        <f>IF(OR(Identity!B153="",Identity!D153=""),"",TRIM(Identity!B153&amp;" "&amp;Identity!C153&amp;" "&amp;Identity!D153))</f>
      </c>
      <c r="C153" s="8"/>
      <c r="D153" s="8"/>
      <c r="E153" s="8"/>
    </row>
    <row r="154">
      <c r="A154" t="str">
        <f>IF(OR(Identity!B154="",Identity!D154=""),"",TRIM(Identity!B154&amp;" "&amp;Identity!C154&amp;" "&amp;Identity!D154))</f>
      </c>
      <c r="C154" s="8"/>
      <c r="D154" s="8"/>
      <c r="E154" s="8"/>
    </row>
    <row r="155">
      <c r="A155" t="str">
        <f>IF(OR(Identity!B155="",Identity!D155=""),"",TRIM(Identity!B155&amp;" "&amp;Identity!C155&amp;" "&amp;Identity!D155))</f>
      </c>
      <c r="C155" s="8"/>
      <c r="D155" s="8"/>
      <c r="E155" s="8"/>
    </row>
    <row r="156">
      <c r="A156" t="str">
        <f>IF(OR(Identity!B156="",Identity!D156=""),"",TRIM(Identity!B156&amp;" "&amp;Identity!C156&amp;" "&amp;Identity!D156))</f>
      </c>
      <c r="C156" s="8"/>
      <c r="D156" s="8"/>
      <c r="E156" s="8"/>
    </row>
    <row r="157">
      <c r="A157" t="str">
        <f>IF(OR(Identity!B157="",Identity!D157=""),"",TRIM(Identity!B157&amp;" "&amp;Identity!C157&amp;" "&amp;Identity!D157))</f>
      </c>
      <c r="C157" s="8"/>
      <c r="D157" s="8"/>
      <c r="E157" s="8"/>
    </row>
    <row r="158">
      <c r="A158" t="str">
        <f>IF(OR(Identity!B158="",Identity!D158=""),"",TRIM(Identity!B158&amp;" "&amp;Identity!C158&amp;" "&amp;Identity!D158))</f>
      </c>
      <c r="C158" s="8"/>
      <c r="D158" s="8"/>
      <c r="E158" s="8"/>
    </row>
    <row r="159">
      <c r="A159" t="str">
        <f>IF(OR(Identity!B159="",Identity!D159=""),"",TRIM(Identity!B159&amp;" "&amp;Identity!C159&amp;" "&amp;Identity!D159))</f>
      </c>
      <c r="C159" s="8"/>
      <c r="D159" s="8"/>
      <c r="E159" s="8"/>
    </row>
    <row r="160">
      <c r="A160" t="str">
        <f>IF(OR(Identity!B160="",Identity!D160=""),"",TRIM(Identity!B160&amp;" "&amp;Identity!C160&amp;" "&amp;Identity!D160))</f>
      </c>
      <c r="C160" s="8"/>
      <c r="D160" s="8"/>
      <c r="E160" s="8"/>
    </row>
    <row r="161">
      <c r="A161" t="str">
        <f>IF(OR(Identity!B161="",Identity!D161=""),"",TRIM(Identity!B161&amp;" "&amp;Identity!C161&amp;" "&amp;Identity!D161))</f>
      </c>
      <c r="C161" s="8"/>
      <c r="D161" s="8"/>
      <c r="E161" s="8"/>
    </row>
    <row r="162">
      <c r="A162" t="str">
        <f>IF(OR(Identity!B162="",Identity!D162=""),"",TRIM(Identity!B162&amp;" "&amp;Identity!C162&amp;" "&amp;Identity!D162))</f>
      </c>
      <c r="C162" s="8"/>
      <c r="D162" s="8"/>
      <c r="E162" s="8"/>
    </row>
    <row r="163">
      <c r="A163" t="str">
        <f>IF(OR(Identity!B163="",Identity!D163=""),"",TRIM(Identity!B163&amp;" "&amp;Identity!C163&amp;" "&amp;Identity!D163))</f>
      </c>
      <c r="C163" s="8"/>
      <c r="D163" s="8"/>
      <c r="E163" s="8"/>
    </row>
    <row r="164">
      <c r="A164" t="str">
        <f>IF(OR(Identity!B164="",Identity!D164=""),"",TRIM(Identity!B164&amp;" "&amp;Identity!C164&amp;" "&amp;Identity!D164))</f>
      </c>
      <c r="C164" s="8"/>
      <c r="D164" s="8"/>
      <c r="E164" s="8"/>
    </row>
    <row r="165">
      <c r="A165" t="str">
        <f>IF(OR(Identity!B165="",Identity!D165=""),"",TRIM(Identity!B165&amp;" "&amp;Identity!C165&amp;" "&amp;Identity!D165))</f>
      </c>
      <c r="C165" s="8"/>
      <c r="D165" s="8"/>
      <c r="E165" s="8"/>
    </row>
    <row r="166">
      <c r="A166" t="str">
        <f>IF(OR(Identity!B166="",Identity!D166=""),"",TRIM(Identity!B166&amp;" "&amp;Identity!C166&amp;" "&amp;Identity!D166))</f>
      </c>
      <c r="C166" s="8"/>
      <c r="D166" s="8"/>
      <c r="E166" s="8"/>
    </row>
    <row r="167">
      <c r="A167" t="str">
        <f>IF(OR(Identity!B167="",Identity!D167=""),"",TRIM(Identity!B167&amp;" "&amp;Identity!C167&amp;" "&amp;Identity!D167))</f>
      </c>
      <c r="C167" s="8"/>
      <c r="D167" s="8"/>
      <c r="E167" s="8"/>
    </row>
    <row r="168">
      <c r="A168" t="str">
        <f>IF(OR(Identity!B168="",Identity!D168=""),"",TRIM(Identity!B168&amp;" "&amp;Identity!C168&amp;" "&amp;Identity!D168))</f>
      </c>
      <c r="C168" s="8"/>
      <c r="D168" s="8"/>
      <c r="E168" s="8"/>
    </row>
    <row r="169">
      <c r="A169" t="str">
        <f>IF(OR(Identity!B169="",Identity!D169=""),"",TRIM(Identity!B169&amp;" "&amp;Identity!C169&amp;" "&amp;Identity!D169))</f>
      </c>
      <c r="C169" s="8"/>
      <c r="D169" s="8"/>
      <c r="E169" s="8"/>
    </row>
    <row r="170">
      <c r="A170" t="str">
        <f>IF(OR(Identity!B170="",Identity!D170=""),"",TRIM(Identity!B170&amp;" "&amp;Identity!C170&amp;" "&amp;Identity!D170))</f>
      </c>
      <c r="C170" s="8"/>
      <c r="D170" s="8"/>
      <c r="E170" s="8"/>
    </row>
    <row r="171">
      <c r="A171" t="str">
        <f>IF(OR(Identity!B171="",Identity!D171=""),"",TRIM(Identity!B171&amp;" "&amp;Identity!C171&amp;" "&amp;Identity!D171))</f>
      </c>
      <c r="C171" s="8"/>
      <c r="D171" s="8"/>
      <c r="E171" s="8"/>
    </row>
    <row r="172">
      <c r="A172" t="str">
        <f>IF(OR(Identity!B172="",Identity!D172=""),"",TRIM(Identity!B172&amp;" "&amp;Identity!C172&amp;" "&amp;Identity!D172))</f>
      </c>
      <c r="C172" s="8"/>
      <c r="D172" s="8"/>
      <c r="E172" s="8"/>
    </row>
    <row r="173">
      <c r="A173" t="str">
        <f>IF(OR(Identity!B173="",Identity!D173=""),"",TRIM(Identity!B173&amp;" "&amp;Identity!C173&amp;" "&amp;Identity!D173))</f>
      </c>
      <c r="C173" s="8"/>
      <c r="D173" s="8"/>
      <c r="E173" s="8"/>
    </row>
    <row r="174">
      <c r="A174" t="str">
        <f>IF(OR(Identity!B174="",Identity!D174=""),"",TRIM(Identity!B174&amp;" "&amp;Identity!C174&amp;" "&amp;Identity!D174))</f>
      </c>
      <c r="C174" s="8"/>
      <c r="D174" s="8"/>
      <c r="E174" s="8"/>
    </row>
    <row r="175">
      <c r="A175" t="str">
        <f>IF(OR(Identity!B175="",Identity!D175=""),"",TRIM(Identity!B175&amp;" "&amp;Identity!C175&amp;" "&amp;Identity!D175))</f>
      </c>
      <c r="C175" s="8"/>
      <c r="D175" s="8"/>
      <c r="E175" s="8"/>
    </row>
    <row r="176">
      <c r="A176" t="str">
        <f>IF(OR(Identity!B176="",Identity!D176=""),"",TRIM(Identity!B176&amp;" "&amp;Identity!C176&amp;" "&amp;Identity!D176))</f>
      </c>
      <c r="C176" s="8"/>
      <c r="D176" s="8"/>
      <c r="E176" s="8"/>
    </row>
    <row r="177">
      <c r="A177" t="str">
        <f>IF(OR(Identity!B177="",Identity!D177=""),"",TRIM(Identity!B177&amp;" "&amp;Identity!C177&amp;" "&amp;Identity!D177))</f>
      </c>
      <c r="C177" s="8"/>
      <c r="D177" s="8"/>
      <c r="E177" s="8"/>
    </row>
    <row r="178">
      <c r="A178" t="str">
        <f>IF(OR(Identity!B178="",Identity!D178=""),"",TRIM(Identity!B178&amp;" "&amp;Identity!C178&amp;" "&amp;Identity!D178))</f>
      </c>
      <c r="C178" s="8"/>
      <c r="D178" s="8"/>
      <c r="E178" s="8"/>
    </row>
    <row r="179">
      <c r="A179" t="str">
        <f>IF(OR(Identity!B179="",Identity!D179=""),"",TRIM(Identity!B179&amp;" "&amp;Identity!C179&amp;" "&amp;Identity!D179))</f>
      </c>
      <c r="C179" s="8"/>
      <c r="D179" s="8"/>
      <c r="E179" s="8"/>
    </row>
    <row r="180">
      <c r="A180" t="str">
        <f>IF(OR(Identity!B180="",Identity!D180=""),"",TRIM(Identity!B180&amp;" "&amp;Identity!C180&amp;" "&amp;Identity!D180))</f>
      </c>
      <c r="C180" s="8"/>
      <c r="D180" s="8"/>
      <c r="E180" s="8"/>
    </row>
    <row r="181">
      <c r="A181" t="str">
        <f>IF(OR(Identity!B181="",Identity!D181=""),"",TRIM(Identity!B181&amp;" "&amp;Identity!C181&amp;" "&amp;Identity!D181))</f>
      </c>
      <c r="C181" s="8"/>
      <c r="D181" s="8"/>
      <c r="E181" s="8"/>
    </row>
    <row r="182">
      <c r="A182" t="str">
        <f>IF(OR(Identity!B182="",Identity!D182=""),"",TRIM(Identity!B182&amp;" "&amp;Identity!C182&amp;" "&amp;Identity!D182))</f>
      </c>
      <c r="C182" s="8"/>
      <c r="D182" s="8"/>
      <c r="E182" s="8"/>
    </row>
    <row r="183">
      <c r="A183" t="str">
        <f>IF(OR(Identity!B183="",Identity!D183=""),"",TRIM(Identity!B183&amp;" "&amp;Identity!C183&amp;" "&amp;Identity!D183))</f>
      </c>
      <c r="C183" s="8"/>
      <c r="D183" s="8"/>
      <c r="E183" s="8"/>
    </row>
    <row r="184">
      <c r="A184" t="str">
        <f>IF(OR(Identity!B184="",Identity!D184=""),"",TRIM(Identity!B184&amp;" "&amp;Identity!C184&amp;" "&amp;Identity!D184))</f>
      </c>
      <c r="C184" s="8"/>
      <c r="D184" s="8"/>
      <c r="E184" s="8"/>
    </row>
    <row r="185">
      <c r="A185" t="str">
        <f>IF(OR(Identity!B185="",Identity!D185=""),"",TRIM(Identity!B185&amp;" "&amp;Identity!C185&amp;" "&amp;Identity!D185))</f>
      </c>
      <c r="C185" s="8"/>
      <c r="D185" s="8"/>
      <c r="E185" s="8"/>
    </row>
    <row r="186">
      <c r="A186" t="str">
        <f>IF(OR(Identity!B186="",Identity!D186=""),"",TRIM(Identity!B186&amp;" "&amp;Identity!C186&amp;" "&amp;Identity!D186))</f>
      </c>
      <c r="C186" s="8"/>
      <c r="D186" s="8"/>
      <c r="E186" s="8"/>
    </row>
    <row r="187">
      <c r="A187" t="str">
        <f>IF(OR(Identity!B187="",Identity!D187=""),"",TRIM(Identity!B187&amp;" "&amp;Identity!C187&amp;" "&amp;Identity!D187))</f>
      </c>
      <c r="C187" s="8"/>
      <c r="D187" s="8"/>
      <c r="E187" s="8"/>
    </row>
    <row r="188">
      <c r="A188" t="str">
        <f>IF(OR(Identity!B188="",Identity!D188=""),"",TRIM(Identity!B188&amp;" "&amp;Identity!C188&amp;" "&amp;Identity!D188))</f>
      </c>
      <c r="C188" s="8"/>
      <c r="D188" s="8"/>
      <c r="E188" s="8"/>
    </row>
    <row r="189">
      <c r="A189" t="str">
        <f>IF(OR(Identity!B189="",Identity!D189=""),"",TRIM(Identity!B189&amp;" "&amp;Identity!C189&amp;" "&amp;Identity!D189))</f>
      </c>
      <c r="C189" s="8"/>
      <c r="D189" s="8"/>
      <c r="E189" s="8"/>
    </row>
    <row r="190">
      <c r="A190" t="str">
        <f>IF(OR(Identity!B190="",Identity!D190=""),"",TRIM(Identity!B190&amp;" "&amp;Identity!C190&amp;" "&amp;Identity!D190))</f>
      </c>
      <c r="C190" s="8"/>
      <c r="D190" s="8"/>
      <c r="E190" s="8"/>
    </row>
    <row r="191">
      <c r="A191" t="str">
        <f>IF(OR(Identity!B191="",Identity!D191=""),"",TRIM(Identity!B191&amp;" "&amp;Identity!C191&amp;" "&amp;Identity!D191))</f>
      </c>
      <c r="C191" s="8"/>
      <c r="D191" s="8"/>
      <c r="E191" s="8"/>
    </row>
    <row r="192">
      <c r="A192" t="str">
        <f>IF(OR(Identity!B192="",Identity!D192=""),"",TRIM(Identity!B192&amp;" "&amp;Identity!C192&amp;" "&amp;Identity!D192))</f>
      </c>
      <c r="C192" s="8"/>
      <c r="D192" s="8"/>
      <c r="E192" s="8"/>
    </row>
    <row r="193">
      <c r="A193" t="str">
        <f>IF(OR(Identity!B193="",Identity!D193=""),"",TRIM(Identity!B193&amp;" "&amp;Identity!C193&amp;" "&amp;Identity!D193))</f>
      </c>
      <c r="C193" s="8"/>
      <c r="D193" s="8"/>
      <c r="E193" s="8"/>
    </row>
    <row r="194">
      <c r="A194" t="str">
        <f>IF(OR(Identity!B194="",Identity!D194=""),"",TRIM(Identity!B194&amp;" "&amp;Identity!C194&amp;" "&amp;Identity!D194))</f>
      </c>
      <c r="C194" s="8"/>
      <c r="D194" s="8"/>
      <c r="E194" s="8"/>
    </row>
    <row r="195">
      <c r="A195" t="str">
        <f>IF(OR(Identity!B195="",Identity!D195=""),"",TRIM(Identity!B195&amp;" "&amp;Identity!C195&amp;" "&amp;Identity!D195))</f>
      </c>
      <c r="C195" s="8"/>
      <c r="D195" s="8"/>
      <c r="E195" s="8"/>
    </row>
    <row r="196">
      <c r="A196" t="str">
        <f>IF(OR(Identity!B196="",Identity!D196=""),"",TRIM(Identity!B196&amp;" "&amp;Identity!C196&amp;" "&amp;Identity!D196))</f>
      </c>
      <c r="C196" s="8"/>
      <c r="D196" s="8"/>
      <c r="E196" s="8"/>
    </row>
    <row r="197">
      <c r="A197" t="str">
        <f>IF(OR(Identity!B197="",Identity!D197=""),"",TRIM(Identity!B197&amp;" "&amp;Identity!C197&amp;" "&amp;Identity!D197))</f>
      </c>
      <c r="C197" s="8"/>
      <c r="D197" s="8"/>
      <c r="E197" s="8"/>
    </row>
    <row r="198">
      <c r="A198" t="str">
        <f>IF(OR(Identity!B198="",Identity!D198=""),"",TRIM(Identity!B198&amp;" "&amp;Identity!C198&amp;" "&amp;Identity!D198))</f>
      </c>
      <c r="C198" s="8"/>
      <c r="D198" s="8"/>
      <c r="E198" s="8"/>
    </row>
    <row r="199">
      <c r="A199" t="str">
        <f>IF(OR(Identity!B199="",Identity!D199=""),"",TRIM(Identity!B199&amp;" "&amp;Identity!C199&amp;" "&amp;Identity!D199))</f>
      </c>
      <c r="C199" s="8"/>
      <c r="D199" s="8"/>
      <c r="E199" s="8"/>
    </row>
    <row r="200">
      <c r="A200" t="str">
        <f>IF(OR(Identity!B200="",Identity!D200=""),"",TRIM(Identity!B200&amp;" "&amp;Identity!C200&amp;" "&amp;Identity!D200))</f>
      </c>
      <c r="C200" s="8"/>
      <c r="D200" s="8"/>
      <c r="E200" s="8"/>
    </row>
    <row r="201">
      <c r="A201" t="str">
        <f>IF(OR(Identity!B201="",Identity!D201=""),"",TRIM(Identity!B201&amp;" "&amp;Identity!C201&amp;" "&amp;Identity!D201))</f>
      </c>
      <c r="C201" s="8"/>
      <c r="D201" s="8"/>
      <c r="E201" s="8"/>
    </row>
    <row r="202">
      <c r="A202" t="str">
        <f>IF(OR(Identity!B202="",Identity!D202=""),"",TRIM(Identity!B202&amp;" "&amp;Identity!C202&amp;" "&amp;Identity!D202))</f>
      </c>
      <c r="C202" s="8"/>
      <c r="D202" s="8"/>
      <c r="E202" s="8"/>
    </row>
    <row r="203">
      <c r="A203" t="str">
        <f>IF(OR(Identity!B203="",Identity!D203=""),"",TRIM(Identity!B203&amp;" "&amp;Identity!C203&amp;" "&amp;Identity!D203))</f>
      </c>
      <c r="C203" s="8"/>
      <c r="D203" s="8"/>
      <c r="E203" s="8"/>
    </row>
    <row r="204">
      <c r="A204" t="str">
        <f>IF(OR(Identity!B204="",Identity!D204=""),"",TRIM(Identity!B204&amp;" "&amp;Identity!C204&amp;" "&amp;Identity!D204))</f>
      </c>
      <c r="C204" s="8"/>
      <c r="D204" s="8"/>
      <c r="E204" s="8"/>
    </row>
    <row r="205">
      <c r="A205" t="str">
        <f>IF(OR(Identity!B205="",Identity!D205=""),"",TRIM(Identity!B205&amp;" "&amp;Identity!C205&amp;" "&amp;Identity!D205))</f>
      </c>
      <c r="C205" s="8"/>
      <c r="D205" s="8"/>
      <c r="E205" s="8"/>
    </row>
    <row r="206">
      <c r="A206" t="str">
        <f>IF(OR(Identity!B206="",Identity!D206=""),"",TRIM(Identity!B206&amp;" "&amp;Identity!C206&amp;" "&amp;Identity!D206))</f>
      </c>
      <c r="C206" s="8"/>
      <c r="D206" s="8"/>
      <c r="E206" s="8"/>
    </row>
    <row r="207">
      <c r="A207" t="str">
        <f>IF(OR(Identity!B207="",Identity!D207=""),"",TRIM(Identity!B207&amp;" "&amp;Identity!C207&amp;" "&amp;Identity!D207))</f>
      </c>
      <c r="C207" s="8"/>
      <c r="D207" s="8"/>
      <c r="E207" s="8"/>
    </row>
    <row r="208">
      <c r="A208" t="str">
        <f>IF(OR(Identity!B208="",Identity!D208=""),"",TRIM(Identity!B208&amp;" "&amp;Identity!C208&amp;" "&amp;Identity!D208))</f>
      </c>
      <c r="C208" s="8"/>
      <c r="D208" s="8"/>
      <c r="E208" s="8"/>
    </row>
    <row r="209">
      <c r="A209" t="str">
        <f>IF(OR(Identity!B209="",Identity!D209=""),"",TRIM(Identity!B209&amp;" "&amp;Identity!C209&amp;" "&amp;Identity!D209))</f>
      </c>
      <c r="C209" s="8"/>
      <c r="D209" s="8"/>
      <c r="E209" s="8"/>
    </row>
    <row r="210">
      <c r="A210" t="str">
        <f>IF(OR(Identity!B210="",Identity!D210=""),"",TRIM(Identity!B210&amp;" "&amp;Identity!C210&amp;" "&amp;Identity!D210))</f>
      </c>
      <c r="C210" s="8"/>
      <c r="D210" s="8"/>
      <c r="E210" s="8"/>
    </row>
    <row r="211">
      <c r="A211" t="str">
        <f>IF(OR(Identity!B211="",Identity!D211=""),"",TRIM(Identity!B211&amp;" "&amp;Identity!C211&amp;" "&amp;Identity!D211))</f>
      </c>
      <c r="C211" s="8"/>
      <c r="D211" s="8"/>
      <c r="E211" s="8"/>
    </row>
    <row r="212">
      <c r="A212" t="str">
        <f>IF(OR(Identity!B212="",Identity!D212=""),"",TRIM(Identity!B212&amp;" "&amp;Identity!C212&amp;" "&amp;Identity!D212))</f>
      </c>
      <c r="C212" s="8"/>
      <c r="D212" s="8"/>
      <c r="E212" s="8"/>
    </row>
    <row r="213">
      <c r="A213" t="str">
        <f>IF(OR(Identity!B213="",Identity!D213=""),"",TRIM(Identity!B213&amp;" "&amp;Identity!C213&amp;" "&amp;Identity!D213))</f>
      </c>
      <c r="C213" s="8"/>
      <c r="D213" s="8"/>
      <c r="E213" s="8"/>
    </row>
    <row r="214">
      <c r="A214" t="str">
        <f>IF(OR(Identity!B214="",Identity!D214=""),"",TRIM(Identity!B214&amp;" "&amp;Identity!C214&amp;" "&amp;Identity!D214))</f>
      </c>
      <c r="C214" s="8"/>
      <c r="D214" s="8"/>
      <c r="E214" s="8"/>
    </row>
    <row r="215">
      <c r="A215" t="str">
        <f>IF(OR(Identity!B215="",Identity!D215=""),"",TRIM(Identity!B215&amp;" "&amp;Identity!C215&amp;" "&amp;Identity!D215))</f>
      </c>
      <c r="C215" s="8"/>
      <c r="D215" s="8"/>
      <c r="E215" s="8"/>
    </row>
    <row r="216">
      <c r="A216" t="str">
        <f>IF(OR(Identity!B216="",Identity!D216=""),"",TRIM(Identity!B216&amp;" "&amp;Identity!C216&amp;" "&amp;Identity!D216))</f>
      </c>
      <c r="C216" s="8"/>
      <c r="D216" s="8"/>
      <c r="E216" s="8"/>
    </row>
    <row r="217">
      <c r="A217" t="str">
        <f>IF(OR(Identity!B217="",Identity!D217=""),"",TRIM(Identity!B217&amp;" "&amp;Identity!C217&amp;" "&amp;Identity!D217))</f>
      </c>
      <c r="C217" s="8"/>
      <c r="D217" s="8"/>
      <c r="E217" s="8"/>
    </row>
    <row r="218">
      <c r="A218" t="str">
        <f>IF(OR(Identity!B218="",Identity!D218=""),"",TRIM(Identity!B218&amp;" "&amp;Identity!C218&amp;" "&amp;Identity!D218))</f>
      </c>
      <c r="C218" s="8"/>
      <c r="D218" s="8"/>
      <c r="E218" s="8"/>
    </row>
    <row r="219">
      <c r="A219" t="str">
        <f>IF(OR(Identity!B219="",Identity!D219=""),"",TRIM(Identity!B219&amp;" "&amp;Identity!C219&amp;" "&amp;Identity!D219))</f>
      </c>
      <c r="C219" s="8"/>
      <c r="D219" s="8"/>
      <c r="E219" s="8"/>
    </row>
    <row r="220">
      <c r="A220" t="str">
        <f>IF(OR(Identity!B220="",Identity!D220=""),"",TRIM(Identity!B220&amp;" "&amp;Identity!C220&amp;" "&amp;Identity!D220))</f>
      </c>
      <c r="C220" s="8"/>
      <c r="D220" s="8"/>
      <c r="E220" s="8"/>
    </row>
    <row r="221">
      <c r="A221" t="str">
        <f>IF(OR(Identity!B221="",Identity!D221=""),"",TRIM(Identity!B221&amp;" "&amp;Identity!C221&amp;" "&amp;Identity!D221))</f>
      </c>
      <c r="C221" s="8"/>
      <c r="D221" s="8"/>
      <c r="E221" s="8"/>
    </row>
    <row r="222">
      <c r="A222" t="str">
        <f>IF(OR(Identity!B222="",Identity!D222=""),"",TRIM(Identity!B222&amp;" "&amp;Identity!C222&amp;" "&amp;Identity!D222))</f>
      </c>
      <c r="C222" s="8"/>
      <c r="D222" s="8"/>
      <c r="E222" s="8"/>
    </row>
    <row r="223">
      <c r="A223" t="str">
        <f>IF(OR(Identity!B223="",Identity!D223=""),"",TRIM(Identity!B223&amp;" "&amp;Identity!C223&amp;" "&amp;Identity!D223))</f>
      </c>
      <c r="C223" s="8"/>
      <c r="D223" s="8"/>
      <c r="E223" s="8"/>
    </row>
    <row r="224">
      <c r="A224" t="str">
        <f>IF(OR(Identity!B224="",Identity!D224=""),"",TRIM(Identity!B224&amp;" "&amp;Identity!C224&amp;" "&amp;Identity!D224))</f>
      </c>
      <c r="C224" s="8"/>
      <c r="D224" s="8"/>
      <c r="E224" s="8"/>
    </row>
    <row r="225">
      <c r="A225" t="str">
        <f>IF(OR(Identity!B225="",Identity!D225=""),"",TRIM(Identity!B225&amp;" "&amp;Identity!C225&amp;" "&amp;Identity!D225))</f>
      </c>
      <c r="C225" s="8"/>
      <c r="D225" s="8"/>
      <c r="E225" s="8"/>
    </row>
    <row r="226">
      <c r="A226" t="str">
        <f>IF(OR(Identity!B226="",Identity!D226=""),"",TRIM(Identity!B226&amp;" "&amp;Identity!C226&amp;" "&amp;Identity!D226))</f>
      </c>
      <c r="C226" s="8"/>
      <c r="D226" s="8"/>
      <c r="E226" s="8"/>
    </row>
    <row r="227">
      <c r="A227" t="str">
        <f>IF(OR(Identity!B227="",Identity!D227=""),"",TRIM(Identity!B227&amp;" "&amp;Identity!C227&amp;" "&amp;Identity!D227))</f>
      </c>
      <c r="C227" s="8"/>
      <c r="D227" s="8"/>
      <c r="E227" s="8"/>
    </row>
    <row r="228">
      <c r="A228" t="str">
        <f>IF(OR(Identity!B228="",Identity!D228=""),"",TRIM(Identity!B228&amp;" "&amp;Identity!C228&amp;" "&amp;Identity!D228))</f>
      </c>
      <c r="C228" s="8"/>
      <c r="D228" s="8"/>
      <c r="E228" s="8"/>
    </row>
    <row r="229">
      <c r="A229" t="str">
        <f>IF(OR(Identity!B229="",Identity!D229=""),"",TRIM(Identity!B229&amp;" "&amp;Identity!C229&amp;" "&amp;Identity!D229))</f>
      </c>
      <c r="C229" s="8"/>
      <c r="D229" s="8"/>
      <c r="E229" s="8"/>
    </row>
    <row r="230">
      <c r="A230" t="str">
        <f>IF(OR(Identity!B230="",Identity!D230=""),"",TRIM(Identity!B230&amp;" "&amp;Identity!C230&amp;" "&amp;Identity!D230))</f>
      </c>
      <c r="C230" s="8"/>
      <c r="D230" s="8"/>
      <c r="E230" s="8"/>
    </row>
    <row r="231">
      <c r="A231" t="str">
        <f>IF(OR(Identity!B231="",Identity!D231=""),"",TRIM(Identity!B231&amp;" "&amp;Identity!C231&amp;" "&amp;Identity!D231))</f>
      </c>
      <c r="C231" s="8"/>
      <c r="D231" s="8"/>
      <c r="E231" s="8"/>
    </row>
    <row r="232">
      <c r="A232" t="str">
        <f>IF(OR(Identity!B232="",Identity!D232=""),"",TRIM(Identity!B232&amp;" "&amp;Identity!C232&amp;" "&amp;Identity!D232))</f>
      </c>
      <c r="C232" s="8"/>
      <c r="D232" s="8"/>
      <c r="E232" s="8"/>
    </row>
    <row r="233">
      <c r="A233" t="str">
        <f>IF(OR(Identity!B233="",Identity!D233=""),"",TRIM(Identity!B233&amp;" "&amp;Identity!C233&amp;" "&amp;Identity!D233))</f>
      </c>
      <c r="C233" s="8"/>
      <c r="D233" s="8"/>
      <c r="E233" s="8"/>
    </row>
    <row r="234">
      <c r="A234" t="str">
        <f>IF(OR(Identity!B234="",Identity!D234=""),"",TRIM(Identity!B234&amp;" "&amp;Identity!C234&amp;" "&amp;Identity!D234))</f>
      </c>
      <c r="C234" s="8"/>
      <c r="D234" s="8"/>
      <c r="E234" s="8"/>
    </row>
    <row r="235">
      <c r="A235" t="str">
        <f>IF(OR(Identity!B235="",Identity!D235=""),"",TRIM(Identity!B235&amp;" "&amp;Identity!C235&amp;" "&amp;Identity!D235))</f>
      </c>
      <c r="C235" s="8"/>
      <c r="D235" s="8"/>
      <c r="E235" s="8"/>
    </row>
    <row r="236">
      <c r="A236" t="str">
        <f>IF(OR(Identity!B236="",Identity!D236=""),"",TRIM(Identity!B236&amp;" "&amp;Identity!C236&amp;" "&amp;Identity!D236))</f>
      </c>
      <c r="C236" s="8"/>
      <c r="D236" s="8"/>
      <c r="E236" s="8"/>
    </row>
    <row r="237">
      <c r="A237" t="str">
        <f>IF(OR(Identity!B237="",Identity!D237=""),"",TRIM(Identity!B237&amp;" "&amp;Identity!C237&amp;" "&amp;Identity!D237))</f>
      </c>
      <c r="C237" s="8"/>
      <c r="D237" s="8"/>
      <c r="E237" s="8"/>
    </row>
    <row r="238">
      <c r="A238" t="str">
        <f>IF(OR(Identity!B238="",Identity!D238=""),"",TRIM(Identity!B238&amp;" "&amp;Identity!C238&amp;" "&amp;Identity!D238))</f>
      </c>
      <c r="C238" s="8"/>
      <c r="D238" s="8"/>
      <c r="E238" s="8"/>
    </row>
    <row r="239">
      <c r="A239" t="str">
        <f>IF(OR(Identity!B239="",Identity!D239=""),"",TRIM(Identity!B239&amp;" "&amp;Identity!C239&amp;" "&amp;Identity!D239))</f>
      </c>
      <c r="C239" s="8"/>
      <c r="D239" s="8"/>
      <c r="E239" s="8"/>
    </row>
    <row r="240">
      <c r="A240" t="str">
        <f>IF(OR(Identity!B240="",Identity!D240=""),"",TRIM(Identity!B240&amp;" "&amp;Identity!C240&amp;" "&amp;Identity!D240))</f>
      </c>
      <c r="C240" s="8"/>
      <c r="D240" s="8"/>
      <c r="E240" s="8"/>
    </row>
    <row r="241">
      <c r="A241" t="str">
        <f>IF(OR(Identity!B241="",Identity!D241=""),"",TRIM(Identity!B241&amp;" "&amp;Identity!C241&amp;" "&amp;Identity!D241))</f>
      </c>
      <c r="C241" s="8"/>
      <c r="D241" s="8"/>
      <c r="E241" s="8"/>
    </row>
    <row r="242">
      <c r="A242" t="str">
        <f>IF(OR(Identity!B242="",Identity!D242=""),"",TRIM(Identity!B242&amp;" "&amp;Identity!C242&amp;" "&amp;Identity!D242))</f>
      </c>
      <c r="C242" s="8"/>
      <c r="D242" s="8"/>
      <c r="E242" s="8"/>
    </row>
    <row r="243">
      <c r="A243" t="str">
        <f>IF(OR(Identity!B243="",Identity!D243=""),"",TRIM(Identity!B243&amp;" "&amp;Identity!C243&amp;" "&amp;Identity!D243))</f>
      </c>
      <c r="C243" s="8"/>
      <c r="D243" s="8"/>
      <c r="E243" s="8"/>
    </row>
    <row r="244">
      <c r="A244" t="str">
        <f>IF(OR(Identity!B244="",Identity!D244=""),"",TRIM(Identity!B244&amp;" "&amp;Identity!C244&amp;" "&amp;Identity!D244))</f>
      </c>
      <c r="C244" s="8"/>
      <c r="D244" s="8"/>
      <c r="E244" s="8"/>
    </row>
    <row r="245">
      <c r="A245" t="str">
        <f>IF(OR(Identity!B245="",Identity!D245=""),"",TRIM(Identity!B245&amp;" "&amp;Identity!C245&amp;" "&amp;Identity!D245))</f>
      </c>
      <c r="C245" s="8"/>
      <c r="D245" s="8"/>
      <c r="E245" s="8"/>
    </row>
    <row r="246">
      <c r="A246" t="str">
        <f>IF(OR(Identity!B246="",Identity!D246=""),"",TRIM(Identity!B246&amp;" "&amp;Identity!C246&amp;" "&amp;Identity!D246))</f>
      </c>
      <c r="C246" s="8"/>
      <c r="D246" s="8"/>
      <c r="E246" s="8"/>
    </row>
    <row r="247">
      <c r="A247" t="str">
        <f>IF(OR(Identity!B247="",Identity!D247=""),"",TRIM(Identity!B247&amp;" "&amp;Identity!C247&amp;" "&amp;Identity!D247))</f>
      </c>
      <c r="C247" s="8"/>
      <c r="D247" s="8"/>
      <c r="E247" s="8"/>
    </row>
    <row r="248">
      <c r="A248" t="str">
        <f>IF(OR(Identity!B248="",Identity!D248=""),"",TRIM(Identity!B248&amp;" "&amp;Identity!C248&amp;" "&amp;Identity!D248))</f>
      </c>
      <c r="C248" s="8"/>
      <c r="D248" s="8"/>
      <c r="E248" s="8"/>
    </row>
    <row r="249">
      <c r="A249" t="str">
        <f>IF(OR(Identity!B249="",Identity!D249=""),"",TRIM(Identity!B249&amp;" "&amp;Identity!C249&amp;" "&amp;Identity!D249))</f>
      </c>
      <c r="C249" s="8"/>
      <c r="D249" s="8"/>
      <c r="E249" s="8"/>
    </row>
    <row r="250">
      <c r="A250" t="str">
        <f>IF(OR(Identity!B250="",Identity!D250=""),"",TRIM(Identity!B250&amp;" "&amp;Identity!C250&amp;" "&amp;Identity!D250))</f>
      </c>
      <c r="C250" s="8"/>
      <c r="D250" s="8"/>
      <c r="E250" s="8"/>
    </row>
    <row r="251">
      <c r="A251" t="str">
        <f>IF(OR(Identity!B251="",Identity!D251=""),"",TRIM(Identity!B251&amp;" "&amp;Identity!C251&amp;" "&amp;Identity!D251))</f>
      </c>
      <c r="C251" s="8"/>
      <c r="D251" s="8"/>
      <c r="E251" s="8"/>
    </row>
    <row r="252">
      <c r="A252" t="str">
        <f>IF(OR(Identity!B252="",Identity!D252=""),"",TRIM(Identity!B252&amp;" "&amp;Identity!C252&amp;" "&amp;Identity!D252))</f>
      </c>
      <c r="C252" s="8"/>
      <c r="D252" s="8"/>
      <c r="E252" s="8"/>
    </row>
    <row r="253">
      <c r="A253" t="str">
        <f>IF(OR(Identity!B253="",Identity!D253=""),"",TRIM(Identity!B253&amp;" "&amp;Identity!C253&amp;" "&amp;Identity!D253))</f>
      </c>
      <c r="C253" s="8"/>
      <c r="D253" s="8"/>
      <c r="E253" s="8"/>
    </row>
    <row r="254">
      <c r="A254" t="str">
        <f>IF(OR(Identity!B254="",Identity!D254=""),"",TRIM(Identity!B254&amp;" "&amp;Identity!C254&amp;" "&amp;Identity!D254))</f>
      </c>
      <c r="C254" s="8"/>
      <c r="D254" s="8"/>
      <c r="E254" s="8"/>
    </row>
    <row r="255">
      <c r="A255" t="str">
        <f>IF(OR(Identity!B255="",Identity!D255=""),"",TRIM(Identity!B255&amp;" "&amp;Identity!C255&amp;" "&amp;Identity!D255))</f>
      </c>
      <c r="C255" s="8"/>
      <c r="D255" s="8"/>
      <c r="E255" s="8"/>
    </row>
    <row r="256">
      <c r="A256" t="str">
        <f>IF(OR(Identity!B256="",Identity!D256=""),"",TRIM(Identity!B256&amp;" "&amp;Identity!C256&amp;" "&amp;Identity!D256))</f>
      </c>
      <c r="C256" s="8"/>
      <c r="D256" s="8"/>
      <c r="E256" s="8"/>
    </row>
    <row r="257">
      <c r="A257" t="str">
        <f>IF(OR(Identity!B257="",Identity!D257=""),"",TRIM(Identity!B257&amp;" "&amp;Identity!C257&amp;" "&amp;Identity!D257))</f>
      </c>
      <c r="C257" s="8"/>
      <c r="D257" s="8"/>
      <c r="E257" s="8"/>
    </row>
    <row r="258">
      <c r="A258" t="str">
        <f>IF(OR(Identity!B258="",Identity!D258=""),"",TRIM(Identity!B258&amp;" "&amp;Identity!C258&amp;" "&amp;Identity!D258))</f>
      </c>
      <c r="C258" s="8"/>
      <c r="D258" s="8"/>
      <c r="E258" s="8"/>
    </row>
    <row r="259">
      <c r="A259" t="str">
        <f>IF(OR(Identity!B259="",Identity!D259=""),"",TRIM(Identity!B259&amp;" "&amp;Identity!C259&amp;" "&amp;Identity!D259))</f>
      </c>
      <c r="C259" s="8"/>
      <c r="D259" s="8"/>
      <c r="E259" s="8"/>
    </row>
    <row r="260">
      <c r="A260" t="str">
        <f>IF(OR(Identity!B260="",Identity!D260=""),"",TRIM(Identity!B260&amp;" "&amp;Identity!C260&amp;" "&amp;Identity!D260))</f>
      </c>
      <c r="C260" s="8"/>
      <c r="D260" s="8"/>
      <c r="E260" s="8"/>
    </row>
    <row r="261">
      <c r="A261" t="str">
        <f>IF(OR(Identity!B261="",Identity!D261=""),"",TRIM(Identity!B261&amp;" "&amp;Identity!C261&amp;" "&amp;Identity!D261))</f>
      </c>
      <c r="C261" s="8"/>
      <c r="D261" s="8"/>
      <c r="E261" s="8"/>
    </row>
    <row r="262">
      <c r="A262" t="str">
        <f>IF(OR(Identity!B262="",Identity!D262=""),"",TRIM(Identity!B262&amp;" "&amp;Identity!C262&amp;" "&amp;Identity!D262))</f>
      </c>
      <c r="C262" s="8"/>
      <c r="D262" s="8"/>
      <c r="E262" s="8"/>
    </row>
    <row r="263">
      <c r="A263" t="str">
        <f>IF(OR(Identity!B263="",Identity!D263=""),"",TRIM(Identity!B263&amp;" "&amp;Identity!C263&amp;" "&amp;Identity!D263))</f>
      </c>
      <c r="C263" s="8"/>
      <c r="D263" s="8"/>
      <c r="E263" s="8"/>
    </row>
    <row r="264">
      <c r="A264" t="str">
        <f>IF(OR(Identity!B264="",Identity!D264=""),"",TRIM(Identity!B264&amp;" "&amp;Identity!C264&amp;" "&amp;Identity!D264))</f>
      </c>
      <c r="C264" s="8"/>
      <c r="D264" s="8"/>
      <c r="E264" s="8"/>
    </row>
    <row r="265">
      <c r="A265" t="str">
        <f>IF(OR(Identity!B265="",Identity!D265=""),"",TRIM(Identity!B265&amp;" "&amp;Identity!C265&amp;" "&amp;Identity!D265))</f>
      </c>
      <c r="C265" s="8"/>
      <c r="D265" s="8"/>
      <c r="E265" s="8"/>
    </row>
    <row r="266">
      <c r="A266" t="str">
        <f>IF(OR(Identity!B266="",Identity!D266=""),"",TRIM(Identity!B266&amp;" "&amp;Identity!C266&amp;" "&amp;Identity!D266))</f>
      </c>
      <c r="C266" s="8"/>
      <c r="D266" s="8"/>
      <c r="E266" s="8"/>
    </row>
    <row r="267">
      <c r="A267" t="str">
        <f>IF(OR(Identity!B267="",Identity!D267=""),"",TRIM(Identity!B267&amp;" "&amp;Identity!C267&amp;" "&amp;Identity!D267))</f>
      </c>
      <c r="C267" s="8"/>
      <c r="D267" s="8"/>
      <c r="E267" s="8"/>
    </row>
    <row r="268">
      <c r="A268" t="str">
        <f>IF(OR(Identity!B268="",Identity!D268=""),"",TRIM(Identity!B268&amp;" "&amp;Identity!C268&amp;" "&amp;Identity!D268))</f>
      </c>
      <c r="C268" s="8"/>
      <c r="D268" s="8"/>
      <c r="E268" s="8"/>
    </row>
    <row r="269">
      <c r="A269" t="str">
        <f>IF(OR(Identity!B269="",Identity!D269=""),"",TRIM(Identity!B269&amp;" "&amp;Identity!C269&amp;" "&amp;Identity!D269))</f>
      </c>
      <c r="C269" s="8"/>
      <c r="D269" s="8"/>
      <c r="E269" s="8"/>
    </row>
    <row r="270">
      <c r="A270" t="str">
        <f>IF(OR(Identity!B270="",Identity!D270=""),"",TRIM(Identity!B270&amp;" "&amp;Identity!C270&amp;" "&amp;Identity!D270))</f>
      </c>
      <c r="C270" s="8"/>
      <c r="D270" s="8"/>
      <c r="E270" s="8"/>
    </row>
    <row r="271">
      <c r="A271" t="str">
        <f>IF(OR(Identity!B271="",Identity!D271=""),"",TRIM(Identity!B271&amp;" "&amp;Identity!C271&amp;" "&amp;Identity!D271))</f>
      </c>
      <c r="C271" s="8"/>
      <c r="D271" s="8"/>
      <c r="E271" s="8"/>
    </row>
    <row r="272">
      <c r="A272" t="str">
        <f>IF(OR(Identity!B272="",Identity!D272=""),"",TRIM(Identity!B272&amp;" "&amp;Identity!C272&amp;" "&amp;Identity!D272))</f>
      </c>
      <c r="C272" s="8"/>
      <c r="D272" s="8"/>
      <c r="E272" s="8"/>
    </row>
    <row r="273">
      <c r="A273" t="str">
        <f>IF(OR(Identity!B273="",Identity!D273=""),"",TRIM(Identity!B273&amp;" "&amp;Identity!C273&amp;" "&amp;Identity!D273))</f>
      </c>
      <c r="C273" s="8"/>
      <c r="D273" s="8"/>
      <c r="E273" s="8"/>
    </row>
    <row r="274">
      <c r="A274" t="str">
        <f>IF(OR(Identity!B274="",Identity!D274=""),"",TRIM(Identity!B274&amp;" "&amp;Identity!C274&amp;" "&amp;Identity!D274))</f>
      </c>
      <c r="C274" s="8"/>
      <c r="D274" s="8"/>
      <c r="E274" s="8"/>
    </row>
    <row r="275">
      <c r="A275" t="str">
        <f>IF(OR(Identity!B275="",Identity!D275=""),"",TRIM(Identity!B275&amp;" "&amp;Identity!C275&amp;" "&amp;Identity!D275))</f>
      </c>
      <c r="C275" s="8"/>
      <c r="D275" s="8"/>
      <c r="E275" s="8"/>
    </row>
    <row r="276">
      <c r="A276" t="str">
        <f>IF(OR(Identity!B276="",Identity!D276=""),"",TRIM(Identity!B276&amp;" "&amp;Identity!C276&amp;" "&amp;Identity!D276))</f>
      </c>
      <c r="C276" s="8"/>
      <c r="D276" s="8"/>
      <c r="E276" s="8"/>
    </row>
    <row r="277">
      <c r="A277" t="str">
        <f>IF(OR(Identity!B277="",Identity!D277=""),"",TRIM(Identity!B277&amp;" "&amp;Identity!C277&amp;" "&amp;Identity!D277))</f>
      </c>
      <c r="C277" s="8"/>
      <c r="D277" s="8"/>
      <c r="E277" s="8"/>
    </row>
    <row r="278">
      <c r="A278" t="str">
        <f>IF(OR(Identity!B278="",Identity!D278=""),"",TRIM(Identity!B278&amp;" "&amp;Identity!C278&amp;" "&amp;Identity!D278))</f>
      </c>
      <c r="C278" s="8"/>
      <c r="D278" s="8"/>
      <c r="E278" s="8"/>
    </row>
    <row r="279">
      <c r="A279" t="str">
        <f>IF(OR(Identity!B279="",Identity!D279=""),"",TRIM(Identity!B279&amp;" "&amp;Identity!C279&amp;" "&amp;Identity!D279))</f>
      </c>
      <c r="C279" s="8"/>
      <c r="D279" s="8"/>
      <c r="E279" s="8"/>
    </row>
    <row r="280">
      <c r="A280" t="str">
        <f>IF(OR(Identity!B280="",Identity!D280=""),"",TRIM(Identity!B280&amp;" "&amp;Identity!C280&amp;" "&amp;Identity!D280))</f>
      </c>
      <c r="C280" s="8"/>
      <c r="D280" s="8"/>
      <c r="E280" s="8"/>
    </row>
    <row r="281">
      <c r="A281" t="str">
        <f>IF(OR(Identity!B281="",Identity!D281=""),"",TRIM(Identity!B281&amp;" "&amp;Identity!C281&amp;" "&amp;Identity!D281))</f>
      </c>
      <c r="C281" s="8"/>
      <c r="D281" s="8"/>
      <c r="E281" s="8"/>
    </row>
    <row r="282">
      <c r="A282" t="str">
        <f>IF(OR(Identity!B282="",Identity!D282=""),"",TRIM(Identity!B282&amp;" "&amp;Identity!C282&amp;" "&amp;Identity!D282))</f>
      </c>
      <c r="C282" s="8"/>
      <c r="D282" s="8"/>
      <c r="E282" s="8"/>
    </row>
    <row r="283">
      <c r="A283" t="str">
        <f>IF(OR(Identity!B283="",Identity!D283=""),"",TRIM(Identity!B283&amp;" "&amp;Identity!C283&amp;" "&amp;Identity!D283))</f>
      </c>
      <c r="C283" s="8"/>
      <c r="D283" s="8"/>
      <c r="E283" s="8"/>
    </row>
    <row r="284">
      <c r="A284" t="str">
        <f>IF(OR(Identity!B284="",Identity!D284=""),"",TRIM(Identity!B284&amp;" "&amp;Identity!C284&amp;" "&amp;Identity!D284))</f>
      </c>
      <c r="C284" s="8"/>
      <c r="D284" s="8"/>
      <c r="E284" s="8"/>
    </row>
    <row r="285">
      <c r="A285" t="str">
        <f>IF(OR(Identity!B285="",Identity!D285=""),"",TRIM(Identity!B285&amp;" "&amp;Identity!C285&amp;" "&amp;Identity!D285))</f>
      </c>
      <c r="C285" s="8"/>
      <c r="D285" s="8"/>
      <c r="E285" s="8"/>
    </row>
    <row r="286">
      <c r="A286" t="str">
        <f>IF(OR(Identity!B286="",Identity!D286=""),"",TRIM(Identity!B286&amp;" "&amp;Identity!C286&amp;" "&amp;Identity!D286))</f>
      </c>
      <c r="C286" s="8"/>
      <c r="D286" s="8"/>
      <c r="E286" s="8"/>
    </row>
    <row r="287">
      <c r="A287" t="str">
        <f>IF(OR(Identity!B287="",Identity!D287=""),"",TRIM(Identity!B287&amp;" "&amp;Identity!C287&amp;" "&amp;Identity!D287))</f>
      </c>
      <c r="C287" s="8"/>
      <c r="D287" s="8"/>
      <c r="E287" s="8"/>
    </row>
    <row r="288">
      <c r="A288" t="str">
        <f>IF(OR(Identity!B288="",Identity!D288=""),"",TRIM(Identity!B288&amp;" "&amp;Identity!C288&amp;" "&amp;Identity!D288))</f>
      </c>
      <c r="C288" s="8"/>
      <c r="D288" s="8"/>
      <c r="E288" s="8"/>
    </row>
    <row r="289">
      <c r="A289" t="str">
        <f>IF(OR(Identity!B289="",Identity!D289=""),"",TRIM(Identity!B289&amp;" "&amp;Identity!C289&amp;" "&amp;Identity!D289))</f>
      </c>
      <c r="C289" s="8"/>
      <c r="D289" s="8"/>
      <c r="E289" s="8"/>
    </row>
    <row r="290">
      <c r="A290" t="str">
        <f>IF(OR(Identity!B290="",Identity!D290=""),"",TRIM(Identity!B290&amp;" "&amp;Identity!C290&amp;" "&amp;Identity!D290))</f>
      </c>
      <c r="C290" s="8"/>
      <c r="D290" s="8"/>
      <c r="E290" s="8"/>
    </row>
    <row r="291">
      <c r="A291" t="str">
        <f>IF(OR(Identity!B291="",Identity!D291=""),"",TRIM(Identity!B291&amp;" "&amp;Identity!C291&amp;" "&amp;Identity!D291))</f>
      </c>
      <c r="C291" s="8"/>
      <c r="D291" s="8"/>
      <c r="E291" s="8"/>
    </row>
    <row r="292">
      <c r="A292" t="str">
        <f>IF(OR(Identity!B292="",Identity!D292=""),"",TRIM(Identity!B292&amp;" "&amp;Identity!C292&amp;" "&amp;Identity!D292))</f>
      </c>
      <c r="C292" s="8"/>
      <c r="D292" s="8"/>
      <c r="E292" s="8"/>
    </row>
    <row r="293">
      <c r="A293" t="str">
        <f>IF(OR(Identity!B293="",Identity!D293=""),"",TRIM(Identity!B293&amp;" "&amp;Identity!C293&amp;" "&amp;Identity!D293))</f>
      </c>
      <c r="C293" s="8"/>
      <c r="D293" s="8"/>
      <c r="E293" s="8"/>
    </row>
    <row r="294">
      <c r="A294" t="str">
        <f>IF(OR(Identity!B294="",Identity!D294=""),"",TRIM(Identity!B294&amp;" "&amp;Identity!C294&amp;" "&amp;Identity!D294))</f>
      </c>
      <c r="C294" s="8"/>
      <c r="D294" s="8"/>
      <c r="E294" s="8"/>
    </row>
    <row r="295">
      <c r="A295" t="str">
        <f>IF(OR(Identity!B295="",Identity!D295=""),"",TRIM(Identity!B295&amp;" "&amp;Identity!C295&amp;" "&amp;Identity!D295))</f>
      </c>
      <c r="C295" s="8"/>
      <c r="D295" s="8"/>
      <c r="E295" s="8"/>
    </row>
    <row r="296">
      <c r="A296" t="str">
        <f>IF(OR(Identity!B296="",Identity!D296=""),"",TRIM(Identity!B296&amp;" "&amp;Identity!C296&amp;" "&amp;Identity!D296))</f>
      </c>
      <c r="C296" s="8"/>
      <c r="D296" s="8"/>
      <c r="E296" s="8"/>
    </row>
    <row r="297">
      <c r="A297" t="str">
        <f>IF(OR(Identity!B297="",Identity!D297=""),"",TRIM(Identity!B297&amp;" "&amp;Identity!C297&amp;" "&amp;Identity!D297))</f>
      </c>
      <c r="C297" s="8"/>
      <c r="D297" s="8"/>
      <c r="E297" s="8"/>
    </row>
    <row r="298">
      <c r="A298" t="str">
        <f>IF(OR(Identity!B298="",Identity!D298=""),"",TRIM(Identity!B298&amp;" "&amp;Identity!C298&amp;" "&amp;Identity!D298))</f>
      </c>
      <c r="C298" s="8"/>
      <c r="D298" s="8"/>
      <c r="E298" s="8"/>
    </row>
    <row r="299">
      <c r="A299" t="str">
        <f>IF(OR(Identity!B299="",Identity!D299=""),"",TRIM(Identity!B299&amp;" "&amp;Identity!C299&amp;" "&amp;Identity!D299))</f>
      </c>
      <c r="C299" s="8"/>
      <c r="D299" s="8"/>
      <c r="E299" s="8"/>
    </row>
    <row r="300">
      <c r="A300" t="str">
        <f>IF(OR(Identity!B300="",Identity!D300=""),"",TRIM(Identity!B300&amp;" "&amp;Identity!C300&amp;" "&amp;Identity!D300))</f>
      </c>
      <c r="C300" s="8"/>
      <c r="D300" s="8"/>
      <c r="E300" s="8"/>
    </row>
    <row r="301">
      <c r="A301" t="str">
        <f>IF(OR(Identity!B301="",Identity!D301=""),"",TRIM(Identity!B301&amp;" "&amp;Identity!C301&amp;" "&amp;Identity!D301))</f>
      </c>
      <c r="C301" s="8"/>
      <c r="D301" s="8"/>
      <c r="E301" s="8"/>
    </row>
    <row r="302">
      <c r="A302" t="str">
        <f>IF(OR(Identity!B302="",Identity!D302=""),"",TRIM(Identity!B302&amp;" "&amp;Identity!C302&amp;" "&amp;Identity!D302))</f>
      </c>
      <c r="C302" s="8"/>
      <c r="D302" s="8"/>
      <c r="E302" s="8"/>
    </row>
    <row r="303">
      <c r="A303" t="str">
        <f>IF(OR(Identity!B303="",Identity!D303=""),"",TRIM(Identity!B303&amp;" "&amp;Identity!C303&amp;" "&amp;Identity!D303))</f>
      </c>
      <c r="C303" s="8"/>
      <c r="D303" s="8"/>
      <c r="E303" s="8"/>
    </row>
    <row r="304">
      <c r="A304" t="str">
        <f>IF(OR(Identity!B304="",Identity!D304=""),"",TRIM(Identity!B304&amp;" "&amp;Identity!C304&amp;" "&amp;Identity!D304))</f>
      </c>
      <c r="C304" s="8"/>
      <c r="D304" s="8"/>
      <c r="E304" s="8"/>
    </row>
    <row r="305">
      <c r="A305" t="str">
        <f>IF(OR(Identity!B305="",Identity!D305=""),"",TRIM(Identity!B305&amp;" "&amp;Identity!C305&amp;" "&amp;Identity!D305))</f>
      </c>
      <c r="C305" s="8"/>
      <c r="D305" s="8"/>
      <c r="E305" s="8"/>
    </row>
    <row r="306">
      <c r="A306" t="str">
        <f>IF(OR(Identity!B306="",Identity!D306=""),"",TRIM(Identity!B306&amp;" "&amp;Identity!C306&amp;" "&amp;Identity!D306))</f>
      </c>
      <c r="C306" s="8"/>
      <c r="D306" s="8"/>
      <c r="E306" s="8"/>
    </row>
    <row r="307">
      <c r="A307" t="str">
        <f>IF(OR(Identity!B307="",Identity!D307=""),"",TRIM(Identity!B307&amp;" "&amp;Identity!C307&amp;" "&amp;Identity!D307))</f>
      </c>
      <c r="C307" s="8"/>
      <c r="D307" s="8"/>
      <c r="E307" s="8"/>
    </row>
    <row r="308">
      <c r="A308" t="str">
        <f>IF(OR(Identity!B308="",Identity!D308=""),"",TRIM(Identity!B308&amp;" "&amp;Identity!C308&amp;" "&amp;Identity!D308))</f>
      </c>
      <c r="C308" s="8"/>
      <c r="D308" s="8"/>
      <c r="E308" s="8"/>
    </row>
    <row r="309">
      <c r="A309" t="str">
        <f>IF(OR(Identity!B309="",Identity!D309=""),"",TRIM(Identity!B309&amp;" "&amp;Identity!C309&amp;" "&amp;Identity!D309))</f>
      </c>
      <c r="C309" s="8"/>
      <c r="D309" s="8"/>
      <c r="E309" s="8"/>
    </row>
    <row r="310">
      <c r="A310" t="str">
        <f>IF(OR(Identity!B310="",Identity!D310=""),"",TRIM(Identity!B310&amp;" "&amp;Identity!C310&amp;" "&amp;Identity!D310))</f>
      </c>
      <c r="C310" s="8"/>
      <c r="D310" s="8"/>
      <c r="E310" s="8"/>
    </row>
    <row r="311">
      <c r="A311" t="str">
        <f>IF(OR(Identity!B311="",Identity!D311=""),"",TRIM(Identity!B311&amp;" "&amp;Identity!C311&amp;" "&amp;Identity!D311))</f>
      </c>
      <c r="C311" s="8"/>
      <c r="D311" s="8"/>
      <c r="E311" s="8"/>
    </row>
    <row r="312">
      <c r="A312" t="str">
        <f>IF(OR(Identity!B312="",Identity!D312=""),"",TRIM(Identity!B312&amp;" "&amp;Identity!C312&amp;" "&amp;Identity!D312))</f>
      </c>
      <c r="C312" s="8"/>
      <c r="D312" s="8"/>
      <c r="E312" s="8"/>
    </row>
    <row r="313">
      <c r="A313" t="str">
        <f>IF(OR(Identity!B313="",Identity!D313=""),"",TRIM(Identity!B313&amp;" "&amp;Identity!C313&amp;" "&amp;Identity!D313))</f>
      </c>
      <c r="C313" s="8"/>
      <c r="D313" s="8"/>
      <c r="E313" s="8"/>
    </row>
    <row r="314">
      <c r="A314" t="str">
        <f>IF(OR(Identity!B314="",Identity!D314=""),"",TRIM(Identity!B314&amp;" "&amp;Identity!C314&amp;" "&amp;Identity!D314))</f>
      </c>
      <c r="C314" s="8"/>
      <c r="D314" s="8"/>
      <c r="E314" s="8"/>
    </row>
    <row r="315">
      <c r="A315" t="str">
        <f>IF(OR(Identity!B315="",Identity!D315=""),"",TRIM(Identity!B315&amp;" "&amp;Identity!C315&amp;" "&amp;Identity!D315))</f>
      </c>
      <c r="C315" s="8"/>
      <c r="D315" s="8"/>
      <c r="E315" s="8"/>
    </row>
    <row r="316">
      <c r="A316" t="str">
        <f>IF(OR(Identity!B316="",Identity!D316=""),"",TRIM(Identity!B316&amp;" "&amp;Identity!C316&amp;" "&amp;Identity!D316))</f>
      </c>
      <c r="C316" s="8"/>
      <c r="D316" s="8"/>
      <c r="E316" s="8"/>
    </row>
    <row r="317">
      <c r="A317" t="str">
        <f>IF(OR(Identity!B317="",Identity!D317=""),"",TRIM(Identity!B317&amp;" "&amp;Identity!C317&amp;" "&amp;Identity!D317))</f>
      </c>
      <c r="C317" s="8"/>
      <c r="D317" s="8"/>
      <c r="E317" s="8"/>
    </row>
    <row r="318">
      <c r="A318" t="str">
        <f>IF(OR(Identity!B318="",Identity!D318=""),"",TRIM(Identity!B318&amp;" "&amp;Identity!C318&amp;" "&amp;Identity!D318))</f>
      </c>
      <c r="C318" s="8"/>
      <c r="D318" s="8"/>
      <c r="E318" s="8"/>
    </row>
    <row r="319">
      <c r="A319" t="str">
        <f>IF(OR(Identity!B319="",Identity!D319=""),"",TRIM(Identity!B319&amp;" "&amp;Identity!C319&amp;" "&amp;Identity!D319))</f>
      </c>
      <c r="C319" s="8"/>
      <c r="D319" s="8"/>
      <c r="E319" s="8"/>
    </row>
    <row r="320">
      <c r="A320" t="str">
        <f>IF(OR(Identity!B320="",Identity!D320=""),"",TRIM(Identity!B320&amp;" "&amp;Identity!C320&amp;" "&amp;Identity!D320))</f>
      </c>
      <c r="C320" s="8"/>
      <c r="D320" s="8"/>
      <c r="E320" s="8"/>
    </row>
    <row r="321">
      <c r="A321" t="str">
        <f>IF(OR(Identity!B321="",Identity!D321=""),"",TRIM(Identity!B321&amp;" "&amp;Identity!C321&amp;" "&amp;Identity!D321))</f>
      </c>
      <c r="C321" s="8"/>
      <c r="D321" s="8"/>
      <c r="E321" s="8"/>
    </row>
    <row r="322">
      <c r="A322" t="str">
        <f>IF(OR(Identity!B322="",Identity!D322=""),"",TRIM(Identity!B322&amp;" "&amp;Identity!C322&amp;" "&amp;Identity!D322))</f>
      </c>
      <c r="C322" s="8"/>
      <c r="D322" s="8"/>
      <c r="E322" s="8"/>
    </row>
    <row r="323">
      <c r="A323" t="str">
        <f>IF(OR(Identity!B323="",Identity!D323=""),"",TRIM(Identity!B323&amp;" "&amp;Identity!C323&amp;" "&amp;Identity!D323))</f>
      </c>
      <c r="C323" s="8"/>
      <c r="D323" s="8"/>
      <c r="E323" s="8"/>
    </row>
    <row r="324">
      <c r="A324" t="str">
        <f>IF(OR(Identity!B324="",Identity!D324=""),"",TRIM(Identity!B324&amp;" "&amp;Identity!C324&amp;" "&amp;Identity!D324))</f>
      </c>
      <c r="C324" s="8"/>
      <c r="D324" s="8"/>
      <c r="E324" s="8"/>
    </row>
    <row r="325">
      <c r="A325" t="str">
        <f>IF(OR(Identity!B325="",Identity!D325=""),"",TRIM(Identity!B325&amp;" "&amp;Identity!C325&amp;" "&amp;Identity!D325))</f>
      </c>
      <c r="C325" s="8"/>
      <c r="D325" s="8"/>
      <c r="E325" s="8"/>
    </row>
    <row r="326">
      <c r="A326" t="str">
        <f>IF(OR(Identity!B326="",Identity!D326=""),"",TRIM(Identity!B326&amp;" "&amp;Identity!C326&amp;" "&amp;Identity!D326))</f>
      </c>
      <c r="C326" s="8"/>
      <c r="D326" s="8"/>
      <c r="E326" s="8"/>
    </row>
    <row r="327">
      <c r="A327" t="str">
        <f>IF(OR(Identity!B327="",Identity!D327=""),"",TRIM(Identity!B327&amp;" "&amp;Identity!C327&amp;" "&amp;Identity!D327))</f>
      </c>
      <c r="C327" s="8"/>
      <c r="D327" s="8"/>
      <c r="E327" s="8"/>
    </row>
    <row r="328">
      <c r="A328" t="str">
        <f>IF(OR(Identity!B328="",Identity!D328=""),"",TRIM(Identity!B328&amp;" "&amp;Identity!C328&amp;" "&amp;Identity!D328))</f>
      </c>
      <c r="C328" s="8"/>
      <c r="D328" s="8"/>
      <c r="E328" s="8"/>
    </row>
    <row r="329">
      <c r="A329" t="str">
        <f>IF(OR(Identity!B329="",Identity!D329=""),"",TRIM(Identity!B329&amp;" "&amp;Identity!C329&amp;" "&amp;Identity!D329))</f>
      </c>
      <c r="C329" s="8"/>
      <c r="D329" s="8"/>
      <c r="E329" s="8"/>
    </row>
    <row r="330">
      <c r="A330" t="str">
        <f>IF(OR(Identity!B330="",Identity!D330=""),"",TRIM(Identity!B330&amp;" "&amp;Identity!C330&amp;" "&amp;Identity!D330))</f>
      </c>
      <c r="C330" s="8"/>
      <c r="D330" s="8"/>
      <c r="E330" s="8"/>
    </row>
    <row r="331">
      <c r="A331" t="str">
        <f>IF(OR(Identity!B331="",Identity!D331=""),"",TRIM(Identity!B331&amp;" "&amp;Identity!C331&amp;" "&amp;Identity!D331))</f>
      </c>
      <c r="C331" s="8"/>
      <c r="D331" s="8"/>
      <c r="E331" s="8"/>
    </row>
    <row r="332">
      <c r="A332" t="str">
        <f>IF(OR(Identity!B332="",Identity!D332=""),"",TRIM(Identity!B332&amp;" "&amp;Identity!C332&amp;" "&amp;Identity!D332))</f>
      </c>
      <c r="C332" s="8"/>
      <c r="D332" s="8"/>
      <c r="E332" s="8"/>
    </row>
    <row r="333">
      <c r="A333" t="str">
        <f>IF(OR(Identity!B333="",Identity!D333=""),"",TRIM(Identity!B333&amp;" "&amp;Identity!C333&amp;" "&amp;Identity!D333))</f>
      </c>
      <c r="C333" s="8"/>
      <c r="D333" s="8"/>
      <c r="E333" s="8"/>
    </row>
    <row r="334">
      <c r="A334" t="str">
        <f>IF(OR(Identity!B334="",Identity!D334=""),"",TRIM(Identity!B334&amp;" "&amp;Identity!C334&amp;" "&amp;Identity!D334))</f>
      </c>
      <c r="C334" s="8"/>
      <c r="D334" s="8"/>
      <c r="E334" s="8"/>
    </row>
    <row r="335">
      <c r="A335" t="str">
        <f>IF(OR(Identity!B335="",Identity!D335=""),"",TRIM(Identity!B335&amp;" "&amp;Identity!C335&amp;" "&amp;Identity!D335))</f>
      </c>
      <c r="C335" s="8"/>
      <c r="D335" s="8"/>
      <c r="E335" s="8"/>
    </row>
    <row r="336">
      <c r="A336" t="str">
        <f>IF(OR(Identity!B336="",Identity!D336=""),"",TRIM(Identity!B336&amp;" "&amp;Identity!C336&amp;" "&amp;Identity!D336))</f>
      </c>
      <c r="C336" s="8"/>
      <c r="D336" s="8"/>
      <c r="E336" s="8"/>
    </row>
    <row r="337">
      <c r="A337" t="str">
        <f>IF(OR(Identity!B337="",Identity!D337=""),"",TRIM(Identity!B337&amp;" "&amp;Identity!C337&amp;" "&amp;Identity!D337))</f>
      </c>
      <c r="C337" s="8"/>
      <c r="D337" s="8"/>
      <c r="E337" s="8"/>
    </row>
    <row r="338">
      <c r="A338" t="str">
        <f>IF(OR(Identity!B338="",Identity!D338=""),"",TRIM(Identity!B338&amp;" "&amp;Identity!C338&amp;" "&amp;Identity!D338))</f>
      </c>
      <c r="C338" s="8"/>
      <c r="D338" s="8"/>
      <c r="E338" s="8"/>
    </row>
    <row r="339">
      <c r="A339" t="str">
        <f>IF(OR(Identity!B339="",Identity!D339=""),"",TRIM(Identity!B339&amp;" "&amp;Identity!C339&amp;" "&amp;Identity!D339))</f>
      </c>
      <c r="C339" s="8"/>
      <c r="D339" s="8"/>
      <c r="E339" s="8"/>
    </row>
    <row r="340">
      <c r="A340" t="str">
        <f>IF(OR(Identity!B340="",Identity!D340=""),"",TRIM(Identity!B340&amp;" "&amp;Identity!C340&amp;" "&amp;Identity!D340))</f>
      </c>
      <c r="C340" s="8"/>
      <c r="D340" s="8"/>
      <c r="E340" s="8"/>
    </row>
    <row r="341">
      <c r="A341" t="str">
        <f>IF(OR(Identity!B341="",Identity!D341=""),"",TRIM(Identity!B341&amp;" "&amp;Identity!C341&amp;" "&amp;Identity!D341))</f>
      </c>
      <c r="C341" s="8"/>
      <c r="D341" s="8"/>
      <c r="E341" s="8"/>
    </row>
    <row r="342">
      <c r="A342" t="str">
        <f>IF(OR(Identity!B342="",Identity!D342=""),"",TRIM(Identity!B342&amp;" "&amp;Identity!C342&amp;" "&amp;Identity!D342))</f>
      </c>
      <c r="C342" s="8"/>
      <c r="D342" s="8"/>
      <c r="E342" s="8"/>
    </row>
    <row r="343">
      <c r="A343" t="str">
        <f>IF(OR(Identity!B343="",Identity!D343=""),"",TRIM(Identity!B343&amp;" "&amp;Identity!C343&amp;" "&amp;Identity!D343))</f>
      </c>
      <c r="C343" s="8"/>
      <c r="D343" s="8"/>
      <c r="E343" s="8"/>
    </row>
    <row r="344">
      <c r="A344" t="str">
        <f>IF(OR(Identity!B344="",Identity!D344=""),"",TRIM(Identity!B344&amp;" "&amp;Identity!C344&amp;" "&amp;Identity!D344))</f>
      </c>
      <c r="C344" s="8"/>
      <c r="D344" s="8"/>
      <c r="E344" s="8"/>
    </row>
    <row r="345">
      <c r="A345" t="str">
        <f>IF(OR(Identity!B345="",Identity!D345=""),"",TRIM(Identity!B345&amp;" "&amp;Identity!C345&amp;" "&amp;Identity!D345))</f>
      </c>
      <c r="C345" s="8"/>
      <c r="D345" s="8"/>
      <c r="E345" s="8"/>
    </row>
    <row r="346">
      <c r="A346" t="str">
        <f>IF(OR(Identity!B346="",Identity!D346=""),"",TRIM(Identity!B346&amp;" "&amp;Identity!C346&amp;" "&amp;Identity!D346))</f>
      </c>
      <c r="C346" s="8"/>
      <c r="D346" s="8"/>
      <c r="E346" s="8"/>
    </row>
    <row r="347">
      <c r="A347" t="str">
        <f>IF(OR(Identity!B347="",Identity!D347=""),"",TRIM(Identity!B347&amp;" "&amp;Identity!C347&amp;" "&amp;Identity!D347))</f>
      </c>
      <c r="C347" s="8"/>
      <c r="D347" s="8"/>
      <c r="E347" s="8"/>
    </row>
    <row r="348">
      <c r="A348" t="str">
        <f>IF(OR(Identity!B348="",Identity!D348=""),"",TRIM(Identity!B348&amp;" "&amp;Identity!C348&amp;" "&amp;Identity!D348))</f>
      </c>
      <c r="C348" s="8"/>
      <c r="D348" s="8"/>
      <c r="E348" s="8"/>
    </row>
    <row r="349">
      <c r="A349" t="str">
        <f>IF(OR(Identity!B349="",Identity!D349=""),"",TRIM(Identity!B349&amp;" "&amp;Identity!C349&amp;" "&amp;Identity!D349))</f>
      </c>
      <c r="C349" s="8"/>
      <c r="D349" s="8"/>
      <c r="E349" s="8"/>
    </row>
    <row r="350">
      <c r="A350" t="str">
        <f>IF(OR(Identity!B350="",Identity!D350=""),"",TRIM(Identity!B350&amp;" "&amp;Identity!C350&amp;" "&amp;Identity!D350))</f>
      </c>
      <c r="C350" s="8"/>
      <c r="D350" s="8"/>
      <c r="E350" s="8"/>
    </row>
    <row r="351">
      <c r="A351" t="str">
        <f>IF(OR(Identity!B351="",Identity!D351=""),"",TRIM(Identity!B351&amp;" "&amp;Identity!C351&amp;" "&amp;Identity!D351))</f>
      </c>
      <c r="C351" s="8"/>
      <c r="D351" s="8"/>
      <c r="E351" s="8"/>
    </row>
    <row r="352">
      <c r="A352" t="str">
        <f>IF(OR(Identity!B352="",Identity!D352=""),"",TRIM(Identity!B352&amp;" "&amp;Identity!C352&amp;" "&amp;Identity!D352))</f>
      </c>
      <c r="C352" s="8"/>
      <c r="D352" s="8"/>
      <c r="E352" s="8"/>
    </row>
    <row r="353">
      <c r="A353" t="str">
        <f>IF(OR(Identity!B353="",Identity!D353=""),"",TRIM(Identity!B353&amp;" "&amp;Identity!C353&amp;" "&amp;Identity!D353))</f>
      </c>
      <c r="C353" s="8"/>
      <c r="D353" s="8"/>
      <c r="E353" s="8"/>
    </row>
    <row r="354">
      <c r="A354" t="str">
        <f>IF(OR(Identity!B354="",Identity!D354=""),"",TRIM(Identity!B354&amp;" "&amp;Identity!C354&amp;" "&amp;Identity!D354))</f>
      </c>
      <c r="C354" s="8"/>
      <c r="D354" s="8"/>
      <c r="E354" s="8"/>
    </row>
    <row r="355">
      <c r="A355" t="str">
        <f>IF(OR(Identity!B355="",Identity!D355=""),"",TRIM(Identity!B355&amp;" "&amp;Identity!C355&amp;" "&amp;Identity!D355))</f>
      </c>
      <c r="C355" s="8"/>
      <c r="D355" s="8"/>
      <c r="E355" s="8"/>
    </row>
    <row r="356">
      <c r="A356" t="str">
        <f>IF(OR(Identity!B356="",Identity!D356=""),"",TRIM(Identity!B356&amp;" "&amp;Identity!C356&amp;" "&amp;Identity!D356))</f>
      </c>
      <c r="C356" s="8"/>
      <c r="D356" s="8"/>
      <c r="E356" s="8"/>
    </row>
    <row r="357">
      <c r="A357" t="str">
        <f>IF(OR(Identity!B357="",Identity!D357=""),"",TRIM(Identity!B357&amp;" "&amp;Identity!C357&amp;" "&amp;Identity!D357))</f>
      </c>
      <c r="C357" s="8"/>
      <c r="D357" s="8"/>
      <c r="E357" s="8"/>
    </row>
    <row r="358">
      <c r="A358" t="str">
        <f>IF(OR(Identity!B358="",Identity!D358=""),"",TRIM(Identity!B358&amp;" "&amp;Identity!C358&amp;" "&amp;Identity!D358))</f>
      </c>
      <c r="C358" s="8"/>
      <c r="D358" s="8"/>
      <c r="E358" s="8"/>
    </row>
    <row r="359">
      <c r="A359" t="str">
        <f>IF(OR(Identity!B359="",Identity!D359=""),"",TRIM(Identity!B359&amp;" "&amp;Identity!C359&amp;" "&amp;Identity!D359))</f>
      </c>
      <c r="C359" s="8"/>
      <c r="D359" s="8"/>
      <c r="E359" s="8"/>
    </row>
    <row r="360">
      <c r="A360" t="str">
        <f>IF(OR(Identity!B360="",Identity!D360=""),"",TRIM(Identity!B360&amp;" "&amp;Identity!C360&amp;" "&amp;Identity!D360))</f>
      </c>
      <c r="C360" s="8"/>
      <c r="D360" s="8"/>
      <c r="E360" s="8"/>
    </row>
    <row r="361">
      <c r="A361" t="str">
        <f>IF(OR(Identity!B361="",Identity!D361=""),"",TRIM(Identity!B361&amp;" "&amp;Identity!C361&amp;" "&amp;Identity!D361))</f>
      </c>
      <c r="C361" s="8"/>
      <c r="D361" s="8"/>
      <c r="E361" s="8"/>
    </row>
    <row r="362">
      <c r="A362" t="str">
        <f>IF(OR(Identity!B362="",Identity!D362=""),"",TRIM(Identity!B362&amp;" "&amp;Identity!C362&amp;" "&amp;Identity!D362))</f>
      </c>
      <c r="C362" s="8"/>
      <c r="D362" s="8"/>
      <c r="E362" s="8"/>
    </row>
    <row r="363">
      <c r="A363" t="str">
        <f>IF(OR(Identity!B363="",Identity!D363=""),"",TRIM(Identity!B363&amp;" "&amp;Identity!C363&amp;" "&amp;Identity!D363))</f>
      </c>
      <c r="C363" s="8"/>
      <c r="D363" s="8"/>
      <c r="E363" s="8"/>
    </row>
    <row r="364">
      <c r="A364" t="str">
        <f>IF(OR(Identity!B364="",Identity!D364=""),"",TRIM(Identity!B364&amp;" "&amp;Identity!C364&amp;" "&amp;Identity!D364))</f>
      </c>
      <c r="C364" s="8"/>
      <c r="D364" s="8"/>
      <c r="E364" s="8"/>
    </row>
    <row r="365">
      <c r="A365" t="str">
        <f>IF(OR(Identity!B365="",Identity!D365=""),"",TRIM(Identity!B365&amp;" "&amp;Identity!C365&amp;" "&amp;Identity!D365))</f>
      </c>
      <c r="C365" s="8"/>
      <c r="D365" s="8"/>
      <c r="E365" s="8"/>
    </row>
    <row r="366">
      <c r="A366" t="str">
        <f>IF(OR(Identity!B366="",Identity!D366=""),"",TRIM(Identity!B366&amp;" "&amp;Identity!C366&amp;" "&amp;Identity!D366))</f>
      </c>
      <c r="C366" s="8"/>
      <c r="D366" s="8"/>
      <c r="E366" s="8"/>
    </row>
    <row r="367">
      <c r="A367" t="str">
        <f>IF(OR(Identity!B367="",Identity!D367=""),"",TRIM(Identity!B367&amp;" "&amp;Identity!C367&amp;" "&amp;Identity!D367))</f>
      </c>
      <c r="C367" s="8"/>
      <c r="D367" s="8"/>
      <c r="E367" s="8"/>
    </row>
    <row r="368">
      <c r="A368" t="str">
        <f>IF(OR(Identity!B368="",Identity!D368=""),"",TRIM(Identity!B368&amp;" "&amp;Identity!C368&amp;" "&amp;Identity!D368))</f>
      </c>
      <c r="C368" s="8"/>
      <c r="D368" s="8"/>
      <c r="E368" s="8"/>
    </row>
    <row r="369">
      <c r="A369" t="str">
        <f>IF(OR(Identity!B369="",Identity!D369=""),"",TRIM(Identity!B369&amp;" "&amp;Identity!C369&amp;" "&amp;Identity!D369))</f>
      </c>
      <c r="C369" s="8"/>
      <c r="D369" s="8"/>
      <c r="E369" s="8"/>
    </row>
    <row r="370">
      <c r="A370" t="str">
        <f>IF(OR(Identity!B370="",Identity!D370=""),"",TRIM(Identity!B370&amp;" "&amp;Identity!C370&amp;" "&amp;Identity!D370))</f>
      </c>
      <c r="C370" s="8"/>
      <c r="D370" s="8"/>
      <c r="E370" s="8"/>
    </row>
    <row r="371">
      <c r="A371" t="str">
        <f>IF(OR(Identity!B371="",Identity!D371=""),"",TRIM(Identity!B371&amp;" "&amp;Identity!C371&amp;" "&amp;Identity!D371))</f>
      </c>
      <c r="C371" s="8"/>
      <c r="D371" s="8"/>
      <c r="E371" s="8"/>
    </row>
    <row r="372">
      <c r="A372" t="str">
        <f>IF(OR(Identity!B372="",Identity!D372=""),"",TRIM(Identity!B372&amp;" "&amp;Identity!C372&amp;" "&amp;Identity!D372))</f>
      </c>
      <c r="C372" s="8"/>
      <c r="D372" s="8"/>
      <c r="E372" s="8"/>
    </row>
    <row r="373">
      <c r="A373" t="str">
        <f>IF(OR(Identity!B373="",Identity!D373=""),"",TRIM(Identity!B373&amp;" "&amp;Identity!C373&amp;" "&amp;Identity!D373))</f>
      </c>
      <c r="C373" s="8"/>
      <c r="D373" s="8"/>
      <c r="E373" s="8"/>
    </row>
    <row r="374">
      <c r="A374" t="str">
        <f>IF(OR(Identity!B374="",Identity!D374=""),"",TRIM(Identity!B374&amp;" "&amp;Identity!C374&amp;" "&amp;Identity!D374))</f>
      </c>
      <c r="C374" s="8"/>
      <c r="D374" s="8"/>
      <c r="E374" s="8"/>
    </row>
    <row r="375">
      <c r="A375" t="str">
        <f>IF(OR(Identity!B375="",Identity!D375=""),"",TRIM(Identity!B375&amp;" "&amp;Identity!C375&amp;" "&amp;Identity!D375))</f>
      </c>
      <c r="C375" s="8"/>
      <c r="D375" s="8"/>
      <c r="E375" s="8"/>
    </row>
    <row r="376">
      <c r="A376" t="str">
        <f>IF(OR(Identity!B376="",Identity!D376=""),"",TRIM(Identity!B376&amp;" "&amp;Identity!C376&amp;" "&amp;Identity!D376))</f>
      </c>
      <c r="C376" s="8"/>
      <c r="D376" s="8"/>
      <c r="E376" s="8"/>
    </row>
    <row r="377">
      <c r="A377" t="str">
        <f>IF(OR(Identity!B377="",Identity!D377=""),"",TRIM(Identity!B377&amp;" "&amp;Identity!C377&amp;" "&amp;Identity!D377))</f>
      </c>
      <c r="C377" s="8"/>
      <c r="D377" s="8"/>
      <c r="E377" s="8"/>
    </row>
    <row r="378">
      <c r="A378" t="str">
        <f>IF(OR(Identity!B378="",Identity!D378=""),"",TRIM(Identity!B378&amp;" "&amp;Identity!C378&amp;" "&amp;Identity!D378))</f>
      </c>
      <c r="C378" s="8"/>
      <c r="D378" s="8"/>
      <c r="E378" s="8"/>
    </row>
    <row r="379">
      <c r="A379" t="str">
        <f>IF(OR(Identity!B379="",Identity!D379=""),"",TRIM(Identity!B379&amp;" "&amp;Identity!C379&amp;" "&amp;Identity!D379))</f>
      </c>
      <c r="C379" s="8"/>
      <c r="D379" s="8"/>
      <c r="E379" s="8"/>
    </row>
    <row r="380">
      <c r="A380" t="str">
        <f>IF(OR(Identity!B380="",Identity!D380=""),"",TRIM(Identity!B380&amp;" "&amp;Identity!C380&amp;" "&amp;Identity!D380))</f>
      </c>
      <c r="C380" s="8"/>
      <c r="D380" s="8"/>
      <c r="E380" s="8"/>
    </row>
    <row r="381">
      <c r="A381" t="str">
        <f>IF(OR(Identity!B381="",Identity!D381=""),"",TRIM(Identity!B381&amp;" "&amp;Identity!C381&amp;" "&amp;Identity!D381))</f>
      </c>
      <c r="C381" s="8"/>
      <c r="D381" s="8"/>
      <c r="E381" s="8"/>
    </row>
    <row r="382">
      <c r="A382" t="str">
        <f>IF(OR(Identity!B382="",Identity!D382=""),"",TRIM(Identity!B382&amp;" "&amp;Identity!C382&amp;" "&amp;Identity!D382))</f>
      </c>
      <c r="C382" s="8"/>
      <c r="D382" s="8"/>
      <c r="E382" s="8"/>
    </row>
    <row r="383">
      <c r="A383" t="str">
        <f>IF(OR(Identity!B383="",Identity!D383=""),"",TRIM(Identity!B383&amp;" "&amp;Identity!C383&amp;" "&amp;Identity!D383))</f>
      </c>
      <c r="C383" s="8"/>
      <c r="D383" s="8"/>
      <c r="E383" s="8"/>
    </row>
    <row r="384">
      <c r="A384" t="str">
        <f>IF(OR(Identity!B384="",Identity!D384=""),"",TRIM(Identity!B384&amp;" "&amp;Identity!C384&amp;" "&amp;Identity!D384))</f>
      </c>
      <c r="C384" s="8"/>
      <c r="D384" s="8"/>
      <c r="E384" s="8"/>
    </row>
    <row r="385">
      <c r="A385" t="str">
        <f>IF(OR(Identity!B385="",Identity!D385=""),"",TRIM(Identity!B385&amp;" "&amp;Identity!C385&amp;" "&amp;Identity!D385))</f>
      </c>
      <c r="C385" s="8"/>
      <c r="D385" s="8"/>
      <c r="E385" s="8"/>
    </row>
    <row r="386">
      <c r="A386" t="str">
        <f>IF(OR(Identity!B386="",Identity!D386=""),"",TRIM(Identity!B386&amp;" "&amp;Identity!C386&amp;" "&amp;Identity!D386))</f>
      </c>
      <c r="C386" s="8"/>
      <c r="D386" s="8"/>
      <c r="E386" s="8"/>
    </row>
    <row r="387">
      <c r="A387" t="str">
        <f>IF(OR(Identity!B387="",Identity!D387=""),"",TRIM(Identity!B387&amp;" "&amp;Identity!C387&amp;" "&amp;Identity!D387))</f>
      </c>
      <c r="C387" s="8"/>
      <c r="D387" s="8"/>
      <c r="E387" s="8"/>
    </row>
    <row r="388">
      <c r="A388" t="str">
        <f>IF(OR(Identity!B388="",Identity!D388=""),"",TRIM(Identity!B388&amp;" "&amp;Identity!C388&amp;" "&amp;Identity!D388))</f>
      </c>
      <c r="C388" s="8"/>
      <c r="D388" s="8"/>
      <c r="E388" s="8"/>
    </row>
    <row r="389">
      <c r="A389" t="str">
        <f>IF(OR(Identity!B389="",Identity!D389=""),"",TRIM(Identity!B389&amp;" "&amp;Identity!C389&amp;" "&amp;Identity!D389))</f>
      </c>
      <c r="C389" s="8"/>
      <c r="D389" s="8"/>
      <c r="E389" s="8"/>
    </row>
    <row r="390">
      <c r="A390" t="str">
        <f>IF(OR(Identity!B390="",Identity!D390=""),"",TRIM(Identity!B390&amp;" "&amp;Identity!C390&amp;" "&amp;Identity!D390))</f>
      </c>
      <c r="C390" s="8"/>
      <c r="D390" s="8"/>
      <c r="E390" s="8"/>
    </row>
    <row r="391">
      <c r="A391" t="str">
        <f>IF(OR(Identity!B391="",Identity!D391=""),"",TRIM(Identity!B391&amp;" "&amp;Identity!C391&amp;" "&amp;Identity!D391))</f>
      </c>
      <c r="C391" s="8"/>
      <c r="D391" s="8"/>
      <c r="E391" s="8"/>
    </row>
    <row r="392">
      <c r="A392" t="str">
        <f>IF(OR(Identity!B392="",Identity!D392=""),"",TRIM(Identity!B392&amp;" "&amp;Identity!C392&amp;" "&amp;Identity!D392))</f>
      </c>
      <c r="C392" s="8"/>
      <c r="D392" s="8"/>
      <c r="E392" s="8"/>
    </row>
    <row r="393">
      <c r="A393" t="str">
        <f>IF(OR(Identity!B393="",Identity!D393=""),"",TRIM(Identity!B393&amp;" "&amp;Identity!C393&amp;" "&amp;Identity!D393))</f>
      </c>
      <c r="C393" s="8"/>
      <c r="D393" s="8"/>
      <c r="E393" s="8"/>
    </row>
    <row r="394">
      <c r="A394" t="str">
        <f>IF(OR(Identity!B394="",Identity!D394=""),"",TRIM(Identity!B394&amp;" "&amp;Identity!C394&amp;" "&amp;Identity!D394))</f>
      </c>
      <c r="C394" s="8"/>
      <c r="D394" s="8"/>
      <c r="E394" s="8"/>
    </row>
    <row r="395">
      <c r="A395" t="str">
        <f>IF(OR(Identity!B395="",Identity!D395=""),"",TRIM(Identity!B395&amp;" "&amp;Identity!C395&amp;" "&amp;Identity!D395))</f>
      </c>
      <c r="C395" s="8"/>
      <c r="D395" s="8"/>
      <c r="E395" s="8"/>
    </row>
    <row r="396">
      <c r="A396" t="str">
        <f>IF(OR(Identity!B396="",Identity!D396=""),"",TRIM(Identity!B396&amp;" "&amp;Identity!C396&amp;" "&amp;Identity!D396))</f>
      </c>
      <c r="C396" s="8"/>
      <c r="D396" s="8"/>
      <c r="E396" s="8"/>
    </row>
    <row r="397">
      <c r="A397" t="str">
        <f>IF(OR(Identity!B397="",Identity!D397=""),"",TRIM(Identity!B397&amp;" "&amp;Identity!C397&amp;" "&amp;Identity!D397))</f>
      </c>
      <c r="C397" s="8"/>
      <c r="D397" s="8"/>
      <c r="E397" s="8"/>
    </row>
    <row r="398">
      <c r="A398" t="str">
        <f>IF(OR(Identity!B398="",Identity!D398=""),"",TRIM(Identity!B398&amp;" "&amp;Identity!C398&amp;" "&amp;Identity!D398))</f>
      </c>
      <c r="C398" s="8"/>
      <c r="D398" s="8"/>
      <c r="E398" s="8"/>
    </row>
    <row r="399">
      <c r="A399" t="str">
        <f>IF(OR(Identity!B399="",Identity!D399=""),"",TRIM(Identity!B399&amp;" "&amp;Identity!C399&amp;" "&amp;Identity!D399))</f>
      </c>
      <c r="C399" s="8"/>
      <c r="D399" s="8"/>
      <c r="E399" s="8"/>
    </row>
    <row r="400">
      <c r="A400" t="str">
        <f>IF(OR(Identity!B400="",Identity!D400=""),"",TRIM(Identity!B400&amp;" "&amp;Identity!C400&amp;" "&amp;Identity!D400))</f>
      </c>
      <c r="C400" s="8"/>
      <c r="D400" s="8"/>
      <c r="E400" s="8"/>
    </row>
    <row r="401">
      <c r="A401" t="str">
        <f>IF(OR(Identity!B401="",Identity!D401=""),"",TRIM(Identity!B401&amp;" "&amp;Identity!C401&amp;" "&amp;Identity!D401))</f>
      </c>
      <c r="C401" s="8"/>
      <c r="D401" s="8"/>
      <c r="E401" s="8"/>
    </row>
    <row r="402">
      <c r="A402" t="str">
        <f>IF(OR(Identity!B402="",Identity!D402=""),"",TRIM(Identity!B402&amp;" "&amp;Identity!C402&amp;" "&amp;Identity!D402))</f>
      </c>
      <c r="C402" s="8"/>
      <c r="D402" s="8"/>
      <c r="E402" s="8"/>
    </row>
    <row r="403">
      <c r="A403" t="str">
        <f>IF(OR(Identity!B403="",Identity!D403=""),"",TRIM(Identity!B403&amp;" "&amp;Identity!C403&amp;" "&amp;Identity!D403))</f>
      </c>
      <c r="C403" s="8"/>
      <c r="D403" s="8"/>
      <c r="E403" s="8"/>
    </row>
    <row r="404">
      <c r="A404" t="str">
        <f>IF(OR(Identity!B404="",Identity!D404=""),"",TRIM(Identity!B404&amp;" "&amp;Identity!C404&amp;" "&amp;Identity!D404))</f>
      </c>
      <c r="C404" s="8"/>
      <c r="D404" s="8"/>
      <c r="E404" s="8"/>
    </row>
    <row r="405">
      <c r="A405" t="str">
        <f>IF(OR(Identity!B405="",Identity!D405=""),"",TRIM(Identity!B405&amp;" "&amp;Identity!C405&amp;" "&amp;Identity!D405))</f>
      </c>
      <c r="C405" s="8"/>
      <c r="D405" s="8"/>
      <c r="E405" s="8"/>
    </row>
    <row r="406">
      <c r="A406" t="str">
        <f>IF(OR(Identity!B406="",Identity!D406=""),"",TRIM(Identity!B406&amp;" "&amp;Identity!C406&amp;" "&amp;Identity!D406))</f>
      </c>
      <c r="C406" s="8"/>
      <c r="D406" s="8"/>
      <c r="E406" s="8"/>
    </row>
    <row r="407">
      <c r="A407" t="str">
        <f>IF(OR(Identity!B407="",Identity!D407=""),"",TRIM(Identity!B407&amp;" "&amp;Identity!C407&amp;" "&amp;Identity!D407))</f>
      </c>
      <c r="C407" s="8"/>
      <c r="D407" s="8"/>
      <c r="E407" s="8"/>
    </row>
    <row r="408">
      <c r="A408" t="str">
        <f>IF(OR(Identity!B408="",Identity!D408=""),"",TRIM(Identity!B408&amp;" "&amp;Identity!C408&amp;" "&amp;Identity!D408))</f>
      </c>
      <c r="C408" s="8"/>
      <c r="D408" s="8"/>
      <c r="E408" s="8"/>
    </row>
    <row r="409">
      <c r="A409" t="str">
        <f>IF(OR(Identity!B409="",Identity!D409=""),"",TRIM(Identity!B409&amp;" "&amp;Identity!C409&amp;" "&amp;Identity!D409))</f>
      </c>
      <c r="C409" s="8"/>
      <c r="D409" s="8"/>
      <c r="E409" s="8"/>
    </row>
    <row r="410">
      <c r="A410" t="str">
        <f>IF(OR(Identity!B410="",Identity!D410=""),"",TRIM(Identity!B410&amp;" "&amp;Identity!C410&amp;" "&amp;Identity!D410))</f>
      </c>
      <c r="C410" s="8"/>
      <c r="D410" s="8"/>
      <c r="E410" s="8"/>
    </row>
    <row r="411">
      <c r="A411" t="str">
        <f>IF(OR(Identity!B411="",Identity!D411=""),"",TRIM(Identity!B411&amp;" "&amp;Identity!C411&amp;" "&amp;Identity!D411))</f>
      </c>
      <c r="C411" s="8"/>
      <c r="D411" s="8"/>
      <c r="E411" s="8"/>
    </row>
    <row r="412">
      <c r="A412" t="str">
        <f>IF(OR(Identity!B412="",Identity!D412=""),"",TRIM(Identity!B412&amp;" "&amp;Identity!C412&amp;" "&amp;Identity!D412))</f>
      </c>
      <c r="C412" s="8"/>
      <c r="D412" s="8"/>
      <c r="E412" s="8"/>
    </row>
    <row r="413">
      <c r="A413" t="str">
        <f>IF(OR(Identity!B413="",Identity!D413=""),"",TRIM(Identity!B413&amp;" "&amp;Identity!C413&amp;" "&amp;Identity!D413))</f>
      </c>
      <c r="C413" s="8"/>
      <c r="D413" s="8"/>
      <c r="E413" s="8"/>
    </row>
    <row r="414">
      <c r="A414" t="str">
        <f>IF(OR(Identity!B414="",Identity!D414=""),"",TRIM(Identity!B414&amp;" "&amp;Identity!C414&amp;" "&amp;Identity!D414))</f>
      </c>
      <c r="C414" s="8"/>
      <c r="D414" s="8"/>
      <c r="E414" s="8"/>
    </row>
    <row r="415">
      <c r="A415" t="str">
        <f>IF(OR(Identity!B415="",Identity!D415=""),"",TRIM(Identity!B415&amp;" "&amp;Identity!C415&amp;" "&amp;Identity!D415))</f>
      </c>
      <c r="C415" s="8"/>
      <c r="D415" s="8"/>
      <c r="E415" s="8"/>
    </row>
    <row r="416">
      <c r="A416" t="str">
        <f>IF(OR(Identity!B416="",Identity!D416=""),"",TRIM(Identity!B416&amp;" "&amp;Identity!C416&amp;" "&amp;Identity!D416))</f>
      </c>
      <c r="C416" s="8"/>
      <c r="D416" s="8"/>
      <c r="E416" s="8"/>
    </row>
    <row r="417">
      <c r="A417" t="str">
        <f>IF(OR(Identity!B417="",Identity!D417=""),"",TRIM(Identity!B417&amp;" "&amp;Identity!C417&amp;" "&amp;Identity!D417))</f>
      </c>
      <c r="C417" s="8"/>
      <c r="D417" s="8"/>
      <c r="E417" s="8"/>
    </row>
    <row r="418">
      <c r="A418" t="str">
        <f>IF(OR(Identity!B418="",Identity!D418=""),"",TRIM(Identity!B418&amp;" "&amp;Identity!C418&amp;" "&amp;Identity!D418))</f>
      </c>
      <c r="C418" s="8"/>
      <c r="D418" s="8"/>
      <c r="E418" s="8"/>
    </row>
    <row r="419">
      <c r="A419" t="str">
        <f>IF(OR(Identity!B419="",Identity!D419=""),"",TRIM(Identity!B419&amp;" "&amp;Identity!C419&amp;" "&amp;Identity!D419))</f>
      </c>
      <c r="C419" s="8"/>
      <c r="D419" s="8"/>
      <c r="E419" s="8"/>
    </row>
    <row r="420">
      <c r="A420" t="str">
        <f>IF(OR(Identity!B420="",Identity!D420=""),"",TRIM(Identity!B420&amp;" "&amp;Identity!C420&amp;" "&amp;Identity!D420))</f>
      </c>
      <c r="C420" s="8"/>
      <c r="D420" s="8"/>
      <c r="E420" s="8"/>
    </row>
    <row r="421">
      <c r="A421" t="str">
        <f>IF(OR(Identity!B421="",Identity!D421=""),"",TRIM(Identity!B421&amp;" "&amp;Identity!C421&amp;" "&amp;Identity!D421))</f>
      </c>
      <c r="C421" s="8"/>
      <c r="D421" s="8"/>
      <c r="E421" s="8"/>
    </row>
    <row r="422">
      <c r="A422" t="str">
        <f>IF(OR(Identity!B422="",Identity!D422=""),"",TRIM(Identity!B422&amp;" "&amp;Identity!C422&amp;" "&amp;Identity!D422))</f>
      </c>
      <c r="C422" s="8"/>
      <c r="D422" s="8"/>
      <c r="E422" s="8"/>
    </row>
    <row r="423">
      <c r="A423" t="str">
        <f>IF(OR(Identity!B423="",Identity!D423=""),"",TRIM(Identity!B423&amp;" "&amp;Identity!C423&amp;" "&amp;Identity!D423))</f>
      </c>
      <c r="C423" s="8"/>
      <c r="D423" s="8"/>
      <c r="E423" s="8"/>
    </row>
    <row r="424">
      <c r="A424" t="str">
        <f>IF(OR(Identity!B424="",Identity!D424=""),"",TRIM(Identity!B424&amp;" "&amp;Identity!C424&amp;" "&amp;Identity!D424))</f>
      </c>
      <c r="C424" s="8"/>
      <c r="D424" s="8"/>
      <c r="E424" s="8"/>
    </row>
    <row r="425">
      <c r="A425" t="str">
        <f>IF(OR(Identity!B425="",Identity!D425=""),"",TRIM(Identity!B425&amp;" "&amp;Identity!C425&amp;" "&amp;Identity!D425))</f>
      </c>
      <c r="C425" s="8"/>
      <c r="D425" s="8"/>
      <c r="E425" s="8"/>
    </row>
    <row r="426">
      <c r="A426" t="str">
        <f>IF(OR(Identity!B426="",Identity!D426=""),"",TRIM(Identity!B426&amp;" "&amp;Identity!C426&amp;" "&amp;Identity!D426))</f>
      </c>
      <c r="C426" s="8"/>
      <c r="D426" s="8"/>
      <c r="E426" s="8"/>
    </row>
    <row r="427">
      <c r="A427" t="str">
        <f>IF(OR(Identity!B427="",Identity!D427=""),"",TRIM(Identity!B427&amp;" "&amp;Identity!C427&amp;" "&amp;Identity!D427))</f>
      </c>
      <c r="C427" s="8"/>
      <c r="D427" s="8"/>
      <c r="E427" s="8"/>
    </row>
    <row r="428">
      <c r="A428" t="str">
        <f>IF(OR(Identity!B428="",Identity!D428=""),"",TRIM(Identity!B428&amp;" "&amp;Identity!C428&amp;" "&amp;Identity!D428))</f>
      </c>
      <c r="C428" s="8"/>
      <c r="D428" s="8"/>
      <c r="E428" s="8"/>
    </row>
    <row r="429">
      <c r="A429" t="str">
        <f>IF(OR(Identity!B429="",Identity!D429=""),"",TRIM(Identity!B429&amp;" "&amp;Identity!C429&amp;" "&amp;Identity!D429))</f>
      </c>
      <c r="C429" s="8"/>
      <c r="D429" s="8"/>
      <c r="E429" s="8"/>
    </row>
    <row r="430">
      <c r="A430" t="str">
        <f>IF(OR(Identity!B430="",Identity!D430=""),"",TRIM(Identity!B430&amp;" "&amp;Identity!C430&amp;" "&amp;Identity!D430))</f>
      </c>
      <c r="C430" s="8"/>
      <c r="D430" s="8"/>
      <c r="E430" s="8"/>
    </row>
    <row r="431">
      <c r="A431" t="str">
        <f>IF(OR(Identity!B431="",Identity!D431=""),"",TRIM(Identity!B431&amp;" "&amp;Identity!C431&amp;" "&amp;Identity!D431))</f>
      </c>
      <c r="C431" s="8"/>
      <c r="D431" s="8"/>
      <c r="E431" s="8"/>
    </row>
    <row r="432">
      <c r="A432" t="str">
        <f>IF(OR(Identity!B432="",Identity!D432=""),"",TRIM(Identity!B432&amp;" "&amp;Identity!C432&amp;" "&amp;Identity!D432))</f>
      </c>
      <c r="C432" s="8"/>
      <c r="D432" s="8"/>
      <c r="E432" s="8"/>
    </row>
    <row r="433">
      <c r="A433" t="str">
        <f>IF(OR(Identity!B433="",Identity!D433=""),"",TRIM(Identity!B433&amp;" "&amp;Identity!C433&amp;" "&amp;Identity!D433))</f>
      </c>
      <c r="C433" s="8"/>
      <c r="D433" s="8"/>
      <c r="E433" s="8"/>
    </row>
    <row r="434">
      <c r="A434" t="str">
        <f>IF(OR(Identity!B434="",Identity!D434=""),"",TRIM(Identity!B434&amp;" "&amp;Identity!C434&amp;" "&amp;Identity!D434))</f>
      </c>
      <c r="C434" s="8"/>
      <c r="D434" s="8"/>
      <c r="E434" s="8"/>
    </row>
    <row r="435">
      <c r="A435" t="str">
        <f>IF(OR(Identity!B435="",Identity!D435=""),"",TRIM(Identity!B435&amp;" "&amp;Identity!C435&amp;" "&amp;Identity!D435))</f>
      </c>
      <c r="C435" s="8"/>
      <c r="D435" s="8"/>
      <c r="E435" s="8"/>
    </row>
    <row r="436">
      <c r="A436" t="str">
        <f>IF(OR(Identity!B436="",Identity!D436=""),"",TRIM(Identity!B436&amp;" "&amp;Identity!C436&amp;" "&amp;Identity!D436))</f>
      </c>
      <c r="C436" s="8"/>
      <c r="D436" s="8"/>
      <c r="E436" s="8"/>
    </row>
    <row r="437">
      <c r="A437" t="str">
        <f>IF(OR(Identity!B437="",Identity!D437=""),"",TRIM(Identity!B437&amp;" "&amp;Identity!C437&amp;" "&amp;Identity!D437))</f>
      </c>
      <c r="C437" s="8"/>
      <c r="D437" s="8"/>
      <c r="E437" s="8"/>
    </row>
    <row r="438">
      <c r="A438" t="str">
        <f>IF(OR(Identity!B438="",Identity!D438=""),"",TRIM(Identity!B438&amp;" "&amp;Identity!C438&amp;" "&amp;Identity!D438))</f>
      </c>
      <c r="C438" s="8"/>
      <c r="D438" s="8"/>
      <c r="E438" s="8"/>
    </row>
    <row r="439">
      <c r="A439" t="str">
        <f>IF(OR(Identity!B439="",Identity!D439=""),"",TRIM(Identity!B439&amp;" "&amp;Identity!C439&amp;" "&amp;Identity!D439))</f>
      </c>
      <c r="C439" s="8"/>
      <c r="D439" s="8"/>
      <c r="E439" s="8"/>
    </row>
    <row r="440">
      <c r="A440" t="str">
        <f>IF(OR(Identity!B440="",Identity!D440=""),"",TRIM(Identity!B440&amp;" "&amp;Identity!C440&amp;" "&amp;Identity!D440))</f>
      </c>
      <c r="C440" s="8"/>
      <c r="D440" s="8"/>
      <c r="E440" s="8"/>
    </row>
    <row r="441">
      <c r="A441" t="str">
        <f>IF(OR(Identity!B441="",Identity!D441=""),"",TRIM(Identity!B441&amp;" "&amp;Identity!C441&amp;" "&amp;Identity!D441))</f>
      </c>
      <c r="C441" s="8"/>
      <c r="D441" s="8"/>
      <c r="E441" s="8"/>
    </row>
    <row r="442">
      <c r="A442" t="str">
        <f>IF(OR(Identity!B442="",Identity!D442=""),"",TRIM(Identity!B442&amp;" "&amp;Identity!C442&amp;" "&amp;Identity!D442))</f>
      </c>
      <c r="C442" s="8"/>
      <c r="D442" s="8"/>
      <c r="E442" s="8"/>
    </row>
    <row r="443">
      <c r="A443" t="str">
        <f>IF(OR(Identity!B443="",Identity!D443=""),"",TRIM(Identity!B443&amp;" "&amp;Identity!C443&amp;" "&amp;Identity!D443))</f>
      </c>
      <c r="C443" s="8"/>
      <c r="D443" s="8"/>
      <c r="E443" s="8"/>
    </row>
    <row r="444">
      <c r="A444" t="str">
        <f>IF(OR(Identity!B444="",Identity!D444=""),"",TRIM(Identity!B444&amp;" "&amp;Identity!C444&amp;" "&amp;Identity!D444))</f>
      </c>
      <c r="C444" s="8"/>
      <c r="D444" s="8"/>
      <c r="E444" s="8"/>
    </row>
    <row r="445">
      <c r="A445" t="str">
        <f>IF(OR(Identity!B445="",Identity!D445=""),"",TRIM(Identity!B445&amp;" "&amp;Identity!C445&amp;" "&amp;Identity!D445))</f>
      </c>
      <c r="C445" s="8"/>
      <c r="D445" s="8"/>
      <c r="E445" s="8"/>
    </row>
    <row r="446">
      <c r="A446" t="str">
        <f>IF(OR(Identity!B446="",Identity!D446=""),"",TRIM(Identity!B446&amp;" "&amp;Identity!C446&amp;" "&amp;Identity!D446))</f>
      </c>
      <c r="C446" s="8"/>
      <c r="D446" s="8"/>
      <c r="E446" s="8"/>
    </row>
    <row r="447">
      <c r="A447" t="str">
        <f>IF(OR(Identity!B447="",Identity!D447=""),"",TRIM(Identity!B447&amp;" "&amp;Identity!C447&amp;" "&amp;Identity!D447))</f>
      </c>
      <c r="C447" s="8"/>
      <c r="D447" s="8"/>
      <c r="E447" s="8"/>
    </row>
    <row r="448">
      <c r="A448" t="str">
        <f>IF(OR(Identity!B448="",Identity!D448=""),"",TRIM(Identity!B448&amp;" "&amp;Identity!C448&amp;" "&amp;Identity!D448))</f>
      </c>
      <c r="C448" s="8"/>
      <c r="D448" s="8"/>
      <c r="E448" s="8"/>
    </row>
    <row r="449">
      <c r="A449" t="str">
        <f>IF(OR(Identity!B449="",Identity!D449=""),"",TRIM(Identity!B449&amp;" "&amp;Identity!C449&amp;" "&amp;Identity!D449))</f>
      </c>
      <c r="C449" s="8"/>
      <c r="D449" s="8"/>
      <c r="E449" s="8"/>
    </row>
    <row r="450">
      <c r="A450" t="str">
        <f>IF(OR(Identity!B450="",Identity!D450=""),"",TRIM(Identity!B450&amp;" "&amp;Identity!C450&amp;" "&amp;Identity!D450))</f>
      </c>
      <c r="C450" s="8"/>
      <c r="D450" s="8"/>
      <c r="E450" s="8"/>
    </row>
    <row r="451">
      <c r="A451" t="str">
        <f>IF(OR(Identity!B451="",Identity!D451=""),"",TRIM(Identity!B451&amp;" "&amp;Identity!C451&amp;" "&amp;Identity!D451))</f>
      </c>
      <c r="C451" s="8"/>
      <c r="D451" s="8"/>
      <c r="E451" s="8"/>
    </row>
    <row r="452">
      <c r="A452" t="str">
        <f>IF(OR(Identity!B452="",Identity!D452=""),"",TRIM(Identity!B452&amp;" "&amp;Identity!C452&amp;" "&amp;Identity!D452))</f>
      </c>
      <c r="C452" s="8"/>
      <c r="D452" s="8"/>
      <c r="E452" s="8"/>
    </row>
    <row r="453">
      <c r="A453" t="str">
        <f>IF(OR(Identity!B453="",Identity!D453=""),"",TRIM(Identity!B453&amp;" "&amp;Identity!C453&amp;" "&amp;Identity!D453))</f>
      </c>
      <c r="C453" s="8"/>
      <c r="D453" s="8"/>
      <c r="E453" s="8"/>
    </row>
    <row r="454">
      <c r="A454" t="str">
        <f>IF(OR(Identity!B454="",Identity!D454=""),"",TRIM(Identity!B454&amp;" "&amp;Identity!C454&amp;" "&amp;Identity!D454))</f>
      </c>
      <c r="C454" s="8"/>
      <c r="D454" s="8"/>
      <c r="E454" s="8"/>
    </row>
    <row r="455">
      <c r="A455" t="str">
        <f>IF(OR(Identity!B455="",Identity!D455=""),"",TRIM(Identity!B455&amp;" "&amp;Identity!C455&amp;" "&amp;Identity!D455))</f>
      </c>
      <c r="C455" s="8"/>
      <c r="D455" s="8"/>
      <c r="E455" s="8"/>
    </row>
    <row r="456">
      <c r="A456" t="str">
        <f>IF(OR(Identity!B456="",Identity!D456=""),"",TRIM(Identity!B456&amp;" "&amp;Identity!C456&amp;" "&amp;Identity!D456))</f>
      </c>
      <c r="C456" s="8"/>
      <c r="D456" s="8"/>
      <c r="E456" s="8"/>
    </row>
    <row r="457">
      <c r="A457" t="str">
        <f>IF(OR(Identity!B457="",Identity!D457=""),"",TRIM(Identity!B457&amp;" "&amp;Identity!C457&amp;" "&amp;Identity!D457))</f>
      </c>
      <c r="C457" s="8"/>
      <c r="D457" s="8"/>
      <c r="E457" s="8"/>
    </row>
    <row r="458">
      <c r="A458" t="str">
        <f>IF(OR(Identity!B458="",Identity!D458=""),"",TRIM(Identity!B458&amp;" "&amp;Identity!C458&amp;" "&amp;Identity!D458))</f>
      </c>
      <c r="C458" s="8"/>
      <c r="D458" s="8"/>
      <c r="E458" s="8"/>
    </row>
    <row r="459">
      <c r="A459" t="str">
        <f>IF(OR(Identity!B459="",Identity!D459=""),"",TRIM(Identity!B459&amp;" "&amp;Identity!C459&amp;" "&amp;Identity!D459))</f>
      </c>
      <c r="C459" s="8"/>
      <c r="D459" s="8"/>
      <c r="E459" s="8"/>
    </row>
    <row r="460">
      <c r="A460" t="str">
        <f>IF(OR(Identity!B460="",Identity!D460=""),"",TRIM(Identity!B460&amp;" "&amp;Identity!C460&amp;" "&amp;Identity!D460))</f>
      </c>
      <c r="C460" s="8"/>
      <c r="D460" s="8"/>
      <c r="E460" s="8"/>
    </row>
    <row r="461">
      <c r="A461" t="str">
        <f>IF(OR(Identity!B461="",Identity!D461=""),"",TRIM(Identity!B461&amp;" "&amp;Identity!C461&amp;" "&amp;Identity!D461))</f>
      </c>
      <c r="C461" s="8"/>
      <c r="D461" s="8"/>
      <c r="E461" s="8"/>
    </row>
    <row r="462">
      <c r="A462" t="str">
        <f>IF(OR(Identity!B462="",Identity!D462=""),"",TRIM(Identity!B462&amp;" "&amp;Identity!C462&amp;" "&amp;Identity!D462))</f>
      </c>
      <c r="C462" s="8"/>
      <c r="D462" s="8"/>
      <c r="E462" s="8"/>
    </row>
    <row r="463">
      <c r="A463" t="str">
        <f>IF(OR(Identity!B463="",Identity!D463=""),"",TRIM(Identity!B463&amp;" "&amp;Identity!C463&amp;" "&amp;Identity!D463))</f>
      </c>
      <c r="C463" s="8"/>
      <c r="D463" s="8"/>
      <c r="E463" s="8"/>
    </row>
    <row r="464">
      <c r="A464" t="str">
        <f>IF(OR(Identity!B464="",Identity!D464=""),"",TRIM(Identity!B464&amp;" "&amp;Identity!C464&amp;" "&amp;Identity!D464))</f>
      </c>
      <c r="C464" s="8"/>
      <c r="D464" s="8"/>
      <c r="E464" s="8"/>
    </row>
    <row r="465">
      <c r="A465" t="str">
        <f>IF(OR(Identity!B465="",Identity!D465=""),"",TRIM(Identity!B465&amp;" "&amp;Identity!C465&amp;" "&amp;Identity!D465))</f>
      </c>
      <c r="C465" s="8"/>
      <c r="D465" s="8"/>
      <c r="E465" s="8"/>
    </row>
    <row r="466">
      <c r="A466" t="str">
        <f>IF(OR(Identity!B466="",Identity!D466=""),"",TRIM(Identity!B466&amp;" "&amp;Identity!C466&amp;" "&amp;Identity!D466))</f>
      </c>
      <c r="C466" s="8"/>
      <c r="D466" s="8"/>
      <c r="E466" s="8"/>
    </row>
    <row r="467">
      <c r="A467" t="str">
        <f>IF(OR(Identity!B467="",Identity!D467=""),"",TRIM(Identity!B467&amp;" "&amp;Identity!C467&amp;" "&amp;Identity!D467))</f>
      </c>
      <c r="C467" s="8"/>
      <c r="D467" s="8"/>
      <c r="E467" s="8"/>
    </row>
    <row r="468">
      <c r="A468" t="str">
        <f>IF(OR(Identity!B468="",Identity!D468=""),"",TRIM(Identity!B468&amp;" "&amp;Identity!C468&amp;" "&amp;Identity!D468))</f>
      </c>
      <c r="C468" s="8"/>
      <c r="D468" s="8"/>
      <c r="E468" s="8"/>
    </row>
    <row r="469">
      <c r="A469" t="str">
        <f>IF(OR(Identity!B469="",Identity!D469=""),"",TRIM(Identity!B469&amp;" "&amp;Identity!C469&amp;" "&amp;Identity!D469))</f>
      </c>
      <c r="C469" s="8"/>
      <c r="D469" s="8"/>
      <c r="E469" s="8"/>
    </row>
    <row r="470">
      <c r="A470" t="str">
        <f>IF(OR(Identity!B470="",Identity!D470=""),"",TRIM(Identity!B470&amp;" "&amp;Identity!C470&amp;" "&amp;Identity!D470))</f>
      </c>
      <c r="C470" s="8"/>
      <c r="D470" s="8"/>
      <c r="E470" s="8"/>
    </row>
    <row r="471">
      <c r="A471" t="str">
        <f>IF(OR(Identity!B471="",Identity!D471=""),"",TRIM(Identity!B471&amp;" "&amp;Identity!C471&amp;" "&amp;Identity!D471))</f>
      </c>
      <c r="C471" s="8"/>
      <c r="D471" s="8"/>
      <c r="E471" s="8"/>
    </row>
    <row r="472">
      <c r="A472" t="str">
        <f>IF(OR(Identity!B472="",Identity!D472=""),"",TRIM(Identity!B472&amp;" "&amp;Identity!C472&amp;" "&amp;Identity!D472))</f>
      </c>
      <c r="C472" s="8"/>
      <c r="D472" s="8"/>
      <c r="E472" s="8"/>
    </row>
    <row r="473">
      <c r="A473" t="str">
        <f>IF(OR(Identity!B473="",Identity!D473=""),"",TRIM(Identity!B473&amp;" "&amp;Identity!C473&amp;" "&amp;Identity!D473))</f>
      </c>
      <c r="C473" s="8"/>
      <c r="D473" s="8"/>
      <c r="E473" s="8"/>
    </row>
    <row r="474">
      <c r="A474" t="str">
        <f>IF(OR(Identity!B474="",Identity!D474=""),"",TRIM(Identity!B474&amp;" "&amp;Identity!C474&amp;" "&amp;Identity!D474))</f>
      </c>
      <c r="C474" s="8"/>
      <c r="D474" s="8"/>
      <c r="E474" s="8"/>
    </row>
    <row r="475">
      <c r="A475" t="str">
        <f>IF(OR(Identity!B475="",Identity!D475=""),"",TRIM(Identity!B475&amp;" "&amp;Identity!C475&amp;" "&amp;Identity!D475))</f>
      </c>
      <c r="C475" s="8"/>
      <c r="D475" s="8"/>
      <c r="E475" s="8"/>
    </row>
    <row r="476">
      <c r="A476" t="str">
        <f>IF(OR(Identity!B476="",Identity!D476=""),"",TRIM(Identity!B476&amp;" "&amp;Identity!C476&amp;" "&amp;Identity!D476))</f>
      </c>
      <c r="C476" s="8"/>
      <c r="D476" s="8"/>
      <c r="E476" s="8"/>
    </row>
    <row r="477">
      <c r="A477" t="str">
        <f>IF(OR(Identity!B477="",Identity!D477=""),"",TRIM(Identity!B477&amp;" "&amp;Identity!C477&amp;" "&amp;Identity!D477))</f>
      </c>
      <c r="C477" s="8"/>
      <c r="D477" s="8"/>
      <c r="E477" s="8"/>
    </row>
    <row r="478">
      <c r="A478" t="str">
        <f>IF(OR(Identity!B478="",Identity!D478=""),"",TRIM(Identity!B478&amp;" "&amp;Identity!C478&amp;" "&amp;Identity!D478))</f>
      </c>
      <c r="C478" s="8"/>
      <c r="D478" s="8"/>
      <c r="E478" s="8"/>
    </row>
    <row r="479">
      <c r="A479" t="str">
        <f>IF(OR(Identity!B479="",Identity!D479=""),"",TRIM(Identity!B479&amp;" "&amp;Identity!C479&amp;" "&amp;Identity!D479))</f>
      </c>
      <c r="C479" s="8"/>
      <c r="D479" s="8"/>
      <c r="E479" s="8"/>
    </row>
    <row r="480">
      <c r="A480" t="str">
        <f>IF(OR(Identity!B480="",Identity!D480=""),"",TRIM(Identity!B480&amp;" "&amp;Identity!C480&amp;" "&amp;Identity!D480))</f>
      </c>
      <c r="C480" s="8"/>
      <c r="D480" s="8"/>
      <c r="E480" s="8"/>
    </row>
    <row r="481">
      <c r="A481" t="str">
        <f>IF(OR(Identity!B481="",Identity!D481=""),"",TRIM(Identity!B481&amp;" "&amp;Identity!C481&amp;" "&amp;Identity!D481))</f>
      </c>
      <c r="C481" s="8"/>
      <c r="D481" s="8"/>
      <c r="E481" s="8"/>
    </row>
    <row r="482">
      <c r="A482" t="str">
        <f>IF(OR(Identity!B482="",Identity!D482=""),"",TRIM(Identity!B482&amp;" "&amp;Identity!C482&amp;" "&amp;Identity!D482))</f>
      </c>
      <c r="C482" s="8"/>
      <c r="D482" s="8"/>
      <c r="E482" s="8"/>
    </row>
    <row r="483">
      <c r="A483" t="str">
        <f>IF(OR(Identity!B483="",Identity!D483=""),"",TRIM(Identity!B483&amp;" "&amp;Identity!C483&amp;" "&amp;Identity!D483))</f>
      </c>
      <c r="C483" s="8"/>
      <c r="D483" s="8"/>
      <c r="E483" s="8"/>
    </row>
    <row r="484">
      <c r="A484" t="str">
        <f>IF(OR(Identity!B484="",Identity!D484=""),"",TRIM(Identity!B484&amp;" "&amp;Identity!C484&amp;" "&amp;Identity!D484))</f>
      </c>
      <c r="C484" s="8"/>
      <c r="D484" s="8"/>
      <c r="E484" s="8"/>
    </row>
    <row r="485">
      <c r="A485" t="str">
        <f>IF(OR(Identity!B485="",Identity!D485=""),"",TRIM(Identity!B485&amp;" "&amp;Identity!C485&amp;" "&amp;Identity!D485))</f>
      </c>
      <c r="C485" s="8"/>
      <c r="D485" s="8"/>
      <c r="E485" s="8"/>
    </row>
    <row r="486">
      <c r="A486" t="str">
        <f>IF(OR(Identity!B486="",Identity!D486=""),"",TRIM(Identity!B486&amp;" "&amp;Identity!C486&amp;" "&amp;Identity!D486))</f>
      </c>
      <c r="C486" s="8"/>
      <c r="D486" s="8"/>
      <c r="E486" s="8"/>
    </row>
    <row r="487">
      <c r="A487" t="str">
        <f>IF(OR(Identity!B487="",Identity!D487=""),"",TRIM(Identity!B487&amp;" "&amp;Identity!C487&amp;" "&amp;Identity!D487))</f>
      </c>
      <c r="C487" s="8"/>
      <c r="D487" s="8"/>
      <c r="E487" s="8"/>
    </row>
    <row r="488">
      <c r="A488" t="str">
        <f>IF(OR(Identity!B488="",Identity!D488=""),"",TRIM(Identity!B488&amp;" "&amp;Identity!C488&amp;" "&amp;Identity!D488))</f>
      </c>
      <c r="C488" s="8"/>
      <c r="D488" s="8"/>
      <c r="E488" s="8"/>
    </row>
    <row r="489">
      <c r="A489" t="str">
        <f>IF(OR(Identity!B489="",Identity!D489=""),"",TRIM(Identity!B489&amp;" "&amp;Identity!C489&amp;" "&amp;Identity!D489))</f>
      </c>
      <c r="C489" s="8"/>
      <c r="D489" s="8"/>
      <c r="E489" s="8"/>
    </row>
    <row r="490">
      <c r="A490" t="str">
        <f>IF(OR(Identity!B490="",Identity!D490=""),"",TRIM(Identity!B490&amp;" "&amp;Identity!C490&amp;" "&amp;Identity!D490))</f>
      </c>
      <c r="C490" s="8"/>
      <c r="D490" s="8"/>
      <c r="E490" s="8"/>
    </row>
    <row r="491">
      <c r="A491" t="str">
        <f>IF(OR(Identity!B491="",Identity!D491=""),"",TRIM(Identity!B491&amp;" "&amp;Identity!C491&amp;" "&amp;Identity!D491))</f>
      </c>
      <c r="C491" s="8"/>
      <c r="D491" s="8"/>
      <c r="E491" s="8"/>
    </row>
    <row r="492">
      <c r="A492" t="str">
        <f>IF(OR(Identity!B492="",Identity!D492=""),"",TRIM(Identity!B492&amp;" "&amp;Identity!C492&amp;" "&amp;Identity!D492))</f>
      </c>
      <c r="C492" s="8"/>
      <c r="D492" s="8"/>
      <c r="E492" s="8"/>
    </row>
    <row r="493">
      <c r="A493" t="str">
        <f>IF(OR(Identity!B493="",Identity!D493=""),"",TRIM(Identity!B493&amp;" "&amp;Identity!C493&amp;" "&amp;Identity!D493))</f>
      </c>
      <c r="C493" s="8"/>
      <c r="D493" s="8"/>
      <c r="E493" s="8"/>
    </row>
    <row r="494">
      <c r="A494" t="str">
        <f>IF(OR(Identity!B494="",Identity!D494=""),"",TRIM(Identity!B494&amp;" "&amp;Identity!C494&amp;" "&amp;Identity!D494))</f>
      </c>
      <c r="C494" s="8"/>
      <c r="D494" s="8"/>
      <c r="E494" s="8"/>
    </row>
    <row r="495">
      <c r="A495" t="str">
        <f>IF(OR(Identity!B495="",Identity!D495=""),"",TRIM(Identity!B495&amp;" "&amp;Identity!C495&amp;" "&amp;Identity!D495))</f>
      </c>
      <c r="C495" s="8"/>
      <c r="D495" s="8"/>
      <c r="E495" s="8"/>
    </row>
    <row r="496">
      <c r="A496" t="str">
        <f>IF(OR(Identity!B496="",Identity!D496=""),"",TRIM(Identity!B496&amp;" "&amp;Identity!C496&amp;" "&amp;Identity!D496))</f>
      </c>
      <c r="C496" s="8"/>
      <c r="D496" s="8"/>
      <c r="E496" s="8"/>
    </row>
    <row r="497">
      <c r="A497" t="str">
        <f>IF(OR(Identity!B497="",Identity!D497=""),"",TRIM(Identity!B497&amp;" "&amp;Identity!C497&amp;" "&amp;Identity!D497))</f>
      </c>
      <c r="C497" s="8"/>
      <c r="D497" s="8"/>
      <c r="E497" s="8"/>
    </row>
    <row r="498">
      <c r="A498" t="str">
        <f>IF(OR(Identity!B498="",Identity!D498=""),"",TRIM(Identity!B498&amp;" "&amp;Identity!C498&amp;" "&amp;Identity!D498))</f>
      </c>
      <c r="C498" s="8"/>
      <c r="D498" s="8"/>
      <c r="E498" s="8"/>
    </row>
    <row r="499">
      <c r="A499" t="str">
        <f>IF(OR(Identity!B499="",Identity!D499=""),"",TRIM(Identity!B499&amp;" "&amp;Identity!C499&amp;" "&amp;Identity!D499))</f>
      </c>
      <c r="C499" s="8"/>
      <c r="D499" s="8"/>
      <c r="E499" s="8"/>
    </row>
    <row r="500">
      <c r="A500" t="str">
        <f>IF(OR(Identity!B500="",Identity!D500=""),"",TRIM(Identity!B500&amp;" "&amp;Identity!C500&amp;" "&amp;Identity!D500))</f>
      </c>
      <c r="C500" s="8"/>
      <c r="D500" s="8"/>
      <c r="E500" s="8"/>
    </row>
    <row r="501">
      <c r="A501" t="str">
        <f>IF(OR(Identity!B501="",Identity!D501=""),"",TRIM(Identity!B501&amp;" "&amp;Identity!C501&amp;" "&amp;Identity!D501))</f>
      </c>
      <c r="C501" s="8"/>
      <c r="D501" s="8"/>
      <c r="E501" s="8"/>
    </row>
  </sheetData>
  <dataValidations count="1">
    <dataValidation type="list" allowBlank="1" showDropDown="0" sqref="B2:B501">
      <formula1>"Philippine ID,Driver's License,Passport,Tax ID,Other"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8764A"/>
  </sheetPr>
  <sheetViews>
    <sheetView workbookViewId="0" showGridLines="1" zoomScale="90" zoomScaleNormal="100">
      <pane ySplit="1" topLeftCell="A2" activePane="bottomLeft" state="frozen"/>
    </sheetView>
  </sheetViews>
  <sheetFormatPr defaultRowHeight="15"/>
  <cols>
    <col min="1" max="1" width="40" hidden="0" customWidth="1"/>
    <col min="2" max="2" width="44" hidden="0" customWidth="1"/>
    <col min="3" max="3" width="40" hidden="0" customWidth="1"/>
  </cols>
  <sheetData>
    <row r="1" ht="35" customHeight="1">
      <c r="A1" s="65" t="str">
        <v>Vice Director Names</v>
      </c>
      <c r="B1" s="65" t="str">
        <v>Senior Sales Manager Names</v>
      </c>
      <c r="C1" s="65" t="str">
        <v>Sales Manager Names</v>
      </c>
    </row>
    <row r="2">
      <c r="A2" t="str">
        <f>IF(Team!$B2="Vice Director",Team!$A2,"")</f>
      </c>
      <c r="B2" t="str">
        <f>IF(Team!$B2="Senior Sales Manager",Team!$A2,"")</f>
      </c>
      <c r="C2" t="str">
        <f>IF(Team!$B2="Sales Manager",Team!$A2,"")</f>
      </c>
    </row>
    <row r="3">
      <c r="A3" t="str">
        <f>IF(Team!$B3="Vice Director",Team!$A3,"")</f>
      </c>
      <c r="B3" t="str">
        <f>IF(Team!$B3="Senior Sales Manager",Team!$A3,"")</f>
      </c>
      <c r="C3" t="str">
        <f>IF(Team!$B3="Sales Manager",Team!$A3,"")</f>
      </c>
    </row>
    <row r="4">
      <c r="A4" t="str">
        <f>IF(Team!$B4="Vice Director",Team!$A4,"")</f>
      </c>
      <c r="B4" t="str">
        <f>IF(Team!$B4="Senior Sales Manager",Team!$A4,"")</f>
      </c>
      <c r="C4" t="str">
        <f>IF(Team!$B4="Sales Manager",Team!$A4,"")</f>
      </c>
    </row>
    <row r="5">
      <c r="A5" t="str">
        <f>IF(Team!$B5="Vice Director",Team!$A5,"")</f>
      </c>
      <c r="B5" t="str">
        <f>IF(Team!$B5="Senior Sales Manager",Team!$A5,"")</f>
      </c>
      <c r="C5" t="str">
        <f>IF(Team!$B5="Sales Manager",Team!$A5,"")</f>
      </c>
    </row>
    <row r="6">
      <c r="A6" t="str">
        <f>IF(Team!$B6="Vice Director",Team!$A6,"")</f>
      </c>
      <c r="B6" t="str">
        <f>IF(Team!$B6="Senior Sales Manager",Team!$A6,"")</f>
      </c>
      <c r="C6" t="str">
        <f>IF(Team!$B6="Sales Manager",Team!$A6,"")</f>
      </c>
    </row>
    <row r="7">
      <c r="A7" t="str">
        <f>IF(Team!$B7="Vice Director",Team!$A7,"")</f>
      </c>
      <c r="B7" t="str">
        <f>IF(Team!$B7="Senior Sales Manager",Team!$A7,"")</f>
      </c>
      <c r="C7" t="str">
        <f>IF(Team!$B7="Sales Manager",Team!$A7,"")</f>
      </c>
    </row>
    <row r="8">
      <c r="A8" t="str">
        <f>IF(Team!$B8="Vice Director",Team!$A8,"")</f>
      </c>
      <c r="B8" t="str">
        <f>IF(Team!$B8="Senior Sales Manager",Team!$A8,"")</f>
      </c>
      <c r="C8" t="str">
        <f>IF(Team!$B8="Sales Manager",Team!$A8,"")</f>
      </c>
    </row>
    <row r="9">
      <c r="A9" t="str">
        <f>IF(Team!$B9="Vice Director",Team!$A9,"")</f>
      </c>
      <c r="B9" t="str">
        <f>IF(Team!$B9="Senior Sales Manager",Team!$A9,"")</f>
      </c>
      <c r="C9" t="str">
        <f>IF(Team!$B9="Sales Manager",Team!$A9,"")</f>
      </c>
    </row>
    <row r="10">
      <c r="A10" t="str">
        <f>IF(Team!$B10="Vice Director",Team!$A10,"")</f>
      </c>
      <c r="B10" t="str">
        <f>IF(Team!$B10="Senior Sales Manager",Team!$A10,"")</f>
      </c>
      <c r="C10" t="str">
        <f>IF(Team!$B10="Sales Manager",Team!$A10,"")</f>
      </c>
    </row>
    <row r="11">
      <c r="A11" t="str">
        <f>IF(Team!$B11="Vice Director",Team!$A11,"")</f>
      </c>
      <c r="B11" t="str">
        <f>IF(Team!$B11="Senior Sales Manager",Team!$A11,"")</f>
      </c>
      <c r="C11" t="str">
        <f>IF(Team!$B11="Sales Manager",Team!$A11,"")</f>
      </c>
    </row>
    <row r="12">
      <c r="A12" t="str">
        <f>IF(Team!$B12="Vice Director",Team!$A12,"")</f>
      </c>
      <c r="B12" t="str">
        <f>IF(Team!$B12="Senior Sales Manager",Team!$A12,"")</f>
      </c>
      <c r="C12" t="str">
        <f>IF(Team!$B12="Sales Manager",Team!$A12,"")</f>
      </c>
    </row>
    <row r="13">
      <c r="A13" t="str">
        <f>IF(Team!$B13="Vice Director",Team!$A13,"")</f>
      </c>
      <c r="B13" t="str">
        <f>IF(Team!$B13="Senior Sales Manager",Team!$A13,"")</f>
      </c>
      <c r="C13" t="str">
        <f>IF(Team!$B13="Sales Manager",Team!$A13,"")</f>
      </c>
    </row>
    <row r="14">
      <c r="A14" t="str">
        <f>IF(Team!$B14="Vice Director",Team!$A14,"")</f>
      </c>
      <c r="B14" t="str">
        <f>IF(Team!$B14="Senior Sales Manager",Team!$A14,"")</f>
      </c>
      <c r="C14" t="str">
        <f>IF(Team!$B14="Sales Manager",Team!$A14,"")</f>
      </c>
    </row>
    <row r="15">
      <c r="A15" t="str">
        <f>IF(Team!$B15="Vice Director",Team!$A15,"")</f>
      </c>
      <c r="B15" t="str">
        <f>IF(Team!$B15="Senior Sales Manager",Team!$A15,"")</f>
      </c>
      <c r="C15" t="str">
        <f>IF(Team!$B15="Sales Manager",Team!$A15,"")</f>
      </c>
    </row>
    <row r="16">
      <c r="A16" t="str">
        <f>IF(Team!$B16="Vice Director",Team!$A16,"")</f>
      </c>
      <c r="B16" t="str">
        <f>IF(Team!$B16="Senior Sales Manager",Team!$A16,"")</f>
      </c>
      <c r="C16" t="str">
        <f>IF(Team!$B16="Sales Manager",Team!$A16,"")</f>
      </c>
    </row>
    <row r="17">
      <c r="A17" t="str">
        <f>IF(Team!$B17="Vice Director",Team!$A17,"")</f>
      </c>
      <c r="B17" t="str">
        <f>IF(Team!$B17="Senior Sales Manager",Team!$A17,"")</f>
      </c>
      <c r="C17" t="str">
        <f>IF(Team!$B17="Sales Manager",Team!$A17,"")</f>
      </c>
    </row>
    <row r="18">
      <c r="A18" t="str">
        <f>IF(Team!$B18="Vice Director",Team!$A18,"")</f>
      </c>
      <c r="B18" t="str">
        <f>IF(Team!$B18="Senior Sales Manager",Team!$A18,"")</f>
      </c>
      <c r="C18" t="str">
        <f>IF(Team!$B18="Sales Manager",Team!$A18,"")</f>
      </c>
    </row>
    <row r="19">
      <c r="A19" t="str">
        <f>IF(Team!$B19="Vice Director",Team!$A19,"")</f>
      </c>
      <c r="B19" t="str">
        <f>IF(Team!$B19="Senior Sales Manager",Team!$A19,"")</f>
      </c>
      <c r="C19" t="str">
        <f>IF(Team!$B19="Sales Manager",Team!$A19,"")</f>
      </c>
    </row>
    <row r="20">
      <c r="A20" t="str">
        <f>IF(Team!$B20="Vice Director",Team!$A20,"")</f>
      </c>
      <c r="B20" t="str">
        <f>IF(Team!$B20="Senior Sales Manager",Team!$A20,"")</f>
      </c>
      <c r="C20" t="str">
        <f>IF(Team!$B20="Sales Manager",Team!$A20,"")</f>
      </c>
    </row>
    <row r="21">
      <c r="A21" t="str">
        <f>IF(Team!$B21="Vice Director",Team!$A21,"")</f>
      </c>
      <c r="B21" t="str">
        <f>IF(Team!$B21="Senior Sales Manager",Team!$A21,"")</f>
      </c>
      <c r="C21" t="str">
        <f>IF(Team!$B21="Sales Manager",Team!$A21,"")</f>
      </c>
    </row>
    <row r="22">
      <c r="A22" t="str">
        <f>IF(Team!$B22="Vice Director",Team!$A22,"")</f>
      </c>
      <c r="B22" t="str">
        <f>IF(Team!$B22="Senior Sales Manager",Team!$A22,"")</f>
      </c>
      <c r="C22" t="str">
        <f>IF(Team!$B22="Sales Manager",Team!$A22,"")</f>
      </c>
    </row>
    <row r="23">
      <c r="A23" t="str">
        <f>IF(Team!$B23="Vice Director",Team!$A23,"")</f>
      </c>
      <c r="B23" t="str">
        <f>IF(Team!$B23="Senior Sales Manager",Team!$A23,"")</f>
      </c>
      <c r="C23" t="str">
        <f>IF(Team!$B23="Sales Manager",Team!$A23,"")</f>
      </c>
    </row>
    <row r="24">
      <c r="A24" t="str">
        <f>IF(Team!$B24="Vice Director",Team!$A24,"")</f>
      </c>
      <c r="B24" t="str">
        <f>IF(Team!$B24="Senior Sales Manager",Team!$A24,"")</f>
      </c>
      <c r="C24" t="str">
        <f>IF(Team!$B24="Sales Manager",Team!$A24,"")</f>
      </c>
    </row>
    <row r="25">
      <c r="A25" t="str">
        <f>IF(Team!$B25="Vice Director",Team!$A25,"")</f>
      </c>
      <c r="B25" t="str">
        <f>IF(Team!$B25="Senior Sales Manager",Team!$A25,"")</f>
      </c>
      <c r="C25" t="str">
        <f>IF(Team!$B25="Sales Manager",Team!$A25,"")</f>
      </c>
    </row>
    <row r="26">
      <c r="A26" t="str">
        <f>IF(Team!$B26="Vice Director",Team!$A26,"")</f>
      </c>
      <c r="B26" t="str">
        <f>IF(Team!$B26="Senior Sales Manager",Team!$A26,"")</f>
      </c>
      <c r="C26" t="str">
        <f>IF(Team!$B26="Sales Manager",Team!$A26,"")</f>
      </c>
    </row>
    <row r="27">
      <c r="A27" t="str">
        <f>IF(Team!$B27="Vice Director",Team!$A27,"")</f>
      </c>
      <c r="B27" t="str">
        <f>IF(Team!$B27="Senior Sales Manager",Team!$A27,"")</f>
      </c>
      <c r="C27" t="str">
        <f>IF(Team!$B27="Sales Manager",Team!$A27,"")</f>
      </c>
    </row>
    <row r="28">
      <c r="A28" t="str">
        <f>IF(Team!$B28="Vice Director",Team!$A28,"")</f>
      </c>
      <c r="B28" t="str">
        <f>IF(Team!$B28="Senior Sales Manager",Team!$A28,"")</f>
      </c>
      <c r="C28" t="str">
        <f>IF(Team!$B28="Sales Manager",Team!$A28,"")</f>
      </c>
    </row>
    <row r="29">
      <c r="A29" t="str">
        <f>IF(Team!$B29="Vice Director",Team!$A29,"")</f>
      </c>
      <c r="B29" t="str">
        <f>IF(Team!$B29="Senior Sales Manager",Team!$A29,"")</f>
      </c>
      <c r="C29" t="str">
        <f>IF(Team!$B29="Sales Manager",Team!$A29,"")</f>
      </c>
    </row>
    <row r="30">
      <c r="A30" t="str">
        <f>IF(Team!$B30="Vice Director",Team!$A30,"")</f>
      </c>
      <c r="B30" t="str">
        <f>IF(Team!$B30="Senior Sales Manager",Team!$A30,"")</f>
      </c>
      <c r="C30" t="str">
        <f>IF(Team!$B30="Sales Manager",Team!$A30,"")</f>
      </c>
    </row>
    <row r="31">
      <c r="A31" t="str">
        <f>IF(Team!$B31="Vice Director",Team!$A31,"")</f>
      </c>
      <c r="B31" t="str">
        <f>IF(Team!$B31="Senior Sales Manager",Team!$A31,"")</f>
      </c>
      <c r="C31" t="str">
        <f>IF(Team!$B31="Sales Manager",Team!$A31,"")</f>
      </c>
    </row>
    <row r="32">
      <c r="A32" t="str">
        <f>IF(Team!$B32="Vice Director",Team!$A32,"")</f>
      </c>
      <c r="B32" t="str">
        <f>IF(Team!$B32="Senior Sales Manager",Team!$A32,"")</f>
      </c>
      <c r="C32" t="str">
        <f>IF(Team!$B32="Sales Manager",Team!$A32,"")</f>
      </c>
    </row>
    <row r="33">
      <c r="A33" t="str">
        <f>IF(Team!$B33="Vice Director",Team!$A33,"")</f>
      </c>
      <c r="B33" t="str">
        <f>IF(Team!$B33="Senior Sales Manager",Team!$A33,"")</f>
      </c>
      <c r="C33" t="str">
        <f>IF(Team!$B33="Sales Manager",Team!$A33,"")</f>
      </c>
    </row>
    <row r="34">
      <c r="A34" t="str">
        <f>IF(Team!$B34="Vice Director",Team!$A34,"")</f>
      </c>
      <c r="B34" t="str">
        <f>IF(Team!$B34="Senior Sales Manager",Team!$A34,"")</f>
      </c>
      <c r="C34" t="str">
        <f>IF(Team!$B34="Sales Manager",Team!$A34,"")</f>
      </c>
    </row>
    <row r="35">
      <c r="A35" t="str">
        <f>IF(Team!$B35="Vice Director",Team!$A35,"")</f>
      </c>
      <c r="B35" t="str">
        <f>IF(Team!$B35="Senior Sales Manager",Team!$A35,"")</f>
      </c>
      <c r="C35" t="str">
        <f>IF(Team!$B35="Sales Manager",Team!$A35,"")</f>
      </c>
    </row>
    <row r="36">
      <c r="A36" t="str">
        <f>IF(Team!$B36="Vice Director",Team!$A36,"")</f>
      </c>
      <c r="B36" t="str">
        <f>IF(Team!$B36="Senior Sales Manager",Team!$A36,"")</f>
      </c>
      <c r="C36" t="str">
        <f>IF(Team!$B36="Sales Manager",Team!$A36,"")</f>
      </c>
    </row>
    <row r="37">
      <c r="A37" t="str">
        <f>IF(Team!$B37="Vice Director",Team!$A37,"")</f>
      </c>
      <c r="B37" t="str">
        <f>IF(Team!$B37="Senior Sales Manager",Team!$A37,"")</f>
      </c>
      <c r="C37" t="str">
        <f>IF(Team!$B37="Sales Manager",Team!$A37,"")</f>
      </c>
    </row>
    <row r="38">
      <c r="A38" t="str">
        <f>IF(Team!$B38="Vice Director",Team!$A38,"")</f>
      </c>
      <c r="B38" t="str">
        <f>IF(Team!$B38="Senior Sales Manager",Team!$A38,"")</f>
      </c>
      <c r="C38" t="str">
        <f>IF(Team!$B38="Sales Manager",Team!$A38,"")</f>
      </c>
    </row>
    <row r="39">
      <c r="A39" t="str">
        <f>IF(Team!$B39="Vice Director",Team!$A39,"")</f>
      </c>
      <c r="B39" t="str">
        <f>IF(Team!$B39="Senior Sales Manager",Team!$A39,"")</f>
      </c>
      <c r="C39" t="str">
        <f>IF(Team!$B39="Sales Manager",Team!$A39,"")</f>
      </c>
    </row>
    <row r="40">
      <c r="A40" t="str">
        <f>IF(Team!$B40="Vice Director",Team!$A40,"")</f>
      </c>
      <c r="B40" t="str">
        <f>IF(Team!$B40="Senior Sales Manager",Team!$A40,"")</f>
      </c>
      <c r="C40" t="str">
        <f>IF(Team!$B40="Sales Manager",Team!$A40,"")</f>
      </c>
    </row>
    <row r="41">
      <c r="A41" t="str">
        <f>IF(Team!$B41="Vice Director",Team!$A41,"")</f>
      </c>
      <c r="B41" t="str">
        <f>IF(Team!$B41="Senior Sales Manager",Team!$A41,"")</f>
      </c>
      <c r="C41" t="str">
        <f>IF(Team!$B41="Sales Manager",Team!$A41,"")</f>
      </c>
    </row>
    <row r="42">
      <c r="A42" t="str">
        <f>IF(Team!$B42="Vice Director",Team!$A42,"")</f>
      </c>
      <c r="B42" t="str">
        <f>IF(Team!$B42="Senior Sales Manager",Team!$A42,"")</f>
      </c>
      <c r="C42" t="str">
        <f>IF(Team!$B42="Sales Manager",Team!$A42,"")</f>
      </c>
    </row>
    <row r="43">
      <c r="A43" t="str">
        <f>IF(Team!$B43="Vice Director",Team!$A43,"")</f>
      </c>
      <c r="B43" t="str">
        <f>IF(Team!$B43="Senior Sales Manager",Team!$A43,"")</f>
      </c>
      <c r="C43" t="str">
        <f>IF(Team!$B43="Sales Manager",Team!$A43,"")</f>
      </c>
    </row>
    <row r="44">
      <c r="A44" t="str">
        <f>IF(Team!$B44="Vice Director",Team!$A44,"")</f>
      </c>
      <c r="B44" t="str">
        <f>IF(Team!$B44="Senior Sales Manager",Team!$A44,"")</f>
      </c>
      <c r="C44" t="str">
        <f>IF(Team!$B44="Sales Manager",Team!$A44,"")</f>
      </c>
    </row>
    <row r="45">
      <c r="A45" t="str">
        <f>IF(Team!$B45="Vice Director",Team!$A45,"")</f>
      </c>
      <c r="B45" t="str">
        <f>IF(Team!$B45="Senior Sales Manager",Team!$A45,"")</f>
      </c>
      <c r="C45" t="str">
        <f>IF(Team!$B45="Sales Manager",Team!$A45,"")</f>
      </c>
    </row>
    <row r="46">
      <c r="A46" t="str">
        <f>IF(Team!$B46="Vice Director",Team!$A46,"")</f>
      </c>
      <c r="B46" t="str">
        <f>IF(Team!$B46="Senior Sales Manager",Team!$A46,"")</f>
      </c>
      <c r="C46" t="str">
        <f>IF(Team!$B46="Sales Manager",Team!$A46,"")</f>
      </c>
    </row>
    <row r="47">
      <c r="A47" t="str">
        <f>IF(Team!$B47="Vice Director",Team!$A47,"")</f>
      </c>
      <c r="B47" t="str">
        <f>IF(Team!$B47="Senior Sales Manager",Team!$A47,"")</f>
      </c>
      <c r="C47" t="str">
        <f>IF(Team!$B47="Sales Manager",Team!$A47,"")</f>
      </c>
    </row>
    <row r="48">
      <c r="A48" t="str">
        <f>IF(Team!$B48="Vice Director",Team!$A48,"")</f>
      </c>
      <c r="B48" t="str">
        <f>IF(Team!$B48="Senior Sales Manager",Team!$A48,"")</f>
      </c>
      <c r="C48" t="str">
        <f>IF(Team!$B48="Sales Manager",Team!$A48,"")</f>
      </c>
    </row>
    <row r="49">
      <c r="A49" t="str">
        <f>IF(Team!$B49="Vice Director",Team!$A49,"")</f>
      </c>
      <c r="B49" t="str">
        <f>IF(Team!$B49="Senior Sales Manager",Team!$A49,"")</f>
      </c>
      <c r="C49" t="str">
        <f>IF(Team!$B49="Sales Manager",Team!$A49,"")</f>
      </c>
    </row>
    <row r="50">
      <c r="A50" t="str">
        <f>IF(Team!$B50="Vice Director",Team!$A50,"")</f>
      </c>
      <c r="B50" t="str">
        <f>IF(Team!$B50="Senior Sales Manager",Team!$A50,"")</f>
      </c>
      <c r="C50" t="str">
        <f>IF(Team!$B50="Sales Manager",Team!$A50,"")</f>
      </c>
    </row>
    <row r="51">
      <c r="A51" t="str">
        <f>IF(Team!$B51="Vice Director",Team!$A51,"")</f>
      </c>
      <c r="B51" t="str">
        <f>IF(Team!$B51="Senior Sales Manager",Team!$A51,"")</f>
      </c>
      <c r="C51" t="str">
        <f>IF(Team!$B51="Sales Manager",Team!$A51,"")</f>
      </c>
    </row>
    <row r="52">
      <c r="A52" t="str">
        <f>IF(Team!$B52="Vice Director",Team!$A52,"")</f>
      </c>
      <c r="B52" t="str">
        <f>IF(Team!$B52="Senior Sales Manager",Team!$A52,"")</f>
      </c>
      <c r="C52" t="str">
        <f>IF(Team!$B52="Sales Manager",Team!$A52,"")</f>
      </c>
    </row>
    <row r="53">
      <c r="A53" t="str">
        <f>IF(Team!$B53="Vice Director",Team!$A53,"")</f>
      </c>
      <c r="B53" t="str">
        <f>IF(Team!$B53="Senior Sales Manager",Team!$A53,"")</f>
      </c>
      <c r="C53" t="str">
        <f>IF(Team!$B53="Sales Manager",Team!$A53,"")</f>
      </c>
    </row>
    <row r="54">
      <c r="A54" t="str">
        <f>IF(Team!$B54="Vice Director",Team!$A54,"")</f>
      </c>
      <c r="B54" t="str">
        <f>IF(Team!$B54="Senior Sales Manager",Team!$A54,"")</f>
      </c>
      <c r="C54" t="str">
        <f>IF(Team!$B54="Sales Manager",Team!$A54,"")</f>
      </c>
    </row>
    <row r="55">
      <c r="A55" t="str">
        <f>IF(Team!$B55="Vice Director",Team!$A55,"")</f>
      </c>
      <c r="B55" t="str">
        <f>IF(Team!$B55="Senior Sales Manager",Team!$A55,"")</f>
      </c>
      <c r="C55" t="str">
        <f>IF(Team!$B55="Sales Manager",Team!$A55,"")</f>
      </c>
    </row>
    <row r="56">
      <c r="A56" t="str">
        <f>IF(Team!$B56="Vice Director",Team!$A56,"")</f>
      </c>
      <c r="B56" t="str">
        <f>IF(Team!$B56="Senior Sales Manager",Team!$A56,"")</f>
      </c>
      <c r="C56" t="str">
        <f>IF(Team!$B56="Sales Manager",Team!$A56,"")</f>
      </c>
    </row>
    <row r="57">
      <c r="A57" t="str">
        <f>IF(Team!$B57="Vice Director",Team!$A57,"")</f>
      </c>
      <c r="B57" t="str">
        <f>IF(Team!$B57="Senior Sales Manager",Team!$A57,"")</f>
      </c>
      <c r="C57" t="str">
        <f>IF(Team!$B57="Sales Manager",Team!$A57,"")</f>
      </c>
    </row>
    <row r="58">
      <c r="A58" t="str">
        <f>IF(Team!$B58="Vice Director",Team!$A58,"")</f>
      </c>
      <c r="B58" t="str">
        <f>IF(Team!$B58="Senior Sales Manager",Team!$A58,"")</f>
      </c>
      <c r="C58" t="str">
        <f>IF(Team!$B58="Sales Manager",Team!$A58,"")</f>
      </c>
    </row>
    <row r="59">
      <c r="A59" t="str">
        <f>IF(Team!$B59="Vice Director",Team!$A59,"")</f>
      </c>
      <c r="B59" t="str">
        <f>IF(Team!$B59="Senior Sales Manager",Team!$A59,"")</f>
      </c>
      <c r="C59" t="str">
        <f>IF(Team!$B59="Sales Manager",Team!$A59,"")</f>
      </c>
    </row>
    <row r="60">
      <c r="A60" t="str">
        <f>IF(Team!$B60="Vice Director",Team!$A60,"")</f>
      </c>
      <c r="B60" t="str">
        <f>IF(Team!$B60="Senior Sales Manager",Team!$A60,"")</f>
      </c>
      <c r="C60" t="str">
        <f>IF(Team!$B60="Sales Manager",Team!$A60,"")</f>
      </c>
    </row>
    <row r="61">
      <c r="A61" t="str">
        <f>IF(Team!$B61="Vice Director",Team!$A61,"")</f>
      </c>
      <c r="B61" t="str">
        <f>IF(Team!$B61="Senior Sales Manager",Team!$A61,"")</f>
      </c>
      <c r="C61" t="str">
        <f>IF(Team!$B61="Sales Manager",Team!$A61,"")</f>
      </c>
    </row>
    <row r="62">
      <c r="A62" t="str">
        <f>IF(Team!$B62="Vice Director",Team!$A62,"")</f>
      </c>
      <c r="B62" t="str">
        <f>IF(Team!$B62="Senior Sales Manager",Team!$A62,"")</f>
      </c>
      <c r="C62" t="str">
        <f>IF(Team!$B62="Sales Manager",Team!$A62,"")</f>
      </c>
    </row>
    <row r="63">
      <c r="A63" t="str">
        <f>IF(Team!$B63="Vice Director",Team!$A63,"")</f>
      </c>
      <c r="B63" t="str">
        <f>IF(Team!$B63="Senior Sales Manager",Team!$A63,"")</f>
      </c>
      <c r="C63" t="str">
        <f>IF(Team!$B63="Sales Manager",Team!$A63,"")</f>
      </c>
    </row>
    <row r="64">
      <c r="A64" t="str">
        <f>IF(Team!$B64="Vice Director",Team!$A64,"")</f>
      </c>
      <c r="B64" t="str">
        <f>IF(Team!$B64="Senior Sales Manager",Team!$A64,"")</f>
      </c>
      <c r="C64" t="str">
        <f>IF(Team!$B64="Sales Manager",Team!$A64,"")</f>
      </c>
    </row>
    <row r="65">
      <c r="A65" t="str">
        <f>IF(Team!$B65="Vice Director",Team!$A65,"")</f>
      </c>
      <c r="B65" t="str">
        <f>IF(Team!$B65="Senior Sales Manager",Team!$A65,"")</f>
      </c>
      <c r="C65" t="str">
        <f>IF(Team!$B65="Sales Manager",Team!$A65,"")</f>
      </c>
    </row>
    <row r="66">
      <c r="A66" t="str">
        <f>IF(Team!$B66="Vice Director",Team!$A66,"")</f>
      </c>
      <c r="B66" t="str">
        <f>IF(Team!$B66="Senior Sales Manager",Team!$A66,"")</f>
      </c>
      <c r="C66" t="str">
        <f>IF(Team!$B66="Sales Manager",Team!$A66,"")</f>
      </c>
    </row>
    <row r="67">
      <c r="A67" t="str">
        <f>IF(Team!$B67="Vice Director",Team!$A67,"")</f>
      </c>
      <c r="B67" t="str">
        <f>IF(Team!$B67="Senior Sales Manager",Team!$A67,"")</f>
      </c>
      <c r="C67" t="str">
        <f>IF(Team!$B67="Sales Manager",Team!$A67,"")</f>
      </c>
    </row>
    <row r="68">
      <c r="A68" t="str">
        <f>IF(Team!$B68="Vice Director",Team!$A68,"")</f>
      </c>
      <c r="B68" t="str">
        <f>IF(Team!$B68="Senior Sales Manager",Team!$A68,"")</f>
      </c>
      <c r="C68" t="str">
        <f>IF(Team!$B68="Sales Manager",Team!$A68,"")</f>
      </c>
    </row>
    <row r="69">
      <c r="A69" t="str">
        <f>IF(Team!$B69="Vice Director",Team!$A69,"")</f>
      </c>
      <c r="B69" t="str">
        <f>IF(Team!$B69="Senior Sales Manager",Team!$A69,"")</f>
      </c>
      <c r="C69" t="str">
        <f>IF(Team!$B69="Sales Manager",Team!$A69,"")</f>
      </c>
    </row>
    <row r="70">
      <c r="A70" t="str">
        <f>IF(Team!$B70="Vice Director",Team!$A70,"")</f>
      </c>
      <c r="B70" t="str">
        <f>IF(Team!$B70="Senior Sales Manager",Team!$A70,"")</f>
      </c>
      <c r="C70" t="str">
        <f>IF(Team!$B70="Sales Manager",Team!$A70,"")</f>
      </c>
    </row>
    <row r="71">
      <c r="A71" t="str">
        <f>IF(Team!$B71="Vice Director",Team!$A71,"")</f>
      </c>
      <c r="B71" t="str">
        <f>IF(Team!$B71="Senior Sales Manager",Team!$A71,"")</f>
      </c>
      <c r="C71" t="str">
        <f>IF(Team!$B71="Sales Manager",Team!$A71,"")</f>
      </c>
    </row>
    <row r="72">
      <c r="A72" t="str">
        <f>IF(Team!$B72="Vice Director",Team!$A72,"")</f>
      </c>
      <c r="B72" t="str">
        <f>IF(Team!$B72="Senior Sales Manager",Team!$A72,"")</f>
      </c>
      <c r="C72" t="str">
        <f>IF(Team!$B72="Sales Manager",Team!$A72,"")</f>
      </c>
    </row>
    <row r="73">
      <c r="A73" t="str">
        <f>IF(Team!$B73="Vice Director",Team!$A73,"")</f>
      </c>
      <c r="B73" t="str">
        <f>IF(Team!$B73="Senior Sales Manager",Team!$A73,"")</f>
      </c>
      <c r="C73" t="str">
        <f>IF(Team!$B73="Sales Manager",Team!$A73,"")</f>
      </c>
    </row>
    <row r="74">
      <c r="A74" t="str">
        <f>IF(Team!$B74="Vice Director",Team!$A74,"")</f>
      </c>
      <c r="B74" t="str">
        <f>IF(Team!$B74="Senior Sales Manager",Team!$A74,"")</f>
      </c>
      <c r="C74" t="str">
        <f>IF(Team!$B74="Sales Manager",Team!$A74,"")</f>
      </c>
    </row>
    <row r="75">
      <c r="A75" t="str">
        <f>IF(Team!$B75="Vice Director",Team!$A75,"")</f>
      </c>
      <c r="B75" t="str">
        <f>IF(Team!$B75="Senior Sales Manager",Team!$A75,"")</f>
      </c>
      <c r="C75" t="str">
        <f>IF(Team!$B75="Sales Manager",Team!$A75,"")</f>
      </c>
    </row>
    <row r="76">
      <c r="A76" t="str">
        <f>IF(Team!$B76="Vice Director",Team!$A76,"")</f>
      </c>
      <c r="B76" t="str">
        <f>IF(Team!$B76="Senior Sales Manager",Team!$A76,"")</f>
      </c>
      <c r="C76" t="str">
        <f>IF(Team!$B76="Sales Manager",Team!$A76,"")</f>
      </c>
    </row>
    <row r="77">
      <c r="A77" t="str">
        <f>IF(Team!$B77="Vice Director",Team!$A77,"")</f>
      </c>
      <c r="B77" t="str">
        <f>IF(Team!$B77="Senior Sales Manager",Team!$A77,"")</f>
      </c>
      <c r="C77" t="str">
        <f>IF(Team!$B77="Sales Manager",Team!$A77,"")</f>
      </c>
    </row>
    <row r="78">
      <c r="A78" t="str">
        <f>IF(Team!$B78="Vice Director",Team!$A78,"")</f>
      </c>
      <c r="B78" t="str">
        <f>IF(Team!$B78="Senior Sales Manager",Team!$A78,"")</f>
      </c>
      <c r="C78" t="str">
        <f>IF(Team!$B78="Sales Manager",Team!$A78,"")</f>
      </c>
    </row>
    <row r="79">
      <c r="A79" t="str">
        <f>IF(Team!$B79="Vice Director",Team!$A79,"")</f>
      </c>
      <c r="B79" t="str">
        <f>IF(Team!$B79="Senior Sales Manager",Team!$A79,"")</f>
      </c>
      <c r="C79" t="str">
        <f>IF(Team!$B79="Sales Manager",Team!$A79,"")</f>
      </c>
    </row>
    <row r="80">
      <c r="A80" t="str">
        <f>IF(Team!$B80="Vice Director",Team!$A80,"")</f>
      </c>
      <c r="B80" t="str">
        <f>IF(Team!$B80="Senior Sales Manager",Team!$A80,"")</f>
      </c>
      <c r="C80" t="str">
        <f>IF(Team!$B80="Sales Manager",Team!$A80,"")</f>
      </c>
    </row>
    <row r="81">
      <c r="A81" t="str">
        <f>IF(Team!$B81="Vice Director",Team!$A81,"")</f>
      </c>
      <c r="B81" t="str">
        <f>IF(Team!$B81="Senior Sales Manager",Team!$A81,"")</f>
      </c>
      <c r="C81" t="str">
        <f>IF(Team!$B81="Sales Manager",Team!$A81,"")</f>
      </c>
    </row>
    <row r="82">
      <c r="A82" t="str">
        <f>IF(Team!$B82="Vice Director",Team!$A82,"")</f>
      </c>
      <c r="B82" t="str">
        <f>IF(Team!$B82="Senior Sales Manager",Team!$A82,"")</f>
      </c>
      <c r="C82" t="str">
        <f>IF(Team!$B82="Sales Manager",Team!$A82,"")</f>
      </c>
    </row>
    <row r="83">
      <c r="A83" t="str">
        <f>IF(Team!$B83="Vice Director",Team!$A83,"")</f>
      </c>
      <c r="B83" t="str">
        <f>IF(Team!$B83="Senior Sales Manager",Team!$A83,"")</f>
      </c>
      <c r="C83" t="str">
        <f>IF(Team!$B83="Sales Manager",Team!$A83,"")</f>
      </c>
    </row>
    <row r="84">
      <c r="A84" t="str">
        <f>IF(Team!$B84="Vice Director",Team!$A84,"")</f>
      </c>
      <c r="B84" t="str">
        <f>IF(Team!$B84="Senior Sales Manager",Team!$A84,"")</f>
      </c>
      <c r="C84" t="str">
        <f>IF(Team!$B84="Sales Manager",Team!$A84,"")</f>
      </c>
    </row>
    <row r="85">
      <c r="A85" t="str">
        <f>IF(Team!$B85="Vice Director",Team!$A85,"")</f>
      </c>
      <c r="B85" t="str">
        <f>IF(Team!$B85="Senior Sales Manager",Team!$A85,"")</f>
      </c>
      <c r="C85" t="str">
        <f>IF(Team!$B85="Sales Manager",Team!$A85,"")</f>
      </c>
    </row>
    <row r="86">
      <c r="A86" t="str">
        <f>IF(Team!$B86="Vice Director",Team!$A86,"")</f>
      </c>
      <c r="B86" t="str">
        <f>IF(Team!$B86="Senior Sales Manager",Team!$A86,"")</f>
      </c>
      <c r="C86" t="str">
        <f>IF(Team!$B86="Sales Manager",Team!$A86,"")</f>
      </c>
    </row>
    <row r="87">
      <c r="A87" t="str">
        <f>IF(Team!$B87="Vice Director",Team!$A87,"")</f>
      </c>
      <c r="B87" t="str">
        <f>IF(Team!$B87="Senior Sales Manager",Team!$A87,"")</f>
      </c>
      <c r="C87" t="str">
        <f>IF(Team!$B87="Sales Manager",Team!$A87,"")</f>
      </c>
    </row>
    <row r="88">
      <c r="A88" t="str">
        <f>IF(Team!$B88="Vice Director",Team!$A88,"")</f>
      </c>
      <c r="B88" t="str">
        <f>IF(Team!$B88="Senior Sales Manager",Team!$A88,"")</f>
      </c>
      <c r="C88" t="str">
        <f>IF(Team!$B88="Sales Manager",Team!$A88,"")</f>
      </c>
    </row>
    <row r="89">
      <c r="A89" t="str">
        <f>IF(Team!$B89="Vice Director",Team!$A89,"")</f>
      </c>
      <c r="B89" t="str">
        <f>IF(Team!$B89="Senior Sales Manager",Team!$A89,"")</f>
      </c>
      <c r="C89" t="str">
        <f>IF(Team!$B89="Sales Manager",Team!$A89,"")</f>
      </c>
    </row>
    <row r="90">
      <c r="A90" t="str">
        <f>IF(Team!$B90="Vice Director",Team!$A90,"")</f>
      </c>
      <c r="B90" t="str">
        <f>IF(Team!$B90="Senior Sales Manager",Team!$A90,"")</f>
      </c>
      <c r="C90" t="str">
        <f>IF(Team!$B90="Sales Manager",Team!$A90,"")</f>
      </c>
    </row>
    <row r="91">
      <c r="A91" t="str">
        <f>IF(Team!$B91="Vice Director",Team!$A91,"")</f>
      </c>
      <c r="B91" t="str">
        <f>IF(Team!$B91="Senior Sales Manager",Team!$A91,"")</f>
      </c>
      <c r="C91" t="str">
        <f>IF(Team!$B91="Sales Manager",Team!$A91,"")</f>
      </c>
    </row>
    <row r="92">
      <c r="A92" t="str">
        <f>IF(Team!$B92="Vice Director",Team!$A92,"")</f>
      </c>
      <c r="B92" t="str">
        <f>IF(Team!$B92="Senior Sales Manager",Team!$A92,"")</f>
      </c>
      <c r="C92" t="str">
        <f>IF(Team!$B92="Sales Manager",Team!$A92,"")</f>
      </c>
    </row>
    <row r="93">
      <c r="A93" t="str">
        <f>IF(Team!$B93="Vice Director",Team!$A93,"")</f>
      </c>
      <c r="B93" t="str">
        <f>IF(Team!$B93="Senior Sales Manager",Team!$A93,"")</f>
      </c>
      <c r="C93" t="str">
        <f>IF(Team!$B93="Sales Manager",Team!$A93,"")</f>
      </c>
    </row>
    <row r="94">
      <c r="A94" t="str">
        <f>IF(Team!$B94="Vice Director",Team!$A94,"")</f>
      </c>
      <c r="B94" t="str">
        <f>IF(Team!$B94="Senior Sales Manager",Team!$A94,"")</f>
      </c>
      <c r="C94" t="str">
        <f>IF(Team!$B94="Sales Manager",Team!$A94,"")</f>
      </c>
    </row>
    <row r="95">
      <c r="A95" t="str">
        <f>IF(Team!$B95="Vice Director",Team!$A95,"")</f>
      </c>
      <c r="B95" t="str">
        <f>IF(Team!$B95="Senior Sales Manager",Team!$A95,"")</f>
      </c>
      <c r="C95" t="str">
        <f>IF(Team!$B95="Sales Manager",Team!$A95,"")</f>
      </c>
    </row>
    <row r="96">
      <c r="A96" t="str">
        <f>IF(Team!$B96="Vice Director",Team!$A96,"")</f>
      </c>
      <c r="B96" t="str">
        <f>IF(Team!$B96="Senior Sales Manager",Team!$A96,"")</f>
      </c>
      <c r="C96" t="str">
        <f>IF(Team!$B96="Sales Manager",Team!$A96,"")</f>
      </c>
    </row>
    <row r="97">
      <c r="A97" t="str">
        <f>IF(Team!$B97="Vice Director",Team!$A97,"")</f>
      </c>
      <c r="B97" t="str">
        <f>IF(Team!$B97="Senior Sales Manager",Team!$A97,"")</f>
      </c>
      <c r="C97" t="str">
        <f>IF(Team!$B97="Sales Manager",Team!$A97,"")</f>
      </c>
    </row>
    <row r="98">
      <c r="A98" t="str">
        <f>IF(Team!$B98="Vice Director",Team!$A98,"")</f>
      </c>
      <c r="B98" t="str">
        <f>IF(Team!$B98="Senior Sales Manager",Team!$A98,"")</f>
      </c>
      <c r="C98" t="str">
        <f>IF(Team!$B98="Sales Manager",Team!$A98,"")</f>
      </c>
    </row>
    <row r="99">
      <c r="A99" t="str">
        <f>IF(Team!$B99="Vice Director",Team!$A99,"")</f>
      </c>
      <c r="B99" t="str">
        <f>IF(Team!$B99="Senior Sales Manager",Team!$A99,"")</f>
      </c>
      <c r="C99" t="str">
        <f>IF(Team!$B99="Sales Manager",Team!$A99,"")</f>
      </c>
    </row>
    <row r="100">
      <c r="A100" t="str">
        <f>IF(Team!$B100="Vice Director",Team!$A100,"")</f>
      </c>
      <c r="B100" t="str">
        <f>IF(Team!$B100="Senior Sales Manager",Team!$A100,"")</f>
      </c>
      <c r="C100" t="str">
        <f>IF(Team!$B100="Sales Manager",Team!$A100,"")</f>
      </c>
    </row>
    <row r="101">
      <c r="A101" t="str">
        <f>IF(Team!$B101="Vice Director",Team!$A101,"")</f>
      </c>
      <c r="B101" t="str">
        <f>IF(Team!$B101="Senior Sales Manager",Team!$A101,"")</f>
      </c>
      <c r="C101" t="str">
        <f>IF(Team!$B101="Sales Manager",Team!$A101,"")</f>
      </c>
    </row>
    <row r="102">
      <c r="A102" t="str">
        <f>IF(Team!$B102="Vice Director",Team!$A102,"")</f>
      </c>
      <c r="B102" t="str">
        <f>IF(Team!$B102="Senior Sales Manager",Team!$A102,"")</f>
      </c>
      <c r="C102" t="str">
        <f>IF(Team!$B102="Sales Manager",Team!$A102,"")</f>
      </c>
    </row>
    <row r="103">
      <c r="A103" t="str">
        <f>IF(Team!$B103="Vice Director",Team!$A103,"")</f>
      </c>
      <c r="B103" t="str">
        <f>IF(Team!$B103="Senior Sales Manager",Team!$A103,"")</f>
      </c>
      <c r="C103" t="str">
        <f>IF(Team!$B103="Sales Manager",Team!$A103,"")</f>
      </c>
    </row>
    <row r="104">
      <c r="A104" t="str">
        <f>IF(Team!$B104="Vice Director",Team!$A104,"")</f>
      </c>
      <c r="B104" t="str">
        <f>IF(Team!$B104="Senior Sales Manager",Team!$A104,"")</f>
      </c>
      <c r="C104" t="str">
        <f>IF(Team!$B104="Sales Manager",Team!$A104,"")</f>
      </c>
    </row>
    <row r="105">
      <c r="A105" t="str">
        <f>IF(Team!$B105="Vice Director",Team!$A105,"")</f>
      </c>
      <c r="B105" t="str">
        <f>IF(Team!$B105="Senior Sales Manager",Team!$A105,"")</f>
      </c>
      <c r="C105" t="str">
        <f>IF(Team!$B105="Sales Manager",Team!$A105,"")</f>
      </c>
    </row>
    <row r="106">
      <c r="A106" t="str">
        <f>IF(Team!$B106="Vice Director",Team!$A106,"")</f>
      </c>
      <c r="B106" t="str">
        <f>IF(Team!$B106="Senior Sales Manager",Team!$A106,"")</f>
      </c>
      <c r="C106" t="str">
        <f>IF(Team!$B106="Sales Manager",Team!$A106,"")</f>
      </c>
    </row>
    <row r="107">
      <c r="A107" t="str">
        <f>IF(Team!$B107="Vice Director",Team!$A107,"")</f>
      </c>
      <c r="B107" t="str">
        <f>IF(Team!$B107="Senior Sales Manager",Team!$A107,"")</f>
      </c>
      <c r="C107" t="str">
        <f>IF(Team!$B107="Sales Manager",Team!$A107,"")</f>
      </c>
    </row>
    <row r="108">
      <c r="A108" t="str">
        <f>IF(Team!$B108="Vice Director",Team!$A108,"")</f>
      </c>
      <c r="B108" t="str">
        <f>IF(Team!$B108="Senior Sales Manager",Team!$A108,"")</f>
      </c>
      <c r="C108" t="str">
        <f>IF(Team!$B108="Sales Manager",Team!$A108,"")</f>
      </c>
    </row>
    <row r="109">
      <c r="A109" t="str">
        <f>IF(Team!$B109="Vice Director",Team!$A109,"")</f>
      </c>
      <c r="B109" t="str">
        <f>IF(Team!$B109="Senior Sales Manager",Team!$A109,"")</f>
      </c>
      <c r="C109" t="str">
        <f>IF(Team!$B109="Sales Manager",Team!$A109,"")</f>
      </c>
    </row>
    <row r="110">
      <c r="A110" t="str">
        <f>IF(Team!$B110="Vice Director",Team!$A110,"")</f>
      </c>
      <c r="B110" t="str">
        <f>IF(Team!$B110="Senior Sales Manager",Team!$A110,"")</f>
      </c>
      <c r="C110" t="str">
        <f>IF(Team!$B110="Sales Manager",Team!$A110,"")</f>
      </c>
    </row>
    <row r="111">
      <c r="A111" t="str">
        <f>IF(Team!$B111="Vice Director",Team!$A111,"")</f>
      </c>
      <c r="B111" t="str">
        <f>IF(Team!$B111="Senior Sales Manager",Team!$A111,"")</f>
      </c>
      <c r="C111" t="str">
        <f>IF(Team!$B111="Sales Manager",Team!$A111,"")</f>
      </c>
    </row>
    <row r="112">
      <c r="A112" t="str">
        <f>IF(Team!$B112="Vice Director",Team!$A112,"")</f>
      </c>
      <c r="B112" t="str">
        <f>IF(Team!$B112="Senior Sales Manager",Team!$A112,"")</f>
      </c>
      <c r="C112" t="str">
        <f>IF(Team!$B112="Sales Manager",Team!$A112,"")</f>
      </c>
    </row>
    <row r="113">
      <c r="A113" t="str">
        <f>IF(Team!$B113="Vice Director",Team!$A113,"")</f>
      </c>
      <c r="B113" t="str">
        <f>IF(Team!$B113="Senior Sales Manager",Team!$A113,"")</f>
      </c>
      <c r="C113" t="str">
        <f>IF(Team!$B113="Sales Manager",Team!$A113,"")</f>
      </c>
    </row>
    <row r="114">
      <c r="A114" t="str">
        <f>IF(Team!$B114="Vice Director",Team!$A114,"")</f>
      </c>
      <c r="B114" t="str">
        <f>IF(Team!$B114="Senior Sales Manager",Team!$A114,"")</f>
      </c>
      <c r="C114" t="str">
        <f>IF(Team!$B114="Sales Manager",Team!$A114,"")</f>
      </c>
    </row>
    <row r="115">
      <c r="A115" t="str">
        <f>IF(Team!$B115="Vice Director",Team!$A115,"")</f>
      </c>
      <c r="B115" t="str">
        <f>IF(Team!$B115="Senior Sales Manager",Team!$A115,"")</f>
      </c>
      <c r="C115" t="str">
        <f>IF(Team!$B115="Sales Manager",Team!$A115,"")</f>
      </c>
    </row>
    <row r="116">
      <c r="A116" t="str">
        <f>IF(Team!$B116="Vice Director",Team!$A116,"")</f>
      </c>
      <c r="B116" t="str">
        <f>IF(Team!$B116="Senior Sales Manager",Team!$A116,"")</f>
      </c>
      <c r="C116" t="str">
        <f>IF(Team!$B116="Sales Manager",Team!$A116,"")</f>
      </c>
    </row>
    <row r="117">
      <c r="A117" t="str">
        <f>IF(Team!$B117="Vice Director",Team!$A117,"")</f>
      </c>
      <c r="B117" t="str">
        <f>IF(Team!$B117="Senior Sales Manager",Team!$A117,"")</f>
      </c>
      <c r="C117" t="str">
        <f>IF(Team!$B117="Sales Manager",Team!$A117,"")</f>
      </c>
    </row>
    <row r="118">
      <c r="A118" t="str">
        <f>IF(Team!$B118="Vice Director",Team!$A118,"")</f>
      </c>
      <c r="B118" t="str">
        <f>IF(Team!$B118="Senior Sales Manager",Team!$A118,"")</f>
      </c>
      <c r="C118" t="str">
        <f>IF(Team!$B118="Sales Manager",Team!$A118,"")</f>
      </c>
    </row>
    <row r="119">
      <c r="A119" t="str">
        <f>IF(Team!$B119="Vice Director",Team!$A119,"")</f>
      </c>
      <c r="B119" t="str">
        <f>IF(Team!$B119="Senior Sales Manager",Team!$A119,"")</f>
      </c>
      <c r="C119" t="str">
        <f>IF(Team!$B119="Sales Manager",Team!$A119,"")</f>
      </c>
    </row>
    <row r="120">
      <c r="A120" t="str">
        <f>IF(Team!$B120="Vice Director",Team!$A120,"")</f>
      </c>
      <c r="B120" t="str">
        <f>IF(Team!$B120="Senior Sales Manager",Team!$A120,"")</f>
      </c>
      <c r="C120" t="str">
        <f>IF(Team!$B120="Sales Manager",Team!$A120,"")</f>
      </c>
    </row>
    <row r="121">
      <c r="A121" t="str">
        <f>IF(Team!$B121="Vice Director",Team!$A121,"")</f>
      </c>
      <c r="B121" t="str">
        <f>IF(Team!$B121="Senior Sales Manager",Team!$A121,"")</f>
      </c>
      <c r="C121" t="str">
        <f>IF(Team!$B121="Sales Manager",Team!$A121,"")</f>
      </c>
    </row>
    <row r="122">
      <c r="A122" t="str">
        <f>IF(Team!$B122="Vice Director",Team!$A122,"")</f>
      </c>
      <c r="B122" t="str">
        <f>IF(Team!$B122="Senior Sales Manager",Team!$A122,"")</f>
      </c>
      <c r="C122" t="str">
        <f>IF(Team!$B122="Sales Manager",Team!$A122,"")</f>
      </c>
    </row>
    <row r="123">
      <c r="A123" t="str">
        <f>IF(Team!$B123="Vice Director",Team!$A123,"")</f>
      </c>
      <c r="B123" t="str">
        <f>IF(Team!$B123="Senior Sales Manager",Team!$A123,"")</f>
      </c>
      <c r="C123" t="str">
        <f>IF(Team!$B123="Sales Manager",Team!$A123,"")</f>
      </c>
    </row>
    <row r="124">
      <c r="A124" t="str">
        <f>IF(Team!$B124="Vice Director",Team!$A124,"")</f>
      </c>
      <c r="B124" t="str">
        <f>IF(Team!$B124="Senior Sales Manager",Team!$A124,"")</f>
      </c>
      <c r="C124" t="str">
        <f>IF(Team!$B124="Sales Manager",Team!$A124,"")</f>
      </c>
    </row>
    <row r="125">
      <c r="A125" t="str">
        <f>IF(Team!$B125="Vice Director",Team!$A125,"")</f>
      </c>
      <c r="B125" t="str">
        <f>IF(Team!$B125="Senior Sales Manager",Team!$A125,"")</f>
      </c>
      <c r="C125" t="str">
        <f>IF(Team!$B125="Sales Manager",Team!$A125,"")</f>
      </c>
    </row>
    <row r="126">
      <c r="A126" t="str">
        <f>IF(Team!$B126="Vice Director",Team!$A126,"")</f>
      </c>
      <c r="B126" t="str">
        <f>IF(Team!$B126="Senior Sales Manager",Team!$A126,"")</f>
      </c>
      <c r="C126" t="str">
        <f>IF(Team!$B126="Sales Manager",Team!$A126,"")</f>
      </c>
    </row>
    <row r="127">
      <c r="A127" t="str">
        <f>IF(Team!$B127="Vice Director",Team!$A127,"")</f>
      </c>
      <c r="B127" t="str">
        <f>IF(Team!$B127="Senior Sales Manager",Team!$A127,"")</f>
      </c>
      <c r="C127" t="str">
        <f>IF(Team!$B127="Sales Manager",Team!$A127,"")</f>
      </c>
    </row>
    <row r="128">
      <c r="A128" t="str">
        <f>IF(Team!$B128="Vice Director",Team!$A128,"")</f>
      </c>
      <c r="B128" t="str">
        <f>IF(Team!$B128="Senior Sales Manager",Team!$A128,"")</f>
      </c>
      <c r="C128" t="str">
        <f>IF(Team!$B128="Sales Manager",Team!$A128,"")</f>
      </c>
    </row>
    <row r="129">
      <c r="A129" t="str">
        <f>IF(Team!$B129="Vice Director",Team!$A129,"")</f>
      </c>
      <c r="B129" t="str">
        <f>IF(Team!$B129="Senior Sales Manager",Team!$A129,"")</f>
      </c>
      <c r="C129" t="str">
        <f>IF(Team!$B129="Sales Manager",Team!$A129,"")</f>
      </c>
    </row>
    <row r="130">
      <c r="A130" t="str">
        <f>IF(Team!$B130="Vice Director",Team!$A130,"")</f>
      </c>
      <c r="B130" t="str">
        <f>IF(Team!$B130="Senior Sales Manager",Team!$A130,"")</f>
      </c>
      <c r="C130" t="str">
        <f>IF(Team!$B130="Sales Manager",Team!$A130,"")</f>
      </c>
    </row>
    <row r="131">
      <c r="A131" t="str">
        <f>IF(Team!$B131="Vice Director",Team!$A131,"")</f>
      </c>
      <c r="B131" t="str">
        <f>IF(Team!$B131="Senior Sales Manager",Team!$A131,"")</f>
      </c>
      <c r="C131" t="str">
        <f>IF(Team!$B131="Sales Manager",Team!$A131,"")</f>
      </c>
    </row>
    <row r="132">
      <c r="A132" t="str">
        <f>IF(Team!$B132="Vice Director",Team!$A132,"")</f>
      </c>
      <c r="B132" t="str">
        <f>IF(Team!$B132="Senior Sales Manager",Team!$A132,"")</f>
      </c>
      <c r="C132" t="str">
        <f>IF(Team!$B132="Sales Manager",Team!$A132,"")</f>
      </c>
    </row>
    <row r="133">
      <c r="A133" t="str">
        <f>IF(Team!$B133="Vice Director",Team!$A133,"")</f>
      </c>
      <c r="B133" t="str">
        <f>IF(Team!$B133="Senior Sales Manager",Team!$A133,"")</f>
      </c>
      <c r="C133" t="str">
        <f>IF(Team!$B133="Sales Manager",Team!$A133,"")</f>
      </c>
    </row>
    <row r="134">
      <c r="A134" t="str">
        <f>IF(Team!$B134="Vice Director",Team!$A134,"")</f>
      </c>
      <c r="B134" t="str">
        <f>IF(Team!$B134="Senior Sales Manager",Team!$A134,"")</f>
      </c>
      <c r="C134" t="str">
        <f>IF(Team!$B134="Sales Manager",Team!$A134,"")</f>
      </c>
    </row>
    <row r="135">
      <c r="A135" t="str">
        <f>IF(Team!$B135="Vice Director",Team!$A135,"")</f>
      </c>
      <c r="B135" t="str">
        <f>IF(Team!$B135="Senior Sales Manager",Team!$A135,"")</f>
      </c>
      <c r="C135" t="str">
        <f>IF(Team!$B135="Sales Manager",Team!$A135,"")</f>
      </c>
    </row>
    <row r="136">
      <c r="A136" t="str">
        <f>IF(Team!$B136="Vice Director",Team!$A136,"")</f>
      </c>
      <c r="B136" t="str">
        <f>IF(Team!$B136="Senior Sales Manager",Team!$A136,"")</f>
      </c>
      <c r="C136" t="str">
        <f>IF(Team!$B136="Sales Manager",Team!$A136,"")</f>
      </c>
    </row>
    <row r="137">
      <c r="A137" t="str">
        <f>IF(Team!$B137="Vice Director",Team!$A137,"")</f>
      </c>
      <c r="B137" t="str">
        <f>IF(Team!$B137="Senior Sales Manager",Team!$A137,"")</f>
      </c>
      <c r="C137" t="str">
        <f>IF(Team!$B137="Sales Manager",Team!$A137,"")</f>
      </c>
    </row>
    <row r="138">
      <c r="A138" t="str">
        <f>IF(Team!$B138="Vice Director",Team!$A138,"")</f>
      </c>
      <c r="B138" t="str">
        <f>IF(Team!$B138="Senior Sales Manager",Team!$A138,"")</f>
      </c>
      <c r="C138" t="str">
        <f>IF(Team!$B138="Sales Manager",Team!$A138,"")</f>
      </c>
    </row>
    <row r="139">
      <c r="A139" t="str">
        <f>IF(Team!$B139="Vice Director",Team!$A139,"")</f>
      </c>
      <c r="B139" t="str">
        <f>IF(Team!$B139="Senior Sales Manager",Team!$A139,"")</f>
      </c>
      <c r="C139" t="str">
        <f>IF(Team!$B139="Sales Manager",Team!$A139,"")</f>
      </c>
    </row>
    <row r="140">
      <c r="A140" t="str">
        <f>IF(Team!$B140="Vice Director",Team!$A140,"")</f>
      </c>
      <c r="B140" t="str">
        <f>IF(Team!$B140="Senior Sales Manager",Team!$A140,"")</f>
      </c>
      <c r="C140" t="str">
        <f>IF(Team!$B140="Sales Manager",Team!$A140,"")</f>
      </c>
    </row>
    <row r="141">
      <c r="A141" t="str">
        <f>IF(Team!$B141="Vice Director",Team!$A141,"")</f>
      </c>
      <c r="B141" t="str">
        <f>IF(Team!$B141="Senior Sales Manager",Team!$A141,"")</f>
      </c>
      <c r="C141" t="str">
        <f>IF(Team!$B141="Sales Manager",Team!$A141,"")</f>
      </c>
    </row>
    <row r="142">
      <c r="A142" t="str">
        <f>IF(Team!$B142="Vice Director",Team!$A142,"")</f>
      </c>
      <c r="B142" t="str">
        <f>IF(Team!$B142="Senior Sales Manager",Team!$A142,"")</f>
      </c>
      <c r="C142" t="str">
        <f>IF(Team!$B142="Sales Manager",Team!$A142,"")</f>
      </c>
    </row>
    <row r="143">
      <c r="A143" t="str">
        <f>IF(Team!$B143="Vice Director",Team!$A143,"")</f>
      </c>
      <c r="B143" t="str">
        <f>IF(Team!$B143="Senior Sales Manager",Team!$A143,"")</f>
      </c>
      <c r="C143" t="str">
        <f>IF(Team!$B143="Sales Manager",Team!$A143,"")</f>
      </c>
    </row>
    <row r="144">
      <c r="A144" t="str">
        <f>IF(Team!$B144="Vice Director",Team!$A144,"")</f>
      </c>
      <c r="B144" t="str">
        <f>IF(Team!$B144="Senior Sales Manager",Team!$A144,"")</f>
      </c>
      <c r="C144" t="str">
        <f>IF(Team!$B144="Sales Manager",Team!$A144,"")</f>
      </c>
    </row>
    <row r="145">
      <c r="A145" t="str">
        <f>IF(Team!$B145="Vice Director",Team!$A145,"")</f>
      </c>
      <c r="B145" t="str">
        <f>IF(Team!$B145="Senior Sales Manager",Team!$A145,"")</f>
      </c>
      <c r="C145" t="str">
        <f>IF(Team!$B145="Sales Manager",Team!$A145,"")</f>
      </c>
    </row>
    <row r="146">
      <c r="A146" t="str">
        <f>IF(Team!$B146="Vice Director",Team!$A146,"")</f>
      </c>
      <c r="B146" t="str">
        <f>IF(Team!$B146="Senior Sales Manager",Team!$A146,"")</f>
      </c>
      <c r="C146" t="str">
        <f>IF(Team!$B146="Sales Manager",Team!$A146,"")</f>
      </c>
    </row>
    <row r="147">
      <c r="A147" t="str">
        <f>IF(Team!$B147="Vice Director",Team!$A147,"")</f>
      </c>
      <c r="B147" t="str">
        <f>IF(Team!$B147="Senior Sales Manager",Team!$A147,"")</f>
      </c>
      <c r="C147" t="str">
        <f>IF(Team!$B147="Sales Manager",Team!$A147,"")</f>
      </c>
    </row>
    <row r="148">
      <c r="A148" t="str">
        <f>IF(Team!$B148="Vice Director",Team!$A148,"")</f>
      </c>
      <c r="B148" t="str">
        <f>IF(Team!$B148="Senior Sales Manager",Team!$A148,"")</f>
      </c>
      <c r="C148" t="str">
        <f>IF(Team!$B148="Sales Manager",Team!$A148,"")</f>
      </c>
    </row>
    <row r="149">
      <c r="A149" t="str">
        <f>IF(Team!$B149="Vice Director",Team!$A149,"")</f>
      </c>
      <c r="B149" t="str">
        <f>IF(Team!$B149="Senior Sales Manager",Team!$A149,"")</f>
      </c>
      <c r="C149" t="str">
        <f>IF(Team!$B149="Sales Manager",Team!$A149,"")</f>
      </c>
    </row>
    <row r="150">
      <c r="A150" t="str">
        <f>IF(Team!$B150="Vice Director",Team!$A150,"")</f>
      </c>
      <c r="B150" t="str">
        <f>IF(Team!$B150="Senior Sales Manager",Team!$A150,"")</f>
      </c>
      <c r="C150" t="str">
        <f>IF(Team!$B150="Sales Manager",Team!$A150,"")</f>
      </c>
    </row>
    <row r="151">
      <c r="A151" t="str">
        <f>IF(Team!$B151="Vice Director",Team!$A151,"")</f>
      </c>
      <c r="B151" t="str">
        <f>IF(Team!$B151="Senior Sales Manager",Team!$A151,"")</f>
      </c>
      <c r="C151" t="str">
        <f>IF(Team!$B151="Sales Manager",Team!$A151,"")</f>
      </c>
    </row>
    <row r="152">
      <c r="A152" t="str">
        <f>IF(Team!$B152="Vice Director",Team!$A152,"")</f>
      </c>
      <c r="B152" t="str">
        <f>IF(Team!$B152="Senior Sales Manager",Team!$A152,"")</f>
      </c>
      <c r="C152" t="str">
        <f>IF(Team!$B152="Sales Manager",Team!$A152,"")</f>
      </c>
    </row>
    <row r="153">
      <c r="A153" t="str">
        <f>IF(Team!$B153="Vice Director",Team!$A153,"")</f>
      </c>
      <c r="B153" t="str">
        <f>IF(Team!$B153="Senior Sales Manager",Team!$A153,"")</f>
      </c>
      <c r="C153" t="str">
        <f>IF(Team!$B153="Sales Manager",Team!$A153,"")</f>
      </c>
    </row>
    <row r="154">
      <c r="A154" t="str">
        <f>IF(Team!$B154="Vice Director",Team!$A154,"")</f>
      </c>
      <c r="B154" t="str">
        <f>IF(Team!$B154="Senior Sales Manager",Team!$A154,"")</f>
      </c>
      <c r="C154" t="str">
        <f>IF(Team!$B154="Sales Manager",Team!$A154,"")</f>
      </c>
    </row>
    <row r="155">
      <c r="A155" t="str">
        <f>IF(Team!$B155="Vice Director",Team!$A155,"")</f>
      </c>
      <c r="B155" t="str">
        <f>IF(Team!$B155="Senior Sales Manager",Team!$A155,"")</f>
      </c>
      <c r="C155" t="str">
        <f>IF(Team!$B155="Sales Manager",Team!$A155,"")</f>
      </c>
    </row>
    <row r="156">
      <c r="A156" t="str">
        <f>IF(Team!$B156="Vice Director",Team!$A156,"")</f>
      </c>
      <c r="B156" t="str">
        <f>IF(Team!$B156="Senior Sales Manager",Team!$A156,"")</f>
      </c>
      <c r="C156" t="str">
        <f>IF(Team!$B156="Sales Manager",Team!$A156,"")</f>
      </c>
    </row>
    <row r="157">
      <c r="A157" t="str">
        <f>IF(Team!$B157="Vice Director",Team!$A157,"")</f>
      </c>
      <c r="B157" t="str">
        <f>IF(Team!$B157="Senior Sales Manager",Team!$A157,"")</f>
      </c>
      <c r="C157" t="str">
        <f>IF(Team!$B157="Sales Manager",Team!$A157,"")</f>
      </c>
    </row>
    <row r="158">
      <c r="A158" t="str">
        <f>IF(Team!$B158="Vice Director",Team!$A158,"")</f>
      </c>
      <c r="B158" t="str">
        <f>IF(Team!$B158="Senior Sales Manager",Team!$A158,"")</f>
      </c>
      <c r="C158" t="str">
        <f>IF(Team!$B158="Sales Manager",Team!$A158,"")</f>
      </c>
    </row>
    <row r="159">
      <c r="A159" t="str">
        <f>IF(Team!$B159="Vice Director",Team!$A159,"")</f>
      </c>
      <c r="B159" t="str">
        <f>IF(Team!$B159="Senior Sales Manager",Team!$A159,"")</f>
      </c>
      <c r="C159" t="str">
        <f>IF(Team!$B159="Sales Manager",Team!$A159,"")</f>
      </c>
    </row>
    <row r="160">
      <c r="A160" t="str">
        <f>IF(Team!$B160="Vice Director",Team!$A160,"")</f>
      </c>
      <c r="B160" t="str">
        <f>IF(Team!$B160="Senior Sales Manager",Team!$A160,"")</f>
      </c>
      <c r="C160" t="str">
        <f>IF(Team!$B160="Sales Manager",Team!$A160,"")</f>
      </c>
    </row>
    <row r="161">
      <c r="A161" t="str">
        <f>IF(Team!$B161="Vice Director",Team!$A161,"")</f>
      </c>
      <c r="B161" t="str">
        <f>IF(Team!$B161="Senior Sales Manager",Team!$A161,"")</f>
      </c>
      <c r="C161" t="str">
        <f>IF(Team!$B161="Sales Manager",Team!$A161,"")</f>
      </c>
    </row>
    <row r="162">
      <c r="A162" t="str">
        <f>IF(Team!$B162="Vice Director",Team!$A162,"")</f>
      </c>
      <c r="B162" t="str">
        <f>IF(Team!$B162="Senior Sales Manager",Team!$A162,"")</f>
      </c>
      <c r="C162" t="str">
        <f>IF(Team!$B162="Sales Manager",Team!$A162,"")</f>
      </c>
    </row>
    <row r="163">
      <c r="A163" t="str">
        <f>IF(Team!$B163="Vice Director",Team!$A163,"")</f>
      </c>
      <c r="B163" t="str">
        <f>IF(Team!$B163="Senior Sales Manager",Team!$A163,"")</f>
      </c>
      <c r="C163" t="str">
        <f>IF(Team!$B163="Sales Manager",Team!$A163,"")</f>
      </c>
    </row>
    <row r="164">
      <c r="A164" t="str">
        <f>IF(Team!$B164="Vice Director",Team!$A164,"")</f>
      </c>
      <c r="B164" t="str">
        <f>IF(Team!$B164="Senior Sales Manager",Team!$A164,"")</f>
      </c>
      <c r="C164" t="str">
        <f>IF(Team!$B164="Sales Manager",Team!$A164,"")</f>
      </c>
    </row>
    <row r="165">
      <c r="A165" t="str">
        <f>IF(Team!$B165="Vice Director",Team!$A165,"")</f>
      </c>
      <c r="B165" t="str">
        <f>IF(Team!$B165="Senior Sales Manager",Team!$A165,"")</f>
      </c>
      <c r="C165" t="str">
        <f>IF(Team!$B165="Sales Manager",Team!$A165,"")</f>
      </c>
    </row>
    <row r="166">
      <c r="A166" t="str">
        <f>IF(Team!$B166="Vice Director",Team!$A166,"")</f>
      </c>
      <c r="B166" t="str">
        <f>IF(Team!$B166="Senior Sales Manager",Team!$A166,"")</f>
      </c>
      <c r="C166" t="str">
        <f>IF(Team!$B166="Sales Manager",Team!$A166,"")</f>
      </c>
    </row>
    <row r="167">
      <c r="A167" t="str">
        <f>IF(Team!$B167="Vice Director",Team!$A167,"")</f>
      </c>
      <c r="B167" t="str">
        <f>IF(Team!$B167="Senior Sales Manager",Team!$A167,"")</f>
      </c>
      <c r="C167" t="str">
        <f>IF(Team!$B167="Sales Manager",Team!$A167,"")</f>
      </c>
    </row>
    <row r="168">
      <c r="A168" t="str">
        <f>IF(Team!$B168="Vice Director",Team!$A168,"")</f>
      </c>
      <c r="B168" t="str">
        <f>IF(Team!$B168="Senior Sales Manager",Team!$A168,"")</f>
      </c>
      <c r="C168" t="str">
        <f>IF(Team!$B168="Sales Manager",Team!$A168,"")</f>
      </c>
    </row>
    <row r="169">
      <c r="A169" t="str">
        <f>IF(Team!$B169="Vice Director",Team!$A169,"")</f>
      </c>
      <c r="B169" t="str">
        <f>IF(Team!$B169="Senior Sales Manager",Team!$A169,"")</f>
      </c>
      <c r="C169" t="str">
        <f>IF(Team!$B169="Sales Manager",Team!$A169,"")</f>
      </c>
    </row>
    <row r="170">
      <c r="A170" t="str">
        <f>IF(Team!$B170="Vice Director",Team!$A170,"")</f>
      </c>
      <c r="B170" t="str">
        <f>IF(Team!$B170="Senior Sales Manager",Team!$A170,"")</f>
      </c>
      <c r="C170" t="str">
        <f>IF(Team!$B170="Sales Manager",Team!$A170,"")</f>
      </c>
    </row>
    <row r="171">
      <c r="A171" t="str">
        <f>IF(Team!$B171="Vice Director",Team!$A171,"")</f>
      </c>
      <c r="B171" t="str">
        <f>IF(Team!$B171="Senior Sales Manager",Team!$A171,"")</f>
      </c>
      <c r="C171" t="str">
        <f>IF(Team!$B171="Sales Manager",Team!$A171,"")</f>
      </c>
    </row>
    <row r="172">
      <c r="A172" t="str">
        <f>IF(Team!$B172="Vice Director",Team!$A172,"")</f>
      </c>
      <c r="B172" t="str">
        <f>IF(Team!$B172="Senior Sales Manager",Team!$A172,"")</f>
      </c>
      <c r="C172" t="str">
        <f>IF(Team!$B172="Sales Manager",Team!$A172,"")</f>
      </c>
    </row>
    <row r="173">
      <c r="A173" t="str">
        <f>IF(Team!$B173="Vice Director",Team!$A173,"")</f>
      </c>
      <c r="B173" t="str">
        <f>IF(Team!$B173="Senior Sales Manager",Team!$A173,"")</f>
      </c>
      <c r="C173" t="str">
        <f>IF(Team!$B173="Sales Manager",Team!$A173,"")</f>
      </c>
    </row>
    <row r="174">
      <c r="A174" t="str">
        <f>IF(Team!$B174="Vice Director",Team!$A174,"")</f>
      </c>
      <c r="B174" t="str">
        <f>IF(Team!$B174="Senior Sales Manager",Team!$A174,"")</f>
      </c>
      <c r="C174" t="str">
        <f>IF(Team!$B174="Sales Manager",Team!$A174,"")</f>
      </c>
    </row>
    <row r="175">
      <c r="A175" t="str">
        <f>IF(Team!$B175="Vice Director",Team!$A175,"")</f>
      </c>
      <c r="B175" t="str">
        <f>IF(Team!$B175="Senior Sales Manager",Team!$A175,"")</f>
      </c>
      <c r="C175" t="str">
        <f>IF(Team!$B175="Sales Manager",Team!$A175,"")</f>
      </c>
    </row>
    <row r="176">
      <c r="A176" t="str">
        <f>IF(Team!$B176="Vice Director",Team!$A176,"")</f>
      </c>
      <c r="B176" t="str">
        <f>IF(Team!$B176="Senior Sales Manager",Team!$A176,"")</f>
      </c>
      <c r="C176" t="str">
        <f>IF(Team!$B176="Sales Manager",Team!$A176,"")</f>
      </c>
    </row>
    <row r="177">
      <c r="A177" t="str">
        <f>IF(Team!$B177="Vice Director",Team!$A177,"")</f>
      </c>
      <c r="B177" t="str">
        <f>IF(Team!$B177="Senior Sales Manager",Team!$A177,"")</f>
      </c>
      <c r="C177" t="str">
        <f>IF(Team!$B177="Sales Manager",Team!$A177,"")</f>
      </c>
    </row>
    <row r="178">
      <c r="A178" t="str">
        <f>IF(Team!$B178="Vice Director",Team!$A178,"")</f>
      </c>
      <c r="B178" t="str">
        <f>IF(Team!$B178="Senior Sales Manager",Team!$A178,"")</f>
      </c>
      <c r="C178" t="str">
        <f>IF(Team!$B178="Sales Manager",Team!$A178,"")</f>
      </c>
    </row>
    <row r="179">
      <c r="A179" t="str">
        <f>IF(Team!$B179="Vice Director",Team!$A179,"")</f>
      </c>
      <c r="B179" t="str">
        <f>IF(Team!$B179="Senior Sales Manager",Team!$A179,"")</f>
      </c>
      <c r="C179" t="str">
        <f>IF(Team!$B179="Sales Manager",Team!$A179,"")</f>
      </c>
    </row>
    <row r="180">
      <c r="A180" t="str">
        <f>IF(Team!$B180="Vice Director",Team!$A180,"")</f>
      </c>
      <c r="B180" t="str">
        <f>IF(Team!$B180="Senior Sales Manager",Team!$A180,"")</f>
      </c>
      <c r="C180" t="str">
        <f>IF(Team!$B180="Sales Manager",Team!$A180,"")</f>
      </c>
    </row>
    <row r="181">
      <c r="A181" t="str">
        <f>IF(Team!$B181="Vice Director",Team!$A181,"")</f>
      </c>
      <c r="B181" t="str">
        <f>IF(Team!$B181="Senior Sales Manager",Team!$A181,"")</f>
      </c>
      <c r="C181" t="str">
        <f>IF(Team!$B181="Sales Manager",Team!$A181,"")</f>
      </c>
    </row>
    <row r="182">
      <c r="A182" t="str">
        <f>IF(Team!$B182="Vice Director",Team!$A182,"")</f>
      </c>
      <c r="B182" t="str">
        <f>IF(Team!$B182="Senior Sales Manager",Team!$A182,"")</f>
      </c>
      <c r="C182" t="str">
        <f>IF(Team!$B182="Sales Manager",Team!$A182,"")</f>
      </c>
    </row>
    <row r="183">
      <c r="A183" t="str">
        <f>IF(Team!$B183="Vice Director",Team!$A183,"")</f>
      </c>
      <c r="B183" t="str">
        <f>IF(Team!$B183="Senior Sales Manager",Team!$A183,"")</f>
      </c>
      <c r="C183" t="str">
        <f>IF(Team!$B183="Sales Manager",Team!$A183,"")</f>
      </c>
    </row>
    <row r="184">
      <c r="A184" t="str">
        <f>IF(Team!$B184="Vice Director",Team!$A184,"")</f>
      </c>
      <c r="B184" t="str">
        <f>IF(Team!$B184="Senior Sales Manager",Team!$A184,"")</f>
      </c>
      <c r="C184" t="str">
        <f>IF(Team!$B184="Sales Manager",Team!$A184,"")</f>
      </c>
    </row>
    <row r="185">
      <c r="A185" t="str">
        <f>IF(Team!$B185="Vice Director",Team!$A185,"")</f>
      </c>
      <c r="B185" t="str">
        <f>IF(Team!$B185="Senior Sales Manager",Team!$A185,"")</f>
      </c>
      <c r="C185" t="str">
        <f>IF(Team!$B185="Sales Manager",Team!$A185,"")</f>
      </c>
    </row>
    <row r="186">
      <c r="A186" t="str">
        <f>IF(Team!$B186="Vice Director",Team!$A186,"")</f>
      </c>
      <c r="B186" t="str">
        <f>IF(Team!$B186="Senior Sales Manager",Team!$A186,"")</f>
      </c>
      <c r="C186" t="str">
        <f>IF(Team!$B186="Sales Manager",Team!$A186,"")</f>
      </c>
    </row>
    <row r="187">
      <c r="A187" t="str">
        <f>IF(Team!$B187="Vice Director",Team!$A187,"")</f>
      </c>
      <c r="B187" t="str">
        <f>IF(Team!$B187="Senior Sales Manager",Team!$A187,"")</f>
      </c>
      <c r="C187" t="str">
        <f>IF(Team!$B187="Sales Manager",Team!$A187,"")</f>
      </c>
    </row>
    <row r="188">
      <c r="A188" t="str">
        <f>IF(Team!$B188="Vice Director",Team!$A188,"")</f>
      </c>
      <c r="B188" t="str">
        <f>IF(Team!$B188="Senior Sales Manager",Team!$A188,"")</f>
      </c>
      <c r="C188" t="str">
        <f>IF(Team!$B188="Sales Manager",Team!$A188,"")</f>
      </c>
    </row>
    <row r="189">
      <c r="A189" t="str">
        <f>IF(Team!$B189="Vice Director",Team!$A189,"")</f>
      </c>
      <c r="B189" t="str">
        <f>IF(Team!$B189="Senior Sales Manager",Team!$A189,"")</f>
      </c>
      <c r="C189" t="str">
        <f>IF(Team!$B189="Sales Manager",Team!$A189,"")</f>
      </c>
    </row>
    <row r="190">
      <c r="A190" t="str">
        <f>IF(Team!$B190="Vice Director",Team!$A190,"")</f>
      </c>
      <c r="B190" t="str">
        <f>IF(Team!$B190="Senior Sales Manager",Team!$A190,"")</f>
      </c>
      <c r="C190" t="str">
        <f>IF(Team!$B190="Sales Manager",Team!$A190,"")</f>
      </c>
    </row>
    <row r="191">
      <c r="A191" t="str">
        <f>IF(Team!$B191="Vice Director",Team!$A191,"")</f>
      </c>
      <c r="B191" t="str">
        <f>IF(Team!$B191="Senior Sales Manager",Team!$A191,"")</f>
      </c>
      <c r="C191" t="str">
        <f>IF(Team!$B191="Sales Manager",Team!$A191,"")</f>
      </c>
    </row>
    <row r="192">
      <c r="A192" t="str">
        <f>IF(Team!$B192="Vice Director",Team!$A192,"")</f>
      </c>
      <c r="B192" t="str">
        <f>IF(Team!$B192="Senior Sales Manager",Team!$A192,"")</f>
      </c>
      <c r="C192" t="str">
        <f>IF(Team!$B192="Sales Manager",Team!$A192,"")</f>
      </c>
    </row>
    <row r="193">
      <c r="A193" t="str">
        <f>IF(Team!$B193="Vice Director",Team!$A193,"")</f>
      </c>
      <c r="B193" t="str">
        <f>IF(Team!$B193="Senior Sales Manager",Team!$A193,"")</f>
      </c>
      <c r="C193" t="str">
        <f>IF(Team!$B193="Sales Manager",Team!$A193,"")</f>
      </c>
    </row>
    <row r="194">
      <c r="A194" t="str">
        <f>IF(Team!$B194="Vice Director",Team!$A194,"")</f>
      </c>
      <c r="B194" t="str">
        <f>IF(Team!$B194="Senior Sales Manager",Team!$A194,"")</f>
      </c>
      <c r="C194" t="str">
        <f>IF(Team!$B194="Sales Manager",Team!$A194,"")</f>
      </c>
    </row>
    <row r="195">
      <c r="A195" t="str">
        <f>IF(Team!$B195="Vice Director",Team!$A195,"")</f>
      </c>
      <c r="B195" t="str">
        <f>IF(Team!$B195="Senior Sales Manager",Team!$A195,"")</f>
      </c>
      <c r="C195" t="str">
        <f>IF(Team!$B195="Sales Manager",Team!$A195,"")</f>
      </c>
    </row>
    <row r="196">
      <c r="A196" t="str">
        <f>IF(Team!$B196="Vice Director",Team!$A196,"")</f>
      </c>
      <c r="B196" t="str">
        <f>IF(Team!$B196="Senior Sales Manager",Team!$A196,"")</f>
      </c>
      <c r="C196" t="str">
        <f>IF(Team!$B196="Sales Manager",Team!$A196,"")</f>
      </c>
    </row>
    <row r="197">
      <c r="A197" t="str">
        <f>IF(Team!$B197="Vice Director",Team!$A197,"")</f>
      </c>
      <c r="B197" t="str">
        <f>IF(Team!$B197="Senior Sales Manager",Team!$A197,"")</f>
      </c>
      <c r="C197" t="str">
        <f>IF(Team!$B197="Sales Manager",Team!$A197,"")</f>
      </c>
    </row>
    <row r="198">
      <c r="A198" t="str">
        <f>IF(Team!$B198="Vice Director",Team!$A198,"")</f>
      </c>
      <c r="B198" t="str">
        <f>IF(Team!$B198="Senior Sales Manager",Team!$A198,"")</f>
      </c>
      <c r="C198" t="str">
        <f>IF(Team!$B198="Sales Manager",Team!$A198,"")</f>
      </c>
    </row>
    <row r="199">
      <c r="A199" t="str">
        <f>IF(Team!$B199="Vice Director",Team!$A199,"")</f>
      </c>
      <c r="B199" t="str">
        <f>IF(Team!$B199="Senior Sales Manager",Team!$A199,"")</f>
      </c>
      <c r="C199" t="str">
        <f>IF(Team!$B199="Sales Manager",Team!$A199,"")</f>
      </c>
    </row>
    <row r="200">
      <c r="A200" t="str">
        <f>IF(Team!$B200="Vice Director",Team!$A200,"")</f>
      </c>
      <c r="B200" t="str">
        <f>IF(Team!$B200="Senior Sales Manager",Team!$A200,"")</f>
      </c>
      <c r="C200" t="str">
        <f>IF(Team!$B200="Sales Manager",Team!$A200,"")</f>
      </c>
    </row>
    <row r="201">
      <c r="A201" t="str">
        <f>IF(Team!$B201="Vice Director",Team!$A201,"")</f>
      </c>
      <c r="B201" t="str">
        <f>IF(Team!$B201="Senior Sales Manager",Team!$A201,"")</f>
      </c>
      <c r="C201" t="str">
        <f>IF(Team!$B201="Sales Manager",Team!$A201,"")</f>
      </c>
    </row>
    <row r="202">
      <c r="A202" t="str">
        <f>IF(Team!$B202="Vice Director",Team!$A202,"")</f>
      </c>
      <c r="B202" t="str">
        <f>IF(Team!$B202="Senior Sales Manager",Team!$A202,"")</f>
      </c>
      <c r="C202" t="str">
        <f>IF(Team!$B202="Sales Manager",Team!$A202,"")</f>
      </c>
    </row>
    <row r="203">
      <c r="A203" t="str">
        <f>IF(Team!$B203="Vice Director",Team!$A203,"")</f>
      </c>
      <c r="B203" t="str">
        <f>IF(Team!$B203="Senior Sales Manager",Team!$A203,"")</f>
      </c>
      <c r="C203" t="str">
        <f>IF(Team!$B203="Sales Manager",Team!$A203,"")</f>
      </c>
    </row>
    <row r="204">
      <c r="A204" t="str">
        <f>IF(Team!$B204="Vice Director",Team!$A204,"")</f>
      </c>
      <c r="B204" t="str">
        <f>IF(Team!$B204="Senior Sales Manager",Team!$A204,"")</f>
      </c>
      <c r="C204" t="str">
        <f>IF(Team!$B204="Sales Manager",Team!$A204,"")</f>
      </c>
    </row>
    <row r="205">
      <c r="A205" t="str">
        <f>IF(Team!$B205="Vice Director",Team!$A205,"")</f>
      </c>
      <c r="B205" t="str">
        <f>IF(Team!$B205="Senior Sales Manager",Team!$A205,"")</f>
      </c>
      <c r="C205" t="str">
        <f>IF(Team!$B205="Sales Manager",Team!$A205,"")</f>
      </c>
    </row>
    <row r="206">
      <c r="A206" t="str">
        <f>IF(Team!$B206="Vice Director",Team!$A206,"")</f>
      </c>
      <c r="B206" t="str">
        <f>IF(Team!$B206="Senior Sales Manager",Team!$A206,"")</f>
      </c>
      <c r="C206" t="str">
        <f>IF(Team!$B206="Sales Manager",Team!$A206,"")</f>
      </c>
    </row>
    <row r="207">
      <c r="A207" t="str">
        <f>IF(Team!$B207="Vice Director",Team!$A207,"")</f>
      </c>
      <c r="B207" t="str">
        <f>IF(Team!$B207="Senior Sales Manager",Team!$A207,"")</f>
      </c>
      <c r="C207" t="str">
        <f>IF(Team!$B207="Sales Manager",Team!$A207,"")</f>
      </c>
    </row>
    <row r="208">
      <c r="A208" t="str">
        <f>IF(Team!$B208="Vice Director",Team!$A208,"")</f>
      </c>
      <c r="B208" t="str">
        <f>IF(Team!$B208="Senior Sales Manager",Team!$A208,"")</f>
      </c>
      <c r="C208" t="str">
        <f>IF(Team!$B208="Sales Manager",Team!$A208,"")</f>
      </c>
    </row>
    <row r="209">
      <c r="A209" t="str">
        <f>IF(Team!$B209="Vice Director",Team!$A209,"")</f>
      </c>
      <c r="B209" t="str">
        <f>IF(Team!$B209="Senior Sales Manager",Team!$A209,"")</f>
      </c>
      <c r="C209" t="str">
        <f>IF(Team!$B209="Sales Manager",Team!$A209,"")</f>
      </c>
    </row>
    <row r="210">
      <c r="A210" t="str">
        <f>IF(Team!$B210="Vice Director",Team!$A210,"")</f>
      </c>
      <c r="B210" t="str">
        <f>IF(Team!$B210="Senior Sales Manager",Team!$A210,"")</f>
      </c>
      <c r="C210" t="str">
        <f>IF(Team!$B210="Sales Manager",Team!$A210,"")</f>
      </c>
    </row>
    <row r="211">
      <c r="A211" t="str">
        <f>IF(Team!$B211="Vice Director",Team!$A211,"")</f>
      </c>
      <c r="B211" t="str">
        <f>IF(Team!$B211="Senior Sales Manager",Team!$A211,"")</f>
      </c>
      <c r="C211" t="str">
        <f>IF(Team!$B211="Sales Manager",Team!$A211,"")</f>
      </c>
    </row>
    <row r="212">
      <c r="A212" t="str">
        <f>IF(Team!$B212="Vice Director",Team!$A212,"")</f>
      </c>
      <c r="B212" t="str">
        <f>IF(Team!$B212="Senior Sales Manager",Team!$A212,"")</f>
      </c>
      <c r="C212" t="str">
        <f>IF(Team!$B212="Sales Manager",Team!$A212,"")</f>
      </c>
    </row>
    <row r="213">
      <c r="A213" t="str">
        <f>IF(Team!$B213="Vice Director",Team!$A213,"")</f>
      </c>
      <c r="B213" t="str">
        <f>IF(Team!$B213="Senior Sales Manager",Team!$A213,"")</f>
      </c>
      <c r="C213" t="str">
        <f>IF(Team!$B213="Sales Manager",Team!$A213,"")</f>
      </c>
    </row>
    <row r="214">
      <c r="A214" t="str">
        <f>IF(Team!$B214="Vice Director",Team!$A214,"")</f>
      </c>
      <c r="B214" t="str">
        <f>IF(Team!$B214="Senior Sales Manager",Team!$A214,"")</f>
      </c>
      <c r="C214" t="str">
        <f>IF(Team!$B214="Sales Manager",Team!$A214,"")</f>
      </c>
    </row>
    <row r="215">
      <c r="A215" t="str">
        <f>IF(Team!$B215="Vice Director",Team!$A215,"")</f>
      </c>
      <c r="B215" t="str">
        <f>IF(Team!$B215="Senior Sales Manager",Team!$A215,"")</f>
      </c>
      <c r="C215" t="str">
        <f>IF(Team!$B215="Sales Manager",Team!$A215,"")</f>
      </c>
    </row>
    <row r="216">
      <c r="A216" t="str">
        <f>IF(Team!$B216="Vice Director",Team!$A216,"")</f>
      </c>
      <c r="B216" t="str">
        <f>IF(Team!$B216="Senior Sales Manager",Team!$A216,"")</f>
      </c>
      <c r="C216" t="str">
        <f>IF(Team!$B216="Sales Manager",Team!$A216,"")</f>
      </c>
    </row>
    <row r="217">
      <c r="A217" t="str">
        <f>IF(Team!$B217="Vice Director",Team!$A217,"")</f>
      </c>
      <c r="B217" t="str">
        <f>IF(Team!$B217="Senior Sales Manager",Team!$A217,"")</f>
      </c>
      <c r="C217" t="str">
        <f>IF(Team!$B217="Sales Manager",Team!$A217,"")</f>
      </c>
    </row>
    <row r="218">
      <c r="A218" t="str">
        <f>IF(Team!$B218="Vice Director",Team!$A218,"")</f>
      </c>
      <c r="B218" t="str">
        <f>IF(Team!$B218="Senior Sales Manager",Team!$A218,"")</f>
      </c>
      <c r="C218" t="str">
        <f>IF(Team!$B218="Sales Manager",Team!$A218,"")</f>
      </c>
    </row>
    <row r="219">
      <c r="A219" t="str">
        <f>IF(Team!$B219="Vice Director",Team!$A219,"")</f>
      </c>
      <c r="B219" t="str">
        <f>IF(Team!$B219="Senior Sales Manager",Team!$A219,"")</f>
      </c>
      <c r="C219" t="str">
        <f>IF(Team!$B219="Sales Manager",Team!$A219,"")</f>
      </c>
    </row>
    <row r="220">
      <c r="A220" t="str">
        <f>IF(Team!$B220="Vice Director",Team!$A220,"")</f>
      </c>
      <c r="B220" t="str">
        <f>IF(Team!$B220="Senior Sales Manager",Team!$A220,"")</f>
      </c>
      <c r="C220" t="str">
        <f>IF(Team!$B220="Sales Manager",Team!$A220,"")</f>
      </c>
    </row>
    <row r="221">
      <c r="A221" t="str">
        <f>IF(Team!$B221="Vice Director",Team!$A221,"")</f>
      </c>
      <c r="B221" t="str">
        <f>IF(Team!$B221="Senior Sales Manager",Team!$A221,"")</f>
      </c>
      <c r="C221" t="str">
        <f>IF(Team!$B221="Sales Manager",Team!$A221,"")</f>
      </c>
    </row>
    <row r="222">
      <c r="A222" t="str">
        <f>IF(Team!$B222="Vice Director",Team!$A222,"")</f>
      </c>
      <c r="B222" t="str">
        <f>IF(Team!$B222="Senior Sales Manager",Team!$A222,"")</f>
      </c>
      <c r="C222" t="str">
        <f>IF(Team!$B222="Sales Manager",Team!$A222,"")</f>
      </c>
    </row>
    <row r="223">
      <c r="A223" t="str">
        <f>IF(Team!$B223="Vice Director",Team!$A223,"")</f>
      </c>
      <c r="B223" t="str">
        <f>IF(Team!$B223="Senior Sales Manager",Team!$A223,"")</f>
      </c>
      <c r="C223" t="str">
        <f>IF(Team!$B223="Sales Manager",Team!$A223,"")</f>
      </c>
    </row>
    <row r="224">
      <c r="A224" t="str">
        <f>IF(Team!$B224="Vice Director",Team!$A224,"")</f>
      </c>
      <c r="B224" t="str">
        <f>IF(Team!$B224="Senior Sales Manager",Team!$A224,"")</f>
      </c>
      <c r="C224" t="str">
        <f>IF(Team!$B224="Sales Manager",Team!$A224,"")</f>
      </c>
    </row>
    <row r="225">
      <c r="A225" t="str">
        <f>IF(Team!$B225="Vice Director",Team!$A225,"")</f>
      </c>
      <c r="B225" t="str">
        <f>IF(Team!$B225="Senior Sales Manager",Team!$A225,"")</f>
      </c>
      <c r="C225" t="str">
        <f>IF(Team!$B225="Sales Manager",Team!$A225,"")</f>
      </c>
    </row>
    <row r="226">
      <c r="A226" t="str">
        <f>IF(Team!$B226="Vice Director",Team!$A226,"")</f>
      </c>
      <c r="B226" t="str">
        <f>IF(Team!$B226="Senior Sales Manager",Team!$A226,"")</f>
      </c>
      <c r="C226" t="str">
        <f>IF(Team!$B226="Sales Manager",Team!$A226,"")</f>
      </c>
    </row>
    <row r="227">
      <c r="A227" t="str">
        <f>IF(Team!$B227="Vice Director",Team!$A227,"")</f>
      </c>
      <c r="B227" t="str">
        <f>IF(Team!$B227="Senior Sales Manager",Team!$A227,"")</f>
      </c>
      <c r="C227" t="str">
        <f>IF(Team!$B227="Sales Manager",Team!$A227,"")</f>
      </c>
    </row>
    <row r="228">
      <c r="A228" t="str">
        <f>IF(Team!$B228="Vice Director",Team!$A228,"")</f>
      </c>
      <c r="B228" t="str">
        <f>IF(Team!$B228="Senior Sales Manager",Team!$A228,"")</f>
      </c>
      <c r="C228" t="str">
        <f>IF(Team!$B228="Sales Manager",Team!$A228,"")</f>
      </c>
    </row>
    <row r="229">
      <c r="A229" t="str">
        <f>IF(Team!$B229="Vice Director",Team!$A229,"")</f>
      </c>
      <c r="B229" t="str">
        <f>IF(Team!$B229="Senior Sales Manager",Team!$A229,"")</f>
      </c>
      <c r="C229" t="str">
        <f>IF(Team!$B229="Sales Manager",Team!$A229,"")</f>
      </c>
    </row>
    <row r="230">
      <c r="A230" t="str">
        <f>IF(Team!$B230="Vice Director",Team!$A230,"")</f>
      </c>
      <c r="B230" t="str">
        <f>IF(Team!$B230="Senior Sales Manager",Team!$A230,"")</f>
      </c>
      <c r="C230" t="str">
        <f>IF(Team!$B230="Sales Manager",Team!$A230,"")</f>
      </c>
    </row>
    <row r="231">
      <c r="A231" t="str">
        <f>IF(Team!$B231="Vice Director",Team!$A231,"")</f>
      </c>
      <c r="B231" t="str">
        <f>IF(Team!$B231="Senior Sales Manager",Team!$A231,"")</f>
      </c>
      <c r="C231" t="str">
        <f>IF(Team!$B231="Sales Manager",Team!$A231,"")</f>
      </c>
    </row>
    <row r="232">
      <c r="A232" t="str">
        <f>IF(Team!$B232="Vice Director",Team!$A232,"")</f>
      </c>
      <c r="B232" t="str">
        <f>IF(Team!$B232="Senior Sales Manager",Team!$A232,"")</f>
      </c>
      <c r="C232" t="str">
        <f>IF(Team!$B232="Sales Manager",Team!$A232,"")</f>
      </c>
    </row>
    <row r="233">
      <c r="A233" t="str">
        <f>IF(Team!$B233="Vice Director",Team!$A233,"")</f>
      </c>
      <c r="B233" t="str">
        <f>IF(Team!$B233="Senior Sales Manager",Team!$A233,"")</f>
      </c>
      <c r="C233" t="str">
        <f>IF(Team!$B233="Sales Manager",Team!$A233,"")</f>
      </c>
    </row>
    <row r="234">
      <c r="A234" t="str">
        <f>IF(Team!$B234="Vice Director",Team!$A234,"")</f>
      </c>
      <c r="B234" t="str">
        <f>IF(Team!$B234="Senior Sales Manager",Team!$A234,"")</f>
      </c>
      <c r="C234" t="str">
        <f>IF(Team!$B234="Sales Manager",Team!$A234,"")</f>
      </c>
    </row>
    <row r="235">
      <c r="A235" t="str">
        <f>IF(Team!$B235="Vice Director",Team!$A235,"")</f>
      </c>
      <c r="B235" t="str">
        <f>IF(Team!$B235="Senior Sales Manager",Team!$A235,"")</f>
      </c>
      <c r="C235" t="str">
        <f>IF(Team!$B235="Sales Manager",Team!$A235,"")</f>
      </c>
    </row>
    <row r="236">
      <c r="A236" t="str">
        <f>IF(Team!$B236="Vice Director",Team!$A236,"")</f>
      </c>
      <c r="B236" t="str">
        <f>IF(Team!$B236="Senior Sales Manager",Team!$A236,"")</f>
      </c>
      <c r="C236" t="str">
        <f>IF(Team!$B236="Sales Manager",Team!$A236,"")</f>
      </c>
    </row>
    <row r="237">
      <c r="A237" t="str">
        <f>IF(Team!$B237="Vice Director",Team!$A237,"")</f>
      </c>
      <c r="B237" t="str">
        <f>IF(Team!$B237="Senior Sales Manager",Team!$A237,"")</f>
      </c>
      <c r="C237" t="str">
        <f>IF(Team!$B237="Sales Manager",Team!$A237,"")</f>
      </c>
    </row>
    <row r="238">
      <c r="A238" t="str">
        <f>IF(Team!$B238="Vice Director",Team!$A238,"")</f>
      </c>
      <c r="B238" t="str">
        <f>IF(Team!$B238="Senior Sales Manager",Team!$A238,"")</f>
      </c>
      <c r="C238" t="str">
        <f>IF(Team!$B238="Sales Manager",Team!$A238,"")</f>
      </c>
    </row>
    <row r="239">
      <c r="A239" t="str">
        <f>IF(Team!$B239="Vice Director",Team!$A239,"")</f>
      </c>
      <c r="B239" t="str">
        <f>IF(Team!$B239="Senior Sales Manager",Team!$A239,"")</f>
      </c>
      <c r="C239" t="str">
        <f>IF(Team!$B239="Sales Manager",Team!$A239,"")</f>
      </c>
    </row>
    <row r="240">
      <c r="A240" t="str">
        <f>IF(Team!$B240="Vice Director",Team!$A240,"")</f>
      </c>
      <c r="B240" t="str">
        <f>IF(Team!$B240="Senior Sales Manager",Team!$A240,"")</f>
      </c>
      <c r="C240" t="str">
        <f>IF(Team!$B240="Sales Manager",Team!$A240,"")</f>
      </c>
    </row>
    <row r="241">
      <c r="A241" t="str">
        <f>IF(Team!$B241="Vice Director",Team!$A241,"")</f>
      </c>
      <c r="B241" t="str">
        <f>IF(Team!$B241="Senior Sales Manager",Team!$A241,"")</f>
      </c>
      <c r="C241" t="str">
        <f>IF(Team!$B241="Sales Manager",Team!$A241,"")</f>
      </c>
    </row>
    <row r="242">
      <c r="A242" t="str">
        <f>IF(Team!$B242="Vice Director",Team!$A242,"")</f>
      </c>
      <c r="B242" t="str">
        <f>IF(Team!$B242="Senior Sales Manager",Team!$A242,"")</f>
      </c>
      <c r="C242" t="str">
        <f>IF(Team!$B242="Sales Manager",Team!$A242,"")</f>
      </c>
    </row>
    <row r="243">
      <c r="A243" t="str">
        <f>IF(Team!$B243="Vice Director",Team!$A243,"")</f>
      </c>
      <c r="B243" t="str">
        <f>IF(Team!$B243="Senior Sales Manager",Team!$A243,"")</f>
      </c>
      <c r="C243" t="str">
        <f>IF(Team!$B243="Sales Manager",Team!$A243,"")</f>
      </c>
    </row>
    <row r="244">
      <c r="A244" t="str">
        <f>IF(Team!$B244="Vice Director",Team!$A244,"")</f>
      </c>
      <c r="B244" t="str">
        <f>IF(Team!$B244="Senior Sales Manager",Team!$A244,"")</f>
      </c>
      <c r="C244" t="str">
        <f>IF(Team!$B244="Sales Manager",Team!$A244,"")</f>
      </c>
    </row>
    <row r="245">
      <c r="A245" t="str">
        <f>IF(Team!$B245="Vice Director",Team!$A245,"")</f>
      </c>
      <c r="B245" t="str">
        <f>IF(Team!$B245="Senior Sales Manager",Team!$A245,"")</f>
      </c>
      <c r="C245" t="str">
        <f>IF(Team!$B245="Sales Manager",Team!$A245,"")</f>
      </c>
    </row>
    <row r="246">
      <c r="A246" t="str">
        <f>IF(Team!$B246="Vice Director",Team!$A246,"")</f>
      </c>
      <c r="B246" t="str">
        <f>IF(Team!$B246="Senior Sales Manager",Team!$A246,"")</f>
      </c>
      <c r="C246" t="str">
        <f>IF(Team!$B246="Sales Manager",Team!$A246,"")</f>
      </c>
    </row>
    <row r="247">
      <c r="A247" t="str">
        <f>IF(Team!$B247="Vice Director",Team!$A247,"")</f>
      </c>
      <c r="B247" t="str">
        <f>IF(Team!$B247="Senior Sales Manager",Team!$A247,"")</f>
      </c>
      <c r="C247" t="str">
        <f>IF(Team!$B247="Sales Manager",Team!$A247,"")</f>
      </c>
    </row>
    <row r="248">
      <c r="A248" t="str">
        <f>IF(Team!$B248="Vice Director",Team!$A248,"")</f>
      </c>
      <c r="B248" t="str">
        <f>IF(Team!$B248="Senior Sales Manager",Team!$A248,"")</f>
      </c>
      <c r="C248" t="str">
        <f>IF(Team!$B248="Sales Manager",Team!$A248,"")</f>
      </c>
    </row>
    <row r="249">
      <c r="A249" t="str">
        <f>IF(Team!$B249="Vice Director",Team!$A249,"")</f>
      </c>
      <c r="B249" t="str">
        <f>IF(Team!$B249="Senior Sales Manager",Team!$A249,"")</f>
      </c>
      <c r="C249" t="str">
        <f>IF(Team!$B249="Sales Manager",Team!$A249,"")</f>
      </c>
    </row>
    <row r="250">
      <c r="A250" t="str">
        <f>IF(Team!$B250="Vice Director",Team!$A250,"")</f>
      </c>
      <c r="B250" t="str">
        <f>IF(Team!$B250="Senior Sales Manager",Team!$A250,"")</f>
      </c>
      <c r="C250" t="str">
        <f>IF(Team!$B250="Sales Manager",Team!$A250,"")</f>
      </c>
    </row>
    <row r="251">
      <c r="A251" t="str">
        <f>IF(Team!$B251="Vice Director",Team!$A251,"")</f>
      </c>
      <c r="B251" t="str">
        <f>IF(Team!$B251="Senior Sales Manager",Team!$A251,"")</f>
      </c>
      <c r="C251" t="str">
        <f>IF(Team!$B251="Sales Manager",Team!$A251,"")</f>
      </c>
    </row>
    <row r="252">
      <c r="A252" t="str">
        <f>IF(Team!$B252="Vice Director",Team!$A252,"")</f>
      </c>
      <c r="B252" t="str">
        <f>IF(Team!$B252="Senior Sales Manager",Team!$A252,"")</f>
      </c>
      <c r="C252" t="str">
        <f>IF(Team!$B252="Sales Manager",Team!$A252,"")</f>
      </c>
    </row>
    <row r="253">
      <c r="A253" t="str">
        <f>IF(Team!$B253="Vice Director",Team!$A253,"")</f>
      </c>
      <c r="B253" t="str">
        <f>IF(Team!$B253="Senior Sales Manager",Team!$A253,"")</f>
      </c>
      <c r="C253" t="str">
        <f>IF(Team!$B253="Sales Manager",Team!$A253,"")</f>
      </c>
    </row>
    <row r="254">
      <c r="A254" t="str">
        <f>IF(Team!$B254="Vice Director",Team!$A254,"")</f>
      </c>
      <c r="B254" t="str">
        <f>IF(Team!$B254="Senior Sales Manager",Team!$A254,"")</f>
      </c>
      <c r="C254" t="str">
        <f>IF(Team!$B254="Sales Manager",Team!$A254,"")</f>
      </c>
    </row>
    <row r="255">
      <c r="A255" t="str">
        <f>IF(Team!$B255="Vice Director",Team!$A255,"")</f>
      </c>
      <c r="B255" t="str">
        <f>IF(Team!$B255="Senior Sales Manager",Team!$A255,"")</f>
      </c>
      <c r="C255" t="str">
        <f>IF(Team!$B255="Sales Manager",Team!$A255,"")</f>
      </c>
    </row>
    <row r="256">
      <c r="A256" t="str">
        <f>IF(Team!$B256="Vice Director",Team!$A256,"")</f>
      </c>
      <c r="B256" t="str">
        <f>IF(Team!$B256="Senior Sales Manager",Team!$A256,"")</f>
      </c>
      <c r="C256" t="str">
        <f>IF(Team!$B256="Sales Manager",Team!$A256,"")</f>
      </c>
    </row>
    <row r="257">
      <c r="A257" t="str">
        <f>IF(Team!$B257="Vice Director",Team!$A257,"")</f>
      </c>
      <c r="B257" t="str">
        <f>IF(Team!$B257="Senior Sales Manager",Team!$A257,"")</f>
      </c>
      <c r="C257" t="str">
        <f>IF(Team!$B257="Sales Manager",Team!$A257,"")</f>
      </c>
    </row>
    <row r="258">
      <c r="A258" t="str">
        <f>IF(Team!$B258="Vice Director",Team!$A258,"")</f>
      </c>
      <c r="B258" t="str">
        <f>IF(Team!$B258="Senior Sales Manager",Team!$A258,"")</f>
      </c>
      <c r="C258" t="str">
        <f>IF(Team!$B258="Sales Manager",Team!$A258,"")</f>
      </c>
    </row>
    <row r="259">
      <c r="A259" t="str">
        <f>IF(Team!$B259="Vice Director",Team!$A259,"")</f>
      </c>
      <c r="B259" t="str">
        <f>IF(Team!$B259="Senior Sales Manager",Team!$A259,"")</f>
      </c>
      <c r="C259" t="str">
        <f>IF(Team!$B259="Sales Manager",Team!$A259,"")</f>
      </c>
    </row>
    <row r="260">
      <c r="A260" t="str">
        <f>IF(Team!$B260="Vice Director",Team!$A260,"")</f>
      </c>
      <c r="B260" t="str">
        <f>IF(Team!$B260="Senior Sales Manager",Team!$A260,"")</f>
      </c>
      <c r="C260" t="str">
        <f>IF(Team!$B260="Sales Manager",Team!$A260,"")</f>
      </c>
    </row>
    <row r="261">
      <c r="A261" t="str">
        <f>IF(Team!$B261="Vice Director",Team!$A261,"")</f>
      </c>
      <c r="B261" t="str">
        <f>IF(Team!$B261="Senior Sales Manager",Team!$A261,"")</f>
      </c>
      <c r="C261" t="str">
        <f>IF(Team!$B261="Sales Manager",Team!$A261,"")</f>
      </c>
    </row>
    <row r="262">
      <c r="A262" t="str">
        <f>IF(Team!$B262="Vice Director",Team!$A262,"")</f>
      </c>
      <c r="B262" t="str">
        <f>IF(Team!$B262="Senior Sales Manager",Team!$A262,"")</f>
      </c>
      <c r="C262" t="str">
        <f>IF(Team!$B262="Sales Manager",Team!$A262,"")</f>
      </c>
    </row>
    <row r="263">
      <c r="A263" t="str">
        <f>IF(Team!$B263="Vice Director",Team!$A263,"")</f>
      </c>
      <c r="B263" t="str">
        <f>IF(Team!$B263="Senior Sales Manager",Team!$A263,"")</f>
      </c>
      <c r="C263" t="str">
        <f>IF(Team!$B263="Sales Manager",Team!$A263,"")</f>
      </c>
    </row>
    <row r="264">
      <c r="A264" t="str">
        <f>IF(Team!$B264="Vice Director",Team!$A264,"")</f>
      </c>
      <c r="B264" t="str">
        <f>IF(Team!$B264="Senior Sales Manager",Team!$A264,"")</f>
      </c>
      <c r="C264" t="str">
        <f>IF(Team!$B264="Sales Manager",Team!$A264,"")</f>
      </c>
    </row>
    <row r="265">
      <c r="A265" t="str">
        <f>IF(Team!$B265="Vice Director",Team!$A265,"")</f>
      </c>
      <c r="B265" t="str">
        <f>IF(Team!$B265="Senior Sales Manager",Team!$A265,"")</f>
      </c>
      <c r="C265" t="str">
        <f>IF(Team!$B265="Sales Manager",Team!$A265,"")</f>
      </c>
    </row>
    <row r="266">
      <c r="A266" t="str">
        <f>IF(Team!$B266="Vice Director",Team!$A266,"")</f>
      </c>
      <c r="B266" t="str">
        <f>IF(Team!$B266="Senior Sales Manager",Team!$A266,"")</f>
      </c>
      <c r="C266" t="str">
        <f>IF(Team!$B266="Sales Manager",Team!$A266,"")</f>
      </c>
    </row>
    <row r="267">
      <c r="A267" t="str">
        <f>IF(Team!$B267="Vice Director",Team!$A267,"")</f>
      </c>
      <c r="B267" t="str">
        <f>IF(Team!$B267="Senior Sales Manager",Team!$A267,"")</f>
      </c>
      <c r="C267" t="str">
        <f>IF(Team!$B267="Sales Manager",Team!$A267,"")</f>
      </c>
    </row>
    <row r="268">
      <c r="A268" t="str">
        <f>IF(Team!$B268="Vice Director",Team!$A268,"")</f>
      </c>
      <c r="B268" t="str">
        <f>IF(Team!$B268="Senior Sales Manager",Team!$A268,"")</f>
      </c>
      <c r="C268" t="str">
        <f>IF(Team!$B268="Sales Manager",Team!$A268,"")</f>
      </c>
    </row>
    <row r="269">
      <c r="A269" t="str">
        <f>IF(Team!$B269="Vice Director",Team!$A269,"")</f>
      </c>
      <c r="B269" t="str">
        <f>IF(Team!$B269="Senior Sales Manager",Team!$A269,"")</f>
      </c>
      <c r="C269" t="str">
        <f>IF(Team!$B269="Sales Manager",Team!$A269,"")</f>
      </c>
    </row>
    <row r="270">
      <c r="A270" t="str">
        <f>IF(Team!$B270="Vice Director",Team!$A270,"")</f>
      </c>
      <c r="B270" t="str">
        <f>IF(Team!$B270="Senior Sales Manager",Team!$A270,"")</f>
      </c>
      <c r="C270" t="str">
        <f>IF(Team!$B270="Sales Manager",Team!$A270,"")</f>
      </c>
    </row>
    <row r="271">
      <c r="A271" t="str">
        <f>IF(Team!$B271="Vice Director",Team!$A271,"")</f>
      </c>
      <c r="B271" t="str">
        <f>IF(Team!$B271="Senior Sales Manager",Team!$A271,"")</f>
      </c>
      <c r="C271" t="str">
        <f>IF(Team!$B271="Sales Manager",Team!$A271,"")</f>
      </c>
    </row>
    <row r="272">
      <c r="A272" t="str">
        <f>IF(Team!$B272="Vice Director",Team!$A272,"")</f>
      </c>
      <c r="B272" t="str">
        <f>IF(Team!$B272="Senior Sales Manager",Team!$A272,"")</f>
      </c>
      <c r="C272" t="str">
        <f>IF(Team!$B272="Sales Manager",Team!$A272,"")</f>
      </c>
    </row>
    <row r="273">
      <c r="A273" t="str">
        <f>IF(Team!$B273="Vice Director",Team!$A273,"")</f>
      </c>
      <c r="B273" t="str">
        <f>IF(Team!$B273="Senior Sales Manager",Team!$A273,"")</f>
      </c>
      <c r="C273" t="str">
        <f>IF(Team!$B273="Sales Manager",Team!$A273,"")</f>
      </c>
    </row>
    <row r="274">
      <c r="A274" t="str">
        <f>IF(Team!$B274="Vice Director",Team!$A274,"")</f>
      </c>
      <c r="B274" t="str">
        <f>IF(Team!$B274="Senior Sales Manager",Team!$A274,"")</f>
      </c>
      <c r="C274" t="str">
        <f>IF(Team!$B274="Sales Manager",Team!$A274,"")</f>
      </c>
    </row>
    <row r="275">
      <c r="A275" t="str">
        <f>IF(Team!$B275="Vice Director",Team!$A275,"")</f>
      </c>
      <c r="B275" t="str">
        <f>IF(Team!$B275="Senior Sales Manager",Team!$A275,"")</f>
      </c>
      <c r="C275" t="str">
        <f>IF(Team!$B275="Sales Manager",Team!$A275,"")</f>
      </c>
    </row>
    <row r="276">
      <c r="A276" t="str">
        <f>IF(Team!$B276="Vice Director",Team!$A276,"")</f>
      </c>
      <c r="B276" t="str">
        <f>IF(Team!$B276="Senior Sales Manager",Team!$A276,"")</f>
      </c>
      <c r="C276" t="str">
        <f>IF(Team!$B276="Sales Manager",Team!$A276,"")</f>
      </c>
    </row>
    <row r="277">
      <c r="A277" t="str">
        <f>IF(Team!$B277="Vice Director",Team!$A277,"")</f>
      </c>
      <c r="B277" t="str">
        <f>IF(Team!$B277="Senior Sales Manager",Team!$A277,"")</f>
      </c>
      <c r="C277" t="str">
        <f>IF(Team!$B277="Sales Manager",Team!$A277,"")</f>
      </c>
    </row>
    <row r="278">
      <c r="A278" t="str">
        <f>IF(Team!$B278="Vice Director",Team!$A278,"")</f>
      </c>
      <c r="B278" t="str">
        <f>IF(Team!$B278="Senior Sales Manager",Team!$A278,"")</f>
      </c>
      <c r="C278" t="str">
        <f>IF(Team!$B278="Sales Manager",Team!$A278,"")</f>
      </c>
    </row>
    <row r="279">
      <c r="A279" t="str">
        <f>IF(Team!$B279="Vice Director",Team!$A279,"")</f>
      </c>
      <c r="B279" t="str">
        <f>IF(Team!$B279="Senior Sales Manager",Team!$A279,"")</f>
      </c>
      <c r="C279" t="str">
        <f>IF(Team!$B279="Sales Manager",Team!$A279,"")</f>
      </c>
    </row>
    <row r="280">
      <c r="A280" t="str">
        <f>IF(Team!$B280="Vice Director",Team!$A280,"")</f>
      </c>
      <c r="B280" t="str">
        <f>IF(Team!$B280="Senior Sales Manager",Team!$A280,"")</f>
      </c>
      <c r="C280" t="str">
        <f>IF(Team!$B280="Sales Manager",Team!$A280,"")</f>
      </c>
    </row>
    <row r="281">
      <c r="A281" t="str">
        <f>IF(Team!$B281="Vice Director",Team!$A281,"")</f>
      </c>
      <c r="B281" t="str">
        <f>IF(Team!$B281="Senior Sales Manager",Team!$A281,"")</f>
      </c>
      <c r="C281" t="str">
        <f>IF(Team!$B281="Sales Manager",Team!$A281,"")</f>
      </c>
    </row>
    <row r="282">
      <c r="A282" t="str">
        <f>IF(Team!$B282="Vice Director",Team!$A282,"")</f>
      </c>
      <c r="B282" t="str">
        <f>IF(Team!$B282="Senior Sales Manager",Team!$A282,"")</f>
      </c>
      <c r="C282" t="str">
        <f>IF(Team!$B282="Sales Manager",Team!$A282,"")</f>
      </c>
    </row>
    <row r="283">
      <c r="A283" t="str">
        <f>IF(Team!$B283="Vice Director",Team!$A283,"")</f>
      </c>
      <c r="B283" t="str">
        <f>IF(Team!$B283="Senior Sales Manager",Team!$A283,"")</f>
      </c>
      <c r="C283" t="str">
        <f>IF(Team!$B283="Sales Manager",Team!$A283,"")</f>
      </c>
    </row>
    <row r="284">
      <c r="A284" t="str">
        <f>IF(Team!$B284="Vice Director",Team!$A284,"")</f>
      </c>
      <c r="B284" t="str">
        <f>IF(Team!$B284="Senior Sales Manager",Team!$A284,"")</f>
      </c>
      <c r="C284" t="str">
        <f>IF(Team!$B284="Sales Manager",Team!$A284,"")</f>
      </c>
    </row>
    <row r="285">
      <c r="A285" t="str">
        <f>IF(Team!$B285="Vice Director",Team!$A285,"")</f>
      </c>
      <c r="B285" t="str">
        <f>IF(Team!$B285="Senior Sales Manager",Team!$A285,"")</f>
      </c>
      <c r="C285" t="str">
        <f>IF(Team!$B285="Sales Manager",Team!$A285,"")</f>
      </c>
    </row>
    <row r="286">
      <c r="A286" t="str">
        <f>IF(Team!$B286="Vice Director",Team!$A286,"")</f>
      </c>
      <c r="B286" t="str">
        <f>IF(Team!$B286="Senior Sales Manager",Team!$A286,"")</f>
      </c>
      <c r="C286" t="str">
        <f>IF(Team!$B286="Sales Manager",Team!$A286,"")</f>
      </c>
    </row>
    <row r="287">
      <c r="A287" t="str">
        <f>IF(Team!$B287="Vice Director",Team!$A287,"")</f>
      </c>
      <c r="B287" t="str">
        <f>IF(Team!$B287="Senior Sales Manager",Team!$A287,"")</f>
      </c>
      <c r="C287" t="str">
        <f>IF(Team!$B287="Sales Manager",Team!$A287,"")</f>
      </c>
    </row>
    <row r="288">
      <c r="A288" t="str">
        <f>IF(Team!$B288="Vice Director",Team!$A288,"")</f>
      </c>
      <c r="B288" t="str">
        <f>IF(Team!$B288="Senior Sales Manager",Team!$A288,"")</f>
      </c>
      <c r="C288" t="str">
        <f>IF(Team!$B288="Sales Manager",Team!$A288,"")</f>
      </c>
    </row>
    <row r="289">
      <c r="A289" t="str">
        <f>IF(Team!$B289="Vice Director",Team!$A289,"")</f>
      </c>
      <c r="B289" t="str">
        <f>IF(Team!$B289="Senior Sales Manager",Team!$A289,"")</f>
      </c>
      <c r="C289" t="str">
        <f>IF(Team!$B289="Sales Manager",Team!$A289,"")</f>
      </c>
    </row>
    <row r="290">
      <c r="A290" t="str">
        <f>IF(Team!$B290="Vice Director",Team!$A290,"")</f>
      </c>
      <c r="B290" t="str">
        <f>IF(Team!$B290="Senior Sales Manager",Team!$A290,"")</f>
      </c>
      <c r="C290" t="str">
        <f>IF(Team!$B290="Sales Manager",Team!$A290,"")</f>
      </c>
    </row>
    <row r="291">
      <c r="A291" t="str">
        <f>IF(Team!$B291="Vice Director",Team!$A291,"")</f>
      </c>
      <c r="B291" t="str">
        <f>IF(Team!$B291="Senior Sales Manager",Team!$A291,"")</f>
      </c>
      <c r="C291" t="str">
        <f>IF(Team!$B291="Sales Manager",Team!$A291,"")</f>
      </c>
    </row>
    <row r="292">
      <c r="A292" t="str">
        <f>IF(Team!$B292="Vice Director",Team!$A292,"")</f>
      </c>
      <c r="B292" t="str">
        <f>IF(Team!$B292="Senior Sales Manager",Team!$A292,"")</f>
      </c>
      <c r="C292" t="str">
        <f>IF(Team!$B292="Sales Manager",Team!$A292,"")</f>
      </c>
    </row>
    <row r="293">
      <c r="A293" t="str">
        <f>IF(Team!$B293="Vice Director",Team!$A293,"")</f>
      </c>
      <c r="B293" t="str">
        <f>IF(Team!$B293="Senior Sales Manager",Team!$A293,"")</f>
      </c>
      <c r="C293" t="str">
        <f>IF(Team!$B293="Sales Manager",Team!$A293,"")</f>
      </c>
    </row>
    <row r="294">
      <c r="A294" t="str">
        <f>IF(Team!$B294="Vice Director",Team!$A294,"")</f>
      </c>
      <c r="B294" t="str">
        <f>IF(Team!$B294="Senior Sales Manager",Team!$A294,"")</f>
      </c>
      <c r="C294" t="str">
        <f>IF(Team!$B294="Sales Manager",Team!$A294,"")</f>
      </c>
    </row>
    <row r="295">
      <c r="A295" t="str">
        <f>IF(Team!$B295="Vice Director",Team!$A295,"")</f>
      </c>
      <c r="B295" t="str">
        <f>IF(Team!$B295="Senior Sales Manager",Team!$A295,"")</f>
      </c>
      <c r="C295" t="str">
        <f>IF(Team!$B295="Sales Manager",Team!$A295,"")</f>
      </c>
    </row>
    <row r="296">
      <c r="A296" t="str">
        <f>IF(Team!$B296="Vice Director",Team!$A296,"")</f>
      </c>
      <c r="B296" t="str">
        <f>IF(Team!$B296="Senior Sales Manager",Team!$A296,"")</f>
      </c>
      <c r="C296" t="str">
        <f>IF(Team!$B296="Sales Manager",Team!$A296,"")</f>
      </c>
    </row>
    <row r="297">
      <c r="A297" t="str">
        <f>IF(Team!$B297="Vice Director",Team!$A297,"")</f>
      </c>
      <c r="B297" t="str">
        <f>IF(Team!$B297="Senior Sales Manager",Team!$A297,"")</f>
      </c>
      <c r="C297" t="str">
        <f>IF(Team!$B297="Sales Manager",Team!$A297,"")</f>
      </c>
    </row>
    <row r="298">
      <c r="A298" t="str">
        <f>IF(Team!$B298="Vice Director",Team!$A298,"")</f>
      </c>
      <c r="B298" t="str">
        <f>IF(Team!$B298="Senior Sales Manager",Team!$A298,"")</f>
      </c>
      <c r="C298" t="str">
        <f>IF(Team!$B298="Sales Manager",Team!$A298,"")</f>
      </c>
    </row>
    <row r="299">
      <c r="A299" t="str">
        <f>IF(Team!$B299="Vice Director",Team!$A299,"")</f>
      </c>
      <c r="B299" t="str">
        <f>IF(Team!$B299="Senior Sales Manager",Team!$A299,"")</f>
      </c>
      <c r="C299" t="str">
        <f>IF(Team!$B299="Sales Manager",Team!$A299,"")</f>
      </c>
    </row>
    <row r="300">
      <c r="A300" t="str">
        <f>IF(Team!$B300="Vice Director",Team!$A300,"")</f>
      </c>
      <c r="B300" t="str">
        <f>IF(Team!$B300="Senior Sales Manager",Team!$A300,"")</f>
      </c>
      <c r="C300" t="str">
        <f>IF(Team!$B300="Sales Manager",Team!$A300,"")</f>
      </c>
    </row>
    <row r="301">
      <c r="A301" t="str">
        <f>IF(Team!$B301="Vice Director",Team!$A301,"")</f>
      </c>
      <c r="B301" t="str">
        <f>IF(Team!$B301="Senior Sales Manager",Team!$A301,"")</f>
      </c>
      <c r="C301" t="str">
        <f>IF(Team!$B301="Sales Manager",Team!$A301,"")</f>
      </c>
    </row>
    <row r="302">
      <c r="A302" t="str">
        <f>IF(Team!$B302="Vice Director",Team!$A302,"")</f>
      </c>
      <c r="B302" t="str">
        <f>IF(Team!$B302="Senior Sales Manager",Team!$A302,"")</f>
      </c>
      <c r="C302" t="str">
        <f>IF(Team!$B302="Sales Manager",Team!$A302,"")</f>
      </c>
    </row>
    <row r="303">
      <c r="A303" t="str">
        <f>IF(Team!$B303="Vice Director",Team!$A303,"")</f>
      </c>
      <c r="B303" t="str">
        <f>IF(Team!$B303="Senior Sales Manager",Team!$A303,"")</f>
      </c>
      <c r="C303" t="str">
        <f>IF(Team!$B303="Sales Manager",Team!$A303,"")</f>
      </c>
    </row>
    <row r="304">
      <c r="A304" t="str">
        <f>IF(Team!$B304="Vice Director",Team!$A304,"")</f>
      </c>
      <c r="B304" t="str">
        <f>IF(Team!$B304="Senior Sales Manager",Team!$A304,"")</f>
      </c>
      <c r="C304" t="str">
        <f>IF(Team!$B304="Sales Manager",Team!$A304,"")</f>
      </c>
    </row>
    <row r="305">
      <c r="A305" t="str">
        <f>IF(Team!$B305="Vice Director",Team!$A305,"")</f>
      </c>
      <c r="B305" t="str">
        <f>IF(Team!$B305="Senior Sales Manager",Team!$A305,"")</f>
      </c>
      <c r="C305" t="str">
        <f>IF(Team!$B305="Sales Manager",Team!$A305,"")</f>
      </c>
    </row>
    <row r="306">
      <c r="A306" t="str">
        <f>IF(Team!$B306="Vice Director",Team!$A306,"")</f>
      </c>
      <c r="B306" t="str">
        <f>IF(Team!$B306="Senior Sales Manager",Team!$A306,"")</f>
      </c>
      <c r="C306" t="str">
        <f>IF(Team!$B306="Sales Manager",Team!$A306,"")</f>
      </c>
    </row>
    <row r="307">
      <c r="A307" t="str">
        <f>IF(Team!$B307="Vice Director",Team!$A307,"")</f>
      </c>
      <c r="B307" t="str">
        <f>IF(Team!$B307="Senior Sales Manager",Team!$A307,"")</f>
      </c>
      <c r="C307" t="str">
        <f>IF(Team!$B307="Sales Manager",Team!$A307,"")</f>
      </c>
    </row>
    <row r="308">
      <c r="A308" t="str">
        <f>IF(Team!$B308="Vice Director",Team!$A308,"")</f>
      </c>
      <c r="B308" t="str">
        <f>IF(Team!$B308="Senior Sales Manager",Team!$A308,"")</f>
      </c>
      <c r="C308" t="str">
        <f>IF(Team!$B308="Sales Manager",Team!$A308,"")</f>
      </c>
    </row>
    <row r="309">
      <c r="A309" t="str">
        <f>IF(Team!$B309="Vice Director",Team!$A309,"")</f>
      </c>
      <c r="B309" t="str">
        <f>IF(Team!$B309="Senior Sales Manager",Team!$A309,"")</f>
      </c>
      <c r="C309" t="str">
        <f>IF(Team!$B309="Sales Manager",Team!$A309,"")</f>
      </c>
    </row>
    <row r="310">
      <c r="A310" t="str">
        <f>IF(Team!$B310="Vice Director",Team!$A310,"")</f>
      </c>
      <c r="B310" t="str">
        <f>IF(Team!$B310="Senior Sales Manager",Team!$A310,"")</f>
      </c>
      <c r="C310" t="str">
        <f>IF(Team!$B310="Sales Manager",Team!$A310,"")</f>
      </c>
    </row>
    <row r="311">
      <c r="A311" t="str">
        <f>IF(Team!$B311="Vice Director",Team!$A311,"")</f>
      </c>
      <c r="B311" t="str">
        <f>IF(Team!$B311="Senior Sales Manager",Team!$A311,"")</f>
      </c>
      <c r="C311" t="str">
        <f>IF(Team!$B311="Sales Manager",Team!$A311,"")</f>
      </c>
    </row>
    <row r="312">
      <c r="A312" t="str">
        <f>IF(Team!$B312="Vice Director",Team!$A312,"")</f>
      </c>
      <c r="B312" t="str">
        <f>IF(Team!$B312="Senior Sales Manager",Team!$A312,"")</f>
      </c>
      <c r="C312" t="str">
        <f>IF(Team!$B312="Sales Manager",Team!$A312,"")</f>
      </c>
    </row>
    <row r="313">
      <c r="A313" t="str">
        <f>IF(Team!$B313="Vice Director",Team!$A313,"")</f>
      </c>
      <c r="B313" t="str">
        <f>IF(Team!$B313="Senior Sales Manager",Team!$A313,"")</f>
      </c>
      <c r="C313" t="str">
        <f>IF(Team!$B313="Sales Manager",Team!$A313,"")</f>
      </c>
    </row>
    <row r="314">
      <c r="A314" t="str">
        <f>IF(Team!$B314="Vice Director",Team!$A314,"")</f>
      </c>
      <c r="B314" t="str">
        <f>IF(Team!$B314="Senior Sales Manager",Team!$A314,"")</f>
      </c>
      <c r="C314" t="str">
        <f>IF(Team!$B314="Sales Manager",Team!$A314,"")</f>
      </c>
    </row>
    <row r="315">
      <c r="A315" t="str">
        <f>IF(Team!$B315="Vice Director",Team!$A315,"")</f>
      </c>
      <c r="B315" t="str">
        <f>IF(Team!$B315="Senior Sales Manager",Team!$A315,"")</f>
      </c>
      <c r="C315" t="str">
        <f>IF(Team!$B315="Sales Manager",Team!$A315,"")</f>
      </c>
    </row>
    <row r="316">
      <c r="A316" t="str">
        <f>IF(Team!$B316="Vice Director",Team!$A316,"")</f>
      </c>
      <c r="B316" t="str">
        <f>IF(Team!$B316="Senior Sales Manager",Team!$A316,"")</f>
      </c>
      <c r="C316" t="str">
        <f>IF(Team!$B316="Sales Manager",Team!$A316,"")</f>
      </c>
    </row>
    <row r="317">
      <c r="A317" t="str">
        <f>IF(Team!$B317="Vice Director",Team!$A317,"")</f>
      </c>
      <c r="B317" t="str">
        <f>IF(Team!$B317="Senior Sales Manager",Team!$A317,"")</f>
      </c>
      <c r="C317" t="str">
        <f>IF(Team!$B317="Sales Manager",Team!$A317,"")</f>
      </c>
    </row>
    <row r="318">
      <c r="A318" t="str">
        <f>IF(Team!$B318="Vice Director",Team!$A318,"")</f>
      </c>
      <c r="B318" t="str">
        <f>IF(Team!$B318="Senior Sales Manager",Team!$A318,"")</f>
      </c>
      <c r="C318" t="str">
        <f>IF(Team!$B318="Sales Manager",Team!$A318,"")</f>
      </c>
    </row>
    <row r="319">
      <c r="A319" t="str">
        <f>IF(Team!$B319="Vice Director",Team!$A319,"")</f>
      </c>
      <c r="B319" t="str">
        <f>IF(Team!$B319="Senior Sales Manager",Team!$A319,"")</f>
      </c>
      <c r="C319" t="str">
        <f>IF(Team!$B319="Sales Manager",Team!$A319,"")</f>
      </c>
    </row>
    <row r="320">
      <c r="A320" t="str">
        <f>IF(Team!$B320="Vice Director",Team!$A320,"")</f>
      </c>
      <c r="B320" t="str">
        <f>IF(Team!$B320="Senior Sales Manager",Team!$A320,"")</f>
      </c>
      <c r="C320" t="str">
        <f>IF(Team!$B320="Sales Manager",Team!$A320,"")</f>
      </c>
    </row>
    <row r="321">
      <c r="A321" t="str">
        <f>IF(Team!$B321="Vice Director",Team!$A321,"")</f>
      </c>
      <c r="B321" t="str">
        <f>IF(Team!$B321="Senior Sales Manager",Team!$A321,"")</f>
      </c>
      <c r="C321" t="str">
        <f>IF(Team!$B321="Sales Manager",Team!$A321,"")</f>
      </c>
    </row>
    <row r="322">
      <c r="A322" t="str">
        <f>IF(Team!$B322="Vice Director",Team!$A322,"")</f>
      </c>
      <c r="B322" t="str">
        <f>IF(Team!$B322="Senior Sales Manager",Team!$A322,"")</f>
      </c>
      <c r="C322" t="str">
        <f>IF(Team!$B322="Sales Manager",Team!$A322,"")</f>
      </c>
    </row>
    <row r="323">
      <c r="A323" t="str">
        <f>IF(Team!$B323="Vice Director",Team!$A323,"")</f>
      </c>
      <c r="B323" t="str">
        <f>IF(Team!$B323="Senior Sales Manager",Team!$A323,"")</f>
      </c>
      <c r="C323" t="str">
        <f>IF(Team!$B323="Sales Manager",Team!$A323,"")</f>
      </c>
    </row>
    <row r="324">
      <c r="A324" t="str">
        <f>IF(Team!$B324="Vice Director",Team!$A324,"")</f>
      </c>
      <c r="B324" t="str">
        <f>IF(Team!$B324="Senior Sales Manager",Team!$A324,"")</f>
      </c>
      <c r="C324" t="str">
        <f>IF(Team!$B324="Sales Manager",Team!$A324,"")</f>
      </c>
    </row>
    <row r="325">
      <c r="A325" t="str">
        <f>IF(Team!$B325="Vice Director",Team!$A325,"")</f>
      </c>
      <c r="B325" t="str">
        <f>IF(Team!$B325="Senior Sales Manager",Team!$A325,"")</f>
      </c>
      <c r="C325" t="str">
        <f>IF(Team!$B325="Sales Manager",Team!$A325,"")</f>
      </c>
    </row>
    <row r="326">
      <c r="A326" t="str">
        <f>IF(Team!$B326="Vice Director",Team!$A326,"")</f>
      </c>
      <c r="B326" t="str">
        <f>IF(Team!$B326="Senior Sales Manager",Team!$A326,"")</f>
      </c>
      <c r="C326" t="str">
        <f>IF(Team!$B326="Sales Manager",Team!$A326,"")</f>
      </c>
    </row>
    <row r="327">
      <c r="A327" t="str">
        <f>IF(Team!$B327="Vice Director",Team!$A327,"")</f>
      </c>
      <c r="B327" t="str">
        <f>IF(Team!$B327="Senior Sales Manager",Team!$A327,"")</f>
      </c>
      <c r="C327" t="str">
        <f>IF(Team!$B327="Sales Manager",Team!$A327,"")</f>
      </c>
    </row>
    <row r="328">
      <c r="A328" t="str">
        <f>IF(Team!$B328="Vice Director",Team!$A328,"")</f>
      </c>
      <c r="B328" t="str">
        <f>IF(Team!$B328="Senior Sales Manager",Team!$A328,"")</f>
      </c>
      <c r="C328" t="str">
        <f>IF(Team!$B328="Sales Manager",Team!$A328,"")</f>
      </c>
    </row>
    <row r="329">
      <c r="A329" t="str">
        <f>IF(Team!$B329="Vice Director",Team!$A329,"")</f>
      </c>
      <c r="B329" t="str">
        <f>IF(Team!$B329="Senior Sales Manager",Team!$A329,"")</f>
      </c>
      <c r="C329" t="str">
        <f>IF(Team!$B329="Sales Manager",Team!$A329,"")</f>
      </c>
    </row>
    <row r="330">
      <c r="A330" t="str">
        <f>IF(Team!$B330="Vice Director",Team!$A330,"")</f>
      </c>
      <c r="B330" t="str">
        <f>IF(Team!$B330="Senior Sales Manager",Team!$A330,"")</f>
      </c>
      <c r="C330" t="str">
        <f>IF(Team!$B330="Sales Manager",Team!$A330,"")</f>
      </c>
    </row>
    <row r="331">
      <c r="A331" t="str">
        <f>IF(Team!$B331="Vice Director",Team!$A331,"")</f>
      </c>
      <c r="B331" t="str">
        <f>IF(Team!$B331="Senior Sales Manager",Team!$A331,"")</f>
      </c>
      <c r="C331" t="str">
        <f>IF(Team!$B331="Sales Manager",Team!$A331,"")</f>
      </c>
    </row>
    <row r="332">
      <c r="A332" t="str">
        <f>IF(Team!$B332="Vice Director",Team!$A332,"")</f>
      </c>
      <c r="B332" t="str">
        <f>IF(Team!$B332="Senior Sales Manager",Team!$A332,"")</f>
      </c>
      <c r="C332" t="str">
        <f>IF(Team!$B332="Sales Manager",Team!$A332,"")</f>
      </c>
    </row>
    <row r="333">
      <c r="A333" t="str">
        <f>IF(Team!$B333="Vice Director",Team!$A333,"")</f>
      </c>
      <c r="B333" t="str">
        <f>IF(Team!$B333="Senior Sales Manager",Team!$A333,"")</f>
      </c>
      <c r="C333" t="str">
        <f>IF(Team!$B333="Sales Manager",Team!$A333,"")</f>
      </c>
    </row>
    <row r="334">
      <c r="A334" t="str">
        <f>IF(Team!$B334="Vice Director",Team!$A334,"")</f>
      </c>
      <c r="B334" t="str">
        <f>IF(Team!$B334="Senior Sales Manager",Team!$A334,"")</f>
      </c>
      <c r="C334" t="str">
        <f>IF(Team!$B334="Sales Manager",Team!$A334,"")</f>
      </c>
    </row>
    <row r="335">
      <c r="A335" t="str">
        <f>IF(Team!$B335="Vice Director",Team!$A335,"")</f>
      </c>
      <c r="B335" t="str">
        <f>IF(Team!$B335="Senior Sales Manager",Team!$A335,"")</f>
      </c>
      <c r="C335" t="str">
        <f>IF(Team!$B335="Sales Manager",Team!$A335,"")</f>
      </c>
    </row>
    <row r="336">
      <c r="A336" t="str">
        <f>IF(Team!$B336="Vice Director",Team!$A336,"")</f>
      </c>
      <c r="B336" t="str">
        <f>IF(Team!$B336="Senior Sales Manager",Team!$A336,"")</f>
      </c>
      <c r="C336" t="str">
        <f>IF(Team!$B336="Sales Manager",Team!$A336,"")</f>
      </c>
    </row>
    <row r="337">
      <c r="A337" t="str">
        <f>IF(Team!$B337="Vice Director",Team!$A337,"")</f>
      </c>
      <c r="B337" t="str">
        <f>IF(Team!$B337="Senior Sales Manager",Team!$A337,"")</f>
      </c>
      <c r="C337" t="str">
        <f>IF(Team!$B337="Sales Manager",Team!$A337,"")</f>
      </c>
    </row>
    <row r="338">
      <c r="A338" t="str">
        <f>IF(Team!$B338="Vice Director",Team!$A338,"")</f>
      </c>
      <c r="B338" t="str">
        <f>IF(Team!$B338="Senior Sales Manager",Team!$A338,"")</f>
      </c>
      <c r="C338" t="str">
        <f>IF(Team!$B338="Sales Manager",Team!$A338,"")</f>
      </c>
    </row>
    <row r="339">
      <c r="A339" t="str">
        <f>IF(Team!$B339="Vice Director",Team!$A339,"")</f>
      </c>
      <c r="B339" t="str">
        <f>IF(Team!$B339="Senior Sales Manager",Team!$A339,"")</f>
      </c>
      <c r="C339" t="str">
        <f>IF(Team!$B339="Sales Manager",Team!$A339,"")</f>
      </c>
    </row>
    <row r="340">
      <c r="A340" t="str">
        <f>IF(Team!$B340="Vice Director",Team!$A340,"")</f>
      </c>
      <c r="B340" t="str">
        <f>IF(Team!$B340="Senior Sales Manager",Team!$A340,"")</f>
      </c>
      <c r="C340" t="str">
        <f>IF(Team!$B340="Sales Manager",Team!$A340,"")</f>
      </c>
    </row>
    <row r="341">
      <c r="A341" t="str">
        <f>IF(Team!$B341="Vice Director",Team!$A341,"")</f>
      </c>
      <c r="B341" t="str">
        <f>IF(Team!$B341="Senior Sales Manager",Team!$A341,"")</f>
      </c>
      <c r="C341" t="str">
        <f>IF(Team!$B341="Sales Manager",Team!$A341,"")</f>
      </c>
    </row>
    <row r="342">
      <c r="A342" t="str">
        <f>IF(Team!$B342="Vice Director",Team!$A342,"")</f>
      </c>
      <c r="B342" t="str">
        <f>IF(Team!$B342="Senior Sales Manager",Team!$A342,"")</f>
      </c>
      <c r="C342" t="str">
        <f>IF(Team!$B342="Sales Manager",Team!$A342,"")</f>
      </c>
    </row>
    <row r="343">
      <c r="A343" t="str">
        <f>IF(Team!$B343="Vice Director",Team!$A343,"")</f>
      </c>
      <c r="B343" t="str">
        <f>IF(Team!$B343="Senior Sales Manager",Team!$A343,"")</f>
      </c>
      <c r="C343" t="str">
        <f>IF(Team!$B343="Sales Manager",Team!$A343,"")</f>
      </c>
    </row>
    <row r="344">
      <c r="A344" t="str">
        <f>IF(Team!$B344="Vice Director",Team!$A344,"")</f>
      </c>
      <c r="B344" t="str">
        <f>IF(Team!$B344="Senior Sales Manager",Team!$A344,"")</f>
      </c>
      <c r="C344" t="str">
        <f>IF(Team!$B344="Sales Manager",Team!$A344,"")</f>
      </c>
    </row>
    <row r="345">
      <c r="A345" t="str">
        <f>IF(Team!$B345="Vice Director",Team!$A345,"")</f>
      </c>
      <c r="B345" t="str">
        <f>IF(Team!$B345="Senior Sales Manager",Team!$A345,"")</f>
      </c>
      <c r="C345" t="str">
        <f>IF(Team!$B345="Sales Manager",Team!$A345,"")</f>
      </c>
    </row>
    <row r="346">
      <c r="A346" t="str">
        <f>IF(Team!$B346="Vice Director",Team!$A346,"")</f>
      </c>
      <c r="B346" t="str">
        <f>IF(Team!$B346="Senior Sales Manager",Team!$A346,"")</f>
      </c>
      <c r="C346" t="str">
        <f>IF(Team!$B346="Sales Manager",Team!$A346,"")</f>
      </c>
    </row>
    <row r="347">
      <c r="A347" t="str">
        <f>IF(Team!$B347="Vice Director",Team!$A347,"")</f>
      </c>
      <c r="B347" t="str">
        <f>IF(Team!$B347="Senior Sales Manager",Team!$A347,"")</f>
      </c>
      <c r="C347" t="str">
        <f>IF(Team!$B347="Sales Manager",Team!$A347,"")</f>
      </c>
    </row>
    <row r="348">
      <c r="A348" t="str">
        <f>IF(Team!$B348="Vice Director",Team!$A348,"")</f>
      </c>
      <c r="B348" t="str">
        <f>IF(Team!$B348="Senior Sales Manager",Team!$A348,"")</f>
      </c>
      <c r="C348" t="str">
        <f>IF(Team!$B348="Sales Manager",Team!$A348,"")</f>
      </c>
    </row>
    <row r="349">
      <c r="A349" t="str">
        <f>IF(Team!$B349="Vice Director",Team!$A349,"")</f>
      </c>
      <c r="B349" t="str">
        <f>IF(Team!$B349="Senior Sales Manager",Team!$A349,"")</f>
      </c>
      <c r="C349" t="str">
        <f>IF(Team!$B349="Sales Manager",Team!$A349,"")</f>
      </c>
    </row>
    <row r="350">
      <c r="A350" t="str">
        <f>IF(Team!$B350="Vice Director",Team!$A350,"")</f>
      </c>
      <c r="B350" t="str">
        <f>IF(Team!$B350="Senior Sales Manager",Team!$A350,"")</f>
      </c>
      <c r="C350" t="str">
        <f>IF(Team!$B350="Sales Manager",Team!$A350,"")</f>
      </c>
    </row>
    <row r="351">
      <c r="A351" t="str">
        <f>IF(Team!$B351="Vice Director",Team!$A351,"")</f>
      </c>
      <c r="B351" t="str">
        <f>IF(Team!$B351="Senior Sales Manager",Team!$A351,"")</f>
      </c>
      <c r="C351" t="str">
        <f>IF(Team!$B351="Sales Manager",Team!$A351,"")</f>
      </c>
    </row>
    <row r="352">
      <c r="A352" t="str">
        <f>IF(Team!$B352="Vice Director",Team!$A352,"")</f>
      </c>
      <c r="B352" t="str">
        <f>IF(Team!$B352="Senior Sales Manager",Team!$A352,"")</f>
      </c>
      <c r="C352" t="str">
        <f>IF(Team!$B352="Sales Manager",Team!$A352,"")</f>
      </c>
    </row>
    <row r="353">
      <c r="A353" t="str">
        <f>IF(Team!$B353="Vice Director",Team!$A353,"")</f>
      </c>
      <c r="B353" t="str">
        <f>IF(Team!$B353="Senior Sales Manager",Team!$A353,"")</f>
      </c>
      <c r="C353" t="str">
        <f>IF(Team!$B353="Sales Manager",Team!$A353,"")</f>
      </c>
    </row>
    <row r="354">
      <c r="A354" t="str">
        <f>IF(Team!$B354="Vice Director",Team!$A354,"")</f>
      </c>
      <c r="B354" t="str">
        <f>IF(Team!$B354="Senior Sales Manager",Team!$A354,"")</f>
      </c>
      <c r="C354" t="str">
        <f>IF(Team!$B354="Sales Manager",Team!$A354,"")</f>
      </c>
    </row>
    <row r="355">
      <c r="A355" t="str">
        <f>IF(Team!$B355="Vice Director",Team!$A355,"")</f>
      </c>
      <c r="B355" t="str">
        <f>IF(Team!$B355="Senior Sales Manager",Team!$A355,"")</f>
      </c>
      <c r="C355" t="str">
        <f>IF(Team!$B355="Sales Manager",Team!$A355,"")</f>
      </c>
    </row>
    <row r="356">
      <c r="A356" t="str">
        <f>IF(Team!$B356="Vice Director",Team!$A356,"")</f>
      </c>
      <c r="B356" t="str">
        <f>IF(Team!$B356="Senior Sales Manager",Team!$A356,"")</f>
      </c>
      <c r="C356" t="str">
        <f>IF(Team!$B356="Sales Manager",Team!$A356,"")</f>
      </c>
    </row>
    <row r="357">
      <c r="A357" t="str">
        <f>IF(Team!$B357="Vice Director",Team!$A357,"")</f>
      </c>
      <c r="B357" t="str">
        <f>IF(Team!$B357="Senior Sales Manager",Team!$A357,"")</f>
      </c>
      <c r="C357" t="str">
        <f>IF(Team!$B357="Sales Manager",Team!$A357,"")</f>
      </c>
    </row>
    <row r="358">
      <c r="A358" t="str">
        <f>IF(Team!$B358="Vice Director",Team!$A358,"")</f>
      </c>
      <c r="B358" t="str">
        <f>IF(Team!$B358="Senior Sales Manager",Team!$A358,"")</f>
      </c>
      <c r="C358" t="str">
        <f>IF(Team!$B358="Sales Manager",Team!$A358,"")</f>
      </c>
    </row>
    <row r="359">
      <c r="A359" t="str">
        <f>IF(Team!$B359="Vice Director",Team!$A359,"")</f>
      </c>
      <c r="B359" t="str">
        <f>IF(Team!$B359="Senior Sales Manager",Team!$A359,"")</f>
      </c>
      <c r="C359" t="str">
        <f>IF(Team!$B359="Sales Manager",Team!$A359,"")</f>
      </c>
    </row>
    <row r="360">
      <c r="A360" t="str">
        <f>IF(Team!$B360="Vice Director",Team!$A360,"")</f>
      </c>
      <c r="B360" t="str">
        <f>IF(Team!$B360="Senior Sales Manager",Team!$A360,"")</f>
      </c>
      <c r="C360" t="str">
        <f>IF(Team!$B360="Sales Manager",Team!$A360,"")</f>
      </c>
    </row>
    <row r="361">
      <c r="A361" t="str">
        <f>IF(Team!$B361="Vice Director",Team!$A361,"")</f>
      </c>
      <c r="B361" t="str">
        <f>IF(Team!$B361="Senior Sales Manager",Team!$A361,"")</f>
      </c>
      <c r="C361" t="str">
        <f>IF(Team!$B361="Sales Manager",Team!$A361,"")</f>
      </c>
    </row>
    <row r="362">
      <c r="A362" t="str">
        <f>IF(Team!$B362="Vice Director",Team!$A362,"")</f>
      </c>
      <c r="B362" t="str">
        <f>IF(Team!$B362="Senior Sales Manager",Team!$A362,"")</f>
      </c>
      <c r="C362" t="str">
        <f>IF(Team!$B362="Sales Manager",Team!$A362,"")</f>
      </c>
    </row>
    <row r="363">
      <c r="A363" t="str">
        <f>IF(Team!$B363="Vice Director",Team!$A363,"")</f>
      </c>
      <c r="B363" t="str">
        <f>IF(Team!$B363="Senior Sales Manager",Team!$A363,"")</f>
      </c>
      <c r="C363" t="str">
        <f>IF(Team!$B363="Sales Manager",Team!$A363,"")</f>
      </c>
    </row>
    <row r="364">
      <c r="A364" t="str">
        <f>IF(Team!$B364="Vice Director",Team!$A364,"")</f>
      </c>
      <c r="B364" t="str">
        <f>IF(Team!$B364="Senior Sales Manager",Team!$A364,"")</f>
      </c>
      <c r="C364" t="str">
        <f>IF(Team!$B364="Sales Manager",Team!$A364,"")</f>
      </c>
    </row>
    <row r="365">
      <c r="A365" t="str">
        <f>IF(Team!$B365="Vice Director",Team!$A365,"")</f>
      </c>
      <c r="B365" t="str">
        <f>IF(Team!$B365="Senior Sales Manager",Team!$A365,"")</f>
      </c>
      <c r="C365" t="str">
        <f>IF(Team!$B365="Sales Manager",Team!$A365,"")</f>
      </c>
    </row>
    <row r="366">
      <c r="A366" t="str">
        <f>IF(Team!$B366="Vice Director",Team!$A366,"")</f>
      </c>
      <c r="B366" t="str">
        <f>IF(Team!$B366="Senior Sales Manager",Team!$A366,"")</f>
      </c>
      <c r="C366" t="str">
        <f>IF(Team!$B366="Sales Manager",Team!$A366,"")</f>
      </c>
    </row>
    <row r="367">
      <c r="A367" t="str">
        <f>IF(Team!$B367="Vice Director",Team!$A367,"")</f>
      </c>
      <c r="B367" t="str">
        <f>IF(Team!$B367="Senior Sales Manager",Team!$A367,"")</f>
      </c>
      <c r="C367" t="str">
        <f>IF(Team!$B367="Sales Manager",Team!$A367,"")</f>
      </c>
    </row>
    <row r="368">
      <c r="A368" t="str">
        <f>IF(Team!$B368="Vice Director",Team!$A368,"")</f>
      </c>
      <c r="B368" t="str">
        <f>IF(Team!$B368="Senior Sales Manager",Team!$A368,"")</f>
      </c>
      <c r="C368" t="str">
        <f>IF(Team!$B368="Sales Manager",Team!$A368,"")</f>
      </c>
    </row>
    <row r="369">
      <c r="A369" t="str">
        <f>IF(Team!$B369="Vice Director",Team!$A369,"")</f>
      </c>
      <c r="B369" t="str">
        <f>IF(Team!$B369="Senior Sales Manager",Team!$A369,"")</f>
      </c>
      <c r="C369" t="str">
        <f>IF(Team!$B369="Sales Manager",Team!$A369,"")</f>
      </c>
    </row>
    <row r="370">
      <c r="A370" t="str">
        <f>IF(Team!$B370="Vice Director",Team!$A370,"")</f>
      </c>
      <c r="B370" t="str">
        <f>IF(Team!$B370="Senior Sales Manager",Team!$A370,"")</f>
      </c>
      <c r="C370" t="str">
        <f>IF(Team!$B370="Sales Manager",Team!$A370,"")</f>
      </c>
    </row>
    <row r="371">
      <c r="A371" t="str">
        <f>IF(Team!$B371="Vice Director",Team!$A371,"")</f>
      </c>
      <c r="B371" t="str">
        <f>IF(Team!$B371="Senior Sales Manager",Team!$A371,"")</f>
      </c>
      <c r="C371" t="str">
        <f>IF(Team!$B371="Sales Manager",Team!$A371,"")</f>
      </c>
    </row>
    <row r="372">
      <c r="A372" t="str">
        <f>IF(Team!$B372="Vice Director",Team!$A372,"")</f>
      </c>
      <c r="B372" t="str">
        <f>IF(Team!$B372="Senior Sales Manager",Team!$A372,"")</f>
      </c>
      <c r="C372" t="str">
        <f>IF(Team!$B372="Sales Manager",Team!$A372,"")</f>
      </c>
    </row>
    <row r="373">
      <c r="A373" t="str">
        <f>IF(Team!$B373="Vice Director",Team!$A373,"")</f>
      </c>
      <c r="B373" t="str">
        <f>IF(Team!$B373="Senior Sales Manager",Team!$A373,"")</f>
      </c>
      <c r="C373" t="str">
        <f>IF(Team!$B373="Sales Manager",Team!$A373,"")</f>
      </c>
    </row>
    <row r="374">
      <c r="A374" t="str">
        <f>IF(Team!$B374="Vice Director",Team!$A374,"")</f>
      </c>
      <c r="B374" t="str">
        <f>IF(Team!$B374="Senior Sales Manager",Team!$A374,"")</f>
      </c>
      <c r="C374" t="str">
        <f>IF(Team!$B374="Sales Manager",Team!$A374,"")</f>
      </c>
    </row>
    <row r="375">
      <c r="A375" t="str">
        <f>IF(Team!$B375="Vice Director",Team!$A375,"")</f>
      </c>
      <c r="B375" t="str">
        <f>IF(Team!$B375="Senior Sales Manager",Team!$A375,"")</f>
      </c>
      <c r="C375" t="str">
        <f>IF(Team!$B375="Sales Manager",Team!$A375,"")</f>
      </c>
    </row>
    <row r="376">
      <c r="A376" t="str">
        <f>IF(Team!$B376="Vice Director",Team!$A376,"")</f>
      </c>
      <c r="B376" t="str">
        <f>IF(Team!$B376="Senior Sales Manager",Team!$A376,"")</f>
      </c>
      <c r="C376" t="str">
        <f>IF(Team!$B376="Sales Manager",Team!$A376,"")</f>
      </c>
    </row>
    <row r="377">
      <c r="A377" t="str">
        <f>IF(Team!$B377="Vice Director",Team!$A377,"")</f>
      </c>
      <c r="B377" t="str">
        <f>IF(Team!$B377="Senior Sales Manager",Team!$A377,"")</f>
      </c>
      <c r="C377" t="str">
        <f>IF(Team!$B377="Sales Manager",Team!$A377,"")</f>
      </c>
    </row>
    <row r="378">
      <c r="A378" t="str">
        <f>IF(Team!$B378="Vice Director",Team!$A378,"")</f>
      </c>
      <c r="B378" t="str">
        <f>IF(Team!$B378="Senior Sales Manager",Team!$A378,"")</f>
      </c>
      <c r="C378" t="str">
        <f>IF(Team!$B378="Sales Manager",Team!$A378,"")</f>
      </c>
    </row>
    <row r="379">
      <c r="A379" t="str">
        <f>IF(Team!$B379="Vice Director",Team!$A379,"")</f>
      </c>
      <c r="B379" t="str">
        <f>IF(Team!$B379="Senior Sales Manager",Team!$A379,"")</f>
      </c>
      <c r="C379" t="str">
        <f>IF(Team!$B379="Sales Manager",Team!$A379,"")</f>
      </c>
    </row>
    <row r="380">
      <c r="A380" t="str">
        <f>IF(Team!$B380="Vice Director",Team!$A380,"")</f>
      </c>
      <c r="B380" t="str">
        <f>IF(Team!$B380="Senior Sales Manager",Team!$A380,"")</f>
      </c>
      <c r="C380" t="str">
        <f>IF(Team!$B380="Sales Manager",Team!$A380,"")</f>
      </c>
    </row>
    <row r="381">
      <c r="A381" t="str">
        <f>IF(Team!$B381="Vice Director",Team!$A381,"")</f>
      </c>
      <c r="B381" t="str">
        <f>IF(Team!$B381="Senior Sales Manager",Team!$A381,"")</f>
      </c>
      <c r="C381" t="str">
        <f>IF(Team!$B381="Sales Manager",Team!$A381,"")</f>
      </c>
    </row>
    <row r="382">
      <c r="A382" t="str">
        <f>IF(Team!$B382="Vice Director",Team!$A382,"")</f>
      </c>
      <c r="B382" t="str">
        <f>IF(Team!$B382="Senior Sales Manager",Team!$A382,"")</f>
      </c>
      <c r="C382" t="str">
        <f>IF(Team!$B382="Sales Manager",Team!$A382,"")</f>
      </c>
    </row>
    <row r="383">
      <c r="A383" t="str">
        <f>IF(Team!$B383="Vice Director",Team!$A383,"")</f>
      </c>
      <c r="B383" t="str">
        <f>IF(Team!$B383="Senior Sales Manager",Team!$A383,"")</f>
      </c>
      <c r="C383" t="str">
        <f>IF(Team!$B383="Sales Manager",Team!$A383,"")</f>
      </c>
    </row>
    <row r="384">
      <c r="A384" t="str">
        <f>IF(Team!$B384="Vice Director",Team!$A384,"")</f>
      </c>
      <c r="B384" t="str">
        <f>IF(Team!$B384="Senior Sales Manager",Team!$A384,"")</f>
      </c>
      <c r="C384" t="str">
        <f>IF(Team!$B384="Sales Manager",Team!$A384,"")</f>
      </c>
    </row>
    <row r="385">
      <c r="A385" t="str">
        <f>IF(Team!$B385="Vice Director",Team!$A385,"")</f>
      </c>
      <c r="B385" t="str">
        <f>IF(Team!$B385="Senior Sales Manager",Team!$A385,"")</f>
      </c>
      <c r="C385" t="str">
        <f>IF(Team!$B385="Sales Manager",Team!$A385,"")</f>
      </c>
    </row>
    <row r="386">
      <c r="A386" t="str">
        <f>IF(Team!$B386="Vice Director",Team!$A386,"")</f>
      </c>
      <c r="B386" t="str">
        <f>IF(Team!$B386="Senior Sales Manager",Team!$A386,"")</f>
      </c>
      <c r="C386" t="str">
        <f>IF(Team!$B386="Sales Manager",Team!$A386,"")</f>
      </c>
    </row>
    <row r="387">
      <c r="A387" t="str">
        <f>IF(Team!$B387="Vice Director",Team!$A387,"")</f>
      </c>
      <c r="B387" t="str">
        <f>IF(Team!$B387="Senior Sales Manager",Team!$A387,"")</f>
      </c>
      <c r="C387" t="str">
        <f>IF(Team!$B387="Sales Manager",Team!$A387,"")</f>
      </c>
    </row>
    <row r="388">
      <c r="A388" t="str">
        <f>IF(Team!$B388="Vice Director",Team!$A388,"")</f>
      </c>
      <c r="B388" t="str">
        <f>IF(Team!$B388="Senior Sales Manager",Team!$A388,"")</f>
      </c>
      <c r="C388" t="str">
        <f>IF(Team!$B388="Sales Manager",Team!$A388,"")</f>
      </c>
    </row>
    <row r="389">
      <c r="A389" t="str">
        <f>IF(Team!$B389="Vice Director",Team!$A389,"")</f>
      </c>
      <c r="B389" t="str">
        <f>IF(Team!$B389="Senior Sales Manager",Team!$A389,"")</f>
      </c>
      <c r="C389" t="str">
        <f>IF(Team!$B389="Sales Manager",Team!$A389,"")</f>
      </c>
    </row>
    <row r="390">
      <c r="A390" t="str">
        <f>IF(Team!$B390="Vice Director",Team!$A390,"")</f>
      </c>
      <c r="B390" t="str">
        <f>IF(Team!$B390="Senior Sales Manager",Team!$A390,"")</f>
      </c>
      <c r="C390" t="str">
        <f>IF(Team!$B390="Sales Manager",Team!$A390,"")</f>
      </c>
    </row>
    <row r="391">
      <c r="A391" t="str">
        <f>IF(Team!$B391="Vice Director",Team!$A391,"")</f>
      </c>
      <c r="B391" t="str">
        <f>IF(Team!$B391="Senior Sales Manager",Team!$A391,"")</f>
      </c>
      <c r="C391" t="str">
        <f>IF(Team!$B391="Sales Manager",Team!$A391,"")</f>
      </c>
    </row>
    <row r="392">
      <c r="A392" t="str">
        <f>IF(Team!$B392="Vice Director",Team!$A392,"")</f>
      </c>
      <c r="B392" t="str">
        <f>IF(Team!$B392="Senior Sales Manager",Team!$A392,"")</f>
      </c>
      <c r="C392" t="str">
        <f>IF(Team!$B392="Sales Manager",Team!$A392,"")</f>
      </c>
    </row>
    <row r="393">
      <c r="A393" t="str">
        <f>IF(Team!$B393="Vice Director",Team!$A393,"")</f>
      </c>
      <c r="B393" t="str">
        <f>IF(Team!$B393="Senior Sales Manager",Team!$A393,"")</f>
      </c>
      <c r="C393" t="str">
        <f>IF(Team!$B393="Sales Manager",Team!$A393,"")</f>
      </c>
    </row>
    <row r="394">
      <c r="A394" t="str">
        <f>IF(Team!$B394="Vice Director",Team!$A394,"")</f>
      </c>
      <c r="B394" t="str">
        <f>IF(Team!$B394="Senior Sales Manager",Team!$A394,"")</f>
      </c>
      <c r="C394" t="str">
        <f>IF(Team!$B394="Sales Manager",Team!$A394,"")</f>
      </c>
    </row>
    <row r="395">
      <c r="A395" t="str">
        <f>IF(Team!$B395="Vice Director",Team!$A395,"")</f>
      </c>
      <c r="B395" t="str">
        <f>IF(Team!$B395="Senior Sales Manager",Team!$A395,"")</f>
      </c>
      <c r="C395" t="str">
        <f>IF(Team!$B395="Sales Manager",Team!$A395,"")</f>
      </c>
    </row>
    <row r="396">
      <c r="A396" t="str">
        <f>IF(Team!$B396="Vice Director",Team!$A396,"")</f>
      </c>
      <c r="B396" t="str">
        <f>IF(Team!$B396="Senior Sales Manager",Team!$A396,"")</f>
      </c>
      <c r="C396" t="str">
        <f>IF(Team!$B396="Sales Manager",Team!$A396,"")</f>
      </c>
    </row>
    <row r="397">
      <c r="A397" t="str">
        <f>IF(Team!$B397="Vice Director",Team!$A397,"")</f>
      </c>
      <c r="B397" t="str">
        <f>IF(Team!$B397="Senior Sales Manager",Team!$A397,"")</f>
      </c>
      <c r="C397" t="str">
        <f>IF(Team!$B397="Sales Manager",Team!$A397,"")</f>
      </c>
    </row>
    <row r="398">
      <c r="A398" t="str">
        <f>IF(Team!$B398="Vice Director",Team!$A398,"")</f>
      </c>
      <c r="B398" t="str">
        <f>IF(Team!$B398="Senior Sales Manager",Team!$A398,"")</f>
      </c>
      <c r="C398" t="str">
        <f>IF(Team!$B398="Sales Manager",Team!$A398,"")</f>
      </c>
    </row>
    <row r="399">
      <c r="A399" t="str">
        <f>IF(Team!$B399="Vice Director",Team!$A399,"")</f>
      </c>
      <c r="B399" t="str">
        <f>IF(Team!$B399="Senior Sales Manager",Team!$A399,"")</f>
      </c>
      <c r="C399" t="str">
        <f>IF(Team!$B399="Sales Manager",Team!$A399,"")</f>
      </c>
    </row>
    <row r="400">
      <c r="A400" t="str">
        <f>IF(Team!$B400="Vice Director",Team!$A400,"")</f>
      </c>
      <c r="B400" t="str">
        <f>IF(Team!$B400="Senior Sales Manager",Team!$A400,"")</f>
      </c>
      <c r="C400" t="str">
        <f>IF(Team!$B400="Sales Manager",Team!$A400,"")</f>
      </c>
    </row>
    <row r="401">
      <c r="A401" t="str">
        <f>IF(Team!$B401="Vice Director",Team!$A401,"")</f>
      </c>
      <c r="B401" t="str">
        <f>IF(Team!$B401="Senior Sales Manager",Team!$A401,"")</f>
      </c>
      <c r="C401" t="str">
        <f>IF(Team!$B401="Sales Manager",Team!$A401,"")</f>
      </c>
    </row>
    <row r="402">
      <c r="A402" t="str">
        <f>IF(Team!$B402="Vice Director",Team!$A402,"")</f>
      </c>
      <c r="B402" t="str">
        <f>IF(Team!$B402="Senior Sales Manager",Team!$A402,"")</f>
      </c>
      <c r="C402" t="str">
        <f>IF(Team!$B402="Sales Manager",Team!$A402,"")</f>
      </c>
    </row>
    <row r="403">
      <c r="A403" t="str">
        <f>IF(Team!$B403="Vice Director",Team!$A403,"")</f>
      </c>
      <c r="B403" t="str">
        <f>IF(Team!$B403="Senior Sales Manager",Team!$A403,"")</f>
      </c>
      <c r="C403" t="str">
        <f>IF(Team!$B403="Sales Manager",Team!$A403,"")</f>
      </c>
    </row>
    <row r="404">
      <c r="A404" t="str">
        <f>IF(Team!$B404="Vice Director",Team!$A404,"")</f>
      </c>
      <c r="B404" t="str">
        <f>IF(Team!$B404="Senior Sales Manager",Team!$A404,"")</f>
      </c>
      <c r="C404" t="str">
        <f>IF(Team!$B404="Sales Manager",Team!$A404,"")</f>
      </c>
    </row>
    <row r="405">
      <c r="A405" t="str">
        <f>IF(Team!$B405="Vice Director",Team!$A405,"")</f>
      </c>
      <c r="B405" t="str">
        <f>IF(Team!$B405="Senior Sales Manager",Team!$A405,"")</f>
      </c>
      <c r="C405" t="str">
        <f>IF(Team!$B405="Sales Manager",Team!$A405,"")</f>
      </c>
    </row>
    <row r="406">
      <c r="A406" t="str">
        <f>IF(Team!$B406="Vice Director",Team!$A406,"")</f>
      </c>
      <c r="B406" t="str">
        <f>IF(Team!$B406="Senior Sales Manager",Team!$A406,"")</f>
      </c>
      <c r="C406" t="str">
        <f>IF(Team!$B406="Sales Manager",Team!$A406,"")</f>
      </c>
    </row>
    <row r="407">
      <c r="A407" t="str">
        <f>IF(Team!$B407="Vice Director",Team!$A407,"")</f>
      </c>
      <c r="B407" t="str">
        <f>IF(Team!$B407="Senior Sales Manager",Team!$A407,"")</f>
      </c>
      <c r="C407" t="str">
        <f>IF(Team!$B407="Sales Manager",Team!$A407,"")</f>
      </c>
    </row>
    <row r="408">
      <c r="A408" t="str">
        <f>IF(Team!$B408="Vice Director",Team!$A408,"")</f>
      </c>
      <c r="B408" t="str">
        <f>IF(Team!$B408="Senior Sales Manager",Team!$A408,"")</f>
      </c>
      <c r="C408" t="str">
        <f>IF(Team!$B408="Sales Manager",Team!$A408,"")</f>
      </c>
    </row>
    <row r="409">
      <c r="A409" t="str">
        <f>IF(Team!$B409="Vice Director",Team!$A409,"")</f>
      </c>
      <c r="B409" t="str">
        <f>IF(Team!$B409="Senior Sales Manager",Team!$A409,"")</f>
      </c>
      <c r="C409" t="str">
        <f>IF(Team!$B409="Sales Manager",Team!$A409,"")</f>
      </c>
    </row>
    <row r="410">
      <c r="A410" t="str">
        <f>IF(Team!$B410="Vice Director",Team!$A410,"")</f>
      </c>
      <c r="B410" t="str">
        <f>IF(Team!$B410="Senior Sales Manager",Team!$A410,"")</f>
      </c>
      <c r="C410" t="str">
        <f>IF(Team!$B410="Sales Manager",Team!$A410,"")</f>
      </c>
    </row>
    <row r="411">
      <c r="A411" t="str">
        <f>IF(Team!$B411="Vice Director",Team!$A411,"")</f>
      </c>
      <c r="B411" t="str">
        <f>IF(Team!$B411="Senior Sales Manager",Team!$A411,"")</f>
      </c>
      <c r="C411" t="str">
        <f>IF(Team!$B411="Sales Manager",Team!$A411,"")</f>
      </c>
    </row>
    <row r="412">
      <c r="A412" t="str">
        <f>IF(Team!$B412="Vice Director",Team!$A412,"")</f>
      </c>
      <c r="B412" t="str">
        <f>IF(Team!$B412="Senior Sales Manager",Team!$A412,"")</f>
      </c>
      <c r="C412" t="str">
        <f>IF(Team!$B412="Sales Manager",Team!$A412,"")</f>
      </c>
    </row>
    <row r="413">
      <c r="A413" t="str">
        <f>IF(Team!$B413="Vice Director",Team!$A413,"")</f>
      </c>
      <c r="B413" t="str">
        <f>IF(Team!$B413="Senior Sales Manager",Team!$A413,"")</f>
      </c>
      <c r="C413" t="str">
        <f>IF(Team!$B413="Sales Manager",Team!$A413,"")</f>
      </c>
    </row>
    <row r="414">
      <c r="A414" t="str">
        <f>IF(Team!$B414="Vice Director",Team!$A414,"")</f>
      </c>
      <c r="B414" t="str">
        <f>IF(Team!$B414="Senior Sales Manager",Team!$A414,"")</f>
      </c>
      <c r="C414" t="str">
        <f>IF(Team!$B414="Sales Manager",Team!$A414,"")</f>
      </c>
    </row>
    <row r="415">
      <c r="A415" t="str">
        <f>IF(Team!$B415="Vice Director",Team!$A415,"")</f>
      </c>
      <c r="B415" t="str">
        <f>IF(Team!$B415="Senior Sales Manager",Team!$A415,"")</f>
      </c>
      <c r="C415" t="str">
        <f>IF(Team!$B415="Sales Manager",Team!$A415,"")</f>
      </c>
    </row>
    <row r="416">
      <c r="A416" t="str">
        <f>IF(Team!$B416="Vice Director",Team!$A416,"")</f>
      </c>
      <c r="B416" t="str">
        <f>IF(Team!$B416="Senior Sales Manager",Team!$A416,"")</f>
      </c>
      <c r="C416" t="str">
        <f>IF(Team!$B416="Sales Manager",Team!$A416,"")</f>
      </c>
    </row>
    <row r="417">
      <c r="A417" t="str">
        <f>IF(Team!$B417="Vice Director",Team!$A417,"")</f>
      </c>
      <c r="B417" t="str">
        <f>IF(Team!$B417="Senior Sales Manager",Team!$A417,"")</f>
      </c>
      <c r="C417" t="str">
        <f>IF(Team!$B417="Sales Manager",Team!$A417,"")</f>
      </c>
    </row>
    <row r="418">
      <c r="A418" t="str">
        <f>IF(Team!$B418="Vice Director",Team!$A418,"")</f>
      </c>
      <c r="B418" t="str">
        <f>IF(Team!$B418="Senior Sales Manager",Team!$A418,"")</f>
      </c>
      <c r="C418" t="str">
        <f>IF(Team!$B418="Sales Manager",Team!$A418,"")</f>
      </c>
    </row>
    <row r="419">
      <c r="A419" t="str">
        <f>IF(Team!$B419="Vice Director",Team!$A419,"")</f>
      </c>
      <c r="B419" t="str">
        <f>IF(Team!$B419="Senior Sales Manager",Team!$A419,"")</f>
      </c>
      <c r="C419" t="str">
        <f>IF(Team!$B419="Sales Manager",Team!$A419,"")</f>
      </c>
    </row>
    <row r="420">
      <c r="A420" t="str">
        <f>IF(Team!$B420="Vice Director",Team!$A420,"")</f>
      </c>
      <c r="B420" t="str">
        <f>IF(Team!$B420="Senior Sales Manager",Team!$A420,"")</f>
      </c>
      <c r="C420" t="str">
        <f>IF(Team!$B420="Sales Manager",Team!$A420,"")</f>
      </c>
    </row>
    <row r="421">
      <c r="A421" t="str">
        <f>IF(Team!$B421="Vice Director",Team!$A421,"")</f>
      </c>
      <c r="B421" t="str">
        <f>IF(Team!$B421="Senior Sales Manager",Team!$A421,"")</f>
      </c>
      <c r="C421" t="str">
        <f>IF(Team!$B421="Sales Manager",Team!$A421,"")</f>
      </c>
    </row>
    <row r="422">
      <c r="A422" t="str">
        <f>IF(Team!$B422="Vice Director",Team!$A422,"")</f>
      </c>
      <c r="B422" t="str">
        <f>IF(Team!$B422="Senior Sales Manager",Team!$A422,"")</f>
      </c>
      <c r="C422" t="str">
        <f>IF(Team!$B422="Sales Manager",Team!$A422,"")</f>
      </c>
    </row>
    <row r="423">
      <c r="A423" t="str">
        <f>IF(Team!$B423="Vice Director",Team!$A423,"")</f>
      </c>
      <c r="B423" t="str">
        <f>IF(Team!$B423="Senior Sales Manager",Team!$A423,"")</f>
      </c>
      <c r="C423" t="str">
        <f>IF(Team!$B423="Sales Manager",Team!$A423,"")</f>
      </c>
    </row>
    <row r="424">
      <c r="A424" t="str">
        <f>IF(Team!$B424="Vice Director",Team!$A424,"")</f>
      </c>
      <c r="B424" t="str">
        <f>IF(Team!$B424="Senior Sales Manager",Team!$A424,"")</f>
      </c>
      <c r="C424" t="str">
        <f>IF(Team!$B424="Sales Manager",Team!$A424,"")</f>
      </c>
    </row>
    <row r="425">
      <c r="A425" t="str">
        <f>IF(Team!$B425="Vice Director",Team!$A425,"")</f>
      </c>
      <c r="B425" t="str">
        <f>IF(Team!$B425="Senior Sales Manager",Team!$A425,"")</f>
      </c>
      <c r="C425" t="str">
        <f>IF(Team!$B425="Sales Manager",Team!$A425,"")</f>
      </c>
    </row>
    <row r="426">
      <c r="A426" t="str">
        <f>IF(Team!$B426="Vice Director",Team!$A426,"")</f>
      </c>
      <c r="B426" t="str">
        <f>IF(Team!$B426="Senior Sales Manager",Team!$A426,"")</f>
      </c>
      <c r="C426" t="str">
        <f>IF(Team!$B426="Sales Manager",Team!$A426,"")</f>
      </c>
    </row>
    <row r="427">
      <c r="A427" t="str">
        <f>IF(Team!$B427="Vice Director",Team!$A427,"")</f>
      </c>
      <c r="B427" t="str">
        <f>IF(Team!$B427="Senior Sales Manager",Team!$A427,"")</f>
      </c>
      <c r="C427" t="str">
        <f>IF(Team!$B427="Sales Manager",Team!$A427,"")</f>
      </c>
    </row>
    <row r="428">
      <c r="A428" t="str">
        <f>IF(Team!$B428="Vice Director",Team!$A428,"")</f>
      </c>
      <c r="B428" t="str">
        <f>IF(Team!$B428="Senior Sales Manager",Team!$A428,"")</f>
      </c>
      <c r="C428" t="str">
        <f>IF(Team!$B428="Sales Manager",Team!$A428,"")</f>
      </c>
    </row>
    <row r="429">
      <c r="A429" t="str">
        <f>IF(Team!$B429="Vice Director",Team!$A429,"")</f>
      </c>
      <c r="B429" t="str">
        <f>IF(Team!$B429="Senior Sales Manager",Team!$A429,"")</f>
      </c>
      <c r="C429" t="str">
        <f>IF(Team!$B429="Sales Manager",Team!$A429,"")</f>
      </c>
    </row>
    <row r="430">
      <c r="A430" t="str">
        <f>IF(Team!$B430="Vice Director",Team!$A430,"")</f>
      </c>
      <c r="B430" t="str">
        <f>IF(Team!$B430="Senior Sales Manager",Team!$A430,"")</f>
      </c>
      <c r="C430" t="str">
        <f>IF(Team!$B430="Sales Manager",Team!$A430,"")</f>
      </c>
    </row>
    <row r="431">
      <c r="A431" t="str">
        <f>IF(Team!$B431="Vice Director",Team!$A431,"")</f>
      </c>
      <c r="B431" t="str">
        <f>IF(Team!$B431="Senior Sales Manager",Team!$A431,"")</f>
      </c>
      <c r="C431" t="str">
        <f>IF(Team!$B431="Sales Manager",Team!$A431,"")</f>
      </c>
    </row>
    <row r="432">
      <c r="A432" t="str">
        <f>IF(Team!$B432="Vice Director",Team!$A432,"")</f>
      </c>
      <c r="B432" t="str">
        <f>IF(Team!$B432="Senior Sales Manager",Team!$A432,"")</f>
      </c>
      <c r="C432" t="str">
        <f>IF(Team!$B432="Sales Manager",Team!$A432,"")</f>
      </c>
    </row>
    <row r="433">
      <c r="A433" t="str">
        <f>IF(Team!$B433="Vice Director",Team!$A433,"")</f>
      </c>
      <c r="B433" t="str">
        <f>IF(Team!$B433="Senior Sales Manager",Team!$A433,"")</f>
      </c>
      <c r="C433" t="str">
        <f>IF(Team!$B433="Sales Manager",Team!$A433,"")</f>
      </c>
    </row>
    <row r="434">
      <c r="A434" t="str">
        <f>IF(Team!$B434="Vice Director",Team!$A434,"")</f>
      </c>
      <c r="B434" t="str">
        <f>IF(Team!$B434="Senior Sales Manager",Team!$A434,"")</f>
      </c>
      <c r="C434" t="str">
        <f>IF(Team!$B434="Sales Manager",Team!$A434,"")</f>
      </c>
    </row>
    <row r="435">
      <c r="A435" t="str">
        <f>IF(Team!$B435="Vice Director",Team!$A435,"")</f>
      </c>
      <c r="B435" t="str">
        <f>IF(Team!$B435="Senior Sales Manager",Team!$A435,"")</f>
      </c>
      <c r="C435" t="str">
        <f>IF(Team!$B435="Sales Manager",Team!$A435,"")</f>
      </c>
    </row>
    <row r="436">
      <c r="A436" t="str">
        <f>IF(Team!$B436="Vice Director",Team!$A436,"")</f>
      </c>
      <c r="B436" t="str">
        <f>IF(Team!$B436="Senior Sales Manager",Team!$A436,"")</f>
      </c>
      <c r="C436" t="str">
        <f>IF(Team!$B436="Sales Manager",Team!$A436,"")</f>
      </c>
    </row>
    <row r="437">
      <c r="A437" t="str">
        <f>IF(Team!$B437="Vice Director",Team!$A437,"")</f>
      </c>
      <c r="B437" t="str">
        <f>IF(Team!$B437="Senior Sales Manager",Team!$A437,"")</f>
      </c>
      <c r="C437" t="str">
        <f>IF(Team!$B437="Sales Manager",Team!$A437,"")</f>
      </c>
    </row>
    <row r="438">
      <c r="A438" t="str">
        <f>IF(Team!$B438="Vice Director",Team!$A438,"")</f>
      </c>
      <c r="B438" t="str">
        <f>IF(Team!$B438="Senior Sales Manager",Team!$A438,"")</f>
      </c>
      <c r="C438" t="str">
        <f>IF(Team!$B438="Sales Manager",Team!$A438,"")</f>
      </c>
    </row>
    <row r="439">
      <c r="A439" t="str">
        <f>IF(Team!$B439="Vice Director",Team!$A439,"")</f>
      </c>
      <c r="B439" t="str">
        <f>IF(Team!$B439="Senior Sales Manager",Team!$A439,"")</f>
      </c>
      <c r="C439" t="str">
        <f>IF(Team!$B439="Sales Manager",Team!$A439,"")</f>
      </c>
    </row>
    <row r="440">
      <c r="A440" t="str">
        <f>IF(Team!$B440="Vice Director",Team!$A440,"")</f>
      </c>
      <c r="B440" t="str">
        <f>IF(Team!$B440="Senior Sales Manager",Team!$A440,"")</f>
      </c>
      <c r="C440" t="str">
        <f>IF(Team!$B440="Sales Manager",Team!$A440,"")</f>
      </c>
    </row>
    <row r="441">
      <c r="A441" t="str">
        <f>IF(Team!$B441="Vice Director",Team!$A441,"")</f>
      </c>
      <c r="B441" t="str">
        <f>IF(Team!$B441="Senior Sales Manager",Team!$A441,"")</f>
      </c>
      <c r="C441" t="str">
        <f>IF(Team!$B441="Sales Manager",Team!$A441,"")</f>
      </c>
    </row>
    <row r="442">
      <c r="A442" t="str">
        <f>IF(Team!$B442="Vice Director",Team!$A442,"")</f>
      </c>
      <c r="B442" t="str">
        <f>IF(Team!$B442="Senior Sales Manager",Team!$A442,"")</f>
      </c>
      <c r="C442" t="str">
        <f>IF(Team!$B442="Sales Manager",Team!$A442,"")</f>
      </c>
    </row>
    <row r="443">
      <c r="A443" t="str">
        <f>IF(Team!$B443="Vice Director",Team!$A443,"")</f>
      </c>
      <c r="B443" t="str">
        <f>IF(Team!$B443="Senior Sales Manager",Team!$A443,"")</f>
      </c>
      <c r="C443" t="str">
        <f>IF(Team!$B443="Sales Manager",Team!$A443,"")</f>
      </c>
    </row>
    <row r="444">
      <c r="A444" t="str">
        <f>IF(Team!$B444="Vice Director",Team!$A444,"")</f>
      </c>
      <c r="B444" t="str">
        <f>IF(Team!$B444="Senior Sales Manager",Team!$A444,"")</f>
      </c>
      <c r="C444" t="str">
        <f>IF(Team!$B444="Sales Manager",Team!$A444,"")</f>
      </c>
    </row>
    <row r="445">
      <c r="A445" t="str">
        <f>IF(Team!$B445="Vice Director",Team!$A445,"")</f>
      </c>
      <c r="B445" t="str">
        <f>IF(Team!$B445="Senior Sales Manager",Team!$A445,"")</f>
      </c>
      <c r="C445" t="str">
        <f>IF(Team!$B445="Sales Manager",Team!$A445,"")</f>
      </c>
    </row>
    <row r="446">
      <c r="A446" t="str">
        <f>IF(Team!$B446="Vice Director",Team!$A446,"")</f>
      </c>
      <c r="B446" t="str">
        <f>IF(Team!$B446="Senior Sales Manager",Team!$A446,"")</f>
      </c>
      <c r="C446" t="str">
        <f>IF(Team!$B446="Sales Manager",Team!$A446,"")</f>
      </c>
    </row>
    <row r="447">
      <c r="A447" t="str">
        <f>IF(Team!$B447="Vice Director",Team!$A447,"")</f>
      </c>
      <c r="B447" t="str">
        <f>IF(Team!$B447="Senior Sales Manager",Team!$A447,"")</f>
      </c>
      <c r="C447" t="str">
        <f>IF(Team!$B447="Sales Manager",Team!$A447,"")</f>
      </c>
    </row>
    <row r="448">
      <c r="A448" t="str">
        <f>IF(Team!$B448="Vice Director",Team!$A448,"")</f>
      </c>
      <c r="B448" t="str">
        <f>IF(Team!$B448="Senior Sales Manager",Team!$A448,"")</f>
      </c>
      <c r="C448" t="str">
        <f>IF(Team!$B448="Sales Manager",Team!$A448,"")</f>
      </c>
    </row>
    <row r="449">
      <c r="A449" t="str">
        <f>IF(Team!$B449="Vice Director",Team!$A449,"")</f>
      </c>
      <c r="B449" t="str">
        <f>IF(Team!$B449="Senior Sales Manager",Team!$A449,"")</f>
      </c>
      <c r="C449" t="str">
        <f>IF(Team!$B449="Sales Manager",Team!$A449,"")</f>
      </c>
    </row>
    <row r="450">
      <c r="A450" t="str">
        <f>IF(Team!$B450="Vice Director",Team!$A450,"")</f>
      </c>
      <c r="B450" t="str">
        <f>IF(Team!$B450="Senior Sales Manager",Team!$A450,"")</f>
      </c>
      <c r="C450" t="str">
        <f>IF(Team!$B450="Sales Manager",Team!$A450,"")</f>
      </c>
    </row>
    <row r="451">
      <c r="A451" t="str">
        <f>IF(Team!$B451="Vice Director",Team!$A451,"")</f>
      </c>
      <c r="B451" t="str">
        <f>IF(Team!$B451="Senior Sales Manager",Team!$A451,"")</f>
      </c>
      <c r="C451" t="str">
        <f>IF(Team!$B451="Sales Manager",Team!$A451,"")</f>
      </c>
    </row>
    <row r="452">
      <c r="A452" t="str">
        <f>IF(Team!$B452="Vice Director",Team!$A452,"")</f>
      </c>
      <c r="B452" t="str">
        <f>IF(Team!$B452="Senior Sales Manager",Team!$A452,"")</f>
      </c>
      <c r="C452" t="str">
        <f>IF(Team!$B452="Sales Manager",Team!$A452,"")</f>
      </c>
    </row>
    <row r="453">
      <c r="A453" t="str">
        <f>IF(Team!$B453="Vice Director",Team!$A453,"")</f>
      </c>
      <c r="B453" t="str">
        <f>IF(Team!$B453="Senior Sales Manager",Team!$A453,"")</f>
      </c>
      <c r="C453" t="str">
        <f>IF(Team!$B453="Sales Manager",Team!$A453,"")</f>
      </c>
    </row>
    <row r="454">
      <c r="A454" t="str">
        <f>IF(Team!$B454="Vice Director",Team!$A454,"")</f>
      </c>
      <c r="B454" t="str">
        <f>IF(Team!$B454="Senior Sales Manager",Team!$A454,"")</f>
      </c>
      <c r="C454" t="str">
        <f>IF(Team!$B454="Sales Manager",Team!$A454,"")</f>
      </c>
    </row>
    <row r="455">
      <c r="A455" t="str">
        <f>IF(Team!$B455="Vice Director",Team!$A455,"")</f>
      </c>
      <c r="B455" t="str">
        <f>IF(Team!$B455="Senior Sales Manager",Team!$A455,"")</f>
      </c>
      <c r="C455" t="str">
        <f>IF(Team!$B455="Sales Manager",Team!$A455,"")</f>
      </c>
    </row>
    <row r="456">
      <c r="A456" t="str">
        <f>IF(Team!$B456="Vice Director",Team!$A456,"")</f>
      </c>
      <c r="B456" t="str">
        <f>IF(Team!$B456="Senior Sales Manager",Team!$A456,"")</f>
      </c>
      <c r="C456" t="str">
        <f>IF(Team!$B456="Sales Manager",Team!$A456,"")</f>
      </c>
    </row>
    <row r="457">
      <c r="A457" t="str">
        <f>IF(Team!$B457="Vice Director",Team!$A457,"")</f>
      </c>
      <c r="B457" t="str">
        <f>IF(Team!$B457="Senior Sales Manager",Team!$A457,"")</f>
      </c>
      <c r="C457" t="str">
        <f>IF(Team!$B457="Sales Manager",Team!$A457,"")</f>
      </c>
    </row>
    <row r="458">
      <c r="A458" t="str">
        <f>IF(Team!$B458="Vice Director",Team!$A458,"")</f>
      </c>
      <c r="B458" t="str">
        <f>IF(Team!$B458="Senior Sales Manager",Team!$A458,"")</f>
      </c>
      <c r="C458" t="str">
        <f>IF(Team!$B458="Sales Manager",Team!$A458,"")</f>
      </c>
    </row>
    <row r="459">
      <c r="A459" t="str">
        <f>IF(Team!$B459="Vice Director",Team!$A459,"")</f>
      </c>
      <c r="B459" t="str">
        <f>IF(Team!$B459="Senior Sales Manager",Team!$A459,"")</f>
      </c>
      <c r="C459" t="str">
        <f>IF(Team!$B459="Sales Manager",Team!$A459,"")</f>
      </c>
    </row>
    <row r="460">
      <c r="A460" t="str">
        <f>IF(Team!$B460="Vice Director",Team!$A460,"")</f>
      </c>
      <c r="B460" t="str">
        <f>IF(Team!$B460="Senior Sales Manager",Team!$A460,"")</f>
      </c>
      <c r="C460" t="str">
        <f>IF(Team!$B460="Sales Manager",Team!$A460,"")</f>
      </c>
    </row>
    <row r="461">
      <c r="A461" t="str">
        <f>IF(Team!$B461="Vice Director",Team!$A461,"")</f>
      </c>
      <c r="B461" t="str">
        <f>IF(Team!$B461="Senior Sales Manager",Team!$A461,"")</f>
      </c>
      <c r="C461" t="str">
        <f>IF(Team!$B461="Sales Manager",Team!$A461,"")</f>
      </c>
    </row>
    <row r="462">
      <c r="A462" t="str">
        <f>IF(Team!$B462="Vice Director",Team!$A462,"")</f>
      </c>
      <c r="B462" t="str">
        <f>IF(Team!$B462="Senior Sales Manager",Team!$A462,"")</f>
      </c>
      <c r="C462" t="str">
        <f>IF(Team!$B462="Sales Manager",Team!$A462,"")</f>
      </c>
    </row>
    <row r="463">
      <c r="A463" t="str">
        <f>IF(Team!$B463="Vice Director",Team!$A463,"")</f>
      </c>
      <c r="B463" t="str">
        <f>IF(Team!$B463="Senior Sales Manager",Team!$A463,"")</f>
      </c>
      <c r="C463" t="str">
        <f>IF(Team!$B463="Sales Manager",Team!$A463,"")</f>
      </c>
    </row>
    <row r="464">
      <c r="A464" t="str">
        <f>IF(Team!$B464="Vice Director",Team!$A464,"")</f>
      </c>
      <c r="B464" t="str">
        <f>IF(Team!$B464="Senior Sales Manager",Team!$A464,"")</f>
      </c>
      <c r="C464" t="str">
        <f>IF(Team!$B464="Sales Manager",Team!$A464,"")</f>
      </c>
    </row>
    <row r="465">
      <c r="A465" t="str">
        <f>IF(Team!$B465="Vice Director",Team!$A465,"")</f>
      </c>
      <c r="B465" t="str">
        <f>IF(Team!$B465="Senior Sales Manager",Team!$A465,"")</f>
      </c>
      <c r="C465" t="str">
        <f>IF(Team!$B465="Sales Manager",Team!$A465,"")</f>
      </c>
    </row>
    <row r="466">
      <c r="A466" t="str">
        <f>IF(Team!$B466="Vice Director",Team!$A466,"")</f>
      </c>
      <c r="B466" t="str">
        <f>IF(Team!$B466="Senior Sales Manager",Team!$A466,"")</f>
      </c>
      <c r="C466" t="str">
        <f>IF(Team!$B466="Sales Manager",Team!$A466,"")</f>
      </c>
    </row>
    <row r="467">
      <c r="A467" t="str">
        <f>IF(Team!$B467="Vice Director",Team!$A467,"")</f>
      </c>
      <c r="B467" t="str">
        <f>IF(Team!$B467="Senior Sales Manager",Team!$A467,"")</f>
      </c>
      <c r="C467" t="str">
        <f>IF(Team!$B467="Sales Manager",Team!$A467,"")</f>
      </c>
    </row>
    <row r="468">
      <c r="A468" t="str">
        <f>IF(Team!$B468="Vice Director",Team!$A468,"")</f>
      </c>
      <c r="B468" t="str">
        <f>IF(Team!$B468="Senior Sales Manager",Team!$A468,"")</f>
      </c>
      <c r="C468" t="str">
        <f>IF(Team!$B468="Sales Manager",Team!$A468,"")</f>
      </c>
    </row>
    <row r="469">
      <c r="A469" t="str">
        <f>IF(Team!$B469="Vice Director",Team!$A469,"")</f>
      </c>
      <c r="B469" t="str">
        <f>IF(Team!$B469="Senior Sales Manager",Team!$A469,"")</f>
      </c>
      <c r="C469" t="str">
        <f>IF(Team!$B469="Sales Manager",Team!$A469,"")</f>
      </c>
    </row>
    <row r="470">
      <c r="A470" t="str">
        <f>IF(Team!$B470="Vice Director",Team!$A470,"")</f>
      </c>
      <c r="B470" t="str">
        <f>IF(Team!$B470="Senior Sales Manager",Team!$A470,"")</f>
      </c>
      <c r="C470" t="str">
        <f>IF(Team!$B470="Sales Manager",Team!$A470,"")</f>
      </c>
    </row>
    <row r="471">
      <c r="A471" t="str">
        <f>IF(Team!$B471="Vice Director",Team!$A471,"")</f>
      </c>
      <c r="B471" t="str">
        <f>IF(Team!$B471="Senior Sales Manager",Team!$A471,"")</f>
      </c>
      <c r="C471" t="str">
        <f>IF(Team!$B471="Sales Manager",Team!$A471,"")</f>
      </c>
    </row>
    <row r="472">
      <c r="A472" t="str">
        <f>IF(Team!$B472="Vice Director",Team!$A472,"")</f>
      </c>
      <c r="B472" t="str">
        <f>IF(Team!$B472="Senior Sales Manager",Team!$A472,"")</f>
      </c>
      <c r="C472" t="str">
        <f>IF(Team!$B472="Sales Manager",Team!$A472,"")</f>
      </c>
    </row>
    <row r="473">
      <c r="A473" t="str">
        <f>IF(Team!$B473="Vice Director",Team!$A473,"")</f>
      </c>
      <c r="B473" t="str">
        <f>IF(Team!$B473="Senior Sales Manager",Team!$A473,"")</f>
      </c>
      <c r="C473" t="str">
        <f>IF(Team!$B473="Sales Manager",Team!$A473,"")</f>
      </c>
    </row>
    <row r="474">
      <c r="A474" t="str">
        <f>IF(Team!$B474="Vice Director",Team!$A474,"")</f>
      </c>
      <c r="B474" t="str">
        <f>IF(Team!$B474="Senior Sales Manager",Team!$A474,"")</f>
      </c>
      <c r="C474" t="str">
        <f>IF(Team!$B474="Sales Manager",Team!$A474,"")</f>
      </c>
    </row>
    <row r="475">
      <c r="A475" t="str">
        <f>IF(Team!$B475="Vice Director",Team!$A475,"")</f>
      </c>
      <c r="B475" t="str">
        <f>IF(Team!$B475="Senior Sales Manager",Team!$A475,"")</f>
      </c>
      <c r="C475" t="str">
        <f>IF(Team!$B475="Sales Manager",Team!$A475,"")</f>
      </c>
    </row>
    <row r="476">
      <c r="A476" t="str">
        <f>IF(Team!$B476="Vice Director",Team!$A476,"")</f>
      </c>
      <c r="B476" t="str">
        <f>IF(Team!$B476="Senior Sales Manager",Team!$A476,"")</f>
      </c>
      <c r="C476" t="str">
        <f>IF(Team!$B476="Sales Manager",Team!$A476,"")</f>
      </c>
    </row>
    <row r="477">
      <c r="A477" t="str">
        <f>IF(Team!$B477="Vice Director",Team!$A477,"")</f>
      </c>
      <c r="B477" t="str">
        <f>IF(Team!$B477="Senior Sales Manager",Team!$A477,"")</f>
      </c>
      <c r="C477" t="str">
        <f>IF(Team!$B477="Sales Manager",Team!$A477,"")</f>
      </c>
    </row>
    <row r="478">
      <c r="A478" t="str">
        <f>IF(Team!$B478="Vice Director",Team!$A478,"")</f>
      </c>
      <c r="B478" t="str">
        <f>IF(Team!$B478="Senior Sales Manager",Team!$A478,"")</f>
      </c>
      <c r="C478" t="str">
        <f>IF(Team!$B478="Sales Manager",Team!$A478,"")</f>
      </c>
    </row>
    <row r="479">
      <c r="A479" t="str">
        <f>IF(Team!$B479="Vice Director",Team!$A479,"")</f>
      </c>
      <c r="B479" t="str">
        <f>IF(Team!$B479="Senior Sales Manager",Team!$A479,"")</f>
      </c>
      <c r="C479" t="str">
        <f>IF(Team!$B479="Sales Manager",Team!$A479,"")</f>
      </c>
    </row>
    <row r="480">
      <c r="A480" t="str">
        <f>IF(Team!$B480="Vice Director",Team!$A480,"")</f>
      </c>
      <c r="B480" t="str">
        <f>IF(Team!$B480="Senior Sales Manager",Team!$A480,"")</f>
      </c>
      <c r="C480" t="str">
        <f>IF(Team!$B480="Sales Manager",Team!$A480,"")</f>
      </c>
    </row>
    <row r="481">
      <c r="A481" t="str">
        <f>IF(Team!$B481="Vice Director",Team!$A481,"")</f>
      </c>
      <c r="B481" t="str">
        <f>IF(Team!$B481="Senior Sales Manager",Team!$A481,"")</f>
      </c>
      <c r="C481" t="str">
        <f>IF(Team!$B481="Sales Manager",Team!$A481,"")</f>
      </c>
    </row>
    <row r="482">
      <c r="A482" t="str">
        <f>IF(Team!$B482="Vice Director",Team!$A482,"")</f>
      </c>
      <c r="B482" t="str">
        <f>IF(Team!$B482="Senior Sales Manager",Team!$A482,"")</f>
      </c>
      <c r="C482" t="str">
        <f>IF(Team!$B482="Sales Manager",Team!$A482,"")</f>
      </c>
    </row>
    <row r="483">
      <c r="A483" t="str">
        <f>IF(Team!$B483="Vice Director",Team!$A483,"")</f>
      </c>
      <c r="B483" t="str">
        <f>IF(Team!$B483="Senior Sales Manager",Team!$A483,"")</f>
      </c>
      <c r="C483" t="str">
        <f>IF(Team!$B483="Sales Manager",Team!$A483,"")</f>
      </c>
    </row>
    <row r="484">
      <c r="A484" t="str">
        <f>IF(Team!$B484="Vice Director",Team!$A484,"")</f>
      </c>
      <c r="B484" t="str">
        <f>IF(Team!$B484="Senior Sales Manager",Team!$A484,"")</f>
      </c>
      <c r="C484" t="str">
        <f>IF(Team!$B484="Sales Manager",Team!$A484,"")</f>
      </c>
    </row>
    <row r="485">
      <c r="A485" t="str">
        <f>IF(Team!$B485="Vice Director",Team!$A485,"")</f>
      </c>
      <c r="B485" t="str">
        <f>IF(Team!$B485="Senior Sales Manager",Team!$A485,"")</f>
      </c>
      <c r="C485" t="str">
        <f>IF(Team!$B485="Sales Manager",Team!$A485,"")</f>
      </c>
    </row>
    <row r="486">
      <c r="A486" t="str">
        <f>IF(Team!$B486="Vice Director",Team!$A486,"")</f>
      </c>
      <c r="B486" t="str">
        <f>IF(Team!$B486="Senior Sales Manager",Team!$A486,"")</f>
      </c>
      <c r="C486" t="str">
        <f>IF(Team!$B486="Sales Manager",Team!$A486,"")</f>
      </c>
    </row>
    <row r="487">
      <c r="A487" t="str">
        <f>IF(Team!$B487="Vice Director",Team!$A487,"")</f>
      </c>
      <c r="B487" t="str">
        <f>IF(Team!$B487="Senior Sales Manager",Team!$A487,"")</f>
      </c>
      <c r="C487" t="str">
        <f>IF(Team!$B487="Sales Manager",Team!$A487,"")</f>
      </c>
    </row>
    <row r="488">
      <c r="A488" t="str">
        <f>IF(Team!$B488="Vice Director",Team!$A488,"")</f>
      </c>
      <c r="B488" t="str">
        <f>IF(Team!$B488="Senior Sales Manager",Team!$A488,"")</f>
      </c>
      <c r="C488" t="str">
        <f>IF(Team!$B488="Sales Manager",Team!$A488,"")</f>
      </c>
    </row>
    <row r="489">
      <c r="A489" t="str">
        <f>IF(Team!$B489="Vice Director",Team!$A489,"")</f>
      </c>
      <c r="B489" t="str">
        <f>IF(Team!$B489="Senior Sales Manager",Team!$A489,"")</f>
      </c>
      <c r="C489" t="str">
        <f>IF(Team!$B489="Sales Manager",Team!$A489,"")</f>
      </c>
    </row>
    <row r="490">
      <c r="A490" t="str">
        <f>IF(Team!$B490="Vice Director",Team!$A490,"")</f>
      </c>
      <c r="B490" t="str">
        <f>IF(Team!$B490="Senior Sales Manager",Team!$A490,"")</f>
      </c>
      <c r="C490" t="str">
        <f>IF(Team!$B490="Sales Manager",Team!$A490,"")</f>
      </c>
    </row>
    <row r="491">
      <c r="A491" t="str">
        <f>IF(Team!$B491="Vice Director",Team!$A491,"")</f>
      </c>
      <c r="B491" t="str">
        <f>IF(Team!$B491="Senior Sales Manager",Team!$A491,"")</f>
      </c>
      <c r="C491" t="str">
        <f>IF(Team!$B491="Sales Manager",Team!$A491,"")</f>
      </c>
    </row>
    <row r="492">
      <c r="A492" t="str">
        <f>IF(Team!$B492="Vice Director",Team!$A492,"")</f>
      </c>
      <c r="B492" t="str">
        <f>IF(Team!$B492="Senior Sales Manager",Team!$A492,"")</f>
      </c>
      <c r="C492" t="str">
        <f>IF(Team!$B492="Sales Manager",Team!$A492,"")</f>
      </c>
    </row>
    <row r="493">
      <c r="A493" t="str">
        <f>IF(Team!$B493="Vice Director",Team!$A493,"")</f>
      </c>
      <c r="B493" t="str">
        <f>IF(Team!$B493="Senior Sales Manager",Team!$A493,"")</f>
      </c>
      <c r="C493" t="str">
        <f>IF(Team!$B493="Sales Manager",Team!$A493,"")</f>
      </c>
    </row>
    <row r="494">
      <c r="A494" t="str">
        <f>IF(Team!$B494="Vice Director",Team!$A494,"")</f>
      </c>
      <c r="B494" t="str">
        <f>IF(Team!$B494="Senior Sales Manager",Team!$A494,"")</f>
      </c>
      <c r="C494" t="str">
        <f>IF(Team!$B494="Sales Manager",Team!$A494,"")</f>
      </c>
    </row>
    <row r="495">
      <c r="A495" t="str">
        <f>IF(Team!$B495="Vice Director",Team!$A495,"")</f>
      </c>
      <c r="B495" t="str">
        <f>IF(Team!$B495="Senior Sales Manager",Team!$A495,"")</f>
      </c>
      <c r="C495" t="str">
        <f>IF(Team!$B495="Sales Manager",Team!$A495,"")</f>
      </c>
    </row>
    <row r="496">
      <c r="A496" t="str">
        <f>IF(Team!$B496="Vice Director",Team!$A496,"")</f>
      </c>
      <c r="B496" t="str">
        <f>IF(Team!$B496="Senior Sales Manager",Team!$A496,"")</f>
      </c>
      <c r="C496" t="str">
        <f>IF(Team!$B496="Sales Manager",Team!$A496,"")</f>
      </c>
    </row>
    <row r="497">
      <c r="A497" t="str">
        <f>IF(Team!$B497="Vice Director",Team!$A497,"")</f>
      </c>
      <c r="B497" t="str">
        <f>IF(Team!$B497="Senior Sales Manager",Team!$A497,"")</f>
      </c>
      <c r="C497" t="str">
        <f>IF(Team!$B497="Sales Manager",Team!$A497,"")</f>
      </c>
    </row>
    <row r="498">
      <c r="A498" t="str">
        <f>IF(Team!$B498="Vice Director",Team!$A498,"")</f>
      </c>
      <c r="B498" t="str">
        <f>IF(Team!$B498="Senior Sales Manager",Team!$A498,"")</f>
      </c>
      <c r="C498" t="str">
        <f>IF(Team!$B498="Sales Manager",Team!$A498,"")</f>
      </c>
    </row>
    <row r="499">
      <c r="A499" t="str">
        <f>IF(Team!$B499="Vice Director",Team!$A499,"")</f>
      </c>
      <c r="B499" t="str">
        <f>IF(Team!$B499="Senior Sales Manager",Team!$A499,"")</f>
      </c>
      <c r="C499" t="str">
        <f>IF(Team!$B499="Sales Manager",Team!$A499,"")</f>
      </c>
    </row>
    <row r="500">
      <c r="A500" t="str">
        <f>IF(Team!$B500="Vice Director",Team!$A500,"")</f>
      </c>
      <c r="B500" t="str">
        <f>IF(Team!$B500="Senior Sales Manager",Team!$A500,"")</f>
      </c>
      <c r="C500" t="str">
        <f>IF(Team!$B500="Sales Manager",Team!$A500,"")</f>
      </c>
    </row>
    <row r="501">
      <c r="A501" t="str">
        <f>IF(Team!$B501="Vice Director",Team!$A501,"")</f>
      </c>
      <c r="B501" t="str">
        <f>IF(Team!$B501="Senior Sales Manager",Team!$A501,"")</f>
      </c>
      <c r="C501" t="str">
        <f>IF(Team!$B501="Sales Manager",Team!$A501,"")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8A99A7"/>
  </sheetPr>
  <sheetViews>
    <sheetView workbookViewId="0">
      <pane ySplit="1" topLeftCell="A2" activePane="bottomLeft" state="frozen"/>
    </sheetView>
  </sheetViews>
  <sheetFormatPr defaultRowHeight="15"/>
  <cols>
    <col min="1" max="1" width="42" hidden="0" customWidth="1"/>
    <col min="2" max="2" width="44" hidden="0" customWidth="1"/>
  </cols>
  <sheetData>
    <row r="1" ht="29" customHeight="1">
      <c r="A1" s="6"/>
      <c r="B1" s="6"/>
    </row>
    <row r="2">
      <c r="A2" t="str">
        <f>IF(Team!$E$2="","",IFERROR(_xlfn._xlws.FILTER(Teams!$A$2:$A$1001,(Teams!$A$2:$A$1001&lt;&gt;"")*ISNUMBER(SEARCH(Team!$E$2,Teams!$A$2:$A$1001))),""))</f>
      </c>
      <c r="B2" t="str">
        <f>IF(Team!$E$2="","",IFERROR(_xlfn._xlws.FILTER(Teams!$B$2:$B$1001,(Teams!$B$2:$B$1001&lt;&gt;"")*ISNUMBER(SEARCH(Team!$E$2,Teams!$B$2:$B$1001))),""))</f>
      </c>
      <c r="D2">
        <f>IF(Identity!$A2="",TRUE,IFERROR(AND(ISTEXT(Identity!$A2),EXACT(Identity!$A2,UPPER(Identity!$A2)),COUNTIF(Identity!$A$2:$A$501,Identity!$A2)=1,OR(AND(LEFT(Identity!$A2,3)="AAI",LEN(Identity!$A2)=11,SUMPRODUCT(--ISNUMBER(FIND(MID(Identity!$A2,ROW($4:$11),1),"0123456789")))=8,IFERROR(VALUE(MID(Identity!$A2,6,2)),0)&gt;=1,IFERROR(VALUE(MID(Identity!$A2,6,2)),0)&lt;=12,RIGHT(Identity!$A2,4)&lt;&gt;"0000"),AND(LEFT(Identity!$A2,3)="AA-",LEN(Identity!$A2)=15,SUMPRODUCT(--ISNUMBER(FIND(MID(Identity!$A2,ROW($4:$15),1),"ABCDEFGHIJKLMNOPQRSTUVWXYZ")))=6,SUMPRODUCT(--ISNUMBER(FIND(MID(Identity!$A2,ROW($4:$15),1),"0123456789")))=6))),FALSE))</f>
      </c>
    </row>
    <row r="3">
      <c r="D3">
        <f>IF(Identity!$A3="",TRUE,IFERROR(AND(ISTEXT(Identity!$A3),EXACT(Identity!$A3,UPPER(Identity!$A3)),COUNTIF(Identity!$A$2:$A$501,Identity!$A3)=1,OR(AND(LEFT(Identity!$A3,3)="AAI",LEN(Identity!$A3)=11,SUMPRODUCT(--ISNUMBER(FIND(MID(Identity!$A3,ROW($4:$11),1),"0123456789")))=8,IFERROR(VALUE(MID(Identity!$A3,6,2)),0)&gt;=1,IFERROR(VALUE(MID(Identity!$A3,6,2)),0)&lt;=12,RIGHT(Identity!$A3,4)&lt;&gt;"0000"),AND(LEFT(Identity!$A3,3)="AA-",LEN(Identity!$A3)=15,SUMPRODUCT(--ISNUMBER(FIND(MID(Identity!$A3,ROW($4:$15),1),"ABCDEFGHIJKLMNOPQRSTUVWXYZ")))=6,SUMPRODUCT(--ISNUMBER(FIND(MID(Identity!$A3,ROW($4:$15),1),"0123456789")))=6))),FALSE))</f>
      </c>
    </row>
    <row r="4">
      <c r="D4">
        <f>IF(Identity!$A4="",TRUE,IFERROR(AND(ISTEXT(Identity!$A4),EXACT(Identity!$A4,UPPER(Identity!$A4)),COUNTIF(Identity!$A$2:$A$501,Identity!$A4)=1,OR(AND(LEFT(Identity!$A4,3)="AAI",LEN(Identity!$A4)=11,SUMPRODUCT(--ISNUMBER(FIND(MID(Identity!$A4,ROW($4:$11),1),"0123456789")))=8,IFERROR(VALUE(MID(Identity!$A4,6,2)),0)&gt;=1,IFERROR(VALUE(MID(Identity!$A4,6,2)),0)&lt;=12,RIGHT(Identity!$A4,4)&lt;&gt;"0000"),AND(LEFT(Identity!$A4,3)="AA-",LEN(Identity!$A4)=15,SUMPRODUCT(--ISNUMBER(FIND(MID(Identity!$A4,ROW($4:$15),1),"ABCDEFGHIJKLMNOPQRSTUVWXYZ")))=6,SUMPRODUCT(--ISNUMBER(FIND(MID(Identity!$A4,ROW($4:$15),1),"0123456789")))=6))),FALSE))</f>
      </c>
    </row>
    <row r="5">
      <c r="D5">
        <f>IF(Identity!$A5="",TRUE,IFERROR(AND(ISTEXT(Identity!$A5),EXACT(Identity!$A5,UPPER(Identity!$A5)),COUNTIF(Identity!$A$2:$A$501,Identity!$A5)=1,OR(AND(LEFT(Identity!$A5,3)="AAI",LEN(Identity!$A5)=11,SUMPRODUCT(--ISNUMBER(FIND(MID(Identity!$A5,ROW($4:$11),1),"0123456789")))=8,IFERROR(VALUE(MID(Identity!$A5,6,2)),0)&gt;=1,IFERROR(VALUE(MID(Identity!$A5,6,2)),0)&lt;=12,RIGHT(Identity!$A5,4)&lt;&gt;"0000"),AND(LEFT(Identity!$A5,3)="AA-",LEN(Identity!$A5)=15,SUMPRODUCT(--ISNUMBER(FIND(MID(Identity!$A5,ROW($4:$15),1),"ABCDEFGHIJKLMNOPQRSTUVWXYZ")))=6,SUMPRODUCT(--ISNUMBER(FIND(MID(Identity!$A5,ROW($4:$15),1),"0123456789")))=6))),FALSE))</f>
      </c>
    </row>
    <row r="6">
      <c r="D6">
        <f>IF(Identity!$A6="",TRUE,IFERROR(AND(ISTEXT(Identity!$A6),EXACT(Identity!$A6,UPPER(Identity!$A6)),COUNTIF(Identity!$A$2:$A$501,Identity!$A6)=1,OR(AND(LEFT(Identity!$A6,3)="AAI",LEN(Identity!$A6)=11,SUMPRODUCT(--ISNUMBER(FIND(MID(Identity!$A6,ROW($4:$11),1),"0123456789")))=8,IFERROR(VALUE(MID(Identity!$A6,6,2)),0)&gt;=1,IFERROR(VALUE(MID(Identity!$A6,6,2)),0)&lt;=12,RIGHT(Identity!$A6,4)&lt;&gt;"0000"),AND(LEFT(Identity!$A6,3)="AA-",LEN(Identity!$A6)=15,SUMPRODUCT(--ISNUMBER(FIND(MID(Identity!$A6,ROW($4:$15),1),"ABCDEFGHIJKLMNOPQRSTUVWXYZ")))=6,SUMPRODUCT(--ISNUMBER(FIND(MID(Identity!$A6,ROW($4:$15),1),"0123456789")))=6))),FALSE))</f>
      </c>
    </row>
    <row r="7">
      <c r="D7">
        <f>IF(Identity!$A7="",TRUE,IFERROR(AND(ISTEXT(Identity!$A7),EXACT(Identity!$A7,UPPER(Identity!$A7)),COUNTIF(Identity!$A$2:$A$501,Identity!$A7)=1,OR(AND(LEFT(Identity!$A7,3)="AAI",LEN(Identity!$A7)=11,SUMPRODUCT(--ISNUMBER(FIND(MID(Identity!$A7,ROW($4:$11),1),"0123456789")))=8,IFERROR(VALUE(MID(Identity!$A7,6,2)),0)&gt;=1,IFERROR(VALUE(MID(Identity!$A7,6,2)),0)&lt;=12,RIGHT(Identity!$A7,4)&lt;&gt;"0000"),AND(LEFT(Identity!$A7,3)="AA-",LEN(Identity!$A7)=15,SUMPRODUCT(--ISNUMBER(FIND(MID(Identity!$A7,ROW($4:$15),1),"ABCDEFGHIJKLMNOPQRSTUVWXYZ")))=6,SUMPRODUCT(--ISNUMBER(FIND(MID(Identity!$A7,ROW($4:$15),1),"0123456789")))=6))),FALSE))</f>
      </c>
    </row>
    <row r="8">
      <c r="D8">
        <f>IF(Identity!$A8="",TRUE,IFERROR(AND(ISTEXT(Identity!$A8),EXACT(Identity!$A8,UPPER(Identity!$A8)),COUNTIF(Identity!$A$2:$A$501,Identity!$A8)=1,OR(AND(LEFT(Identity!$A8,3)="AAI",LEN(Identity!$A8)=11,SUMPRODUCT(--ISNUMBER(FIND(MID(Identity!$A8,ROW($4:$11),1),"0123456789")))=8,IFERROR(VALUE(MID(Identity!$A8,6,2)),0)&gt;=1,IFERROR(VALUE(MID(Identity!$A8,6,2)),0)&lt;=12,RIGHT(Identity!$A8,4)&lt;&gt;"0000"),AND(LEFT(Identity!$A8,3)="AA-",LEN(Identity!$A8)=15,SUMPRODUCT(--ISNUMBER(FIND(MID(Identity!$A8,ROW($4:$15),1),"ABCDEFGHIJKLMNOPQRSTUVWXYZ")))=6,SUMPRODUCT(--ISNUMBER(FIND(MID(Identity!$A8,ROW($4:$15),1),"0123456789")))=6))),FALSE))</f>
      </c>
    </row>
    <row r="9">
      <c r="D9">
        <f>IF(Identity!$A9="",TRUE,IFERROR(AND(ISTEXT(Identity!$A9),EXACT(Identity!$A9,UPPER(Identity!$A9)),COUNTIF(Identity!$A$2:$A$501,Identity!$A9)=1,OR(AND(LEFT(Identity!$A9,3)="AAI",LEN(Identity!$A9)=11,SUMPRODUCT(--ISNUMBER(FIND(MID(Identity!$A9,ROW($4:$11),1),"0123456789")))=8,IFERROR(VALUE(MID(Identity!$A9,6,2)),0)&gt;=1,IFERROR(VALUE(MID(Identity!$A9,6,2)),0)&lt;=12,RIGHT(Identity!$A9,4)&lt;&gt;"0000"),AND(LEFT(Identity!$A9,3)="AA-",LEN(Identity!$A9)=15,SUMPRODUCT(--ISNUMBER(FIND(MID(Identity!$A9,ROW($4:$15),1),"ABCDEFGHIJKLMNOPQRSTUVWXYZ")))=6,SUMPRODUCT(--ISNUMBER(FIND(MID(Identity!$A9,ROW($4:$15),1),"0123456789")))=6))),FALSE))</f>
      </c>
    </row>
    <row r="10">
      <c r="D10">
        <f>IF(Identity!$A10="",TRUE,IFERROR(AND(ISTEXT(Identity!$A10),EXACT(Identity!$A10,UPPER(Identity!$A10)),COUNTIF(Identity!$A$2:$A$501,Identity!$A10)=1,OR(AND(LEFT(Identity!$A10,3)="AAI",LEN(Identity!$A10)=11,SUMPRODUCT(--ISNUMBER(FIND(MID(Identity!$A10,ROW($4:$11),1),"0123456789")))=8,IFERROR(VALUE(MID(Identity!$A10,6,2)),0)&gt;=1,IFERROR(VALUE(MID(Identity!$A10,6,2)),0)&lt;=12,RIGHT(Identity!$A10,4)&lt;&gt;"0000"),AND(LEFT(Identity!$A10,3)="AA-",LEN(Identity!$A10)=15,SUMPRODUCT(--ISNUMBER(FIND(MID(Identity!$A10,ROW($4:$15),1),"ABCDEFGHIJKLMNOPQRSTUVWXYZ")))=6,SUMPRODUCT(--ISNUMBER(FIND(MID(Identity!$A10,ROW($4:$15),1),"0123456789")))=6))),FALSE))</f>
      </c>
    </row>
    <row r="11">
      <c r="D11">
        <f>IF(Identity!$A11="",TRUE,IFERROR(AND(ISTEXT(Identity!$A11),EXACT(Identity!$A11,UPPER(Identity!$A11)),COUNTIF(Identity!$A$2:$A$501,Identity!$A11)=1,OR(AND(LEFT(Identity!$A11,3)="AAI",LEN(Identity!$A11)=11,SUMPRODUCT(--ISNUMBER(FIND(MID(Identity!$A11,ROW($4:$11),1),"0123456789")))=8,IFERROR(VALUE(MID(Identity!$A11,6,2)),0)&gt;=1,IFERROR(VALUE(MID(Identity!$A11,6,2)),0)&lt;=12,RIGHT(Identity!$A11,4)&lt;&gt;"0000"),AND(LEFT(Identity!$A11,3)="AA-",LEN(Identity!$A11)=15,SUMPRODUCT(--ISNUMBER(FIND(MID(Identity!$A11,ROW($4:$15),1),"ABCDEFGHIJKLMNOPQRSTUVWXYZ")))=6,SUMPRODUCT(--ISNUMBER(FIND(MID(Identity!$A11,ROW($4:$15),1),"0123456789")))=6))),FALSE))</f>
      </c>
    </row>
    <row r="12">
      <c r="D12">
        <f>IF(Identity!$A12="",TRUE,IFERROR(AND(ISTEXT(Identity!$A12),EXACT(Identity!$A12,UPPER(Identity!$A12)),COUNTIF(Identity!$A$2:$A$501,Identity!$A12)=1,OR(AND(LEFT(Identity!$A12,3)="AAI",LEN(Identity!$A12)=11,SUMPRODUCT(--ISNUMBER(FIND(MID(Identity!$A12,ROW($4:$11),1),"0123456789")))=8,IFERROR(VALUE(MID(Identity!$A12,6,2)),0)&gt;=1,IFERROR(VALUE(MID(Identity!$A12,6,2)),0)&lt;=12,RIGHT(Identity!$A12,4)&lt;&gt;"0000"),AND(LEFT(Identity!$A12,3)="AA-",LEN(Identity!$A12)=15,SUMPRODUCT(--ISNUMBER(FIND(MID(Identity!$A12,ROW($4:$15),1),"ABCDEFGHIJKLMNOPQRSTUVWXYZ")))=6,SUMPRODUCT(--ISNUMBER(FIND(MID(Identity!$A12,ROW($4:$15),1),"0123456789")))=6))),FALSE))</f>
      </c>
    </row>
    <row r="13">
      <c r="D13">
        <f>IF(Identity!$A13="",TRUE,IFERROR(AND(ISTEXT(Identity!$A13),EXACT(Identity!$A13,UPPER(Identity!$A13)),COUNTIF(Identity!$A$2:$A$501,Identity!$A13)=1,OR(AND(LEFT(Identity!$A13,3)="AAI",LEN(Identity!$A13)=11,SUMPRODUCT(--ISNUMBER(FIND(MID(Identity!$A13,ROW($4:$11),1),"0123456789")))=8,IFERROR(VALUE(MID(Identity!$A13,6,2)),0)&gt;=1,IFERROR(VALUE(MID(Identity!$A13,6,2)),0)&lt;=12,RIGHT(Identity!$A13,4)&lt;&gt;"0000"),AND(LEFT(Identity!$A13,3)="AA-",LEN(Identity!$A13)=15,SUMPRODUCT(--ISNUMBER(FIND(MID(Identity!$A13,ROW($4:$15),1),"ABCDEFGHIJKLMNOPQRSTUVWXYZ")))=6,SUMPRODUCT(--ISNUMBER(FIND(MID(Identity!$A13,ROW($4:$15),1),"0123456789")))=6))),FALSE))</f>
      </c>
    </row>
    <row r="14">
      <c r="D14">
        <f>IF(Identity!$A14="",TRUE,IFERROR(AND(ISTEXT(Identity!$A14),EXACT(Identity!$A14,UPPER(Identity!$A14)),COUNTIF(Identity!$A$2:$A$501,Identity!$A14)=1,OR(AND(LEFT(Identity!$A14,3)="AAI",LEN(Identity!$A14)=11,SUMPRODUCT(--ISNUMBER(FIND(MID(Identity!$A14,ROW($4:$11),1),"0123456789")))=8,IFERROR(VALUE(MID(Identity!$A14,6,2)),0)&gt;=1,IFERROR(VALUE(MID(Identity!$A14,6,2)),0)&lt;=12,RIGHT(Identity!$A14,4)&lt;&gt;"0000"),AND(LEFT(Identity!$A14,3)="AA-",LEN(Identity!$A14)=15,SUMPRODUCT(--ISNUMBER(FIND(MID(Identity!$A14,ROW($4:$15),1),"ABCDEFGHIJKLMNOPQRSTUVWXYZ")))=6,SUMPRODUCT(--ISNUMBER(FIND(MID(Identity!$A14,ROW($4:$15),1),"0123456789")))=6))),FALSE))</f>
      </c>
    </row>
    <row r="15">
      <c r="D15">
        <f>IF(Identity!$A15="",TRUE,IFERROR(AND(ISTEXT(Identity!$A15),EXACT(Identity!$A15,UPPER(Identity!$A15)),COUNTIF(Identity!$A$2:$A$501,Identity!$A15)=1,OR(AND(LEFT(Identity!$A15,3)="AAI",LEN(Identity!$A15)=11,SUMPRODUCT(--ISNUMBER(FIND(MID(Identity!$A15,ROW($4:$11),1),"0123456789")))=8,IFERROR(VALUE(MID(Identity!$A15,6,2)),0)&gt;=1,IFERROR(VALUE(MID(Identity!$A15,6,2)),0)&lt;=12,RIGHT(Identity!$A15,4)&lt;&gt;"0000"),AND(LEFT(Identity!$A15,3)="AA-",LEN(Identity!$A15)=15,SUMPRODUCT(--ISNUMBER(FIND(MID(Identity!$A15,ROW($4:$15),1),"ABCDEFGHIJKLMNOPQRSTUVWXYZ")))=6,SUMPRODUCT(--ISNUMBER(FIND(MID(Identity!$A15,ROW($4:$15),1),"0123456789")))=6))),FALSE))</f>
      </c>
    </row>
    <row r="16">
      <c r="D16">
        <f>IF(Identity!$A16="",TRUE,IFERROR(AND(ISTEXT(Identity!$A16),EXACT(Identity!$A16,UPPER(Identity!$A16)),COUNTIF(Identity!$A$2:$A$501,Identity!$A16)=1,OR(AND(LEFT(Identity!$A16,3)="AAI",LEN(Identity!$A16)=11,SUMPRODUCT(--ISNUMBER(FIND(MID(Identity!$A16,ROW($4:$11),1),"0123456789")))=8,IFERROR(VALUE(MID(Identity!$A16,6,2)),0)&gt;=1,IFERROR(VALUE(MID(Identity!$A16,6,2)),0)&lt;=12,RIGHT(Identity!$A16,4)&lt;&gt;"0000"),AND(LEFT(Identity!$A16,3)="AA-",LEN(Identity!$A16)=15,SUMPRODUCT(--ISNUMBER(FIND(MID(Identity!$A16,ROW($4:$15),1),"ABCDEFGHIJKLMNOPQRSTUVWXYZ")))=6,SUMPRODUCT(--ISNUMBER(FIND(MID(Identity!$A16,ROW($4:$15),1),"0123456789")))=6))),FALSE))</f>
      </c>
    </row>
    <row r="17">
      <c r="D17">
        <f>IF(Identity!$A17="",TRUE,IFERROR(AND(ISTEXT(Identity!$A17),EXACT(Identity!$A17,UPPER(Identity!$A17)),COUNTIF(Identity!$A$2:$A$501,Identity!$A17)=1,OR(AND(LEFT(Identity!$A17,3)="AAI",LEN(Identity!$A17)=11,SUMPRODUCT(--ISNUMBER(FIND(MID(Identity!$A17,ROW($4:$11),1),"0123456789")))=8,IFERROR(VALUE(MID(Identity!$A17,6,2)),0)&gt;=1,IFERROR(VALUE(MID(Identity!$A17,6,2)),0)&lt;=12,RIGHT(Identity!$A17,4)&lt;&gt;"0000"),AND(LEFT(Identity!$A17,3)="AA-",LEN(Identity!$A17)=15,SUMPRODUCT(--ISNUMBER(FIND(MID(Identity!$A17,ROW($4:$15),1),"ABCDEFGHIJKLMNOPQRSTUVWXYZ")))=6,SUMPRODUCT(--ISNUMBER(FIND(MID(Identity!$A17,ROW($4:$15),1),"0123456789")))=6))),FALSE))</f>
      </c>
    </row>
    <row r="18">
      <c r="D18">
        <f>IF(Identity!$A18="",TRUE,IFERROR(AND(ISTEXT(Identity!$A18),EXACT(Identity!$A18,UPPER(Identity!$A18)),COUNTIF(Identity!$A$2:$A$501,Identity!$A18)=1,OR(AND(LEFT(Identity!$A18,3)="AAI",LEN(Identity!$A18)=11,SUMPRODUCT(--ISNUMBER(FIND(MID(Identity!$A18,ROW($4:$11),1),"0123456789")))=8,IFERROR(VALUE(MID(Identity!$A18,6,2)),0)&gt;=1,IFERROR(VALUE(MID(Identity!$A18,6,2)),0)&lt;=12,RIGHT(Identity!$A18,4)&lt;&gt;"0000"),AND(LEFT(Identity!$A18,3)="AA-",LEN(Identity!$A18)=15,SUMPRODUCT(--ISNUMBER(FIND(MID(Identity!$A18,ROW($4:$15),1),"ABCDEFGHIJKLMNOPQRSTUVWXYZ")))=6,SUMPRODUCT(--ISNUMBER(FIND(MID(Identity!$A18,ROW($4:$15),1),"0123456789")))=6))),FALSE))</f>
      </c>
    </row>
    <row r="19">
      <c r="D19">
        <f>IF(Identity!$A19="",TRUE,IFERROR(AND(ISTEXT(Identity!$A19),EXACT(Identity!$A19,UPPER(Identity!$A19)),COUNTIF(Identity!$A$2:$A$501,Identity!$A19)=1,OR(AND(LEFT(Identity!$A19,3)="AAI",LEN(Identity!$A19)=11,SUMPRODUCT(--ISNUMBER(FIND(MID(Identity!$A19,ROW($4:$11),1),"0123456789")))=8,IFERROR(VALUE(MID(Identity!$A19,6,2)),0)&gt;=1,IFERROR(VALUE(MID(Identity!$A19,6,2)),0)&lt;=12,RIGHT(Identity!$A19,4)&lt;&gt;"0000"),AND(LEFT(Identity!$A19,3)="AA-",LEN(Identity!$A19)=15,SUMPRODUCT(--ISNUMBER(FIND(MID(Identity!$A19,ROW($4:$15),1),"ABCDEFGHIJKLMNOPQRSTUVWXYZ")))=6,SUMPRODUCT(--ISNUMBER(FIND(MID(Identity!$A19,ROW($4:$15),1),"0123456789")))=6))),FALSE))</f>
      </c>
    </row>
    <row r="20">
      <c r="D20">
        <f>IF(Identity!$A20="",TRUE,IFERROR(AND(ISTEXT(Identity!$A20),EXACT(Identity!$A20,UPPER(Identity!$A20)),COUNTIF(Identity!$A$2:$A$501,Identity!$A20)=1,OR(AND(LEFT(Identity!$A20,3)="AAI",LEN(Identity!$A20)=11,SUMPRODUCT(--ISNUMBER(FIND(MID(Identity!$A20,ROW($4:$11),1),"0123456789")))=8,IFERROR(VALUE(MID(Identity!$A20,6,2)),0)&gt;=1,IFERROR(VALUE(MID(Identity!$A20,6,2)),0)&lt;=12,RIGHT(Identity!$A20,4)&lt;&gt;"0000"),AND(LEFT(Identity!$A20,3)="AA-",LEN(Identity!$A20)=15,SUMPRODUCT(--ISNUMBER(FIND(MID(Identity!$A20,ROW($4:$15),1),"ABCDEFGHIJKLMNOPQRSTUVWXYZ")))=6,SUMPRODUCT(--ISNUMBER(FIND(MID(Identity!$A20,ROW($4:$15),1),"0123456789")))=6))),FALSE))</f>
      </c>
    </row>
    <row r="21">
      <c r="D21">
        <f>IF(Identity!$A21="",TRUE,IFERROR(AND(ISTEXT(Identity!$A21),EXACT(Identity!$A21,UPPER(Identity!$A21)),COUNTIF(Identity!$A$2:$A$501,Identity!$A21)=1,OR(AND(LEFT(Identity!$A21,3)="AAI",LEN(Identity!$A21)=11,SUMPRODUCT(--ISNUMBER(FIND(MID(Identity!$A21,ROW($4:$11),1),"0123456789")))=8,IFERROR(VALUE(MID(Identity!$A21,6,2)),0)&gt;=1,IFERROR(VALUE(MID(Identity!$A21,6,2)),0)&lt;=12,RIGHT(Identity!$A21,4)&lt;&gt;"0000"),AND(LEFT(Identity!$A21,3)="AA-",LEN(Identity!$A21)=15,SUMPRODUCT(--ISNUMBER(FIND(MID(Identity!$A21,ROW($4:$15),1),"ABCDEFGHIJKLMNOPQRSTUVWXYZ")))=6,SUMPRODUCT(--ISNUMBER(FIND(MID(Identity!$A21,ROW($4:$15),1),"0123456789")))=6))),FALSE))</f>
      </c>
    </row>
    <row r="22">
      <c r="D22">
        <f>IF(Identity!$A22="",TRUE,IFERROR(AND(ISTEXT(Identity!$A22),EXACT(Identity!$A22,UPPER(Identity!$A22)),COUNTIF(Identity!$A$2:$A$501,Identity!$A22)=1,OR(AND(LEFT(Identity!$A22,3)="AAI",LEN(Identity!$A22)=11,SUMPRODUCT(--ISNUMBER(FIND(MID(Identity!$A22,ROW($4:$11),1),"0123456789")))=8,IFERROR(VALUE(MID(Identity!$A22,6,2)),0)&gt;=1,IFERROR(VALUE(MID(Identity!$A22,6,2)),0)&lt;=12,RIGHT(Identity!$A22,4)&lt;&gt;"0000"),AND(LEFT(Identity!$A22,3)="AA-",LEN(Identity!$A22)=15,SUMPRODUCT(--ISNUMBER(FIND(MID(Identity!$A22,ROW($4:$15),1),"ABCDEFGHIJKLMNOPQRSTUVWXYZ")))=6,SUMPRODUCT(--ISNUMBER(FIND(MID(Identity!$A22,ROW($4:$15),1),"0123456789")))=6))),FALSE))</f>
      </c>
    </row>
    <row r="23">
      <c r="D23">
        <f>IF(Identity!$A23="",TRUE,IFERROR(AND(ISTEXT(Identity!$A23),EXACT(Identity!$A23,UPPER(Identity!$A23)),COUNTIF(Identity!$A$2:$A$501,Identity!$A23)=1,OR(AND(LEFT(Identity!$A23,3)="AAI",LEN(Identity!$A23)=11,SUMPRODUCT(--ISNUMBER(FIND(MID(Identity!$A23,ROW($4:$11),1),"0123456789")))=8,IFERROR(VALUE(MID(Identity!$A23,6,2)),0)&gt;=1,IFERROR(VALUE(MID(Identity!$A23,6,2)),0)&lt;=12,RIGHT(Identity!$A23,4)&lt;&gt;"0000"),AND(LEFT(Identity!$A23,3)="AA-",LEN(Identity!$A23)=15,SUMPRODUCT(--ISNUMBER(FIND(MID(Identity!$A23,ROW($4:$15),1),"ABCDEFGHIJKLMNOPQRSTUVWXYZ")))=6,SUMPRODUCT(--ISNUMBER(FIND(MID(Identity!$A23,ROW($4:$15),1),"0123456789")))=6))),FALSE))</f>
      </c>
    </row>
    <row r="24">
      <c r="D24">
        <f>IF(Identity!$A24="",TRUE,IFERROR(AND(ISTEXT(Identity!$A24),EXACT(Identity!$A24,UPPER(Identity!$A24)),COUNTIF(Identity!$A$2:$A$501,Identity!$A24)=1,OR(AND(LEFT(Identity!$A24,3)="AAI",LEN(Identity!$A24)=11,SUMPRODUCT(--ISNUMBER(FIND(MID(Identity!$A24,ROW($4:$11),1),"0123456789")))=8,IFERROR(VALUE(MID(Identity!$A24,6,2)),0)&gt;=1,IFERROR(VALUE(MID(Identity!$A24,6,2)),0)&lt;=12,RIGHT(Identity!$A24,4)&lt;&gt;"0000"),AND(LEFT(Identity!$A24,3)="AA-",LEN(Identity!$A24)=15,SUMPRODUCT(--ISNUMBER(FIND(MID(Identity!$A24,ROW($4:$15),1),"ABCDEFGHIJKLMNOPQRSTUVWXYZ")))=6,SUMPRODUCT(--ISNUMBER(FIND(MID(Identity!$A24,ROW($4:$15),1),"0123456789")))=6))),FALSE))</f>
      </c>
    </row>
    <row r="25">
      <c r="D25">
        <f>IF(Identity!$A25="",TRUE,IFERROR(AND(ISTEXT(Identity!$A25),EXACT(Identity!$A25,UPPER(Identity!$A25)),COUNTIF(Identity!$A$2:$A$501,Identity!$A25)=1,OR(AND(LEFT(Identity!$A25,3)="AAI",LEN(Identity!$A25)=11,SUMPRODUCT(--ISNUMBER(FIND(MID(Identity!$A25,ROW($4:$11),1),"0123456789")))=8,IFERROR(VALUE(MID(Identity!$A25,6,2)),0)&gt;=1,IFERROR(VALUE(MID(Identity!$A25,6,2)),0)&lt;=12,RIGHT(Identity!$A25,4)&lt;&gt;"0000"),AND(LEFT(Identity!$A25,3)="AA-",LEN(Identity!$A25)=15,SUMPRODUCT(--ISNUMBER(FIND(MID(Identity!$A25,ROW($4:$15),1),"ABCDEFGHIJKLMNOPQRSTUVWXYZ")))=6,SUMPRODUCT(--ISNUMBER(FIND(MID(Identity!$A25,ROW($4:$15),1),"0123456789")))=6))),FALSE))</f>
      </c>
    </row>
    <row r="26">
      <c r="D26">
        <f>IF(Identity!$A26="",TRUE,IFERROR(AND(ISTEXT(Identity!$A26),EXACT(Identity!$A26,UPPER(Identity!$A26)),COUNTIF(Identity!$A$2:$A$501,Identity!$A26)=1,OR(AND(LEFT(Identity!$A26,3)="AAI",LEN(Identity!$A26)=11,SUMPRODUCT(--ISNUMBER(FIND(MID(Identity!$A26,ROW($4:$11),1),"0123456789")))=8,IFERROR(VALUE(MID(Identity!$A26,6,2)),0)&gt;=1,IFERROR(VALUE(MID(Identity!$A26,6,2)),0)&lt;=12,RIGHT(Identity!$A26,4)&lt;&gt;"0000"),AND(LEFT(Identity!$A26,3)="AA-",LEN(Identity!$A26)=15,SUMPRODUCT(--ISNUMBER(FIND(MID(Identity!$A26,ROW($4:$15),1),"ABCDEFGHIJKLMNOPQRSTUVWXYZ")))=6,SUMPRODUCT(--ISNUMBER(FIND(MID(Identity!$A26,ROW($4:$15),1),"0123456789")))=6))),FALSE))</f>
      </c>
    </row>
    <row r="27">
      <c r="D27">
        <f>IF(Identity!$A27="",TRUE,IFERROR(AND(ISTEXT(Identity!$A27),EXACT(Identity!$A27,UPPER(Identity!$A27)),COUNTIF(Identity!$A$2:$A$501,Identity!$A27)=1,OR(AND(LEFT(Identity!$A27,3)="AAI",LEN(Identity!$A27)=11,SUMPRODUCT(--ISNUMBER(FIND(MID(Identity!$A27,ROW($4:$11),1),"0123456789")))=8,IFERROR(VALUE(MID(Identity!$A27,6,2)),0)&gt;=1,IFERROR(VALUE(MID(Identity!$A27,6,2)),0)&lt;=12,RIGHT(Identity!$A27,4)&lt;&gt;"0000"),AND(LEFT(Identity!$A27,3)="AA-",LEN(Identity!$A27)=15,SUMPRODUCT(--ISNUMBER(FIND(MID(Identity!$A27,ROW($4:$15),1),"ABCDEFGHIJKLMNOPQRSTUVWXYZ")))=6,SUMPRODUCT(--ISNUMBER(FIND(MID(Identity!$A27,ROW($4:$15),1),"0123456789")))=6))),FALSE))</f>
      </c>
    </row>
    <row r="28">
      <c r="D28">
        <f>IF(Identity!$A28="",TRUE,IFERROR(AND(ISTEXT(Identity!$A28),EXACT(Identity!$A28,UPPER(Identity!$A28)),COUNTIF(Identity!$A$2:$A$501,Identity!$A28)=1,OR(AND(LEFT(Identity!$A28,3)="AAI",LEN(Identity!$A28)=11,SUMPRODUCT(--ISNUMBER(FIND(MID(Identity!$A28,ROW($4:$11),1),"0123456789")))=8,IFERROR(VALUE(MID(Identity!$A28,6,2)),0)&gt;=1,IFERROR(VALUE(MID(Identity!$A28,6,2)),0)&lt;=12,RIGHT(Identity!$A28,4)&lt;&gt;"0000"),AND(LEFT(Identity!$A28,3)="AA-",LEN(Identity!$A28)=15,SUMPRODUCT(--ISNUMBER(FIND(MID(Identity!$A28,ROW($4:$15),1),"ABCDEFGHIJKLMNOPQRSTUVWXYZ")))=6,SUMPRODUCT(--ISNUMBER(FIND(MID(Identity!$A28,ROW($4:$15),1),"0123456789")))=6))),FALSE))</f>
      </c>
    </row>
    <row r="29">
      <c r="D29">
        <f>IF(Identity!$A29="",TRUE,IFERROR(AND(ISTEXT(Identity!$A29),EXACT(Identity!$A29,UPPER(Identity!$A29)),COUNTIF(Identity!$A$2:$A$501,Identity!$A29)=1,OR(AND(LEFT(Identity!$A29,3)="AAI",LEN(Identity!$A29)=11,SUMPRODUCT(--ISNUMBER(FIND(MID(Identity!$A29,ROW($4:$11),1),"0123456789")))=8,IFERROR(VALUE(MID(Identity!$A29,6,2)),0)&gt;=1,IFERROR(VALUE(MID(Identity!$A29,6,2)),0)&lt;=12,RIGHT(Identity!$A29,4)&lt;&gt;"0000"),AND(LEFT(Identity!$A29,3)="AA-",LEN(Identity!$A29)=15,SUMPRODUCT(--ISNUMBER(FIND(MID(Identity!$A29,ROW($4:$15),1),"ABCDEFGHIJKLMNOPQRSTUVWXYZ")))=6,SUMPRODUCT(--ISNUMBER(FIND(MID(Identity!$A29,ROW($4:$15),1),"0123456789")))=6))),FALSE))</f>
      </c>
    </row>
    <row r="30">
      <c r="D30">
        <f>IF(Identity!$A30="",TRUE,IFERROR(AND(ISTEXT(Identity!$A30),EXACT(Identity!$A30,UPPER(Identity!$A30)),COUNTIF(Identity!$A$2:$A$501,Identity!$A30)=1,OR(AND(LEFT(Identity!$A30,3)="AAI",LEN(Identity!$A30)=11,SUMPRODUCT(--ISNUMBER(FIND(MID(Identity!$A30,ROW($4:$11),1),"0123456789")))=8,IFERROR(VALUE(MID(Identity!$A30,6,2)),0)&gt;=1,IFERROR(VALUE(MID(Identity!$A30,6,2)),0)&lt;=12,RIGHT(Identity!$A30,4)&lt;&gt;"0000"),AND(LEFT(Identity!$A30,3)="AA-",LEN(Identity!$A30)=15,SUMPRODUCT(--ISNUMBER(FIND(MID(Identity!$A30,ROW($4:$15),1),"ABCDEFGHIJKLMNOPQRSTUVWXYZ")))=6,SUMPRODUCT(--ISNUMBER(FIND(MID(Identity!$A30,ROW($4:$15),1),"0123456789")))=6))),FALSE))</f>
      </c>
    </row>
    <row r="31">
      <c r="D31">
        <f>IF(Identity!$A31="",TRUE,IFERROR(AND(ISTEXT(Identity!$A31),EXACT(Identity!$A31,UPPER(Identity!$A31)),COUNTIF(Identity!$A$2:$A$501,Identity!$A31)=1,OR(AND(LEFT(Identity!$A31,3)="AAI",LEN(Identity!$A31)=11,SUMPRODUCT(--ISNUMBER(FIND(MID(Identity!$A31,ROW($4:$11),1),"0123456789")))=8,IFERROR(VALUE(MID(Identity!$A31,6,2)),0)&gt;=1,IFERROR(VALUE(MID(Identity!$A31,6,2)),0)&lt;=12,RIGHT(Identity!$A31,4)&lt;&gt;"0000"),AND(LEFT(Identity!$A31,3)="AA-",LEN(Identity!$A31)=15,SUMPRODUCT(--ISNUMBER(FIND(MID(Identity!$A31,ROW($4:$15),1),"ABCDEFGHIJKLMNOPQRSTUVWXYZ")))=6,SUMPRODUCT(--ISNUMBER(FIND(MID(Identity!$A31,ROW($4:$15),1),"0123456789")))=6))),FALSE))</f>
      </c>
    </row>
    <row r="32">
      <c r="D32">
        <f>IF(Identity!$A32="",TRUE,IFERROR(AND(ISTEXT(Identity!$A32),EXACT(Identity!$A32,UPPER(Identity!$A32)),COUNTIF(Identity!$A$2:$A$501,Identity!$A32)=1,OR(AND(LEFT(Identity!$A32,3)="AAI",LEN(Identity!$A32)=11,SUMPRODUCT(--ISNUMBER(FIND(MID(Identity!$A32,ROW($4:$11),1),"0123456789")))=8,IFERROR(VALUE(MID(Identity!$A32,6,2)),0)&gt;=1,IFERROR(VALUE(MID(Identity!$A32,6,2)),0)&lt;=12,RIGHT(Identity!$A32,4)&lt;&gt;"0000"),AND(LEFT(Identity!$A32,3)="AA-",LEN(Identity!$A32)=15,SUMPRODUCT(--ISNUMBER(FIND(MID(Identity!$A32,ROW($4:$15),1),"ABCDEFGHIJKLMNOPQRSTUVWXYZ")))=6,SUMPRODUCT(--ISNUMBER(FIND(MID(Identity!$A32,ROW($4:$15),1),"0123456789")))=6))),FALSE))</f>
      </c>
    </row>
    <row r="33">
      <c r="D33">
        <f>IF(Identity!$A33="",TRUE,IFERROR(AND(ISTEXT(Identity!$A33),EXACT(Identity!$A33,UPPER(Identity!$A33)),COUNTIF(Identity!$A$2:$A$501,Identity!$A33)=1,OR(AND(LEFT(Identity!$A33,3)="AAI",LEN(Identity!$A33)=11,SUMPRODUCT(--ISNUMBER(FIND(MID(Identity!$A33,ROW($4:$11),1),"0123456789")))=8,IFERROR(VALUE(MID(Identity!$A33,6,2)),0)&gt;=1,IFERROR(VALUE(MID(Identity!$A33,6,2)),0)&lt;=12,RIGHT(Identity!$A33,4)&lt;&gt;"0000"),AND(LEFT(Identity!$A33,3)="AA-",LEN(Identity!$A33)=15,SUMPRODUCT(--ISNUMBER(FIND(MID(Identity!$A33,ROW($4:$15),1),"ABCDEFGHIJKLMNOPQRSTUVWXYZ")))=6,SUMPRODUCT(--ISNUMBER(FIND(MID(Identity!$A33,ROW($4:$15),1),"0123456789")))=6))),FALSE))</f>
      </c>
    </row>
    <row r="34">
      <c r="D34">
        <f>IF(Identity!$A34="",TRUE,IFERROR(AND(ISTEXT(Identity!$A34),EXACT(Identity!$A34,UPPER(Identity!$A34)),COUNTIF(Identity!$A$2:$A$501,Identity!$A34)=1,OR(AND(LEFT(Identity!$A34,3)="AAI",LEN(Identity!$A34)=11,SUMPRODUCT(--ISNUMBER(FIND(MID(Identity!$A34,ROW($4:$11),1),"0123456789")))=8,IFERROR(VALUE(MID(Identity!$A34,6,2)),0)&gt;=1,IFERROR(VALUE(MID(Identity!$A34,6,2)),0)&lt;=12,RIGHT(Identity!$A34,4)&lt;&gt;"0000"),AND(LEFT(Identity!$A34,3)="AA-",LEN(Identity!$A34)=15,SUMPRODUCT(--ISNUMBER(FIND(MID(Identity!$A34,ROW($4:$15),1),"ABCDEFGHIJKLMNOPQRSTUVWXYZ")))=6,SUMPRODUCT(--ISNUMBER(FIND(MID(Identity!$A34,ROW($4:$15),1),"0123456789")))=6))),FALSE))</f>
      </c>
    </row>
    <row r="35">
      <c r="D35">
        <f>IF(Identity!$A35="",TRUE,IFERROR(AND(ISTEXT(Identity!$A35),EXACT(Identity!$A35,UPPER(Identity!$A35)),COUNTIF(Identity!$A$2:$A$501,Identity!$A35)=1,OR(AND(LEFT(Identity!$A35,3)="AAI",LEN(Identity!$A35)=11,SUMPRODUCT(--ISNUMBER(FIND(MID(Identity!$A35,ROW($4:$11),1),"0123456789")))=8,IFERROR(VALUE(MID(Identity!$A35,6,2)),0)&gt;=1,IFERROR(VALUE(MID(Identity!$A35,6,2)),0)&lt;=12,RIGHT(Identity!$A35,4)&lt;&gt;"0000"),AND(LEFT(Identity!$A35,3)="AA-",LEN(Identity!$A35)=15,SUMPRODUCT(--ISNUMBER(FIND(MID(Identity!$A35,ROW($4:$15),1),"ABCDEFGHIJKLMNOPQRSTUVWXYZ")))=6,SUMPRODUCT(--ISNUMBER(FIND(MID(Identity!$A35,ROW($4:$15),1),"0123456789")))=6))),FALSE))</f>
      </c>
    </row>
    <row r="36">
      <c r="D36">
        <f>IF(Identity!$A36="",TRUE,IFERROR(AND(ISTEXT(Identity!$A36),EXACT(Identity!$A36,UPPER(Identity!$A36)),COUNTIF(Identity!$A$2:$A$501,Identity!$A36)=1,OR(AND(LEFT(Identity!$A36,3)="AAI",LEN(Identity!$A36)=11,SUMPRODUCT(--ISNUMBER(FIND(MID(Identity!$A36,ROW($4:$11),1),"0123456789")))=8,IFERROR(VALUE(MID(Identity!$A36,6,2)),0)&gt;=1,IFERROR(VALUE(MID(Identity!$A36,6,2)),0)&lt;=12,RIGHT(Identity!$A36,4)&lt;&gt;"0000"),AND(LEFT(Identity!$A36,3)="AA-",LEN(Identity!$A36)=15,SUMPRODUCT(--ISNUMBER(FIND(MID(Identity!$A36,ROW($4:$15),1),"ABCDEFGHIJKLMNOPQRSTUVWXYZ")))=6,SUMPRODUCT(--ISNUMBER(FIND(MID(Identity!$A36,ROW($4:$15),1),"0123456789")))=6))),FALSE))</f>
      </c>
    </row>
    <row r="37">
      <c r="D37">
        <f>IF(Identity!$A37="",TRUE,IFERROR(AND(ISTEXT(Identity!$A37),EXACT(Identity!$A37,UPPER(Identity!$A37)),COUNTIF(Identity!$A$2:$A$501,Identity!$A37)=1,OR(AND(LEFT(Identity!$A37,3)="AAI",LEN(Identity!$A37)=11,SUMPRODUCT(--ISNUMBER(FIND(MID(Identity!$A37,ROW($4:$11),1),"0123456789")))=8,IFERROR(VALUE(MID(Identity!$A37,6,2)),0)&gt;=1,IFERROR(VALUE(MID(Identity!$A37,6,2)),0)&lt;=12,RIGHT(Identity!$A37,4)&lt;&gt;"0000"),AND(LEFT(Identity!$A37,3)="AA-",LEN(Identity!$A37)=15,SUMPRODUCT(--ISNUMBER(FIND(MID(Identity!$A37,ROW($4:$15),1),"ABCDEFGHIJKLMNOPQRSTUVWXYZ")))=6,SUMPRODUCT(--ISNUMBER(FIND(MID(Identity!$A37,ROW($4:$15),1),"0123456789")))=6))),FALSE))</f>
      </c>
    </row>
    <row r="38">
      <c r="D38">
        <f>IF(Identity!$A38="",TRUE,IFERROR(AND(ISTEXT(Identity!$A38),EXACT(Identity!$A38,UPPER(Identity!$A38)),COUNTIF(Identity!$A$2:$A$501,Identity!$A38)=1,OR(AND(LEFT(Identity!$A38,3)="AAI",LEN(Identity!$A38)=11,SUMPRODUCT(--ISNUMBER(FIND(MID(Identity!$A38,ROW($4:$11),1),"0123456789")))=8,IFERROR(VALUE(MID(Identity!$A38,6,2)),0)&gt;=1,IFERROR(VALUE(MID(Identity!$A38,6,2)),0)&lt;=12,RIGHT(Identity!$A38,4)&lt;&gt;"0000"),AND(LEFT(Identity!$A38,3)="AA-",LEN(Identity!$A38)=15,SUMPRODUCT(--ISNUMBER(FIND(MID(Identity!$A38,ROW($4:$15),1),"ABCDEFGHIJKLMNOPQRSTUVWXYZ")))=6,SUMPRODUCT(--ISNUMBER(FIND(MID(Identity!$A38,ROW($4:$15),1),"0123456789")))=6))),FALSE))</f>
      </c>
    </row>
    <row r="39">
      <c r="D39">
        <f>IF(Identity!$A39="",TRUE,IFERROR(AND(ISTEXT(Identity!$A39),EXACT(Identity!$A39,UPPER(Identity!$A39)),COUNTIF(Identity!$A$2:$A$501,Identity!$A39)=1,OR(AND(LEFT(Identity!$A39,3)="AAI",LEN(Identity!$A39)=11,SUMPRODUCT(--ISNUMBER(FIND(MID(Identity!$A39,ROW($4:$11),1),"0123456789")))=8,IFERROR(VALUE(MID(Identity!$A39,6,2)),0)&gt;=1,IFERROR(VALUE(MID(Identity!$A39,6,2)),0)&lt;=12,RIGHT(Identity!$A39,4)&lt;&gt;"0000"),AND(LEFT(Identity!$A39,3)="AA-",LEN(Identity!$A39)=15,SUMPRODUCT(--ISNUMBER(FIND(MID(Identity!$A39,ROW($4:$15),1),"ABCDEFGHIJKLMNOPQRSTUVWXYZ")))=6,SUMPRODUCT(--ISNUMBER(FIND(MID(Identity!$A39,ROW($4:$15),1),"0123456789")))=6))),FALSE))</f>
      </c>
    </row>
    <row r="40">
      <c r="D40">
        <f>IF(Identity!$A40="",TRUE,IFERROR(AND(ISTEXT(Identity!$A40),EXACT(Identity!$A40,UPPER(Identity!$A40)),COUNTIF(Identity!$A$2:$A$501,Identity!$A40)=1,OR(AND(LEFT(Identity!$A40,3)="AAI",LEN(Identity!$A40)=11,SUMPRODUCT(--ISNUMBER(FIND(MID(Identity!$A40,ROW($4:$11),1),"0123456789")))=8,IFERROR(VALUE(MID(Identity!$A40,6,2)),0)&gt;=1,IFERROR(VALUE(MID(Identity!$A40,6,2)),0)&lt;=12,RIGHT(Identity!$A40,4)&lt;&gt;"0000"),AND(LEFT(Identity!$A40,3)="AA-",LEN(Identity!$A40)=15,SUMPRODUCT(--ISNUMBER(FIND(MID(Identity!$A40,ROW($4:$15),1),"ABCDEFGHIJKLMNOPQRSTUVWXYZ")))=6,SUMPRODUCT(--ISNUMBER(FIND(MID(Identity!$A40,ROW($4:$15),1),"0123456789")))=6))),FALSE))</f>
      </c>
    </row>
    <row r="41">
      <c r="D41">
        <f>IF(Identity!$A41="",TRUE,IFERROR(AND(ISTEXT(Identity!$A41),EXACT(Identity!$A41,UPPER(Identity!$A41)),COUNTIF(Identity!$A$2:$A$501,Identity!$A41)=1,OR(AND(LEFT(Identity!$A41,3)="AAI",LEN(Identity!$A41)=11,SUMPRODUCT(--ISNUMBER(FIND(MID(Identity!$A41,ROW($4:$11),1),"0123456789")))=8,IFERROR(VALUE(MID(Identity!$A41,6,2)),0)&gt;=1,IFERROR(VALUE(MID(Identity!$A41,6,2)),0)&lt;=12,RIGHT(Identity!$A41,4)&lt;&gt;"0000"),AND(LEFT(Identity!$A41,3)="AA-",LEN(Identity!$A41)=15,SUMPRODUCT(--ISNUMBER(FIND(MID(Identity!$A41,ROW($4:$15),1),"ABCDEFGHIJKLMNOPQRSTUVWXYZ")))=6,SUMPRODUCT(--ISNUMBER(FIND(MID(Identity!$A41,ROW($4:$15),1),"0123456789")))=6))),FALSE))</f>
      </c>
    </row>
    <row r="42">
      <c r="D42">
        <f>IF(Identity!$A42="",TRUE,IFERROR(AND(ISTEXT(Identity!$A42),EXACT(Identity!$A42,UPPER(Identity!$A42)),COUNTIF(Identity!$A$2:$A$501,Identity!$A42)=1,OR(AND(LEFT(Identity!$A42,3)="AAI",LEN(Identity!$A42)=11,SUMPRODUCT(--ISNUMBER(FIND(MID(Identity!$A42,ROW($4:$11),1),"0123456789")))=8,IFERROR(VALUE(MID(Identity!$A42,6,2)),0)&gt;=1,IFERROR(VALUE(MID(Identity!$A42,6,2)),0)&lt;=12,RIGHT(Identity!$A42,4)&lt;&gt;"0000"),AND(LEFT(Identity!$A42,3)="AA-",LEN(Identity!$A42)=15,SUMPRODUCT(--ISNUMBER(FIND(MID(Identity!$A42,ROW($4:$15),1),"ABCDEFGHIJKLMNOPQRSTUVWXYZ")))=6,SUMPRODUCT(--ISNUMBER(FIND(MID(Identity!$A42,ROW($4:$15),1),"0123456789")))=6))),FALSE))</f>
      </c>
    </row>
    <row r="43">
      <c r="D43">
        <f>IF(Identity!$A43="",TRUE,IFERROR(AND(ISTEXT(Identity!$A43),EXACT(Identity!$A43,UPPER(Identity!$A43)),COUNTIF(Identity!$A$2:$A$501,Identity!$A43)=1,OR(AND(LEFT(Identity!$A43,3)="AAI",LEN(Identity!$A43)=11,SUMPRODUCT(--ISNUMBER(FIND(MID(Identity!$A43,ROW($4:$11),1),"0123456789")))=8,IFERROR(VALUE(MID(Identity!$A43,6,2)),0)&gt;=1,IFERROR(VALUE(MID(Identity!$A43,6,2)),0)&lt;=12,RIGHT(Identity!$A43,4)&lt;&gt;"0000"),AND(LEFT(Identity!$A43,3)="AA-",LEN(Identity!$A43)=15,SUMPRODUCT(--ISNUMBER(FIND(MID(Identity!$A43,ROW($4:$15),1),"ABCDEFGHIJKLMNOPQRSTUVWXYZ")))=6,SUMPRODUCT(--ISNUMBER(FIND(MID(Identity!$A43,ROW($4:$15),1),"0123456789")))=6))),FALSE))</f>
      </c>
    </row>
    <row r="44">
      <c r="D44">
        <f>IF(Identity!$A44="",TRUE,IFERROR(AND(ISTEXT(Identity!$A44),EXACT(Identity!$A44,UPPER(Identity!$A44)),COUNTIF(Identity!$A$2:$A$501,Identity!$A44)=1,OR(AND(LEFT(Identity!$A44,3)="AAI",LEN(Identity!$A44)=11,SUMPRODUCT(--ISNUMBER(FIND(MID(Identity!$A44,ROW($4:$11),1),"0123456789")))=8,IFERROR(VALUE(MID(Identity!$A44,6,2)),0)&gt;=1,IFERROR(VALUE(MID(Identity!$A44,6,2)),0)&lt;=12,RIGHT(Identity!$A44,4)&lt;&gt;"0000"),AND(LEFT(Identity!$A44,3)="AA-",LEN(Identity!$A44)=15,SUMPRODUCT(--ISNUMBER(FIND(MID(Identity!$A44,ROW($4:$15),1),"ABCDEFGHIJKLMNOPQRSTUVWXYZ")))=6,SUMPRODUCT(--ISNUMBER(FIND(MID(Identity!$A44,ROW($4:$15),1),"0123456789")))=6))),FALSE))</f>
      </c>
    </row>
    <row r="45">
      <c r="D45">
        <f>IF(Identity!$A45="",TRUE,IFERROR(AND(ISTEXT(Identity!$A45),EXACT(Identity!$A45,UPPER(Identity!$A45)),COUNTIF(Identity!$A$2:$A$501,Identity!$A45)=1,OR(AND(LEFT(Identity!$A45,3)="AAI",LEN(Identity!$A45)=11,SUMPRODUCT(--ISNUMBER(FIND(MID(Identity!$A45,ROW($4:$11),1),"0123456789")))=8,IFERROR(VALUE(MID(Identity!$A45,6,2)),0)&gt;=1,IFERROR(VALUE(MID(Identity!$A45,6,2)),0)&lt;=12,RIGHT(Identity!$A45,4)&lt;&gt;"0000"),AND(LEFT(Identity!$A45,3)="AA-",LEN(Identity!$A45)=15,SUMPRODUCT(--ISNUMBER(FIND(MID(Identity!$A45,ROW($4:$15),1),"ABCDEFGHIJKLMNOPQRSTUVWXYZ")))=6,SUMPRODUCT(--ISNUMBER(FIND(MID(Identity!$A45,ROW($4:$15),1),"0123456789")))=6))),FALSE))</f>
      </c>
    </row>
    <row r="46">
      <c r="D46">
        <f>IF(Identity!$A46="",TRUE,IFERROR(AND(ISTEXT(Identity!$A46),EXACT(Identity!$A46,UPPER(Identity!$A46)),COUNTIF(Identity!$A$2:$A$501,Identity!$A46)=1,OR(AND(LEFT(Identity!$A46,3)="AAI",LEN(Identity!$A46)=11,SUMPRODUCT(--ISNUMBER(FIND(MID(Identity!$A46,ROW($4:$11),1),"0123456789")))=8,IFERROR(VALUE(MID(Identity!$A46,6,2)),0)&gt;=1,IFERROR(VALUE(MID(Identity!$A46,6,2)),0)&lt;=12,RIGHT(Identity!$A46,4)&lt;&gt;"0000"),AND(LEFT(Identity!$A46,3)="AA-",LEN(Identity!$A46)=15,SUMPRODUCT(--ISNUMBER(FIND(MID(Identity!$A46,ROW($4:$15),1),"ABCDEFGHIJKLMNOPQRSTUVWXYZ")))=6,SUMPRODUCT(--ISNUMBER(FIND(MID(Identity!$A46,ROW($4:$15),1),"0123456789")))=6))),FALSE))</f>
      </c>
    </row>
    <row r="47">
      <c r="D47">
        <f>IF(Identity!$A47="",TRUE,IFERROR(AND(ISTEXT(Identity!$A47),EXACT(Identity!$A47,UPPER(Identity!$A47)),COUNTIF(Identity!$A$2:$A$501,Identity!$A47)=1,OR(AND(LEFT(Identity!$A47,3)="AAI",LEN(Identity!$A47)=11,SUMPRODUCT(--ISNUMBER(FIND(MID(Identity!$A47,ROW($4:$11),1),"0123456789")))=8,IFERROR(VALUE(MID(Identity!$A47,6,2)),0)&gt;=1,IFERROR(VALUE(MID(Identity!$A47,6,2)),0)&lt;=12,RIGHT(Identity!$A47,4)&lt;&gt;"0000"),AND(LEFT(Identity!$A47,3)="AA-",LEN(Identity!$A47)=15,SUMPRODUCT(--ISNUMBER(FIND(MID(Identity!$A47,ROW($4:$15),1),"ABCDEFGHIJKLMNOPQRSTUVWXYZ")))=6,SUMPRODUCT(--ISNUMBER(FIND(MID(Identity!$A47,ROW($4:$15),1),"0123456789")))=6))),FALSE))</f>
      </c>
    </row>
    <row r="48">
      <c r="D48">
        <f>IF(Identity!$A48="",TRUE,IFERROR(AND(ISTEXT(Identity!$A48),EXACT(Identity!$A48,UPPER(Identity!$A48)),COUNTIF(Identity!$A$2:$A$501,Identity!$A48)=1,OR(AND(LEFT(Identity!$A48,3)="AAI",LEN(Identity!$A48)=11,SUMPRODUCT(--ISNUMBER(FIND(MID(Identity!$A48,ROW($4:$11),1),"0123456789")))=8,IFERROR(VALUE(MID(Identity!$A48,6,2)),0)&gt;=1,IFERROR(VALUE(MID(Identity!$A48,6,2)),0)&lt;=12,RIGHT(Identity!$A48,4)&lt;&gt;"0000"),AND(LEFT(Identity!$A48,3)="AA-",LEN(Identity!$A48)=15,SUMPRODUCT(--ISNUMBER(FIND(MID(Identity!$A48,ROW($4:$15),1),"ABCDEFGHIJKLMNOPQRSTUVWXYZ")))=6,SUMPRODUCT(--ISNUMBER(FIND(MID(Identity!$A48,ROW($4:$15),1),"0123456789")))=6))),FALSE))</f>
      </c>
    </row>
    <row r="49">
      <c r="D49">
        <f>IF(Identity!$A49="",TRUE,IFERROR(AND(ISTEXT(Identity!$A49),EXACT(Identity!$A49,UPPER(Identity!$A49)),COUNTIF(Identity!$A$2:$A$501,Identity!$A49)=1,OR(AND(LEFT(Identity!$A49,3)="AAI",LEN(Identity!$A49)=11,SUMPRODUCT(--ISNUMBER(FIND(MID(Identity!$A49,ROW($4:$11),1),"0123456789")))=8,IFERROR(VALUE(MID(Identity!$A49,6,2)),0)&gt;=1,IFERROR(VALUE(MID(Identity!$A49,6,2)),0)&lt;=12,RIGHT(Identity!$A49,4)&lt;&gt;"0000"),AND(LEFT(Identity!$A49,3)="AA-",LEN(Identity!$A49)=15,SUMPRODUCT(--ISNUMBER(FIND(MID(Identity!$A49,ROW($4:$15),1),"ABCDEFGHIJKLMNOPQRSTUVWXYZ")))=6,SUMPRODUCT(--ISNUMBER(FIND(MID(Identity!$A49,ROW($4:$15),1),"0123456789")))=6))),FALSE))</f>
      </c>
    </row>
    <row r="50">
      <c r="D50">
        <f>IF(Identity!$A50="",TRUE,IFERROR(AND(ISTEXT(Identity!$A50),EXACT(Identity!$A50,UPPER(Identity!$A50)),COUNTIF(Identity!$A$2:$A$501,Identity!$A50)=1,OR(AND(LEFT(Identity!$A50,3)="AAI",LEN(Identity!$A50)=11,SUMPRODUCT(--ISNUMBER(FIND(MID(Identity!$A50,ROW($4:$11),1),"0123456789")))=8,IFERROR(VALUE(MID(Identity!$A50,6,2)),0)&gt;=1,IFERROR(VALUE(MID(Identity!$A50,6,2)),0)&lt;=12,RIGHT(Identity!$A50,4)&lt;&gt;"0000"),AND(LEFT(Identity!$A50,3)="AA-",LEN(Identity!$A50)=15,SUMPRODUCT(--ISNUMBER(FIND(MID(Identity!$A50,ROW($4:$15),1),"ABCDEFGHIJKLMNOPQRSTUVWXYZ")))=6,SUMPRODUCT(--ISNUMBER(FIND(MID(Identity!$A50,ROW($4:$15),1),"0123456789")))=6))),FALSE))</f>
      </c>
    </row>
    <row r="51">
      <c r="D51">
        <f>IF(Identity!$A51="",TRUE,IFERROR(AND(ISTEXT(Identity!$A51),EXACT(Identity!$A51,UPPER(Identity!$A51)),COUNTIF(Identity!$A$2:$A$501,Identity!$A51)=1,OR(AND(LEFT(Identity!$A51,3)="AAI",LEN(Identity!$A51)=11,SUMPRODUCT(--ISNUMBER(FIND(MID(Identity!$A51,ROW($4:$11),1),"0123456789")))=8,IFERROR(VALUE(MID(Identity!$A51,6,2)),0)&gt;=1,IFERROR(VALUE(MID(Identity!$A51,6,2)),0)&lt;=12,RIGHT(Identity!$A51,4)&lt;&gt;"0000"),AND(LEFT(Identity!$A51,3)="AA-",LEN(Identity!$A51)=15,SUMPRODUCT(--ISNUMBER(FIND(MID(Identity!$A51,ROW($4:$15),1),"ABCDEFGHIJKLMNOPQRSTUVWXYZ")))=6,SUMPRODUCT(--ISNUMBER(FIND(MID(Identity!$A51,ROW($4:$15),1),"0123456789")))=6))),FALSE))</f>
      </c>
    </row>
    <row r="52">
      <c r="D52">
        <f>IF(Identity!$A52="",TRUE,IFERROR(AND(ISTEXT(Identity!$A52),EXACT(Identity!$A52,UPPER(Identity!$A52)),COUNTIF(Identity!$A$2:$A$501,Identity!$A52)=1,OR(AND(LEFT(Identity!$A52,3)="AAI",LEN(Identity!$A52)=11,SUMPRODUCT(--ISNUMBER(FIND(MID(Identity!$A52,ROW($4:$11),1),"0123456789")))=8,IFERROR(VALUE(MID(Identity!$A52,6,2)),0)&gt;=1,IFERROR(VALUE(MID(Identity!$A52,6,2)),0)&lt;=12,RIGHT(Identity!$A52,4)&lt;&gt;"0000"),AND(LEFT(Identity!$A52,3)="AA-",LEN(Identity!$A52)=15,SUMPRODUCT(--ISNUMBER(FIND(MID(Identity!$A52,ROW($4:$15),1),"ABCDEFGHIJKLMNOPQRSTUVWXYZ")))=6,SUMPRODUCT(--ISNUMBER(FIND(MID(Identity!$A52,ROW($4:$15),1),"0123456789")))=6))),FALSE))</f>
      </c>
    </row>
    <row r="53">
      <c r="D53">
        <f>IF(Identity!$A53="",TRUE,IFERROR(AND(ISTEXT(Identity!$A53),EXACT(Identity!$A53,UPPER(Identity!$A53)),COUNTIF(Identity!$A$2:$A$501,Identity!$A53)=1,OR(AND(LEFT(Identity!$A53,3)="AAI",LEN(Identity!$A53)=11,SUMPRODUCT(--ISNUMBER(FIND(MID(Identity!$A53,ROW($4:$11),1),"0123456789")))=8,IFERROR(VALUE(MID(Identity!$A53,6,2)),0)&gt;=1,IFERROR(VALUE(MID(Identity!$A53,6,2)),0)&lt;=12,RIGHT(Identity!$A53,4)&lt;&gt;"0000"),AND(LEFT(Identity!$A53,3)="AA-",LEN(Identity!$A53)=15,SUMPRODUCT(--ISNUMBER(FIND(MID(Identity!$A53,ROW($4:$15),1),"ABCDEFGHIJKLMNOPQRSTUVWXYZ")))=6,SUMPRODUCT(--ISNUMBER(FIND(MID(Identity!$A53,ROW($4:$15),1),"0123456789")))=6))),FALSE))</f>
      </c>
    </row>
    <row r="54">
      <c r="D54">
        <f>IF(Identity!$A54="",TRUE,IFERROR(AND(ISTEXT(Identity!$A54),EXACT(Identity!$A54,UPPER(Identity!$A54)),COUNTIF(Identity!$A$2:$A$501,Identity!$A54)=1,OR(AND(LEFT(Identity!$A54,3)="AAI",LEN(Identity!$A54)=11,SUMPRODUCT(--ISNUMBER(FIND(MID(Identity!$A54,ROW($4:$11),1),"0123456789")))=8,IFERROR(VALUE(MID(Identity!$A54,6,2)),0)&gt;=1,IFERROR(VALUE(MID(Identity!$A54,6,2)),0)&lt;=12,RIGHT(Identity!$A54,4)&lt;&gt;"0000"),AND(LEFT(Identity!$A54,3)="AA-",LEN(Identity!$A54)=15,SUMPRODUCT(--ISNUMBER(FIND(MID(Identity!$A54,ROW($4:$15),1),"ABCDEFGHIJKLMNOPQRSTUVWXYZ")))=6,SUMPRODUCT(--ISNUMBER(FIND(MID(Identity!$A54,ROW($4:$15),1),"0123456789")))=6))),FALSE))</f>
      </c>
    </row>
    <row r="55">
      <c r="D55">
        <f>IF(Identity!$A55="",TRUE,IFERROR(AND(ISTEXT(Identity!$A55),EXACT(Identity!$A55,UPPER(Identity!$A55)),COUNTIF(Identity!$A$2:$A$501,Identity!$A55)=1,OR(AND(LEFT(Identity!$A55,3)="AAI",LEN(Identity!$A55)=11,SUMPRODUCT(--ISNUMBER(FIND(MID(Identity!$A55,ROW($4:$11),1),"0123456789")))=8,IFERROR(VALUE(MID(Identity!$A55,6,2)),0)&gt;=1,IFERROR(VALUE(MID(Identity!$A55,6,2)),0)&lt;=12,RIGHT(Identity!$A55,4)&lt;&gt;"0000"),AND(LEFT(Identity!$A55,3)="AA-",LEN(Identity!$A55)=15,SUMPRODUCT(--ISNUMBER(FIND(MID(Identity!$A55,ROW($4:$15),1),"ABCDEFGHIJKLMNOPQRSTUVWXYZ")))=6,SUMPRODUCT(--ISNUMBER(FIND(MID(Identity!$A55,ROW($4:$15),1),"0123456789")))=6))),FALSE))</f>
      </c>
    </row>
    <row r="56">
      <c r="D56">
        <f>IF(Identity!$A56="",TRUE,IFERROR(AND(ISTEXT(Identity!$A56),EXACT(Identity!$A56,UPPER(Identity!$A56)),COUNTIF(Identity!$A$2:$A$501,Identity!$A56)=1,OR(AND(LEFT(Identity!$A56,3)="AAI",LEN(Identity!$A56)=11,SUMPRODUCT(--ISNUMBER(FIND(MID(Identity!$A56,ROW($4:$11),1),"0123456789")))=8,IFERROR(VALUE(MID(Identity!$A56,6,2)),0)&gt;=1,IFERROR(VALUE(MID(Identity!$A56,6,2)),0)&lt;=12,RIGHT(Identity!$A56,4)&lt;&gt;"0000"),AND(LEFT(Identity!$A56,3)="AA-",LEN(Identity!$A56)=15,SUMPRODUCT(--ISNUMBER(FIND(MID(Identity!$A56,ROW($4:$15),1),"ABCDEFGHIJKLMNOPQRSTUVWXYZ")))=6,SUMPRODUCT(--ISNUMBER(FIND(MID(Identity!$A56,ROW($4:$15),1),"0123456789")))=6))),FALSE))</f>
      </c>
    </row>
    <row r="57">
      <c r="D57">
        <f>IF(Identity!$A57="",TRUE,IFERROR(AND(ISTEXT(Identity!$A57),EXACT(Identity!$A57,UPPER(Identity!$A57)),COUNTIF(Identity!$A$2:$A$501,Identity!$A57)=1,OR(AND(LEFT(Identity!$A57,3)="AAI",LEN(Identity!$A57)=11,SUMPRODUCT(--ISNUMBER(FIND(MID(Identity!$A57,ROW($4:$11),1),"0123456789")))=8,IFERROR(VALUE(MID(Identity!$A57,6,2)),0)&gt;=1,IFERROR(VALUE(MID(Identity!$A57,6,2)),0)&lt;=12,RIGHT(Identity!$A57,4)&lt;&gt;"0000"),AND(LEFT(Identity!$A57,3)="AA-",LEN(Identity!$A57)=15,SUMPRODUCT(--ISNUMBER(FIND(MID(Identity!$A57,ROW($4:$15),1),"ABCDEFGHIJKLMNOPQRSTUVWXYZ")))=6,SUMPRODUCT(--ISNUMBER(FIND(MID(Identity!$A57,ROW($4:$15),1),"0123456789")))=6))),FALSE))</f>
      </c>
    </row>
    <row r="58">
      <c r="D58">
        <f>IF(Identity!$A58="",TRUE,IFERROR(AND(ISTEXT(Identity!$A58),EXACT(Identity!$A58,UPPER(Identity!$A58)),COUNTIF(Identity!$A$2:$A$501,Identity!$A58)=1,OR(AND(LEFT(Identity!$A58,3)="AAI",LEN(Identity!$A58)=11,SUMPRODUCT(--ISNUMBER(FIND(MID(Identity!$A58,ROW($4:$11),1),"0123456789")))=8,IFERROR(VALUE(MID(Identity!$A58,6,2)),0)&gt;=1,IFERROR(VALUE(MID(Identity!$A58,6,2)),0)&lt;=12,RIGHT(Identity!$A58,4)&lt;&gt;"0000"),AND(LEFT(Identity!$A58,3)="AA-",LEN(Identity!$A58)=15,SUMPRODUCT(--ISNUMBER(FIND(MID(Identity!$A58,ROW($4:$15),1),"ABCDEFGHIJKLMNOPQRSTUVWXYZ")))=6,SUMPRODUCT(--ISNUMBER(FIND(MID(Identity!$A58,ROW($4:$15),1),"0123456789")))=6))),FALSE))</f>
      </c>
    </row>
    <row r="59">
      <c r="D59">
        <f>IF(Identity!$A59="",TRUE,IFERROR(AND(ISTEXT(Identity!$A59),EXACT(Identity!$A59,UPPER(Identity!$A59)),COUNTIF(Identity!$A$2:$A$501,Identity!$A59)=1,OR(AND(LEFT(Identity!$A59,3)="AAI",LEN(Identity!$A59)=11,SUMPRODUCT(--ISNUMBER(FIND(MID(Identity!$A59,ROW($4:$11),1),"0123456789")))=8,IFERROR(VALUE(MID(Identity!$A59,6,2)),0)&gt;=1,IFERROR(VALUE(MID(Identity!$A59,6,2)),0)&lt;=12,RIGHT(Identity!$A59,4)&lt;&gt;"0000"),AND(LEFT(Identity!$A59,3)="AA-",LEN(Identity!$A59)=15,SUMPRODUCT(--ISNUMBER(FIND(MID(Identity!$A59,ROW($4:$15),1),"ABCDEFGHIJKLMNOPQRSTUVWXYZ")))=6,SUMPRODUCT(--ISNUMBER(FIND(MID(Identity!$A59,ROW($4:$15),1),"0123456789")))=6))),FALSE))</f>
      </c>
    </row>
    <row r="60">
      <c r="D60">
        <f>IF(Identity!$A60="",TRUE,IFERROR(AND(ISTEXT(Identity!$A60),EXACT(Identity!$A60,UPPER(Identity!$A60)),COUNTIF(Identity!$A$2:$A$501,Identity!$A60)=1,OR(AND(LEFT(Identity!$A60,3)="AAI",LEN(Identity!$A60)=11,SUMPRODUCT(--ISNUMBER(FIND(MID(Identity!$A60,ROW($4:$11),1),"0123456789")))=8,IFERROR(VALUE(MID(Identity!$A60,6,2)),0)&gt;=1,IFERROR(VALUE(MID(Identity!$A60,6,2)),0)&lt;=12,RIGHT(Identity!$A60,4)&lt;&gt;"0000"),AND(LEFT(Identity!$A60,3)="AA-",LEN(Identity!$A60)=15,SUMPRODUCT(--ISNUMBER(FIND(MID(Identity!$A60,ROW($4:$15),1),"ABCDEFGHIJKLMNOPQRSTUVWXYZ")))=6,SUMPRODUCT(--ISNUMBER(FIND(MID(Identity!$A60,ROW($4:$15),1),"0123456789")))=6))),FALSE))</f>
      </c>
    </row>
    <row r="61">
      <c r="D61">
        <f>IF(Identity!$A61="",TRUE,IFERROR(AND(ISTEXT(Identity!$A61),EXACT(Identity!$A61,UPPER(Identity!$A61)),COUNTIF(Identity!$A$2:$A$501,Identity!$A61)=1,OR(AND(LEFT(Identity!$A61,3)="AAI",LEN(Identity!$A61)=11,SUMPRODUCT(--ISNUMBER(FIND(MID(Identity!$A61,ROW($4:$11),1),"0123456789")))=8,IFERROR(VALUE(MID(Identity!$A61,6,2)),0)&gt;=1,IFERROR(VALUE(MID(Identity!$A61,6,2)),0)&lt;=12,RIGHT(Identity!$A61,4)&lt;&gt;"0000"),AND(LEFT(Identity!$A61,3)="AA-",LEN(Identity!$A61)=15,SUMPRODUCT(--ISNUMBER(FIND(MID(Identity!$A61,ROW($4:$15),1),"ABCDEFGHIJKLMNOPQRSTUVWXYZ")))=6,SUMPRODUCT(--ISNUMBER(FIND(MID(Identity!$A61,ROW($4:$15),1),"0123456789")))=6))),FALSE))</f>
      </c>
    </row>
    <row r="62">
      <c r="D62">
        <f>IF(Identity!$A62="",TRUE,IFERROR(AND(ISTEXT(Identity!$A62),EXACT(Identity!$A62,UPPER(Identity!$A62)),COUNTIF(Identity!$A$2:$A$501,Identity!$A62)=1,OR(AND(LEFT(Identity!$A62,3)="AAI",LEN(Identity!$A62)=11,SUMPRODUCT(--ISNUMBER(FIND(MID(Identity!$A62,ROW($4:$11),1),"0123456789")))=8,IFERROR(VALUE(MID(Identity!$A62,6,2)),0)&gt;=1,IFERROR(VALUE(MID(Identity!$A62,6,2)),0)&lt;=12,RIGHT(Identity!$A62,4)&lt;&gt;"0000"),AND(LEFT(Identity!$A62,3)="AA-",LEN(Identity!$A62)=15,SUMPRODUCT(--ISNUMBER(FIND(MID(Identity!$A62,ROW($4:$15),1),"ABCDEFGHIJKLMNOPQRSTUVWXYZ")))=6,SUMPRODUCT(--ISNUMBER(FIND(MID(Identity!$A62,ROW($4:$15),1),"0123456789")))=6))),FALSE))</f>
      </c>
    </row>
    <row r="63">
      <c r="D63">
        <f>IF(Identity!$A63="",TRUE,IFERROR(AND(ISTEXT(Identity!$A63),EXACT(Identity!$A63,UPPER(Identity!$A63)),COUNTIF(Identity!$A$2:$A$501,Identity!$A63)=1,OR(AND(LEFT(Identity!$A63,3)="AAI",LEN(Identity!$A63)=11,SUMPRODUCT(--ISNUMBER(FIND(MID(Identity!$A63,ROW($4:$11),1),"0123456789")))=8,IFERROR(VALUE(MID(Identity!$A63,6,2)),0)&gt;=1,IFERROR(VALUE(MID(Identity!$A63,6,2)),0)&lt;=12,RIGHT(Identity!$A63,4)&lt;&gt;"0000"),AND(LEFT(Identity!$A63,3)="AA-",LEN(Identity!$A63)=15,SUMPRODUCT(--ISNUMBER(FIND(MID(Identity!$A63,ROW($4:$15),1),"ABCDEFGHIJKLMNOPQRSTUVWXYZ")))=6,SUMPRODUCT(--ISNUMBER(FIND(MID(Identity!$A63,ROW($4:$15),1),"0123456789")))=6))),FALSE))</f>
      </c>
    </row>
    <row r="64">
      <c r="D64">
        <f>IF(Identity!$A64="",TRUE,IFERROR(AND(ISTEXT(Identity!$A64),EXACT(Identity!$A64,UPPER(Identity!$A64)),COUNTIF(Identity!$A$2:$A$501,Identity!$A64)=1,OR(AND(LEFT(Identity!$A64,3)="AAI",LEN(Identity!$A64)=11,SUMPRODUCT(--ISNUMBER(FIND(MID(Identity!$A64,ROW($4:$11),1),"0123456789")))=8,IFERROR(VALUE(MID(Identity!$A64,6,2)),0)&gt;=1,IFERROR(VALUE(MID(Identity!$A64,6,2)),0)&lt;=12,RIGHT(Identity!$A64,4)&lt;&gt;"0000"),AND(LEFT(Identity!$A64,3)="AA-",LEN(Identity!$A64)=15,SUMPRODUCT(--ISNUMBER(FIND(MID(Identity!$A64,ROW($4:$15),1),"ABCDEFGHIJKLMNOPQRSTUVWXYZ")))=6,SUMPRODUCT(--ISNUMBER(FIND(MID(Identity!$A64,ROW($4:$15),1),"0123456789")))=6))),FALSE))</f>
      </c>
    </row>
    <row r="65">
      <c r="D65">
        <f>IF(Identity!$A65="",TRUE,IFERROR(AND(ISTEXT(Identity!$A65),EXACT(Identity!$A65,UPPER(Identity!$A65)),COUNTIF(Identity!$A$2:$A$501,Identity!$A65)=1,OR(AND(LEFT(Identity!$A65,3)="AAI",LEN(Identity!$A65)=11,SUMPRODUCT(--ISNUMBER(FIND(MID(Identity!$A65,ROW($4:$11),1),"0123456789")))=8,IFERROR(VALUE(MID(Identity!$A65,6,2)),0)&gt;=1,IFERROR(VALUE(MID(Identity!$A65,6,2)),0)&lt;=12,RIGHT(Identity!$A65,4)&lt;&gt;"0000"),AND(LEFT(Identity!$A65,3)="AA-",LEN(Identity!$A65)=15,SUMPRODUCT(--ISNUMBER(FIND(MID(Identity!$A65,ROW($4:$15),1),"ABCDEFGHIJKLMNOPQRSTUVWXYZ")))=6,SUMPRODUCT(--ISNUMBER(FIND(MID(Identity!$A65,ROW($4:$15),1),"0123456789")))=6))),FALSE))</f>
      </c>
    </row>
    <row r="66">
      <c r="D66">
        <f>IF(Identity!$A66="",TRUE,IFERROR(AND(ISTEXT(Identity!$A66),EXACT(Identity!$A66,UPPER(Identity!$A66)),COUNTIF(Identity!$A$2:$A$501,Identity!$A66)=1,OR(AND(LEFT(Identity!$A66,3)="AAI",LEN(Identity!$A66)=11,SUMPRODUCT(--ISNUMBER(FIND(MID(Identity!$A66,ROW($4:$11),1),"0123456789")))=8,IFERROR(VALUE(MID(Identity!$A66,6,2)),0)&gt;=1,IFERROR(VALUE(MID(Identity!$A66,6,2)),0)&lt;=12,RIGHT(Identity!$A66,4)&lt;&gt;"0000"),AND(LEFT(Identity!$A66,3)="AA-",LEN(Identity!$A66)=15,SUMPRODUCT(--ISNUMBER(FIND(MID(Identity!$A66,ROW($4:$15),1),"ABCDEFGHIJKLMNOPQRSTUVWXYZ")))=6,SUMPRODUCT(--ISNUMBER(FIND(MID(Identity!$A66,ROW($4:$15),1),"0123456789")))=6))),FALSE))</f>
      </c>
    </row>
    <row r="67">
      <c r="D67">
        <f>IF(Identity!$A67="",TRUE,IFERROR(AND(ISTEXT(Identity!$A67),EXACT(Identity!$A67,UPPER(Identity!$A67)),COUNTIF(Identity!$A$2:$A$501,Identity!$A67)=1,OR(AND(LEFT(Identity!$A67,3)="AAI",LEN(Identity!$A67)=11,SUMPRODUCT(--ISNUMBER(FIND(MID(Identity!$A67,ROW($4:$11),1),"0123456789")))=8,IFERROR(VALUE(MID(Identity!$A67,6,2)),0)&gt;=1,IFERROR(VALUE(MID(Identity!$A67,6,2)),0)&lt;=12,RIGHT(Identity!$A67,4)&lt;&gt;"0000"),AND(LEFT(Identity!$A67,3)="AA-",LEN(Identity!$A67)=15,SUMPRODUCT(--ISNUMBER(FIND(MID(Identity!$A67,ROW($4:$15),1),"ABCDEFGHIJKLMNOPQRSTUVWXYZ")))=6,SUMPRODUCT(--ISNUMBER(FIND(MID(Identity!$A67,ROW($4:$15),1),"0123456789")))=6))),FALSE))</f>
      </c>
    </row>
    <row r="68">
      <c r="D68">
        <f>IF(Identity!$A68="",TRUE,IFERROR(AND(ISTEXT(Identity!$A68),EXACT(Identity!$A68,UPPER(Identity!$A68)),COUNTIF(Identity!$A$2:$A$501,Identity!$A68)=1,OR(AND(LEFT(Identity!$A68,3)="AAI",LEN(Identity!$A68)=11,SUMPRODUCT(--ISNUMBER(FIND(MID(Identity!$A68,ROW($4:$11),1),"0123456789")))=8,IFERROR(VALUE(MID(Identity!$A68,6,2)),0)&gt;=1,IFERROR(VALUE(MID(Identity!$A68,6,2)),0)&lt;=12,RIGHT(Identity!$A68,4)&lt;&gt;"0000"),AND(LEFT(Identity!$A68,3)="AA-",LEN(Identity!$A68)=15,SUMPRODUCT(--ISNUMBER(FIND(MID(Identity!$A68,ROW($4:$15),1),"ABCDEFGHIJKLMNOPQRSTUVWXYZ")))=6,SUMPRODUCT(--ISNUMBER(FIND(MID(Identity!$A68,ROW($4:$15),1),"0123456789")))=6))),FALSE))</f>
      </c>
    </row>
    <row r="69">
      <c r="D69">
        <f>IF(Identity!$A69="",TRUE,IFERROR(AND(ISTEXT(Identity!$A69),EXACT(Identity!$A69,UPPER(Identity!$A69)),COUNTIF(Identity!$A$2:$A$501,Identity!$A69)=1,OR(AND(LEFT(Identity!$A69,3)="AAI",LEN(Identity!$A69)=11,SUMPRODUCT(--ISNUMBER(FIND(MID(Identity!$A69,ROW($4:$11),1),"0123456789")))=8,IFERROR(VALUE(MID(Identity!$A69,6,2)),0)&gt;=1,IFERROR(VALUE(MID(Identity!$A69,6,2)),0)&lt;=12,RIGHT(Identity!$A69,4)&lt;&gt;"0000"),AND(LEFT(Identity!$A69,3)="AA-",LEN(Identity!$A69)=15,SUMPRODUCT(--ISNUMBER(FIND(MID(Identity!$A69,ROW($4:$15),1),"ABCDEFGHIJKLMNOPQRSTUVWXYZ")))=6,SUMPRODUCT(--ISNUMBER(FIND(MID(Identity!$A69,ROW($4:$15),1),"0123456789")))=6))),FALSE))</f>
      </c>
    </row>
    <row r="70">
      <c r="D70">
        <f>IF(Identity!$A70="",TRUE,IFERROR(AND(ISTEXT(Identity!$A70),EXACT(Identity!$A70,UPPER(Identity!$A70)),COUNTIF(Identity!$A$2:$A$501,Identity!$A70)=1,OR(AND(LEFT(Identity!$A70,3)="AAI",LEN(Identity!$A70)=11,SUMPRODUCT(--ISNUMBER(FIND(MID(Identity!$A70,ROW($4:$11),1),"0123456789")))=8,IFERROR(VALUE(MID(Identity!$A70,6,2)),0)&gt;=1,IFERROR(VALUE(MID(Identity!$A70,6,2)),0)&lt;=12,RIGHT(Identity!$A70,4)&lt;&gt;"0000"),AND(LEFT(Identity!$A70,3)="AA-",LEN(Identity!$A70)=15,SUMPRODUCT(--ISNUMBER(FIND(MID(Identity!$A70,ROW($4:$15),1),"ABCDEFGHIJKLMNOPQRSTUVWXYZ")))=6,SUMPRODUCT(--ISNUMBER(FIND(MID(Identity!$A70,ROW($4:$15),1),"0123456789")))=6))),FALSE))</f>
      </c>
    </row>
    <row r="71">
      <c r="D71">
        <f>IF(Identity!$A71="",TRUE,IFERROR(AND(ISTEXT(Identity!$A71),EXACT(Identity!$A71,UPPER(Identity!$A71)),COUNTIF(Identity!$A$2:$A$501,Identity!$A71)=1,OR(AND(LEFT(Identity!$A71,3)="AAI",LEN(Identity!$A71)=11,SUMPRODUCT(--ISNUMBER(FIND(MID(Identity!$A71,ROW($4:$11),1),"0123456789")))=8,IFERROR(VALUE(MID(Identity!$A71,6,2)),0)&gt;=1,IFERROR(VALUE(MID(Identity!$A71,6,2)),0)&lt;=12,RIGHT(Identity!$A71,4)&lt;&gt;"0000"),AND(LEFT(Identity!$A71,3)="AA-",LEN(Identity!$A71)=15,SUMPRODUCT(--ISNUMBER(FIND(MID(Identity!$A71,ROW($4:$15),1),"ABCDEFGHIJKLMNOPQRSTUVWXYZ")))=6,SUMPRODUCT(--ISNUMBER(FIND(MID(Identity!$A71,ROW($4:$15),1),"0123456789")))=6))),FALSE))</f>
      </c>
    </row>
    <row r="72">
      <c r="D72">
        <f>IF(Identity!$A72="",TRUE,IFERROR(AND(ISTEXT(Identity!$A72),EXACT(Identity!$A72,UPPER(Identity!$A72)),COUNTIF(Identity!$A$2:$A$501,Identity!$A72)=1,OR(AND(LEFT(Identity!$A72,3)="AAI",LEN(Identity!$A72)=11,SUMPRODUCT(--ISNUMBER(FIND(MID(Identity!$A72,ROW($4:$11),1),"0123456789")))=8,IFERROR(VALUE(MID(Identity!$A72,6,2)),0)&gt;=1,IFERROR(VALUE(MID(Identity!$A72,6,2)),0)&lt;=12,RIGHT(Identity!$A72,4)&lt;&gt;"0000"),AND(LEFT(Identity!$A72,3)="AA-",LEN(Identity!$A72)=15,SUMPRODUCT(--ISNUMBER(FIND(MID(Identity!$A72,ROW($4:$15),1),"ABCDEFGHIJKLMNOPQRSTUVWXYZ")))=6,SUMPRODUCT(--ISNUMBER(FIND(MID(Identity!$A72,ROW($4:$15),1),"0123456789")))=6))),FALSE))</f>
      </c>
    </row>
    <row r="73">
      <c r="D73">
        <f>IF(Identity!$A73="",TRUE,IFERROR(AND(ISTEXT(Identity!$A73),EXACT(Identity!$A73,UPPER(Identity!$A73)),COUNTIF(Identity!$A$2:$A$501,Identity!$A73)=1,OR(AND(LEFT(Identity!$A73,3)="AAI",LEN(Identity!$A73)=11,SUMPRODUCT(--ISNUMBER(FIND(MID(Identity!$A73,ROW($4:$11),1),"0123456789")))=8,IFERROR(VALUE(MID(Identity!$A73,6,2)),0)&gt;=1,IFERROR(VALUE(MID(Identity!$A73,6,2)),0)&lt;=12,RIGHT(Identity!$A73,4)&lt;&gt;"0000"),AND(LEFT(Identity!$A73,3)="AA-",LEN(Identity!$A73)=15,SUMPRODUCT(--ISNUMBER(FIND(MID(Identity!$A73,ROW($4:$15),1),"ABCDEFGHIJKLMNOPQRSTUVWXYZ")))=6,SUMPRODUCT(--ISNUMBER(FIND(MID(Identity!$A73,ROW($4:$15),1),"0123456789")))=6))),FALSE))</f>
      </c>
    </row>
    <row r="74">
      <c r="D74">
        <f>IF(Identity!$A74="",TRUE,IFERROR(AND(ISTEXT(Identity!$A74),EXACT(Identity!$A74,UPPER(Identity!$A74)),COUNTIF(Identity!$A$2:$A$501,Identity!$A74)=1,OR(AND(LEFT(Identity!$A74,3)="AAI",LEN(Identity!$A74)=11,SUMPRODUCT(--ISNUMBER(FIND(MID(Identity!$A74,ROW($4:$11),1),"0123456789")))=8,IFERROR(VALUE(MID(Identity!$A74,6,2)),0)&gt;=1,IFERROR(VALUE(MID(Identity!$A74,6,2)),0)&lt;=12,RIGHT(Identity!$A74,4)&lt;&gt;"0000"),AND(LEFT(Identity!$A74,3)="AA-",LEN(Identity!$A74)=15,SUMPRODUCT(--ISNUMBER(FIND(MID(Identity!$A74,ROW($4:$15),1),"ABCDEFGHIJKLMNOPQRSTUVWXYZ")))=6,SUMPRODUCT(--ISNUMBER(FIND(MID(Identity!$A74,ROW($4:$15),1),"0123456789")))=6))),FALSE))</f>
      </c>
    </row>
    <row r="75">
      <c r="D75">
        <f>IF(Identity!$A75="",TRUE,IFERROR(AND(ISTEXT(Identity!$A75),EXACT(Identity!$A75,UPPER(Identity!$A75)),COUNTIF(Identity!$A$2:$A$501,Identity!$A75)=1,OR(AND(LEFT(Identity!$A75,3)="AAI",LEN(Identity!$A75)=11,SUMPRODUCT(--ISNUMBER(FIND(MID(Identity!$A75,ROW($4:$11),1),"0123456789")))=8,IFERROR(VALUE(MID(Identity!$A75,6,2)),0)&gt;=1,IFERROR(VALUE(MID(Identity!$A75,6,2)),0)&lt;=12,RIGHT(Identity!$A75,4)&lt;&gt;"0000"),AND(LEFT(Identity!$A75,3)="AA-",LEN(Identity!$A75)=15,SUMPRODUCT(--ISNUMBER(FIND(MID(Identity!$A75,ROW($4:$15),1),"ABCDEFGHIJKLMNOPQRSTUVWXYZ")))=6,SUMPRODUCT(--ISNUMBER(FIND(MID(Identity!$A75,ROW($4:$15),1),"0123456789")))=6))),FALSE))</f>
      </c>
    </row>
    <row r="76">
      <c r="D76">
        <f>IF(Identity!$A76="",TRUE,IFERROR(AND(ISTEXT(Identity!$A76),EXACT(Identity!$A76,UPPER(Identity!$A76)),COUNTIF(Identity!$A$2:$A$501,Identity!$A76)=1,OR(AND(LEFT(Identity!$A76,3)="AAI",LEN(Identity!$A76)=11,SUMPRODUCT(--ISNUMBER(FIND(MID(Identity!$A76,ROW($4:$11),1),"0123456789")))=8,IFERROR(VALUE(MID(Identity!$A76,6,2)),0)&gt;=1,IFERROR(VALUE(MID(Identity!$A76,6,2)),0)&lt;=12,RIGHT(Identity!$A76,4)&lt;&gt;"0000"),AND(LEFT(Identity!$A76,3)="AA-",LEN(Identity!$A76)=15,SUMPRODUCT(--ISNUMBER(FIND(MID(Identity!$A76,ROW($4:$15),1),"ABCDEFGHIJKLMNOPQRSTUVWXYZ")))=6,SUMPRODUCT(--ISNUMBER(FIND(MID(Identity!$A76,ROW($4:$15),1),"0123456789")))=6))),FALSE))</f>
      </c>
    </row>
    <row r="77">
      <c r="D77">
        <f>IF(Identity!$A77="",TRUE,IFERROR(AND(ISTEXT(Identity!$A77),EXACT(Identity!$A77,UPPER(Identity!$A77)),COUNTIF(Identity!$A$2:$A$501,Identity!$A77)=1,OR(AND(LEFT(Identity!$A77,3)="AAI",LEN(Identity!$A77)=11,SUMPRODUCT(--ISNUMBER(FIND(MID(Identity!$A77,ROW($4:$11),1),"0123456789")))=8,IFERROR(VALUE(MID(Identity!$A77,6,2)),0)&gt;=1,IFERROR(VALUE(MID(Identity!$A77,6,2)),0)&lt;=12,RIGHT(Identity!$A77,4)&lt;&gt;"0000"),AND(LEFT(Identity!$A77,3)="AA-",LEN(Identity!$A77)=15,SUMPRODUCT(--ISNUMBER(FIND(MID(Identity!$A77,ROW($4:$15),1),"ABCDEFGHIJKLMNOPQRSTUVWXYZ")))=6,SUMPRODUCT(--ISNUMBER(FIND(MID(Identity!$A77,ROW($4:$15),1),"0123456789")))=6))),FALSE))</f>
      </c>
    </row>
    <row r="78">
      <c r="D78">
        <f>IF(Identity!$A78="",TRUE,IFERROR(AND(ISTEXT(Identity!$A78),EXACT(Identity!$A78,UPPER(Identity!$A78)),COUNTIF(Identity!$A$2:$A$501,Identity!$A78)=1,OR(AND(LEFT(Identity!$A78,3)="AAI",LEN(Identity!$A78)=11,SUMPRODUCT(--ISNUMBER(FIND(MID(Identity!$A78,ROW($4:$11),1),"0123456789")))=8,IFERROR(VALUE(MID(Identity!$A78,6,2)),0)&gt;=1,IFERROR(VALUE(MID(Identity!$A78,6,2)),0)&lt;=12,RIGHT(Identity!$A78,4)&lt;&gt;"0000"),AND(LEFT(Identity!$A78,3)="AA-",LEN(Identity!$A78)=15,SUMPRODUCT(--ISNUMBER(FIND(MID(Identity!$A78,ROW($4:$15),1),"ABCDEFGHIJKLMNOPQRSTUVWXYZ")))=6,SUMPRODUCT(--ISNUMBER(FIND(MID(Identity!$A78,ROW($4:$15),1),"0123456789")))=6))),FALSE))</f>
      </c>
    </row>
    <row r="79">
      <c r="D79">
        <f>IF(Identity!$A79="",TRUE,IFERROR(AND(ISTEXT(Identity!$A79),EXACT(Identity!$A79,UPPER(Identity!$A79)),COUNTIF(Identity!$A$2:$A$501,Identity!$A79)=1,OR(AND(LEFT(Identity!$A79,3)="AAI",LEN(Identity!$A79)=11,SUMPRODUCT(--ISNUMBER(FIND(MID(Identity!$A79,ROW($4:$11),1),"0123456789")))=8,IFERROR(VALUE(MID(Identity!$A79,6,2)),0)&gt;=1,IFERROR(VALUE(MID(Identity!$A79,6,2)),0)&lt;=12,RIGHT(Identity!$A79,4)&lt;&gt;"0000"),AND(LEFT(Identity!$A79,3)="AA-",LEN(Identity!$A79)=15,SUMPRODUCT(--ISNUMBER(FIND(MID(Identity!$A79,ROW($4:$15),1),"ABCDEFGHIJKLMNOPQRSTUVWXYZ")))=6,SUMPRODUCT(--ISNUMBER(FIND(MID(Identity!$A79,ROW($4:$15),1),"0123456789")))=6))),FALSE))</f>
      </c>
    </row>
    <row r="80">
      <c r="D80">
        <f>IF(Identity!$A80="",TRUE,IFERROR(AND(ISTEXT(Identity!$A80),EXACT(Identity!$A80,UPPER(Identity!$A80)),COUNTIF(Identity!$A$2:$A$501,Identity!$A80)=1,OR(AND(LEFT(Identity!$A80,3)="AAI",LEN(Identity!$A80)=11,SUMPRODUCT(--ISNUMBER(FIND(MID(Identity!$A80,ROW($4:$11),1),"0123456789")))=8,IFERROR(VALUE(MID(Identity!$A80,6,2)),0)&gt;=1,IFERROR(VALUE(MID(Identity!$A80,6,2)),0)&lt;=12,RIGHT(Identity!$A80,4)&lt;&gt;"0000"),AND(LEFT(Identity!$A80,3)="AA-",LEN(Identity!$A80)=15,SUMPRODUCT(--ISNUMBER(FIND(MID(Identity!$A80,ROW($4:$15),1),"ABCDEFGHIJKLMNOPQRSTUVWXYZ")))=6,SUMPRODUCT(--ISNUMBER(FIND(MID(Identity!$A80,ROW($4:$15),1),"0123456789")))=6))),FALSE))</f>
      </c>
    </row>
    <row r="81">
      <c r="D81">
        <f>IF(Identity!$A81="",TRUE,IFERROR(AND(ISTEXT(Identity!$A81),EXACT(Identity!$A81,UPPER(Identity!$A81)),COUNTIF(Identity!$A$2:$A$501,Identity!$A81)=1,OR(AND(LEFT(Identity!$A81,3)="AAI",LEN(Identity!$A81)=11,SUMPRODUCT(--ISNUMBER(FIND(MID(Identity!$A81,ROW($4:$11),1),"0123456789")))=8,IFERROR(VALUE(MID(Identity!$A81,6,2)),0)&gt;=1,IFERROR(VALUE(MID(Identity!$A81,6,2)),0)&lt;=12,RIGHT(Identity!$A81,4)&lt;&gt;"0000"),AND(LEFT(Identity!$A81,3)="AA-",LEN(Identity!$A81)=15,SUMPRODUCT(--ISNUMBER(FIND(MID(Identity!$A81,ROW($4:$15),1),"ABCDEFGHIJKLMNOPQRSTUVWXYZ")))=6,SUMPRODUCT(--ISNUMBER(FIND(MID(Identity!$A81,ROW($4:$15),1),"0123456789")))=6))),FALSE))</f>
      </c>
    </row>
    <row r="82">
      <c r="D82">
        <f>IF(Identity!$A82="",TRUE,IFERROR(AND(ISTEXT(Identity!$A82),EXACT(Identity!$A82,UPPER(Identity!$A82)),COUNTIF(Identity!$A$2:$A$501,Identity!$A82)=1,OR(AND(LEFT(Identity!$A82,3)="AAI",LEN(Identity!$A82)=11,SUMPRODUCT(--ISNUMBER(FIND(MID(Identity!$A82,ROW($4:$11),1),"0123456789")))=8,IFERROR(VALUE(MID(Identity!$A82,6,2)),0)&gt;=1,IFERROR(VALUE(MID(Identity!$A82,6,2)),0)&lt;=12,RIGHT(Identity!$A82,4)&lt;&gt;"0000"),AND(LEFT(Identity!$A82,3)="AA-",LEN(Identity!$A82)=15,SUMPRODUCT(--ISNUMBER(FIND(MID(Identity!$A82,ROW($4:$15),1),"ABCDEFGHIJKLMNOPQRSTUVWXYZ")))=6,SUMPRODUCT(--ISNUMBER(FIND(MID(Identity!$A82,ROW($4:$15),1),"0123456789")))=6))),FALSE))</f>
      </c>
    </row>
    <row r="83">
      <c r="D83">
        <f>IF(Identity!$A83="",TRUE,IFERROR(AND(ISTEXT(Identity!$A83),EXACT(Identity!$A83,UPPER(Identity!$A83)),COUNTIF(Identity!$A$2:$A$501,Identity!$A83)=1,OR(AND(LEFT(Identity!$A83,3)="AAI",LEN(Identity!$A83)=11,SUMPRODUCT(--ISNUMBER(FIND(MID(Identity!$A83,ROW($4:$11),1),"0123456789")))=8,IFERROR(VALUE(MID(Identity!$A83,6,2)),0)&gt;=1,IFERROR(VALUE(MID(Identity!$A83,6,2)),0)&lt;=12,RIGHT(Identity!$A83,4)&lt;&gt;"0000"),AND(LEFT(Identity!$A83,3)="AA-",LEN(Identity!$A83)=15,SUMPRODUCT(--ISNUMBER(FIND(MID(Identity!$A83,ROW($4:$15),1),"ABCDEFGHIJKLMNOPQRSTUVWXYZ")))=6,SUMPRODUCT(--ISNUMBER(FIND(MID(Identity!$A83,ROW($4:$15),1),"0123456789")))=6))),FALSE))</f>
      </c>
    </row>
    <row r="84">
      <c r="D84">
        <f>IF(Identity!$A84="",TRUE,IFERROR(AND(ISTEXT(Identity!$A84),EXACT(Identity!$A84,UPPER(Identity!$A84)),COUNTIF(Identity!$A$2:$A$501,Identity!$A84)=1,OR(AND(LEFT(Identity!$A84,3)="AAI",LEN(Identity!$A84)=11,SUMPRODUCT(--ISNUMBER(FIND(MID(Identity!$A84,ROW($4:$11),1),"0123456789")))=8,IFERROR(VALUE(MID(Identity!$A84,6,2)),0)&gt;=1,IFERROR(VALUE(MID(Identity!$A84,6,2)),0)&lt;=12,RIGHT(Identity!$A84,4)&lt;&gt;"0000"),AND(LEFT(Identity!$A84,3)="AA-",LEN(Identity!$A84)=15,SUMPRODUCT(--ISNUMBER(FIND(MID(Identity!$A84,ROW($4:$15),1),"ABCDEFGHIJKLMNOPQRSTUVWXYZ")))=6,SUMPRODUCT(--ISNUMBER(FIND(MID(Identity!$A84,ROW($4:$15),1),"0123456789")))=6))),FALSE))</f>
      </c>
    </row>
    <row r="85">
      <c r="D85">
        <f>IF(Identity!$A85="",TRUE,IFERROR(AND(ISTEXT(Identity!$A85),EXACT(Identity!$A85,UPPER(Identity!$A85)),COUNTIF(Identity!$A$2:$A$501,Identity!$A85)=1,OR(AND(LEFT(Identity!$A85,3)="AAI",LEN(Identity!$A85)=11,SUMPRODUCT(--ISNUMBER(FIND(MID(Identity!$A85,ROW($4:$11),1),"0123456789")))=8,IFERROR(VALUE(MID(Identity!$A85,6,2)),0)&gt;=1,IFERROR(VALUE(MID(Identity!$A85,6,2)),0)&lt;=12,RIGHT(Identity!$A85,4)&lt;&gt;"0000"),AND(LEFT(Identity!$A85,3)="AA-",LEN(Identity!$A85)=15,SUMPRODUCT(--ISNUMBER(FIND(MID(Identity!$A85,ROW($4:$15),1),"ABCDEFGHIJKLMNOPQRSTUVWXYZ")))=6,SUMPRODUCT(--ISNUMBER(FIND(MID(Identity!$A85,ROW($4:$15),1),"0123456789")))=6))),FALSE))</f>
      </c>
    </row>
    <row r="86">
      <c r="D86">
        <f>IF(Identity!$A86="",TRUE,IFERROR(AND(ISTEXT(Identity!$A86),EXACT(Identity!$A86,UPPER(Identity!$A86)),COUNTIF(Identity!$A$2:$A$501,Identity!$A86)=1,OR(AND(LEFT(Identity!$A86,3)="AAI",LEN(Identity!$A86)=11,SUMPRODUCT(--ISNUMBER(FIND(MID(Identity!$A86,ROW($4:$11),1),"0123456789")))=8,IFERROR(VALUE(MID(Identity!$A86,6,2)),0)&gt;=1,IFERROR(VALUE(MID(Identity!$A86,6,2)),0)&lt;=12,RIGHT(Identity!$A86,4)&lt;&gt;"0000"),AND(LEFT(Identity!$A86,3)="AA-",LEN(Identity!$A86)=15,SUMPRODUCT(--ISNUMBER(FIND(MID(Identity!$A86,ROW($4:$15),1),"ABCDEFGHIJKLMNOPQRSTUVWXYZ")))=6,SUMPRODUCT(--ISNUMBER(FIND(MID(Identity!$A86,ROW($4:$15),1),"0123456789")))=6))),FALSE))</f>
      </c>
    </row>
    <row r="87">
      <c r="D87">
        <f>IF(Identity!$A87="",TRUE,IFERROR(AND(ISTEXT(Identity!$A87),EXACT(Identity!$A87,UPPER(Identity!$A87)),COUNTIF(Identity!$A$2:$A$501,Identity!$A87)=1,OR(AND(LEFT(Identity!$A87,3)="AAI",LEN(Identity!$A87)=11,SUMPRODUCT(--ISNUMBER(FIND(MID(Identity!$A87,ROW($4:$11),1),"0123456789")))=8,IFERROR(VALUE(MID(Identity!$A87,6,2)),0)&gt;=1,IFERROR(VALUE(MID(Identity!$A87,6,2)),0)&lt;=12,RIGHT(Identity!$A87,4)&lt;&gt;"0000"),AND(LEFT(Identity!$A87,3)="AA-",LEN(Identity!$A87)=15,SUMPRODUCT(--ISNUMBER(FIND(MID(Identity!$A87,ROW($4:$15),1),"ABCDEFGHIJKLMNOPQRSTUVWXYZ")))=6,SUMPRODUCT(--ISNUMBER(FIND(MID(Identity!$A87,ROW($4:$15),1),"0123456789")))=6))),FALSE))</f>
      </c>
    </row>
    <row r="88">
      <c r="D88">
        <f>IF(Identity!$A88="",TRUE,IFERROR(AND(ISTEXT(Identity!$A88),EXACT(Identity!$A88,UPPER(Identity!$A88)),COUNTIF(Identity!$A$2:$A$501,Identity!$A88)=1,OR(AND(LEFT(Identity!$A88,3)="AAI",LEN(Identity!$A88)=11,SUMPRODUCT(--ISNUMBER(FIND(MID(Identity!$A88,ROW($4:$11),1),"0123456789")))=8,IFERROR(VALUE(MID(Identity!$A88,6,2)),0)&gt;=1,IFERROR(VALUE(MID(Identity!$A88,6,2)),0)&lt;=12,RIGHT(Identity!$A88,4)&lt;&gt;"0000"),AND(LEFT(Identity!$A88,3)="AA-",LEN(Identity!$A88)=15,SUMPRODUCT(--ISNUMBER(FIND(MID(Identity!$A88,ROW($4:$15),1),"ABCDEFGHIJKLMNOPQRSTUVWXYZ")))=6,SUMPRODUCT(--ISNUMBER(FIND(MID(Identity!$A88,ROW($4:$15),1),"0123456789")))=6))),FALSE))</f>
      </c>
    </row>
    <row r="89">
      <c r="D89">
        <f>IF(Identity!$A89="",TRUE,IFERROR(AND(ISTEXT(Identity!$A89),EXACT(Identity!$A89,UPPER(Identity!$A89)),COUNTIF(Identity!$A$2:$A$501,Identity!$A89)=1,OR(AND(LEFT(Identity!$A89,3)="AAI",LEN(Identity!$A89)=11,SUMPRODUCT(--ISNUMBER(FIND(MID(Identity!$A89,ROW($4:$11),1),"0123456789")))=8,IFERROR(VALUE(MID(Identity!$A89,6,2)),0)&gt;=1,IFERROR(VALUE(MID(Identity!$A89,6,2)),0)&lt;=12,RIGHT(Identity!$A89,4)&lt;&gt;"0000"),AND(LEFT(Identity!$A89,3)="AA-",LEN(Identity!$A89)=15,SUMPRODUCT(--ISNUMBER(FIND(MID(Identity!$A89,ROW($4:$15),1),"ABCDEFGHIJKLMNOPQRSTUVWXYZ")))=6,SUMPRODUCT(--ISNUMBER(FIND(MID(Identity!$A89,ROW($4:$15),1),"0123456789")))=6))),FALSE))</f>
      </c>
    </row>
    <row r="90">
      <c r="D90">
        <f>IF(Identity!$A90="",TRUE,IFERROR(AND(ISTEXT(Identity!$A90),EXACT(Identity!$A90,UPPER(Identity!$A90)),COUNTIF(Identity!$A$2:$A$501,Identity!$A90)=1,OR(AND(LEFT(Identity!$A90,3)="AAI",LEN(Identity!$A90)=11,SUMPRODUCT(--ISNUMBER(FIND(MID(Identity!$A90,ROW($4:$11),1),"0123456789")))=8,IFERROR(VALUE(MID(Identity!$A90,6,2)),0)&gt;=1,IFERROR(VALUE(MID(Identity!$A90,6,2)),0)&lt;=12,RIGHT(Identity!$A90,4)&lt;&gt;"0000"),AND(LEFT(Identity!$A90,3)="AA-",LEN(Identity!$A90)=15,SUMPRODUCT(--ISNUMBER(FIND(MID(Identity!$A90,ROW($4:$15),1),"ABCDEFGHIJKLMNOPQRSTUVWXYZ")))=6,SUMPRODUCT(--ISNUMBER(FIND(MID(Identity!$A90,ROW($4:$15),1),"0123456789")))=6))),FALSE))</f>
      </c>
    </row>
    <row r="91">
      <c r="D91">
        <f>IF(Identity!$A91="",TRUE,IFERROR(AND(ISTEXT(Identity!$A91),EXACT(Identity!$A91,UPPER(Identity!$A91)),COUNTIF(Identity!$A$2:$A$501,Identity!$A91)=1,OR(AND(LEFT(Identity!$A91,3)="AAI",LEN(Identity!$A91)=11,SUMPRODUCT(--ISNUMBER(FIND(MID(Identity!$A91,ROW($4:$11),1),"0123456789")))=8,IFERROR(VALUE(MID(Identity!$A91,6,2)),0)&gt;=1,IFERROR(VALUE(MID(Identity!$A91,6,2)),0)&lt;=12,RIGHT(Identity!$A91,4)&lt;&gt;"0000"),AND(LEFT(Identity!$A91,3)="AA-",LEN(Identity!$A91)=15,SUMPRODUCT(--ISNUMBER(FIND(MID(Identity!$A91,ROW($4:$15),1),"ABCDEFGHIJKLMNOPQRSTUVWXYZ")))=6,SUMPRODUCT(--ISNUMBER(FIND(MID(Identity!$A91,ROW($4:$15),1),"0123456789")))=6))),FALSE))</f>
      </c>
    </row>
    <row r="92">
      <c r="D92">
        <f>IF(Identity!$A92="",TRUE,IFERROR(AND(ISTEXT(Identity!$A92),EXACT(Identity!$A92,UPPER(Identity!$A92)),COUNTIF(Identity!$A$2:$A$501,Identity!$A92)=1,OR(AND(LEFT(Identity!$A92,3)="AAI",LEN(Identity!$A92)=11,SUMPRODUCT(--ISNUMBER(FIND(MID(Identity!$A92,ROW($4:$11),1),"0123456789")))=8,IFERROR(VALUE(MID(Identity!$A92,6,2)),0)&gt;=1,IFERROR(VALUE(MID(Identity!$A92,6,2)),0)&lt;=12,RIGHT(Identity!$A92,4)&lt;&gt;"0000"),AND(LEFT(Identity!$A92,3)="AA-",LEN(Identity!$A92)=15,SUMPRODUCT(--ISNUMBER(FIND(MID(Identity!$A92,ROW($4:$15),1),"ABCDEFGHIJKLMNOPQRSTUVWXYZ")))=6,SUMPRODUCT(--ISNUMBER(FIND(MID(Identity!$A92,ROW($4:$15),1),"0123456789")))=6))),FALSE))</f>
      </c>
    </row>
    <row r="93">
      <c r="D93">
        <f>IF(Identity!$A93="",TRUE,IFERROR(AND(ISTEXT(Identity!$A93),EXACT(Identity!$A93,UPPER(Identity!$A93)),COUNTIF(Identity!$A$2:$A$501,Identity!$A93)=1,OR(AND(LEFT(Identity!$A93,3)="AAI",LEN(Identity!$A93)=11,SUMPRODUCT(--ISNUMBER(FIND(MID(Identity!$A93,ROW($4:$11),1),"0123456789")))=8,IFERROR(VALUE(MID(Identity!$A93,6,2)),0)&gt;=1,IFERROR(VALUE(MID(Identity!$A93,6,2)),0)&lt;=12,RIGHT(Identity!$A93,4)&lt;&gt;"0000"),AND(LEFT(Identity!$A93,3)="AA-",LEN(Identity!$A93)=15,SUMPRODUCT(--ISNUMBER(FIND(MID(Identity!$A93,ROW($4:$15),1),"ABCDEFGHIJKLMNOPQRSTUVWXYZ")))=6,SUMPRODUCT(--ISNUMBER(FIND(MID(Identity!$A93,ROW($4:$15),1),"0123456789")))=6))),FALSE))</f>
      </c>
    </row>
    <row r="94">
      <c r="D94">
        <f>IF(Identity!$A94="",TRUE,IFERROR(AND(ISTEXT(Identity!$A94),EXACT(Identity!$A94,UPPER(Identity!$A94)),COUNTIF(Identity!$A$2:$A$501,Identity!$A94)=1,OR(AND(LEFT(Identity!$A94,3)="AAI",LEN(Identity!$A94)=11,SUMPRODUCT(--ISNUMBER(FIND(MID(Identity!$A94,ROW($4:$11),1),"0123456789")))=8,IFERROR(VALUE(MID(Identity!$A94,6,2)),0)&gt;=1,IFERROR(VALUE(MID(Identity!$A94,6,2)),0)&lt;=12,RIGHT(Identity!$A94,4)&lt;&gt;"0000"),AND(LEFT(Identity!$A94,3)="AA-",LEN(Identity!$A94)=15,SUMPRODUCT(--ISNUMBER(FIND(MID(Identity!$A94,ROW($4:$15),1),"ABCDEFGHIJKLMNOPQRSTUVWXYZ")))=6,SUMPRODUCT(--ISNUMBER(FIND(MID(Identity!$A94,ROW($4:$15),1),"0123456789")))=6))),FALSE))</f>
      </c>
    </row>
    <row r="95">
      <c r="D95">
        <f>IF(Identity!$A95="",TRUE,IFERROR(AND(ISTEXT(Identity!$A95),EXACT(Identity!$A95,UPPER(Identity!$A95)),COUNTIF(Identity!$A$2:$A$501,Identity!$A95)=1,OR(AND(LEFT(Identity!$A95,3)="AAI",LEN(Identity!$A95)=11,SUMPRODUCT(--ISNUMBER(FIND(MID(Identity!$A95,ROW($4:$11),1),"0123456789")))=8,IFERROR(VALUE(MID(Identity!$A95,6,2)),0)&gt;=1,IFERROR(VALUE(MID(Identity!$A95,6,2)),0)&lt;=12,RIGHT(Identity!$A95,4)&lt;&gt;"0000"),AND(LEFT(Identity!$A95,3)="AA-",LEN(Identity!$A95)=15,SUMPRODUCT(--ISNUMBER(FIND(MID(Identity!$A95,ROW($4:$15),1),"ABCDEFGHIJKLMNOPQRSTUVWXYZ")))=6,SUMPRODUCT(--ISNUMBER(FIND(MID(Identity!$A95,ROW($4:$15),1),"0123456789")))=6))),FALSE))</f>
      </c>
    </row>
    <row r="96">
      <c r="D96">
        <f>IF(Identity!$A96="",TRUE,IFERROR(AND(ISTEXT(Identity!$A96),EXACT(Identity!$A96,UPPER(Identity!$A96)),COUNTIF(Identity!$A$2:$A$501,Identity!$A96)=1,OR(AND(LEFT(Identity!$A96,3)="AAI",LEN(Identity!$A96)=11,SUMPRODUCT(--ISNUMBER(FIND(MID(Identity!$A96,ROW($4:$11),1),"0123456789")))=8,IFERROR(VALUE(MID(Identity!$A96,6,2)),0)&gt;=1,IFERROR(VALUE(MID(Identity!$A96,6,2)),0)&lt;=12,RIGHT(Identity!$A96,4)&lt;&gt;"0000"),AND(LEFT(Identity!$A96,3)="AA-",LEN(Identity!$A96)=15,SUMPRODUCT(--ISNUMBER(FIND(MID(Identity!$A96,ROW($4:$15),1),"ABCDEFGHIJKLMNOPQRSTUVWXYZ")))=6,SUMPRODUCT(--ISNUMBER(FIND(MID(Identity!$A96,ROW($4:$15),1),"0123456789")))=6))),FALSE))</f>
      </c>
    </row>
    <row r="97">
      <c r="D97">
        <f>IF(Identity!$A97="",TRUE,IFERROR(AND(ISTEXT(Identity!$A97),EXACT(Identity!$A97,UPPER(Identity!$A97)),COUNTIF(Identity!$A$2:$A$501,Identity!$A97)=1,OR(AND(LEFT(Identity!$A97,3)="AAI",LEN(Identity!$A97)=11,SUMPRODUCT(--ISNUMBER(FIND(MID(Identity!$A97,ROW($4:$11),1),"0123456789")))=8,IFERROR(VALUE(MID(Identity!$A97,6,2)),0)&gt;=1,IFERROR(VALUE(MID(Identity!$A97,6,2)),0)&lt;=12,RIGHT(Identity!$A97,4)&lt;&gt;"0000"),AND(LEFT(Identity!$A97,3)="AA-",LEN(Identity!$A97)=15,SUMPRODUCT(--ISNUMBER(FIND(MID(Identity!$A97,ROW($4:$15),1),"ABCDEFGHIJKLMNOPQRSTUVWXYZ")))=6,SUMPRODUCT(--ISNUMBER(FIND(MID(Identity!$A97,ROW($4:$15),1),"0123456789")))=6))),FALSE))</f>
      </c>
    </row>
    <row r="98">
      <c r="D98">
        <f>IF(Identity!$A98="",TRUE,IFERROR(AND(ISTEXT(Identity!$A98),EXACT(Identity!$A98,UPPER(Identity!$A98)),COUNTIF(Identity!$A$2:$A$501,Identity!$A98)=1,OR(AND(LEFT(Identity!$A98,3)="AAI",LEN(Identity!$A98)=11,SUMPRODUCT(--ISNUMBER(FIND(MID(Identity!$A98,ROW($4:$11),1),"0123456789")))=8,IFERROR(VALUE(MID(Identity!$A98,6,2)),0)&gt;=1,IFERROR(VALUE(MID(Identity!$A98,6,2)),0)&lt;=12,RIGHT(Identity!$A98,4)&lt;&gt;"0000"),AND(LEFT(Identity!$A98,3)="AA-",LEN(Identity!$A98)=15,SUMPRODUCT(--ISNUMBER(FIND(MID(Identity!$A98,ROW($4:$15),1),"ABCDEFGHIJKLMNOPQRSTUVWXYZ")))=6,SUMPRODUCT(--ISNUMBER(FIND(MID(Identity!$A98,ROW($4:$15),1),"0123456789")))=6))),FALSE))</f>
      </c>
    </row>
    <row r="99">
      <c r="D99">
        <f>IF(Identity!$A99="",TRUE,IFERROR(AND(ISTEXT(Identity!$A99),EXACT(Identity!$A99,UPPER(Identity!$A99)),COUNTIF(Identity!$A$2:$A$501,Identity!$A99)=1,OR(AND(LEFT(Identity!$A99,3)="AAI",LEN(Identity!$A99)=11,SUMPRODUCT(--ISNUMBER(FIND(MID(Identity!$A99,ROW($4:$11),1),"0123456789")))=8,IFERROR(VALUE(MID(Identity!$A99,6,2)),0)&gt;=1,IFERROR(VALUE(MID(Identity!$A99,6,2)),0)&lt;=12,RIGHT(Identity!$A99,4)&lt;&gt;"0000"),AND(LEFT(Identity!$A99,3)="AA-",LEN(Identity!$A99)=15,SUMPRODUCT(--ISNUMBER(FIND(MID(Identity!$A99,ROW($4:$15),1),"ABCDEFGHIJKLMNOPQRSTUVWXYZ")))=6,SUMPRODUCT(--ISNUMBER(FIND(MID(Identity!$A99,ROW($4:$15),1),"0123456789")))=6))),FALSE))</f>
      </c>
    </row>
    <row r="100">
      <c r="D100">
        <f>IF(Identity!$A100="",TRUE,IFERROR(AND(ISTEXT(Identity!$A100),EXACT(Identity!$A100,UPPER(Identity!$A100)),COUNTIF(Identity!$A$2:$A$501,Identity!$A100)=1,OR(AND(LEFT(Identity!$A100,3)="AAI",LEN(Identity!$A100)=11,SUMPRODUCT(--ISNUMBER(FIND(MID(Identity!$A100,ROW($4:$11),1),"0123456789")))=8,IFERROR(VALUE(MID(Identity!$A100,6,2)),0)&gt;=1,IFERROR(VALUE(MID(Identity!$A100,6,2)),0)&lt;=12,RIGHT(Identity!$A100,4)&lt;&gt;"0000"),AND(LEFT(Identity!$A100,3)="AA-",LEN(Identity!$A100)=15,SUMPRODUCT(--ISNUMBER(FIND(MID(Identity!$A100,ROW($4:$15),1),"ABCDEFGHIJKLMNOPQRSTUVWXYZ")))=6,SUMPRODUCT(--ISNUMBER(FIND(MID(Identity!$A100,ROW($4:$15),1),"0123456789")))=6))),FALSE))</f>
      </c>
    </row>
    <row r="101">
      <c r="D101">
        <f>IF(Identity!$A101="",TRUE,IFERROR(AND(ISTEXT(Identity!$A101),EXACT(Identity!$A101,UPPER(Identity!$A101)),COUNTIF(Identity!$A$2:$A$501,Identity!$A101)=1,OR(AND(LEFT(Identity!$A101,3)="AAI",LEN(Identity!$A101)=11,SUMPRODUCT(--ISNUMBER(FIND(MID(Identity!$A101,ROW($4:$11),1),"0123456789")))=8,IFERROR(VALUE(MID(Identity!$A101,6,2)),0)&gt;=1,IFERROR(VALUE(MID(Identity!$A101,6,2)),0)&lt;=12,RIGHT(Identity!$A101,4)&lt;&gt;"0000"),AND(LEFT(Identity!$A101,3)="AA-",LEN(Identity!$A101)=15,SUMPRODUCT(--ISNUMBER(FIND(MID(Identity!$A101,ROW($4:$15),1),"ABCDEFGHIJKLMNOPQRSTUVWXYZ")))=6,SUMPRODUCT(--ISNUMBER(FIND(MID(Identity!$A101,ROW($4:$15),1),"0123456789")))=6))),FALSE))</f>
      </c>
    </row>
    <row r="102">
      <c r="D102">
        <f>IF(Identity!$A102="",TRUE,IFERROR(AND(ISTEXT(Identity!$A102),EXACT(Identity!$A102,UPPER(Identity!$A102)),COUNTIF(Identity!$A$2:$A$501,Identity!$A102)=1,OR(AND(LEFT(Identity!$A102,3)="AAI",LEN(Identity!$A102)=11,SUMPRODUCT(--ISNUMBER(FIND(MID(Identity!$A102,ROW($4:$11),1),"0123456789")))=8,IFERROR(VALUE(MID(Identity!$A102,6,2)),0)&gt;=1,IFERROR(VALUE(MID(Identity!$A102,6,2)),0)&lt;=12,RIGHT(Identity!$A102,4)&lt;&gt;"0000"),AND(LEFT(Identity!$A102,3)="AA-",LEN(Identity!$A102)=15,SUMPRODUCT(--ISNUMBER(FIND(MID(Identity!$A102,ROW($4:$15),1),"ABCDEFGHIJKLMNOPQRSTUVWXYZ")))=6,SUMPRODUCT(--ISNUMBER(FIND(MID(Identity!$A102,ROW($4:$15),1),"0123456789")))=6))),FALSE))</f>
      </c>
    </row>
    <row r="103">
      <c r="D103">
        <f>IF(Identity!$A103="",TRUE,IFERROR(AND(ISTEXT(Identity!$A103),EXACT(Identity!$A103,UPPER(Identity!$A103)),COUNTIF(Identity!$A$2:$A$501,Identity!$A103)=1,OR(AND(LEFT(Identity!$A103,3)="AAI",LEN(Identity!$A103)=11,SUMPRODUCT(--ISNUMBER(FIND(MID(Identity!$A103,ROW($4:$11),1),"0123456789")))=8,IFERROR(VALUE(MID(Identity!$A103,6,2)),0)&gt;=1,IFERROR(VALUE(MID(Identity!$A103,6,2)),0)&lt;=12,RIGHT(Identity!$A103,4)&lt;&gt;"0000"),AND(LEFT(Identity!$A103,3)="AA-",LEN(Identity!$A103)=15,SUMPRODUCT(--ISNUMBER(FIND(MID(Identity!$A103,ROW($4:$15),1),"ABCDEFGHIJKLMNOPQRSTUVWXYZ")))=6,SUMPRODUCT(--ISNUMBER(FIND(MID(Identity!$A103,ROW($4:$15),1),"0123456789")))=6))),FALSE))</f>
      </c>
    </row>
    <row r="104">
      <c r="D104">
        <f>IF(Identity!$A104="",TRUE,IFERROR(AND(ISTEXT(Identity!$A104),EXACT(Identity!$A104,UPPER(Identity!$A104)),COUNTIF(Identity!$A$2:$A$501,Identity!$A104)=1,OR(AND(LEFT(Identity!$A104,3)="AAI",LEN(Identity!$A104)=11,SUMPRODUCT(--ISNUMBER(FIND(MID(Identity!$A104,ROW($4:$11),1),"0123456789")))=8,IFERROR(VALUE(MID(Identity!$A104,6,2)),0)&gt;=1,IFERROR(VALUE(MID(Identity!$A104,6,2)),0)&lt;=12,RIGHT(Identity!$A104,4)&lt;&gt;"0000"),AND(LEFT(Identity!$A104,3)="AA-",LEN(Identity!$A104)=15,SUMPRODUCT(--ISNUMBER(FIND(MID(Identity!$A104,ROW($4:$15),1),"ABCDEFGHIJKLMNOPQRSTUVWXYZ")))=6,SUMPRODUCT(--ISNUMBER(FIND(MID(Identity!$A104,ROW($4:$15),1),"0123456789")))=6))),FALSE))</f>
      </c>
    </row>
    <row r="105">
      <c r="D105">
        <f>IF(Identity!$A105="",TRUE,IFERROR(AND(ISTEXT(Identity!$A105),EXACT(Identity!$A105,UPPER(Identity!$A105)),COUNTIF(Identity!$A$2:$A$501,Identity!$A105)=1,OR(AND(LEFT(Identity!$A105,3)="AAI",LEN(Identity!$A105)=11,SUMPRODUCT(--ISNUMBER(FIND(MID(Identity!$A105,ROW($4:$11),1),"0123456789")))=8,IFERROR(VALUE(MID(Identity!$A105,6,2)),0)&gt;=1,IFERROR(VALUE(MID(Identity!$A105,6,2)),0)&lt;=12,RIGHT(Identity!$A105,4)&lt;&gt;"0000"),AND(LEFT(Identity!$A105,3)="AA-",LEN(Identity!$A105)=15,SUMPRODUCT(--ISNUMBER(FIND(MID(Identity!$A105,ROW($4:$15),1),"ABCDEFGHIJKLMNOPQRSTUVWXYZ")))=6,SUMPRODUCT(--ISNUMBER(FIND(MID(Identity!$A105,ROW($4:$15),1),"0123456789")))=6))),FALSE))</f>
      </c>
    </row>
    <row r="106">
      <c r="D106">
        <f>IF(Identity!$A106="",TRUE,IFERROR(AND(ISTEXT(Identity!$A106),EXACT(Identity!$A106,UPPER(Identity!$A106)),COUNTIF(Identity!$A$2:$A$501,Identity!$A106)=1,OR(AND(LEFT(Identity!$A106,3)="AAI",LEN(Identity!$A106)=11,SUMPRODUCT(--ISNUMBER(FIND(MID(Identity!$A106,ROW($4:$11),1),"0123456789")))=8,IFERROR(VALUE(MID(Identity!$A106,6,2)),0)&gt;=1,IFERROR(VALUE(MID(Identity!$A106,6,2)),0)&lt;=12,RIGHT(Identity!$A106,4)&lt;&gt;"0000"),AND(LEFT(Identity!$A106,3)="AA-",LEN(Identity!$A106)=15,SUMPRODUCT(--ISNUMBER(FIND(MID(Identity!$A106,ROW($4:$15),1),"ABCDEFGHIJKLMNOPQRSTUVWXYZ")))=6,SUMPRODUCT(--ISNUMBER(FIND(MID(Identity!$A106,ROW($4:$15),1),"0123456789")))=6))),FALSE))</f>
      </c>
    </row>
    <row r="107">
      <c r="D107">
        <f>IF(Identity!$A107="",TRUE,IFERROR(AND(ISTEXT(Identity!$A107),EXACT(Identity!$A107,UPPER(Identity!$A107)),COUNTIF(Identity!$A$2:$A$501,Identity!$A107)=1,OR(AND(LEFT(Identity!$A107,3)="AAI",LEN(Identity!$A107)=11,SUMPRODUCT(--ISNUMBER(FIND(MID(Identity!$A107,ROW($4:$11),1),"0123456789")))=8,IFERROR(VALUE(MID(Identity!$A107,6,2)),0)&gt;=1,IFERROR(VALUE(MID(Identity!$A107,6,2)),0)&lt;=12,RIGHT(Identity!$A107,4)&lt;&gt;"0000"),AND(LEFT(Identity!$A107,3)="AA-",LEN(Identity!$A107)=15,SUMPRODUCT(--ISNUMBER(FIND(MID(Identity!$A107,ROW($4:$15),1),"ABCDEFGHIJKLMNOPQRSTUVWXYZ")))=6,SUMPRODUCT(--ISNUMBER(FIND(MID(Identity!$A107,ROW($4:$15),1),"0123456789")))=6))),FALSE))</f>
      </c>
    </row>
    <row r="108">
      <c r="D108">
        <f>IF(Identity!$A108="",TRUE,IFERROR(AND(ISTEXT(Identity!$A108),EXACT(Identity!$A108,UPPER(Identity!$A108)),COUNTIF(Identity!$A$2:$A$501,Identity!$A108)=1,OR(AND(LEFT(Identity!$A108,3)="AAI",LEN(Identity!$A108)=11,SUMPRODUCT(--ISNUMBER(FIND(MID(Identity!$A108,ROW($4:$11),1),"0123456789")))=8,IFERROR(VALUE(MID(Identity!$A108,6,2)),0)&gt;=1,IFERROR(VALUE(MID(Identity!$A108,6,2)),0)&lt;=12,RIGHT(Identity!$A108,4)&lt;&gt;"0000"),AND(LEFT(Identity!$A108,3)="AA-",LEN(Identity!$A108)=15,SUMPRODUCT(--ISNUMBER(FIND(MID(Identity!$A108,ROW($4:$15),1),"ABCDEFGHIJKLMNOPQRSTUVWXYZ")))=6,SUMPRODUCT(--ISNUMBER(FIND(MID(Identity!$A108,ROW($4:$15),1),"0123456789")))=6))),FALSE))</f>
      </c>
    </row>
    <row r="109">
      <c r="D109">
        <f>IF(Identity!$A109="",TRUE,IFERROR(AND(ISTEXT(Identity!$A109),EXACT(Identity!$A109,UPPER(Identity!$A109)),COUNTIF(Identity!$A$2:$A$501,Identity!$A109)=1,OR(AND(LEFT(Identity!$A109,3)="AAI",LEN(Identity!$A109)=11,SUMPRODUCT(--ISNUMBER(FIND(MID(Identity!$A109,ROW($4:$11),1),"0123456789")))=8,IFERROR(VALUE(MID(Identity!$A109,6,2)),0)&gt;=1,IFERROR(VALUE(MID(Identity!$A109,6,2)),0)&lt;=12,RIGHT(Identity!$A109,4)&lt;&gt;"0000"),AND(LEFT(Identity!$A109,3)="AA-",LEN(Identity!$A109)=15,SUMPRODUCT(--ISNUMBER(FIND(MID(Identity!$A109,ROW($4:$15),1),"ABCDEFGHIJKLMNOPQRSTUVWXYZ")))=6,SUMPRODUCT(--ISNUMBER(FIND(MID(Identity!$A109,ROW($4:$15),1),"0123456789")))=6))),FALSE))</f>
      </c>
    </row>
    <row r="110">
      <c r="D110">
        <f>IF(Identity!$A110="",TRUE,IFERROR(AND(ISTEXT(Identity!$A110),EXACT(Identity!$A110,UPPER(Identity!$A110)),COUNTIF(Identity!$A$2:$A$501,Identity!$A110)=1,OR(AND(LEFT(Identity!$A110,3)="AAI",LEN(Identity!$A110)=11,SUMPRODUCT(--ISNUMBER(FIND(MID(Identity!$A110,ROW($4:$11),1),"0123456789")))=8,IFERROR(VALUE(MID(Identity!$A110,6,2)),0)&gt;=1,IFERROR(VALUE(MID(Identity!$A110,6,2)),0)&lt;=12,RIGHT(Identity!$A110,4)&lt;&gt;"0000"),AND(LEFT(Identity!$A110,3)="AA-",LEN(Identity!$A110)=15,SUMPRODUCT(--ISNUMBER(FIND(MID(Identity!$A110,ROW($4:$15),1),"ABCDEFGHIJKLMNOPQRSTUVWXYZ")))=6,SUMPRODUCT(--ISNUMBER(FIND(MID(Identity!$A110,ROW($4:$15),1),"0123456789")))=6))),FALSE))</f>
      </c>
    </row>
    <row r="111">
      <c r="D111">
        <f>IF(Identity!$A111="",TRUE,IFERROR(AND(ISTEXT(Identity!$A111),EXACT(Identity!$A111,UPPER(Identity!$A111)),COUNTIF(Identity!$A$2:$A$501,Identity!$A111)=1,OR(AND(LEFT(Identity!$A111,3)="AAI",LEN(Identity!$A111)=11,SUMPRODUCT(--ISNUMBER(FIND(MID(Identity!$A111,ROW($4:$11),1),"0123456789")))=8,IFERROR(VALUE(MID(Identity!$A111,6,2)),0)&gt;=1,IFERROR(VALUE(MID(Identity!$A111,6,2)),0)&lt;=12,RIGHT(Identity!$A111,4)&lt;&gt;"0000"),AND(LEFT(Identity!$A111,3)="AA-",LEN(Identity!$A111)=15,SUMPRODUCT(--ISNUMBER(FIND(MID(Identity!$A111,ROW($4:$15),1),"ABCDEFGHIJKLMNOPQRSTUVWXYZ")))=6,SUMPRODUCT(--ISNUMBER(FIND(MID(Identity!$A111,ROW($4:$15),1),"0123456789")))=6))),FALSE))</f>
      </c>
    </row>
    <row r="112">
      <c r="D112">
        <f>IF(Identity!$A112="",TRUE,IFERROR(AND(ISTEXT(Identity!$A112),EXACT(Identity!$A112,UPPER(Identity!$A112)),COUNTIF(Identity!$A$2:$A$501,Identity!$A112)=1,OR(AND(LEFT(Identity!$A112,3)="AAI",LEN(Identity!$A112)=11,SUMPRODUCT(--ISNUMBER(FIND(MID(Identity!$A112,ROW($4:$11),1),"0123456789")))=8,IFERROR(VALUE(MID(Identity!$A112,6,2)),0)&gt;=1,IFERROR(VALUE(MID(Identity!$A112,6,2)),0)&lt;=12,RIGHT(Identity!$A112,4)&lt;&gt;"0000"),AND(LEFT(Identity!$A112,3)="AA-",LEN(Identity!$A112)=15,SUMPRODUCT(--ISNUMBER(FIND(MID(Identity!$A112,ROW($4:$15),1),"ABCDEFGHIJKLMNOPQRSTUVWXYZ")))=6,SUMPRODUCT(--ISNUMBER(FIND(MID(Identity!$A112,ROW($4:$15),1),"0123456789")))=6))),FALSE))</f>
      </c>
    </row>
    <row r="113">
      <c r="D113">
        <f>IF(Identity!$A113="",TRUE,IFERROR(AND(ISTEXT(Identity!$A113),EXACT(Identity!$A113,UPPER(Identity!$A113)),COUNTIF(Identity!$A$2:$A$501,Identity!$A113)=1,OR(AND(LEFT(Identity!$A113,3)="AAI",LEN(Identity!$A113)=11,SUMPRODUCT(--ISNUMBER(FIND(MID(Identity!$A113,ROW($4:$11),1),"0123456789")))=8,IFERROR(VALUE(MID(Identity!$A113,6,2)),0)&gt;=1,IFERROR(VALUE(MID(Identity!$A113,6,2)),0)&lt;=12,RIGHT(Identity!$A113,4)&lt;&gt;"0000"),AND(LEFT(Identity!$A113,3)="AA-",LEN(Identity!$A113)=15,SUMPRODUCT(--ISNUMBER(FIND(MID(Identity!$A113,ROW($4:$15),1),"ABCDEFGHIJKLMNOPQRSTUVWXYZ")))=6,SUMPRODUCT(--ISNUMBER(FIND(MID(Identity!$A113,ROW($4:$15),1),"0123456789")))=6))),FALSE))</f>
      </c>
    </row>
    <row r="114">
      <c r="D114">
        <f>IF(Identity!$A114="",TRUE,IFERROR(AND(ISTEXT(Identity!$A114),EXACT(Identity!$A114,UPPER(Identity!$A114)),COUNTIF(Identity!$A$2:$A$501,Identity!$A114)=1,OR(AND(LEFT(Identity!$A114,3)="AAI",LEN(Identity!$A114)=11,SUMPRODUCT(--ISNUMBER(FIND(MID(Identity!$A114,ROW($4:$11),1),"0123456789")))=8,IFERROR(VALUE(MID(Identity!$A114,6,2)),0)&gt;=1,IFERROR(VALUE(MID(Identity!$A114,6,2)),0)&lt;=12,RIGHT(Identity!$A114,4)&lt;&gt;"0000"),AND(LEFT(Identity!$A114,3)="AA-",LEN(Identity!$A114)=15,SUMPRODUCT(--ISNUMBER(FIND(MID(Identity!$A114,ROW($4:$15),1),"ABCDEFGHIJKLMNOPQRSTUVWXYZ")))=6,SUMPRODUCT(--ISNUMBER(FIND(MID(Identity!$A114,ROW($4:$15),1),"0123456789")))=6))),FALSE))</f>
      </c>
    </row>
    <row r="115">
      <c r="D115">
        <f>IF(Identity!$A115="",TRUE,IFERROR(AND(ISTEXT(Identity!$A115),EXACT(Identity!$A115,UPPER(Identity!$A115)),COUNTIF(Identity!$A$2:$A$501,Identity!$A115)=1,OR(AND(LEFT(Identity!$A115,3)="AAI",LEN(Identity!$A115)=11,SUMPRODUCT(--ISNUMBER(FIND(MID(Identity!$A115,ROW($4:$11),1),"0123456789")))=8,IFERROR(VALUE(MID(Identity!$A115,6,2)),0)&gt;=1,IFERROR(VALUE(MID(Identity!$A115,6,2)),0)&lt;=12,RIGHT(Identity!$A115,4)&lt;&gt;"0000"),AND(LEFT(Identity!$A115,3)="AA-",LEN(Identity!$A115)=15,SUMPRODUCT(--ISNUMBER(FIND(MID(Identity!$A115,ROW($4:$15),1),"ABCDEFGHIJKLMNOPQRSTUVWXYZ")))=6,SUMPRODUCT(--ISNUMBER(FIND(MID(Identity!$A115,ROW($4:$15),1),"0123456789")))=6))),FALSE))</f>
      </c>
    </row>
    <row r="116">
      <c r="D116">
        <f>IF(Identity!$A116="",TRUE,IFERROR(AND(ISTEXT(Identity!$A116),EXACT(Identity!$A116,UPPER(Identity!$A116)),COUNTIF(Identity!$A$2:$A$501,Identity!$A116)=1,OR(AND(LEFT(Identity!$A116,3)="AAI",LEN(Identity!$A116)=11,SUMPRODUCT(--ISNUMBER(FIND(MID(Identity!$A116,ROW($4:$11),1),"0123456789")))=8,IFERROR(VALUE(MID(Identity!$A116,6,2)),0)&gt;=1,IFERROR(VALUE(MID(Identity!$A116,6,2)),0)&lt;=12,RIGHT(Identity!$A116,4)&lt;&gt;"0000"),AND(LEFT(Identity!$A116,3)="AA-",LEN(Identity!$A116)=15,SUMPRODUCT(--ISNUMBER(FIND(MID(Identity!$A116,ROW($4:$15),1),"ABCDEFGHIJKLMNOPQRSTUVWXYZ")))=6,SUMPRODUCT(--ISNUMBER(FIND(MID(Identity!$A116,ROW($4:$15),1),"0123456789")))=6))),FALSE))</f>
      </c>
    </row>
    <row r="117">
      <c r="D117">
        <f>IF(Identity!$A117="",TRUE,IFERROR(AND(ISTEXT(Identity!$A117),EXACT(Identity!$A117,UPPER(Identity!$A117)),COUNTIF(Identity!$A$2:$A$501,Identity!$A117)=1,OR(AND(LEFT(Identity!$A117,3)="AAI",LEN(Identity!$A117)=11,SUMPRODUCT(--ISNUMBER(FIND(MID(Identity!$A117,ROW($4:$11),1),"0123456789")))=8,IFERROR(VALUE(MID(Identity!$A117,6,2)),0)&gt;=1,IFERROR(VALUE(MID(Identity!$A117,6,2)),0)&lt;=12,RIGHT(Identity!$A117,4)&lt;&gt;"0000"),AND(LEFT(Identity!$A117,3)="AA-",LEN(Identity!$A117)=15,SUMPRODUCT(--ISNUMBER(FIND(MID(Identity!$A117,ROW($4:$15),1),"ABCDEFGHIJKLMNOPQRSTUVWXYZ")))=6,SUMPRODUCT(--ISNUMBER(FIND(MID(Identity!$A117,ROW($4:$15),1),"0123456789")))=6))),FALSE))</f>
      </c>
    </row>
    <row r="118">
      <c r="D118">
        <f>IF(Identity!$A118="",TRUE,IFERROR(AND(ISTEXT(Identity!$A118),EXACT(Identity!$A118,UPPER(Identity!$A118)),COUNTIF(Identity!$A$2:$A$501,Identity!$A118)=1,OR(AND(LEFT(Identity!$A118,3)="AAI",LEN(Identity!$A118)=11,SUMPRODUCT(--ISNUMBER(FIND(MID(Identity!$A118,ROW($4:$11),1),"0123456789")))=8,IFERROR(VALUE(MID(Identity!$A118,6,2)),0)&gt;=1,IFERROR(VALUE(MID(Identity!$A118,6,2)),0)&lt;=12,RIGHT(Identity!$A118,4)&lt;&gt;"0000"),AND(LEFT(Identity!$A118,3)="AA-",LEN(Identity!$A118)=15,SUMPRODUCT(--ISNUMBER(FIND(MID(Identity!$A118,ROW($4:$15),1),"ABCDEFGHIJKLMNOPQRSTUVWXYZ")))=6,SUMPRODUCT(--ISNUMBER(FIND(MID(Identity!$A118,ROW($4:$15),1),"0123456789")))=6))),FALSE))</f>
      </c>
    </row>
    <row r="119">
      <c r="D119">
        <f>IF(Identity!$A119="",TRUE,IFERROR(AND(ISTEXT(Identity!$A119),EXACT(Identity!$A119,UPPER(Identity!$A119)),COUNTIF(Identity!$A$2:$A$501,Identity!$A119)=1,OR(AND(LEFT(Identity!$A119,3)="AAI",LEN(Identity!$A119)=11,SUMPRODUCT(--ISNUMBER(FIND(MID(Identity!$A119,ROW($4:$11),1),"0123456789")))=8,IFERROR(VALUE(MID(Identity!$A119,6,2)),0)&gt;=1,IFERROR(VALUE(MID(Identity!$A119,6,2)),0)&lt;=12,RIGHT(Identity!$A119,4)&lt;&gt;"0000"),AND(LEFT(Identity!$A119,3)="AA-",LEN(Identity!$A119)=15,SUMPRODUCT(--ISNUMBER(FIND(MID(Identity!$A119,ROW($4:$15),1),"ABCDEFGHIJKLMNOPQRSTUVWXYZ")))=6,SUMPRODUCT(--ISNUMBER(FIND(MID(Identity!$A119,ROW($4:$15),1),"0123456789")))=6))),FALSE))</f>
      </c>
    </row>
    <row r="120">
      <c r="D120">
        <f>IF(Identity!$A120="",TRUE,IFERROR(AND(ISTEXT(Identity!$A120),EXACT(Identity!$A120,UPPER(Identity!$A120)),COUNTIF(Identity!$A$2:$A$501,Identity!$A120)=1,OR(AND(LEFT(Identity!$A120,3)="AAI",LEN(Identity!$A120)=11,SUMPRODUCT(--ISNUMBER(FIND(MID(Identity!$A120,ROW($4:$11),1),"0123456789")))=8,IFERROR(VALUE(MID(Identity!$A120,6,2)),0)&gt;=1,IFERROR(VALUE(MID(Identity!$A120,6,2)),0)&lt;=12,RIGHT(Identity!$A120,4)&lt;&gt;"0000"),AND(LEFT(Identity!$A120,3)="AA-",LEN(Identity!$A120)=15,SUMPRODUCT(--ISNUMBER(FIND(MID(Identity!$A120,ROW($4:$15),1),"ABCDEFGHIJKLMNOPQRSTUVWXYZ")))=6,SUMPRODUCT(--ISNUMBER(FIND(MID(Identity!$A120,ROW($4:$15),1),"0123456789")))=6))),FALSE))</f>
      </c>
    </row>
    <row r="121">
      <c r="D121">
        <f>IF(Identity!$A121="",TRUE,IFERROR(AND(ISTEXT(Identity!$A121),EXACT(Identity!$A121,UPPER(Identity!$A121)),COUNTIF(Identity!$A$2:$A$501,Identity!$A121)=1,OR(AND(LEFT(Identity!$A121,3)="AAI",LEN(Identity!$A121)=11,SUMPRODUCT(--ISNUMBER(FIND(MID(Identity!$A121,ROW($4:$11),1),"0123456789")))=8,IFERROR(VALUE(MID(Identity!$A121,6,2)),0)&gt;=1,IFERROR(VALUE(MID(Identity!$A121,6,2)),0)&lt;=12,RIGHT(Identity!$A121,4)&lt;&gt;"0000"),AND(LEFT(Identity!$A121,3)="AA-",LEN(Identity!$A121)=15,SUMPRODUCT(--ISNUMBER(FIND(MID(Identity!$A121,ROW($4:$15),1),"ABCDEFGHIJKLMNOPQRSTUVWXYZ")))=6,SUMPRODUCT(--ISNUMBER(FIND(MID(Identity!$A121,ROW($4:$15),1),"0123456789")))=6))),FALSE))</f>
      </c>
    </row>
    <row r="122">
      <c r="D122">
        <f>IF(Identity!$A122="",TRUE,IFERROR(AND(ISTEXT(Identity!$A122),EXACT(Identity!$A122,UPPER(Identity!$A122)),COUNTIF(Identity!$A$2:$A$501,Identity!$A122)=1,OR(AND(LEFT(Identity!$A122,3)="AAI",LEN(Identity!$A122)=11,SUMPRODUCT(--ISNUMBER(FIND(MID(Identity!$A122,ROW($4:$11),1),"0123456789")))=8,IFERROR(VALUE(MID(Identity!$A122,6,2)),0)&gt;=1,IFERROR(VALUE(MID(Identity!$A122,6,2)),0)&lt;=12,RIGHT(Identity!$A122,4)&lt;&gt;"0000"),AND(LEFT(Identity!$A122,3)="AA-",LEN(Identity!$A122)=15,SUMPRODUCT(--ISNUMBER(FIND(MID(Identity!$A122,ROW($4:$15),1),"ABCDEFGHIJKLMNOPQRSTUVWXYZ")))=6,SUMPRODUCT(--ISNUMBER(FIND(MID(Identity!$A122,ROW($4:$15),1),"0123456789")))=6))),FALSE))</f>
      </c>
    </row>
    <row r="123">
      <c r="D123">
        <f>IF(Identity!$A123="",TRUE,IFERROR(AND(ISTEXT(Identity!$A123),EXACT(Identity!$A123,UPPER(Identity!$A123)),COUNTIF(Identity!$A$2:$A$501,Identity!$A123)=1,OR(AND(LEFT(Identity!$A123,3)="AAI",LEN(Identity!$A123)=11,SUMPRODUCT(--ISNUMBER(FIND(MID(Identity!$A123,ROW($4:$11),1),"0123456789")))=8,IFERROR(VALUE(MID(Identity!$A123,6,2)),0)&gt;=1,IFERROR(VALUE(MID(Identity!$A123,6,2)),0)&lt;=12,RIGHT(Identity!$A123,4)&lt;&gt;"0000"),AND(LEFT(Identity!$A123,3)="AA-",LEN(Identity!$A123)=15,SUMPRODUCT(--ISNUMBER(FIND(MID(Identity!$A123,ROW($4:$15),1),"ABCDEFGHIJKLMNOPQRSTUVWXYZ")))=6,SUMPRODUCT(--ISNUMBER(FIND(MID(Identity!$A123,ROW($4:$15),1),"0123456789")))=6))),FALSE))</f>
      </c>
    </row>
    <row r="124">
      <c r="D124">
        <f>IF(Identity!$A124="",TRUE,IFERROR(AND(ISTEXT(Identity!$A124),EXACT(Identity!$A124,UPPER(Identity!$A124)),COUNTIF(Identity!$A$2:$A$501,Identity!$A124)=1,OR(AND(LEFT(Identity!$A124,3)="AAI",LEN(Identity!$A124)=11,SUMPRODUCT(--ISNUMBER(FIND(MID(Identity!$A124,ROW($4:$11),1),"0123456789")))=8,IFERROR(VALUE(MID(Identity!$A124,6,2)),0)&gt;=1,IFERROR(VALUE(MID(Identity!$A124,6,2)),0)&lt;=12,RIGHT(Identity!$A124,4)&lt;&gt;"0000"),AND(LEFT(Identity!$A124,3)="AA-",LEN(Identity!$A124)=15,SUMPRODUCT(--ISNUMBER(FIND(MID(Identity!$A124,ROW($4:$15),1),"ABCDEFGHIJKLMNOPQRSTUVWXYZ")))=6,SUMPRODUCT(--ISNUMBER(FIND(MID(Identity!$A124,ROW($4:$15),1),"0123456789")))=6))),FALSE))</f>
      </c>
    </row>
    <row r="125">
      <c r="D125">
        <f>IF(Identity!$A125="",TRUE,IFERROR(AND(ISTEXT(Identity!$A125),EXACT(Identity!$A125,UPPER(Identity!$A125)),COUNTIF(Identity!$A$2:$A$501,Identity!$A125)=1,OR(AND(LEFT(Identity!$A125,3)="AAI",LEN(Identity!$A125)=11,SUMPRODUCT(--ISNUMBER(FIND(MID(Identity!$A125,ROW($4:$11),1),"0123456789")))=8,IFERROR(VALUE(MID(Identity!$A125,6,2)),0)&gt;=1,IFERROR(VALUE(MID(Identity!$A125,6,2)),0)&lt;=12,RIGHT(Identity!$A125,4)&lt;&gt;"0000"),AND(LEFT(Identity!$A125,3)="AA-",LEN(Identity!$A125)=15,SUMPRODUCT(--ISNUMBER(FIND(MID(Identity!$A125,ROW($4:$15),1),"ABCDEFGHIJKLMNOPQRSTUVWXYZ")))=6,SUMPRODUCT(--ISNUMBER(FIND(MID(Identity!$A125,ROW($4:$15),1),"0123456789")))=6))),FALSE))</f>
      </c>
    </row>
    <row r="126">
      <c r="D126">
        <f>IF(Identity!$A126="",TRUE,IFERROR(AND(ISTEXT(Identity!$A126),EXACT(Identity!$A126,UPPER(Identity!$A126)),COUNTIF(Identity!$A$2:$A$501,Identity!$A126)=1,OR(AND(LEFT(Identity!$A126,3)="AAI",LEN(Identity!$A126)=11,SUMPRODUCT(--ISNUMBER(FIND(MID(Identity!$A126,ROW($4:$11),1),"0123456789")))=8,IFERROR(VALUE(MID(Identity!$A126,6,2)),0)&gt;=1,IFERROR(VALUE(MID(Identity!$A126,6,2)),0)&lt;=12,RIGHT(Identity!$A126,4)&lt;&gt;"0000"),AND(LEFT(Identity!$A126,3)="AA-",LEN(Identity!$A126)=15,SUMPRODUCT(--ISNUMBER(FIND(MID(Identity!$A126,ROW($4:$15),1),"ABCDEFGHIJKLMNOPQRSTUVWXYZ")))=6,SUMPRODUCT(--ISNUMBER(FIND(MID(Identity!$A126,ROW($4:$15),1),"0123456789")))=6))),FALSE))</f>
      </c>
    </row>
    <row r="127">
      <c r="D127">
        <f>IF(Identity!$A127="",TRUE,IFERROR(AND(ISTEXT(Identity!$A127),EXACT(Identity!$A127,UPPER(Identity!$A127)),COUNTIF(Identity!$A$2:$A$501,Identity!$A127)=1,OR(AND(LEFT(Identity!$A127,3)="AAI",LEN(Identity!$A127)=11,SUMPRODUCT(--ISNUMBER(FIND(MID(Identity!$A127,ROW($4:$11),1),"0123456789")))=8,IFERROR(VALUE(MID(Identity!$A127,6,2)),0)&gt;=1,IFERROR(VALUE(MID(Identity!$A127,6,2)),0)&lt;=12,RIGHT(Identity!$A127,4)&lt;&gt;"0000"),AND(LEFT(Identity!$A127,3)="AA-",LEN(Identity!$A127)=15,SUMPRODUCT(--ISNUMBER(FIND(MID(Identity!$A127,ROW($4:$15),1),"ABCDEFGHIJKLMNOPQRSTUVWXYZ")))=6,SUMPRODUCT(--ISNUMBER(FIND(MID(Identity!$A127,ROW($4:$15),1),"0123456789")))=6))),FALSE))</f>
      </c>
    </row>
    <row r="128">
      <c r="D128">
        <f>IF(Identity!$A128="",TRUE,IFERROR(AND(ISTEXT(Identity!$A128),EXACT(Identity!$A128,UPPER(Identity!$A128)),COUNTIF(Identity!$A$2:$A$501,Identity!$A128)=1,OR(AND(LEFT(Identity!$A128,3)="AAI",LEN(Identity!$A128)=11,SUMPRODUCT(--ISNUMBER(FIND(MID(Identity!$A128,ROW($4:$11),1),"0123456789")))=8,IFERROR(VALUE(MID(Identity!$A128,6,2)),0)&gt;=1,IFERROR(VALUE(MID(Identity!$A128,6,2)),0)&lt;=12,RIGHT(Identity!$A128,4)&lt;&gt;"0000"),AND(LEFT(Identity!$A128,3)="AA-",LEN(Identity!$A128)=15,SUMPRODUCT(--ISNUMBER(FIND(MID(Identity!$A128,ROW($4:$15),1),"ABCDEFGHIJKLMNOPQRSTUVWXYZ")))=6,SUMPRODUCT(--ISNUMBER(FIND(MID(Identity!$A128,ROW($4:$15),1),"0123456789")))=6))),FALSE))</f>
      </c>
    </row>
    <row r="129">
      <c r="D129">
        <f>IF(Identity!$A129="",TRUE,IFERROR(AND(ISTEXT(Identity!$A129),EXACT(Identity!$A129,UPPER(Identity!$A129)),COUNTIF(Identity!$A$2:$A$501,Identity!$A129)=1,OR(AND(LEFT(Identity!$A129,3)="AAI",LEN(Identity!$A129)=11,SUMPRODUCT(--ISNUMBER(FIND(MID(Identity!$A129,ROW($4:$11),1),"0123456789")))=8,IFERROR(VALUE(MID(Identity!$A129,6,2)),0)&gt;=1,IFERROR(VALUE(MID(Identity!$A129,6,2)),0)&lt;=12,RIGHT(Identity!$A129,4)&lt;&gt;"0000"),AND(LEFT(Identity!$A129,3)="AA-",LEN(Identity!$A129)=15,SUMPRODUCT(--ISNUMBER(FIND(MID(Identity!$A129,ROW($4:$15),1),"ABCDEFGHIJKLMNOPQRSTUVWXYZ")))=6,SUMPRODUCT(--ISNUMBER(FIND(MID(Identity!$A129,ROW($4:$15),1),"0123456789")))=6))),FALSE))</f>
      </c>
    </row>
    <row r="130">
      <c r="D130">
        <f>IF(Identity!$A130="",TRUE,IFERROR(AND(ISTEXT(Identity!$A130),EXACT(Identity!$A130,UPPER(Identity!$A130)),COUNTIF(Identity!$A$2:$A$501,Identity!$A130)=1,OR(AND(LEFT(Identity!$A130,3)="AAI",LEN(Identity!$A130)=11,SUMPRODUCT(--ISNUMBER(FIND(MID(Identity!$A130,ROW($4:$11),1),"0123456789")))=8,IFERROR(VALUE(MID(Identity!$A130,6,2)),0)&gt;=1,IFERROR(VALUE(MID(Identity!$A130,6,2)),0)&lt;=12,RIGHT(Identity!$A130,4)&lt;&gt;"0000"),AND(LEFT(Identity!$A130,3)="AA-",LEN(Identity!$A130)=15,SUMPRODUCT(--ISNUMBER(FIND(MID(Identity!$A130,ROW($4:$15),1),"ABCDEFGHIJKLMNOPQRSTUVWXYZ")))=6,SUMPRODUCT(--ISNUMBER(FIND(MID(Identity!$A130,ROW($4:$15),1),"0123456789")))=6))),FALSE))</f>
      </c>
    </row>
    <row r="131">
      <c r="D131">
        <f>IF(Identity!$A131="",TRUE,IFERROR(AND(ISTEXT(Identity!$A131),EXACT(Identity!$A131,UPPER(Identity!$A131)),COUNTIF(Identity!$A$2:$A$501,Identity!$A131)=1,OR(AND(LEFT(Identity!$A131,3)="AAI",LEN(Identity!$A131)=11,SUMPRODUCT(--ISNUMBER(FIND(MID(Identity!$A131,ROW($4:$11),1),"0123456789")))=8,IFERROR(VALUE(MID(Identity!$A131,6,2)),0)&gt;=1,IFERROR(VALUE(MID(Identity!$A131,6,2)),0)&lt;=12,RIGHT(Identity!$A131,4)&lt;&gt;"0000"),AND(LEFT(Identity!$A131,3)="AA-",LEN(Identity!$A131)=15,SUMPRODUCT(--ISNUMBER(FIND(MID(Identity!$A131,ROW($4:$15),1),"ABCDEFGHIJKLMNOPQRSTUVWXYZ")))=6,SUMPRODUCT(--ISNUMBER(FIND(MID(Identity!$A131,ROW($4:$15),1),"0123456789")))=6))),FALSE))</f>
      </c>
    </row>
    <row r="132">
      <c r="D132">
        <f>IF(Identity!$A132="",TRUE,IFERROR(AND(ISTEXT(Identity!$A132),EXACT(Identity!$A132,UPPER(Identity!$A132)),COUNTIF(Identity!$A$2:$A$501,Identity!$A132)=1,OR(AND(LEFT(Identity!$A132,3)="AAI",LEN(Identity!$A132)=11,SUMPRODUCT(--ISNUMBER(FIND(MID(Identity!$A132,ROW($4:$11),1),"0123456789")))=8,IFERROR(VALUE(MID(Identity!$A132,6,2)),0)&gt;=1,IFERROR(VALUE(MID(Identity!$A132,6,2)),0)&lt;=12,RIGHT(Identity!$A132,4)&lt;&gt;"0000"),AND(LEFT(Identity!$A132,3)="AA-",LEN(Identity!$A132)=15,SUMPRODUCT(--ISNUMBER(FIND(MID(Identity!$A132,ROW($4:$15),1),"ABCDEFGHIJKLMNOPQRSTUVWXYZ")))=6,SUMPRODUCT(--ISNUMBER(FIND(MID(Identity!$A132,ROW($4:$15),1),"0123456789")))=6))),FALSE))</f>
      </c>
    </row>
    <row r="133">
      <c r="D133">
        <f>IF(Identity!$A133="",TRUE,IFERROR(AND(ISTEXT(Identity!$A133),EXACT(Identity!$A133,UPPER(Identity!$A133)),COUNTIF(Identity!$A$2:$A$501,Identity!$A133)=1,OR(AND(LEFT(Identity!$A133,3)="AAI",LEN(Identity!$A133)=11,SUMPRODUCT(--ISNUMBER(FIND(MID(Identity!$A133,ROW($4:$11),1),"0123456789")))=8,IFERROR(VALUE(MID(Identity!$A133,6,2)),0)&gt;=1,IFERROR(VALUE(MID(Identity!$A133,6,2)),0)&lt;=12,RIGHT(Identity!$A133,4)&lt;&gt;"0000"),AND(LEFT(Identity!$A133,3)="AA-",LEN(Identity!$A133)=15,SUMPRODUCT(--ISNUMBER(FIND(MID(Identity!$A133,ROW($4:$15),1),"ABCDEFGHIJKLMNOPQRSTUVWXYZ")))=6,SUMPRODUCT(--ISNUMBER(FIND(MID(Identity!$A133,ROW($4:$15),1),"0123456789")))=6))),FALSE))</f>
      </c>
    </row>
    <row r="134">
      <c r="D134">
        <f>IF(Identity!$A134="",TRUE,IFERROR(AND(ISTEXT(Identity!$A134),EXACT(Identity!$A134,UPPER(Identity!$A134)),COUNTIF(Identity!$A$2:$A$501,Identity!$A134)=1,OR(AND(LEFT(Identity!$A134,3)="AAI",LEN(Identity!$A134)=11,SUMPRODUCT(--ISNUMBER(FIND(MID(Identity!$A134,ROW($4:$11),1),"0123456789")))=8,IFERROR(VALUE(MID(Identity!$A134,6,2)),0)&gt;=1,IFERROR(VALUE(MID(Identity!$A134,6,2)),0)&lt;=12,RIGHT(Identity!$A134,4)&lt;&gt;"0000"),AND(LEFT(Identity!$A134,3)="AA-",LEN(Identity!$A134)=15,SUMPRODUCT(--ISNUMBER(FIND(MID(Identity!$A134,ROW($4:$15),1),"ABCDEFGHIJKLMNOPQRSTUVWXYZ")))=6,SUMPRODUCT(--ISNUMBER(FIND(MID(Identity!$A134,ROW($4:$15),1),"0123456789")))=6))),FALSE))</f>
      </c>
    </row>
    <row r="135">
      <c r="D135">
        <f>IF(Identity!$A135="",TRUE,IFERROR(AND(ISTEXT(Identity!$A135),EXACT(Identity!$A135,UPPER(Identity!$A135)),COUNTIF(Identity!$A$2:$A$501,Identity!$A135)=1,OR(AND(LEFT(Identity!$A135,3)="AAI",LEN(Identity!$A135)=11,SUMPRODUCT(--ISNUMBER(FIND(MID(Identity!$A135,ROW($4:$11),1),"0123456789")))=8,IFERROR(VALUE(MID(Identity!$A135,6,2)),0)&gt;=1,IFERROR(VALUE(MID(Identity!$A135,6,2)),0)&lt;=12,RIGHT(Identity!$A135,4)&lt;&gt;"0000"),AND(LEFT(Identity!$A135,3)="AA-",LEN(Identity!$A135)=15,SUMPRODUCT(--ISNUMBER(FIND(MID(Identity!$A135,ROW($4:$15),1),"ABCDEFGHIJKLMNOPQRSTUVWXYZ")))=6,SUMPRODUCT(--ISNUMBER(FIND(MID(Identity!$A135,ROW($4:$15),1),"0123456789")))=6))),FALSE))</f>
      </c>
    </row>
    <row r="136">
      <c r="D136">
        <f>IF(Identity!$A136="",TRUE,IFERROR(AND(ISTEXT(Identity!$A136),EXACT(Identity!$A136,UPPER(Identity!$A136)),COUNTIF(Identity!$A$2:$A$501,Identity!$A136)=1,OR(AND(LEFT(Identity!$A136,3)="AAI",LEN(Identity!$A136)=11,SUMPRODUCT(--ISNUMBER(FIND(MID(Identity!$A136,ROW($4:$11),1),"0123456789")))=8,IFERROR(VALUE(MID(Identity!$A136,6,2)),0)&gt;=1,IFERROR(VALUE(MID(Identity!$A136,6,2)),0)&lt;=12,RIGHT(Identity!$A136,4)&lt;&gt;"0000"),AND(LEFT(Identity!$A136,3)="AA-",LEN(Identity!$A136)=15,SUMPRODUCT(--ISNUMBER(FIND(MID(Identity!$A136,ROW($4:$15),1),"ABCDEFGHIJKLMNOPQRSTUVWXYZ")))=6,SUMPRODUCT(--ISNUMBER(FIND(MID(Identity!$A136,ROW($4:$15),1),"0123456789")))=6))),FALSE))</f>
      </c>
    </row>
    <row r="137">
      <c r="D137">
        <f>IF(Identity!$A137="",TRUE,IFERROR(AND(ISTEXT(Identity!$A137),EXACT(Identity!$A137,UPPER(Identity!$A137)),COUNTIF(Identity!$A$2:$A$501,Identity!$A137)=1,OR(AND(LEFT(Identity!$A137,3)="AAI",LEN(Identity!$A137)=11,SUMPRODUCT(--ISNUMBER(FIND(MID(Identity!$A137,ROW($4:$11),1),"0123456789")))=8,IFERROR(VALUE(MID(Identity!$A137,6,2)),0)&gt;=1,IFERROR(VALUE(MID(Identity!$A137,6,2)),0)&lt;=12,RIGHT(Identity!$A137,4)&lt;&gt;"0000"),AND(LEFT(Identity!$A137,3)="AA-",LEN(Identity!$A137)=15,SUMPRODUCT(--ISNUMBER(FIND(MID(Identity!$A137,ROW($4:$15),1),"ABCDEFGHIJKLMNOPQRSTUVWXYZ")))=6,SUMPRODUCT(--ISNUMBER(FIND(MID(Identity!$A137,ROW($4:$15),1),"0123456789")))=6))),FALSE))</f>
      </c>
    </row>
    <row r="138">
      <c r="D138">
        <f>IF(Identity!$A138="",TRUE,IFERROR(AND(ISTEXT(Identity!$A138),EXACT(Identity!$A138,UPPER(Identity!$A138)),COUNTIF(Identity!$A$2:$A$501,Identity!$A138)=1,OR(AND(LEFT(Identity!$A138,3)="AAI",LEN(Identity!$A138)=11,SUMPRODUCT(--ISNUMBER(FIND(MID(Identity!$A138,ROW($4:$11),1),"0123456789")))=8,IFERROR(VALUE(MID(Identity!$A138,6,2)),0)&gt;=1,IFERROR(VALUE(MID(Identity!$A138,6,2)),0)&lt;=12,RIGHT(Identity!$A138,4)&lt;&gt;"0000"),AND(LEFT(Identity!$A138,3)="AA-",LEN(Identity!$A138)=15,SUMPRODUCT(--ISNUMBER(FIND(MID(Identity!$A138,ROW($4:$15),1),"ABCDEFGHIJKLMNOPQRSTUVWXYZ")))=6,SUMPRODUCT(--ISNUMBER(FIND(MID(Identity!$A138,ROW($4:$15),1),"0123456789")))=6))),FALSE))</f>
      </c>
    </row>
    <row r="139">
      <c r="D139">
        <f>IF(Identity!$A139="",TRUE,IFERROR(AND(ISTEXT(Identity!$A139),EXACT(Identity!$A139,UPPER(Identity!$A139)),COUNTIF(Identity!$A$2:$A$501,Identity!$A139)=1,OR(AND(LEFT(Identity!$A139,3)="AAI",LEN(Identity!$A139)=11,SUMPRODUCT(--ISNUMBER(FIND(MID(Identity!$A139,ROW($4:$11),1),"0123456789")))=8,IFERROR(VALUE(MID(Identity!$A139,6,2)),0)&gt;=1,IFERROR(VALUE(MID(Identity!$A139,6,2)),0)&lt;=12,RIGHT(Identity!$A139,4)&lt;&gt;"0000"),AND(LEFT(Identity!$A139,3)="AA-",LEN(Identity!$A139)=15,SUMPRODUCT(--ISNUMBER(FIND(MID(Identity!$A139,ROW($4:$15),1),"ABCDEFGHIJKLMNOPQRSTUVWXYZ")))=6,SUMPRODUCT(--ISNUMBER(FIND(MID(Identity!$A139,ROW($4:$15),1),"0123456789")))=6))),FALSE))</f>
      </c>
    </row>
    <row r="140">
      <c r="D140">
        <f>IF(Identity!$A140="",TRUE,IFERROR(AND(ISTEXT(Identity!$A140),EXACT(Identity!$A140,UPPER(Identity!$A140)),COUNTIF(Identity!$A$2:$A$501,Identity!$A140)=1,OR(AND(LEFT(Identity!$A140,3)="AAI",LEN(Identity!$A140)=11,SUMPRODUCT(--ISNUMBER(FIND(MID(Identity!$A140,ROW($4:$11),1),"0123456789")))=8,IFERROR(VALUE(MID(Identity!$A140,6,2)),0)&gt;=1,IFERROR(VALUE(MID(Identity!$A140,6,2)),0)&lt;=12,RIGHT(Identity!$A140,4)&lt;&gt;"0000"),AND(LEFT(Identity!$A140,3)="AA-",LEN(Identity!$A140)=15,SUMPRODUCT(--ISNUMBER(FIND(MID(Identity!$A140,ROW($4:$15),1),"ABCDEFGHIJKLMNOPQRSTUVWXYZ")))=6,SUMPRODUCT(--ISNUMBER(FIND(MID(Identity!$A140,ROW($4:$15),1),"0123456789")))=6))),FALSE))</f>
      </c>
    </row>
    <row r="141">
      <c r="D141">
        <f>IF(Identity!$A141="",TRUE,IFERROR(AND(ISTEXT(Identity!$A141),EXACT(Identity!$A141,UPPER(Identity!$A141)),COUNTIF(Identity!$A$2:$A$501,Identity!$A141)=1,OR(AND(LEFT(Identity!$A141,3)="AAI",LEN(Identity!$A141)=11,SUMPRODUCT(--ISNUMBER(FIND(MID(Identity!$A141,ROW($4:$11),1),"0123456789")))=8,IFERROR(VALUE(MID(Identity!$A141,6,2)),0)&gt;=1,IFERROR(VALUE(MID(Identity!$A141,6,2)),0)&lt;=12,RIGHT(Identity!$A141,4)&lt;&gt;"0000"),AND(LEFT(Identity!$A141,3)="AA-",LEN(Identity!$A141)=15,SUMPRODUCT(--ISNUMBER(FIND(MID(Identity!$A141,ROW($4:$15),1),"ABCDEFGHIJKLMNOPQRSTUVWXYZ")))=6,SUMPRODUCT(--ISNUMBER(FIND(MID(Identity!$A141,ROW($4:$15),1),"0123456789")))=6))),FALSE))</f>
      </c>
    </row>
    <row r="142">
      <c r="D142">
        <f>IF(Identity!$A142="",TRUE,IFERROR(AND(ISTEXT(Identity!$A142),EXACT(Identity!$A142,UPPER(Identity!$A142)),COUNTIF(Identity!$A$2:$A$501,Identity!$A142)=1,OR(AND(LEFT(Identity!$A142,3)="AAI",LEN(Identity!$A142)=11,SUMPRODUCT(--ISNUMBER(FIND(MID(Identity!$A142,ROW($4:$11),1),"0123456789")))=8,IFERROR(VALUE(MID(Identity!$A142,6,2)),0)&gt;=1,IFERROR(VALUE(MID(Identity!$A142,6,2)),0)&lt;=12,RIGHT(Identity!$A142,4)&lt;&gt;"0000"),AND(LEFT(Identity!$A142,3)="AA-",LEN(Identity!$A142)=15,SUMPRODUCT(--ISNUMBER(FIND(MID(Identity!$A142,ROW($4:$15),1),"ABCDEFGHIJKLMNOPQRSTUVWXYZ")))=6,SUMPRODUCT(--ISNUMBER(FIND(MID(Identity!$A142,ROW($4:$15),1),"0123456789")))=6))),FALSE))</f>
      </c>
    </row>
    <row r="143">
      <c r="D143">
        <f>IF(Identity!$A143="",TRUE,IFERROR(AND(ISTEXT(Identity!$A143),EXACT(Identity!$A143,UPPER(Identity!$A143)),COUNTIF(Identity!$A$2:$A$501,Identity!$A143)=1,OR(AND(LEFT(Identity!$A143,3)="AAI",LEN(Identity!$A143)=11,SUMPRODUCT(--ISNUMBER(FIND(MID(Identity!$A143,ROW($4:$11),1),"0123456789")))=8,IFERROR(VALUE(MID(Identity!$A143,6,2)),0)&gt;=1,IFERROR(VALUE(MID(Identity!$A143,6,2)),0)&lt;=12,RIGHT(Identity!$A143,4)&lt;&gt;"0000"),AND(LEFT(Identity!$A143,3)="AA-",LEN(Identity!$A143)=15,SUMPRODUCT(--ISNUMBER(FIND(MID(Identity!$A143,ROW($4:$15),1),"ABCDEFGHIJKLMNOPQRSTUVWXYZ")))=6,SUMPRODUCT(--ISNUMBER(FIND(MID(Identity!$A143,ROW($4:$15),1),"0123456789")))=6))),FALSE))</f>
      </c>
    </row>
    <row r="144">
      <c r="D144">
        <f>IF(Identity!$A144="",TRUE,IFERROR(AND(ISTEXT(Identity!$A144),EXACT(Identity!$A144,UPPER(Identity!$A144)),COUNTIF(Identity!$A$2:$A$501,Identity!$A144)=1,OR(AND(LEFT(Identity!$A144,3)="AAI",LEN(Identity!$A144)=11,SUMPRODUCT(--ISNUMBER(FIND(MID(Identity!$A144,ROW($4:$11),1),"0123456789")))=8,IFERROR(VALUE(MID(Identity!$A144,6,2)),0)&gt;=1,IFERROR(VALUE(MID(Identity!$A144,6,2)),0)&lt;=12,RIGHT(Identity!$A144,4)&lt;&gt;"0000"),AND(LEFT(Identity!$A144,3)="AA-",LEN(Identity!$A144)=15,SUMPRODUCT(--ISNUMBER(FIND(MID(Identity!$A144,ROW($4:$15),1),"ABCDEFGHIJKLMNOPQRSTUVWXYZ")))=6,SUMPRODUCT(--ISNUMBER(FIND(MID(Identity!$A144,ROW($4:$15),1),"0123456789")))=6))),FALSE))</f>
      </c>
    </row>
    <row r="145">
      <c r="D145">
        <f>IF(Identity!$A145="",TRUE,IFERROR(AND(ISTEXT(Identity!$A145),EXACT(Identity!$A145,UPPER(Identity!$A145)),COUNTIF(Identity!$A$2:$A$501,Identity!$A145)=1,OR(AND(LEFT(Identity!$A145,3)="AAI",LEN(Identity!$A145)=11,SUMPRODUCT(--ISNUMBER(FIND(MID(Identity!$A145,ROW($4:$11),1),"0123456789")))=8,IFERROR(VALUE(MID(Identity!$A145,6,2)),0)&gt;=1,IFERROR(VALUE(MID(Identity!$A145,6,2)),0)&lt;=12,RIGHT(Identity!$A145,4)&lt;&gt;"0000"),AND(LEFT(Identity!$A145,3)="AA-",LEN(Identity!$A145)=15,SUMPRODUCT(--ISNUMBER(FIND(MID(Identity!$A145,ROW($4:$15),1),"ABCDEFGHIJKLMNOPQRSTUVWXYZ")))=6,SUMPRODUCT(--ISNUMBER(FIND(MID(Identity!$A145,ROW($4:$15),1),"0123456789")))=6))),FALSE))</f>
      </c>
    </row>
    <row r="146">
      <c r="D146">
        <f>IF(Identity!$A146="",TRUE,IFERROR(AND(ISTEXT(Identity!$A146),EXACT(Identity!$A146,UPPER(Identity!$A146)),COUNTIF(Identity!$A$2:$A$501,Identity!$A146)=1,OR(AND(LEFT(Identity!$A146,3)="AAI",LEN(Identity!$A146)=11,SUMPRODUCT(--ISNUMBER(FIND(MID(Identity!$A146,ROW($4:$11),1),"0123456789")))=8,IFERROR(VALUE(MID(Identity!$A146,6,2)),0)&gt;=1,IFERROR(VALUE(MID(Identity!$A146,6,2)),0)&lt;=12,RIGHT(Identity!$A146,4)&lt;&gt;"0000"),AND(LEFT(Identity!$A146,3)="AA-",LEN(Identity!$A146)=15,SUMPRODUCT(--ISNUMBER(FIND(MID(Identity!$A146,ROW($4:$15),1),"ABCDEFGHIJKLMNOPQRSTUVWXYZ")))=6,SUMPRODUCT(--ISNUMBER(FIND(MID(Identity!$A146,ROW($4:$15),1),"0123456789")))=6))),FALSE))</f>
      </c>
    </row>
    <row r="147">
      <c r="D147">
        <f>IF(Identity!$A147="",TRUE,IFERROR(AND(ISTEXT(Identity!$A147),EXACT(Identity!$A147,UPPER(Identity!$A147)),COUNTIF(Identity!$A$2:$A$501,Identity!$A147)=1,OR(AND(LEFT(Identity!$A147,3)="AAI",LEN(Identity!$A147)=11,SUMPRODUCT(--ISNUMBER(FIND(MID(Identity!$A147,ROW($4:$11),1),"0123456789")))=8,IFERROR(VALUE(MID(Identity!$A147,6,2)),0)&gt;=1,IFERROR(VALUE(MID(Identity!$A147,6,2)),0)&lt;=12,RIGHT(Identity!$A147,4)&lt;&gt;"0000"),AND(LEFT(Identity!$A147,3)="AA-",LEN(Identity!$A147)=15,SUMPRODUCT(--ISNUMBER(FIND(MID(Identity!$A147,ROW($4:$15),1),"ABCDEFGHIJKLMNOPQRSTUVWXYZ")))=6,SUMPRODUCT(--ISNUMBER(FIND(MID(Identity!$A147,ROW($4:$15),1),"0123456789")))=6))),FALSE))</f>
      </c>
    </row>
    <row r="148">
      <c r="D148">
        <f>IF(Identity!$A148="",TRUE,IFERROR(AND(ISTEXT(Identity!$A148),EXACT(Identity!$A148,UPPER(Identity!$A148)),COUNTIF(Identity!$A$2:$A$501,Identity!$A148)=1,OR(AND(LEFT(Identity!$A148,3)="AAI",LEN(Identity!$A148)=11,SUMPRODUCT(--ISNUMBER(FIND(MID(Identity!$A148,ROW($4:$11),1),"0123456789")))=8,IFERROR(VALUE(MID(Identity!$A148,6,2)),0)&gt;=1,IFERROR(VALUE(MID(Identity!$A148,6,2)),0)&lt;=12,RIGHT(Identity!$A148,4)&lt;&gt;"0000"),AND(LEFT(Identity!$A148,3)="AA-",LEN(Identity!$A148)=15,SUMPRODUCT(--ISNUMBER(FIND(MID(Identity!$A148,ROW($4:$15),1),"ABCDEFGHIJKLMNOPQRSTUVWXYZ")))=6,SUMPRODUCT(--ISNUMBER(FIND(MID(Identity!$A148,ROW($4:$15),1),"0123456789")))=6))),FALSE))</f>
      </c>
    </row>
    <row r="149">
      <c r="D149">
        <f>IF(Identity!$A149="",TRUE,IFERROR(AND(ISTEXT(Identity!$A149),EXACT(Identity!$A149,UPPER(Identity!$A149)),COUNTIF(Identity!$A$2:$A$501,Identity!$A149)=1,OR(AND(LEFT(Identity!$A149,3)="AAI",LEN(Identity!$A149)=11,SUMPRODUCT(--ISNUMBER(FIND(MID(Identity!$A149,ROW($4:$11),1),"0123456789")))=8,IFERROR(VALUE(MID(Identity!$A149,6,2)),0)&gt;=1,IFERROR(VALUE(MID(Identity!$A149,6,2)),0)&lt;=12,RIGHT(Identity!$A149,4)&lt;&gt;"0000"),AND(LEFT(Identity!$A149,3)="AA-",LEN(Identity!$A149)=15,SUMPRODUCT(--ISNUMBER(FIND(MID(Identity!$A149,ROW($4:$15),1),"ABCDEFGHIJKLMNOPQRSTUVWXYZ")))=6,SUMPRODUCT(--ISNUMBER(FIND(MID(Identity!$A149,ROW($4:$15),1),"0123456789")))=6))),FALSE))</f>
      </c>
    </row>
    <row r="150">
      <c r="D150">
        <f>IF(Identity!$A150="",TRUE,IFERROR(AND(ISTEXT(Identity!$A150),EXACT(Identity!$A150,UPPER(Identity!$A150)),COUNTIF(Identity!$A$2:$A$501,Identity!$A150)=1,OR(AND(LEFT(Identity!$A150,3)="AAI",LEN(Identity!$A150)=11,SUMPRODUCT(--ISNUMBER(FIND(MID(Identity!$A150,ROW($4:$11),1),"0123456789")))=8,IFERROR(VALUE(MID(Identity!$A150,6,2)),0)&gt;=1,IFERROR(VALUE(MID(Identity!$A150,6,2)),0)&lt;=12,RIGHT(Identity!$A150,4)&lt;&gt;"0000"),AND(LEFT(Identity!$A150,3)="AA-",LEN(Identity!$A150)=15,SUMPRODUCT(--ISNUMBER(FIND(MID(Identity!$A150,ROW($4:$15),1),"ABCDEFGHIJKLMNOPQRSTUVWXYZ")))=6,SUMPRODUCT(--ISNUMBER(FIND(MID(Identity!$A150,ROW($4:$15),1),"0123456789")))=6))),FALSE))</f>
      </c>
    </row>
    <row r="151">
      <c r="D151">
        <f>IF(Identity!$A151="",TRUE,IFERROR(AND(ISTEXT(Identity!$A151),EXACT(Identity!$A151,UPPER(Identity!$A151)),COUNTIF(Identity!$A$2:$A$501,Identity!$A151)=1,OR(AND(LEFT(Identity!$A151,3)="AAI",LEN(Identity!$A151)=11,SUMPRODUCT(--ISNUMBER(FIND(MID(Identity!$A151,ROW($4:$11),1),"0123456789")))=8,IFERROR(VALUE(MID(Identity!$A151,6,2)),0)&gt;=1,IFERROR(VALUE(MID(Identity!$A151,6,2)),0)&lt;=12,RIGHT(Identity!$A151,4)&lt;&gt;"0000"),AND(LEFT(Identity!$A151,3)="AA-",LEN(Identity!$A151)=15,SUMPRODUCT(--ISNUMBER(FIND(MID(Identity!$A151,ROW($4:$15),1),"ABCDEFGHIJKLMNOPQRSTUVWXYZ")))=6,SUMPRODUCT(--ISNUMBER(FIND(MID(Identity!$A151,ROW($4:$15),1),"0123456789")))=6))),FALSE))</f>
      </c>
    </row>
    <row r="152">
      <c r="D152">
        <f>IF(Identity!$A152="",TRUE,IFERROR(AND(ISTEXT(Identity!$A152),EXACT(Identity!$A152,UPPER(Identity!$A152)),COUNTIF(Identity!$A$2:$A$501,Identity!$A152)=1,OR(AND(LEFT(Identity!$A152,3)="AAI",LEN(Identity!$A152)=11,SUMPRODUCT(--ISNUMBER(FIND(MID(Identity!$A152,ROW($4:$11),1),"0123456789")))=8,IFERROR(VALUE(MID(Identity!$A152,6,2)),0)&gt;=1,IFERROR(VALUE(MID(Identity!$A152,6,2)),0)&lt;=12,RIGHT(Identity!$A152,4)&lt;&gt;"0000"),AND(LEFT(Identity!$A152,3)="AA-",LEN(Identity!$A152)=15,SUMPRODUCT(--ISNUMBER(FIND(MID(Identity!$A152,ROW($4:$15),1),"ABCDEFGHIJKLMNOPQRSTUVWXYZ")))=6,SUMPRODUCT(--ISNUMBER(FIND(MID(Identity!$A152,ROW($4:$15),1),"0123456789")))=6))),FALSE))</f>
      </c>
    </row>
    <row r="153">
      <c r="D153">
        <f>IF(Identity!$A153="",TRUE,IFERROR(AND(ISTEXT(Identity!$A153),EXACT(Identity!$A153,UPPER(Identity!$A153)),COUNTIF(Identity!$A$2:$A$501,Identity!$A153)=1,OR(AND(LEFT(Identity!$A153,3)="AAI",LEN(Identity!$A153)=11,SUMPRODUCT(--ISNUMBER(FIND(MID(Identity!$A153,ROW($4:$11),1),"0123456789")))=8,IFERROR(VALUE(MID(Identity!$A153,6,2)),0)&gt;=1,IFERROR(VALUE(MID(Identity!$A153,6,2)),0)&lt;=12,RIGHT(Identity!$A153,4)&lt;&gt;"0000"),AND(LEFT(Identity!$A153,3)="AA-",LEN(Identity!$A153)=15,SUMPRODUCT(--ISNUMBER(FIND(MID(Identity!$A153,ROW($4:$15),1),"ABCDEFGHIJKLMNOPQRSTUVWXYZ")))=6,SUMPRODUCT(--ISNUMBER(FIND(MID(Identity!$A153,ROW($4:$15),1),"0123456789")))=6))),FALSE))</f>
      </c>
    </row>
    <row r="154">
      <c r="D154">
        <f>IF(Identity!$A154="",TRUE,IFERROR(AND(ISTEXT(Identity!$A154),EXACT(Identity!$A154,UPPER(Identity!$A154)),COUNTIF(Identity!$A$2:$A$501,Identity!$A154)=1,OR(AND(LEFT(Identity!$A154,3)="AAI",LEN(Identity!$A154)=11,SUMPRODUCT(--ISNUMBER(FIND(MID(Identity!$A154,ROW($4:$11),1),"0123456789")))=8,IFERROR(VALUE(MID(Identity!$A154,6,2)),0)&gt;=1,IFERROR(VALUE(MID(Identity!$A154,6,2)),0)&lt;=12,RIGHT(Identity!$A154,4)&lt;&gt;"0000"),AND(LEFT(Identity!$A154,3)="AA-",LEN(Identity!$A154)=15,SUMPRODUCT(--ISNUMBER(FIND(MID(Identity!$A154,ROW($4:$15),1),"ABCDEFGHIJKLMNOPQRSTUVWXYZ")))=6,SUMPRODUCT(--ISNUMBER(FIND(MID(Identity!$A154,ROW($4:$15),1),"0123456789")))=6))),FALSE))</f>
      </c>
    </row>
    <row r="155">
      <c r="D155">
        <f>IF(Identity!$A155="",TRUE,IFERROR(AND(ISTEXT(Identity!$A155),EXACT(Identity!$A155,UPPER(Identity!$A155)),COUNTIF(Identity!$A$2:$A$501,Identity!$A155)=1,OR(AND(LEFT(Identity!$A155,3)="AAI",LEN(Identity!$A155)=11,SUMPRODUCT(--ISNUMBER(FIND(MID(Identity!$A155,ROW($4:$11),1),"0123456789")))=8,IFERROR(VALUE(MID(Identity!$A155,6,2)),0)&gt;=1,IFERROR(VALUE(MID(Identity!$A155,6,2)),0)&lt;=12,RIGHT(Identity!$A155,4)&lt;&gt;"0000"),AND(LEFT(Identity!$A155,3)="AA-",LEN(Identity!$A155)=15,SUMPRODUCT(--ISNUMBER(FIND(MID(Identity!$A155,ROW($4:$15),1),"ABCDEFGHIJKLMNOPQRSTUVWXYZ")))=6,SUMPRODUCT(--ISNUMBER(FIND(MID(Identity!$A155,ROW($4:$15),1),"0123456789")))=6))),FALSE))</f>
      </c>
    </row>
    <row r="156">
      <c r="D156">
        <f>IF(Identity!$A156="",TRUE,IFERROR(AND(ISTEXT(Identity!$A156),EXACT(Identity!$A156,UPPER(Identity!$A156)),COUNTIF(Identity!$A$2:$A$501,Identity!$A156)=1,OR(AND(LEFT(Identity!$A156,3)="AAI",LEN(Identity!$A156)=11,SUMPRODUCT(--ISNUMBER(FIND(MID(Identity!$A156,ROW($4:$11),1),"0123456789")))=8,IFERROR(VALUE(MID(Identity!$A156,6,2)),0)&gt;=1,IFERROR(VALUE(MID(Identity!$A156,6,2)),0)&lt;=12,RIGHT(Identity!$A156,4)&lt;&gt;"0000"),AND(LEFT(Identity!$A156,3)="AA-",LEN(Identity!$A156)=15,SUMPRODUCT(--ISNUMBER(FIND(MID(Identity!$A156,ROW($4:$15),1),"ABCDEFGHIJKLMNOPQRSTUVWXYZ")))=6,SUMPRODUCT(--ISNUMBER(FIND(MID(Identity!$A156,ROW($4:$15),1),"0123456789")))=6))),FALSE))</f>
      </c>
    </row>
    <row r="157">
      <c r="D157">
        <f>IF(Identity!$A157="",TRUE,IFERROR(AND(ISTEXT(Identity!$A157),EXACT(Identity!$A157,UPPER(Identity!$A157)),COUNTIF(Identity!$A$2:$A$501,Identity!$A157)=1,OR(AND(LEFT(Identity!$A157,3)="AAI",LEN(Identity!$A157)=11,SUMPRODUCT(--ISNUMBER(FIND(MID(Identity!$A157,ROW($4:$11),1),"0123456789")))=8,IFERROR(VALUE(MID(Identity!$A157,6,2)),0)&gt;=1,IFERROR(VALUE(MID(Identity!$A157,6,2)),0)&lt;=12,RIGHT(Identity!$A157,4)&lt;&gt;"0000"),AND(LEFT(Identity!$A157,3)="AA-",LEN(Identity!$A157)=15,SUMPRODUCT(--ISNUMBER(FIND(MID(Identity!$A157,ROW($4:$15),1),"ABCDEFGHIJKLMNOPQRSTUVWXYZ")))=6,SUMPRODUCT(--ISNUMBER(FIND(MID(Identity!$A157,ROW($4:$15),1),"0123456789")))=6))),FALSE))</f>
      </c>
    </row>
    <row r="158">
      <c r="D158">
        <f>IF(Identity!$A158="",TRUE,IFERROR(AND(ISTEXT(Identity!$A158),EXACT(Identity!$A158,UPPER(Identity!$A158)),COUNTIF(Identity!$A$2:$A$501,Identity!$A158)=1,OR(AND(LEFT(Identity!$A158,3)="AAI",LEN(Identity!$A158)=11,SUMPRODUCT(--ISNUMBER(FIND(MID(Identity!$A158,ROW($4:$11),1),"0123456789")))=8,IFERROR(VALUE(MID(Identity!$A158,6,2)),0)&gt;=1,IFERROR(VALUE(MID(Identity!$A158,6,2)),0)&lt;=12,RIGHT(Identity!$A158,4)&lt;&gt;"0000"),AND(LEFT(Identity!$A158,3)="AA-",LEN(Identity!$A158)=15,SUMPRODUCT(--ISNUMBER(FIND(MID(Identity!$A158,ROW($4:$15),1),"ABCDEFGHIJKLMNOPQRSTUVWXYZ")))=6,SUMPRODUCT(--ISNUMBER(FIND(MID(Identity!$A158,ROW($4:$15),1),"0123456789")))=6))),FALSE))</f>
      </c>
    </row>
    <row r="159">
      <c r="D159">
        <f>IF(Identity!$A159="",TRUE,IFERROR(AND(ISTEXT(Identity!$A159),EXACT(Identity!$A159,UPPER(Identity!$A159)),COUNTIF(Identity!$A$2:$A$501,Identity!$A159)=1,OR(AND(LEFT(Identity!$A159,3)="AAI",LEN(Identity!$A159)=11,SUMPRODUCT(--ISNUMBER(FIND(MID(Identity!$A159,ROW($4:$11),1),"0123456789")))=8,IFERROR(VALUE(MID(Identity!$A159,6,2)),0)&gt;=1,IFERROR(VALUE(MID(Identity!$A159,6,2)),0)&lt;=12,RIGHT(Identity!$A159,4)&lt;&gt;"0000"),AND(LEFT(Identity!$A159,3)="AA-",LEN(Identity!$A159)=15,SUMPRODUCT(--ISNUMBER(FIND(MID(Identity!$A159,ROW($4:$15),1),"ABCDEFGHIJKLMNOPQRSTUVWXYZ")))=6,SUMPRODUCT(--ISNUMBER(FIND(MID(Identity!$A159,ROW($4:$15),1),"0123456789")))=6))),FALSE))</f>
      </c>
    </row>
    <row r="160">
      <c r="D160">
        <f>IF(Identity!$A160="",TRUE,IFERROR(AND(ISTEXT(Identity!$A160),EXACT(Identity!$A160,UPPER(Identity!$A160)),COUNTIF(Identity!$A$2:$A$501,Identity!$A160)=1,OR(AND(LEFT(Identity!$A160,3)="AAI",LEN(Identity!$A160)=11,SUMPRODUCT(--ISNUMBER(FIND(MID(Identity!$A160,ROW($4:$11),1),"0123456789")))=8,IFERROR(VALUE(MID(Identity!$A160,6,2)),0)&gt;=1,IFERROR(VALUE(MID(Identity!$A160,6,2)),0)&lt;=12,RIGHT(Identity!$A160,4)&lt;&gt;"0000"),AND(LEFT(Identity!$A160,3)="AA-",LEN(Identity!$A160)=15,SUMPRODUCT(--ISNUMBER(FIND(MID(Identity!$A160,ROW($4:$15),1),"ABCDEFGHIJKLMNOPQRSTUVWXYZ")))=6,SUMPRODUCT(--ISNUMBER(FIND(MID(Identity!$A160,ROW($4:$15),1),"0123456789")))=6))),FALSE))</f>
      </c>
    </row>
    <row r="161">
      <c r="D161">
        <f>IF(Identity!$A161="",TRUE,IFERROR(AND(ISTEXT(Identity!$A161),EXACT(Identity!$A161,UPPER(Identity!$A161)),COUNTIF(Identity!$A$2:$A$501,Identity!$A161)=1,OR(AND(LEFT(Identity!$A161,3)="AAI",LEN(Identity!$A161)=11,SUMPRODUCT(--ISNUMBER(FIND(MID(Identity!$A161,ROW($4:$11),1),"0123456789")))=8,IFERROR(VALUE(MID(Identity!$A161,6,2)),0)&gt;=1,IFERROR(VALUE(MID(Identity!$A161,6,2)),0)&lt;=12,RIGHT(Identity!$A161,4)&lt;&gt;"0000"),AND(LEFT(Identity!$A161,3)="AA-",LEN(Identity!$A161)=15,SUMPRODUCT(--ISNUMBER(FIND(MID(Identity!$A161,ROW($4:$15),1),"ABCDEFGHIJKLMNOPQRSTUVWXYZ")))=6,SUMPRODUCT(--ISNUMBER(FIND(MID(Identity!$A161,ROW($4:$15),1),"0123456789")))=6))),FALSE))</f>
      </c>
    </row>
    <row r="162">
      <c r="D162">
        <f>IF(Identity!$A162="",TRUE,IFERROR(AND(ISTEXT(Identity!$A162),EXACT(Identity!$A162,UPPER(Identity!$A162)),COUNTIF(Identity!$A$2:$A$501,Identity!$A162)=1,OR(AND(LEFT(Identity!$A162,3)="AAI",LEN(Identity!$A162)=11,SUMPRODUCT(--ISNUMBER(FIND(MID(Identity!$A162,ROW($4:$11),1),"0123456789")))=8,IFERROR(VALUE(MID(Identity!$A162,6,2)),0)&gt;=1,IFERROR(VALUE(MID(Identity!$A162,6,2)),0)&lt;=12,RIGHT(Identity!$A162,4)&lt;&gt;"0000"),AND(LEFT(Identity!$A162,3)="AA-",LEN(Identity!$A162)=15,SUMPRODUCT(--ISNUMBER(FIND(MID(Identity!$A162,ROW($4:$15),1),"ABCDEFGHIJKLMNOPQRSTUVWXYZ")))=6,SUMPRODUCT(--ISNUMBER(FIND(MID(Identity!$A162,ROW($4:$15),1),"0123456789")))=6))),FALSE))</f>
      </c>
    </row>
    <row r="163">
      <c r="D163">
        <f>IF(Identity!$A163="",TRUE,IFERROR(AND(ISTEXT(Identity!$A163),EXACT(Identity!$A163,UPPER(Identity!$A163)),COUNTIF(Identity!$A$2:$A$501,Identity!$A163)=1,OR(AND(LEFT(Identity!$A163,3)="AAI",LEN(Identity!$A163)=11,SUMPRODUCT(--ISNUMBER(FIND(MID(Identity!$A163,ROW($4:$11),1),"0123456789")))=8,IFERROR(VALUE(MID(Identity!$A163,6,2)),0)&gt;=1,IFERROR(VALUE(MID(Identity!$A163,6,2)),0)&lt;=12,RIGHT(Identity!$A163,4)&lt;&gt;"0000"),AND(LEFT(Identity!$A163,3)="AA-",LEN(Identity!$A163)=15,SUMPRODUCT(--ISNUMBER(FIND(MID(Identity!$A163,ROW($4:$15),1),"ABCDEFGHIJKLMNOPQRSTUVWXYZ")))=6,SUMPRODUCT(--ISNUMBER(FIND(MID(Identity!$A163,ROW($4:$15),1),"0123456789")))=6))),FALSE))</f>
      </c>
    </row>
    <row r="164">
      <c r="D164">
        <f>IF(Identity!$A164="",TRUE,IFERROR(AND(ISTEXT(Identity!$A164),EXACT(Identity!$A164,UPPER(Identity!$A164)),COUNTIF(Identity!$A$2:$A$501,Identity!$A164)=1,OR(AND(LEFT(Identity!$A164,3)="AAI",LEN(Identity!$A164)=11,SUMPRODUCT(--ISNUMBER(FIND(MID(Identity!$A164,ROW($4:$11),1),"0123456789")))=8,IFERROR(VALUE(MID(Identity!$A164,6,2)),0)&gt;=1,IFERROR(VALUE(MID(Identity!$A164,6,2)),0)&lt;=12,RIGHT(Identity!$A164,4)&lt;&gt;"0000"),AND(LEFT(Identity!$A164,3)="AA-",LEN(Identity!$A164)=15,SUMPRODUCT(--ISNUMBER(FIND(MID(Identity!$A164,ROW($4:$15),1),"ABCDEFGHIJKLMNOPQRSTUVWXYZ")))=6,SUMPRODUCT(--ISNUMBER(FIND(MID(Identity!$A164,ROW($4:$15),1),"0123456789")))=6))),FALSE))</f>
      </c>
    </row>
    <row r="165">
      <c r="D165">
        <f>IF(Identity!$A165="",TRUE,IFERROR(AND(ISTEXT(Identity!$A165),EXACT(Identity!$A165,UPPER(Identity!$A165)),COUNTIF(Identity!$A$2:$A$501,Identity!$A165)=1,OR(AND(LEFT(Identity!$A165,3)="AAI",LEN(Identity!$A165)=11,SUMPRODUCT(--ISNUMBER(FIND(MID(Identity!$A165,ROW($4:$11),1),"0123456789")))=8,IFERROR(VALUE(MID(Identity!$A165,6,2)),0)&gt;=1,IFERROR(VALUE(MID(Identity!$A165,6,2)),0)&lt;=12,RIGHT(Identity!$A165,4)&lt;&gt;"0000"),AND(LEFT(Identity!$A165,3)="AA-",LEN(Identity!$A165)=15,SUMPRODUCT(--ISNUMBER(FIND(MID(Identity!$A165,ROW($4:$15),1),"ABCDEFGHIJKLMNOPQRSTUVWXYZ")))=6,SUMPRODUCT(--ISNUMBER(FIND(MID(Identity!$A165,ROW($4:$15),1),"0123456789")))=6))),FALSE))</f>
      </c>
    </row>
    <row r="166">
      <c r="D166">
        <f>IF(Identity!$A166="",TRUE,IFERROR(AND(ISTEXT(Identity!$A166),EXACT(Identity!$A166,UPPER(Identity!$A166)),COUNTIF(Identity!$A$2:$A$501,Identity!$A166)=1,OR(AND(LEFT(Identity!$A166,3)="AAI",LEN(Identity!$A166)=11,SUMPRODUCT(--ISNUMBER(FIND(MID(Identity!$A166,ROW($4:$11),1),"0123456789")))=8,IFERROR(VALUE(MID(Identity!$A166,6,2)),0)&gt;=1,IFERROR(VALUE(MID(Identity!$A166,6,2)),0)&lt;=12,RIGHT(Identity!$A166,4)&lt;&gt;"0000"),AND(LEFT(Identity!$A166,3)="AA-",LEN(Identity!$A166)=15,SUMPRODUCT(--ISNUMBER(FIND(MID(Identity!$A166,ROW($4:$15),1),"ABCDEFGHIJKLMNOPQRSTUVWXYZ")))=6,SUMPRODUCT(--ISNUMBER(FIND(MID(Identity!$A166,ROW($4:$15),1),"0123456789")))=6))),FALSE))</f>
      </c>
    </row>
    <row r="167">
      <c r="D167">
        <f>IF(Identity!$A167="",TRUE,IFERROR(AND(ISTEXT(Identity!$A167),EXACT(Identity!$A167,UPPER(Identity!$A167)),COUNTIF(Identity!$A$2:$A$501,Identity!$A167)=1,OR(AND(LEFT(Identity!$A167,3)="AAI",LEN(Identity!$A167)=11,SUMPRODUCT(--ISNUMBER(FIND(MID(Identity!$A167,ROW($4:$11),1),"0123456789")))=8,IFERROR(VALUE(MID(Identity!$A167,6,2)),0)&gt;=1,IFERROR(VALUE(MID(Identity!$A167,6,2)),0)&lt;=12,RIGHT(Identity!$A167,4)&lt;&gt;"0000"),AND(LEFT(Identity!$A167,3)="AA-",LEN(Identity!$A167)=15,SUMPRODUCT(--ISNUMBER(FIND(MID(Identity!$A167,ROW($4:$15),1),"ABCDEFGHIJKLMNOPQRSTUVWXYZ")))=6,SUMPRODUCT(--ISNUMBER(FIND(MID(Identity!$A167,ROW($4:$15),1),"0123456789")))=6))),FALSE))</f>
      </c>
    </row>
    <row r="168">
      <c r="D168">
        <f>IF(Identity!$A168="",TRUE,IFERROR(AND(ISTEXT(Identity!$A168),EXACT(Identity!$A168,UPPER(Identity!$A168)),COUNTIF(Identity!$A$2:$A$501,Identity!$A168)=1,OR(AND(LEFT(Identity!$A168,3)="AAI",LEN(Identity!$A168)=11,SUMPRODUCT(--ISNUMBER(FIND(MID(Identity!$A168,ROW($4:$11),1),"0123456789")))=8,IFERROR(VALUE(MID(Identity!$A168,6,2)),0)&gt;=1,IFERROR(VALUE(MID(Identity!$A168,6,2)),0)&lt;=12,RIGHT(Identity!$A168,4)&lt;&gt;"0000"),AND(LEFT(Identity!$A168,3)="AA-",LEN(Identity!$A168)=15,SUMPRODUCT(--ISNUMBER(FIND(MID(Identity!$A168,ROW($4:$15),1),"ABCDEFGHIJKLMNOPQRSTUVWXYZ")))=6,SUMPRODUCT(--ISNUMBER(FIND(MID(Identity!$A168,ROW($4:$15),1),"0123456789")))=6))),FALSE))</f>
      </c>
    </row>
    <row r="169">
      <c r="D169">
        <f>IF(Identity!$A169="",TRUE,IFERROR(AND(ISTEXT(Identity!$A169),EXACT(Identity!$A169,UPPER(Identity!$A169)),COUNTIF(Identity!$A$2:$A$501,Identity!$A169)=1,OR(AND(LEFT(Identity!$A169,3)="AAI",LEN(Identity!$A169)=11,SUMPRODUCT(--ISNUMBER(FIND(MID(Identity!$A169,ROW($4:$11),1),"0123456789")))=8,IFERROR(VALUE(MID(Identity!$A169,6,2)),0)&gt;=1,IFERROR(VALUE(MID(Identity!$A169,6,2)),0)&lt;=12,RIGHT(Identity!$A169,4)&lt;&gt;"0000"),AND(LEFT(Identity!$A169,3)="AA-",LEN(Identity!$A169)=15,SUMPRODUCT(--ISNUMBER(FIND(MID(Identity!$A169,ROW($4:$15),1),"ABCDEFGHIJKLMNOPQRSTUVWXYZ")))=6,SUMPRODUCT(--ISNUMBER(FIND(MID(Identity!$A169,ROW($4:$15),1),"0123456789")))=6))),FALSE))</f>
      </c>
    </row>
    <row r="170">
      <c r="D170">
        <f>IF(Identity!$A170="",TRUE,IFERROR(AND(ISTEXT(Identity!$A170),EXACT(Identity!$A170,UPPER(Identity!$A170)),COUNTIF(Identity!$A$2:$A$501,Identity!$A170)=1,OR(AND(LEFT(Identity!$A170,3)="AAI",LEN(Identity!$A170)=11,SUMPRODUCT(--ISNUMBER(FIND(MID(Identity!$A170,ROW($4:$11),1),"0123456789")))=8,IFERROR(VALUE(MID(Identity!$A170,6,2)),0)&gt;=1,IFERROR(VALUE(MID(Identity!$A170,6,2)),0)&lt;=12,RIGHT(Identity!$A170,4)&lt;&gt;"0000"),AND(LEFT(Identity!$A170,3)="AA-",LEN(Identity!$A170)=15,SUMPRODUCT(--ISNUMBER(FIND(MID(Identity!$A170,ROW($4:$15),1),"ABCDEFGHIJKLMNOPQRSTUVWXYZ")))=6,SUMPRODUCT(--ISNUMBER(FIND(MID(Identity!$A170,ROW($4:$15),1),"0123456789")))=6))),FALSE))</f>
      </c>
    </row>
    <row r="171">
      <c r="D171">
        <f>IF(Identity!$A171="",TRUE,IFERROR(AND(ISTEXT(Identity!$A171),EXACT(Identity!$A171,UPPER(Identity!$A171)),COUNTIF(Identity!$A$2:$A$501,Identity!$A171)=1,OR(AND(LEFT(Identity!$A171,3)="AAI",LEN(Identity!$A171)=11,SUMPRODUCT(--ISNUMBER(FIND(MID(Identity!$A171,ROW($4:$11),1),"0123456789")))=8,IFERROR(VALUE(MID(Identity!$A171,6,2)),0)&gt;=1,IFERROR(VALUE(MID(Identity!$A171,6,2)),0)&lt;=12,RIGHT(Identity!$A171,4)&lt;&gt;"0000"),AND(LEFT(Identity!$A171,3)="AA-",LEN(Identity!$A171)=15,SUMPRODUCT(--ISNUMBER(FIND(MID(Identity!$A171,ROW($4:$15),1),"ABCDEFGHIJKLMNOPQRSTUVWXYZ")))=6,SUMPRODUCT(--ISNUMBER(FIND(MID(Identity!$A171,ROW($4:$15),1),"0123456789")))=6))),FALSE))</f>
      </c>
    </row>
    <row r="172">
      <c r="D172">
        <f>IF(Identity!$A172="",TRUE,IFERROR(AND(ISTEXT(Identity!$A172),EXACT(Identity!$A172,UPPER(Identity!$A172)),COUNTIF(Identity!$A$2:$A$501,Identity!$A172)=1,OR(AND(LEFT(Identity!$A172,3)="AAI",LEN(Identity!$A172)=11,SUMPRODUCT(--ISNUMBER(FIND(MID(Identity!$A172,ROW($4:$11),1),"0123456789")))=8,IFERROR(VALUE(MID(Identity!$A172,6,2)),0)&gt;=1,IFERROR(VALUE(MID(Identity!$A172,6,2)),0)&lt;=12,RIGHT(Identity!$A172,4)&lt;&gt;"0000"),AND(LEFT(Identity!$A172,3)="AA-",LEN(Identity!$A172)=15,SUMPRODUCT(--ISNUMBER(FIND(MID(Identity!$A172,ROW($4:$15),1),"ABCDEFGHIJKLMNOPQRSTUVWXYZ")))=6,SUMPRODUCT(--ISNUMBER(FIND(MID(Identity!$A172,ROW($4:$15),1),"0123456789")))=6))),FALSE))</f>
      </c>
    </row>
    <row r="173">
      <c r="D173">
        <f>IF(Identity!$A173="",TRUE,IFERROR(AND(ISTEXT(Identity!$A173),EXACT(Identity!$A173,UPPER(Identity!$A173)),COUNTIF(Identity!$A$2:$A$501,Identity!$A173)=1,OR(AND(LEFT(Identity!$A173,3)="AAI",LEN(Identity!$A173)=11,SUMPRODUCT(--ISNUMBER(FIND(MID(Identity!$A173,ROW($4:$11),1),"0123456789")))=8,IFERROR(VALUE(MID(Identity!$A173,6,2)),0)&gt;=1,IFERROR(VALUE(MID(Identity!$A173,6,2)),0)&lt;=12,RIGHT(Identity!$A173,4)&lt;&gt;"0000"),AND(LEFT(Identity!$A173,3)="AA-",LEN(Identity!$A173)=15,SUMPRODUCT(--ISNUMBER(FIND(MID(Identity!$A173,ROW($4:$15),1),"ABCDEFGHIJKLMNOPQRSTUVWXYZ")))=6,SUMPRODUCT(--ISNUMBER(FIND(MID(Identity!$A173,ROW($4:$15),1),"0123456789")))=6))),FALSE))</f>
      </c>
    </row>
    <row r="174">
      <c r="D174">
        <f>IF(Identity!$A174="",TRUE,IFERROR(AND(ISTEXT(Identity!$A174),EXACT(Identity!$A174,UPPER(Identity!$A174)),COUNTIF(Identity!$A$2:$A$501,Identity!$A174)=1,OR(AND(LEFT(Identity!$A174,3)="AAI",LEN(Identity!$A174)=11,SUMPRODUCT(--ISNUMBER(FIND(MID(Identity!$A174,ROW($4:$11),1),"0123456789")))=8,IFERROR(VALUE(MID(Identity!$A174,6,2)),0)&gt;=1,IFERROR(VALUE(MID(Identity!$A174,6,2)),0)&lt;=12,RIGHT(Identity!$A174,4)&lt;&gt;"0000"),AND(LEFT(Identity!$A174,3)="AA-",LEN(Identity!$A174)=15,SUMPRODUCT(--ISNUMBER(FIND(MID(Identity!$A174,ROW($4:$15),1),"ABCDEFGHIJKLMNOPQRSTUVWXYZ")))=6,SUMPRODUCT(--ISNUMBER(FIND(MID(Identity!$A174,ROW($4:$15),1),"0123456789")))=6))),FALSE))</f>
      </c>
    </row>
    <row r="175">
      <c r="D175">
        <f>IF(Identity!$A175="",TRUE,IFERROR(AND(ISTEXT(Identity!$A175),EXACT(Identity!$A175,UPPER(Identity!$A175)),COUNTIF(Identity!$A$2:$A$501,Identity!$A175)=1,OR(AND(LEFT(Identity!$A175,3)="AAI",LEN(Identity!$A175)=11,SUMPRODUCT(--ISNUMBER(FIND(MID(Identity!$A175,ROW($4:$11),1),"0123456789")))=8,IFERROR(VALUE(MID(Identity!$A175,6,2)),0)&gt;=1,IFERROR(VALUE(MID(Identity!$A175,6,2)),0)&lt;=12,RIGHT(Identity!$A175,4)&lt;&gt;"0000"),AND(LEFT(Identity!$A175,3)="AA-",LEN(Identity!$A175)=15,SUMPRODUCT(--ISNUMBER(FIND(MID(Identity!$A175,ROW($4:$15),1),"ABCDEFGHIJKLMNOPQRSTUVWXYZ")))=6,SUMPRODUCT(--ISNUMBER(FIND(MID(Identity!$A175,ROW($4:$15),1),"0123456789")))=6))),FALSE))</f>
      </c>
    </row>
    <row r="176">
      <c r="D176">
        <f>IF(Identity!$A176="",TRUE,IFERROR(AND(ISTEXT(Identity!$A176),EXACT(Identity!$A176,UPPER(Identity!$A176)),COUNTIF(Identity!$A$2:$A$501,Identity!$A176)=1,OR(AND(LEFT(Identity!$A176,3)="AAI",LEN(Identity!$A176)=11,SUMPRODUCT(--ISNUMBER(FIND(MID(Identity!$A176,ROW($4:$11),1),"0123456789")))=8,IFERROR(VALUE(MID(Identity!$A176,6,2)),0)&gt;=1,IFERROR(VALUE(MID(Identity!$A176,6,2)),0)&lt;=12,RIGHT(Identity!$A176,4)&lt;&gt;"0000"),AND(LEFT(Identity!$A176,3)="AA-",LEN(Identity!$A176)=15,SUMPRODUCT(--ISNUMBER(FIND(MID(Identity!$A176,ROW($4:$15),1),"ABCDEFGHIJKLMNOPQRSTUVWXYZ")))=6,SUMPRODUCT(--ISNUMBER(FIND(MID(Identity!$A176,ROW($4:$15),1),"0123456789")))=6))),FALSE))</f>
      </c>
    </row>
    <row r="177">
      <c r="D177">
        <f>IF(Identity!$A177="",TRUE,IFERROR(AND(ISTEXT(Identity!$A177),EXACT(Identity!$A177,UPPER(Identity!$A177)),COUNTIF(Identity!$A$2:$A$501,Identity!$A177)=1,OR(AND(LEFT(Identity!$A177,3)="AAI",LEN(Identity!$A177)=11,SUMPRODUCT(--ISNUMBER(FIND(MID(Identity!$A177,ROW($4:$11),1),"0123456789")))=8,IFERROR(VALUE(MID(Identity!$A177,6,2)),0)&gt;=1,IFERROR(VALUE(MID(Identity!$A177,6,2)),0)&lt;=12,RIGHT(Identity!$A177,4)&lt;&gt;"0000"),AND(LEFT(Identity!$A177,3)="AA-",LEN(Identity!$A177)=15,SUMPRODUCT(--ISNUMBER(FIND(MID(Identity!$A177,ROW($4:$15),1),"ABCDEFGHIJKLMNOPQRSTUVWXYZ")))=6,SUMPRODUCT(--ISNUMBER(FIND(MID(Identity!$A177,ROW($4:$15),1),"0123456789")))=6))),FALSE))</f>
      </c>
    </row>
    <row r="178">
      <c r="D178">
        <f>IF(Identity!$A178="",TRUE,IFERROR(AND(ISTEXT(Identity!$A178),EXACT(Identity!$A178,UPPER(Identity!$A178)),COUNTIF(Identity!$A$2:$A$501,Identity!$A178)=1,OR(AND(LEFT(Identity!$A178,3)="AAI",LEN(Identity!$A178)=11,SUMPRODUCT(--ISNUMBER(FIND(MID(Identity!$A178,ROW($4:$11),1),"0123456789")))=8,IFERROR(VALUE(MID(Identity!$A178,6,2)),0)&gt;=1,IFERROR(VALUE(MID(Identity!$A178,6,2)),0)&lt;=12,RIGHT(Identity!$A178,4)&lt;&gt;"0000"),AND(LEFT(Identity!$A178,3)="AA-",LEN(Identity!$A178)=15,SUMPRODUCT(--ISNUMBER(FIND(MID(Identity!$A178,ROW($4:$15),1),"ABCDEFGHIJKLMNOPQRSTUVWXYZ")))=6,SUMPRODUCT(--ISNUMBER(FIND(MID(Identity!$A178,ROW($4:$15),1),"0123456789")))=6))),FALSE))</f>
      </c>
    </row>
    <row r="179">
      <c r="D179">
        <f>IF(Identity!$A179="",TRUE,IFERROR(AND(ISTEXT(Identity!$A179),EXACT(Identity!$A179,UPPER(Identity!$A179)),COUNTIF(Identity!$A$2:$A$501,Identity!$A179)=1,OR(AND(LEFT(Identity!$A179,3)="AAI",LEN(Identity!$A179)=11,SUMPRODUCT(--ISNUMBER(FIND(MID(Identity!$A179,ROW($4:$11),1),"0123456789")))=8,IFERROR(VALUE(MID(Identity!$A179,6,2)),0)&gt;=1,IFERROR(VALUE(MID(Identity!$A179,6,2)),0)&lt;=12,RIGHT(Identity!$A179,4)&lt;&gt;"0000"),AND(LEFT(Identity!$A179,3)="AA-",LEN(Identity!$A179)=15,SUMPRODUCT(--ISNUMBER(FIND(MID(Identity!$A179,ROW($4:$15),1),"ABCDEFGHIJKLMNOPQRSTUVWXYZ")))=6,SUMPRODUCT(--ISNUMBER(FIND(MID(Identity!$A179,ROW($4:$15),1),"0123456789")))=6))),FALSE))</f>
      </c>
    </row>
    <row r="180">
      <c r="D180">
        <f>IF(Identity!$A180="",TRUE,IFERROR(AND(ISTEXT(Identity!$A180),EXACT(Identity!$A180,UPPER(Identity!$A180)),COUNTIF(Identity!$A$2:$A$501,Identity!$A180)=1,OR(AND(LEFT(Identity!$A180,3)="AAI",LEN(Identity!$A180)=11,SUMPRODUCT(--ISNUMBER(FIND(MID(Identity!$A180,ROW($4:$11),1),"0123456789")))=8,IFERROR(VALUE(MID(Identity!$A180,6,2)),0)&gt;=1,IFERROR(VALUE(MID(Identity!$A180,6,2)),0)&lt;=12,RIGHT(Identity!$A180,4)&lt;&gt;"0000"),AND(LEFT(Identity!$A180,3)="AA-",LEN(Identity!$A180)=15,SUMPRODUCT(--ISNUMBER(FIND(MID(Identity!$A180,ROW($4:$15),1),"ABCDEFGHIJKLMNOPQRSTUVWXYZ")))=6,SUMPRODUCT(--ISNUMBER(FIND(MID(Identity!$A180,ROW($4:$15),1),"0123456789")))=6))),FALSE))</f>
      </c>
    </row>
    <row r="181">
      <c r="D181">
        <f>IF(Identity!$A181="",TRUE,IFERROR(AND(ISTEXT(Identity!$A181),EXACT(Identity!$A181,UPPER(Identity!$A181)),COUNTIF(Identity!$A$2:$A$501,Identity!$A181)=1,OR(AND(LEFT(Identity!$A181,3)="AAI",LEN(Identity!$A181)=11,SUMPRODUCT(--ISNUMBER(FIND(MID(Identity!$A181,ROW($4:$11),1),"0123456789")))=8,IFERROR(VALUE(MID(Identity!$A181,6,2)),0)&gt;=1,IFERROR(VALUE(MID(Identity!$A181,6,2)),0)&lt;=12,RIGHT(Identity!$A181,4)&lt;&gt;"0000"),AND(LEFT(Identity!$A181,3)="AA-",LEN(Identity!$A181)=15,SUMPRODUCT(--ISNUMBER(FIND(MID(Identity!$A181,ROW($4:$15),1),"ABCDEFGHIJKLMNOPQRSTUVWXYZ")))=6,SUMPRODUCT(--ISNUMBER(FIND(MID(Identity!$A181,ROW($4:$15),1),"0123456789")))=6))),FALSE))</f>
      </c>
    </row>
    <row r="182">
      <c r="D182">
        <f>IF(Identity!$A182="",TRUE,IFERROR(AND(ISTEXT(Identity!$A182),EXACT(Identity!$A182,UPPER(Identity!$A182)),COUNTIF(Identity!$A$2:$A$501,Identity!$A182)=1,OR(AND(LEFT(Identity!$A182,3)="AAI",LEN(Identity!$A182)=11,SUMPRODUCT(--ISNUMBER(FIND(MID(Identity!$A182,ROW($4:$11),1),"0123456789")))=8,IFERROR(VALUE(MID(Identity!$A182,6,2)),0)&gt;=1,IFERROR(VALUE(MID(Identity!$A182,6,2)),0)&lt;=12,RIGHT(Identity!$A182,4)&lt;&gt;"0000"),AND(LEFT(Identity!$A182,3)="AA-",LEN(Identity!$A182)=15,SUMPRODUCT(--ISNUMBER(FIND(MID(Identity!$A182,ROW($4:$15),1),"ABCDEFGHIJKLMNOPQRSTUVWXYZ")))=6,SUMPRODUCT(--ISNUMBER(FIND(MID(Identity!$A182,ROW($4:$15),1),"0123456789")))=6))),FALSE))</f>
      </c>
    </row>
    <row r="183">
      <c r="D183">
        <f>IF(Identity!$A183="",TRUE,IFERROR(AND(ISTEXT(Identity!$A183),EXACT(Identity!$A183,UPPER(Identity!$A183)),COUNTIF(Identity!$A$2:$A$501,Identity!$A183)=1,OR(AND(LEFT(Identity!$A183,3)="AAI",LEN(Identity!$A183)=11,SUMPRODUCT(--ISNUMBER(FIND(MID(Identity!$A183,ROW($4:$11),1),"0123456789")))=8,IFERROR(VALUE(MID(Identity!$A183,6,2)),0)&gt;=1,IFERROR(VALUE(MID(Identity!$A183,6,2)),0)&lt;=12,RIGHT(Identity!$A183,4)&lt;&gt;"0000"),AND(LEFT(Identity!$A183,3)="AA-",LEN(Identity!$A183)=15,SUMPRODUCT(--ISNUMBER(FIND(MID(Identity!$A183,ROW($4:$15),1),"ABCDEFGHIJKLMNOPQRSTUVWXYZ")))=6,SUMPRODUCT(--ISNUMBER(FIND(MID(Identity!$A183,ROW($4:$15),1),"0123456789")))=6))),FALSE))</f>
      </c>
    </row>
    <row r="184">
      <c r="D184">
        <f>IF(Identity!$A184="",TRUE,IFERROR(AND(ISTEXT(Identity!$A184),EXACT(Identity!$A184,UPPER(Identity!$A184)),COUNTIF(Identity!$A$2:$A$501,Identity!$A184)=1,OR(AND(LEFT(Identity!$A184,3)="AAI",LEN(Identity!$A184)=11,SUMPRODUCT(--ISNUMBER(FIND(MID(Identity!$A184,ROW($4:$11),1),"0123456789")))=8,IFERROR(VALUE(MID(Identity!$A184,6,2)),0)&gt;=1,IFERROR(VALUE(MID(Identity!$A184,6,2)),0)&lt;=12,RIGHT(Identity!$A184,4)&lt;&gt;"0000"),AND(LEFT(Identity!$A184,3)="AA-",LEN(Identity!$A184)=15,SUMPRODUCT(--ISNUMBER(FIND(MID(Identity!$A184,ROW($4:$15),1),"ABCDEFGHIJKLMNOPQRSTUVWXYZ")))=6,SUMPRODUCT(--ISNUMBER(FIND(MID(Identity!$A184,ROW($4:$15),1),"0123456789")))=6))),FALSE))</f>
      </c>
    </row>
    <row r="185">
      <c r="D185">
        <f>IF(Identity!$A185="",TRUE,IFERROR(AND(ISTEXT(Identity!$A185),EXACT(Identity!$A185,UPPER(Identity!$A185)),COUNTIF(Identity!$A$2:$A$501,Identity!$A185)=1,OR(AND(LEFT(Identity!$A185,3)="AAI",LEN(Identity!$A185)=11,SUMPRODUCT(--ISNUMBER(FIND(MID(Identity!$A185,ROW($4:$11),1),"0123456789")))=8,IFERROR(VALUE(MID(Identity!$A185,6,2)),0)&gt;=1,IFERROR(VALUE(MID(Identity!$A185,6,2)),0)&lt;=12,RIGHT(Identity!$A185,4)&lt;&gt;"0000"),AND(LEFT(Identity!$A185,3)="AA-",LEN(Identity!$A185)=15,SUMPRODUCT(--ISNUMBER(FIND(MID(Identity!$A185,ROW($4:$15),1),"ABCDEFGHIJKLMNOPQRSTUVWXYZ")))=6,SUMPRODUCT(--ISNUMBER(FIND(MID(Identity!$A185,ROW($4:$15),1),"0123456789")))=6))),FALSE))</f>
      </c>
    </row>
    <row r="186">
      <c r="D186">
        <f>IF(Identity!$A186="",TRUE,IFERROR(AND(ISTEXT(Identity!$A186),EXACT(Identity!$A186,UPPER(Identity!$A186)),COUNTIF(Identity!$A$2:$A$501,Identity!$A186)=1,OR(AND(LEFT(Identity!$A186,3)="AAI",LEN(Identity!$A186)=11,SUMPRODUCT(--ISNUMBER(FIND(MID(Identity!$A186,ROW($4:$11),1),"0123456789")))=8,IFERROR(VALUE(MID(Identity!$A186,6,2)),0)&gt;=1,IFERROR(VALUE(MID(Identity!$A186,6,2)),0)&lt;=12,RIGHT(Identity!$A186,4)&lt;&gt;"0000"),AND(LEFT(Identity!$A186,3)="AA-",LEN(Identity!$A186)=15,SUMPRODUCT(--ISNUMBER(FIND(MID(Identity!$A186,ROW($4:$15),1),"ABCDEFGHIJKLMNOPQRSTUVWXYZ")))=6,SUMPRODUCT(--ISNUMBER(FIND(MID(Identity!$A186,ROW($4:$15),1),"0123456789")))=6))),FALSE))</f>
      </c>
    </row>
    <row r="187">
      <c r="D187">
        <f>IF(Identity!$A187="",TRUE,IFERROR(AND(ISTEXT(Identity!$A187),EXACT(Identity!$A187,UPPER(Identity!$A187)),COUNTIF(Identity!$A$2:$A$501,Identity!$A187)=1,OR(AND(LEFT(Identity!$A187,3)="AAI",LEN(Identity!$A187)=11,SUMPRODUCT(--ISNUMBER(FIND(MID(Identity!$A187,ROW($4:$11),1),"0123456789")))=8,IFERROR(VALUE(MID(Identity!$A187,6,2)),0)&gt;=1,IFERROR(VALUE(MID(Identity!$A187,6,2)),0)&lt;=12,RIGHT(Identity!$A187,4)&lt;&gt;"0000"),AND(LEFT(Identity!$A187,3)="AA-",LEN(Identity!$A187)=15,SUMPRODUCT(--ISNUMBER(FIND(MID(Identity!$A187,ROW($4:$15),1),"ABCDEFGHIJKLMNOPQRSTUVWXYZ")))=6,SUMPRODUCT(--ISNUMBER(FIND(MID(Identity!$A187,ROW($4:$15),1),"0123456789")))=6))),FALSE))</f>
      </c>
    </row>
    <row r="188">
      <c r="D188">
        <f>IF(Identity!$A188="",TRUE,IFERROR(AND(ISTEXT(Identity!$A188),EXACT(Identity!$A188,UPPER(Identity!$A188)),COUNTIF(Identity!$A$2:$A$501,Identity!$A188)=1,OR(AND(LEFT(Identity!$A188,3)="AAI",LEN(Identity!$A188)=11,SUMPRODUCT(--ISNUMBER(FIND(MID(Identity!$A188,ROW($4:$11),1),"0123456789")))=8,IFERROR(VALUE(MID(Identity!$A188,6,2)),0)&gt;=1,IFERROR(VALUE(MID(Identity!$A188,6,2)),0)&lt;=12,RIGHT(Identity!$A188,4)&lt;&gt;"0000"),AND(LEFT(Identity!$A188,3)="AA-",LEN(Identity!$A188)=15,SUMPRODUCT(--ISNUMBER(FIND(MID(Identity!$A188,ROW($4:$15),1),"ABCDEFGHIJKLMNOPQRSTUVWXYZ")))=6,SUMPRODUCT(--ISNUMBER(FIND(MID(Identity!$A188,ROW($4:$15),1),"0123456789")))=6))),FALSE))</f>
      </c>
    </row>
    <row r="189">
      <c r="D189">
        <f>IF(Identity!$A189="",TRUE,IFERROR(AND(ISTEXT(Identity!$A189),EXACT(Identity!$A189,UPPER(Identity!$A189)),COUNTIF(Identity!$A$2:$A$501,Identity!$A189)=1,OR(AND(LEFT(Identity!$A189,3)="AAI",LEN(Identity!$A189)=11,SUMPRODUCT(--ISNUMBER(FIND(MID(Identity!$A189,ROW($4:$11),1),"0123456789")))=8,IFERROR(VALUE(MID(Identity!$A189,6,2)),0)&gt;=1,IFERROR(VALUE(MID(Identity!$A189,6,2)),0)&lt;=12,RIGHT(Identity!$A189,4)&lt;&gt;"0000"),AND(LEFT(Identity!$A189,3)="AA-",LEN(Identity!$A189)=15,SUMPRODUCT(--ISNUMBER(FIND(MID(Identity!$A189,ROW($4:$15),1),"ABCDEFGHIJKLMNOPQRSTUVWXYZ")))=6,SUMPRODUCT(--ISNUMBER(FIND(MID(Identity!$A189,ROW($4:$15),1),"0123456789")))=6))),FALSE))</f>
      </c>
    </row>
    <row r="190">
      <c r="D190">
        <f>IF(Identity!$A190="",TRUE,IFERROR(AND(ISTEXT(Identity!$A190),EXACT(Identity!$A190,UPPER(Identity!$A190)),COUNTIF(Identity!$A$2:$A$501,Identity!$A190)=1,OR(AND(LEFT(Identity!$A190,3)="AAI",LEN(Identity!$A190)=11,SUMPRODUCT(--ISNUMBER(FIND(MID(Identity!$A190,ROW($4:$11),1),"0123456789")))=8,IFERROR(VALUE(MID(Identity!$A190,6,2)),0)&gt;=1,IFERROR(VALUE(MID(Identity!$A190,6,2)),0)&lt;=12,RIGHT(Identity!$A190,4)&lt;&gt;"0000"),AND(LEFT(Identity!$A190,3)="AA-",LEN(Identity!$A190)=15,SUMPRODUCT(--ISNUMBER(FIND(MID(Identity!$A190,ROW($4:$15),1),"ABCDEFGHIJKLMNOPQRSTUVWXYZ")))=6,SUMPRODUCT(--ISNUMBER(FIND(MID(Identity!$A190,ROW($4:$15),1),"0123456789")))=6))),FALSE))</f>
      </c>
    </row>
    <row r="191">
      <c r="D191">
        <f>IF(Identity!$A191="",TRUE,IFERROR(AND(ISTEXT(Identity!$A191),EXACT(Identity!$A191,UPPER(Identity!$A191)),COUNTIF(Identity!$A$2:$A$501,Identity!$A191)=1,OR(AND(LEFT(Identity!$A191,3)="AAI",LEN(Identity!$A191)=11,SUMPRODUCT(--ISNUMBER(FIND(MID(Identity!$A191,ROW($4:$11),1),"0123456789")))=8,IFERROR(VALUE(MID(Identity!$A191,6,2)),0)&gt;=1,IFERROR(VALUE(MID(Identity!$A191,6,2)),0)&lt;=12,RIGHT(Identity!$A191,4)&lt;&gt;"0000"),AND(LEFT(Identity!$A191,3)="AA-",LEN(Identity!$A191)=15,SUMPRODUCT(--ISNUMBER(FIND(MID(Identity!$A191,ROW($4:$15),1),"ABCDEFGHIJKLMNOPQRSTUVWXYZ")))=6,SUMPRODUCT(--ISNUMBER(FIND(MID(Identity!$A191,ROW($4:$15),1),"0123456789")))=6))),FALSE))</f>
      </c>
    </row>
    <row r="192">
      <c r="D192">
        <f>IF(Identity!$A192="",TRUE,IFERROR(AND(ISTEXT(Identity!$A192),EXACT(Identity!$A192,UPPER(Identity!$A192)),COUNTIF(Identity!$A$2:$A$501,Identity!$A192)=1,OR(AND(LEFT(Identity!$A192,3)="AAI",LEN(Identity!$A192)=11,SUMPRODUCT(--ISNUMBER(FIND(MID(Identity!$A192,ROW($4:$11),1),"0123456789")))=8,IFERROR(VALUE(MID(Identity!$A192,6,2)),0)&gt;=1,IFERROR(VALUE(MID(Identity!$A192,6,2)),0)&lt;=12,RIGHT(Identity!$A192,4)&lt;&gt;"0000"),AND(LEFT(Identity!$A192,3)="AA-",LEN(Identity!$A192)=15,SUMPRODUCT(--ISNUMBER(FIND(MID(Identity!$A192,ROW($4:$15),1),"ABCDEFGHIJKLMNOPQRSTUVWXYZ")))=6,SUMPRODUCT(--ISNUMBER(FIND(MID(Identity!$A192,ROW($4:$15),1),"0123456789")))=6))),FALSE))</f>
      </c>
    </row>
    <row r="193">
      <c r="D193">
        <f>IF(Identity!$A193="",TRUE,IFERROR(AND(ISTEXT(Identity!$A193),EXACT(Identity!$A193,UPPER(Identity!$A193)),COUNTIF(Identity!$A$2:$A$501,Identity!$A193)=1,OR(AND(LEFT(Identity!$A193,3)="AAI",LEN(Identity!$A193)=11,SUMPRODUCT(--ISNUMBER(FIND(MID(Identity!$A193,ROW($4:$11),1),"0123456789")))=8,IFERROR(VALUE(MID(Identity!$A193,6,2)),0)&gt;=1,IFERROR(VALUE(MID(Identity!$A193,6,2)),0)&lt;=12,RIGHT(Identity!$A193,4)&lt;&gt;"0000"),AND(LEFT(Identity!$A193,3)="AA-",LEN(Identity!$A193)=15,SUMPRODUCT(--ISNUMBER(FIND(MID(Identity!$A193,ROW($4:$15),1),"ABCDEFGHIJKLMNOPQRSTUVWXYZ")))=6,SUMPRODUCT(--ISNUMBER(FIND(MID(Identity!$A193,ROW($4:$15),1),"0123456789")))=6))),FALSE))</f>
      </c>
    </row>
    <row r="194">
      <c r="D194">
        <f>IF(Identity!$A194="",TRUE,IFERROR(AND(ISTEXT(Identity!$A194),EXACT(Identity!$A194,UPPER(Identity!$A194)),COUNTIF(Identity!$A$2:$A$501,Identity!$A194)=1,OR(AND(LEFT(Identity!$A194,3)="AAI",LEN(Identity!$A194)=11,SUMPRODUCT(--ISNUMBER(FIND(MID(Identity!$A194,ROW($4:$11),1),"0123456789")))=8,IFERROR(VALUE(MID(Identity!$A194,6,2)),0)&gt;=1,IFERROR(VALUE(MID(Identity!$A194,6,2)),0)&lt;=12,RIGHT(Identity!$A194,4)&lt;&gt;"0000"),AND(LEFT(Identity!$A194,3)="AA-",LEN(Identity!$A194)=15,SUMPRODUCT(--ISNUMBER(FIND(MID(Identity!$A194,ROW($4:$15),1),"ABCDEFGHIJKLMNOPQRSTUVWXYZ")))=6,SUMPRODUCT(--ISNUMBER(FIND(MID(Identity!$A194,ROW($4:$15),1),"0123456789")))=6))),FALSE))</f>
      </c>
    </row>
    <row r="195">
      <c r="D195">
        <f>IF(Identity!$A195="",TRUE,IFERROR(AND(ISTEXT(Identity!$A195),EXACT(Identity!$A195,UPPER(Identity!$A195)),COUNTIF(Identity!$A$2:$A$501,Identity!$A195)=1,OR(AND(LEFT(Identity!$A195,3)="AAI",LEN(Identity!$A195)=11,SUMPRODUCT(--ISNUMBER(FIND(MID(Identity!$A195,ROW($4:$11),1),"0123456789")))=8,IFERROR(VALUE(MID(Identity!$A195,6,2)),0)&gt;=1,IFERROR(VALUE(MID(Identity!$A195,6,2)),0)&lt;=12,RIGHT(Identity!$A195,4)&lt;&gt;"0000"),AND(LEFT(Identity!$A195,3)="AA-",LEN(Identity!$A195)=15,SUMPRODUCT(--ISNUMBER(FIND(MID(Identity!$A195,ROW($4:$15),1),"ABCDEFGHIJKLMNOPQRSTUVWXYZ")))=6,SUMPRODUCT(--ISNUMBER(FIND(MID(Identity!$A195,ROW($4:$15),1),"0123456789")))=6))),FALSE))</f>
      </c>
    </row>
    <row r="196">
      <c r="D196">
        <f>IF(Identity!$A196="",TRUE,IFERROR(AND(ISTEXT(Identity!$A196),EXACT(Identity!$A196,UPPER(Identity!$A196)),COUNTIF(Identity!$A$2:$A$501,Identity!$A196)=1,OR(AND(LEFT(Identity!$A196,3)="AAI",LEN(Identity!$A196)=11,SUMPRODUCT(--ISNUMBER(FIND(MID(Identity!$A196,ROW($4:$11),1),"0123456789")))=8,IFERROR(VALUE(MID(Identity!$A196,6,2)),0)&gt;=1,IFERROR(VALUE(MID(Identity!$A196,6,2)),0)&lt;=12,RIGHT(Identity!$A196,4)&lt;&gt;"0000"),AND(LEFT(Identity!$A196,3)="AA-",LEN(Identity!$A196)=15,SUMPRODUCT(--ISNUMBER(FIND(MID(Identity!$A196,ROW($4:$15),1),"ABCDEFGHIJKLMNOPQRSTUVWXYZ")))=6,SUMPRODUCT(--ISNUMBER(FIND(MID(Identity!$A196,ROW($4:$15),1),"0123456789")))=6))),FALSE))</f>
      </c>
    </row>
    <row r="197">
      <c r="D197">
        <f>IF(Identity!$A197="",TRUE,IFERROR(AND(ISTEXT(Identity!$A197),EXACT(Identity!$A197,UPPER(Identity!$A197)),COUNTIF(Identity!$A$2:$A$501,Identity!$A197)=1,OR(AND(LEFT(Identity!$A197,3)="AAI",LEN(Identity!$A197)=11,SUMPRODUCT(--ISNUMBER(FIND(MID(Identity!$A197,ROW($4:$11),1),"0123456789")))=8,IFERROR(VALUE(MID(Identity!$A197,6,2)),0)&gt;=1,IFERROR(VALUE(MID(Identity!$A197,6,2)),0)&lt;=12,RIGHT(Identity!$A197,4)&lt;&gt;"0000"),AND(LEFT(Identity!$A197,3)="AA-",LEN(Identity!$A197)=15,SUMPRODUCT(--ISNUMBER(FIND(MID(Identity!$A197,ROW($4:$15),1),"ABCDEFGHIJKLMNOPQRSTUVWXYZ")))=6,SUMPRODUCT(--ISNUMBER(FIND(MID(Identity!$A197,ROW($4:$15),1),"0123456789")))=6))),FALSE))</f>
      </c>
    </row>
    <row r="198">
      <c r="D198">
        <f>IF(Identity!$A198="",TRUE,IFERROR(AND(ISTEXT(Identity!$A198),EXACT(Identity!$A198,UPPER(Identity!$A198)),COUNTIF(Identity!$A$2:$A$501,Identity!$A198)=1,OR(AND(LEFT(Identity!$A198,3)="AAI",LEN(Identity!$A198)=11,SUMPRODUCT(--ISNUMBER(FIND(MID(Identity!$A198,ROW($4:$11),1),"0123456789")))=8,IFERROR(VALUE(MID(Identity!$A198,6,2)),0)&gt;=1,IFERROR(VALUE(MID(Identity!$A198,6,2)),0)&lt;=12,RIGHT(Identity!$A198,4)&lt;&gt;"0000"),AND(LEFT(Identity!$A198,3)="AA-",LEN(Identity!$A198)=15,SUMPRODUCT(--ISNUMBER(FIND(MID(Identity!$A198,ROW($4:$15),1),"ABCDEFGHIJKLMNOPQRSTUVWXYZ")))=6,SUMPRODUCT(--ISNUMBER(FIND(MID(Identity!$A198,ROW($4:$15),1),"0123456789")))=6))),FALSE))</f>
      </c>
    </row>
    <row r="199">
      <c r="D199">
        <f>IF(Identity!$A199="",TRUE,IFERROR(AND(ISTEXT(Identity!$A199),EXACT(Identity!$A199,UPPER(Identity!$A199)),COUNTIF(Identity!$A$2:$A$501,Identity!$A199)=1,OR(AND(LEFT(Identity!$A199,3)="AAI",LEN(Identity!$A199)=11,SUMPRODUCT(--ISNUMBER(FIND(MID(Identity!$A199,ROW($4:$11),1),"0123456789")))=8,IFERROR(VALUE(MID(Identity!$A199,6,2)),0)&gt;=1,IFERROR(VALUE(MID(Identity!$A199,6,2)),0)&lt;=12,RIGHT(Identity!$A199,4)&lt;&gt;"0000"),AND(LEFT(Identity!$A199,3)="AA-",LEN(Identity!$A199)=15,SUMPRODUCT(--ISNUMBER(FIND(MID(Identity!$A199,ROW($4:$15),1),"ABCDEFGHIJKLMNOPQRSTUVWXYZ")))=6,SUMPRODUCT(--ISNUMBER(FIND(MID(Identity!$A199,ROW($4:$15),1),"0123456789")))=6))),FALSE))</f>
      </c>
    </row>
    <row r="200">
      <c r="D200">
        <f>IF(Identity!$A200="",TRUE,IFERROR(AND(ISTEXT(Identity!$A200),EXACT(Identity!$A200,UPPER(Identity!$A200)),COUNTIF(Identity!$A$2:$A$501,Identity!$A200)=1,OR(AND(LEFT(Identity!$A200,3)="AAI",LEN(Identity!$A200)=11,SUMPRODUCT(--ISNUMBER(FIND(MID(Identity!$A200,ROW($4:$11),1),"0123456789")))=8,IFERROR(VALUE(MID(Identity!$A200,6,2)),0)&gt;=1,IFERROR(VALUE(MID(Identity!$A200,6,2)),0)&lt;=12,RIGHT(Identity!$A200,4)&lt;&gt;"0000"),AND(LEFT(Identity!$A200,3)="AA-",LEN(Identity!$A200)=15,SUMPRODUCT(--ISNUMBER(FIND(MID(Identity!$A200,ROW($4:$15),1),"ABCDEFGHIJKLMNOPQRSTUVWXYZ")))=6,SUMPRODUCT(--ISNUMBER(FIND(MID(Identity!$A200,ROW($4:$15),1),"0123456789")))=6))),FALSE))</f>
      </c>
    </row>
    <row r="201">
      <c r="D201">
        <f>IF(Identity!$A201="",TRUE,IFERROR(AND(ISTEXT(Identity!$A201),EXACT(Identity!$A201,UPPER(Identity!$A201)),COUNTIF(Identity!$A$2:$A$501,Identity!$A201)=1,OR(AND(LEFT(Identity!$A201,3)="AAI",LEN(Identity!$A201)=11,SUMPRODUCT(--ISNUMBER(FIND(MID(Identity!$A201,ROW($4:$11),1),"0123456789")))=8,IFERROR(VALUE(MID(Identity!$A201,6,2)),0)&gt;=1,IFERROR(VALUE(MID(Identity!$A201,6,2)),0)&lt;=12,RIGHT(Identity!$A201,4)&lt;&gt;"0000"),AND(LEFT(Identity!$A201,3)="AA-",LEN(Identity!$A201)=15,SUMPRODUCT(--ISNUMBER(FIND(MID(Identity!$A201,ROW($4:$15),1),"ABCDEFGHIJKLMNOPQRSTUVWXYZ")))=6,SUMPRODUCT(--ISNUMBER(FIND(MID(Identity!$A201,ROW($4:$15),1),"0123456789")))=6))),FALSE))</f>
      </c>
    </row>
    <row r="202">
      <c r="D202">
        <f>IF(Identity!$A202="",TRUE,IFERROR(AND(ISTEXT(Identity!$A202),EXACT(Identity!$A202,UPPER(Identity!$A202)),COUNTIF(Identity!$A$2:$A$501,Identity!$A202)=1,OR(AND(LEFT(Identity!$A202,3)="AAI",LEN(Identity!$A202)=11,SUMPRODUCT(--ISNUMBER(FIND(MID(Identity!$A202,ROW($4:$11),1),"0123456789")))=8,IFERROR(VALUE(MID(Identity!$A202,6,2)),0)&gt;=1,IFERROR(VALUE(MID(Identity!$A202,6,2)),0)&lt;=12,RIGHT(Identity!$A202,4)&lt;&gt;"0000"),AND(LEFT(Identity!$A202,3)="AA-",LEN(Identity!$A202)=15,SUMPRODUCT(--ISNUMBER(FIND(MID(Identity!$A202,ROW($4:$15),1),"ABCDEFGHIJKLMNOPQRSTUVWXYZ")))=6,SUMPRODUCT(--ISNUMBER(FIND(MID(Identity!$A202,ROW($4:$15),1),"0123456789")))=6))),FALSE))</f>
      </c>
    </row>
    <row r="203">
      <c r="D203">
        <f>IF(Identity!$A203="",TRUE,IFERROR(AND(ISTEXT(Identity!$A203),EXACT(Identity!$A203,UPPER(Identity!$A203)),COUNTIF(Identity!$A$2:$A$501,Identity!$A203)=1,OR(AND(LEFT(Identity!$A203,3)="AAI",LEN(Identity!$A203)=11,SUMPRODUCT(--ISNUMBER(FIND(MID(Identity!$A203,ROW($4:$11),1),"0123456789")))=8,IFERROR(VALUE(MID(Identity!$A203,6,2)),0)&gt;=1,IFERROR(VALUE(MID(Identity!$A203,6,2)),0)&lt;=12,RIGHT(Identity!$A203,4)&lt;&gt;"0000"),AND(LEFT(Identity!$A203,3)="AA-",LEN(Identity!$A203)=15,SUMPRODUCT(--ISNUMBER(FIND(MID(Identity!$A203,ROW($4:$15),1),"ABCDEFGHIJKLMNOPQRSTUVWXYZ")))=6,SUMPRODUCT(--ISNUMBER(FIND(MID(Identity!$A203,ROW($4:$15),1),"0123456789")))=6))),FALSE))</f>
      </c>
    </row>
    <row r="204">
      <c r="D204">
        <f>IF(Identity!$A204="",TRUE,IFERROR(AND(ISTEXT(Identity!$A204),EXACT(Identity!$A204,UPPER(Identity!$A204)),COUNTIF(Identity!$A$2:$A$501,Identity!$A204)=1,OR(AND(LEFT(Identity!$A204,3)="AAI",LEN(Identity!$A204)=11,SUMPRODUCT(--ISNUMBER(FIND(MID(Identity!$A204,ROW($4:$11),1),"0123456789")))=8,IFERROR(VALUE(MID(Identity!$A204,6,2)),0)&gt;=1,IFERROR(VALUE(MID(Identity!$A204,6,2)),0)&lt;=12,RIGHT(Identity!$A204,4)&lt;&gt;"0000"),AND(LEFT(Identity!$A204,3)="AA-",LEN(Identity!$A204)=15,SUMPRODUCT(--ISNUMBER(FIND(MID(Identity!$A204,ROW($4:$15),1),"ABCDEFGHIJKLMNOPQRSTUVWXYZ")))=6,SUMPRODUCT(--ISNUMBER(FIND(MID(Identity!$A204,ROW($4:$15),1),"0123456789")))=6))),FALSE))</f>
      </c>
    </row>
    <row r="205">
      <c r="D205">
        <f>IF(Identity!$A205="",TRUE,IFERROR(AND(ISTEXT(Identity!$A205),EXACT(Identity!$A205,UPPER(Identity!$A205)),COUNTIF(Identity!$A$2:$A$501,Identity!$A205)=1,OR(AND(LEFT(Identity!$A205,3)="AAI",LEN(Identity!$A205)=11,SUMPRODUCT(--ISNUMBER(FIND(MID(Identity!$A205,ROW($4:$11),1),"0123456789")))=8,IFERROR(VALUE(MID(Identity!$A205,6,2)),0)&gt;=1,IFERROR(VALUE(MID(Identity!$A205,6,2)),0)&lt;=12,RIGHT(Identity!$A205,4)&lt;&gt;"0000"),AND(LEFT(Identity!$A205,3)="AA-",LEN(Identity!$A205)=15,SUMPRODUCT(--ISNUMBER(FIND(MID(Identity!$A205,ROW($4:$15),1),"ABCDEFGHIJKLMNOPQRSTUVWXYZ")))=6,SUMPRODUCT(--ISNUMBER(FIND(MID(Identity!$A205,ROW($4:$15),1),"0123456789")))=6))),FALSE))</f>
      </c>
    </row>
    <row r="206">
      <c r="D206">
        <f>IF(Identity!$A206="",TRUE,IFERROR(AND(ISTEXT(Identity!$A206),EXACT(Identity!$A206,UPPER(Identity!$A206)),COUNTIF(Identity!$A$2:$A$501,Identity!$A206)=1,OR(AND(LEFT(Identity!$A206,3)="AAI",LEN(Identity!$A206)=11,SUMPRODUCT(--ISNUMBER(FIND(MID(Identity!$A206,ROW($4:$11),1),"0123456789")))=8,IFERROR(VALUE(MID(Identity!$A206,6,2)),0)&gt;=1,IFERROR(VALUE(MID(Identity!$A206,6,2)),0)&lt;=12,RIGHT(Identity!$A206,4)&lt;&gt;"0000"),AND(LEFT(Identity!$A206,3)="AA-",LEN(Identity!$A206)=15,SUMPRODUCT(--ISNUMBER(FIND(MID(Identity!$A206,ROW($4:$15),1),"ABCDEFGHIJKLMNOPQRSTUVWXYZ")))=6,SUMPRODUCT(--ISNUMBER(FIND(MID(Identity!$A206,ROW($4:$15),1),"0123456789")))=6))),FALSE))</f>
      </c>
    </row>
    <row r="207">
      <c r="D207">
        <f>IF(Identity!$A207="",TRUE,IFERROR(AND(ISTEXT(Identity!$A207),EXACT(Identity!$A207,UPPER(Identity!$A207)),COUNTIF(Identity!$A$2:$A$501,Identity!$A207)=1,OR(AND(LEFT(Identity!$A207,3)="AAI",LEN(Identity!$A207)=11,SUMPRODUCT(--ISNUMBER(FIND(MID(Identity!$A207,ROW($4:$11),1),"0123456789")))=8,IFERROR(VALUE(MID(Identity!$A207,6,2)),0)&gt;=1,IFERROR(VALUE(MID(Identity!$A207,6,2)),0)&lt;=12,RIGHT(Identity!$A207,4)&lt;&gt;"0000"),AND(LEFT(Identity!$A207,3)="AA-",LEN(Identity!$A207)=15,SUMPRODUCT(--ISNUMBER(FIND(MID(Identity!$A207,ROW($4:$15),1),"ABCDEFGHIJKLMNOPQRSTUVWXYZ")))=6,SUMPRODUCT(--ISNUMBER(FIND(MID(Identity!$A207,ROW($4:$15),1),"0123456789")))=6))),FALSE))</f>
      </c>
    </row>
    <row r="208">
      <c r="D208">
        <f>IF(Identity!$A208="",TRUE,IFERROR(AND(ISTEXT(Identity!$A208),EXACT(Identity!$A208,UPPER(Identity!$A208)),COUNTIF(Identity!$A$2:$A$501,Identity!$A208)=1,OR(AND(LEFT(Identity!$A208,3)="AAI",LEN(Identity!$A208)=11,SUMPRODUCT(--ISNUMBER(FIND(MID(Identity!$A208,ROW($4:$11),1),"0123456789")))=8,IFERROR(VALUE(MID(Identity!$A208,6,2)),0)&gt;=1,IFERROR(VALUE(MID(Identity!$A208,6,2)),0)&lt;=12,RIGHT(Identity!$A208,4)&lt;&gt;"0000"),AND(LEFT(Identity!$A208,3)="AA-",LEN(Identity!$A208)=15,SUMPRODUCT(--ISNUMBER(FIND(MID(Identity!$A208,ROW($4:$15),1),"ABCDEFGHIJKLMNOPQRSTUVWXYZ")))=6,SUMPRODUCT(--ISNUMBER(FIND(MID(Identity!$A208,ROW($4:$15),1),"0123456789")))=6))),FALSE))</f>
      </c>
    </row>
    <row r="209">
      <c r="D209">
        <f>IF(Identity!$A209="",TRUE,IFERROR(AND(ISTEXT(Identity!$A209),EXACT(Identity!$A209,UPPER(Identity!$A209)),COUNTIF(Identity!$A$2:$A$501,Identity!$A209)=1,OR(AND(LEFT(Identity!$A209,3)="AAI",LEN(Identity!$A209)=11,SUMPRODUCT(--ISNUMBER(FIND(MID(Identity!$A209,ROW($4:$11),1),"0123456789")))=8,IFERROR(VALUE(MID(Identity!$A209,6,2)),0)&gt;=1,IFERROR(VALUE(MID(Identity!$A209,6,2)),0)&lt;=12,RIGHT(Identity!$A209,4)&lt;&gt;"0000"),AND(LEFT(Identity!$A209,3)="AA-",LEN(Identity!$A209)=15,SUMPRODUCT(--ISNUMBER(FIND(MID(Identity!$A209,ROW($4:$15),1),"ABCDEFGHIJKLMNOPQRSTUVWXYZ")))=6,SUMPRODUCT(--ISNUMBER(FIND(MID(Identity!$A209,ROW($4:$15),1),"0123456789")))=6))),FALSE))</f>
      </c>
    </row>
    <row r="210">
      <c r="D210">
        <f>IF(Identity!$A210="",TRUE,IFERROR(AND(ISTEXT(Identity!$A210),EXACT(Identity!$A210,UPPER(Identity!$A210)),COUNTIF(Identity!$A$2:$A$501,Identity!$A210)=1,OR(AND(LEFT(Identity!$A210,3)="AAI",LEN(Identity!$A210)=11,SUMPRODUCT(--ISNUMBER(FIND(MID(Identity!$A210,ROW($4:$11),1),"0123456789")))=8,IFERROR(VALUE(MID(Identity!$A210,6,2)),0)&gt;=1,IFERROR(VALUE(MID(Identity!$A210,6,2)),0)&lt;=12,RIGHT(Identity!$A210,4)&lt;&gt;"0000"),AND(LEFT(Identity!$A210,3)="AA-",LEN(Identity!$A210)=15,SUMPRODUCT(--ISNUMBER(FIND(MID(Identity!$A210,ROW($4:$15),1),"ABCDEFGHIJKLMNOPQRSTUVWXYZ")))=6,SUMPRODUCT(--ISNUMBER(FIND(MID(Identity!$A210,ROW($4:$15),1),"0123456789")))=6))),FALSE))</f>
      </c>
    </row>
    <row r="211">
      <c r="D211">
        <f>IF(Identity!$A211="",TRUE,IFERROR(AND(ISTEXT(Identity!$A211),EXACT(Identity!$A211,UPPER(Identity!$A211)),COUNTIF(Identity!$A$2:$A$501,Identity!$A211)=1,OR(AND(LEFT(Identity!$A211,3)="AAI",LEN(Identity!$A211)=11,SUMPRODUCT(--ISNUMBER(FIND(MID(Identity!$A211,ROW($4:$11),1),"0123456789")))=8,IFERROR(VALUE(MID(Identity!$A211,6,2)),0)&gt;=1,IFERROR(VALUE(MID(Identity!$A211,6,2)),0)&lt;=12,RIGHT(Identity!$A211,4)&lt;&gt;"0000"),AND(LEFT(Identity!$A211,3)="AA-",LEN(Identity!$A211)=15,SUMPRODUCT(--ISNUMBER(FIND(MID(Identity!$A211,ROW($4:$15),1),"ABCDEFGHIJKLMNOPQRSTUVWXYZ")))=6,SUMPRODUCT(--ISNUMBER(FIND(MID(Identity!$A211,ROW($4:$15),1),"0123456789")))=6))),FALSE))</f>
      </c>
    </row>
    <row r="212">
      <c r="D212">
        <f>IF(Identity!$A212="",TRUE,IFERROR(AND(ISTEXT(Identity!$A212),EXACT(Identity!$A212,UPPER(Identity!$A212)),COUNTIF(Identity!$A$2:$A$501,Identity!$A212)=1,OR(AND(LEFT(Identity!$A212,3)="AAI",LEN(Identity!$A212)=11,SUMPRODUCT(--ISNUMBER(FIND(MID(Identity!$A212,ROW($4:$11),1),"0123456789")))=8,IFERROR(VALUE(MID(Identity!$A212,6,2)),0)&gt;=1,IFERROR(VALUE(MID(Identity!$A212,6,2)),0)&lt;=12,RIGHT(Identity!$A212,4)&lt;&gt;"0000"),AND(LEFT(Identity!$A212,3)="AA-",LEN(Identity!$A212)=15,SUMPRODUCT(--ISNUMBER(FIND(MID(Identity!$A212,ROW($4:$15),1),"ABCDEFGHIJKLMNOPQRSTUVWXYZ")))=6,SUMPRODUCT(--ISNUMBER(FIND(MID(Identity!$A212,ROW($4:$15),1),"0123456789")))=6))),FALSE))</f>
      </c>
    </row>
    <row r="213">
      <c r="D213">
        <f>IF(Identity!$A213="",TRUE,IFERROR(AND(ISTEXT(Identity!$A213),EXACT(Identity!$A213,UPPER(Identity!$A213)),COUNTIF(Identity!$A$2:$A$501,Identity!$A213)=1,OR(AND(LEFT(Identity!$A213,3)="AAI",LEN(Identity!$A213)=11,SUMPRODUCT(--ISNUMBER(FIND(MID(Identity!$A213,ROW($4:$11),1),"0123456789")))=8,IFERROR(VALUE(MID(Identity!$A213,6,2)),0)&gt;=1,IFERROR(VALUE(MID(Identity!$A213,6,2)),0)&lt;=12,RIGHT(Identity!$A213,4)&lt;&gt;"0000"),AND(LEFT(Identity!$A213,3)="AA-",LEN(Identity!$A213)=15,SUMPRODUCT(--ISNUMBER(FIND(MID(Identity!$A213,ROW($4:$15),1),"ABCDEFGHIJKLMNOPQRSTUVWXYZ")))=6,SUMPRODUCT(--ISNUMBER(FIND(MID(Identity!$A213,ROW($4:$15),1),"0123456789")))=6))),FALSE))</f>
      </c>
    </row>
    <row r="214">
      <c r="D214">
        <f>IF(Identity!$A214="",TRUE,IFERROR(AND(ISTEXT(Identity!$A214),EXACT(Identity!$A214,UPPER(Identity!$A214)),COUNTIF(Identity!$A$2:$A$501,Identity!$A214)=1,OR(AND(LEFT(Identity!$A214,3)="AAI",LEN(Identity!$A214)=11,SUMPRODUCT(--ISNUMBER(FIND(MID(Identity!$A214,ROW($4:$11),1),"0123456789")))=8,IFERROR(VALUE(MID(Identity!$A214,6,2)),0)&gt;=1,IFERROR(VALUE(MID(Identity!$A214,6,2)),0)&lt;=12,RIGHT(Identity!$A214,4)&lt;&gt;"0000"),AND(LEFT(Identity!$A214,3)="AA-",LEN(Identity!$A214)=15,SUMPRODUCT(--ISNUMBER(FIND(MID(Identity!$A214,ROW($4:$15),1),"ABCDEFGHIJKLMNOPQRSTUVWXYZ")))=6,SUMPRODUCT(--ISNUMBER(FIND(MID(Identity!$A214,ROW($4:$15),1),"0123456789")))=6))),FALSE))</f>
      </c>
    </row>
    <row r="215">
      <c r="D215">
        <f>IF(Identity!$A215="",TRUE,IFERROR(AND(ISTEXT(Identity!$A215),EXACT(Identity!$A215,UPPER(Identity!$A215)),COUNTIF(Identity!$A$2:$A$501,Identity!$A215)=1,OR(AND(LEFT(Identity!$A215,3)="AAI",LEN(Identity!$A215)=11,SUMPRODUCT(--ISNUMBER(FIND(MID(Identity!$A215,ROW($4:$11),1),"0123456789")))=8,IFERROR(VALUE(MID(Identity!$A215,6,2)),0)&gt;=1,IFERROR(VALUE(MID(Identity!$A215,6,2)),0)&lt;=12,RIGHT(Identity!$A215,4)&lt;&gt;"0000"),AND(LEFT(Identity!$A215,3)="AA-",LEN(Identity!$A215)=15,SUMPRODUCT(--ISNUMBER(FIND(MID(Identity!$A215,ROW($4:$15),1),"ABCDEFGHIJKLMNOPQRSTUVWXYZ")))=6,SUMPRODUCT(--ISNUMBER(FIND(MID(Identity!$A215,ROW($4:$15),1),"0123456789")))=6))),FALSE))</f>
      </c>
    </row>
    <row r="216">
      <c r="D216">
        <f>IF(Identity!$A216="",TRUE,IFERROR(AND(ISTEXT(Identity!$A216),EXACT(Identity!$A216,UPPER(Identity!$A216)),COUNTIF(Identity!$A$2:$A$501,Identity!$A216)=1,OR(AND(LEFT(Identity!$A216,3)="AAI",LEN(Identity!$A216)=11,SUMPRODUCT(--ISNUMBER(FIND(MID(Identity!$A216,ROW($4:$11),1),"0123456789")))=8,IFERROR(VALUE(MID(Identity!$A216,6,2)),0)&gt;=1,IFERROR(VALUE(MID(Identity!$A216,6,2)),0)&lt;=12,RIGHT(Identity!$A216,4)&lt;&gt;"0000"),AND(LEFT(Identity!$A216,3)="AA-",LEN(Identity!$A216)=15,SUMPRODUCT(--ISNUMBER(FIND(MID(Identity!$A216,ROW($4:$15),1),"ABCDEFGHIJKLMNOPQRSTUVWXYZ")))=6,SUMPRODUCT(--ISNUMBER(FIND(MID(Identity!$A216,ROW($4:$15),1),"0123456789")))=6))),FALSE))</f>
      </c>
    </row>
    <row r="217">
      <c r="D217">
        <f>IF(Identity!$A217="",TRUE,IFERROR(AND(ISTEXT(Identity!$A217),EXACT(Identity!$A217,UPPER(Identity!$A217)),COUNTIF(Identity!$A$2:$A$501,Identity!$A217)=1,OR(AND(LEFT(Identity!$A217,3)="AAI",LEN(Identity!$A217)=11,SUMPRODUCT(--ISNUMBER(FIND(MID(Identity!$A217,ROW($4:$11),1),"0123456789")))=8,IFERROR(VALUE(MID(Identity!$A217,6,2)),0)&gt;=1,IFERROR(VALUE(MID(Identity!$A217,6,2)),0)&lt;=12,RIGHT(Identity!$A217,4)&lt;&gt;"0000"),AND(LEFT(Identity!$A217,3)="AA-",LEN(Identity!$A217)=15,SUMPRODUCT(--ISNUMBER(FIND(MID(Identity!$A217,ROW($4:$15),1),"ABCDEFGHIJKLMNOPQRSTUVWXYZ")))=6,SUMPRODUCT(--ISNUMBER(FIND(MID(Identity!$A217,ROW($4:$15),1),"0123456789")))=6))),FALSE))</f>
      </c>
    </row>
    <row r="218">
      <c r="D218">
        <f>IF(Identity!$A218="",TRUE,IFERROR(AND(ISTEXT(Identity!$A218),EXACT(Identity!$A218,UPPER(Identity!$A218)),COUNTIF(Identity!$A$2:$A$501,Identity!$A218)=1,OR(AND(LEFT(Identity!$A218,3)="AAI",LEN(Identity!$A218)=11,SUMPRODUCT(--ISNUMBER(FIND(MID(Identity!$A218,ROW($4:$11),1),"0123456789")))=8,IFERROR(VALUE(MID(Identity!$A218,6,2)),0)&gt;=1,IFERROR(VALUE(MID(Identity!$A218,6,2)),0)&lt;=12,RIGHT(Identity!$A218,4)&lt;&gt;"0000"),AND(LEFT(Identity!$A218,3)="AA-",LEN(Identity!$A218)=15,SUMPRODUCT(--ISNUMBER(FIND(MID(Identity!$A218,ROW($4:$15),1),"ABCDEFGHIJKLMNOPQRSTUVWXYZ")))=6,SUMPRODUCT(--ISNUMBER(FIND(MID(Identity!$A218,ROW($4:$15),1),"0123456789")))=6))),FALSE))</f>
      </c>
    </row>
    <row r="219">
      <c r="D219">
        <f>IF(Identity!$A219="",TRUE,IFERROR(AND(ISTEXT(Identity!$A219),EXACT(Identity!$A219,UPPER(Identity!$A219)),COUNTIF(Identity!$A$2:$A$501,Identity!$A219)=1,OR(AND(LEFT(Identity!$A219,3)="AAI",LEN(Identity!$A219)=11,SUMPRODUCT(--ISNUMBER(FIND(MID(Identity!$A219,ROW($4:$11),1),"0123456789")))=8,IFERROR(VALUE(MID(Identity!$A219,6,2)),0)&gt;=1,IFERROR(VALUE(MID(Identity!$A219,6,2)),0)&lt;=12,RIGHT(Identity!$A219,4)&lt;&gt;"0000"),AND(LEFT(Identity!$A219,3)="AA-",LEN(Identity!$A219)=15,SUMPRODUCT(--ISNUMBER(FIND(MID(Identity!$A219,ROW($4:$15),1),"ABCDEFGHIJKLMNOPQRSTUVWXYZ")))=6,SUMPRODUCT(--ISNUMBER(FIND(MID(Identity!$A219,ROW($4:$15),1),"0123456789")))=6))),FALSE))</f>
      </c>
    </row>
    <row r="220">
      <c r="D220">
        <f>IF(Identity!$A220="",TRUE,IFERROR(AND(ISTEXT(Identity!$A220),EXACT(Identity!$A220,UPPER(Identity!$A220)),COUNTIF(Identity!$A$2:$A$501,Identity!$A220)=1,OR(AND(LEFT(Identity!$A220,3)="AAI",LEN(Identity!$A220)=11,SUMPRODUCT(--ISNUMBER(FIND(MID(Identity!$A220,ROW($4:$11),1),"0123456789")))=8,IFERROR(VALUE(MID(Identity!$A220,6,2)),0)&gt;=1,IFERROR(VALUE(MID(Identity!$A220,6,2)),0)&lt;=12,RIGHT(Identity!$A220,4)&lt;&gt;"0000"),AND(LEFT(Identity!$A220,3)="AA-",LEN(Identity!$A220)=15,SUMPRODUCT(--ISNUMBER(FIND(MID(Identity!$A220,ROW($4:$15),1),"ABCDEFGHIJKLMNOPQRSTUVWXYZ")))=6,SUMPRODUCT(--ISNUMBER(FIND(MID(Identity!$A220,ROW($4:$15),1),"0123456789")))=6))),FALSE))</f>
      </c>
    </row>
    <row r="221">
      <c r="D221">
        <f>IF(Identity!$A221="",TRUE,IFERROR(AND(ISTEXT(Identity!$A221),EXACT(Identity!$A221,UPPER(Identity!$A221)),COUNTIF(Identity!$A$2:$A$501,Identity!$A221)=1,OR(AND(LEFT(Identity!$A221,3)="AAI",LEN(Identity!$A221)=11,SUMPRODUCT(--ISNUMBER(FIND(MID(Identity!$A221,ROW($4:$11),1),"0123456789")))=8,IFERROR(VALUE(MID(Identity!$A221,6,2)),0)&gt;=1,IFERROR(VALUE(MID(Identity!$A221,6,2)),0)&lt;=12,RIGHT(Identity!$A221,4)&lt;&gt;"0000"),AND(LEFT(Identity!$A221,3)="AA-",LEN(Identity!$A221)=15,SUMPRODUCT(--ISNUMBER(FIND(MID(Identity!$A221,ROW($4:$15),1),"ABCDEFGHIJKLMNOPQRSTUVWXYZ")))=6,SUMPRODUCT(--ISNUMBER(FIND(MID(Identity!$A221,ROW($4:$15),1),"0123456789")))=6))),FALSE))</f>
      </c>
    </row>
    <row r="222">
      <c r="D222">
        <f>IF(Identity!$A222="",TRUE,IFERROR(AND(ISTEXT(Identity!$A222),EXACT(Identity!$A222,UPPER(Identity!$A222)),COUNTIF(Identity!$A$2:$A$501,Identity!$A222)=1,OR(AND(LEFT(Identity!$A222,3)="AAI",LEN(Identity!$A222)=11,SUMPRODUCT(--ISNUMBER(FIND(MID(Identity!$A222,ROW($4:$11),1),"0123456789")))=8,IFERROR(VALUE(MID(Identity!$A222,6,2)),0)&gt;=1,IFERROR(VALUE(MID(Identity!$A222,6,2)),0)&lt;=12,RIGHT(Identity!$A222,4)&lt;&gt;"0000"),AND(LEFT(Identity!$A222,3)="AA-",LEN(Identity!$A222)=15,SUMPRODUCT(--ISNUMBER(FIND(MID(Identity!$A222,ROW($4:$15),1),"ABCDEFGHIJKLMNOPQRSTUVWXYZ")))=6,SUMPRODUCT(--ISNUMBER(FIND(MID(Identity!$A222,ROW($4:$15),1),"0123456789")))=6))),FALSE))</f>
      </c>
    </row>
    <row r="223">
      <c r="D223">
        <f>IF(Identity!$A223="",TRUE,IFERROR(AND(ISTEXT(Identity!$A223),EXACT(Identity!$A223,UPPER(Identity!$A223)),COUNTIF(Identity!$A$2:$A$501,Identity!$A223)=1,OR(AND(LEFT(Identity!$A223,3)="AAI",LEN(Identity!$A223)=11,SUMPRODUCT(--ISNUMBER(FIND(MID(Identity!$A223,ROW($4:$11),1),"0123456789")))=8,IFERROR(VALUE(MID(Identity!$A223,6,2)),0)&gt;=1,IFERROR(VALUE(MID(Identity!$A223,6,2)),0)&lt;=12,RIGHT(Identity!$A223,4)&lt;&gt;"0000"),AND(LEFT(Identity!$A223,3)="AA-",LEN(Identity!$A223)=15,SUMPRODUCT(--ISNUMBER(FIND(MID(Identity!$A223,ROW($4:$15),1),"ABCDEFGHIJKLMNOPQRSTUVWXYZ")))=6,SUMPRODUCT(--ISNUMBER(FIND(MID(Identity!$A223,ROW($4:$15),1),"0123456789")))=6))),FALSE))</f>
      </c>
    </row>
    <row r="224">
      <c r="D224">
        <f>IF(Identity!$A224="",TRUE,IFERROR(AND(ISTEXT(Identity!$A224),EXACT(Identity!$A224,UPPER(Identity!$A224)),COUNTIF(Identity!$A$2:$A$501,Identity!$A224)=1,OR(AND(LEFT(Identity!$A224,3)="AAI",LEN(Identity!$A224)=11,SUMPRODUCT(--ISNUMBER(FIND(MID(Identity!$A224,ROW($4:$11),1),"0123456789")))=8,IFERROR(VALUE(MID(Identity!$A224,6,2)),0)&gt;=1,IFERROR(VALUE(MID(Identity!$A224,6,2)),0)&lt;=12,RIGHT(Identity!$A224,4)&lt;&gt;"0000"),AND(LEFT(Identity!$A224,3)="AA-",LEN(Identity!$A224)=15,SUMPRODUCT(--ISNUMBER(FIND(MID(Identity!$A224,ROW($4:$15),1),"ABCDEFGHIJKLMNOPQRSTUVWXYZ")))=6,SUMPRODUCT(--ISNUMBER(FIND(MID(Identity!$A224,ROW($4:$15),1),"0123456789")))=6))),FALSE))</f>
      </c>
    </row>
    <row r="225">
      <c r="D225">
        <f>IF(Identity!$A225="",TRUE,IFERROR(AND(ISTEXT(Identity!$A225),EXACT(Identity!$A225,UPPER(Identity!$A225)),COUNTIF(Identity!$A$2:$A$501,Identity!$A225)=1,OR(AND(LEFT(Identity!$A225,3)="AAI",LEN(Identity!$A225)=11,SUMPRODUCT(--ISNUMBER(FIND(MID(Identity!$A225,ROW($4:$11),1),"0123456789")))=8,IFERROR(VALUE(MID(Identity!$A225,6,2)),0)&gt;=1,IFERROR(VALUE(MID(Identity!$A225,6,2)),0)&lt;=12,RIGHT(Identity!$A225,4)&lt;&gt;"0000"),AND(LEFT(Identity!$A225,3)="AA-",LEN(Identity!$A225)=15,SUMPRODUCT(--ISNUMBER(FIND(MID(Identity!$A225,ROW($4:$15),1),"ABCDEFGHIJKLMNOPQRSTUVWXYZ")))=6,SUMPRODUCT(--ISNUMBER(FIND(MID(Identity!$A225,ROW($4:$15),1),"0123456789")))=6))),FALSE))</f>
      </c>
    </row>
    <row r="226">
      <c r="D226">
        <f>IF(Identity!$A226="",TRUE,IFERROR(AND(ISTEXT(Identity!$A226),EXACT(Identity!$A226,UPPER(Identity!$A226)),COUNTIF(Identity!$A$2:$A$501,Identity!$A226)=1,OR(AND(LEFT(Identity!$A226,3)="AAI",LEN(Identity!$A226)=11,SUMPRODUCT(--ISNUMBER(FIND(MID(Identity!$A226,ROW($4:$11),1),"0123456789")))=8,IFERROR(VALUE(MID(Identity!$A226,6,2)),0)&gt;=1,IFERROR(VALUE(MID(Identity!$A226,6,2)),0)&lt;=12,RIGHT(Identity!$A226,4)&lt;&gt;"0000"),AND(LEFT(Identity!$A226,3)="AA-",LEN(Identity!$A226)=15,SUMPRODUCT(--ISNUMBER(FIND(MID(Identity!$A226,ROW($4:$15),1),"ABCDEFGHIJKLMNOPQRSTUVWXYZ")))=6,SUMPRODUCT(--ISNUMBER(FIND(MID(Identity!$A226,ROW($4:$15),1),"0123456789")))=6))),FALSE))</f>
      </c>
    </row>
    <row r="227">
      <c r="D227">
        <f>IF(Identity!$A227="",TRUE,IFERROR(AND(ISTEXT(Identity!$A227),EXACT(Identity!$A227,UPPER(Identity!$A227)),COUNTIF(Identity!$A$2:$A$501,Identity!$A227)=1,OR(AND(LEFT(Identity!$A227,3)="AAI",LEN(Identity!$A227)=11,SUMPRODUCT(--ISNUMBER(FIND(MID(Identity!$A227,ROW($4:$11),1),"0123456789")))=8,IFERROR(VALUE(MID(Identity!$A227,6,2)),0)&gt;=1,IFERROR(VALUE(MID(Identity!$A227,6,2)),0)&lt;=12,RIGHT(Identity!$A227,4)&lt;&gt;"0000"),AND(LEFT(Identity!$A227,3)="AA-",LEN(Identity!$A227)=15,SUMPRODUCT(--ISNUMBER(FIND(MID(Identity!$A227,ROW($4:$15),1),"ABCDEFGHIJKLMNOPQRSTUVWXYZ")))=6,SUMPRODUCT(--ISNUMBER(FIND(MID(Identity!$A227,ROW($4:$15),1),"0123456789")))=6))),FALSE))</f>
      </c>
    </row>
    <row r="228">
      <c r="D228">
        <f>IF(Identity!$A228="",TRUE,IFERROR(AND(ISTEXT(Identity!$A228),EXACT(Identity!$A228,UPPER(Identity!$A228)),COUNTIF(Identity!$A$2:$A$501,Identity!$A228)=1,OR(AND(LEFT(Identity!$A228,3)="AAI",LEN(Identity!$A228)=11,SUMPRODUCT(--ISNUMBER(FIND(MID(Identity!$A228,ROW($4:$11),1),"0123456789")))=8,IFERROR(VALUE(MID(Identity!$A228,6,2)),0)&gt;=1,IFERROR(VALUE(MID(Identity!$A228,6,2)),0)&lt;=12,RIGHT(Identity!$A228,4)&lt;&gt;"0000"),AND(LEFT(Identity!$A228,3)="AA-",LEN(Identity!$A228)=15,SUMPRODUCT(--ISNUMBER(FIND(MID(Identity!$A228,ROW($4:$15),1),"ABCDEFGHIJKLMNOPQRSTUVWXYZ")))=6,SUMPRODUCT(--ISNUMBER(FIND(MID(Identity!$A228,ROW($4:$15),1),"0123456789")))=6))),FALSE))</f>
      </c>
    </row>
    <row r="229">
      <c r="D229">
        <f>IF(Identity!$A229="",TRUE,IFERROR(AND(ISTEXT(Identity!$A229),EXACT(Identity!$A229,UPPER(Identity!$A229)),COUNTIF(Identity!$A$2:$A$501,Identity!$A229)=1,OR(AND(LEFT(Identity!$A229,3)="AAI",LEN(Identity!$A229)=11,SUMPRODUCT(--ISNUMBER(FIND(MID(Identity!$A229,ROW($4:$11),1),"0123456789")))=8,IFERROR(VALUE(MID(Identity!$A229,6,2)),0)&gt;=1,IFERROR(VALUE(MID(Identity!$A229,6,2)),0)&lt;=12,RIGHT(Identity!$A229,4)&lt;&gt;"0000"),AND(LEFT(Identity!$A229,3)="AA-",LEN(Identity!$A229)=15,SUMPRODUCT(--ISNUMBER(FIND(MID(Identity!$A229,ROW($4:$15),1),"ABCDEFGHIJKLMNOPQRSTUVWXYZ")))=6,SUMPRODUCT(--ISNUMBER(FIND(MID(Identity!$A229,ROW($4:$15),1),"0123456789")))=6))),FALSE))</f>
      </c>
    </row>
    <row r="230">
      <c r="D230">
        <f>IF(Identity!$A230="",TRUE,IFERROR(AND(ISTEXT(Identity!$A230),EXACT(Identity!$A230,UPPER(Identity!$A230)),COUNTIF(Identity!$A$2:$A$501,Identity!$A230)=1,OR(AND(LEFT(Identity!$A230,3)="AAI",LEN(Identity!$A230)=11,SUMPRODUCT(--ISNUMBER(FIND(MID(Identity!$A230,ROW($4:$11),1),"0123456789")))=8,IFERROR(VALUE(MID(Identity!$A230,6,2)),0)&gt;=1,IFERROR(VALUE(MID(Identity!$A230,6,2)),0)&lt;=12,RIGHT(Identity!$A230,4)&lt;&gt;"0000"),AND(LEFT(Identity!$A230,3)="AA-",LEN(Identity!$A230)=15,SUMPRODUCT(--ISNUMBER(FIND(MID(Identity!$A230,ROW($4:$15),1),"ABCDEFGHIJKLMNOPQRSTUVWXYZ")))=6,SUMPRODUCT(--ISNUMBER(FIND(MID(Identity!$A230,ROW($4:$15),1),"0123456789")))=6))),FALSE))</f>
      </c>
    </row>
    <row r="231">
      <c r="D231">
        <f>IF(Identity!$A231="",TRUE,IFERROR(AND(ISTEXT(Identity!$A231),EXACT(Identity!$A231,UPPER(Identity!$A231)),COUNTIF(Identity!$A$2:$A$501,Identity!$A231)=1,OR(AND(LEFT(Identity!$A231,3)="AAI",LEN(Identity!$A231)=11,SUMPRODUCT(--ISNUMBER(FIND(MID(Identity!$A231,ROW($4:$11),1),"0123456789")))=8,IFERROR(VALUE(MID(Identity!$A231,6,2)),0)&gt;=1,IFERROR(VALUE(MID(Identity!$A231,6,2)),0)&lt;=12,RIGHT(Identity!$A231,4)&lt;&gt;"0000"),AND(LEFT(Identity!$A231,3)="AA-",LEN(Identity!$A231)=15,SUMPRODUCT(--ISNUMBER(FIND(MID(Identity!$A231,ROW($4:$15),1),"ABCDEFGHIJKLMNOPQRSTUVWXYZ")))=6,SUMPRODUCT(--ISNUMBER(FIND(MID(Identity!$A231,ROW($4:$15),1),"0123456789")))=6))),FALSE))</f>
      </c>
    </row>
    <row r="232">
      <c r="D232">
        <f>IF(Identity!$A232="",TRUE,IFERROR(AND(ISTEXT(Identity!$A232),EXACT(Identity!$A232,UPPER(Identity!$A232)),COUNTIF(Identity!$A$2:$A$501,Identity!$A232)=1,OR(AND(LEFT(Identity!$A232,3)="AAI",LEN(Identity!$A232)=11,SUMPRODUCT(--ISNUMBER(FIND(MID(Identity!$A232,ROW($4:$11),1),"0123456789")))=8,IFERROR(VALUE(MID(Identity!$A232,6,2)),0)&gt;=1,IFERROR(VALUE(MID(Identity!$A232,6,2)),0)&lt;=12,RIGHT(Identity!$A232,4)&lt;&gt;"0000"),AND(LEFT(Identity!$A232,3)="AA-",LEN(Identity!$A232)=15,SUMPRODUCT(--ISNUMBER(FIND(MID(Identity!$A232,ROW($4:$15),1),"ABCDEFGHIJKLMNOPQRSTUVWXYZ")))=6,SUMPRODUCT(--ISNUMBER(FIND(MID(Identity!$A232,ROW($4:$15),1),"0123456789")))=6))),FALSE))</f>
      </c>
    </row>
    <row r="233">
      <c r="D233">
        <f>IF(Identity!$A233="",TRUE,IFERROR(AND(ISTEXT(Identity!$A233),EXACT(Identity!$A233,UPPER(Identity!$A233)),COUNTIF(Identity!$A$2:$A$501,Identity!$A233)=1,OR(AND(LEFT(Identity!$A233,3)="AAI",LEN(Identity!$A233)=11,SUMPRODUCT(--ISNUMBER(FIND(MID(Identity!$A233,ROW($4:$11),1),"0123456789")))=8,IFERROR(VALUE(MID(Identity!$A233,6,2)),0)&gt;=1,IFERROR(VALUE(MID(Identity!$A233,6,2)),0)&lt;=12,RIGHT(Identity!$A233,4)&lt;&gt;"0000"),AND(LEFT(Identity!$A233,3)="AA-",LEN(Identity!$A233)=15,SUMPRODUCT(--ISNUMBER(FIND(MID(Identity!$A233,ROW($4:$15),1),"ABCDEFGHIJKLMNOPQRSTUVWXYZ")))=6,SUMPRODUCT(--ISNUMBER(FIND(MID(Identity!$A233,ROW($4:$15),1),"0123456789")))=6))),FALSE))</f>
      </c>
    </row>
    <row r="234">
      <c r="D234">
        <f>IF(Identity!$A234="",TRUE,IFERROR(AND(ISTEXT(Identity!$A234),EXACT(Identity!$A234,UPPER(Identity!$A234)),COUNTIF(Identity!$A$2:$A$501,Identity!$A234)=1,OR(AND(LEFT(Identity!$A234,3)="AAI",LEN(Identity!$A234)=11,SUMPRODUCT(--ISNUMBER(FIND(MID(Identity!$A234,ROW($4:$11),1),"0123456789")))=8,IFERROR(VALUE(MID(Identity!$A234,6,2)),0)&gt;=1,IFERROR(VALUE(MID(Identity!$A234,6,2)),0)&lt;=12,RIGHT(Identity!$A234,4)&lt;&gt;"0000"),AND(LEFT(Identity!$A234,3)="AA-",LEN(Identity!$A234)=15,SUMPRODUCT(--ISNUMBER(FIND(MID(Identity!$A234,ROW($4:$15),1),"ABCDEFGHIJKLMNOPQRSTUVWXYZ")))=6,SUMPRODUCT(--ISNUMBER(FIND(MID(Identity!$A234,ROW($4:$15),1),"0123456789")))=6))),FALSE))</f>
      </c>
    </row>
    <row r="235">
      <c r="D235">
        <f>IF(Identity!$A235="",TRUE,IFERROR(AND(ISTEXT(Identity!$A235),EXACT(Identity!$A235,UPPER(Identity!$A235)),COUNTIF(Identity!$A$2:$A$501,Identity!$A235)=1,OR(AND(LEFT(Identity!$A235,3)="AAI",LEN(Identity!$A235)=11,SUMPRODUCT(--ISNUMBER(FIND(MID(Identity!$A235,ROW($4:$11),1),"0123456789")))=8,IFERROR(VALUE(MID(Identity!$A235,6,2)),0)&gt;=1,IFERROR(VALUE(MID(Identity!$A235,6,2)),0)&lt;=12,RIGHT(Identity!$A235,4)&lt;&gt;"0000"),AND(LEFT(Identity!$A235,3)="AA-",LEN(Identity!$A235)=15,SUMPRODUCT(--ISNUMBER(FIND(MID(Identity!$A235,ROW($4:$15),1),"ABCDEFGHIJKLMNOPQRSTUVWXYZ")))=6,SUMPRODUCT(--ISNUMBER(FIND(MID(Identity!$A235,ROW($4:$15),1),"0123456789")))=6))),FALSE))</f>
      </c>
    </row>
    <row r="236">
      <c r="D236">
        <f>IF(Identity!$A236="",TRUE,IFERROR(AND(ISTEXT(Identity!$A236),EXACT(Identity!$A236,UPPER(Identity!$A236)),COUNTIF(Identity!$A$2:$A$501,Identity!$A236)=1,OR(AND(LEFT(Identity!$A236,3)="AAI",LEN(Identity!$A236)=11,SUMPRODUCT(--ISNUMBER(FIND(MID(Identity!$A236,ROW($4:$11),1),"0123456789")))=8,IFERROR(VALUE(MID(Identity!$A236,6,2)),0)&gt;=1,IFERROR(VALUE(MID(Identity!$A236,6,2)),0)&lt;=12,RIGHT(Identity!$A236,4)&lt;&gt;"0000"),AND(LEFT(Identity!$A236,3)="AA-",LEN(Identity!$A236)=15,SUMPRODUCT(--ISNUMBER(FIND(MID(Identity!$A236,ROW($4:$15),1),"ABCDEFGHIJKLMNOPQRSTUVWXYZ")))=6,SUMPRODUCT(--ISNUMBER(FIND(MID(Identity!$A236,ROW($4:$15),1),"0123456789")))=6))),FALSE))</f>
      </c>
    </row>
    <row r="237">
      <c r="D237">
        <f>IF(Identity!$A237="",TRUE,IFERROR(AND(ISTEXT(Identity!$A237),EXACT(Identity!$A237,UPPER(Identity!$A237)),COUNTIF(Identity!$A$2:$A$501,Identity!$A237)=1,OR(AND(LEFT(Identity!$A237,3)="AAI",LEN(Identity!$A237)=11,SUMPRODUCT(--ISNUMBER(FIND(MID(Identity!$A237,ROW($4:$11),1),"0123456789")))=8,IFERROR(VALUE(MID(Identity!$A237,6,2)),0)&gt;=1,IFERROR(VALUE(MID(Identity!$A237,6,2)),0)&lt;=12,RIGHT(Identity!$A237,4)&lt;&gt;"0000"),AND(LEFT(Identity!$A237,3)="AA-",LEN(Identity!$A237)=15,SUMPRODUCT(--ISNUMBER(FIND(MID(Identity!$A237,ROW($4:$15),1),"ABCDEFGHIJKLMNOPQRSTUVWXYZ")))=6,SUMPRODUCT(--ISNUMBER(FIND(MID(Identity!$A237,ROW($4:$15),1),"0123456789")))=6))),FALSE))</f>
      </c>
    </row>
    <row r="238">
      <c r="D238">
        <f>IF(Identity!$A238="",TRUE,IFERROR(AND(ISTEXT(Identity!$A238),EXACT(Identity!$A238,UPPER(Identity!$A238)),COUNTIF(Identity!$A$2:$A$501,Identity!$A238)=1,OR(AND(LEFT(Identity!$A238,3)="AAI",LEN(Identity!$A238)=11,SUMPRODUCT(--ISNUMBER(FIND(MID(Identity!$A238,ROW($4:$11),1),"0123456789")))=8,IFERROR(VALUE(MID(Identity!$A238,6,2)),0)&gt;=1,IFERROR(VALUE(MID(Identity!$A238,6,2)),0)&lt;=12,RIGHT(Identity!$A238,4)&lt;&gt;"0000"),AND(LEFT(Identity!$A238,3)="AA-",LEN(Identity!$A238)=15,SUMPRODUCT(--ISNUMBER(FIND(MID(Identity!$A238,ROW($4:$15),1),"ABCDEFGHIJKLMNOPQRSTUVWXYZ")))=6,SUMPRODUCT(--ISNUMBER(FIND(MID(Identity!$A238,ROW($4:$15),1),"0123456789")))=6))),FALSE))</f>
      </c>
    </row>
    <row r="239">
      <c r="D239">
        <f>IF(Identity!$A239="",TRUE,IFERROR(AND(ISTEXT(Identity!$A239),EXACT(Identity!$A239,UPPER(Identity!$A239)),COUNTIF(Identity!$A$2:$A$501,Identity!$A239)=1,OR(AND(LEFT(Identity!$A239,3)="AAI",LEN(Identity!$A239)=11,SUMPRODUCT(--ISNUMBER(FIND(MID(Identity!$A239,ROW($4:$11),1),"0123456789")))=8,IFERROR(VALUE(MID(Identity!$A239,6,2)),0)&gt;=1,IFERROR(VALUE(MID(Identity!$A239,6,2)),0)&lt;=12,RIGHT(Identity!$A239,4)&lt;&gt;"0000"),AND(LEFT(Identity!$A239,3)="AA-",LEN(Identity!$A239)=15,SUMPRODUCT(--ISNUMBER(FIND(MID(Identity!$A239,ROW($4:$15),1),"ABCDEFGHIJKLMNOPQRSTUVWXYZ")))=6,SUMPRODUCT(--ISNUMBER(FIND(MID(Identity!$A239,ROW($4:$15),1),"0123456789")))=6))),FALSE))</f>
      </c>
    </row>
    <row r="240">
      <c r="D240">
        <f>IF(Identity!$A240="",TRUE,IFERROR(AND(ISTEXT(Identity!$A240),EXACT(Identity!$A240,UPPER(Identity!$A240)),COUNTIF(Identity!$A$2:$A$501,Identity!$A240)=1,OR(AND(LEFT(Identity!$A240,3)="AAI",LEN(Identity!$A240)=11,SUMPRODUCT(--ISNUMBER(FIND(MID(Identity!$A240,ROW($4:$11),1),"0123456789")))=8,IFERROR(VALUE(MID(Identity!$A240,6,2)),0)&gt;=1,IFERROR(VALUE(MID(Identity!$A240,6,2)),0)&lt;=12,RIGHT(Identity!$A240,4)&lt;&gt;"0000"),AND(LEFT(Identity!$A240,3)="AA-",LEN(Identity!$A240)=15,SUMPRODUCT(--ISNUMBER(FIND(MID(Identity!$A240,ROW($4:$15),1),"ABCDEFGHIJKLMNOPQRSTUVWXYZ")))=6,SUMPRODUCT(--ISNUMBER(FIND(MID(Identity!$A240,ROW($4:$15),1),"0123456789")))=6))),FALSE))</f>
      </c>
    </row>
    <row r="241">
      <c r="D241">
        <f>IF(Identity!$A241="",TRUE,IFERROR(AND(ISTEXT(Identity!$A241),EXACT(Identity!$A241,UPPER(Identity!$A241)),COUNTIF(Identity!$A$2:$A$501,Identity!$A241)=1,OR(AND(LEFT(Identity!$A241,3)="AAI",LEN(Identity!$A241)=11,SUMPRODUCT(--ISNUMBER(FIND(MID(Identity!$A241,ROW($4:$11),1),"0123456789")))=8,IFERROR(VALUE(MID(Identity!$A241,6,2)),0)&gt;=1,IFERROR(VALUE(MID(Identity!$A241,6,2)),0)&lt;=12,RIGHT(Identity!$A241,4)&lt;&gt;"0000"),AND(LEFT(Identity!$A241,3)="AA-",LEN(Identity!$A241)=15,SUMPRODUCT(--ISNUMBER(FIND(MID(Identity!$A241,ROW($4:$15),1),"ABCDEFGHIJKLMNOPQRSTUVWXYZ")))=6,SUMPRODUCT(--ISNUMBER(FIND(MID(Identity!$A241,ROW($4:$15),1),"0123456789")))=6))),FALSE))</f>
      </c>
    </row>
    <row r="242">
      <c r="D242">
        <f>IF(Identity!$A242="",TRUE,IFERROR(AND(ISTEXT(Identity!$A242),EXACT(Identity!$A242,UPPER(Identity!$A242)),COUNTIF(Identity!$A$2:$A$501,Identity!$A242)=1,OR(AND(LEFT(Identity!$A242,3)="AAI",LEN(Identity!$A242)=11,SUMPRODUCT(--ISNUMBER(FIND(MID(Identity!$A242,ROW($4:$11),1),"0123456789")))=8,IFERROR(VALUE(MID(Identity!$A242,6,2)),0)&gt;=1,IFERROR(VALUE(MID(Identity!$A242,6,2)),0)&lt;=12,RIGHT(Identity!$A242,4)&lt;&gt;"0000"),AND(LEFT(Identity!$A242,3)="AA-",LEN(Identity!$A242)=15,SUMPRODUCT(--ISNUMBER(FIND(MID(Identity!$A242,ROW($4:$15),1),"ABCDEFGHIJKLMNOPQRSTUVWXYZ")))=6,SUMPRODUCT(--ISNUMBER(FIND(MID(Identity!$A242,ROW($4:$15),1),"0123456789")))=6))),FALSE))</f>
      </c>
    </row>
    <row r="243">
      <c r="D243">
        <f>IF(Identity!$A243="",TRUE,IFERROR(AND(ISTEXT(Identity!$A243),EXACT(Identity!$A243,UPPER(Identity!$A243)),COUNTIF(Identity!$A$2:$A$501,Identity!$A243)=1,OR(AND(LEFT(Identity!$A243,3)="AAI",LEN(Identity!$A243)=11,SUMPRODUCT(--ISNUMBER(FIND(MID(Identity!$A243,ROW($4:$11),1),"0123456789")))=8,IFERROR(VALUE(MID(Identity!$A243,6,2)),0)&gt;=1,IFERROR(VALUE(MID(Identity!$A243,6,2)),0)&lt;=12,RIGHT(Identity!$A243,4)&lt;&gt;"0000"),AND(LEFT(Identity!$A243,3)="AA-",LEN(Identity!$A243)=15,SUMPRODUCT(--ISNUMBER(FIND(MID(Identity!$A243,ROW($4:$15),1),"ABCDEFGHIJKLMNOPQRSTUVWXYZ")))=6,SUMPRODUCT(--ISNUMBER(FIND(MID(Identity!$A243,ROW($4:$15),1),"0123456789")))=6))),FALSE))</f>
      </c>
    </row>
    <row r="244">
      <c r="D244">
        <f>IF(Identity!$A244="",TRUE,IFERROR(AND(ISTEXT(Identity!$A244),EXACT(Identity!$A244,UPPER(Identity!$A244)),COUNTIF(Identity!$A$2:$A$501,Identity!$A244)=1,OR(AND(LEFT(Identity!$A244,3)="AAI",LEN(Identity!$A244)=11,SUMPRODUCT(--ISNUMBER(FIND(MID(Identity!$A244,ROW($4:$11),1),"0123456789")))=8,IFERROR(VALUE(MID(Identity!$A244,6,2)),0)&gt;=1,IFERROR(VALUE(MID(Identity!$A244,6,2)),0)&lt;=12,RIGHT(Identity!$A244,4)&lt;&gt;"0000"),AND(LEFT(Identity!$A244,3)="AA-",LEN(Identity!$A244)=15,SUMPRODUCT(--ISNUMBER(FIND(MID(Identity!$A244,ROW($4:$15),1),"ABCDEFGHIJKLMNOPQRSTUVWXYZ")))=6,SUMPRODUCT(--ISNUMBER(FIND(MID(Identity!$A244,ROW($4:$15),1),"0123456789")))=6))),FALSE))</f>
      </c>
    </row>
    <row r="245">
      <c r="D245">
        <f>IF(Identity!$A245="",TRUE,IFERROR(AND(ISTEXT(Identity!$A245),EXACT(Identity!$A245,UPPER(Identity!$A245)),COUNTIF(Identity!$A$2:$A$501,Identity!$A245)=1,OR(AND(LEFT(Identity!$A245,3)="AAI",LEN(Identity!$A245)=11,SUMPRODUCT(--ISNUMBER(FIND(MID(Identity!$A245,ROW($4:$11),1),"0123456789")))=8,IFERROR(VALUE(MID(Identity!$A245,6,2)),0)&gt;=1,IFERROR(VALUE(MID(Identity!$A245,6,2)),0)&lt;=12,RIGHT(Identity!$A245,4)&lt;&gt;"0000"),AND(LEFT(Identity!$A245,3)="AA-",LEN(Identity!$A245)=15,SUMPRODUCT(--ISNUMBER(FIND(MID(Identity!$A245,ROW($4:$15),1),"ABCDEFGHIJKLMNOPQRSTUVWXYZ")))=6,SUMPRODUCT(--ISNUMBER(FIND(MID(Identity!$A245,ROW($4:$15),1),"0123456789")))=6))),FALSE))</f>
      </c>
    </row>
    <row r="246">
      <c r="D246">
        <f>IF(Identity!$A246="",TRUE,IFERROR(AND(ISTEXT(Identity!$A246),EXACT(Identity!$A246,UPPER(Identity!$A246)),COUNTIF(Identity!$A$2:$A$501,Identity!$A246)=1,OR(AND(LEFT(Identity!$A246,3)="AAI",LEN(Identity!$A246)=11,SUMPRODUCT(--ISNUMBER(FIND(MID(Identity!$A246,ROW($4:$11),1),"0123456789")))=8,IFERROR(VALUE(MID(Identity!$A246,6,2)),0)&gt;=1,IFERROR(VALUE(MID(Identity!$A246,6,2)),0)&lt;=12,RIGHT(Identity!$A246,4)&lt;&gt;"0000"),AND(LEFT(Identity!$A246,3)="AA-",LEN(Identity!$A246)=15,SUMPRODUCT(--ISNUMBER(FIND(MID(Identity!$A246,ROW($4:$15),1),"ABCDEFGHIJKLMNOPQRSTUVWXYZ")))=6,SUMPRODUCT(--ISNUMBER(FIND(MID(Identity!$A246,ROW($4:$15),1),"0123456789")))=6))),FALSE))</f>
      </c>
    </row>
    <row r="247">
      <c r="D247">
        <f>IF(Identity!$A247="",TRUE,IFERROR(AND(ISTEXT(Identity!$A247),EXACT(Identity!$A247,UPPER(Identity!$A247)),COUNTIF(Identity!$A$2:$A$501,Identity!$A247)=1,OR(AND(LEFT(Identity!$A247,3)="AAI",LEN(Identity!$A247)=11,SUMPRODUCT(--ISNUMBER(FIND(MID(Identity!$A247,ROW($4:$11),1),"0123456789")))=8,IFERROR(VALUE(MID(Identity!$A247,6,2)),0)&gt;=1,IFERROR(VALUE(MID(Identity!$A247,6,2)),0)&lt;=12,RIGHT(Identity!$A247,4)&lt;&gt;"0000"),AND(LEFT(Identity!$A247,3)="AA-",LEN(Identity!$A247)=15,SUMPRODUCT(--ISNUMBER(FIND(MID(Identity!$A247,ROW($4:$15),1),"ABCDEFGHIJKLMNOPQRSTUVWXYZ")))=6,SUMPRODUCT(--ISNUMBER(FIND(MID(Identity!$A247,ROW($4:$15),1),"0123456789")))=6))),FALSE))</f>
      </c>
    </row>
    <row r="248">
      <c r="D248">
        <f>IF(Identity!$A248="",TRUE,IFERROR(AND(ISTEXT(Identity!$A248),EXACT(Identity!$A248,UPPER(Identity!$A248)),COUNTIF(Identity!$A$2:$A$501,Identity!$A248)=1,OR(AND(LEFT(Identity!$A248,3)="AAI",LEN(Identity!$A248)=11,SUMPRODUCT(--ISNUMBER(FIND(MID(Identity!$A248,ROW($4:$11),1),"0123456789")))=8,IFERROR(VALUE(MID(Identity!$A248,6,2)),0)&gt;=1,IFERROR(VALUE(MID(Identity!$A248,6,2)),0)&lt;=12,RIGHT(Identity!$A248,4)&lt;&gt;"0000"),AND(LEFT(Identity!$A248,3)="AA-",LEN(Identity!$A248)=15,SUMPRODUCT(--ISNUMBER(FIND(MID(Identity!$A248,ROW($4:$15),1),"ABCDEFGHIJKLMNOPQRSTUVWXYZ")))=6,SUMPRODUCT(--ISNUMBER(FIND(MID(Identity!$A248,ROW($4:$15),1),"0123456789")))=6))),FALSE))</f>
      </c>
    </row>
    <row r="249">
      <c r="D249">
        <f>IF(Identity!$A249="",TRUE,IFERROR(AND(ISTEXT(Identity!$A249),EXACT(Identity!$A249,UPPER(Identity!$A249)),COUNTIF(Identity!$A$2:$A$501,Identity!$A249)=1,OR(AND(LEFT(Identity!$A249,3)="AAI",LEN(Identity!$A249)=11,SUMPRODUCT(--ISNUMBER(FIND(MID(Identity!$A249,ROW($4:$11),1),"0123456789")))=8,IFERROR(VALUE(MID(Identity!$A249,6,2)),0)&gt;=1,IFERROR(VALUE(MID(Identity!$A249,6,2)),0)&lt;=12,RIGHT(Identity!$A249,4)&lt;&gt;"0000"),AND(LEFT(Identity!$A249,3)="AA-",LEN(Identity!$A249)=15,SUMPRODUCT(--ISNUMBER(FIND(MID(Identity!$A249,ROW($4:$15),1),"ABCDEFGHIJKLMNOPQRSTUVWXYZ")))=6,SUMPRODUCT(--ISNUMBER(FIND(MID(Identity!$A249,ROW($4:$15),1),"0123456789")))=6))),FALSE))</f>
      </c>
    </row>
    <row r="250">
      <c r="D250">
        <f>IF(Identity!$A250="",TRUE,IFERROR(AND(ISTEXT(Identity!$A250),EXACT(Identity!$A250,UPPER(Identity!$A250)),COUNTIF(Identity!$A$2:$A$501,Identity!$A250)=1,OR(AND(LEFT(Identity!$A250,3)="AAI",LEN(Identity!$A250)=11,SUMPRODUCT(--ISNUMBER(FIND(MID(Identity!$A250,ROW($4:$11),1),"0123456789")))=8,IFERROR(VALUE(MID(Identity!$A250,6,2)),0)&gt;=1,IFERROR(VALUE(MID(Identity!$A250,6,2)),0)&lt;=12,RIGHT(Identity!$A250,4)&lt;&gt;"0000"),AND(LEFT(Identity!$A250,3)="AA-",LEN(Identity!$A250)=15,SUMPRODUCT(--ISNUMBER(FIND(MID(Identity!$A250,ROW($4:$15),1),"ABCDEFGHIJKLMNOPQRSTUVWXYZ")))=6,SUMPRODUCT(--ISNUMBER(FIND(MID(Identity!$A250,ROW($4:$15),1),"0123456789")))=6))),FALSE))</f>
      </c>
    </row>
    <row r="251">
      <c r="D251">
        <f>IF(Identity!$A251="",TRUE,IFERROR(AND(ISTEXT(Identity!$A251),EXACT(Identity!$A251,UPPER(Identity!$A251)),COUNTIF(Identity!$A$2:$A$501,Identity!$A251)=1,OR(AND(LEFT(Identity!$A251,3)="AAI",LEN(Identity!$A251)=11,SUMPRODUCT(--ISNUMBER(FIND(MID(Identity!$A251,ROW($4:$11),1),"0123456789")))=8,IFERROR(VALUE(MID(Identity!$A251,6,2)),0)&gt;=1,IFERROR(VALUE(MID(Identity!$A251,6,2)),0)&lt;=12,RIGHT(Identity!$A251,4)&lt;&gt;"0000"),AND(LEFT(Identity!$A251,3)="AA-",LEN(Identity!$A251)=15,SUMPRODUCT(--ISNUMBER(FIND(MID(Identity!$A251,ROW($4:$15),1),"ABCDEFGHIJKLMNOPQRSTUVWXYZ")))=6,SUMPRODUCT(--ISNUMBER(FIND(MID(Identity!$A251,ROW($4:$15),1),"0123456789")))=6))),FALSE))</f>
      </c>
    </row>
    <row r="252">
      <c r="D252">
        <f>IF(Identity!$A252="",TRUE,IFERROR(AND(ISTEXT(Identity!$A252),EXACT(Identity!$A252,UPPER(Identity!$A252)),COUNTIF(Identity!$A$2:$A$501,Identity!$A252)=1,OR(AND(LEFT(Identity!$A252,3)="AAI",LEN(Identity!$A252)=11,SUMPRODUCT(--ISNUMBER(FIND(MID(Identity!$A252,ROW($4:$11),1),"0123456789")))=8,IFERROR(VALUE(MID(Identity!$A252,6,2)),0)&gt;=1,IFERROR(VALUE(MID(Identity!$A252,6,2)),0)&lt;=12,RIGHT(Identity!$A252,4)&lt;&gt;"0000"),AND(LEFT(Identity!$A252,3)="AA-",LEN(Identity!$A252)=15,SUMPRODUCT(--ISNUMBER(FIND(MID(Identity!$A252,ROW($4:$15),1),"ABCDEFGHIJKLMNOPQRSTUVWXYZ")))=6,SUMPRODUCT(--ISNUMBER(FIND(MID(Identity!$A252,ROW($4:$15),1),"0123456789")))=6))),FALSE))</f>
      </c>
    </row>
    <row r="253">
      <c r="D253">
        <f>IF(Identity!$A253="",TRUE,IFERROR(AND(ISTEXT(Identity!$A253),EXACT(Identity!$A253,UPPER(Identity!$A253)),COUNTIF(Identity!$A$2:$A$501,Identity!$A253)=1,OR(AND(LEFT(Identity!$A253,3)="AAI",LEN(Identity!$A253)=11,SUMPRODUCT(--ISNUMBER(FIND(MID(Identity!$A253,ROW($4:$11),1),"0123456789")))=8,IFERROR(VALUE(MID(Identity!$A253,6,2)),0)&gt;=1,IFERROR(VALUE(MID(Identity!$A253,6,2)),0)&lt;=12,RIGHT(Identity!$A253,4)&lt;&gt;"0000"),AND(LEFT(Identity!$A253,3)="AA-",LEN(Identity!$A253)=15,SUMPRODUCT(--ISNUMBER(FIND(MID(Identity!$A253,ROW($4:$15),1),"ABCDEFGHIJKLMNOPQRSTUVWXYZ")))=6,SUMPRODUCT(--ISNUMBER(FIND(MID(Identity!$A253,ROW($4:$15),1),"0123456789")))=6))),FALSE))</f>
      </c>
    </row>
    <row r="254">
      <c r="D254">
        <f>IF(Identity!$A254="",TRUE,IFERROR(AND(ISTEXT(Identity!$A254),EXACT(Identity!$A254,UPPER(Identity!$A254)),COUNTIF(Identity!$A$2:$A$501,Identity!$A254)=1,OR(AND(LEFT(Identity!$A254,3)="AAI",LEN(Identity!$A254)=11,SUMPRODUCT(--ISNUMBER(FIND(MID(Identity!$A254,ROW($4:$11),1),"0123456789")))=8,IFERROR(VALUE(MID(Identity!$A254,6,2)),0)&gt;=1,IFERROR(VALUE(MID(Identity!$A254,6,2)),0)&lt;=12,RIGHT(Identity!$A254,4)&lt;&gt;"0000"),AND(LEFT(Identity!$A254,3)="AA-",LEN(Identity!$A254)=15,SUMPRODUCT(--ISNUMBER(FIND(MID(Identity!$A254,ROW($4:$15),1),"ABCDEFGHIJKLMNOPQRSTUVWXYZ")))=6,SUMPRODUCT(--ISNUMBER(FIND(MID(Identity!$A254,ROW($4:$15),1),"0123456789")))=6))),FALSE))</f>
      </c>
    </row>
    <row r="255">
      <c r="D255">
        <f>IF(Identity!$A255="",TRUE,IFERROR(AND(ISTEXT(Identity!$A255),EXACT(Identity!$A255,UPPER(Identity!$A255)),COUNTIF(Identity!$A$2:$A$501,Identity!$A255)=1,OR(AND(LEFT(Identity!$A255,3)="AAI",LEN(Identity!$A255)=11,SUMPRODUCT(--ISNUMBER(FIND(MID(Identity!$A255,ROW($4:$11),1),"0123456789")))=8,IFERROR(VALUE(MID(Identity!$A255,6,2)),0)&gt;=1,IFERROR(VALUE(MID(Identity!$A255,6,2)),0)&lt;=12,RIGHT(Identity!$A255,4)&lt;&gt;"0000"),AND(LEFT(Identity!$A255,3)="AA-",LEN(Identity!$A255)=15,SUMPRODUCT(--ISNUMBER(FIND(MID(Identity!$A255,ROW($4:$15),1),"ABCDEFGHIJKLMNOPQRSTUVWXYZ")))=6,SUMPRODUCT(--ISNUMBER(FIND(MID(Identity!$A255,ROW($4:$15),1),"0123456789")))=6))),FALSE))</f>
      </c>
    </row>
    <row r="256">
      <c r="D256">
        <f>IF(Identity!$A256="",TRUE,IFERROR(AND(ISTEXT(Identity!$A256),EXACT(Identity!$A256,UPPER(Identity!$A256)),COUNTIF(Identity!$A$2:$A$501,Identity!$A256)=1,OR(AND(LEFT(Identity!$A256,3)="AAI",LEN(Identity!$A256)=11,SUMPRODUCT(--ISNUMBER(FIND(MID(Identity!$A256,ROW($4:$11),1),"0123456789")))=8,IFERROR(VALUE(MID(Identity!$A256,6,2)),0)&gt;=1,IFERROR(VALUE(MID(Identity!$A256,6,2)),0)&lt;=12,RIGHT(Identity!$A256,4)&lt;&gt;"0000"),AND(LEFT(Identity!$A256,3)="AA-",LEN(Identity!$A256)=15,SUMPRODUCT(--ISNUMBER(FIND(MID(Identity!$A256,ROW($4:$15),1),"ABCDEFGHIJKLMNOPQRSTUVWXYZ")))=6,SUMPRODUCT(--ISNUMBER(FIND(MID(Identity!$A256,ROW($4:$15),1),"0123456789")))=6))),FALSE))</f>
      </c>
    </row>
    <row r="257">
      <c r="D257">
        <f>IF(Identity!$A257="",TRUE,IFERROR(AND(ISTEXT(Identity!$A257),EXACT(Identity!$A257,UPPER(Identity!$A257)),COUNTIF(Identity!$A$2:$A$501,Identity!$A257)=1,OR(AND(LEFT(Identity!$A257,3)="AAI",LEN(Identity!$A257)=11,SUMPRODUCT(--ISNUMBER(FIND(MID(Identity!$A257,ROW($4:$11),1),"0123456789")))=8,IFERROR(VALUE(MID(Identity!$A257,6,2)),0)&gt;=1,IFERROR(VALUE(MID(Identity!$A257,6,2)),0)&lt;=12,RIGHT(Identity!$A257,4)&lt;&gt;"0000"),AND(LEFT(Identity!$A257,3)="AA-",LEN(Identity!$A257)=15,SUMPRODUCT(--ISNUMBER(FIND(MID(Identity!$A257,ROW($4:$15),1),"ABCDEFGHIJKLMNOPQRSTUVWXYZ")))=6,SUMPRODUCT(--ISNUMBER(FIND(MID(Identity!$A257,ROW($4:$15),1),"0123456789")))=6))),FALSE))</f>
      </c>
    </row>
    <row r="258">
      <c r="D258">
        <f>IF(Identity!$A258="",TRUE,IFERROR(AND(ISTEXT(Identity!$A258),EXACT(Identity!$A258,UPPER(Identity!$A258)),COUNTIF(Identity!$A$2:$A$501,Identity!$A258)=1,OR(AND(LEFT(Identity!$A258,3)="AAI",LEN(Identity!$A258)=11,SUMPRODUCT(--ISNUMBER(FIND(MID(Identity!$A258,ROW($4:$11),1),"0123456789")))=8,IFERROR(VALUE(MID(Identity!$A258,6,2)),0)&gt;=1,IFERROR(VALUE(MID(Identity!$A258,6,2)),0)&lt;=12,RIGHT(Identity!$A258,4)&lt;&gt;"0000"),AND(LEFT(Identity!$A258,3)="AA-",LEN(Identity!$A258)=15,SUMPRODUCT(--ISNUMBER(FIND(MID(Identity!$A258,ROW($4:$15),1),"ABCDEFGHIJKLMNOPQRSTUVWXYZ")))=6,SUMPRODUCT(--ISNUMBER(FIND(MID(Identity!$A258,ROW($4:$15),1),"0123456789")))=6))),FALSE))</f>
      </c>
    </row>
    <row r="259">
      <c r="D259">
        <f>IF(Identity!$A259="",TRUE,IFERROR(AND(ISTEXT(Identity!$A259),EXACT(Identity!$A259,UPPER(Identity!$A259)),COUNTIF(Identity!$A$2:$A$501,Identity!$A259)=1,OR(AND(LEFT(Identity!$A259,3)="AAI",LEN(Identity!$A259)=11,SUMPRODUCT(--ISNUMBER(FIND(MID(Identity!$A259,ROW($4:$11),1),"0123456789")))=8,IFERROR(VALUE(MID(Identity!$A259,6,2)),0)&gt;=1,IFERROR(VALUE(MID(Identity!$A259,6,2)),0)&lt;=12,RIGHT(Identity!$A259,4)&lt;&gt;"0000"),AND(LEFT(Identity!$A259,3)="AA-",LEN(Identity!$A259)=15,SUMPRODUCT(--ISNUMBER(FIND(MID(Identity!$A259,ROW($4:$15),1),"ABCDEFGHIJKLMNOPQRSTUVWXYZ")))=6,SUMPRODUCT(--ISNUMBER(FIND(MID(Identity!$A259,ROW($4:$15),1),"0123456789")))=6))),FALSE))</f>
      </c>
    </row>
    <row r="260">
      <c r="D260">
        <f>IF(Identity!$A260="",TRUE,IFERROR(AND(ISTEXT(Identity!$A260),EXACT(Identity!$A260,UPPER(Identity!$A260)),COUNTIF(Identity!$A$2:$A$501,Identity!$A260)=1,OR(AND(LEFT(Identity!$A260,3)="AAI",LEN(Identity!$A260)=11,SUMPRODUCT(--ISNUMBER(FIND(MID(Identity!$A260,ROW($4:$11),1),"0123456789")))=8,IFERROR(VALUE(MID(Identity!$A260,6,2)),0)&gt;=1,IFERROR(VALUE(MID(Identity!$A260,6,2)),0)&lt;=12,RIGHT(Identity!$A260,4)&lt;&gt;"0000"),AND(LEFT(Identity!$A260,3)="AA-",LEN(Identity!$A260)=15,SUMPRODUCT(--ISNUMBER(FIND(MID(Identity!$A260,ROW($4:$15),1),"ABCDEFGHIJKLMNOPQRSTUVWXYZ")))=6,SUMPRODUCT(--ISNUMBER(FIND(MID(Identity!$A260,ROW($4:$15),1),"0123456789")))=6))),FALSE))</f>
      </c>
    </row>
    <row r="261">
      <c r="D261">
        <f>IF(Identity!$A261="",TRUE,IFERROR(AND(ISTEXT(Identity!$A261),EXACT(Identity!$A261,UPPER(Identity!$A261)),COUNTIF(Identity!$A$2:$A$501,Identity!$A261)=1,OR(AND(LEFT(Identity!$A261,3)="AAI",LEN(Identity!$A261)=11,SUMPRODUCT(--ISNUMBER(FIND(MID(Identity!$A261,ROW($4:$11),1),"0123456789")))=8,IFERROR(VALUE(MID(Identity!$A261,6,2)),0)&gt;=1,IFERROR(VALUE(MID(Identity!$A261,6,2)),0)&lt;=12,RIGHT(Identity!$A261,4)&lt;&gt;"0000"),AND(LEFT(Identity!$A261,3)="AA-",LEN(Identity!$A261)=15,SUMPRODUCT(--ISNUMBER(FIND(MID(Identity!$A261,ROW($4:$15),1),"ABCDEFGHIJKLMNOPQRSTUVWXYZ")))=6,SUMPRODUCT(--ISNUMBER(FIND(MID(Identity!$A261,ROW($4:$15),1),"0123456789")))=6))),FALSE))</f>
      </c>
    </row>
    <row r="262">
      <c r="D262">
        <f>IF(Identity!$A262="",TRUE,IFERROR(AND(ISTEXT(Identity!$A262),EXACT(Identity!$A262,UPPER(Identity!$A262)),COUNTIF(Identity!$A$2:$A$501,Identity!$A262)=1,OR(AND(LEFT(Identity!$A262,3)="AAI",LEN(Identity!$A262)=11,SUMPRODUCT(--ISNUMBER(FIND(MID(Identity!$A262,ROW($4:$11),1),"0123456789")))=8,IFERROR(VALUE(MID(Identity!$A262,6,2)),0)&gt;=1,IFERROR(VALUE(MID(Identity!$A262,6,2)),0)&lt;=12,RIGHT(Identity!$A262,4)&lt;&gt;"0000"),AND(LEFT(Identity!$A262,3)="AA-",LEN(Identity!$A262)=15,SUMPRODUCT(--ISNUMBER(FIND(MID(Identity!$A262,ROW($4:$15),1),"ABCDEFGHIJKLMNOPQRSTUVWXYZ")))=6,SUMPRODUCT(--ISNUMBER(FIND(MID(Identity!$A262,ROW($4:$15),1),"0123456789")))=6))),FALSE))</f>
      </c>
    </row>
    <row r="263">
      <c r="D263">
        <f>IF(Identity!$A263="",TRUE,IFERROR(AND(ISTEXT(Identity!$A263),EXACT(Identity!$A263,UPPER(Identity!$A263)),COUNTIF(Identity!$A$2:$A$501,Identity!$A263)=1,OR(AND(LEFT(Identity!$A263,3)="AAI",LEN(Identity!$A263)=11,SUMPRODUCT(--ISNUMBER(FIND(MID(Identity!$A263,ROW($4:$11),1),"0123456789")))=8,IFERROR(VALUE(MID(Identity!$A263,6,2)),0)&gt;=1,IFERROR(VALUE(MID(Identity!$A263,6,2)),0)&lt;=12,RIGHT(Identity!$A263,4)&lt;&gt;"0000"),AND(LEFT(Identity!$A263,3)="AA-",LEN(Identity!$A263)=15,SUMPRODUCT(--ISNUMBER(FIND(MID(Identity!$A263,ROW($4:$15),1),"ABCDEFGHIJKLMNOPQRSTUVWXYZ")))=6,SUMPRODUCT(--ISNUMBER(FIND(MID(Identity!$A263,ROW($4:$15),1),"0123456789")))=6))),FALSE))</f>
      </c>
    </row>
    <row r="264">
      <c r="D264">
        <f>IF(Identity!$A264="",TRUE,IFERROR(AND(ISTEXT(Identity!$A264),EXACT(Identity!$A264,UPPER(Identity!$A264)),COUNTIF(Identity!$A$2:$A$501,Identity!$A264)=1,OR(AND(LEFT(Identity!$A264,3)="AAI",LEN(Identity!$A264)=11,SUMPRODUCT(--ISNUMBER(FIND(MID(Identity!$A264,ROW($4:$11),1),"0123456789")))=8,IFERROR(VALUE(MID(Identity!$A264,6,2)),0)&gt;=1,IFERROR(VALUE(MID(Identity!$A264,6,2)),0)&lt;=12,RIGHT(Identity!$A264,4)&lt;&gt;"0000"),AND(LEFT(Identity!$A264,3)="AA-",LEN(Identity!$A264)=15,SUMPRODUCT(--ISNUMBER(FIND(MID(Identity!$A264,ROW($4:$15),1),"ABCDEFGHIJKLMNOPQRSTUVWXYZ")))=6,SUMPRODUCT(--ISNUMBER(FIND(MID(Identity!$A264,ROW($4:$15),1),"0123456789")))=6))),FALSE))</f>
      </c>
    </row>
    <row r="265">
      <c r="D265">
        <f>IF(Identity!$A265="",TRUE,IFERROR(AND(ISTEXT(Identity!$A265),EXACT(Identity!$A265,UPPER(Identity!$A265)),COUNTIF(Identity!$A$2:$A$501,Identity!$A265)=1,OR(AND(LEFT(Identity!$A265,3)="AAI",LEN(Identity!$A265)=11,SUMPRODUCT(--ISNUMBER(FIND(MID(Identity!$A265,ROW($4:$11),1),"0123456789")))=8,IFERROR(VALUE(MID(Identity!$A265,6,2)),0)&gt;=1,IFERROR(VALUE(MID(Identity!$A265,6,2)),0)&lt;=12,RIGHT(Identity!$A265,4)&lt;&gt;"0000"),AND(LEFT(Identity!$A265,3)="AA-",LEN(Identity!$A265)=15,SUMPRODUCT(--ISNUMBER(FIND(MID(Identity!$A265,ROW($4:$15),1),"ABCDEFGHIJKLMNOPQRSTUVWXYZ")))=6,SUMPRODUCT(--ISNUMBER(FIND(MID(Identity!$A265,ROW($4:$15),1),"0123456789")))=6))),FALSE))</f>
      </c>
    </row>
    <row r="266">
      <c r="D266">
        <f>IF(Identity!$A266="",TRUE,IFERROR(AND(ISTEXT(Identity!$A266),EXACT(Identity!$A266,UPPER(Identity!$A266)),COUNTIF(Identity!$A$2:$A$501,Identity!$A266)=1,OR(AND(LEFT(Identity!$A266,3)="AAI",LEN(Identity!$A266)=11,SUMPRODUCT(--ISNUMBER(FIND(MID(Identity!$A266,ROW($4:$11),1),"0123456789")))=8,IFERROR(VALUE(MID(Identity!$A266,6,2)),0)&gt;=1,IFERROR(VALUE(MID(Identity!$A266,6,2)),0)&lt;=12,RIGHT(Identity!$A266,4)&lt;&gt;"0000"),AND(LEFT(Identity!$A266,3)="AA-",LEN(Identity!$A266)=15,SUMPRODUCT(--ISNUMBER(FIND(MID(Identity!$A266,ROW($4:$15),1),"ABCDEFGHIJKLMNOPQRSTUVWXYZ")))=6,SUMPRODUCT(--ISNUMBER(FIND(MID(Identity!$A266,ROW($4:$15),1),"0123456789")))=6))),FALSE))</f>
      </c>
    </row>
    <row r="267">
      <c r="D267">
        <f>IF(Identity!$A267="",TRUE,IFERROR(AND(ISTEXT(Identity!$A267),EXACT(Identity!$A267,UPPER(Identity!$A267)),COUNTIF(Identity!$A$2:$A$501,Identity!$A267)=1,OR(AND(LEFT(Identity!$A267,3)="AAI",LEN(Identity!$A267)=11,SUMPRODUCT(--ISNUMBER(FIND(MID(Identity!$A267,ROW($4:$11),1),"0123456789")))=8,IFERROR(VALUE(MID(Identity!$A267,6,2)),0)&gt;=1,IFERROR(VALUE(MID(Identity!$A267,6,2)),0)&lt;=12,RIGHT(Identity!$A267,4)&lt;&gt;"0000"),AND(LEFT(Identity!$A267,3)="AA-",LEN(Identity!$A267)=15,SUMPRODUCT(--ISNUMBER(FIND(MID(Identity!$A267,ROW($4:$15),1),"ABCDEFGHIJKLMNOPQRSTUVWXYZ")))=6,SUMPRODUCT(--ISNUMBER(FIND(MID(Identity!$A267,ROW($4:$15),1),"0123456789")))=6))),FALSE))</f>
      </c>
    </row>
    <row r="268">
      <c r="D268">
        <f>IF(Identity!$A268="",TRUE,IFERROR(AND(ISTEXT(Identity!$A268),EXACT(Identity!$A268,UPPER(Identity!$A268)),COUNTIF(Identity!$A$2:$A$501,Identity!$A268)=1,OR(AND(LEFT(Identity!$A268,3)="AAI",LEN(Identity!$A268)=11,SUMPRODUCT(--ISNUMBER(FIND(MID(Identity!$A268,ROW($4:$11),1),"0123456789")))=8,IFERROR(VALUE(MID(Identity!$A268,6,2)),0)&gt;=1,IFERROR(VALUE(MID(Identity!$A268,6,2)),0)&lt;=12,RIGHT(Identity!$A268,4)&lt;&gt;"0000"),AND(LEFT(Identity!$A268,3)="AA-",LEN(Identity!$A268)=15,SUMPRODUCT(--ISNUMBER(FIND(MID(Identity!$A268,ROW($4:$15),1),"ABCDEFGHIJKLMNOPQRSTUVWXYZ")))=6,SUMPRODUCT(--ISNUMBER(FIND(MID(Identity!$A268,ROW($4:$15),1),"0123456789")))=6))),FALSE))</f>
      </c>
    </row>
    <row r="269">
      <c r="D269">
        <f>IF(Identity!$A269="",TRUE,IFERROR(AND(ISTEXT(Identity!$A269),EXACT(Identity!$A269,UPPER(Identity!$A269)),COUNTIF(Identity!$A$2:$A$501,Identity!$A269)=1,OR(AND(LEFT(Identity!$A269,3)="AAI",LEN(Identity!$A269)=11,SUMPRODUCT(--ISNUMBER(FIND(MID(Identity!$A269,ROW($4:$11),1),"0123456789")))=8,IFERROR(VALUE(MID(Identity!$A269,6,2)),0)&gt;=1,IFERROR(VALUE(MID(Identity!$A269,6,2)),0)&lt;=12,RIGHT(Identity!$A269,4)&lt;&gt;"0000"),AND(LEFT(Identity!$A269,3)="AA-",LEN(Identity!$A269)=15,SUMPRODUCT(--ISNUMBER(FIND(MID(Identity!$A269,ROW($4:$15),1),"ABCDEFGHIJKLMNOPQRSTUVWXYZ")))=6,SUMPRODUCT(--ISNUMBER(FIND(MID(Identity!$A269,ROW($4:$15),1),"0123456789")))=6))),FALSE))</f>
      </c>
    </row>
    <row r="270">
      <c r="D270">
        <f>IF(Identity!$A270="",TRUE,IFERROR(AND(ISTEXT(Identity!$A270),EXACT(Identity!$A270,UPPER(Identity!$A270)),COUNTIF(Identity!$A$2:$A$501,Identity!$A270)=1,OR(AND(LEFT(Identity!$A270,3)="AAI",LEN(Identity!$A270)=11,SUMPRODUCT(--ISNUMBER(FIND(MID(Identity!$A270,ROW($4:$11),1),"0123456789")))=8,IFERROR(VALUE(MID(Identity!$A270,6,2)),0)&gt;=1,IFERROR(VALUE(MID(Identity!$A270,6,2)),0)&lt;=12,RIGHT(Identity!$A270,4)&lt;&gt;"0000"),AND(LEFT(Identity!$A270,3)="AA-",LEN(Identity!$A270)=15,SUMPRODUCT(--ISNUMBER(FIND(MID(Identity!$A270,ROW($4:$15),1),"ABCDEFGHIJKLMNOPQRSTUVWXYZ")))=6,SUMPRODUCT(--ISNUMBER(FIND(MID(Identity!$A270,ROW($4:$15),1),"0123456789")))=6))),FALSE))</f>
      </c>
    </row>
    <row r="271">
      <c r="D271">
        <f>IF(Identity!$A271="",TRUE,IFERROR(AND(ISTEXT(Identity!$A271),EXACT(Identity!$A271,UPPER(Identity!$A271)),COUNTIF(Identity!$A$2:$A$501,Identity!$A271)=1,OR(AND(LEFT(Identity!$A271,3)="AAI",LEN(Identity!$A271)=11,SUMPRODUCT(--ISNUMBER(FIND(MID(Identity!$A271,ROW($4:$11),1),"0123456789")))=8,IFERROR(VALUE(MID(Identity!$A271,6,2)),0)&gt;=1,IFERROR(VALUE(MID(Identity!$A271,6,2)),0)&lt;=12,RIGHT(Identity!$A271,4)&lt;&gt;"0000"),AND(LEFT(Identity!$A271,3)="AA-",LEN(Identity!$A271)=15,SUMPRODUCT(--ISNUMBER(FIND(MID(Identity!$A271,ROW($4:$15),1),"ABCDEFGHIJKLMNOPQRSTUVWXYZ")))=6,SUMPRODUCT(--ISNUMBER(FIND(MID(Identity!$A271,ROW($4:$15),1),"0123456789")))=6))),FALSE))</f>
      </c>
    </row>
    <row r="272">
      <c r="D272">
        <f>IF(Identity!$A272="",TRUE,IFERROR(AND(ISTEXT(Identity!$A272),EXACT(Identity!$A272,UPPER(Identity!$A272)),COUNTIF(Identity!$A$2:$A$501,Identity!$A272)=1,OR(AND(LEFT(Identity!$A272,3)="AAI",LEN(Identity!$A272)=11,SUMPRODUCT(--ISNUMBER(FIND(MID(Identity!$A272,ROW($4:$11),1),"0123456789")))=8,IFERROR(VALUE(MID(Identity!$A272,6,2)),0)&gt;=1,IFERROR(VALUE(MID(Identity!$A272,6,2)),0)&lt;=12,RIGHT(Identity!$A272,4)&lt;&gt;"0000"),AND(LEFT(Identity!$A272,3)="AA-",LEN(Identity!$A272)=15,SUMPRODUCT(--ISNUMBER(FIND(MID(Identity!$A272,ROW($4:$15),1),"ABCDEFGHIJKLMNOPQRSTUVWXYZ")))=6,SUMPRODUCT(--ISNUMBER(FIND(MID(Identity!$A272,ROW($4:$15),1),"0123456789")))=6))),FALSE))</f>
      </c>
    </row>
    <row r="273">
      <c r="D273">
        <f>IF(Identity!$A273="",TRUE,IFERROR(AND(ISTEXT(Identity!$A273),EXACT(Identity!$A273,UPPER(Identity!$A273)),COUNTIF(Identity!$A$2:$A$501,Identity!$A273)=1,OR(AND(LEFT(Identity!$A273,3)="AAI",LEN(Identity!$A273)=11,SUMPRODUCT(--ISNUMBER(FIND(MID(Identity!$A273,ROW($4:$11),1),"0123456789")))=8,IFERROR(VALUE(MID(Identity!$A273,6,2)),0)&gt;=1,IFERROR(VALUE(MID(Identity!$A273,6,2)),0)&lt;=12,RIGHT(Identity!$A273,4)&lt;&gt;"0000"),AND(LEFT(Identity!$A273,3)="AA-",LEN(Identity!$A273)=15,SUMPRODUCT(--ISNUMBER(FIND(MID(Identity!$A273,ROW($4:$15),1),"ABCDEFGHIJKLMNOPQRSTUVWXYZ")))=6,SUMPRODUCT(--ISNUMBER(FIND(MID(Identity!$A273,ROW($4:$15),1),"0123456789")))=6))),FALSE))</f>
      </c>
    </row>
    <row r="274">
      <c r="D274">
        <f>IF(Identity!$A274="",TRUE,IFERROR(AND(ISTEXT(Identity!$A274),EXACT(Identity!$A274,UPPER(Identity!$A274)),COUNTIF(Identity!$A$2:$A$501,Identity!$A274)=1,OR(AND(LEFT(Identity!$A274,3)="AAI",LEN(Identity!$A274)=11,SUMPRODUCT(--ISNUMBER(FIND(MID(Identity!$A274,ROW($4:$11),1),"0123456789")))=8,IFERROR(VALUE(MID(Identity!$A274,6,2)),0)&gt;=1,IFERROR(VALUE(MID(Identity!$A274,6,2)),0)&lt;=12,RIGHT(Identity!$A274,4)&lt;&gt;"0000"),AND(LEFT(Identity!$A274,3)="AA-",LEN(Identity!$A274)=15,SUMPRODUCT(--ISNUMBER(FIND(MID(Identity!$A274,ROW($4:$15),1),"ABCDEFGHIJKLMNOPQRSTUVWXYZ")))=6,SUMPRODUCT(--ISNUMBER(FIND(MID(Identity!$A274,ROW($4:$15),1),"0123456789")))=6))),FALSE))</f>
      </c>
    </row>
    <row r="275">
      <c r="D275">
        <f>IF(Identity!$A275="",TRUE,IFERROR(AND(ISTEXT(Identity!$A275),EXACT(Identity!$A275,UPPER(Identity!$A275)),COUNTIF(Identity!$A$2:$A$501,Identity!$A275)=1,OR(AND(LEFT(Identity!$A275,3)="AAI",LEN(Identity!$A275)=11,SUMPRODUCT(--ISNUMBER(FIND(MID(Identity!$A275,ROW($4:$11),1),"0123456789")))=8,IFERROR(VALUE(MID(Identity!$A275,6,2)),0)&gt;=1,IFERROR(VALUE(MID(Identity!$A275,6,2)),0)&lt;=12,RIGHT(Identity!$A275,4)&lt;&gt;"0000"),AND(LEFT(Identity!$A275,3)="AA-",LEN(Identity!$A275)=15,SUMPRODUCT(--ISNUMBER(FIND(MID(Identity!$A275,ROW($4:$15),1),"ABCDEFGHIJKLMNOPQRSTUVWXYZ")))=6,SUMPRODUCT(--ISNUMBER(FIND(MID(Identity!$A275,ROW($4:$15),1),"0123456789")))=6))),FALSE))</f>
      </c>
    </row>
    <row r="276">
      <c r="D276">
        <f>IF(Identity!$A276="",TRUE,IFERROR(AND(ISTEXT(Identity!$A276),EXACT(Identity!$A276,UPPER(Identity!$A276)),COUNTIF(Identity!$A$2:$A$501,Identity!$A276)=1,OR(AND(LEFT(Identity!$A276,3)="AAI",LEN(Identity!$A276)=11,SUMPRODUCT(--ISNUMBER(FIND(MID(Identity!$A276,ROW($4:$11),1),"0123456789")))=8,IFERROR(VALUE(MID(Identity!$A276,6,2)),0)&gt;=1,IFERROR(VALUE(MID(Identity!$A276,6,2)),0)&lt;=12,RIGHT(Identity!$A276,4)&lt;&gt;"0000"),AND(LEFT(Identity!$A276,3)="AA-",LEN(Identity!$A276)=15,SUMPRODUCT(--ISNUMBER(FIND(MID(Identity!$A276,ROW($4:$15),1),"ABCDEFGHIJKLMNOPQRSTUVWXYZ")))=6,SUMPRODUCT(--ISNUMBER(FIND(MID(Identity!$A276,ROW($4:$15),1),"0123456789")))=6))),FALSE))</f>
      </c>
    </row>
    <row r="277">
      <c r="D277">
        <f>IF(Identity!$A277="",TRUE,IFERROR(AND(ISTEXT(Identity!$A277),EXACT(Identity!$A277,UPPER(Identity!$A277)),COUNTIF(Identity!$A$2:$A$501,Identity!$A277)=1,OR(AND(LEFT(Identity!$A277,3)="AAI",LEN(Identity!$A277)=11,SUMPRODUCT(--ISNUMBER(FIND(MID(Identity!$A277,ROW($4:$11),1),"0123456789")))=8,IFERROR(VALUE(MID(Identity!$A277,6,2)),0)&gt;=1,IFERROR(VALUE(MID(Identity!$A277,6,2)),0)&lt;=12,RIGHT(Identity!$A277,4)&lt;&gt;"0000"),AND(LEFT(Identity!$A277,3)="AA-",LEN(Identity!$A277)=15,SUMPRODUCT(--ISNUMBER(FIND(MID(Identity!$A277,ROW($4:$15),1),"ABCDEFGHIJKLMNOPQRSTUVWXYZ")))=6,SUMPRODUCT(--ISNUMBER(FIND(MID(Identity!$A277,ROW($4:$15),1),"0123456789")))=6))),FALSE))</f>
      </c>
    </row>
    <row r="278">
      <c r="D278">
        <f>IF(Identity!$A278="",TRUE,IFERROR(AND(ISTEXT(Identity!$A278),EXACT(Identity!$A278,UPPER(Identity!$A278)),COUNTIF(Identity!$A$2:$A$501,Identity!$A278)=1,OR(AND(LEFT(Identity!$A278,3)="AAI",LEN(Identity!$A278)=11,SUMPRODUCT(--ISNUMBER(FIND(MID(Identity!$A278,ROW($4:$11),1),"0123456789")))=8,IFERROR(VALUE(MID(Identity!$A278,6,2)),0)&gt;=1,IFERROR(VALUE(MID(Identity!$A278,6,2)),0)&lt;=12,RIGHT(Identity!$A278,4)&lt;&gt;"0000"),AND(LEFT(Identity!$A278,3)="AA-",LEN(Identity!$A278)=15,SUMPRODUCT(--ISNUMBER(FIND(MID(Identity!$A278,ROW($4:$15),1),"ABCDEFGHIJKLMNOPQRSTUVWXYZ")))=6,SUMPRODUCT(--ISNUMBER(FIND(MID(Identity!$A278,ROW($4:$15),1),"0123456789")))=6))),FALSE))</f>
      </c>
    </row>
    <row r="279">
      <c r="D279">
        <f>IF(Identity!$A279="",TRUE,IFERROR(AND(ISTEXT(Identity!$A279),EXACT(Identity!$A279,UPPER(Identity!$A279)),COUNTIF(Identity!$A$2:$A$501,Identity!$A279)=1,OR(AND(LEFT(Identity!$A279,3)="AAI",LEN(Identity!$A279)=11,SUMPRODUCT(--ISNUMBER(FIND(MID(Identity!$A279,ROW($4:$11),1),"0123456789")))=8,IFERROR(VALUE(MID(Identity!$A279,6,2)),0)&gt;=1,IFERROR(VALUE(MID(Identity!$A279,6,2)),0)&lt;=12,RIGHT(Identity!$A279,4)&lt;&gt;"0000"),AND(LEFT(Identity!$A279,3)="AA-",LEN(Identity!$A279)=15,SUMPRODUCT(--ISNUMBER(FIND(MID(Identity!$A279,ROW($4:$15),1),"ABCDEFGHIJKLMNOPQRSTUVWXYZ")))=6,SUMPRODUCT(--ISNUMBER(FIND(MID(Identity!$A279,ROW($4:$15),1),"0123456789")))=6))),FALSE))</f>
      </c>
    </row>
    <row r="280">
      <c r="D280">
        <f>IF(Identity!$A280="",TRUE,IFERROR(AND(ISTEXT(Identity!$A280),EXACT(Identity!$A280,UPPER(Identity!$A280)),COUNTIF(Identity!$A$2:$A$501,Identity!$A280)=1,OR(AND(LEFT(Identity!$A280,3)="AAI",LEN(Identity!$A280)=11,SUMPRODUCT(--ISNUMBER(FIND(MID(Identity!$A280,ROW($4:$11),1),"0123456789")))=8,IFERROR(VALUE(MID(Identity!$A280,6,2)),0)&gt;=1,IFERROR(VALUE(MID(Identity!$A280,6,2)),0)&lt;=12,RIGHT(Identity!$A280,4)&lt;&gt;"0000"),AND(LEFT(Identity!$A280,3)="AA-",LEN(Identity!$A280)=15,SUMPRODUCT(--ISNUMBER(FIND(MID(Identity!$A280,ROW($4:$15),1),"ABCDEFGHIJKLMNOPQRSTUVWXYZ")))=6,SUMPRODUCT(--ISNUMBER(FIND(MID(Identity!$A280,ROW($4:$15),1),"0123456789")))=6))),FALSE))</f>
      </c>
    </row>
    <row r="281">
      <c r="D281">
        <f>IF(Identity!$A281="",TRUE,IFERROR(AND(ISTEXT(Identity!$A281),EXACT(Identity!$A281,UPPER(Identity!$A281)),COUNTIF(Identity!$A$2:$A$501,Identity!$A281)=1,OR(AND(LEFT(Identity!$A281,3)="AAI",LEN(Identity!$A281)=11,SUMPRODUCT(--ISNUMBER(FIND(MID(Identity!$A281,ROW($4:$11),1),"0123456789")))=8,IFERROR(VALUE(MID(Identity!$A281,6,2)),0)&gt;=1,IFERROR(VALUE(MID(Identity!$A281,6,2)),0)&lt;=12,RIGHT(Identity!$A281,4)&lt;&gt;"0000"),AND(LEFT(Identity!$A281,3)="AA-",LEN(Identity!$A281)=15,SUMPRODUCT(--ISNUMBER(FIND(MID(Identity!$A281,ROW($4:$15),1),"ABCDEFGHIJKLMNOPQRSTUVWXYZ")))=6,SUMPRODUCT(--ISNUMBER(FIND(MID(Identity!$A281,ROW($4:$15),1),"0123456789")))=6))),FALSE))</f>
      </c>
    </row>
    <row r="282">
      <c r="D282">
        <f>IF(Identity!$A282="",TRUE,IFERROR(AND(ISTEXT(Identity!$A282),EXACT(Identity!$A282,UPPER(Identity!$A282)),COUNTIF(Identity!$A$2:$A$501,Identity!$A282)=1,OR(AND(LEFT(Identity!$A282,3)="AAI",LEN(Identity!$A282)=11,SUMPRODUCT(--ISNUMBER(FIND(MID(Identity!$A282,ROW($4:$11),1),"0123456789")))=8,IFERROR(VALUE(MID(Identity!$A282,6,2)),0)&gt;=1,IFERROR(VALUE(MID(Identity!$A282,6,2)),0)&lt;=12,RIGHT(Identity!$A282,4)&lt;&gt;"0000"),AND(LEFT(Identity!$A282,3)="AA-",LEN(Identity!$A282)=15,SUMPRODUCT(--ISNUMBER(FIND(MID(Identity!$A282,ROW($4:$15),1),"ABCDEFGHIJKLMNOPQRSTUVWXYZ")))=6,SUMPRODUCT(--ISNUMBER(FIND(MID(Identity!$A282,ROW($4:$15),1),"0123456789")))=6))),FALSE))</f>
      </c>
    </row>
    <row r="283">
      <c r="D283">
        <f>IF(Identity!$A283="",TRUE,IFERROR(AND(ISTEXT(Identity!$A283),EXACT(Identity!$A283,UPPER(Identity!$A283)),COUNTIF(Identity!$A$2:$A$501,Identity!$A283)=1,OR(AND(LEFT(Identity!$A283,3)="AAI",LEN(Identity!$A283)=11,SUMPRODUCT(--ISNUMBER(FIND(MID(Identity!$A283,ROW($4:$11),1),"0123456789")))=8,IFERROR(VALUE(MID(Identity!$A283,6,2)),0)&gt;=1,IFERROR(VALUE(MID(Identity!$A283,6,2)),0)&lt;=12,RIGHT(Identity!$A283,4)&lt;&gt;"0000"),AND(LEFT(Identity!$A283,3)="AA-",LEN(Identity!$A283)=15,SUMPRODUCT(--ISNUMBER(FIND(MID(Identity!$A283,ROW($4:$15),1),"ABCDEFGHIJKLMNOPQRSTUVWXYZ")))=6,SUMPRODUCT(--ISNUMBER(FIND(MID(Identity!$A283,ROW($4:$15),1),"0123456789")))=6))),FALSE))</f>
      </c>
    </row>
    <row r="284">
      <c r="D284">
        <f>IF(Identity!$A284="",TRUE,IFERROR(AND(ISTEXT(Identity!$A284),EXACT(Identity!$A284,UPPER(Identity!$A284)),COUNTIF(Identity!$A$2:$A$501,Identity!$A284)=1,OR(AND(LEFT(Identity!$A284,3)="AAI",LEN(Identity!$A284)=11,SUMPRODUCT(--ISNUMBER(FIND(MID(Identity!$A284,ROW($4:$11),1),"0123456789")))=8,IFERROR(VALUE(MID(Identity!$A284,6,2)),0)&gt;=1,IFERROR(VALUE(MID(Identity!$A284,6,2)),0)&lt;=12,RIGHT(Identity!$A284,4)&lt;&gt;"0000"),AND(LEFT(Identity!$A284,3)="AA-",LEN(Identity!$A284)=15,SUMPRODUCT(--ISNUMBER(FIND(MID(Identity!$A284,ROW($4:$15),1),"ABCDEFGHIJKLMNOPQRSTUVWXYZ")))=6,SUMPRODUCT(--ISNUMBER(FIND(MID(Identity!$A284,ROW($4:$15),1),"0123456789")))=6))),FALSE))</f>
      </c>
    </row>
    <row r="285">
      <c r="D285">
        <f>IF(Identity!$A285="",TRUE,IFERROR(AND(ISTEXT(Identity!$A285),EXACT(Identity!$A285,UPPER(Identity!$A285)),COUNTIF(Identity!$A$2:$A$501,Identity!$A285)=1,OR(AND(LEFT(Identity!$A285,3)="AAI",LEN(Identity!$A285)=11,SUMPRODUCT(--ISNUMBER(FIND(MID(Identity!$A285,ROW($4:$11),1),"0123456789")))=8,IFERROR(VALUE(MID(Identity!$A285,6,2)),0)&gt;=1,IFERROR(VALUE(MID(Identity!$A285,6,2)),0)&lt;=12,RIGHT(Identity!$A285,4)&lt;&gt;"0000"),AND(LEFT(Identity!$A285,3)="AA-",LEN(Identity!$A285)=15,SUMPRODUCT(--ISNUMBER(FIND(MID(Identity!$A285,ROW($4:$15),1),"ABCDEFGHIJKLMNOPQRSTUVWXYZ")))=6,SUMPRODUCT(--ISNUMBER(FIND(MID(Identity!$A285,ROW($4:$15),1),"0123456789")))=6))),FALSE))</f>
      </c>
    </row>
    <row r="286">
      <c r="D286">
        <f>IF(Identity!$A286="",TRUE,IFERROR(AND(ISTEXT(Identity!$A286),EXACT(Identity!$A286,UPPER(Identity!$A286)),COUNTIF(Identity!$A$2:$A$501,Identity!$A286)=1,OR(AND(LEFT(Identity!$A286,3)="AAI",LEN(Identity!$A286)=11,SUMPRODUCT(--ISNUMBER(FIND(MID(Identity!$A286,ROW($4:$11),1),"0123456789")))=8,IFERROR(VALUE(MID(Identity!$A286,6,2)),0)&gt;=1,IFERROR(VALUE(MID(Identity!$A286,6,2)),0)&lt;=12,RIGHT(Identity!$A286,4)&lt;&gt;"0000"),AND(LEFT(Identity!$A286,3)="AA-",LEN(Identity!$A286)=15,SUMPRODUCT(--ISNUMBER(FIND(MID(Identity!$A286,ROW($4:$15),1),"ABCDEFGHIJKLMNOPQRSTUVWXYZ")))=6,SUMPRODUCT(--ISNUMBER(FIND(MID(Identity!$A286,ROW($4:$15),1),"0123456789")))=6))),FALSE))</f>
      </c>
    </row>
    <row r="287">
      <c r="D287">
        <f>IF(Identity!$A287="",TRUE,IFERROR(AND(ISTEXT(Identity!$A287),EXACT(Identity!$A287,UPPER(Identity!$A287)),COUNTIF(Identity!$A$2:$A$501,Identity!$A287)=1,OR(AND(LEFT(Identity!$A287,3)="AAI",LEN(Identity!$A287)=11,SUMPRODUCT(--ISNUMBER(FIND(MID(Identity!$A287,ROW($4:$11),1),"0123456789")))=8,IFERROR(VALUE(MID(Identity!$A287,6,2)),0)&gt;=1,IFERROR(VALUE(MID(Identity!$A287,6,2)),0)&lt;=12,RIGHT(Identity!$A287,4)&lt;&gt;"0000"),AND(LEFT(Identity!$A287,3)="AA-",LEN(Identity!$A287)=15,SUMPRODUCT(--ISNUMBER(FIND(MID(Identity!$A287,ROW($4:$15),1),"ABCDEFGHIJKLMNOPQRSTUVWXYZ")))=6,SUMPRODUCT(--ISNUMBER(FIND(MID(Identity!$A287,ROW($4:$15),1),"0123456789")))=6))),FALSE))</f>
      </c>
    </row>
    <row r="288">
      <c r="D288">
        <f>IF(Identity!$A288="",TRUE,IFERROR(AND(ISTEXT(Identity!$A288),EXACT(Identity!$A288,UPPER(Identity!$A288)),COUNTIF(Identity!$A$2:$A$501,Identity!$A288)=1,OR(AND(LEFT(Identity!$A288,3)="AAI",LEN(Identity!$A288)=11,SUMPRODUCT(--ISNUMBER(FIND(MID(Identity!$A288,ROW($4:$11),1),"0123456789")))=8,IFERROR(VALUE(MID(Identity!$A288,6,2)),0)&gt;=1,IFERROR(VALUE(MID(Identity!$A288,6,2)),0)&lt;=12,RIGHT(Identity!$A288,4)&lt;&gt;"0000"),AND(LEFT(Identity!$A288,3)="AA-",LEN(Identity!$A288)=15,SUMPRODUCT(--ISNUMBER(FIND(MID(Identity!$A288,ROW($4:$15),1),"ABCDEFGHIJKLMNOPQRSTUVWXYZ")))=6,SUMPRODUCT(--ISNUMBER(FIND(MID(Identity!$A288,ROW($4:$15),1),"0123456789")))=6))),FALSE))</f>
      </c>
    </row>
    <row r="289">
      <c r="D289">
        <f>IF(Identity!$A289="",TRUE,IFERROR(AND(ISTEXT(Identity!$A289),EXACT(Identity!$A289,UPPER(Identity!$A289)),COUNTIF(Identity!$A$2:$A$501,Identity!$A289)=1,OR(AND(LEFT(Identity!$A289,3)="AAI",LEN(Identity!$A289)=11,SUMPRODUCT(--ISNUMBER(FIND(MID(Identity!$A289,ROW($4:$11),1),"0123456789")))=8,IFERROR(VALUE(MID(Identity!$A289,6,2)),0)&gt;=1,IFERROR(VALUE(MID(Identity!$A289,6,2)),0)&lt;=12,RIGHT(Identity!$A289,4)&lt;&gt;"0000"),AND(LEFT(Identity!$A289,3)="AA-",LEN(Identity!$A289)=15,SUMPRODUCT(--ISNUMBER(FIND(MID(Identity!$A289,ROW($4:$15),1),"ABCDEFGHIJKLMNOPQRSTUVWXYZ")))=6,SUMPRODUCT(--ISNUMBER(FIND(MID(Identity!$A289,ROW($4:$15),1),"0123456789")))=6))),FALSE))</f>
      </c>
    </row>
    <row r="290">
      <c r="D290">
        <f>IF(Identity!$A290="",TRUE,IFERROR(AND(ISTEXT(Identity!$A290),EXACT(Identity!$A290,UPPER(Identity!$A290)),COUNTIF(Identity!$A$2:$A$501,Identity!$A290)=1,OR(AND(LEFT(Identity!$A290,3)="AAI",LEN(Identity!$A290)=11,SUMPRODUCT(--ISNUMBER(FIND(MID(Identity!$A290,ROW($4:$11),1),"0123456789")))=8,IFERROR(VALUE(MID(Identity!$A290,6,2)),0)&gt;=1,IFERROR(VALUE(MID(Identity!$A290,6,2)),0)&lt;=12,RIGHT(Identity!$A290,4)&lt;&gt;"0000"),AND(LEFT(Identity!$A290,3)="AA-",LEN(Identity!$A290)=15,SUMPRODUCT(--ISNUMBER(FIND(MID(Identity!$A290,ROW($4:$15),1),"ABCDEFGHIJKLMNOPQRSTUVWXYZ")))=6,SUMPRODUCT(--ISNUMBER(FIND(MID(Identity!$A290,ROW($4:$15),1),"0123456789")))=6))),FALSE))</f>
      </c>
    </row>
    <row r="291">
      <c r="D291">
        <f>IF(Identity!$A291="",TRUE,IFERROR(AND(ISTEXT(Identity!$A291),EXACT(Identity!$A291,UPPER(Identity!$A291)),COUNTIF(Identity!$A$2:$A$501,Identity!$A291)=1,OR(AND(LEFT(Identity!$A291,3)="AAI",LEN(Identity!$A291)=11,SUMPRODUCT(--ISNUMBER(FIND(MID(Identity!$A291,ROW($4:$11),1),"0123456789")))=8,IFERROR(VALUE(MID(Identity!$A291,6,2)),0)&gt;=1,IFERROR(VALUE(MID(Identity!$A291,6,2)),0)&lt;=12,RIGHT(Identity!$A291,4)&lt;&gt;"0000"),AND(LEFT(Identity!$A291,3)="AA-",LEN(Identity!$A291)=15,SUMPRODUCT(--ISNUMBER(FIND(MID(Identity!$A291,ROW($4:$15),1),"ABCDEFGHIJKLMNOPQRSTUVWXYZ")))=6,SUMPRODUCT(--ISNUMBER(FIND(MID(Identity!$A291,ROW($4:$15),1),"0123456789")))=6))),FALSE))</f>
      </c>
    </row>
    <row r="292">
      <c r="D292">
        <f>IF(Identity!$A292="",TRUE,IFERROR(AND(ISTEXT(Identity!$A292),EXACT(Identity!$A292,UPPER(Identity!$A292)),COUNTIF(Identity!$A$2:$A$501,Identity!$A292)=1,OR(AND(LEFT(Identity!$A292,3)="AAI",LEN(Identity!$A292)=11,SUMPRODUCT(--ISNUMBER(FIND(MID(Identity!$A292,ROW($4:$11),1),"0123456789")))=8,IFERROR(VALUE(MID(Identity!$A292,6,2)),0)&gt;=1,IFERROR(VALUE(MID(Identity!$A292,6,2)),0)&lt;=12,RIGHT(Identity!$A292,4)&lt;&gt;"0000"),AND(LEFT(Identity!$A292,3)="AA-",LEN(Identity!$A292)=15,SUMPRODUCT(--ISNUMBER(FIND(MID(Identity!$A292,ROW($4:$15),1),"ABCDEFGHIJKLMNOPQRSTUVWXYZ")))=6,SUMPRODUCT(--ISNUMBER(FIND(MID(Identity!$A292,ROW($4:$15),1),"0123456789")))=6))),FALSE))</f>
      </c>
    </row>
    <row r="293">
      <c r="D293">
        <f>IF(Identity!$A293="",TRUE,IFERROR(AND(ISTEXT(Identity!$A293),EXACT(Identity!$A293,UPPER(Identity!$A293)),COUNTIF(Identity!$A$2:$A$501,Identity!$A293)=1,OR(AND(LEFT(Identity!$A293,3)="AAI",LEN(Identity!$A293)=11,SUMPRODUCT(--ISNUMBER(FIND(MID(Identity!$A293,ROW($4:$11),1),"0123456789")))=8,IFERROR(VALUE(MID(Identity!$A293,6,2)),0)&gt;=1,IFERROR(VALUE(MID(Identity!$A293,6,2)),0)&lt;=12,RIGHT(Identity!$A293,4)&lt;&gt;"0000"),AND(LEFT(Identity!$A293,3)="AA-",LEN(Identity!$A293)=15,SUMPRODUCT(--ISNUMBER(FIND(MID(Identity!$A293,ROW($4:$15),1),"ABCDEFGHIJKLMNOPQRSTUVWXYZ")))=6,SUMPRODUCT(--ISNUMBER(FIND(MID(Identity!$A293,ROW($4:$15),1),"0123456789")))=6))),FALSE))</f>
      </c>
    </row>
    <row r="294">
      <c r="D294">
        <f>IF(Identity!$A294="",TRUE,IFERROR(AND(ISTEXT(Identity!$A294),EXACT(Identity!$A294,UPPER(Identity!$A294)),COUNTIF(Identity!$A$2:$A$501,Identity!$A294)=1,OR(AND(LEFT(Identity!$A294,3)="AAI",LEN(Identity!$A294)=11,SUMPRODUCT(--ISNUMBER(FIND(MID(Identity!$A294,ROW($4:$11),1),"0123456789")))=8,IFERROR(VALUE(MID(Identity!$A294,6,2)),0)&gt;=1,IFERROR(VALUE(MID(Identity!$A294,6,2)),0)&lt;=12,RIGHT(Identity!$A294,4)&lt;&gt;"0000"),AND(LEFT(Identity!$A294,3)="AA-",LEN(Identity!$A294)=15,SUMPRODUCT(--ISNUMBER(FIND(MID(Identity!$A294,ROW($4:$15),1),"ABCDEFGHIJKLMNOPQRSTUVWXYZ")))=6,SUMPRODUCT(--ISNUMBER(FIND(MID(Identity!$A294,ROW($4:$15),1),"0123456789")))=6))),FALSE))</f>
      </c>
    </row>
    <row r="295">
      <c r="D295">
        <f>IF(Identity!$A295="",TRUE,IFERROR(AND(ISTEXT(Identity!$A295),EXACT(Identity!$A295,UPPER(Identity!$A295)),COUNTIF(Identity!$A$2:$A$501,Identity!$A295)=1,OR(AND(LEFT(Identity!$A295,3)="AAI",LEN(Identity!$A295)=11,SUMPRODUCT(--ISNUMBER(FIND(MID(Identity!$A295,ROW($4:$11),1),"0123456789")))=8,IFERROR(VALUE(MID(Identity!$A295,6,2)),0)&gt;=1,IFERROR(VALUE(MID(Identity!$A295,6,2)),0)&lt;=12,RIGHT(Identity!$A295,4)&lt;&gt;"0000"),AND(LEFT(Identity!$A295,3)="AA-",LEN(Identity!$A295)=15,SUMPRODUCT(--ISNUMBER(FIND(MID(Identity!$A295,ROW($4:$15),1),"ABCDEFGHIJKLMNOPQRSTUVWXYZ")))=6,SUMPRODUCT(--ISNUMBER(FIND(MID(Identity!$A295,ROW($4:$15),1),"0123456789")))=6))),FALSE))</f>
      </c>
    </row>
    <row r="296">
      <c r="D296">
        <f>IF(Identity!$A296="",TRUE,IFERROR(AND(ISTEXT(Identity!$A296),EXACT(Identity!$A296,UPPER(Identity!$A296)),COUNTIF(Identity!$A$2:$A$501,Identity!$A296)=1,OR(AND(LEFT(Identity!$A296,3)="AAI",LEN(Identity!$A296)=11,SUMPRODUCT(--ISNUMBER(FIND(MID(Identity!$A296,ROW($4:$11),1),"0123456789")))=8,IFERROR(VALUE(MID(Identity!$A296,6,2)),0)&gt;=1,IFERROR(VALUE(MID(Identity!$A296,6,2)),0)&lt;=12,RIGHT(Identity!$A296,4)&lt;&gt;"0000"),AND(LEFT(Identity!$A296,3)="AA-",LEN(Identity!$A296)=15,SUMPRODUCT(--ISNUMBER(FIND(MID(Identity!$A296,ROW($4:$15),1),"ABCDEFGHIJKLMNOPQRSTUVWXYZ")))=6,SUMPRODUCT(--ISNUMBER(FIND(MID(Identity!$A296,ROW($4:$15),1),"0123456789")))=6))),FALSE))</f>
      </c>
    </row>
    <row r="297">
      <c r="D297">
        <f>IF(Identity!$A297="",TRUE,IFERROR(AND(ISTEXT(Identity!$A297),EXACT(Identity!$A297,UPPER(Identity!$A297)),COUNTIF(Identity!$A$2:$A$501,Identity!$A297)=1,OR(AND(LEFT(Identity!$A297,3)="AAI",LEN(Identity!$A297)=11,SUMPRODUCT(--ISNUMBER(FIND(MID(Identity!$A297,ROW($4:$11),1),"0123456789")))=8,IFERROR(VALUE(MID(Identity!$A297,6,2)),0)&gt;=1,IFERROR(VALUE(MID(Identity!$A297,6,2)),0)&lt;=12,RIGHT(Identity!$A297,4)&lt;&gt;"0000"),AND(LEFT(Identity!$A297,3)="AA-",LEN(Identity!$A297)=15,SUMPRODUCT(--ISNUMBER(FIND(MID(Identity!$A297,ROW($4:$15),1),"ABCDEFGHIJKLMNOPQRSTUVWXYZ")))=6,SUMPRODUCT(--ISNUMBER(FIND(MID(Identity!$A297,ROW($4:$15),1),"0123456789")))=6))),FALSE))</f>
      </c>
    </row>
    <row r="298">
      <c r="D298">
        <f>IF(Identity!$A298="",TRUE,IFERROR(AND(ISTEXT(Identity!$A298),EXACT(Identity!$A298,UPPER(Identity!$A298)),COUNTIF(Identity!$A$2:$A$501,Identity!$A298)=1,OR(AND(LEFT(Identity!$A298,3)="AAI",LEN(Identity!$A298)=11,SUMPRODUCT(--ISNUMBER(FIND(MID(Identity!$A298,ROW($4:$11),1),"0123456789")))=8,IFERROR(VALUE(MID(Identity!$A298,6,2)),0)&gt;=1,IFERROR(VALUE(MID(Identity!$A298,6,2)),0)&lt;=12,RIGHT(Identity!$A298,4)&lt;&gt;"0000"),AND(LEFT(Identity!$A298,3)="AA-",LEN(Identity!$A298)=15,SUMPRODUCT(--ISNUMBER(FIND(MID(Identity!$A298,ROW($4:$15),1),"ABCDEFGHIJKLMNOPQRSTUVWXYZ")))=6,SUMPRODUCT(--ISNUMBER(FIND(MID(Identity!$A298,ROW($4:$15),1),"0123456789")))=6))),FALSE))</f>
      </c>
    </row>
    <row r="299">
      <c r="D299">
        <f>IF(Identity!$A299="",TRUE,IFERROR(AND(ISTEXT(Identity!$A299),EXACT(Identity!$A299,UPPER(Identity!$A299)),COUNTIF(Identity!$A$2:$A$501,Identity!$A299)=1,OR(AND(LEFT(Identity!$A299,3)="AAI",LEN(Identity!$A299)=11,SUMPRODUCT(--ISNUMBER(FIND(MID(Identity!$A299,ROW($4:$11),1),"0123456789")))=8,IFERROR(VALUE(MID(Identity!$A299,6,2)),0)&gt;=1,IFERROR(VALUE(MID(Identity!$A299,6,2)),0)&lt;=12,RIGHT(Identity!$A299,4)&lt;&gt;"0000"),AND(LEFT(Identity!$A299,3)="AA-",LEN(Identity!$A299)=15,SUMPRODUCT(--ISNUMBER(FIND(MID(Identity!$A299,ROW($4:$15),1),"ABCDEFGHIJKLMNOPQRSTUVWXYZ")))=6,SUMPRODUCT(--ISNUMBER(FIND(MID(Identity!$A299,ROW($4:$15),1),"0123456789")))=6))),FALSE))</f>
      </c>
    </row>
    <row r="300">
      <c r="D300">
        <f>IF(Identity!$A300="",TRUE,IFERROR(AND(ISTEXT(Identity!$A300),EXACT(Identity!$A300,UPPER(Identity!$A300)),COUNTIF(Identity!$A$2:$A$501,Identity!$A300)=1,OR(AND(LEFT(Identity!$A300,3)="AAI",LEN(Identity!$A300)=11,SUMPRODUCT(--ISNUMBER(FIND(MID(Identity!$A300,ROW($4:$11),1),"0123456789")))=8,IFERROR(VALUE(MID(Identity!$A300,6,2)),0)&gt;=1,IFERROR(VALUE(MID(Identity!$A300,6,2)),0)&lt;=12,RIGHT(Identity!$A300,4)&lt;&gt;"0000"),AND(LEFT(Identity!$A300,3)="AA-",LEN(Identity!$A300)=15,SUMPRODUCT(--ISNUMBER(FIND(MID(Identity!$A300,ROW($4:$15),1),"ABCDEFGHIJKLMNOPQRSTUVWXYZ")))=6,SUMPRODUCT(--ISNUMBER(FIND(MID(Identity!$A300,ROW($4:$15),1),"0123456789")))=6))),FALSE))</f>
      </c>
    </row>
    <row r="301">
      <c r="D301">
        <f>IF(Identity!$A301="",TRUE,IFERROR(AND(ISTEXT(Identity!$A301),EXACT(Identity!$A301,UPPER(Identity!$A301)),COUNTIF(Identity!$A$2:$A$501,Identity!$A301)=1,OR(AND(LEFT(Identity!$A301,3)="AAI",LEN(Identity!$A301)=11,SUMPRODUCT(--ISNUMBER(FIND(MID(Identity!$A301,ROW($4:$11),1),"0123456789")))=8,IFERROR(VALUE(MID(Identity!$A301,6,2)),0)&gt;=1,IFERROR(VALUE(MID(Identity!$A301,6,2)),0)&lt;=12,RIGHT(Identity!$A301,4)&lt;&gt;"0000"),AND(LEFT(Identity!$A301,3)="AA-",LEN(Identity!$A301)=15,SUMPRODUCT(--ISNUMBER(FIND(MID(Identity!$A301,ROW($4:$15),1),"ABCDEFGHIJKLMNOPQRSTUVWXYZ")))=6,SUMPRODUCT(--ISNUMBER(FIND(MID(Identity!$A301,ROW($4:$15),1),"0123456789")))=6))),FALSE))</f>
      </c>
    </row>
    <row r="302">
      <c r="D302">
        <f>IF(Identity!$A302="",TRUE,IFERROR(AND(ISTEXT(Identity!$A302),EXACT(Identity!$A302,UPPER(Identity!$A302)),COUNTIF(Identity!$A$2:$A$501,Identity!$A302)=1,OR(AND(LEFT(Identity!$A302,3)="AAI",LEN(Identity!$A302)=11,SUMPRODUCT(--ISNUMBER(FIND(MID(Identity!$A302,ROW($4:$11),1),"0123456789")))=8,IFERROR(VALUE(MID(Identity!$A302,6,2)),0)&gt;=1,IFERROR(VALUE(MID(Identity!$A302,6,2)),0)&lt;=12,RIGHT(Identity!$A302,4)&lt;&gt;"0000"),AND(LEFT(Identity!$A302,3)="AA-",LEN(Identity!$A302)=15,SUMPRODUCT(--ISNUMBER(FIND(MID(Identity!$A302,ROW($4:$15),1),"ABCDEFGHIJKLMNOPQRSTUVWXYZ")))=6,SUMPRODUCT(--ISNUMBER(FIND(MID(Identity!$A302,ROW($4:$15),1),"0123456789")))=6))),FALSE))</f>
      </c>
    </row>
    <row r="303">
      <c r="D303">
        <f>IF(Identity!$A303="",TRUE,IFERROR(AND(ISTEXT(Identity!$A303),EXACT(Identity!$A303,UPPER(Identity!$A303)),COUNTIF(Identity!$A$2:$A$501,Identity!$A303)=1,OR(AND(LEFT(Identity!$A303,3)="AAI",LEN(Identity!$A303)=11,SUMPRODUCT(--ISNUMBER(FIND(MID(Identity!$A303,ROW($4:$11),1),"0123456789")))=8,IFERROR(VALUE(MID(Identity!$A303,6,2)),0)&gt;=1,IFERROR(VALUE(MID(Identity!$A303,6,2)),0)&lt;=12,RIGHT(Identity!$A303,4)&lt;&gt;"0000"),AND(LEFT(Identity!$A303,3)="AA-",LEN(Identity!$A303)=15,SUMPRODUCT(--ISNUMBER(FIND(MID(Identity!$A303,ROW($4:$15),1),"ABCDEFGHIJKLMNOPQRSTUVWXYZ")))=6,SUMPRODUCT(--ISNUMBER(FIND(MID(Identity!$A303,ROW($4:$15),1),"0123456789")))=6))),FALSE))</f>
      </c>
    </row>
    <row r="304">
      <c r="D304">
        <f>IF(Identity!$A304="",TRUE,IFERROR(AND(ISTEXT(Identity!$A304),EXACT(Identity!$A304,UPPER(Identity!$A304)),COUNTIF(Identity!$A$2:$A$501,Identity!$A304)=1,OR(AND(LEFT(Identity!$A304,3)="AAI",LEN(Identity!$A304)=11,SUMPRODUCT(--ISNUMBER(FIND(MID(Identity!$A304,ROW($4:$11),1),"0123456789")))=8,IFERROR(VALUE(MID(Identity!$A304,6,2)),0)&gt;=1,IFERROR(VALUE(MID(Identity!$A304,6,2)),0)&lt;=12,RIGHT(Identity!$A304,4)&lt;&gt;"0000"),AND(LEFT(Identity!$A304,3)="AA-",LEN(Identity!$A304)=15,SUMPRODUCT(--ISNUMBER(FIND(MID(Identity!$A304,ROW($4:$15),1),"ABCDEFGHIJKLMNOPQRSTUVWXYZ")))=6,SUMPRODUCT(--ISNUMBER(FIND(MID(Identity!$A304,ROW($4:$15),1),"0123456789")))=6))),FALSE))</f>
      </c>
    </row>
    <row r="305">
      <c r="D305">
        <f>IF(Identity!$A305="",TRUE,IFERROR(AND(ISTEXT(Identity!$A305),EXACT(Identity!$A305,UPPER(Identity!$A305)),COUNTIF(Identity!$A$2:$A$501,Identity!$A305)=1,OR(AND(LEFT(Identity!$A305,3)="AAI",LEN(Identity!$A305)=11,SUMPRODUCT(--ISNUMBER(FIND(MID(Identity!$A305,ROW($4:$11),1),"0123456789")))=8,IFERROR(VALUE(MID(Identity!$A305,6,2)),0)&gt;=1,IFERROR(VALUE(MID(Identity!$A305,6,2)),0)&lt;=12,RIGHT(Identity!$A305,4)&lt;&gt;"0000"),AND(LEFT(Identity!$A305,3)="AA-",LEN(Identity!$A305)=15,SUMPRODUCT(--ISNUMBER(FIND(MID(Identity!$A305,ROW($4:$15),1),"ABCDEFGHIJKLMNOPQRSTUVWXYZ")))=6,SUMPRODUCT(--ISNUMBER(FIND(MID(Identity!$A305,ROW($4:$15),1),"0123456789")))=6))),FALSE))</f>
      </c>
    </row>
    <row r="306">
      <c r="D306">
        <f>IF(Identity!$A306="",TRUE,IFERROR(AND(ISTEXT(Identity!$A306),EXACT(Identity!$A306,UPPER(Identity!$A306)),COUNTIF(Identity!$A$2:$A$501,Identity!$A306)=1,OR(AND(LEFT(Identity!$A306,3)="AAI",LEN(Identity!$A306)=11,SUMPRODUCT(--ISNUMBER(FIND(MID(Identity!$A306,ROW($4:$11),1),"0123456789")))=8,IFERROR(VALUE(MID(Identity!$A306,6,2)),0)&gt;=1,IFERROR(VALUE(MID(Identity!$A306,6,2)),0)&lt;=12,RIGHT(Identity!$A306,4)&lt;&gt;"0000"),AND(LEFT(Identity!$A306,3)="AA-",LEN(Identity!$A306)=15,SUMPRODUCT(--ISNUMBER(FIND(MID(Identity!$A306,ROW($4:$15),1),"ABCDEFGHIJKLMNOPQRSTUVWXYZ")))=6,SUMPRODUCT(--ISNUMBER(FIND(MID(Identity!$A306,ROW($4:$15),1),"0123456789")))=6))),FALSE))</f>
      </c>
    </row>
    <row r="307">
      <c r="D307">
        <f>IF(Identity!$A307="",TRUE,IFERROR(AND(ISTEXT(Identity!$A307),EXACT(Identity!$A307,UPPER(Identity!$A307)),COUNTIF(Identity!$A$2:$A$501,Identity!$A307)=1,OR(AND(LEFT(Identity!$A307,3)="AAI",LEN(Identity!$A307)=11,SUMPRODUCT(--ISNUMBER(FIND(MID(Identity!$A307,ROW($4:$11),1),"0123456789")))=8,IFERROR(VALUE(MID(Identity!$A307,6,2)),0)&gt;=1,IFERROR(VALUE(MID(Identity!$A307,6,2)),0)&lt;=12,RIGHT(Identity!$A307,4)&lt;&gt;"0000"),AND(LEFT(Identity!$A307,3)="AA-",LEN(Identity!$A307)=15,SUMPRODUCT(--ISNUMBER(FIND(MID(Identity!$A307,ROW($4:$15),1),"ABCDEFGHIJKLMNOPQRSTUVWXYZ")))=6,SUMPRODUCT(--ISNUMBER(FIND(MID(Identity!$A307,ROW($4:$15),1),"0123456789")))=6))),FALSE))</f>
      </c>
    </row>
    <row r="308">
      <c r="D308">
        <f>IF(Identity!$A308="",TRUE,IFERROR(AND(ISTEXT(Identity!$A308),EXACT(Identity!$A308,UPPER(Identity!$A308)),COUNTIF(Identity!$A$2:$A$501,Identity!$A308)=1,OR(AND(LEFT(Identity!$A308,3)="AAI",LEN(Identity!$A308)=11,SUMPRODUCT(--ISNUMBER(FIND(MID(Identity!$A308,ROW($4:$11),1),"0123456789")))=8,IFERROR(VALUE(MID(Identity!$A308,6,2)),0)&gt;=1,IFERROR(VALUE(MID(Identity!$A308,6,2)),0)&lt;=12,RIGHT(Identity!$A308,4)&lt;&gt;"0000"),AND(LEFT(Identity!$A308,3)="AA-",LEN(Identity!$A308)=15,SUMPRODUCT(--ISNUMBER(FIND(MID(Identity!$A308,ROW($4:$15),1),"ABCDEFGHIJKLMNOPQRSTUVWXYZ")))=6,SUMPRODUCT(--ISNUMBER(FIND(MID(Identity!$A308,ROW($4:$15),1),"0123456789")))=6))),FALSE))</f>
      </c>
    </row>
    <row r="309">
      <c r="D309">
        <f>IF(Identity!$A309="",TRUE,IFERROR(AND(ISTEXT(Identity!$A309),EXACT(Identity!$A309,UPPER(Identity!$A309)),COUNTIF(Identity!$A$2:$A$501,Identity!$A309)=1,OR(AND(LEFT(Identity!$A309,3)="AAI",LEN(Identity!$A309)=11,SUMPRODUCT(--ISNUMBER(FIND(MID(Identity!$A309,ROW($4:$11),1),"0123456789")))=8,IFERROR(VALUE(MID(Identity!$A309,6,2)),0)&gt;=1,IFERROR(VALUE(MID(Identity!$A309,6,2)),0)&lt;=12,RIGHT(Identity!$A309,4)&lt;&gt;"0000"),AND(LEFT(Identity!$A309,3)="AA-",LEN(Identity!$A309)=15,SUMPRODUCT(--ISNUMBER(FIND(MID(Identity!$A309,ROW($4:$15),1),"ABCDEFGHIJKLMNOPQRSTUVWXYZ")))=6,SUMPRODUCT(--ISNUMBER(FIND(MID(Identity!$A309,ROW($4:$15),1),"0123456789")))=6))),FALSE))</f>
      </c>
    </row>
    <row r="310">
      <c r="D310">
        <f>IF(Identity!$A310="",TRUE,IFERROR(AND(ISTEXT(Identity!$A310),EXACT(Identity!$A310,UPPER(Identity!$A310)),COUNTIF(Identity!$A$2:$A$501,Identity!$A310)=1,OR(AND(LEFT(Identity!$A310,3)="AAI",LEN(Identity!$A310)=11,SUMPRODUCT(--ISNUMBER(FIND(MID(Identity!$A310,ROW($4:$11),1),"0123456789")))=8,IFERROR(VALUE(MID(Identity!$A310,6,2)),0)&gt;=1,IFERROR(VALUE(MID(Identity!$A310,6,2)),0)&lt;=12,RIGHT(Identity!$A310,4)&lt;&gt;"0000"),AND(LEFT(Identity!$A310,3)="AA-",LEN(Identity!$A310)=15,SUMPRODUCT(--ISNUMBER(FIND(MID(Identity!$A310,ROW($4:$15),1),"ABCDEFGHIJKLMNOPQRSTUVWXYZ")))=6,SUMPRODUCT(--ISNUMBER(FIND(MID(Identity!$A310,ROW($4:$15),1),"0123456789")))=6))),FALSE))</f>
      </c>
    </row>
    <row r="311">
      <c r="D311">
        <f>IF(Identity!$A311="",TRUE,IFERROR(AND(ISTEXT(Identity!$A311),EXACT(Identity!$A311,UPPER(Identity!$A311)),COUNTIF(Identity!$A$2:$A$501,Identity!$A311)=1,OR(AND(LEFT(Identity!$A311,3)="AAI",LEN(Identity!$A311)=11,SUMPRODUCT(--ISNUMBER(FIND(MID(Identity!$A311,ROW($4:$11),1),"0123456789")))=8,IFERROR(VALUE(MID(Identity!$A311,6,2)),0)&gt;=1,IFERROR(VALUE(MID(Identity!$A311,6,2)),0)&lt;=12,RIGHT(Identity!$A311,4)&lt;&gt;"0000"),AND(LEFT(Identity!$A311,3)="AA-",LEN(Identity!$A311)=15,SUMPRODUCT(--ISNUMBER(FIND(MID(Identity!$A311,ROW($4:$15),1),"ABCDEFGHIJKLMNOPQRSTUVWXYZ")))=6,SUMPRODUCT(--ISNUMBER(FIND(MID(Identity!$A311,ROW($4:$15),1),"0123456789")))=6))),FALSE))</f>
      </c>
    </row>
    <row r="312">
      <c r="D312">
        <f>IF(Identity!$A312="",TRUE,IFERROR(AND(ISTEXT(Identity!$A312),EXACT(Identity!$A312,UPPER(Identity!$A312)),COUNTIF(Identity!$A$2:$A$501,Identity!$A312)=1,OR(AND(LEFT(Identity!$A312,3)="AAI",LEN(Identity!$A312)=11,SUMPRODUCT(--ISNUMBER(FIND(MID(Identity!$A312,ROW($4:$11),1),"0123456789")))=8,IFERROR(VALUE(MID(Identity!$A312,6,2)),0)&gt;=1,IFERROR(VALUE(MID(Identity!$A312,6,2)),0)&lt;=12,RIGHT(Identity!$A312,4)&lt;&gt;"0000"),AND(LEFT(Identity!$A312,3)="AA-",LEN(Identity!$A312)=15,SUMPRODUCT(--ISNUMBER(FIND(MID(Identity!$A312,ROW($4:$15),1),"ABCDEFGHIJKLMNOPQRSTUVWXYZ")))=6,SUMPRODUCT(--ISNUMBER(FIND(MID(Identity!$A312,ROW($4:$15),1),"0123456789")))=6))),FALSE))</f>
      </c>
    </row>
    <row r="313">
      <c r="D313">
        <f>IF(Identity!$A313="",TRUE,IFERROR(AND(ISTEXT(Identity!$A313),EXACT(Identity!$A313,UPPER(Identity!$A313)),COUNTIF(Identity!$A$2:$A$501,Identity!$A313)=1,OR(AND(LEFT(Identity!$A313,3)="AAI",LEN(Identity!$A313)=11,SUMPRODUCT(--ISNUMBER(FIND(MID(Identity!$A313,ROW($4:$11),1),"0123456789")))=8,IFERROR(VALUE(MID(Identity!$A313,6,2)),0)&gt;=1,IFERROR(VALUE(MID(Identity!$A313,6,2)),0)&lt;=12,RIGHT(Identity!$A313,4)&lt;&gt;"0000"),AND(LEFT(Identity!$A313,3)="AA-",LEN(Identity!$A313)=15,SUMPRODUCT(--ISNUMBER(FIND(MID(Identity!$A313,ROW($4:$15),1),"ABCDEFGHIJKLMNOPQRSTUVWXYZ")))=6,SUMPRODUCT(--ISNUMBER(FIND(MID(Identity!$A313,ROW($4:$15),1),"0123456789")))=6))),FALSE))</f>
      </c>
    </row>
    <row r="314">
      <c r="D314">
        <f>IF(Identity!$A314="",TRUE,IFERROR(AND(ISTEXT(Identity!$A314),EXACT(Identity!$A314,UPPER(Identity!$A314)),COUNTIF(Identity!$A$2:$A$501,Identity!$A314)=1,OR(AND(LEFT(Identity!$A314,3)="AAI",LEN(Identity!$A314)=11,SUMPRODUCT(--ISNUMBER(FIND(MID(Identity!$A314,ROW($4:$11),1),"0123456789")))=8,IFERROR(VALUE(MID(Identity!$A314,6,2)),0)&gt;=1,IFERROR(VALUE(MID(Identity!$A314,6,2)),0)&lt;=12,RIGHT(Identity!$A314,4)&lt;&gt;"0000"),AND(LEFT(Identity!$A314,3)="AA-",LEN(Identity!$A314)=15,SUMPRODUCT(--ISNUMBER(FIND(MID(Identity!$A314,ROW($4:$15),1),"ABCDEFGHIJKLMNOPQRSTUVWXYZ")))=6,SUMPRODUCT(--ISNUMBER(FIND(MID(Identity!$A314,ROW($4:$15),1),"0123456789")))=6))),FALSE))</f>
      </c>
    </row>
    <row r="315">
      <c r="D315">
        <f>IF(Identity!$A315="",TRUE,IFERROR(AND(ISTEXT(Identity!$A315),EXACT(Identity!$A315,UPPER(Identity!$A315)),COUNTIF(Identity!$A$2:$A$501,Identity!$A315)=1,OR(AND(LEFT(Identity!$A315,3)="AAI",LEN(Identity!$A315)=11,SUMPRODUCT(--ISNUMBER(FIND(MID(Identity!$A315,ROW($4:$11),1),"0123456789")))=8,IFERROR(VALUE(MID(Identity!$A315,6,2)),0)&gt;=1,IFERROR(VALUE(MID(Identity!$A315,6,2)),0)&lt;=12,RIGHT(Identity!$A315,4)&lt;&gt;"0000"),AND(LEFT(Identity!$A315,3)="AA-",LEN(Identity!$A315)=15,SUMPRODUCT(--ISNUMBER(FIND(MID(Identity!$A315,ROW($4:$15),1),"ABCDEFGHIJKLMNOPQRSTUVWXYZ")))=6,SUMPRODUCT(--ISNUMBER(FIND(MID(Identity!$A315,ROW($4:$15),1),"0123456789")))=6))),FALSE))</f>
      </c>
    </row>
    <row r="316">
      <c r="D316">
        <f>IF(Identity!$A316="",TRUE,IFERROR(AND(ISTEXT(Identity!$A316),EXACT(Identity!$A316,UPPER(Identity!$A316)),COUNTIF(Identity!$A$2:$A$501,Identity!$A316)=1,OR(AND(LEFT(Identity!$A316,3)="AAI",LEN(Identity!$A316)=11,SUMPRODUCT(--ISNUMBER(FIND(MID(Identity!$A316,ROW($4:$11),1),"0123456789")))=8,IFERROR(VALUE(MID(Identity!$A316,6,2)),0)&gt;=1,IFERROR(VALUE(MID(Identity!$A316,6,2)),0)&lt;=12,RIGHT(Identity!$A316,4)&lt;&gt;"0000"),AND(LEFT(Identity!$A316,3)="AA-",LEN(Identity!$A316)=15,SUMPRODUCT(--ISNUMBER(FIND(MID(Identity!$A316,ROW($4:$15),1),"ABCDEFGHIJKLMNOPQRSTUVWXYZ")))=6,SUMPRODUCT(--ISNUMBER(FIND(MID(Identity!$A316,ROW($4:$15),1),"0123456789")))=6))),FALSE))</f>
      </c>
    </row>
    <row r="317">
      <c r="D317">
        <f>IF(Identity!$A317="",TRUE,IFERROR(AND(ISTEXT(Identity!$A317),EXACT(Identity!$A317,UPPER(Identity!$A317)),COUNTIF(Identity!$A$2:$A$501,Identity!$A317)=1,OR(AND(LEFT(Identity!$A317,3)="AAI",LEN(Identity!$A317)=11,SUMPRODUCT(--ISNUMBER(FIND(MID(Identity!$A317,ROW($4:$11),1),"0123456789")))=8,IFERROR(VALUE(MID(Identity!$A317,6,2)),0)&gt;=1,IFERROR(VALUE(MID(Identity!$A317,6,2)),0)&lt;=12,RIGHT(Identity!$A317,4)&lt;&gt;"0000"),AND(LEFT(Identity!$A317,3)="AA-",LEN(Identity!$A317)=15,SUMPRODUCT(--ISNUMBER(FIND(MID(Identity!$A317,ROW($4:$15),1),"ABCDEFGHIJKLMNOPQRSTUVWXYZ")))=6,SUMPRODUCT(--ISNUMBER(FIND(MID(Identity!$A317,ROW($4:$15),1),"0123456789")))=6))),FALSE))</f>
      </c>
    </row>
    <row r="318">
      <c r="D318">
        <f>IF(Identity!$A318="",TRUE,IFERROR(AND(ISTEXT(Identity!$A318),EXACT(Identity!$A318,UPPER(Identity!$A318)),COUNTIF(Identity!$A$2:$A$501,Identity!$A318)=1,OR(AND(LEFT(Identity!$A318,3)="AAI",LEN(Identity!$A318)=11,SUMPRODUCT(--ISNUMBER(FIND(MID(Identity!$A318,ROW($4:$11),1),"0123456789")))=8,IFERROR(VALUE(MID(Identity!$A318,6,2)),0)&gt;=1,IFERROR(VALUE(MID(Identity!$A318,6,2)),0)&lt;=12,RIGHT(Identity!$A318,4)&lt;&gt;"0000"),AND(LEFT(Identity!$A318,3)="AA-",LEN(Identity!$A318)=15,SUMPRODUCT(--ISNUMBER(FIND(MID(Identity!$A318,ROW($4:$15),1),"ABCDEFGHIJKLMNOPQRSTUVWXYZ")))=6,SUMPRODUCT(--ISNUMBER(FIND(MID(Identity!$A318,ROW($4:$15),1),"0123456789")))=6))),FALSE))</f>
      </c>
    </row>
    <row r="319">
      <c r="D319">
        <f>IF(Identity!$A319="",TRUE,IFERROR(AND(ISTEXT(Identity!$A319),EXACT(Identity!$A319,UPPER(Identity!$A319)),COUNTIF(Identity!$A$2:$A$501,Identity!$A319)=1,OR(AND(LEFT(Identity!$A319,3)="AAI",LEN(Identity!$A319)=11,SUMPRODUCT(--ISNUMBER(FIND(MID(Identity!$A319,ROW($4:$11),1),"0123456789")))=8,IFERROR(VALUE(MID(Identity!$A319,6,2)),0)&gt;=1,IFERROR(VALUE(MID(Identity!$A319,6,2)),0)&lt;=12,RIGHT(Identity!$A319,4)&lt;&gt;"0000"),AND(LEFT(Identity!$A319,3)="AA-",LEN(Identity!$A319)=15,SUMPRODUCT(--ISNUMBER(FIND(MID(Identity!$A319,ROW($4:$15),1),"ABCDEFGHIJKLMNOPQRSTUVWXYZ")))=6,SUMPRODUCT(--ISNUMBER(FIND(MID(Identity!$A319,ROW($4:$15),1),"0123456789")))=6))),FALSE))</f>
      </c>
    </row>
    <row r="320">
      <c r="D320">
        <f>IF(Identity!$A320="",TRUE,IFERROR(AND(ISTEXT(Identity!$A320),EXACT(Identity!$A320,UPPER(Identity!$A320)),COUNTIF(Identity!$A$2:$A$501,Identity!$A320)=1,OR(AND(LEFT(Identity!$A320,3)="AAI",LEN(Identity!$A320)=11,SUMPRODUCT(--ISNUMBER(FIND(MID(Identity!$A320,ROW($4:$11),1),"0123456789")))=8,IFERROR(VALUE(MID(Identity!$A320,6,2)),0)&gt;=1,IFERROR(VALUE(MID(Identity!$A320,6,2)),0)&lt;=12,RIGHT(Identity!$A320,4)&lt;&gt;"0000"),AND(LEFT(Identity!$A320,3)="AA-",LEN(Identity!$A320)=15,SUMPRODUCT(--ISNUMBER(FIND(MID(Identity!$A320,ROW($4:$15),1),"ABCDEFGHIJKLMNOPQRSTUVWXYZ")))=6,SUMPRODUCT(--ISNUMBER(FIND(MID(Identity!$A320,ROW($4:$15),1),"0123456789")))=6))),FALSE))</f>
      </c>
    </row>
    <row r="321">
      <c r="D321">
        <f>IF(Identity!$A321="",TRUE,IFERROR(AND(ISTEXT(Identity!$A321),EXACT(Identity!$A321,UPPER(Identity!$A321)),COUNTIF(Identity!$A$2:$A$501,Identity!$A321)=1,OR(AND(LEFT(Identity!$A321,3)="AAI",LEN(Identity!$A321)=11,SUMPRODUCT(--ISNUMBER(FIND(MID(Identity!$A321,ROW($4:$11),1),"0123456789")))=8,IFERROR(VALUE(MID(Identity!$A321,6,2)),0)&gt;=1,IFERROR(VALUE(MID(Identity!$A321,6,2)),0)&lt;=12,RIGHT(Identity!$A321,4)&lt;&gt;"0000"),AND(LEFT(Identity!$A321,3)="AA-",LEN(Identity!$A321)=15,SUMPRODUCT(--ISNUMBER(FIND(MID(Identity!$A321,ROW($4:$15),1),"ABCDEFGHIJKLMNOPQRSTUVWXYZ")))=6,SUMPRODUCT(--ISNUMBER(FIND(MID(Identity!$A321,ROW($4:$15),1),"0123456789")))=6))),FALSE))</f>
      </c>
    </row>
    <row r="322">
      <c r="D322">
        <f>IF(Identity!$A322="",TRUE,IFERROR(AND(ISTEXT(Identity!$A322),EXACT(Identity!$A322,UPPER(Identity!$A322)),COUNTIF(Identity!$A$2:$A$501,Identity!$A322)=1,OR(AND(LEFT(Identity!$A322,3)="AAI",LEN(Identity!$A322)=11,SUMPRODUCT(--ISNUMBER(FIND(MID(Identity!$A322,ROW($4:$11),1),"0123456789")))=8,IFERROR(VALUE(MID(Identity!$A322,6,2)),0)&gt;=1,IFERROR(VALUE(MID(Identity!$A322,6,2)),0)&lt;=12,RIGHT(Identity!$A322,4)&lt;&gt;"0000"),AND(LEFT(Identity!$A322,3)="AA-",LEN(Identity!$A322)=15,SUMPRODUCT(--ISNUMBER(FIND(MID(Identity!$A322,ROW($4:$15),1),"ABCDEFGHIJKLMNOPQRSTUVWXYZ")))=6,SUMPRODUCT(--ISNUMBER(FIND(MID(Identity!$A322,ROW($4:$15),1),"0123456789")))=6))),FALSE))</f>
      </c>
    </row>
    <row r="323">
      <c r="D323">
        <f>IF(Identity!$A323="",TRUE,IFERROR(AND(ISTEXT(Identity!$A323),EXACT(Identity!$A323,UPPER(Identity!$A323)),COUNTIF(Identity!$A$2:$A$501,Identity!$A323)=1,OR(AND(LEFT(Identity!$A323,3)="AAI",LEN(Identity!$A323)=11,SUMPRODUCT(--ISNUMBER(FIND(MID(Identity!$A323,ROW($4:$11),1),"0123456789")))=8,IFERROR(VALUE(MID(Identity!$A323,6,2)),0)&gt;=1,IFERROR(VALUE(MID(Identity!$A323,6,2)),0)&lt;=12,RIGHT(Identity!$A323,4)&lt;&gt;"0000"),AND(LEFT(Identity!$A323,3)="AA-",LEN(Identity!$A323)=15,SUMPRODUCT(--ISNUMBER(FIND(MID(Identity!$A323,ROW($4:$15),1),"ABCDEFGHIJKLMNOPQRSTUVWXYZ")))=6,SUMPRODUCT(--ISNUMBER(FIND(MID(Identity!$A323,ROW($4:$15),1),"0123456789")))=6))),FALSE))</f>
      </c>
    </row>
    <row r="324">
      <c r="D324">
        <f>IF(Identity!$A324="",TRUE,IFERROR(AND(ISTEXT(Identity!$A324),EXACT(Identity!$A324,UPPER(Identity!$A324)),COUNTIF(Identity!$A$2:$A$501,Identity!$A324)=1,OR(AND(LEFT(Identity!$A324,3)="AAI",LEN(Identity!$A324)=11,SUMPRODUCT(--ISNUMBER(FIND(MID(Identity!$A324,ROW($4:$11),1),"0123456789")))=8,IFERROR(VALUE(MID(Identity!$A324,6,2)),0)&gt;=1,IFERROR(VALUE(MID(Identity!$A324,6,2)),0)&lt;=12,RIGHT(Identity!$A324,4)&lt;&gt;"0000"),AND(LEFT(Identity!$A324,3)="AA-",LEN(Identity!$A324)=15,SUMPRODUCT(--ISNUMBER(FIND(MID(Identity!$A324,ROW($4:$15),1),"ABCDEFGHIJKLMNOPQRSTUVWXYZ")))=6,SUMPRODUCT(--ISNUMBER(FIND(MID(Identity!$A324,ROW($4:$15),1),"0123456789")))=6))),FALSE))</f>
      </c>
    </row>
    <row r="325">
      <c r="D325">
        <f>IF(Identity!$A325="",TRUE,IFERROR(AND(ISTEXT(Identity!$A325),EXACT(Identity!$A325,UPPER(Identity!$A325)),COUNTIF(Identity!$A$2:$A$501,Identity!$A325)=1,OR(AND(LEFT(Identity!$A325,3)="AAI",LEN(Identity!$A325)=11,SUMPRODUCT(--ISNUMBER(FIND(MID(Identity!$A325,ROW($4:$11),1),"0123456789")))=8,IFERROR(VALUE(MID(Identity!$A325,6,2)),0)&gt;=1,IFERROR(VALUE(MID(Identity!$A325,6,2)),0)&lt;=12,RIGHT(Identity!$A325,4)&lt;&gt;"0000"),AND(LEFT(Identity!$A325,3)="AA-",LEN(Identity!$A325)=15,SUMPRODUCT(--ISNUMBER(FIND(MID(Identity!$A325,ROW($4:$15),1),"ABCDEFGHIJKLMNOPQRSTUVWXYZ")))=6,SUMPRODUCT(--ISNUMBER(FIND(MID(Identity!$A325,ROW($4:$15),1),"0123456789")))=6))),FALSE))</f>
      </c>
    </row>
    <row r="326">
      <c r="D326">
        <f>IF(Identity!$A326="",TRUE,IFERROR(AND(ISTEXT(Identity!$A326),EXACT(Identity!$A326,UPPER(Identity!$A326)),COUNTIF(Identity!$A$2:$A$501,Identity!$A326)=1,OR(AND(LEFT(Identity!$A326,3)="AAI",LEN(Identity!$A326)=11,SUMPRODUCT(--ISNUMBER(FIND(MID(Identity!$A326,ROW($4:$11),1),"0123456789")))=8,IFERROR(VALUE(MID(Identity!$A326,6,2)),0)&gt;=1,IFERROR(VALUE(MID(Identity!$A326,6,2)),0)&lt;=12,RIGHT(Identity!$A326,4)&lt;&gt;"0000"),AND(LEFT(Identity!$A326,3)="AA-",LEN(Identity!$A326)=15,SUMPRODUCT(--ISNUMBER(FIND(MID(Identity!$A326,ROW($4:$15),1),"ABCDEFGHIJKLMNOPQRSTUVWXYZ")))=6,SUMPRODUCT(--ISNUMBER(FIND(MID(Identity!$A326,ROW($4:$15),1),"0123456789")))=6))),FALSE))</f>
      </c>
    </row>
    <row r="327">
      <c r="D327">
        <f>IF(Identity!$A327="",TRUE,IFERROR(AND(ISTEXT(Identity!$A327),EXACT(Identity!$A327,UPPER(Identity!$A327)),COUNTIF(Identity!$A$2:$A$501,Identity!$A327)=1,OR(AND(LEFT(Identity!$A327,3)="AAI",LEN(Identity!$A327)=11,SUMPRODUCT(--ISNUMBER(FIND(MID(Identity!$A327,ROW($4:$11),1),"0123456789")))=8,IFERROR(VALUE(MID(Identity!$A327,6,2)),0)&gt;=1,IFERROR(VALUE(MID(Identity!$A327,6,2)),0)&lt;=12,RIGHT(Identity!$A327,4)&lt;&gt;"0000"),AND(LEFT(Identity!$A327,3)="AA-",LEN(Identity!$A327)=15,SUMPRODUCT(--ISNUMBER(FIND(MID(Identity!$A327,ROW($4:$15),1),"ABCDEFGHIJKLMNOPQRSTUVWXYZ")))=6,SUMPRODUCT(--ISNUMBER(FIND(MID(Identity!$A327,ROW($4:$15),1),"0123456789")))=6))),FALSE))</f>
      </c>
    </row>
    <row r="328">
      <c r="D328">
        <f>IF(Identity!$A328="",TRUE,IFERROR(AND(ISTEXT(Identity!$A328),EXACT(Identity!$A328,UPPER(Identity!$A328)),COUNTIF(Identity!$A$2:$A$501,Identity!$A328)=1,OR(AND(LEFT(Identity!$A328,3)="AAI",LEN(Identity!$A328)=11,SUMPRODUCT(--ISNUMBER(FIND(MID(Identity!$A328,ROW($4:$11),1),"0123456789")))=8,IFERROR(VALUE(MID(Identity!$A328,6,2)),0)&gt;=1,IFERROR(VALUE(MID(Identity!$A328,6,2)),0)&lt;=12,RIGHT(Identity!$A328,4)&lt;&gt;"0000"),AND(LEFT(Identity!$A328,3)="AA-",LEN(Identity!$A328)=15,SUMPRODUCT(--ISNUMBER(FIND(MID(Identity!$A328,ROW($4:$15),1),"ABCDEFGHIJKLMNOPQRSTUVWXYZ")))=6,SUMPRODUCT(--ISNUMBER(FIND(MID(Identity!$A328,ROW($4:$15),1),"0123456789")))=6))),FALSE))</f>
      </c>
    </row>
    <row r="329">
      <c r="D329">
        <f>IF(Identity!$A329="",TRUE,IFERROR(AND(ISTEXT(Identity!$A329),EXACT(Identity!$A329,UPPER(Identity!$A329)),COUNTIF(Identity!$A$2:$A$501,Identity!$A329)=1,OR(AND(LEFT(Identity!$A329,3)="AAI",LEN(Identity!$A329)=11,SUMPRODUCT(--ISNUMBER(FIND(MID(Identity!$A329,ROW($4:$11),1),"0123456789")))=8,IFERROR(VALUE(MID(Identity!$A329,6,2)),0)&gt;=1,IFERROR(VALUE(MID(Identity!$A329,6,2)),0)&lt;=12,RIGHT(Identity!$A329,4)&lt;&gt;"0000"),AND(LEFT(Identity!$A329,3)="AA-",LEN(Identity!$A329)=15,SUMPRODUCT(--ISNUMBER(FIND(MID(Identity!$A329,ROW($4:$15),1),"ABCDEFGHIJKLMNOPQRSTUVWXYZ")))=6,SUMPRODUCT(--ISNUMBER(FIND(MID(Identity!$A329,ROW($4:$15),1),"0123456789")))=6))),FALSE))</f>
      </c>
    </row>
    <row r="330">
      <c r="D330">
        <f>IF(Identity!$A330="",TRUE,IFERROR(AND(ISTEXT(Identity!$A330),EXACT(Identity!$A330,UPPER(Identity!$A330)),COUNTIF(Identity!$A$2:$A$501,Identity!$A330)=1,OR(AND(LEFT(Identity!$A330,3)="AAI",LEN(Identity!$A330)=11,SUMPRODUCT(--ISNUMBER(FIND(MID(Identity!$A330,ROW($4:$11),1),"0123456789")))=8,IFERROR(VALUE(MID(Identity!$A330,6,2)),0)&gt;=1,IFERROR(VALUE(MID(Identity!$A330,6,2)),0)&lt;=12,RIGHT(Identity!$A330,4)&lt;&gt;"0000"),AND(LEFT(Identity!$A330,3)="AA-",LEN(Identity!$A330)=15,SUMPRODUCT(--ISNUMBER(FIND(MID(Identity!$A330,ROW($4:$15),1),"ABCDEFGHIJKLMNOPQRSTUVWXYZ")))=6,SUMPRODUCT(--ISNUMBER(FIND(MID(Identity!$A330,ROW($4:$15),1),"0123456789")))=6))),FALSE))</f>
      </c>
    </row>
    <row r="331">
      <c r="D331">
        <f>IF(Identity!$A331="",TRUE,IFERROR(AND(ISTEXT(Identity!$A331),EXACT(Identity!$A331,UPPER(Identity!$A331)),COUNTIF(Identity!$A$2:$A$501,Identity!$A331)=1,OR(AND(LEFT(Identity!$A331,3)="AAI",LEN(Identity!$A331)=11,SUMPRODUCT(--ISNUMBER(FIND(MID(Identity!$A331,ROW($4:$11),1),"0123456789")))=8,IFERROR(VALUE(MID(Identity!$A331,6,2)),0)&gt;=1,IFERROR(VALUE(MID(Identity!$A331,6,2)),0)&lt;=12,RIGHT(Identity!$A331,4)&lt;&gt;"0000"),AND(LEFT(Identity!$A331,3)="AA-",LEN(Identity!$A331)=15,SUMPRODUCT(--ISNUMBER(FIND(MID(Identity!$A331,ROW($4:$15),1),"ABCDEFGHIJKLMNOPQRSTUVWXYZ")))=6,SUMPRODUCT(--ISNUMBER(FIND(MID(Identity!$A331,ROW($4:$15),1),"0123456789")))=6))),FALSE))</f>
      </c>
    </row>
    <row r="332">
      <c r="D332">
        <f>IF(Identity!$A332="",TRUE,IFERROR(AND(ISTEXT(Identity!$A332),EXACT(Identity!$A332,UPPER(Identity!$A332)),COUNTIF(Identity!$A$2:$A$501,Identity!$A332)=1,OR(AND(LEFT(Identity!$A332,3)="AAI",LEN(Identity!$A332)=11,SUMPRODUCT(--ISNUMBER(FIND(MID(Identity!$A332,ROW($4:$11),1),"0123456789")))=8,IFERROR(VALUE(MID(Identity!$A332,6,2)),0)&gt;=1,IFERROR(VALUE(MID(Identity!$A332,6,2)),0)&lt;=12,RIGHT(Identity!$A332,4)&lt;&gt;"0000"),AND(LEFT(Identity!$A332,3)="AA-",LEN(Identity!$A332)=15,SUMPRODUCT(--ISNUMBER(FIND(MID(Identity!$A332,ROW($4:$15),1),"ABCDEFGHIJKLMNOPQRSTUVWXYZ")))=6,SUMPRODUCT(--ISNUMBER(FIND(MID(Identity!$A332,ROW($4:$15),1),"0123456789")))=6))),FALSE))</f>
      </c>
    </row>
    <row r="333">
      <c r="D333">
        <f>IF(Identity!$A333="",TRUE,IFERROR(AND(ISTEXT(Identity!$A333),EXACT(Identity!$A333,UPPER(Identity!$A333)),COUNTIF(Identity!$A$2:$A$501,Identity!$A333)=1,OR(AND(LEFT(Identity!$A333,3)="AAI",LEN(Identity!$A333)=11,SUMPRODUCT(--ISNUMBER(FIND(MID(Identity!$A333,ROW($4:$11),1),"0123456789")))=8,IFERROR(VALUE(MID(Identity!$A333,6,2)),0)&gt;=1,IFERROR(VALUE(MID(Identity!$A333,6,2)),0)&lt;=12,RIGHT(Identity!$A333,4)&lt;&gt;"0000"),AND(LEFT(Identity!$A333,3)="AA-",LEN(Identity!$A333)=15,SUMPRODUCT(--ISNUMBER(FIND(MID(Identity!$A333,ROW($4:$15),1),"ABCDEFGHIJKLMNOPQRSTUVWXYZ")))=6,SUMPRODUCT(--ISNUMBER(FIND(MID(Identity!$A333,ROW($4:$15),1),"0123456789")))=6))),FALSE))</f>
      </c>
    </row>
    <row r="334">
      <c r="D334">
        <f>IF(Identity!$A334="",TRUE,IFERROR(AND(ISTEXT(Identity!$A334),EXACT(Identity!$A334,UPPER(Identity!$A334)),COUNTIF(Identity!$A$2:$A$501,Identity!$A334)=1,OR(AND(LEFT(Identity!$A334,3)="AAI",LEN(Identity!$A334)=11,SUMPRODUCT(--ISNUMBER(FIND(MID(Identity!$A334,ROW($4:$11),1),"0123456789")))=8,IFERROR(VALUE(MID(Identity!$A334,6,2)),0)&gt;=1,IFERROR(VALUE(MID(Identity!$A334,6,2)),0)&lt;=12,RIGHT(Identity!$A334,4)&lt;&gt;"0000"),AND(LEFT(Identity!$A334,3)="AA-",LEN(Identity!$A334)=15,SUMPRODUCT(--ISNUMBER(FIND(MID(Identity!$A334,ROW($4:$15),1),"ABCDEFGHIJKLMNOPQRSTUVWXYZ")))=6,SUMPRODUCT(--ISNUMBER(FIND(MID(Identity!$A334,ROW($4:$15),1),"0123456789")))=6))),FALSE))</f>
      </c>
    </row>
    <row r="335">
      <c r="D335">
        <f>IF(Identity!$A335="",TRUE,IFERROR(AND(ISTEXT(Identity!$A335),EXACT(Identity!$A335,UPPER(Identity!$A335)),COUNTIF(Identity!$A$2:$A$501,Identity!$A335)=1,OR(AND(LEFT(Identity!$A335,3)="AAI",LEN(Identity!$A335)=11,SUMPRODUCT(--ISNUMBER(FIND(MID(Identity!$A335,ROW($4:$11),1),"0123456789")))=8,IFERROR(VALUE(MID(Identity!$A335,6,2)),0)&gt;=1,IFERROR(VALUE(MID(Identity!$A335,6,2)),0)&lt;=12,RIGHT(Identity!$A335,4)&lt;&gt;"0000"),AND(LEFT(Identity!$A335,3)="AA-",LEN(Identity!$A335)=15,SUMPRODUCT(--ISNUMBER(FIND(MID(Identity!$A335,ROW($4:$15),1),"ABCDEFGHIJKLMNOPQRSTUVWXYZ")))=6,SUMPRODUCT(--ISNUMBER(FIND(MID(Identity!$A335,ROW($4:$15),1),"0123456789")))=6))),FALSE))</f>
      </c>
    </row>
    <row r="336">
      <c r="D336">
        <f>IF(Identity!$A336="",TRUE,IFERROR(AND(ISTEXT(Identity!$A336),EXACT(Identity!$A336,UPPER(Identity!$A336)),COUNTIF(Identity!$A$2:$A$501,Identity!$A336)=1,OR(AND(LEFT(Identity!$A336,3)="AAI",LEN(Identity!$A336)=11,SUMPRODUCT(--ISNUMBER(FIND(MID(Identity!$A336,ROW($4:$11),1),"0123456789")))=8,IFERROR(VALUE(MID(Identity!$A336,6,2)),0)&gt;=1,IFERROR(VALUE(MID(Identity!$A336,6,2)),0)&lt;=12,RIGHT(Identity!$A336,4)&lt;&gt;"0000"),AND(LEFT(Identity!$A336,3)="AA-",LEN(Identity!$A336)=15,SUMPRODUCT(--ISNUMBER(FIND(MID(Identity!$A336,ROW($4:$15),1),"ABCDEFGHIJKLMNOPQRSTUVWXYZ")))=6,SUMPRODUCT(--ISNUMBER(FIND(MID(Identity!$A336,ROW($4:$15),1),"0123456789")))=6))),FALSE))</f>
      </c>
    </row>
    <row r="337">
      <c r="D337">
        <f>IF(Identity!$A337="",TRUE,IFERROR(AND(ISTEXT(Identity!$A337),EXACT(Identity!$A337,UPPER(Identity!$A337)),COUNTIF(Identity!$A$2:$A$501,Identity!$A337)=1,OR(AND(LEFT(Identity!$A337,3)="AAI",LEN(Identity!$A337)=11,SUMPRODUCT(--ISNUMBER(FIND(MID(Identity!$A337,ROW($4:$11),1),"0123456789")))=8,IFERROR(VALUE(MID(Identity!$A337,6,2)),0)&gt;=1,IFERROR(VALUE(MID(Identity!$A337,6,2)),0)&lt;=12,RIGHT(Identity!$A337,4)&lt;&gt;"0000"),AND(LEFT(Identity!$A337,3)="AA-",LEN(Identity!$A337)=15,SUMPRODUCT(--ISNUMBER(FIND(MID(Identity!$A337,ROW($4:$15),1),"ABCDEFGHIJKLMNOPQRSTUVWXYZ")))=6,SUMPRODUCT(--ISNUMBER(FIND(MID(Identity!$A337,ROW($4:$15),1),"0123456789")))=6))),FALSE))</f>
      </c>
    </row>
    <row r="338">
      <c r="D338">
        <f>IF(Identity!$A338="",TRUE,IFERROR(AND(ISTEXT(Identity!$A338),EXACT(Identity!$A338,UPPER(Identity!$A338)),COUNTIF(Identity!$A$2:$A$501,Identity!$A338)=1,OR(AND(LEFT(Identity!$A338,3)="AAI",LEN(Identity!$A338)=11,SUMPRODUCT(--ISNUMBER(FIND(MID(Identity!$A338,ROW($4:$11),1),"0123456789")))=8,IFERROR(VALUE(MID(Identity!$A338,6,2)),0)&gt;=1,IFERROR(VALUE(MID(Identity!$A338,6,2)),0)&lt;=12,RIGHT(Identity!$A338,4)&lt;&gt;"0000"),AND(LEFT(Identity!$A338,3)="AA-",LEN(Identity!$A338)=15,SUMPRODUCT(--ISNUMBER(FIND(MID(Identity!$A338,ROW($4:$15),1),"ABCDEFGHIJKLMNOPQRSTUVWXYZ")))=6,SUMPRODUCT(--ISNUMBER(FIND(MID(Identity!$A338,ROW($4:$15),1),"0123456789")))=6))),FALSE))</f>
      </c>
    </row>
    <row r="339">
      <c r="D339">
        <f>IF(Identity!$A339="",TRUE,IFERROR(AND(ISTEXT(Identity!$A339),EXACT(Identity!$A339,UPPER(Identity!$A339)),COUNTIF(Identity!$A$2:$A$501,Identity!$A339)=1,OR(AND(LEFT(Identity!$A339,3)="AAI",LEN(Identity!$A339)=11,SUMPRODUCT(--ISNUMBER(FIND(MID(Identity!$A339,ROW($4:$11),1),"0123456789")))=8,IFERROR(VALUE(MID(Identity!$A339,6,2)),0)&gt;=1,IFERROR(VALUE(MID(Identity!$A339,6,2)),0)&lt;=12,RIGHT(Identity!$A339,4)&lt;&gt;"0000"),AND(LEFT(Identity!$A339,3)="AA-",LEN(Identity!$A339)=15,SUMPRODUCT(--ISNUMBER(FIND(MID(Identity!$A339,ROW($4:$15),1),"ABCDEFGHIJKLMNOPQRSTUVWXYZ")))=6,SUMPRODUCT(--ISNUMBER(FIND(MID(Identity!$A339,ROW($4:$15),1),"0123456789")))=6))),FALSE))</f>
      </c>
    </row>
    <row r="340">
      <c r="D340">
        <f>IF(Identity!$A340="",TRUE,IFERROR(AND(ISTEXT(Identity!$A340),EXACT(Identity!$A340,UPPER(Identity!$A340)),COUNTIF(Identity!$A$2:$A$501,Identity!$A340)=1,OR(AND(LEFT(Identity!$A340,3)="AAI",LEN(Identity!$A340)=11,SUMPRODUCT(--ISNUMBER(FIND(MID(Identity!$A340,ROW($4:$11),1),"0123456789")))=8,IFERROR(VALUE(MID(Identity!$A340,6,2)),0)&gt;=1,IFERROR(VALUE(MID(Identity!$A340,6,2)),0)&lt;=12,RIGHT(Identity!$A340,4)&lt;&gt;"0000"),AND(LEFT(Identity!$A340,3)="AA-",LEN(Identity!$A340)=15,SUMPRODUCT(--ISNUMBER(FIND(MID(Identity!$A340,ROW($4:$15),1),"ABCDEFGHIJKLMNOPQRSTUVWXYZ")))=6,SUMPRODUCT(--ISNUMBER(FIND(MID(Identity!$A340,ROW($4:$15),1),"0123456789")))=6))),FALSE))</f>
      </c>
    </row>
    <row r="341">
      <c r="D341">
        <f>IF(Identity!$A341="",TRUE,IFERROR(AND(ISTEXT(Identity!$A341),EXACT(Identity!$A341,UPPER(Identity!$A341)),COUNTIF(Identity!$A$2:$A$501,Identity!$A341)=1,OR(AND(LEFT(Identity!$A341,3)="AAI",LEN(Identity!$A341)=11,SUMPRODUCT(--ISNUMBER(FIND(MID(Identity!$A341,ROW($4:$11),1),"0123456789")))=8,IFERROR(VALUE(MID(Identity!$A341,6,2)),0)&gt;=1,IFERROR(VALUE(MID(Identity!$A341,6,2)),0)&lt;=12,RIGHT(Identity!$A341,4)&lt;&gt;"0000"),AND(LEFT(Identity!$A341,3)="AA-",LEN(Identity!$A341)=15,SUMPRODUCT(--ISNUMBER(FIND(MID(Identity!$A341,ROW($4:$15),1),"ABCDEFGHIJKLMNOPQRSTUVWXYZ")))=6,SUMPRODUCT(--ISNUMBER(FIND(MID(Identity!$A341,ROW($4:$15),1),"0123456789")))=6))),FALSE))</f>
      </c>
    </row>
    <row r="342">
      <c r="D342">
        <f>IF(Identity!$A342="",TRUE,IFERROR(AND(ISTEXT(Identity!$A342),EXACT(Identity!$A342,UPPER(Identity!$A342)),COUNTIF(Identity!$A$2:$A$501,Identity!$A342)=1,OR(AND(LEFT(Identity!$A342,3)="AAI",LEN(Identity!$A342)=11,SUMPRODUCT(--ISNUMBER(FIND(MID(Identity!$A342,ROW($4:$11),1),"0123456789")))=8,IFERROR(VALUE(MID(Identity!$A342,6,2)),0)&gt;=1,IFERROR(VALUE(MID(Identity!$A342,6,2)),0)&lt;=12,RIGHT(Identity!$A342,4)&lt;&gt;"0000"),AND(LEFT(Identity!$A342,3)="AA-",LEN(Identity!$A342)=15,SUMPRODUCT(--ISNUMBER(FIND(MID(Identity!$A342,ROW($4:$15),1),"ABCDEFGHIJKLMNOPQRSTUVWXYZ")))=6,SUMPRODUCT(--ISNUMBER(FIND(MID(Identity!$A342,ROW($4:$15),1),"0123456789")))=6))),FALSE))</f>
      </c>
    </row>
    <row r="343">
      <c r="D343">
        <f>IF(Identity!$A343="",TRUE,IFERROR(AND(ISTEXT(Identity!$A343),EXACT(Identity!$A343,UPPER(Identity!$A343)),COUNTIF(Identity!$A$2:$A$501,Identity!$A343)=1,OR(AND(LEFT(Identity!$A343,3)="AAI",LEN(Identity!$A343)=11,SUMPRODUCT(--ISNUMBER(FIND(MID(Identity!$A343,ROW($4:$11),1),"0123456789")))=8,IFERROR(VALUE(MID(Identity!$A343,6,2)),0)&gt;=1,IFERROR(VALUE(MID(Identity!$A343,6,2)),0)&lt;=12,RIGHT(Identity!$A343,4)&lt;&gt;"0000"),AND(LEFT(Identity!$A343,3)="AA-",LEN(Identity!$A343)=15,SUMPRODUCT(--ISNUMBER(FIND(MID(Identity!$A343,ROW($4:$15),1),"ABCDEFGHIJKLMNOPQRSTUVWXYZ")))=6,SUMPRODUCT(--ISNUMBER(FIND(MID(Identity!$A343,ROW($4:$15),1),"0123456789")))=6))),FALSE))</f>
      </c>
    </row>
    <row r="344">
      <c r="D344">
        <f>IF(Identity!$A344="",TRUE,IFERROR(AND(ISTEXT(Identity!$A344),EXACT(Identity!$A344,UPPER(Identity!$A344)),COUNTIF(Identity!$A$2:$A$501,Identity!$A344)=1,OR(AND(LEFT(Identity!$A344,3)="AAI",LEN(Identity!$A344)=11,SUMPRODUCT(--ISNUMBER(FIND(MID(Identity!$A344,ROW($4:$11),1),"0123456789")))=8,IFERROR(VALUE(MID(Identity!$A344,6,2)),0)&gt;=1,IFERROR(VALUE(MID(Identity!$A344,6,2)),0)&lt;=12,RIGHT(Identity!$A344,4)&lt;&gt;"0000"),AND(LEFT(Identity!$A344,3)="AA-",LEN(Identity!$A344)=15,SUMPRODUCT(--ISNUMBER(FIND(MID(Identity!$A344,ROW($4:$15),1),"ABCDEFGHIJKLMNOPQRSTUVWXYZ")))=6,SUMPRODUCT(--ISNUMBER(FIND(MID(Identity!$A344,ROW($4:$15),1),"0123456789")))=6))),FALSE))</f>
      </c>
    </row>
    <row r="345">
      <c r="D345">
        <f>IF(Identity!$A345="",TRUE,IFERROR(AND(ISTEXT(Identity!$A345),EXACT(Identity!$A345,UPPER(Identity!$A345)),COUNTIF(Identity!$A$2:$A$501,Identity!$A345)=1,OR(AND(LEFT(Identity!$A345,3)="AAI",LEN(Identity!$A345)=11,SUMPRODUCT(--ISNUMBER(FIND(MID(Identity!$A345,ROW($4:$11),1),"0123456789")))=8,IFERROR(VALUE(MID(Identity!$A345,6,2)),0)&gt;=1,IFERROR(VALUE(MID(Identity!$A345,6,2)),0)&lt;=12,RIGHT(Identity!$A345,4)&lt;&gt;"0000"),AND(LEFT(Identity!$A345,3)="AA-",LEN(Identity!$A345)=15,SUMPRODUCT(--ISNUMBER(FIND(MID(Identity!$A345,ROW($4:$15),1),"ABCDEFGHIJKLMNOPQRSTUVWXYZ")))=6,SUMPRODUCT(--ISNUMBER(FIND(MID(Identity!$A345,ROW($4:$15),1),"0123456789")))=6))),FALSE))</f>
      </c>
    </row>
    <row r="346">
      <c r="D346">
        <f>IF(Identity!$A346="",TRUE,IFERROR(AND(ISTEXT(Identity!$A346),EXACT(Identity!$A346,UPPER(Identity!$A346)),COUNTIF(Identity!$A$2:$A$501,Identity!$A346)=1,OR(AND(LEFT(Identity!$A346,3)="AAI",LEN(Identity!$A346)=11,SUMPRODUCT(--ISNUMBER(FIND(MID(Identity!$A346,ROW($4:$11),1),"0123456789")))=8,IFERROR(VALUE(MID(Identity!$A346,6,2)),0)&gt;=1,IFERROR(VALUE(MID(Identity!$A346,6,2)),0)&lt;=12,RIGHT(Identity!$A346,4)&lt;&gt;"0000"),AND(LEFT(Identity!$A346,3)="AA-",LEN(Identity!$A346)=15,SUMPRODUCT(--ISNUMBER(FIND(MID(Identity!$A346,ROW($4:$15),1),"ABCDEFGHIJKLMNOPQRSTUVWXYZ")))=6,SUMPRODUCT(--ISNUMBER(FIND(MID(Identity!$A346,ROW($4:$15),1),"0123456789")))=6))),FALSE))</f>
      </c>
    </row>
    <row r="347">
      <c r="D347">
        <f>IF(Identity!$A347="",TRUE,IFERROR(AND(ISTEXT(Identity!$A347),EXACT(Identity!$A347,UPPER(Identity!$A347)),COUNTIF(Identity!$A$2:$A$501,Identity!$A347)=1,OR(AND(LEFT(Identity!$A347,3)="AAI",LEN(Identity!$A347)=11,SUMPRODUCT(--ISNUMBER(FIND(MID(Identity!$A347,ROW($4:$11),1),"0123456789")))=8,IFERROR(VALUE(MID(Identity!$A347,6,2)),0)&gt;=1,IFERROR(VALUE(MID(Identity!$A347,6,2)),0)&lt;=12,RIGHT(Identity!$A347,4)&lt;&gt;"0000"),AND(LEFT(Identity!$A347,3)="AA-",LEN(Identity!$A347)=15,SUMPRODUCT(--ISNUMBER(FIND(MID(Identity!$A347,ROW($4:$15),1),"ABCDEFGHIJKLMNOPQRSTUVWXYZ")))=6,SUMPRODUCT(--ISNUMBER(FIND(MID(Identity!$A347,ROW($4:$15),1),"0123456789")))=6))),FALSE))</f>
      </c>
    </row>
    <row r="348">
      <c r="D348">
        <f>IF(Identity!$A348="",TRUE,IFERROR(AND(ISTEXT(Identity!$A348),EXACT(Identity!$A348,UPPER(Identity!$A348)),COUNTIF(Identity!$A$2:$A$501,Identity!$A348)=1,OR(AND(LEFT(Identity!$A348,3)="AAI",LEN(Identity!$A348)=11,SUMPRODUCT(--ISNUMBER(FIND(MID(Identity!$A348,ROW($4:$11),1),"0123456789")))=8,IFERROR(VALUE(MID(Identity!$A348,6,2)),0)&gt;=1,IFERROR(VALUE(MID(Identity!$A348,6,2)),0)&lt;=12,RIGHT(Identity!$A348,4)&lt;&gt;"0000"),AND(LEFT(Identity!$A348,3)="AA-",LEN(Identity!$A348)=15,SUMPRODUCT(--ISNUMBER(FIND(MID(Identity!$A348,ROW($4:$15),1),"ABCDEFGHIJKLMNOPQRSTUVWXYZ")))=6,SUMPRODUCT(--ISNUMBER(FIND(MID(Identity!$A348,ROW($4:$15),1),"0123456789")))=6))),FALSE))</f>
      </c>
    </row>
    <row r="349">
      <c r="D349">
        <f>IF(Identity!$A349="",TRUE,IFERROR(AND(ISTEXT(Identity!$A349),EXACT(Identity!$A349,UPPER(Identity!$A349)),COUNTIF(Identity!$A$2:$A$501,Identity!$A349)=1,OR(AND(LEFT(Identity!$A349,3)="AAI",LEN(Identity!$A349)=11,SUMPRODUCT(--ISNUMBER(FIND(MID(Identity!$A349,ROW($4:$11),1),"0123456789")))=8,IFERROR(VALUE(MID(Identity!$A349,6,2)),0)&gt;=1,IFERROR(VALUE(MID(Identity!$A349,6,2)),0)&lt;=12,RIGHT(Identity!$A349,4)&lt;&gt;"0000"),AND(LEFT(Identity!$A349,3)="AA-",LEN(Identity!$A349)=15,SUMPRODUCT(--ISNUMBER(FIND(MID(Identity!$A349,ROW($4:$15),1),"ABCDEFGHIJKLMNOPQRSTUVWXYZ")))=6,SUMPRODUCT(--ISNUMBER(FIND(MID(Identity!$A349,ROW($4:$15),1),"0123456789")))=6))),FALSE))</f>
      </c>
    </row>
    <row r="350">
      <c r="D350">
        <f>IF(Identity!$A350="",TRUE,IFERROR(AND(ISTEXT(Identity!$A350),EXACT(Identity!$A350,UPPER(Identity!$A350)),COUNTIF(Identity!$A$2:$A$501,Identity!$A350)=1,OR(AND(LEFT(Identity!$A350,3)="AAI",LEN(Identity!$A350)=11,SUMPRODUCT(--ISNUMBER(FIND(MID(Identity!$A350,ROW($4:$11),1),"0123456789")))=8,IFERROR(VALUE(MID(Identity!$A350,6,2)),0)&gt;=1,IFERROR(VALUE(MID(Identity!$A350,6,2)),0)&lt;=12,RIGHT(Identity!$A350,4)&lt;&gt;"0000"),AND(LEFT(Identity!$A350,3)="AA-",LEN(Identity!$A350)=15,SUMPRODUCT(--ISNUMBER(FIND(MID(Identity!$A350,ROW($4:$15),1),"ABCDEFGHIJKLMNOPQRSTUVWXYZ")))=6,SUMPRODUCT(--ISNUMBER(FIND(MID(Identity!$A350,ROW($4:$15),1),"0123456789")))=6))),FALSE))</f>
      </c>
    </row>
    <row r="351">
      <c r="D351">
        <f>IF(Identity!$A351="",TRUE,IFERROR(AND(ISTEXT(Identity!$A351),EXACT(Identity!$A351,UPPER(Identity!$A351)),COUNTIF(Identity!$A$2:$A$501,Identity!$A351)=1,OR(AND(LEFT(Identity!$A351,3)="AAI",LEN(Identity!$A351)=11,SUMPRODUCT(--ISNUMBER(FIND(MID(Identity!$A351,ROW($4:$11),1),"0123456789")))=8,IFERROR(VALUE(MID(Identity!$A351,6,2)),0)&gt;=1,IFERROR(VALUE(MID(Identity!$A351,6,2)),0)&lt;=12,RIGHT(Identity!$A351,4)&lt;&gt;"0000"),AND(LEFT(Identity!$A351,3)="AA-",LEN(Identity!$A351)=15,SUMPRODUCT(--ISNUMBER(FIND(MID(Identity!$A351,ROW($4:$15),1),"ABCDEFGHIJKLMNOPQRSTUVWXYZ")))=6,SUMPRODUCT(--ISNUMBER(FIND(MID(Identity!$A351,ROW($4:$15),1),"0123456789")))=6))),FALSE))</f>
      </c>
    </row>
    <row r="352">
      <c r="D352">
        <f>IF(Identity!$A352="",TRUE,IFERROR(AND(ISTEXT(Identity!$A352),EXACT(Identity!$A352,UPPER(Identity!$A352)),COUNTIF(Identity!$A$2:$A$501,Identity!$A352)=1,OR(AND(LEFT(Identity!$A352,3)="AAI",LEN(Identity!$A352)=11,SUMPRODUCT(--ISNUMBER(FIND(MID(Identity!$A352,ROW($4:$11),1),"0123456789")))=8,IFERROR(VALUE(MID(Identity!$A352,6,2)),0)&gt;=1,IFERROR(VALUE(MID(Identity!$A352,6,2)),0)&lt;=12,RIGHT(Identity!$A352,4)&lt;&gt;"0000"),AND(LEFT(Identity!$A352,3)="AA-",LEN(Identity!$A352)=15,SUMPRODUCT(--ISNUMBER(FIND(MID(Identity!$A352,ROW($4:$15),1),"ABCDEFGHIJKLMNOPQRSTUVWXYZ")))=6,SUMPRODUCT(--ISNUMBER(FIND(MID(Identity!$A352,ROW($4:$15),1),"0123456789")))=6))),FALSE))</f>
      </c>
    </row>
    <row r="353">
      <c r="D353">
        <f>IF(Identity!$A353="",TRUE,IFERROR(AND(ISTEXT(Identity!$A353),EXACT(Identity!$A353,UPPER(Identity!$A353)),COUNTIF(Identity!$A$2:$A$501,Identity!$A353)=1,OR(AND(LEFT(Identity!$A353,3)="AAI",LEN(Identity!$A353)=11,SUMPRODUCT(--ISNUMBER(FIND(MID(Identity!$A353,ROW($4:$11),1),"0123456789")))=8,IFERROR(VALUE(MID(Identity!$A353,6,2)),0)&gt;=1,IFERROR(VALUE(MID(Identity!$A353,6,2)),0)&lt;=12,RIGHT(Identity!$A353,4)&lt;&gt;"0000"),AND(LEFT(Identity!$A353,3)="AA-",LEN(Identity!$A353)=15,SUMPRODUCT(--ISNUMBER(FIND(MID(Identity!$A353,ROW($4:$15),1),"ABCDEFGHIJKLMNOPQRSTUVWXYZ")))=6,SUMPRODUCT(--ISNUMBER(FIND(MID(Identity!$A353,ROW($4:$15),1),"0123456789")))=6))),FALSE))</f>
      </c>
    </row>
    <row r="354">
      <c r="D354">
        <f>IF(Identity!$A354="",TRUE,IFERROR(AND(ISTEXT(Identity!$A354),EXACT(Identity!$A354,UPPER(Identity!$A354)),COUNTIF(Identity!$A$2:$A$501,Identity!$A354)=1,OR(AND(LEFT(Identity!$A354,3)="AAI",LEN(Identity!$A354)=11,SUMPRODUCT(--ISNUMBER(FIND(MID(Identity!$A354,ROW($4:$11),1),"0123456789")))=8,IFERROR(VALUE(MID(Identity!$A354,6,2)),0)&gt;=1,IFERROR(VALUE(MID(Identity!$A354,6,2)),0)&lt;=12,RIGHT(Identity!$A354,4)&lt;&gt;"0000"),AND(LEFT(Identity!$A354,3)="AA-",LEN(Identity!$A354)=15,SUMPRODUCT(--ISNUMBER(FIND(MID(Identity!$A354,ROW($4:$15),1),"ABCDEFGHIJKLMNOPQRSTUVWXYZ")))=6,SUMPRODUCT(--ISNUMBER(FIND(MID(Identity!$A354,ROW($4:$15),1),"0123456789")))=6))),FALSE))</f>
      </c>
    </row>
    <row r="355">
      <c r="D355">
        <f>IF(Identity!$A355="",TRUE,IFERROR(AND(ISTEXT(Identity!$A355),EXACT(Identity!$A355,UPPER(Identity!$A355)),COUNTIF(Identity!$A$2:$A$501,Identity!$A355)=1,OR(AND(LEFT(Identity!$A355,3)="AAI",LEN(Identity!$A355)=11,SUMPRODUCT(--ISNUMBER(FIND(MID(Identity!$A355,ROW($4:$11),1),"0123456789")))=8,IFERROR(VALUE(MID(Identity!$A355,6,2)),0)&gt;=1,IFERROR(VALUE(MID(Identity!$A355,6,2)),0)&lt;=12,RIGHT(Identity!$A355,4)&lt;&gt;"0000"),AND(LEFT(Identity!$A355,3)="AA-",LEN(Identity!$A355)=15,SUMPRODUCT(--ISNUMBER(FIND(MID(Identity!$A355,ROW($4:$15),1),"ABCDEFGHIJKLMNOPQRSTUVWXYZ")))=6,SUMPRODUCT(--ISNUMBER(FIND(MID(Identity!$A355,ROW($4:$15),1),"0123456789")))=6))),FALSE))</f>
      </c>
    </row>
    <row r="356">
      <c r="D356">
        <f>IF(Identity!$A356="",TRUE,IFERROR(AND(ISTEXT(Identity!$A356),EXACT(Identity!$A356,UPPER(Identity!$A356)),COUNTIF(Identity!$A$2:$A$501,Identity!$A356)=1,OR(AND(LEFT(Identity!$A356,3)="AAI",LEN(Identity!$A356)=11,SUMPRODUCT(--ISNUMBER(FIND(MID(Identity!$A356,ROW($4:$11),1),"0123456789")))=8,IFERROR(VALUE(MID(Identity!$A356,6,2)),0)&gt;=1,IFERROR(VALUE(MID(Identity!$A356,6,2)),0)&lt;=12,RIGHT(Identity!$A356,4)&lt;&gt;"0000"),AND(LEFT(Identity!$A356,3)="AA-",LEN(Identity!$A356)=15,SUMPRODUCT(--ISNUMBER(FIND(MID(Identity!$A356,ROW($4:$15),1),"ABCDEFGHIJKLMNOPQRSTUVWXYZ")))=6,SUMPRODUCT(--ISNUMBER(FIND(MID(Identity!$A356,ROW($4:$15),1),"0123456789")))=6))),FALSE))</f>
      </c>
    </row>
    <row r="357">
      <c r="D357">
        <f>IF(Identity!$A357="",TRUE,IFERROR(AND(ISTEXT(Identity!$A357),EXACT(Identity!$A357,UPPER(Identity!$A357)),COUNTIF(Identity!$A$2:$A$501,Identity!$A357)=1,OR(AND(LEFT(Identity!$A357,3)="AAI",LEN(Identity!$A357)=11,SUMPRODUCT(--ISNUMBER(FIND(MID(Identity!$A357,ROW($4:$11),1),"0123456789")))=8,IFERROR(VALUE(MID(Identity!$A357,6,2)),0)&gt;=1,IFERROR(VALUE(MID(Identity!$A357,6,2)),0)&lt;=12,RIGHT(Identity!$A357,4)&lt;&gt;"0000"),AND(LEFT(Identity!$A357,3)="AA-",LEN(Identity!$A357)=15,SUMPRODUCT(--ISNUMBER(FIND(MID(Identity!$A357,ROW($4:$15),1),"ABCDEFGHIJKLMNOPQRSTUVWXYZ")))=6,SUMPRODUCT(--ISNUMBER(FIND(MID(Identity!$A357,ROW($4:$15),1),"0123456789")))=6))),FALSE))</f>
      </c>
    </row>
    <row r="358">
      <c r="D358">
        <f>IF(Identity!$A358="",TRUE,IFERROR(AND(ISTEXT(Identity!$A358),EXACT(Identity!$A358,UPPER(Identity!$A358)),COUNTIF(Identity!$A$2:$A$501,Identity!$A358)=1,OR(AND(LEFT(Identity!$A358,3)="AAI",LEN(Identity!$A358)=11,SUMPRODUCT(--ISNUMBER(FIND(MID(Identity!$A358,ROW($4:$11),1),"0123456789")))=8,IFERROR(VALUE(MID(Identity!$A358,6,2)),0)&gt;=1,IFERROR(VALUE(MID(Identity!$A358,6,2)),0)&lt;=12,RIGHT(Identity!$A358,4)&lt;&gt;"0000"),AND(LEFT(Identity!$A358,3)="AA-",LEN(Identity!$A358)=15,SUMPRODUCT(--ISNUMBER(FIND(MID(Identity!$A358,ROW($4:$15),1),"ABCDEFGHIJKLMNOPQRSTUVWXYZ")))=6,SUMPRODUCT(--ISNUMBER(FIND(MID(Identity!$A358,ROW($4:$15),1),"0123456789")))=6))),FALSE))</f>
      </c>
    </row>
    <row r="359">
      <c r="D359">
        <f>IF(Identity!$A359="",TRUE,IFERROR(AND(ISTEXT(Identity!$A359),EXACT(Identity!$A359,UPPER(Identity!$A359)),COUNTIF(Identity!$A$2:$A$501,Identity!$A359)=1,OR(AND(LEFT(Identity!$A359,3)="AAI",LEN(Identity!$A359)=11,SUMPRODUCT(--ISNUMBER(FIND(MID(Identity!$A359,ROW($4:$11),1),"0123456789")))=8,IFERROR(VALUE(MID(Identity!$A359,6,2)),0)&gt;=1,IFERROR(VALUE(MID(Identity!$A359,6,2)),0)&lt;=12,RIGHT(Identity!$A359,4)&lt;&gt;"0000"),AND(LEFT(Identity!$A359,3)="AA-",LEN(Identity!$A359)=15,SUMPRODUCT(--ISNUMBER(FIND(MID(Identity!$A359,ROW($4:$15),1),"ABCDEFGHIJKLMNOPQRSTUVWXYZ")))=6,SUMPRODUCT(--ISNUMBER(FIND(MID(Identity!$A359,ROW($4:$15),1),"0123456789")))=6))),FALSE))</f>
      </c>
    </row>
    <row r="360">
      <c r="D360">
        <f>IF(Identity!$A360="",TRUE,IFERROR(AND(ISTEXT(Identity!$A360),EXACT(Identity!$A360,UPPER(Identity!$A360)),COUNTIF(Identity!$A$2:$A$501,Identity!$A360)=1,OR(AND(LEFT(Identity!$A360,3)="AAI",LEN(Identity!$A360)=11,SUMPRODUCT(--ISNUMBER(FIND(MID(Identity!$A360,ROW($4:$11),1),"0123456789")))=8,IFERROR(VALUE(MID(Identity!$A360,6,2)),0)&gt;=1,IFERROR(VALUE(MID(Identity!$A360,6,2)),0)&lt;=12,RIGHT(Identity!$A360,4)&lt;&gt;"0000"),AND(LEFT(Identity!$A360,3)="AA-",LEN(Identity!$A360)=15,SUMPRODUCT(--ISNUMBER(FIND(MID(Identity!$A360,ROW($4:$15),1),"ABCDEFGHIJKLMNOPQRSTUVWXYZ")))=6,SUMPRODUCT(--ISNUMBER(FIND(MID(Identity!$A360,ROW($4:$15),1),"0123456789")))=6))),FALSE))</f>
      </c>
    </row>
    <row r="361">
      <c r="D361">
        <f>IF(Identity!$A361="",TRUE,IFERROR(AND(ISTEXT(Identity!$A361),EXACT(Identity!$A361,UPPER(Identity!$A361)),COUNTIF(Identity!$A$2:$A$501,Identity!$A361)=1,OR(AND(LEFT(Identity!$A361,3)="AAI",LEN(Identity!$A361)=11,SUMPRODUCT(--ISNUMBER(FIND(MID(Identity!$A361,ROW($4:$11),1),"0123456789")))=8,IFERROR(VALUE(MID(Identity!$A361,6,2)),0)&gt;=1,IFERROR(VALUE(MID(Identity!$A361,6,2)),0)&lt;=12,RIGHT(Identity!$A361,4)&lt;&gt;"0000"),AND(LEFT(Identity!$A361,3)="AA-",LEN(Identity!$A361)=15,SUMPRODUCT(--ISNUMBER(FIND(MID(Identity!$A361,ROW($4:$15),1),"ABCDEFGHIJKLMNOPQRSTUVWXYZ")))=6,SUMPRODUCT(--ISNUMBER(FIND(MID(Identity!$A361,ROW($4:$15),1),"0123456789")))=6))),FALSE))</f>
      </c>
    </row>
    <row r="362">
      <c r="D362">
        <f>IF(Identity!$A362="",TRUE,IFERROR(AND(ISTEXT(Identity!$A362),EXACT(Identity!$A362,UPPER(Identity!$A362)),COUNTIF(Identity!$A$2:$A$501,Identity!$A362)=1,OR(AND(LEFT(Identity!$A362,3)="AAI",LEN(Identity!$A362)=11,SUMPRODUCT(--ISNUMBER(FIND(MID(Identity!$A362,ROW($4:$11),1),"0123456789")))=8,IFERROR(VALUE(MID(Identity!$A362,6,2)),0)&gt;=1,IFERROR(VALUE(MID(Identity!$A362,6,2)),0)&lt;=12,RIGHT(Identity!$A362,4)&lt;&gt;"0000"),AND(LEFT(Identity!$A362,3)="AA-",LEN(Identity!$A362)=15,SUMPRODUCT(--ISNUMBER(FIND(MID(Identity!$A362,ROW($4:$15),1),"ABCDEFGHIJKLMNOPQRSTUVWXYZ")))=6,SUMPRODUCT(--ISNUMBER(FIND(MID(Identity!$A362,ROW($4:$15),1),"0123456789")))=6))),FALSE))</f>
      </c>
    </row>
    <row r="363">
      <c r="D363">
        <f>IF(Identity!$A363="",TRUE,IFERROR(AND(ISTEXT(Identity!$A363),EXACT(Identity!$A363,UPPER(Identity!$A363)),COUNTIF(Identity!$A$2:$A$501,Identity!$A363)=1,OR(AND(LEFT(Identity!$A363,3)="AAI",LEN(Identity!$A363)=11,SUMPRODUCT(--ISNUMBER(FIND(MID(Identity!$A363,ROW($4:$11),1),"0123456789")))=8,IFERROR(VALUE(MID(Identity!$A363,6,2)),0)&gt;=1,IFERROR(VALUE(MID(Identity!$A363,6,2)),0)&lt;=12,RIGHT(Identity!$A363,4)&lt;&gt;"0000"),AND(LEFT(Identity!$A363,3)="AA-",LEN(Identity!$A363)=15,SUMPRODUCT(--ISNUMBER(FIND(MID(Identity!$A363,ROW($4:$15),1),"ABCDEFGHIJKLMNOPQRSTUVWXYZ")))=6,SUMPRODUCT(--ISNUMBER(FIND(MID(Identity!$A363,ROW($4:$15),1),"0123456789")))=6))),FALSE))</f>
      </c>
    </row>
    <row r="364">
      <c r="D364">
        <f>IF(Identity!$A364="",TRUE,IFERROR(AND(ISTEXT(Identity!$A364),EXACT(Identity!$A364,UPPER(Identity!$A364)),COUNTIF(Identity!$A$2:$A$501,Identity!$A364)=1,OR(AND(LEFT(Identity!$A364,3)="AAI",LEN(Identity!$A364)=11,SUMPRODUCT(--ISNUMBER(FIND(MID(Identity!$A364,ROW($4:$11),1),"0123456789")))=8,IFERROR(VALUE(MID(Identity!$A364,6,2)),0)&gt;=1,IFERROR(VALUE(MID(Identity!$A364,6,2)),0)&lt;=12,RIGHT(Identity!$A364,4)&lt;&gt;"0000"),AND(LEFT(Identity!$A364,3)="AA-",LEN(Identity!$A364)=15,SUMPRODUCT(--ISNUMBER(FIND(MID(Identity!$A364,ROW($4:$15),1),"ABCDEFGHIJKLMNOPQRSTUVWXYZ")))=6,SUMPRODUCT(--ISNUMBER(FIND(MID(Identity!$A364,ROW($4:$15),1),"0123456789")))=6))),FALSE))</f>
      </c>
    </row>
    <row r="365">
      <c r="D365">
        <f>IF(Identity!$A365="",TRUE,IFERROR(AND(ISTEXT(Identity!$A365),EXACT(Identity!$A365,UPPER(Identity!$A365)),COUNTIF(Identity!$A$2:$A$501,Identity!$A365)=1,OR(AND(LEFT(Identity!$A365,3)="AAI",LEN(Identity!$A365)=11,SUMPRODUCT(--ISNUMBER(FIND(MID(Identity!$A365,ROW($4:$11),1),"0123456789")))=8,IFERROR(VALUE(MID(Identity!$A365,6,2)),0)&gt;=1,IFERROR(VALUE(MID(Identity!$A365,6,2)),0)&lt;=12,RIGHT(Identity!$A365,4)&lt;&gt;"0000"),AND(LEFT(Identity!$A365,3)="AA-",LEN(Identity!$A365)=15,SUMPRODUCT(--ISNUMBER(FIND(MID(Identity!$A365,ROW($4:$15),1),"ABCDEFGHIJKLMNOPQRSTUVWXYZ")))=6,SUMPRODUCT(--ISNUMBER(FIND(MID(Identity!$A365,ROW($4:$15),1),"0123456789")))=6))),FALSE))</f>
      </c>
    </row>
    <row r="366">
      <c r="D366">
        <f>IF(Identity!$A366="",TRUE,IFERROR(AND(ISTEXT(Identity!$A366),EXACT(Identity!$A366,UPPER(Identity!$A366)),COUNTIF(Identity!$A$2:$A$501,Identity!$A366)=1,OR(AND(LEFT(Identity!$A366,3)="AAI",LEN(Identity!$A366)=11,SUMPRODUCT(--ISNUMBER(FIND(MID(Identity!$A366,ROW($4:$11),1),"0123456789")))=8,IFERROR(VALUE(MID(Identity!$A366,6,2)),0)&gt;=1,IFERROR(VALUE(MID(Identity!$A366,6,2)),0)&lt;=12,RIGHT(Identity!$A366,4)&lt;&gt;"0000"),AND(LEFT(Identity!$A366,3)="AA-",LEN(Identity!$A366)=15,SUMPRODUCT(--ISNUMBER(FIND(MID(Identity!$A366,ROW($4:$15),1),"ABCDEFGHIJKLMNOPQRSTUVWXYZ")))=6,SUMPRODUCT(--ISNUMBER(FIND(MID(Identity!$A366,ROW($4:$15),1),"0123456789")))=6))),FALSE))</f>
      </c>
    </row>
    <row r="367">
      <c r="D367">
        <f>IF(Identity!$A367="",TRUE,IFERROR(AND(ISTEXT(Identity!$A367),EXACT(Identity!$A367,UPPER(Identity!$A367)),COUNTIF(Identity!$A$2:$A$501,Identity!$A367)=1,OR(AND(LEFT(Identity!$A367,3)="AAI",LEN(Identity!$A367)=11,SUMPRODUCT(--ISNUMBER(FIND(MID(Identity!$A367,ROW($4:$11),1),"0123456789")))=8,IFERROR(VALUE(MID(Identity!$A367,6,2)),0)&gt;=1,IFERROR(VALUE(MID(Identity!$A367,6,2)),0)&lt;=12,RIGHT(Identity!$A367,4)&lt;&gt;"0000"),AND(LEFT(Identity!$A367,3)="AA-",LEN(Identity!$A367)=15,SUMPRODUCT(--ISNUMBER(FIND(MID(Identity!$A367,ROW($4:$15),1),"ABCDEFGHIJKLMNOPQRSTUVWXYZ")))=6,SUMPRODUCT(--ISNUMBER(FIND(MID(Identity!$A367,ROW($4:$15),1),"0123456789")))=6))),FALSE))</f>
      </c>
    </row>
    <row r="368">
      <c r="D368">
        <f>IF(Identity!$A368="",TRUE,IFERROR(AND(ISTEXT(Identity!$A368),EXACT(Identity!$A368,UPPER(Identity!$A368)),COUNTIF(Identity!$A$2:$A$501,Identity!$A368)=1,OR(AND(LEFT(Identity!$A368,3)="AAI",LEN(Identity!$A368)=11,SUMPRODUCT(--ISNUMBER(FIND(MID(Identity!$A368,ROW($4:$11),1),"0123456789")))=8,IFERROR(VALUE(MID(Identity!$A368,6,2)),0)&gt;=1,IFERROR(VALUE(MID(Identity!$A368,6,2)),0)&lt;=12,RIGHT(Identity!$A368,4)&lt;&gt;"0000"),AND(LEFT(Identity!$A368,3)="AA-",LEN(Identity!$A368)=15,SUMPRODUCT(--ISNUMBER(FIND(MID(Identity!$A368,ROW($4:$15),1),"ABCDEFGHIJKLMNOPQRSTUVWXYZ")))=6,SUMPRODUCT(--ISNUMBER(FIND(MID(Identity!$A368,ROW($4:$15),1),"0123456789")))=6))),FALSE))</f>
      </c>
    </row>
    <row r="369">
      <c r="D369">
        <f>IF(Identity!$A369="",TRUE,IFERROR(AND(ISTEXT(Identity!$A369),EXACT(Identity!$A369,UPPER(Identity!$A369)),COUNTIF(Identity!$A$2:$A$501,Identity!$A369)=1,OR(AND(LEFT(Identity!$A369,3)="AAI",LEN(Identity!$A369)=11,SUMPRODUCT(--ISNUMBER(FIND(MID(Identity!$A369,ROW($4:$11),1),"0123456789")))=8,IFERROR(VALUE(MID(Identity!$A369,6,2)),0)&gt;=1,IFERROR(VALUE(MID(Identity!$A369,6,2)),0)&lt;=12,RIGHT(Identity!$A369,4)&lt;&gt;"0000"),AND(LEFT(Identity!$A369,3)="AA-",LEN(Identity!$A369)=15,SUMPRODUCT(--ISNUMBER(FIND(MID(Identity!$A369,ROW($4:$15),1),"ABCDEFGHIJKLMNOPQRSTUVWXYZ")))=6,SUMPRODUCT(--ISNUMBER(FIND(MID(Identity!$A369,ROW($4:$15),1),"0123456789")))=6))),FALSE))</f>
      </c>
    </row>
    <row r="370">
      <c r="D370">
        <f>IF(Identity!$A370="",TRUE,IFERROR(AND(ISTEXT(Identity!$A370),EXACT(Identity!$A370,UPPER(Identity!$A370)),COUNTIF(Identity!$A$2:$A$501,Identity!$A370)=1,OR(AND(LEFT(Identity!$A370,3)="AAI",LEN(Identity!$A370)=11,SUMPRODUCT(--ISNUMBER(FIND(MID(Identity!$A370,ROW($4:$11),1),"0123456789")))=8,IFERROR(VALUE(MID(Identity!$A370,6,2)),0)&gt;=1,IFERROR(VALUE(MID(Identity!$A370,6,2)),0)&lt;=12,RIGHT(Identity!$A370,4)&lt;&gt;"0000"),AND(LEFT(Identity!$A370,3)="AA-",LEN(Identity!$A370)=15,SUMPRODUCT(--ISNUMBER(FIND(MID(Identity!$A370,ROW($4:$15),1),"ABCDEFGHIJKLMNOPQRSTUVWXYZ")))=6,SUMPRODUCT(--ISNUMBER(FIND(MID(Identity!$A370,ROW($4:$15),1),"0123456789")))=6))),FALSE))</f>
      </c>
    </row>
    <row r="371">
      <c r="D371">
        <f>IF(Identity!$A371="",TRUE,IFERROR(AND(ISTEXT(Identity!$A371),EXACT(Identity!$A371,UPPER(Identity!$A371)),COUNTIF(Identity!$A$2:$A$501,Identity!$A371)=1,OR(AND(LEFT(Identity!$A371,3)="AAI",LEN(Identity!$A371)=11,SUMPRODUCT(--ISNUMBER(FIND(MID(Identity!$A371,ROW($4:$11),1),"0123456789")))=8,IFERROR(VALUE(MID(Identity!$A371,6,2)),0)&gt;=1,IFERROR(VALUE(MID(Identity!$A371,6,2)),0)&lt;=12,RIGHT(Identity!$A371,4)&lt;&gt;"0000"),AND(LEFT(Identity!$A371,3)="AA-",LEN(Identity!$A371)=15,SUMPRODUCT(--ISNUMBER(FIND(MID(Identity!$A371,ROW($4:$15),1),"ABCDEFGHIJKLMNOPQRSTUVWXYZ")))=6,SUMPRODUCT(--ISNUMBER(FIND(MID(Identity!$A371,ROW($4:$15),1),"0123456789")))=6))),FALSE))</f>
      </c>
    </row>
    <row r="372">
      <c r="D372">
        <f>IF(Identity!$A372="",TRUE,IFERROR(AND(ISTEXT(Identity!$A372),EXACT(Identity!$A372,UPPER(Identity!$A372)),COUNTIF(Identity!$A$2:$A$501,Identity!$A372)=1,OR(AND(LEFT(Identity!$A372,3)="AAI",LEN(Identity!$A372)=11,SUMPRODUCT(--ISNUMBER(FIND(MID(Identity!$A372,ROW($4:$11),1),"0123456789")))=8,IFERROR(VALUE(MID(Identity!$A372,6,2)),0)&gt;=1,IFERROR(VALUE(MID(Identity!$A372,6,2)),0)&lt;=12,RIGHT(Identity!$A372,4)&lt;&gt;"0000"),AND(LEFT(Identity!$A372,3)="AA-",LEN(Identity!$A372)=15,SUMPRODUCT(--ISNUMBER(FIND(MID(Identity!$A372,ROW($4:$15),1),"ABCDEFGHIJKLMNOPQRSTUVWXYZ")))=6,SUMPRODUCT(--ISNUMBER(FIND(MID(Identity!$A372,ROW($4:$15),1),"0123456789")))=6))),FALSE))</f>
      </c>
    </row>
    <row r="373">
      <c r="D373">
        <f>IF(Identity!$A373="",TRUE,IFERROR(AND(ISTEXT(Identity!$A373),EXACT(Identity!$A373,UPPER(Identity!$A373)),COUNTIF(Identity!$A$2:$A$501,Identity!$A373)=1,OR(AND(LEFT(Identity!$A373,3)="AAI",LEN(Identity!$A373)=11,SUMPRODUCT(--ISNUMBER(FIND(MID(Identity!$A373,ROW($4:$11),1),"0123456789")))=8,IFERROR(VALUE(MID(Identity!$A373,6,2)),0)&gt;=1,IFERROR(VALUE(MID(Identity!$A373,6,2)),0)&lt;=12,RIGHT(Identity!$A373,4)&lt;&gt;"0000"),AND(LEFT(Identity!$A373,3)="AA-",LEN(Identity!$A373)=15,SUMPRODUCT(--ISNUMBER(FIND(MID(Identity!$A373,ROW($4:$15),1),"ABCDEFGHIJKLMNOPQRSTUVWXYZ")))=6,SUMPRODUCT(--ISNUMBER(FIND(MID(Identity!$A373,ROW($4:$15),1),"0123456789")))=6))),FALSE))</f>
      </c>
    </row>
    <row r="374">
      <c r="D374">
        <f>IF(Identity!$A374="",TRUE,IFERROR(AND(ISTEXT(Identity!$A374),EXACT(Identity!$A374,UPPER(Identity!$A374)),COUNTIF(Identity!$A$2:$A$501,Identity!$A374)=1,OR(AND(LEFT(Identity!$A374,3)="AAI",LEN(Identity!$A374)=11,SUMPRODUCT(--ISNUMBER(FIND(MID(Identity!$A374,ROW($4:$11),1),"0123456789")))=8,IFERROR(VALUE(MID(Identity!$A374,6,2)),0)&gt;=1,IFERROR(VALUE(MID(Identity!$A374,6,2)),0)&lt;=12,RIGHT(Identity!$A374,4)&lt;&gt;"0000"),AND(LEFT(Identity!$A374,3)="AA-",LEN(Identity!$A374)=15,SUMPRODUCT(--ISNUMBER(FIND(MID(Identity!$A374,ROW($4:$15),1),"ABCDEFGHIJKLMNOPQRSTUVWXYZ")))=6,SUMPRODUCT(--ISNUMBER(FIND(MID(Identity!$A374,ROW($4:$15),1),"0123456789")))=6))),FALSE))</f>
      </c>
    </row>
    <row r="375">
      <c r="D375">
        <f>IF(Identity!$A375="",TRUE,IFERROR(AND(ISTEXT(Identity!$A375),EXACT(Identity!$A375,UPPER(Identity!$A375)),COUNTIF(Identity!$A$2:$A$501,Identity!$A375)=1,OR(AND(LEFT(Identity!$A375,3)="AAI",LEN(Identity!$A375)=11,SUMPRODUCT(--ISNUMBER(FIND(MID(Identity!$A375,ROW($4:$11),1),"0123456789")))=8,IFERROR(VALUE(MID(Identity!$A375,6,2)),0)&gt;=1,IFERROR(VALUE(MID(Identity!$A375,6,2)),0)&lt;=12,RIGHT(Identity!$A375,4)&lt;&gt;"0000"),AND(LEFT(Identity!$A375,3)="AA-",LEN(Identity!$A375)=15,SUMPRODUCT(--ISNUMBER(FIND(MID(Identity!$A375,ROW($4:$15),1),"ABCDEFGHIJKLMNOPQRSTUVWXYZ")))=6,SUMPRODUCT(--ISNUMBER(FIND(MID(Identity!$A375,ROW($4:$15),1),"0123456789")))=6))),FALSE))</f>
      </c>
    </row>
    <row r="376">
      <c r="D376">
        <f>IF(Identity!$A376="",TRUE,IFERROR(AND(ISTEXT(Identity!$A376),EXACT(Identity!$A376,UPPER(Identity!$A376)),COUNTIF(Identity!$A$2:$A$501,Identity!$A376)=1,OR(AND(LEFT(Identity!$A376,3)="AAI",LEN(Identity!$A376)=11,SUMPRODUCT(--ISNUMBER(FIND(MID(Identity!$A376,ROW($4:$11),1),"0123456789")))=8,IFERROR(VALUE(MID(Identity!$A376,6,2)),0)&gt;=1,IFERROR(VALUE(MID(Identity!$A376,6,2)),0)&lt;=12,RIGHT(Identity!$A376,4)&lt;&gt;"0000"),AND(LEFT(Identity!$A376,3)="AA-",LEN(Identity!$A376)=15,SUMPRODUCT(--ISNUMBER(FIND(MID(Identity!$A376,ROW($4:$15),1),"ABCDEFGHIJKLMNOPQRSTUVWXYZ")))=6,SUMPRODUCT(--ISNUMBER(FIND(MID(Identity!$A376,ROW($4:$15),1),"0123456789")))=6))),FALSE))</f>
      </c>
    </row>
    <row r="377">
      <c r="D377">
        <f>IF(Identity!$A377="",TRUE,IFERROR(AND(ISTEXT(Identity!$A377),EXACT(Identity!$A377,UPPER(Identity!$A377)),COUNTIF(Identity!$A$2:$A$501,Identity!$A377)=1,OR(AND(LEFT(Identity!$A377,3)="AAI",LEN(Identity!$A377)=11,SUMPRODUCT(--ISNUMBER(FIND(MID(Identity!$A377,ROW($4:$11),1),"0123456789")))=8,IFERROR(VALUE(MID(Identity!$A377,6,2)),0)&gt;=1,IFERROR(VALUE(MID(Identity!$A377,6,2)),0)&lt;=12,RIGHT(Identity!$A377,4)&lt;&gt;"0000"),AND(LEFT(Identity!$A377,3)="AA-",LEN(Identity!$A377)=15,SUMPRODUCT(--ISNUMBER(FIND(MID(Identity!$A377,ROW($4:$15),1),"ABCDEFGHIJKLMNOPQRSTUVWXYZ")))=6,SUMPRODUCT(--ISNUMBER(FIND(MID(Identity!$A377,ROW($4:$15),1),"0123456789")))=6))),FALSE))</f>
      </c>
    </row>
    <row r="378">
      <c r="D378">
        <f>IF(Identity!$A378="",TRUE,IFERROR(AND(ISTEXT(Identity!$A378),EXACT(Identity!$A378,UPPER(Identity!$A378)),COUNTIF(Identity!$A$2:$A$501,Identity!$A378)=1,OR(AND(LEFT(Identity!$A378,3)="AAI",LEN(Identity!$A378)=11,SUMPRODUCT(--ISNUMBER(FIND(MID(Identity!$A378,ROW($4:$11),1),"0123456789")))=8,IFERROR(VALUE(MID(Identity!$A378,6,2)),0)&gt;=1,IFERROR(VALUE(MID(Identity!$A378,6,2)),0)&lt;=12,RIGHT(Identity!$A378,4)&lt;&gt;"0000"),AND(LEFT(Identity!$A378,3)="AA-",LEN(Identity!$A378)=15,SUMPRODUCT(--ISNUMBER(FIND(MID(Identity!$A378,ROW($4:$15),1),"ABCDEFGHIJKLMNOPQRSTUVWXYZ")))=6,SUMPRODUCT(--ISNUMBER(FIND(MID(Identity!$A378,ROW($4:$15),1),"0123456789")))=6))),FALSE))</f>
      </c>
    </row>
    <row r="379">
      <c r="D379">
        <f>IF(Identity!$A379="",TRUE,IFERROR(AND(ISTEXT(Identity!$A379),EXACT(Identity!$A379,UPPER(Identity!$A379)),COUNTIF(Identity!$A$2:$A$501,Identity!$A379)=1,OR(AND(LEFT(Identity!$A379,3)="AAI",LEN(Identity!$A379)=11,SUMPRODUCT(--ISNUMBER(FIND(MID(Identity!$A379,ROW($4:$11),1),"0123456789")))=8,IFERROR(VALUE(MID(Identity!$A379,6,2)),0)&gt;=1,IFERROR(VALUE(MID(Identity!$A379,6,2)),0)&lt;=12,RIGHT(Identity!$A379,4)&lt;&gt;"0000"),AND(LEFT(Identity!$A379,3)="AA-",LEN(Identity!$A379)=15,SUMPRODUCT(--ISNUMBER(FIND(MID(Identity!$A379,ROW($4:$15),1),"ABCDEFGHIJKLMNOPQRSTUVWXYZ")))=6,SUMPRODUCT(--ISNUMBER(FIND(MID(Identity!$A379,ROW($4:$15),1),"0123456789")))=6))),FALSE))</f>
      </c>
    </row>
    <row r="380">
      <c r="D380">
        <f>IF(Identity!$A380="",TRUE,IFERROR(AND(ISTEXT(Identity!$A380),EXACT(Identity!$A380,UPPER(Identity!$A380)),COUNTIF(Identity!$A$2:$A$501,Identity!$A380)=1,OR(AND(LEFT(Identity!$A380,3)="AAI",LEN(Identity!$A380)=11,SUMPRODUCT(--ISNUMBER(FIND(MID(Identity!$A380,ROW($4:$11),1),"0123456789")))=8,IFERROR(VALUE(MID(Identity!$A380,6,2)),0)&gt;=1,IFERROR(VALUE(MID(Identity!$A380,6,2)),0)&lt;=12,RIGHT(Identity!$A380,4)&lt;&gt;"0000"),AND(LEFT(Identity!$A380,3)="AA-",LEN(Identity!$A380)=15,SUMPRODUCT(--ISNUMBER(FIND(MID(Identity!$A380,ROW($4:$15),1),"ABCDEFGHIJKLMNOPQRSTUVWXYZ")))=6,SUMPRODUCT(--ISNUMBER(FIND(MID(Identity!$A380,ROW($4:$15),1),"0123456789")))=6))),FALSE))</f>
      </c>
    </row>
    <row r="381">
      <c r="D381">
        <f>IF(Identity!$A381="",TRUE,IFERROR(AND(ISTEXT(Identity!$A381),EXACT(Identity!$A381,UPPER(Identity!$A381)),COUNTIF(Identity!$A$2:$A$501,Identity!$A381)=1,OR(AND(LEFT(Identity!$A381,3)="AAI",LEN(Identity!$A381)=11,SUMPRODUCT(--ISNUMBER(FIND(MID(Identity!$A381,ROW($4:$11),1),"0123456789")))=8,IFERROR(VALUE(MID(Identity!$A381,6,2)),0)&gt;=1,IFERROR(VALUE(MID(Identity!$A381,6,2)),0)&lt;=12,RIGHT(Identity!$A381,4)&lt;&gt;"0000"),AND(LEFT(Identity!$A381,3)="AA-",LEN(Identity!$A381)=15,SUMPRODUCT(--ISNUMBER(FIND(MID(Identity!$A381,ROW($4:$15),1),"ABCDEFGHIJKLMNOPQRSTUVWXYZ")))=6,SUMPRODUCT(--ISNUMBER(FIND(MID(Identity!$A381,ROW($4:$15),1),"0123456789")))=6))),FALSE))</f>
      </c>
    </row>
    <row r="382">
      <c r="D382">
        <f>IF(Identity!$A382="",TRUE,IFERROR(AND(ISTEXT(Identity!$A382),EXACT(Identity!$A382,UPPER(Identity!$A382)),COUNTIF(Identity!$A$2:$A$501,Identity!$A382)=1,OR(AND(LEFT(Identity!$A382,3)="AAI",LEN(Identity!$A382)=11,SUMPRODUCT(--ISNUMBER(FIND(MID(Identity!$A382,ROW($4:$11),1),"0123456789")))=8,IFERROR(VALUE(MID(Identity!$A382,6,2)),0)&gt;=1,IFERROR(VALUE(MID(Identity!$A382,6,2)),0)&lt;=12,RIGHT(Identity!$A382,4)&lt;&gt;"0000"),AND(LEFT(Identity!$A382,3)="AA-",LEN(Identity!$A382)=15,SUMPRODUCT(--ISNUMBER(FIND(MID(Identity!$A382,ROW($4:$15),1),"ABCDEFGHIJKLMNOPQRSTUVWXYZ")))=6,SUMPRODUCT(--ISNUMBER(FIND(MID(Identity!$A382,ROW($4:$15),1),"0123456789")))=6))),FALSE))</f>
      </c>
    </row>
    <row r="383">
      <c r="D383">
        <f>IF(Identity!$A383="",TRUE,IFERROR(AND(ISTEXT(Identity!$A383),EXACT(Identity!$A383,UPPER(Identity!$A383)),COUNTIF(Identity!$A$2:$A$501,Identity!$A383)=1,OR(AND(LEFT(Identity!$A383,3)="AAI",LEN(Identity!$A383)=11,SUMPRODUCT(--ISNUMBER(FIND(MID(Identity!$A383,ROW($4:$11),1),"0123456789")))=8,IFERROR(VALUE(MID(Identity!$A383,6,2)),0)&gt;=1,IFERROR(VALUE(MID(Identity!$A383,6,2)),0)&lt;=12,RIGHT(Identity!$A383,4)&lt;&gt;"0000"),AND(LEFT(Identity!$A383,3)="AA-",LEN(Identity!$A383)=15,SUMPRODUCT(--ISNUMBER(FIND(MID(Identity!$A383,ROW($4:$15),1),"ABCDEFGHIJKLMNOPQRSTUVWXYZ")))=6,SUMPRODUCT(--ISNUMBER(FIND(MID(Identity!$A383,ROW($4:$15),1),"0123456789")))=6))),FALSE))</f>
      </c>
    </row>
    <row r="384">
      <c r="D384">
        <f>IF(Identity!$A384="",TRUE,IFERROR(AND(ISTEXT(Identity!$A384),EXACT(Identity!$A384,UPPER(Identity!$A384)),COUNTIF(Identity!$A$2:$A$501,Identity!$A384)=1,OR(AND(LEFT(Identity!$A384,3)="AAI",LEN(Identity!$A384)=11,SUMPRODUCT(--ISNUMBER(FIND(MID(Identity!$A384,ROW($4:$11),1),"0123456789")))=8,IFERROR(VALUE(MID(Identity!$A384,6,2)),0)&gt;=1,IFERROR(VALUE(MID(Identity!$A384,6,2)),0)&lt;=12,RIGHT(Identity!$A384,4)&lt;&gt;"0000"),AND(LEFT(Identity!$A384,3)="AA-",LEN(Identity!$A384)=15,SUMPRODUCT(--ISNUMBER(FIND(MID(Identity!$A384,ROW($4:$15),1),"ABCDEFGHIJKLMNOPQRSTUVWXYZ")))=6,SUMPRODUCT(--ISNUMBER(FIND(MID(Identity!$A384,ROW($4:$15),1),"0123456789")))=6))),FALSE))</f>
      </c>
    </row>
    <row r="385">
      <c r="D385">
        <f>IF(Identity!$A385="",TRUE,IFERROR(AND(ISTEXT(Identity!$A385),EXACT(Identity!$A385,UPPER(Identity!$A385)),COUNTIF(Identity!$A$2:$A$501,Identity!$A385)=1,OR(AND(LEFT(Identity!$A385,3)="AAI",LEN(Identity!$A385)=11,SUMPRODUCT(--ISNUMBER(FIND(MID(Identity!$A385,ROW($4:$11),1),"0123456789")))=8,IFERROR(VALUE(MID(Identity!$A385,6,2)),0)&gt;=1,IFERROR(VALUE(MID(Identity!$A385,6,2)),0)&lt;=12,RIGHT(Identity!$A385,4)&lt;&gt;"0000"),AND(LEFT(Identity!$A385,3)="AA-",LEN(Identity!$A385)=15,SUMPRODUCT(--ISNUMBER(FIND(MID(Identity!$A385,ROW($4:$15),1),"ABCDEFGHIJKLMNOPQRSTUVWXYZ")))=6,SUMPRODUCT(--ISNUMBER(FIND(MID(Identity!$A385,ROW($4:$15),1),"0123456789")))=6))),FALSE))</f>
      </c>
    </row>
    <row r="386">
      <c r="D386">
        <f>IF(Identity!$A386="",TRUE,IFERROR(AND(ISTEXT(Identity!$A386),EXACT(Identity!$A386,UPPER(Identity!$A386)),COUNTIF(Identity!$A$2:$A$501,Identity!$A386)=1,OR(AND(LEFT(Identity!$A386,3)="AAI",LEN(Identity!$A386)=11,SUMPRODUCT(--ISNUMBER(FIND(MID(Identity!$A386,ROW($4:$11),1),"0123456789")))=8,IFERROR(VALUE(MID(Identity!$A386,6,2)),0)&gt;=1,IFERROR(VALUE(MID(Identity!$A386,6,2)),0)&lt;=12,RIGHT(Identity!$A386,4)&lt;&gt;"0000"),AND(LEFT(Identity!$A386,3)="AA-",LEN(Identity!$A386)=15,SUMPRODUCT(--ISNUMBER(FIND(MID(Identity!$A386,ROW($4:$15),1),"ABCDEFGHIJKLMNOPQRSTUVWXYZ")))=6,SUMPRODUCT(--ISNUMBER(FIND(MID(Identity!$A386,ROW($4:$15),1),"0123456789")))=6))),FALSE))</f>
      </c>
    </row>
    <row r="387">
      <c r="D387">
        <f>IF(Identity!$A387="",TRUE,IFERROR(AND(ISTEXT(Identity!$A387),EXACT(Identity!$A387,UPPER(Identity!$A387)),COUNTIF(Identity!$A$2:$A$501,Identity!$A387)=1,OR(AND(LEFT(Identity!$A387,3)="AAI",LEN(Identity!$A387)=11,SUMPRODUCT(--ISNUMBER(FIND(MID(Identity!$A387,ROW($4:$11),1),"0123456789")))=8,IFERROR(VALUE(MID(Identity!$A387,6,2)),0)&gt;=1,IFERROR(VALUE(MID(Identity!$A387,6,2)),0)&lt;=12,RIGHT(Identity!$A387,4)&lt;&gt;"0000"),AND(LEFT(Identity!$A387,3)="AA-",LEN(Identity!$A387)=15,SUMPRODUCT(--ISNUMBER(FIND(MID(Identity!$A387,ROW($4:$15),1),"ABCDEFGHIJKLMNOPQRSTUVWXYZ")))=6,SUMPRODUCT(--ISNUMBER(FIND(MID(Identity!$A387,ROW($4:$15),1),"0123456789")))=6))),FALSE))</f>
      </c>
    </row>
    <row r="388">
      <c r="D388">
        <f>IF(Identity!$A388="",TRUE,IFERROR(AND(ISTEXT(Identity!$A388),EXACT(Identity!$A388,UPPER(Identity!$A388)),COUNTIF(Identity!$A$2:$A$501,Identity!$A388)=1,OR(AND(LEFT(Identity!$A388,3)="AAI",LEN(Identity!$A388)=11,SUMPRODUCT(--ISNUMBER(FIND(MID(Identity!$A388,ROW($4:$11),1),"0123456789")))=8,IFERROR(VALUE(MID(Identity!$A388,6,2)),0)&gt;=1,IFERROR(VALUE(MID(Identity!$A388,6,2)),0)&lt;=12,RIGHT(Identity!$A388,4)&lt;&gt;"0000"),AND(LEFT(Identity!$A388,3)="AA-",LEN(Identity!$A388)=15,SUMPRODUCT(--ISNUMBER(FIND(MID(Identity!$A388,ROW($4:$15),1),"ABCDEFGHIJKLMNOPQRSTUVWXYZ")))=6,SUMPRODUCT(--ISNUMBER(FIND(MID(Identity!$A388,ROW($4:$15),1),"0123456789")))=6))),FALSE))</f>
      </c>
    </row>
    <row r="389">
      <c r="D389">
        <f>IF(Identity!$A389="",TRUE,IFERROR(AND(ISTEXT(Identity!$A389),EXACT(Identity!$A389,UPPER(Identity!$A389)),COUNTIF(Identity!$A$2:$A$501,Identity!$A389)=1,OR(AND(LEFT(Identity!$A389,3)="AAI",LEN(Identity!$A389)=11,SUMPRODUCT(--ISNUMBER(FIND(MID(Identity!$A389,ROW($4:$11),1),"0123456789")))=8,IFERROR(VALUE(MID(Identity!$A389,6,2)),0)&gt;=1,IFERROR(VALUE(MID(Identity!$A389,6,2)),0)&lt;=12,RIGHT(Identity!$A389,4)&lt;&gt;"0000"),AND(LEFT(Identity!$A389,3)="AA-",LEN(Identity!$A389)=15,SUMPRODUCT(--ISNUMBER(FIND(MID(Identity!$A389,ROW($4:$15),1),"ABCDEFGHIJKLMNOPQRSTUVWXYZ")))=6,SUMPRODUCT(--ISNUMBER(FIND(MID(Identity!$A389,ROW($4:$15),1),"0123456789")))=6))),FALSE))</f>
      </c>
    </row>
    <row r="390">
      <c r="D390">
        <f>IF(Identity!$A390="",TRUE,IFERROR(AND(ISTEXT(Identity!$A390),EXACT(Identity!$A390,UPPER(Identity!$A390)),COUNTIF(Identity!$A$2:$A$501,Identity!$A390)=1,OR(AND(LEFT(Identity!$A390,3)="AAI",LEN(Identity!$A390)=11,SUMPRODUCT(--ISNUMBER(FIND(MID(Identity!$A390,ROW($4:$11),1),"0123456789")))=8,IFERROR(VALUE(MID(Identity!$A390,6,2)),0)&gt;=1,IFERROR(VALUE(MID(Identity!$A390,6,2)),0)&lt;=12,RIGHT(Identity!$A390,4)&lt;&gt;"0000"),AND(LEFT(Identity!$A390,3)="AA-",LEN(Identity!$A390)=15,SUMPRODUCT(--ISNUMBER(FIND(MID(Identity!$A390,ROW($4:$15),1),"ABCDEFGHIJKLMNOPQRSTUVWXYZ")))=6,SUMPRODUCT(--ISNUMBER(FIND(MID(Identity!$A390,ROW($4:$15),1),"0123456789")))=6))),FALSE))</f>
      </c>
    </row>
    <row r="391">
      <c r="D391">
        <f>IF(Identity!$A391="",TRUE,IFERROR(AND(ISTEXT(Identity!$A391),EXACT(Identity!$A391,UPPER(Identity!$A391)),COUNTIF(Identity!$A$2:$A$501,Identity!$A391)=1,OR(AND(LEFT(Identity!$A391,3)="AAI",LEN(Identity!$A391)=11,SUMPRODUCT(--ISNUMBER(FIND(MID(Identity!$A391,ROW($4:$11),1),"0123456789")))=8,IFERROR(VALUE(MID(Identity!$A391,6,2)),0)&gt;=1,IFERROR(VALUE(MID(Identity!$A391,6,2)),0)&lt;=12,RIGHT(Identity!$A391,4)&lt;&gt;"0000"),AND(LEFT(Identity!$A391,3)="AA-",LEN(Identity!$A391)=15,SUMPRODUCT(--ISNUMBER(FIND(MID(Identity!$A391,ROW($4:$15),1),"ABCDEFGHIJKLMNOPQRSTUVWXYZ")))=6,SUMPRODUCT(--ISNUMBER(FIND(MID(Identity!$A391,ROW($4:$15),1),"0123456789")))=6))),FALSE))</f>
      </c>
    </row>
    <row r="392">
      <c r="D392">
        <f>IF(Identity!$A392="",TRUE,IFERROR(AND(ISTEXT(Identity!$A392),EXACT(Identity!$A392,UPPER(Identity!$A392)),COUNTIF(Identity!$A$2:$A$501,Identity!$A392)=1,OR(AND(LEFT(Identity!$A392,3)="AAI",LEN(Identity!$A392)=11,SUMPRODUCT(--ISNUMBER(FIND(MID(Identity!$A392,ROW($4:$11),1),"0123456789")))=8,IFERROR(VALUE(MID(Identity!$A392,6,2)),0)&gt;=1,IFERROR(VALUE(MID(Identity!$A392,6,2)),0)&lt;=12,RIGHT(Identity!$A392,4)&lt;&gt;"0000"),AND(LEFT(Identity!$A392,3)="AA-",LEN(Identity!$A392)=15,SUMPRODUCT(--ISNUMBER(FIND(MID(Identity!$A392,ROW($4:$15),1),"ABCDEFGHIJKLMNOPQRSTUVWXYZ")))=6,SUMPRODUCT(--ISNUMBER(FIND(MID(Identity!$A392,ROW($4:$15),1),"0123456789")))=6))),FALSE))</f>
      </c>
    </row>
    <row r="393">
      <c r="D393">
        <f>IF(Identity!$A393="",TRUE,IFERROR(AND(ISTEXT(Identity!$A393),EXACT(Identity!$A393,UPPER(Identity!$A393)),COUNTIF(Identity!$A$2:$A$501,Identity!$A393)=1,OR(AND(LEFT(Identity!$A393,3)="AAI",LEN(Identity!$A393)=11,SUMPRODUCT(--ISNUMBER(FIND(MID(Identity!$A393,ROW($4:$11),1),"0123456789")))=8,IFERROR(VALUE(MID(Identity!$A393,6,2)),0)&gt;=1,IFERROR(VALUE(MID(Identity!$A393,6,2)),0)&lt;=12,RIGHT(Identity!$A393,4)&lt;&gt;"0000"),AND(LEFT(Identity!$A393,3)="AA-",LEN(Identity!$A393)=15,SUMPRODUCT(--ISNUMBER(FIND(MID(Identity!$A393,ROW($4:$15),1),"ABCDEFGHIJKLMNOPQRSTUVWXYZ")))=6,SUMPRODUCT(--ISNUMBER(FIND(MID(Identity!$A393,ROW($4:$15),1),"0123456789")))=6))),FALSE))</f>
      </c>
    </row>
    <row r="394">
      <c r="D394">
        <f>IF(Identity!$A394="",TRUE,IFERROR(AND(ISTEXT(Identity!$A394),EXACT(Identity!$A394,UPPER(Identity!$A394)),COUNTIF(Identity!$A$2:$A$501,Identity!$A394)=1,OR(AND(LEFT(Identity!$A394,3)="AAI",LEN(Identity!$A394)=11,SUMPRODUCT(--ISNUMBER(FIND(MID(Identity!$A394,ROW($4:$11),1),"0123456789")))=8,IFERROR(VALUE(MID(Identity!$A394,6,2)),0)&gt;=1,IFERROR(VALUE(MID(Identity!$A394,6,2)),0)&lt;=12,RIGHT(Identity!$A394,4)&lt;&gt;"0000"),AND(LEFT(Identity!$A394,3)="AA-",LEN(Identity!$A394)=15,SUMPRODUCT(--ISNUMBER(FIND(MID(Identity!$A394,ROW($4:$15),1),"ABCDEFGHIJKLMNOPQRSTUVWXYZ")))=6,SUMPRODUCT(--ISNUMBER(FIND(MID(Identity!$A394,ROW($4:$15),1),"0123456789")))=6))),FALSE))</f>
      </c>
    </row>
    <row r="395">
      <c r="D395">
        <f>IF(Identity!$A395="",TRUE,IFERROR(AND(ISTEXT(Identity!$A395),EXACT(Identity!$A395,UPPER(Identity!$A395)),COUNTIF(Identity!$A$2:$A$501,Identity!$A395)=1,OR(AND(LEFT(Identity!$A395,3)="AAI",LEN(Identity!$A395)=11,SUMPRODUCT(--ISNUMBER(FIND(MID(Identity!$A395,ROW($4:$11),1),"0123456789")))=8,IFERROR(VALUE(MID(Identity!$A395,6,2)),0)&gt;=1,IFERROR(VALUE(MID(Identity!$A395,6,2)),0)&lt;=12,RIGHT(Identity!$A395,4)&lt;&gt;"0000"),AND(LEFT(Identity!$A395,3)="AA-",LEN(Identity!$A395)=15,SUMPRODUCT(--ISNUMBER(FIND(MID(Identity!$A395,ROW($4:$15),1),"ABCDEFGHIJKLMNOPQRSTUVWXYZ")))=6,SUMPRODUCT(--ISNUMBER(FIND(MID(Identity!$A395,ROW($4:$15),1),"0123456789")))=6))),FALSE))</f>
      </c>
    </row>
    <row r="396">
      <c r="D396">
        <f>IF(Identity!$A396="",TRUE,IFERROR(AND(ISTEXT(Identity!$A396),EXACT(Identity!$A396,UPPER(Identity!$A396)),COUNTIF(Identity!$A$2:$A$501,Identity!$A396)=1,OR(AND(LEFT(Identity!$A396,3)="AAI",LEN(Identity!$A396)=11,SUMPRODUCT(--ISNUMBER(FIND(MID(Identity!$A396,ROW($4:$11),1),"0123456789")))=8,IFERROR(VALUE(MID(Identity!$A396,6,2)),0)&gt;=1,IFERROR(VALUE(MID(Identity!$A396,6,2)),0)&lt;=12,RIGHT(Identity!$A396,4)&lt;&gt;"0000"),AND(LEFT(Identity!$A396,3)="AA-",LEN(Identity!$A396)=15,SUMPRODUCT(--ISNUMBER(FIND(MID(Identity!$A396,ROW($4:$15),1),"ABCDEFGHIJKLMNOPQRSTUVWXYZ")))=6,SUMPRODUCT(--ISNUMBER(FIND(MID(Identity!$A396,ROW($4:$15),1),"0123456789")))=6))),FALSE))</f>
      </c>
    </row>
    <row r="397">
      <c r="D397">
        <f>IF(Identity!$A397="",TRUE,IFERROR(AND(ISTEXT(Identity!$A397),EXACT(Identity!$A397,UPPER(Identity!$A397)),COUNTIF(Identity!$A$2:$A$501,Identity!$A397)=1,OR(AND(LEFT(Identity!$A397,3)="AAI",LEN(Identity!$A397)=11,SUMPRODUCT(--ISNUMBER(FIND(MID(Identity!$A397,ROW($4:$11),1),"0123456789")))=8,IFERROR(VALUE(MID(Identity!$A397,6,2)),0)&gt;=1,IFERROR(VALUE(MID(Identity!$A397,6,2)),0)&lt;=12,RIGHT(Identity!$A397,4)&lt;&gt;"0000"),AND(LEFT(Identity!$A397,3)="AA-",LEN(Identity!$A397)=15,SUMPRODUCT(--ISNUMBER(FIND(MID(Identity!$A397,ROW($4:$15),1),"ABCDEFGHIJKLMNOPQRSTUVWXYZ")))=6,SUMPRODUCT(--ISNUMBER(FIND(MID(Identity!$A397,ROW($4:$15),1),"0123456789")))=6))),FALSE))</f>
      </c>
    </row>
    <row r="398">
      <c r="D398">
        <f>IF(Identity!$A398="",TRUE,IFERROR(AND(ISTEXT(Identity!$A398),EXACT(Identity!$A398,UPPER(Identity!$A398)),COUNTIF(Identity!$A$2:$A$501,Identity!$A398)=1,OR(AND(LEFT(Identity!$A398,3)="AAI",LEN(Identity!$A398)=11,SUMPRODUCT(--ISNUMBER(FIND(MID(Identity!$A398,ROW($4:$11),1),"0123456789")))=8,IFERROR(VALUE(MID(Identity!$A398,6,2)),0)&gt;=1,IFERROR(VALUE(MID(Identity!$A398,6,2)),0)&lt;=12,RIGHT(Identity!$A398,4)&lt;&gt;"0000"),AND(LEFT(Identity!$A398,3)="AA-",LEN(Identity!$A398)=15,SUMPRODUCT(--ISNUMBER(FIND(MID(Identity!$A398,ROW($4:$15),1),"ABCDEFGHIJKLMNOPQRSTUVWXYZ")))=6,SUMPRODUCT(--ISNUMBER(FIND(MID(Identity!$A398,ROW($4:$15),1),"0123456789")))=6))),FALSE))</f>
      </c>
    </row>
    <row r="399">
      <c r="D399">
        <f>IF(Identity!$A399="",TRUE,IFERROR(AND(ISTEXT(Identity!$A399),EXACT(Identity!$A399,UPPER(Identity!$A399)),COUNTIF(Identity!$A$2:$A$501,Identity!$A399)=1,OR(AND(LEFT(Identity!$A399,3)="AAI",LEN(Identity!$A399)=11,SUMPRODUCT(--ISNUMBER(FIND(MID(Identity!$A399,ROW($4:$11),1),"0123456789")))=8,IFERROR(VALUE(MID(Identity!$A399,6,2)),0)&gt;=1,IFERROR(VALUE(MID(Identity!$A399,6,2)),0)&lt;=12,RIGHT(Identity!$A399,4)&lt;&gt;"0000"),AND(LEFT(Identity!$A399,3)="AA-",LEN(Identity!$A399)=15,SUMPRODUCT(--ISNUMBER(FIND(MID(Identity!$A399,ROW($4:$15),1),"ABCDEFGHIJKLMNOPQRSTUVWXYZ")))=6,SUMPRODUCT(--ISNUMBER(FIND(MID(Identity!$A399,ROW($4:$15),1),"0123456789")))=6))),FALSE))</f>
      </c>
    </row>
    <row r="400">
      <c r="D400">
        <f>IF(Identity!$A400="",TRUE,IFERROR(AND(ISTEXT(Identity!$A400),EXACT(Identity!$A400,UPPER(Identity!$A400)),COUNTIF(Identity!$A$2:$A$501,Identity!$A400)=1,OR(AND(LEFT(Identity!$A400,3)="AAI",LEN(Identity!$A400)=11,SUMPRODUCT(--ISNUMBER(FIND(MID(Identity!$A400,ROW($4:$11),1),"0123456789")))=8,IFERROR(VALUE(MID(Identity!$A400,6,2)),0)&gt;=1,IFERROR(VALUE(MID(Identity!$A400,6,2)),0)&lt;=12,RIGHT(Identity!$A400,4)&lt;&gt;"0000"),AND(LEFT(Identity!$A400,3)="AA-",LEN(Identity!$A400)=15,SUMPRODUCT(--ISNUMBER(FIND(MID(Identity!$A400,ROW($4:$15),1),"ABCDEFGHIJKLMNOPQRSTUVWXYZ")))=6,SUMPRODUCT(--ISNUMBER(FIND(MID(Identity!$A400,ROW($4:$15),1),"0123456789")))=6))),FALSE))</f>
      </c>
    </row>
    <row r="401">
      <c r="D401">
        <f>IF(Identity!$A401="",TRUE,IFERROR(AND(ISTEXT(Identity!$A401),EXACT(Identity!$A401,UPPER(Identity!$A401)),COUNTIF(Identity!$A$2:$A$501,Identity!$A401)=1,OR(AND(LEFT(Identity!$A401,3)="AAI",LEN(Identity!$A401)=11,SUMPRODUCT(--ISNUMBER(FIND(MID(Identity!$A401,ROW($4:$11),1),"0123456789")))=8,IFERROR(VALUE(MID(Identity!$A401,6,2)),0)&gt;=1,IFERROR(VALUE(MID(Identity!$A401,6,2)),0)&lt;=12,RIGHT(Identity!$A401,4)&lt;&gt;"0000"),AND(LEFT(Identity!$A401,3)="AA-",LEN(Identity!$A401)=15,SUMPRODUCT(--ISNUMBER(FIND(MID(Identity!$A401,ROW($4:$15),1),"ABCDEFGHIJKLMNOPQRSTUVWXYZ")))=6,SUMPRODUCT(--ISNUMBER(FIND(MID(Identity!$A401,ROW($4:$15),1),"0123456789")))=6))),FALSE))</f>
      </c>
    </row>
    <row r="402">
      <c r="D402">
        <f>IF(Identity!$A402="",TRUE,IFERROR(AND(ISTEXT(Identity!$A402),EXACT(Identity!$A402,UPPER(Identity!$A402)),COUNTIF(Identity!$A$2:$A$501,Identity!$A402)=1,OR(AND(LEFT(Identity!$A402,3)="AAI",LEN(Identity!$A402)=11,SUMPRODUCT(--ISNUMBER(FIND(MID(Identity!$A402,ROW($4:$11),1),"0123456789")))=8,IFERROR(VALUE(MID(Identity!$A402,6,2)),0)&gt;=1,IFERROR(VALUE(MID(Identity!$A402,6,2)),0)&lt;=12,RIGHT(Identity!$A402,4)&lt;&gt;"0000"),AND(LEFT(Identity!$A402,3)="AA-",LEN(Identity!$A402)=15,SUMPRODUCT(--ISNUMBER(FIND(MID(Identity!$A402,ROW($4:$15),1),"ABCDEFGHIJKLMNOPQRSTUVWXYZ")))=6,SUMPRODUCT(--ISNUMBER(FIND(MID(Identity!$A402,ROW($4:$15),1),"0123456789")))=6))),FALSE))</f>
      </c>
    </row>
    <row r="403">
      <c r="D403">
        <f>IF(Identity!$A403="",TRUE,IFERROR(AND(ISTEXT(Identity!$A403),EXACT(Identity!$A403,UPPER(Identity!$A403)),COUNTIF(Identity!$A$2:$A$501,Identity!$A403)=1,OR(AND(LEFT(Identity!$A403,3)="AAI",LEN(Identity!$A403)=11,SUMPRODUCT(--ISNUMBER(FIND(MID(Identity!$A403,ROW($4:$11),1),"0123456789")))=8,IFERROR(VALUE(MID(Identity!$A403,6,2)),0)&gt;=1,IFERROR(VALUE(MID(Identity!$A403,6,2)),0)&lt;=12,RIGHT(Identity!$A403,4)&lt;&gt;"0000"),AND(LEFT(Identity!$A403,3)="AA-",LEN(Identity!$A403)=15,SUMPRODUCT(--ISNUMBER(FIND(MID(Identity!$A403,ROW($4:$15),1),"ABCDEFGHIJKLMNOPQRSTUVWXYZ")))=6,SUMPRODUCT(--ISNUMBER(FIND(MID(Identity!$A403,ROW($4:$15),1),"0123456789")))=6))),FALSE))</f>
      </c>
    </row>
    <row r="404">
      <c r="D404">
        <f>IF(Identity!$A404="",TRUE,IFERROR(AND(ISTEXT(Identity!$A404),EXACT(Identity!$A404,UPPER(Identity!$A404)),COUNTIF(Identity!$A$2:$A$501,Identity!$A404)=1,OR(AND(LEFT(Identity!$A404,3)="AAI",LEN(Identity!$A404)=11,SUMPRODUCT(--ISNUMBER(FIND(MID(Identity!$A404,ROW($4:$11),1),"0123456789")))=8,IFERROR(VALUE(MID(Identity!$A404,6,2)),0)&gt;=1,IFERROR(VALUE(MID(Identity!$A404,6,2)),0)&lt;=12,RIGHT(Identity!$A404,4)&lt;&gt;"0000"),AND(LEFT(Identity!$A404,3)="AA-",LEN(Identity!$A404)=15,SUMPRODUCT(--ISNUMBER(FIND(MID(Identity!$A404,ROW($4:$15),1),"ABCDEFGHIJKLMNOPQRSTUVWXYZ")))=6,SUMPRODUCT(--ISNUMBER(FIND(MID(Identity!$A404,ROW($4:$15),1),"0123456789")))=6))),FALSE))</f>
      </c>
    </row>
    <row r="405">
      <c r="D405">
        <f>IF(Identity!$A405="",TRUE,IFERROR(AND(ISTEXT(Identity!$A405),EXACT(Identity!$A405,UPPER(Identity!$A405)),COUNTIF(Identity!$A$2:$A$501,Identity!$A405)=1,OR(AND(LEFT(Identity!$A405,3)="AAI",LEN(Identity!$A405)=11,SUMPRODUCT(--ISNUMBER(FIND(MID(Identity!$A405,ROW($4:$11),1),"0123456789")))=8,IFERROR(VALUE(MID(Identity!$A405,6,2)),0)&gt;=1,IFERROR(VALUE(MID(Identity!$A405,6,2)),0)&lt;=12,RIGHT(Identity!$A405,4)&lt;&gt;"0000"),AND(LEFT(Identity!$A405,3)="AA-",LEN(Identity!$A405)=15,SUMPRODUCT(--ISNUMBER(FIND(MID(Identity!$A405,ROW($4:$15),1),"ABCDEFGHIJKLMNOPQRSTUVWXYZ")))=6,SUMPRODUCT(--ISNUMBER(FIND(MID(Identity!$A405,ROW($4:$15),1),"0123456789")))=6))),FALSE))</f>
      </c>
    </row>
    <row r="406">
      <c r="D406">
        <f>IF(Identity!$A406="",TRUE,IFERROR(AND(ISTEXT(Identity!$A406),EXACT(Identity!$A406,UPPER(Identity!$A406)),COUNTIF(Identity!$A$2:$A$501,Identity!$A406)=1,OR(AND(LEFT(Identity!$A406,3)="AAI",LEN(Identity!$A406)=11,SUMPRODUCT(--ISNUMBER(FIND(MID(Identity!$A406,ROW($4:$11),1),"0123456789")))=8,IFERROR(VALUE(MID(Identity!$A406,6,2)),0)&gt;=1,IFERROR(VALUE(MID(Identity!$A406,6,2)),0)&lt;=12,RIGHT(Identity!$A406,4)&lt;&gt;"0000"),AND(LEFT(Identity!$A406,3)="AA-",LEN(Identity!$A406)=15,SUMPRODUCT(--ISNUMBER(FIND(MID(Identity!$A406,ROW($4:$15),1),"ABCDEFGHIJKLMNOPQRSTUVWXYZ")))=6,SUMPRODUCT(--ISNUMBER(FIND(MID(Identity!$A406,ROW($4:$15),1),"0123456789")))=6))),FALSE))</f>
      </c>
    </row>
    <row r="407">
      <c r="D407">
        <f>IF(Identity!$A407="",TRUE,IFERROR(AND(ISTEXT(Identity!$A407),EXACT(Identity!$A407,UPPER(Identity!$A407)),COUNTIF(Identity!$A$2:$A$501,Identity!$A407)=1,OR(AND(LEFT(Identity!$A407,3)="AAI",LEN(Identity!$A407)=11,SUMPRODUCT(--ISNUMBER(FIND(MID(Identity!$A407,ROW($4:$11),1),"0123456789")))=8,IFERROR(VALUE(MID(Identity!$A407,6,2)),0)&gt;=1,IFERROR(VALUE(MID(Identity!$A407,6,2)),0)&lt;=12,RIGHT(Identity!$A407,4)&lt;&gt;"0000"),AND(LEFT(Identity!$A407,3)="AA-",LEN(Identity!$A407)=15,SUMPRODUCT(--ISNUMBER(FIND(MID(Identity!$A407,ROW($4:$15),1),"ABCDEFGHIJKLMNOPQRSTUVWXYZ")))=6,SUMPRODUCT(--ISNUMBER(FIND(MID(Identity!$A407,ROW($4:$15),1),"0123456789")))=6))),FALSE))</f>
      </c>
    </row>
    <row r="408">
      <c r="D408">
        <f>IF(Identity!$A408="",TRUE,IFERROR(AND(ISTEXT(Identity!$A408),EXACT(Identity!$A408,UPPER(Identity!$A408)),COUNTIF(Identity!$A$2:$A$501,Identity!$A408)=1,OR(AND(LEFT(Identity!$A408,3)="AAI",LEN(Identity!$A408)=11,SUMPRODUCT(--ISNUMBER(FIND(MID(Identity!$A408,ROW($4:$11),1),"0123456789")))=8,IFERROR(VALUE(MID(Identity!$A408,6,2)),0)&gt;=1,IFERROR(VALUE(MID(Identity!$A408,6,2)),0)&lt;=12,RIGHT(Identity!$A408,4)&lt;&gt;"0000"),AND(LEFT(Identity!$A408,3)="AA-",LEN(Identity!$A408)=15,SUMPRODUCT(--ISNUMBER(FIND(MID(Identity!$A408,ROW($4:$15),1),"ABCDEFGHIJKLMNOPQRSTUVWXYZ")))=6,SUMPRODUCT(--ISNUMBER(FIND(MID(Identity!$A408,ROW($4:$15),1),"0123456789")))=6))),FALSE))</f>
      </c>
    </row>
    <row r="409">
      <c r="D409">
        <f>IF(Identity!$A409="",TRUE,IFERROR(AND(ISTEXT(Identity!$A409),EXACT(Identity!$A409,UPPER(Identity!$A409)),COUNTIF(Identity!$A$2:$A$501,Identity!$A409)=1,OR(AND(LEFT(Identity!$A409,3)="AAI",LEN(Identity!$A409)=11,SUMPRODUCT(--ISNUMBER(FIND(MID(Identity!$A409,ROW($4:$11),1),"0123456789")))=8,IFERROR(VALUE(MID(Identity!$A409,6,2)),0)&gt;=1,IFERROR(VALUE(MID(Identity!$A409,6,2)),0)&lt;=12,RIGHT(Identity!$A409,4)&lt;&gt;"0000"),AND(LEFT(Identity!$A409,3)="AA-",LEN(Identity!$A409)=15,SUMPRODUCT(--ISNUMBER(FIND(MID(Identity!$A409,ROW($4:$15),1),"ABCDEFGHIJKLMNOPQRSTUVWXYZ")))=6,SUMPRODUCT(--ISNUMBER(FIND(MID(Identity!$A409,ROW($4:$15),1),"0123456789")))=6))),FALSE))</f>
      </c>
    </row>
    <row r="410">
      <c r="D410">
        <f>IF(Identity!$A410="",TRUE,IFERROR(AND(ISTEXT(Identity!$A410),EXACT(Identity!$A410,UPPER(Identity!$A410)),COUNTIF(Identity!$A$2:$A$501,Identity!$A410)=1,OR(AND(LEFT(Identity!$A410,3)="AAI",LEN(Identity!$A410)=11,SUMPRODUCT(--ISNUMBER(FIND(MID(Identity!$A410,ROW($4:$11),1),"0123456789")))=8,IFERROR(VALUE(MID(Identity!$A410,6,2)),0)&gt;=1,IFERROR(VALUE(MID(Identity!$A410,6,2)),0)&lt;=12,RIGHT(Identity!$A410,4)&lt;&gt;"0000"),AND(LEFT(Identity!$A410,3)="AA-",LEN(Identity!$A410)=15,SUMPRODUCT(--ISNUMBER(FIND(MID(Identity!$A410,ROW($4:$15),1),"ABCDEFGHIJKLMNOPQRSTUVWXYZ")))=6,SUMPRODUCT(--ISNUMBER(FIND(MID(Identity!$A410,ROW($4:$15),1),"0123456789")))=6))),FALSE))</f>
      </c>
    </row>
    <row r="411">
      <c r="D411">
        <f>IF(Identity!$A411="",TRUE,IFERROR(AND(ISTEXT(Identity!$A411),EXACT(Identity!$A411,UPPER(Identity!$A411)),COUNTIF(Identity!$A$2:$A$501,Identity!$A411)=1,OR(AND(LEFT(Identity!$A411,3)="AAI",LEN(Identity!$A411)=11,SUMPRODUCT(--ISNUMBER(FIND(MID(Identity!$A411,ROW($4:$11),1),"0123456789")))=8,IFERROR(VALUE(MID(Identity!$A411,6,2)),0)&gt;=1,IFERROR(VALUE(MID(Identity!$A411,6,2)),0)&lt;=12,RIGHT(Identity!$A411,4)&lt;&gt;"0000"),AND(LEFT(Identity!$A411,3)="AA-",LEN(Identity!$A411)=15,SUMPRODUCT(--ISNUMBER(FIND(MID(Identity!$A411,ROW($4:$15),1),"ABCDEFGHIJKLMNOPQRSTUVWXYZ")))=6,SUMPRODUCT(--ISNUMBER(FIND(MID(Identity!$A411,ROW($4:$15),1),"0123456789")))=6))),FALSE))</f>
      </c>
    </row>
    <row r="412">
      <c r="D412">
        <f>IF(Identity!$A412="",TRUE,IFERROR(AND(ISTEXT(Identity!$A412),EXACT(Identity!$A412,UPPER(Identity!$A412)),COUNTIF(Identity!$A$2:$A$501,Identity!$A412)=1,OR(AND(LEFT(Identity!$A412,3)="AAI",LEN(Identity!$A412)=11,SUMPRODUCT(--ISNUMBER(FIND(MID(Identity!$A412,ROW($4:$11),1),"0123456789")))=8,IFERROR(VALUE(MID(Identity!$A412,6,2)),0)&gt;=1,IFERROR(VALUE(MID(Identity!$A412,6,2)),0)&lt;=12,RIGHT(Identity!$A412,4)&lt;&gt;"0000"),AND(LEFT(Identity!$A412,3)="AA-",LEN(Identity!$A412)=15,SUMPRODUCT(--ISNUMBER(FIND(MID(Identity!$A412,ROW($4:$15),1),"ABCDEFGHIJKLMNOPQRSTUVWXYZ")))=6,SUMPRODUCT(--ISNUMBER(FIND(MID(Identity!$A412,ROW($4:$15),1),"0123456789")))=6))),FALSE))</f>
      </c>
    </row>
    <row r="413">
      <c r="D413">
        <f>IF(Identity!$A413="",TRUE,IFERROR(AND(ISTEXT(Identity!$A413),EXACT(Identity!$A413,UPPER(Identity!$A413)),COUNTIF(Identity!$A$2:$A$501,Identity!$A413)=1,OR(AND(LEFT(Identity!$A413,3)="AAI",LEN(Identity!$A413)=11,SUMPRODUCT(--ISNUMBER(FIND(MID(Identity!$A413,ROW($4:$11),1),"0123456789")))=8,IFERROR(VALUE(MID(Identity!$A413,6,2)),0)&gt;=1,IFERROR(VALUE(MID(Identity!$A413,6,2)),0)&lt;=12,RIGHT(Identity!$A413,4)&lt;&gt;"0000"),AND(LEFT(Identity!$A413,3)="AA-",LEN(Identity!$A413)=15,SUMPRODUCT(--ISNUMBER(FIND(MID(Identity!$A413,ROW($4:$15),1),"ABCDEFGHIJKLMNOPQRSTUVWXYZ")))=6,SUMPRODUCT(--ISNUMBER(FIND(MID(Identity!$A413,ROW($4:$15),1),"0123456789")))=6))),FALSE))</f>
      </c>
    </row>
    <row r="414">
      <c r="D414">
        <f>IF(Identity!$A414="",TRUE,IFERROR(AND(ISTEXT(Identity!$A414),EXACT(Identity!$A414,UPPER(Identity!$A414)),COUNTIF(Identity!$A$2:$A$501,Identity!$A414)=1,OR(AND(LEFT(Identity!$A414,3)="AAI",LEN(Identity!$A414)=11,SUMPRODUCT(--ISNUMBER(FIND(MID(Identity!$A414,ROW($4:$11),1),"0123456789")))=8,IFERROR(VALUE(MID(Identity!$A414,6,2)),0)&gt;=1,IFERROR(VALUE(MID(Identity!$A414,6,2)),0)&lt;=12,RIGHT(Identity!$A414,4)&lt;&gt;"0000"),AND(LEFT(Identity!$A414,3)="AA-",LEN(Identity!$A414)=15,SUMPRODUCT(--ISNUMBER(FIND(MID(Identity!$A414,ROW($4:$15),1),"ABCDEFGHIJKLMNOPQRSTUVWXYZ")))=6,SUMPRODUCT(--ISNUMBER(FIND(MID(Identity!$A414,ROW($4:$15),1),"0123456789")))=6))),FALSE))</f>
      </c>
    </row>
    <row r="415">
      <c r="D415">
        <f>IF(Identity!$A415="",TRUE,IFERROR(AND(ISTEXT(Identity!$A415),EXACT(Identity!$A415,UPPER(Identity!$A415)),COUNTIF(Identity!$A$2:$A$501,Identity!$A415)=1,OR(AND(LEFT(Identity!$A415,3)="AAI",LEN(Identity!$A415)=11,SUMPRODUCT(--ISNUMBER(FIND(MID(Identity!$A415,ROW($4:$11),1),"0123456789")))=8,IFERROR(VALUE(MID(Identity!$A415,6,2)),0)&gt;=1,IFERROR(VALUE(MID(Identity!$A415,6,2)),0)&lt;=12,RIGHT(Identity!$A415,4)&lt;&gt;"0000"),AND(LEFT(Identity!$A415,3)="AA-",LEN(Identity!$A415)=15,SUMPRODUCT(--ISNUMBER(FIND(MID(Identity!$A415,ROW($4:$15),1),"ABCDEFGHIJKLMNOPQRSTUVWXYZ")))=6,SUMPRODUCT(--ISNUMBER(FIND(MID(Identity!$A415,ROW($4:$15),1),"0123456789")))=6))),FALSE))</f>
      </c>
    </row>
    <row r="416">
      <c r="D416">
        <f>IF(Identity!$A416="",TRUE,IFERROR(AND(ISTEXT(Identity!$A416),EXACT(Identity!$A416,UPPER(Identity!$A416)),COUNTIF(Identity!$A$2:$A$501,Identity!$A416)=1,OR(AND(LEFT(Identity!$A416,3)="AAI",LEN(Identity!$A416)=11,SUMPRODUCT(--ISNUMBER(FIND(MID(Identity!$A416,ROW($4:$11),1),"0123456789")))=8,IFERROR(VALUE(MID(Identity!$A416,6,2)),0)&gt;=1,IFERROR(VALUE(MID(Identity!$A416,6,2)),0)&lt;=12,RIGHT(Identity!$A416,4)&lt;&gt;"0000"),AND(LEFT(Identity!$A416,3)="AA-",LEN(Identity!$A416)=15,SUMPRODUCT(--ISNUMBER(FIND(MID(Identity!$A416,ROW($4:$15),1),"ABCDEFGHIJKLMNOPQRSTUVWXYZ")))=6,SUMPRODUCT(--ISNUMBER(FIND(MID(Identity!$A416,ROW($4:$15),1),"0123456789")))=6))),FALSE))</f>
      </c>
    </row>
    <row r="417">
      <c r="D417">
        <f>IF(Identity!$A417="",TRUE,IFERROR(AND(ISTEXT(Identity!$A417),EXACT(Identity!$A417,UPPER(Identity!$A417)),COUNTIF(Identity!$A$2:$A$501,Identity!$A417)=1,OR(AND(LEFT(Identity!$A417,3)="AAI",LEN(Identity!$A417)=11,SUMPRODUCT(--ISNUMBER(FIND(MID(Identity!$A417,ROW($4:$11),1),"0123456789")))=8,IFERROR(VALUE(MID(Identity!$A417,6,2)),0)&gt;=1,IFERROR(VALUE(MID(Identity!$A417,6,2)),0)&lt;=12,RIGHT(Identity!$A417,4)&lt;&gt;"0000"),AND(LEFT(Identity!$A417,3)="AA-",LEN(Identity!$A417)=15,SUMPRODUCT(--ISNUMBER(FIND(MID(Identity!$A417,ROW($4:$15),1),"ABCDEFGHIJKLMNOPQRSTUVWXYZ")))=6,SUMPRODUCT(--ISNUMBER(FIND(MID(Identity!$A417,ROW($4:$15),1),"0123456789")))=6))),FALSE))</f>
      </c>
    </row>
    <row r="418">
      <c r="D418">
        <f>IF(Identity!$A418="",TRUE,IFERROR(AND(ISTEXT(Identity!$A418),EXACT(Identity!$A418,UPPER(Identity!$A418)),COUNTIF(Identity!$A$2:$A$501,Identity!$A418)=1,OR(AND(LEFT(Identity!$A418,3)="AAI",LEN(Identity!$A418)=11,SUMPRODUCT(--ISNUMBER(FIND(MID(Identity!$A418,ROW($4:$11),1),"0123456789")))=8,IFERROR(VALUE(MID(Identity!$A418,6,2)),0)&gt;=1,IFERROR(VALUE(MID(Identity!$A418,6,2)),0)&lt;=12,RIGHT(Identity!$A418,4)&lt;&gt;"0000"),AND(LEFT(Identity!$A418,3)="AA-",LEN(Identity!$A418)=15,SUMPRODUCT(--ISNUMBER(FIND(MID(Identity!$A418,ROW($4:$15),1),"ABCDEFGHIJKLMNOPQRSTUVWXYZ")))=6,SUMPRODUCT(--ISNUMBER(FIND(MID(Identity!$A418,ROW($4:$15),1),"0123456789")))=6))),FALSE))</f>
      </c>
    </row>
    <row r="419">
      <c r="D419">
        <f>IF(Identity!$A419="",TRUE,IFERROR(AND(ISTEXT(Identity!$A419),EXACT(Identity!$A419,UPPER(Identity!$A419)),COUNTIF(Identity!$A$2:$A$501,Identity!$A419)=1,OR(AND(LEFT(Identity!$A419,3)="AAI",LEN(Identity!$A419)=11,SUMPRODUCT(--ISNUMBER(FIND(MID(Identity!$A419,ROW($4:$11),1),"0123456789")))=8,IFERROR(VALUE(MID(Identity!$A419,6,2)),0)&gt;=1,IFERROR(VALUE(MID(Identity!$A419,6,2)),0)&lt;=12,RIGHT(Identity!$A419,4)&lt;&gt;"0000"),AND(LEFT(Identity!$A419,3)="AA-",LEN(Identity!$A419)=15,SUMPRODUCT(--ISNUMBER(FIND(MID(Identity!$A419,ROW($4:$15),1),"ABCDEFGHIJKLMNOPQRSTUVWXYZ")))=6,SUMPRODUCT(--ISNUMBER(FIND(MID(Identity!$A419,ROW($4:$15),1),"0123456789")))=6))),FALSE))</f>
      </c>
    </row>
    <row r="420">
      <c r="D420">
        <f>IF(Identity!$A420="",TRUE,IFERROR(AND(ISTEXT(Identity!$A420),EXACT(Identity!$A420,UPPER(Identity!$A420)),COUNTIF(Identity!$A$2:$A$501,Identity!$A420)=1,OR(AND(LEFT(Identity!$A420,3)="AAI",LEN(Identity!$A420)=11,SUMPRODUCT(--ISNUMBER(FIND(MID(Identity!$A420,ROW($4:$11),1),"0123456789")))=8,IFERROR(VALUE(MID(Identity!$A420,6,2)),0)&gt;=1,IFERROR(VALUE(MID(Identity!$A420,6,2)),0)&lt;=12,RIGHT(Identity!$A420,4)&lt;&gt;"0000"),AND(LEFT(Identity!$A420,3)="AA-",LEN(Identity!$A420)=15,SUMPRODUCT(--ISNUMBER(FIND(MID(Identity!$A420,ROW($4:$15),1),"ABCDEFGHIJKLMNOPQRSTUVWXYZ")))=6,SUMPRODUCT(--ISNUMBER(FIND(MID(Identity!$A420,ROW($4:$15),1),"0123456789")))=6))),FALSE))</f>
      </c>
    </row>
    <row r="421">
      <c r="D421">
        <f>IF(Identity!$A421="",TRUE,IFERROR(AND(ISTEXT(Identity!$A421),EXACT(Identity!$A421,UPPER(Identity!$A421)),COUNTIF(Identity!$A$2:$A$501,Identity!$A421)=1,OR(AND(LEFT(Identity!$A421,3)="AAI",LEN(Identity!$A421)=11,SUMPRODUCT(--ISNUMBER(FIND(MID(Identity!$A421,ROW($4:$11),1),"0123456789")))=8,IFERROR(VALUE(MID(Identity!$A421,6,2)),0)&gt;=1,IFERROR(VALUE(MID(Identity!$A421,6,2)),0)&lt;=12,RIGHT(Identity!$A421,4)&lt;&gt;"0000"),AND(LEFT(Identity!$A421,3)="AA-",LEN(Identity!$A421)=15,SUMPRODUCT(--ISNUMBER(FIND(MID(Identity!$A421,ROW($4:$15),1),"ABCDEFGHIJKLMNOPQRSTUVWXYZ")))=6,SUMPRODUCT(--ISNUMBER(FIND(MID(Identity!$A421,ROW($4:$15),1),"0123456789")))=6))),FALSE))</f>
      </c>
    </row>
    <row r="422">
      <c r="D422">
        <f>IF(Identity!$A422="",TRUE,IFERROR(AND(ISTEXT(Identity!$A422),EXACT(Identity!$A422,UPPER(Identity!$A422)),COUNTIF(Identity!$A$2:$A$501,Identity!$A422)=1,OR(AND(LEFT(Identity!$A422,3)="AAI",LEN(Identity!$A422)=11,SUMPRODUCT(--ISNUMBER(FIND(MID(Identity!$A422,ROW($4:$11),1),"0123456789")))=8,IFERROR(VALUE(MID(Identity!$A422,6,2)),0)&gt;=1,IFERROR(VALUE(MID(Identity!$A422,6,2)),0)&lt;=12,RIGHT(Identity!$A422,4)&lt;&gt;"0000"),AND(LEFT(Identity!$A422,3)="AA-",LEN(Identity!$A422)=15,SUMPRODUCT(--ISNUMBER(FIND(MID(Identity!$A422,ROW($4:$15),1),"ABCDEFGHIJKLMNOPQRSTUVWXYZ")))=6,SUMPRODUCT(--ISNUMBER(FIND(MID(Identity!$A422,ROW($4:$15),1),"0123456789")))=6))),FALSE))</f>
      </c>
    </row>
    <row r="423">
      <c r="D423">
        <f>IF(Identity!$A423="",TRUE,IFERROR(AND(ISTEXT(Identity!$A423),EXACT(Identity!$A423,UPPER(Identity!$A423)),COUNTIF(Identity!$A$2:$A$501,Identity!$A423)=1,OR(AND(LEFT(Identity!$A423,3)="AAI",LEN(Identity!$A423)=11,SUMPRODUCT(--ISNUMBER(FIND(MID(Identity!$A423,ROW($4:$11),1),"0123456789")))=8,IFERROR(VALUE(MID(Identity!$A423,6,2)),0)&gt;=1,IFERROR(VALUE(MID(Identity!$A423,6,2)),0)&lt;=12,RIGHT(Identity!$A423,4)&lt;&gt;"0000"),AND(LEFT(Identity!$A423,3)="AA-",LEN(Identity!$A423)=15,SUMPRODUCT(--ISNUMBER(FIND(MID(Identity!$A423,ROW($4:$15),1),"ABCDEFGHIJKLMNOPQRSTUVWXYZ")))=6,SUMPRODUCT(--ISNUMBER(FIND(MID(Identity!$A423,ROW($4:$15),1),"0123456789")))=6))),FALSE))</f>
      </c>
    </row>
    <row r="424">
      <c r="D424">
        <f>IF(Identity!$A424="",TRUE,IFERROR(AND(ISTEXT(Identity!$A424),EXACT(Identity!$A424,UPPER(Identity!$A424)),COUNTIF(Identity!$A$2:$A$501,Identity!$A424)=1,OR(AND(LEFT(Identity!$A424,3)="AAI",LEN(Identity!$A424)=11,SUMPRODUCT(--ISNUMBER(FIND(MID(Identity!$A424,ROW($4:$11),1),"0123456789")))=8,IFERROR(VALUE(MID(Identity!$A424,6,2)),0)&gt;=1,IFERROR(VALUE(MID(Identity!$A424,6,2)),0)&lt;=12,RIGHT(Identity!$A424,4)&lt;&gt;"0000"),AND(LEFT(Identity!$A424,3)="AA-",LEN(Identity!$A424)=15,SUMPRODUCT(--ISNUMBER(FIND(MID(Identity!$A424,ROW($4:$15),1),"ABCDEFGHIJKLMNOPQRSTUVWXYZ")))=6,SUMPRODUCT(--ISNUMBER(FIND(MID(Identity!$A424,ROW($4:$15),1),"0123456789")))=6))),FALSE))</f>
      </c>
    </row>
    <row r="425">
      <c r="D425">
        <f>IF(Identity!$A425="",TRUE,IFERROR(AND(ISTEXT(Identity!$A425),EXACT(Identity!$A425,UPPER(Identity!$A425)),COUNTIF(Identity!$A$2:$A$501,Identity!$A425)=1,OR(AND(LEFT(Identity!$A425,3)="AAI",LEN(Identity!$A425)=11,SUMPRODUCT(--ISNUMBER(FIND(MID(Identity!$A425,ROW($4:$11),1),"0123456789")))=8,IFERROR(VALUE(MID(Identity!$A425,6,2)),0)&gt;=1,IFERROR(VALUE(MID(Identity!$A425,6,2)),0)&lt;=12,RIGHT(Identity!$A425,4)&lt;&gt;"0000"),AND(LEFT(Identity!$A425,3)="AA-",LEN(Identity!$A425)=15,SUMPRODUCT(--ISNUMBER(FIND(MID(Identity!$A425,ROW($4:$15),1),"ABCDEFGHIJKLMNOPQRSTUVWXYZ")))=6,SUMPRODUCT(--ISNUMBER(FIND(MID(Identity!$A425,ROW($4:$15),1),"0123456789")))=6))),FALSE))</f>
      </c>
    </row>
    <row r="426">
      <c r="D426">
        <f>IF(Identity!$A426="",TRUE,IFERROR(AND(ISTEXT(Identity!$A426),EXACT(Identity!$A426,UPPER(Identity!$A426)),COUNTIF(Identity!$A$2:$A$501,Identity!$A426)=1,OR(AND(LEFT(Identity!$A426,3)="AAI",LEN(Identity!$A426)=11,SUMPRODUCT(--ISNUMBER(FIND(MID(Identity!$A426,ROW($4:$11),1),"0123456789")))=8,IFERROR(VALUE(MID(Identity!$A426,6,2)),0)&gt;=1,IFERROR(VALUE(MID(Identity!$A426,6,2)),0)&lt;=12,RIGHT(Identity!$A426,4)&lt;&gt;"0000"),AND(LEFT(Identity!$A426,3)="AA-",LEN(Identity!$A426)=15,SUMPRODUCT(--ISNUMBER(FIND(MID(Identity!$A426,ROW($4:$15),1),"ABCDEFGHIJKLMNOPQRSTUVWXYZ")))=6,SUMPRODUCT(--ISNUMBER(FIND(MID(Identity!$A426,ROW($4:$15),1),"0123456789")))=6))),FALSE))</f>
      </c>
    </row>
    <row r="427">
      <c r="D427">
        <f>IF(Identity!$A427="",TRUE,IFERROR(AND(ISTEXT(Identity!$A427),EXACT(Identity!$A427,UPPER(Identity!$A427)),COUNTIF(Identity!$A$2:$A$501,Identity!$A427)=1,OR(AND(LEFT(Identity!$A427,3)="AAI",LEN(Identity!$A427)=11,SUMPRODUCT(--ISNUMBER(FIND(MID(Identity!$A427,ROW($4:$11),1),"0123456789")))=8,IFERROR(VALUE(MID(Identity!$A427,6,2)),0)&gt;=1,IFERROR(VALUE(MID(Identity!$A427,6,2)),0)&lt;=12,RIGHT(Identity!$A427,4)&lt;&gt;"0000"),AND(LEFT(Identity!$A427,3)="AA-",LEN(Identity!$A427)=15,SUMPRODUCT(--ISNUMBER(FIND(MID(Identity!$A427,ROW($4:$15),1),"ABCDEFGHIJKLMNOPQRSTUVWXYZ")))=6,SUMPRODUCT(--ISNUMBER(FIND(MID(Identity!$A427,ROW($4:$15),1),"0123456789")))=6))),FALSE))</f>
      </c>
    </row>
    <row r="428">
      <c r="D428">
        <f>IF(Identity!$A428="",TRUE,IFERROR(AND(ISTEXT(Identity!$A428),EXACT(Identity!$A428,UPPER(Identity!$A428)),COUNTIF(Identity!$A$2:$A$501,Identity!$A428)=1,OR(AND(LEFT(Identity!$A428,3)="AAI",LEN(Identity!$A428)=11,SUMPRODUCT(--ISNUMBER(FIND(MID(Identity!$A428,ROW($4:$11),1),"0123456789")))=8,IFERROR(VALUE(MID(Identity!$A428,6,2)),0)&gt;=1,IFERROR(VALUE(MID(Identity!$A428,6,2)),0)&lt;=12,RIGHT(Identity!$A428,4)&lt;&gt;"0000"),AND(LEFT(Identity!$A428,3)="AA-",LEN(Identity!$A428)=15,SUMPRODUCT(--ISNUMBER(FIND(MID(Identity!$A428,ROW($4:$15),1),"ABCDEFGHIJKLMNOPQRSTUVWXYZ")))=6,SUMPRODUCT(--ISNUMBER(FIND(MID(Identity!$A428,ROW($4:$15),1),"0123456789")))=6))),FALSE))</f>
      </c>
    </row>
    <row r="429">
      <c r="D429">
        <f>IF(Identity!$A429="",TRUE,IFERROR(AND(ISTEXT(Identity!$A429),EXACT(Identity!$A429,UPPER(Identity!$A429)),COUNTIF(Identity!$A$2:$A$501,Identity!$A429)=1,OR(AND(LEFT(Identity!$A429,3)="AAI",LEN(Identity!$A429)=11,SUMPRODUCT(--ISNUMBER(FIND(MID(Identity!$A429,ROW($4:$11),1),"0123456789")))=8,IFERROR(VALUE(MID(Identity!$A429,6,2)),0)&gt;=1,IFERROR(VALUE(MID(Identity!$A429,6,2)),0)&lt;=12,RIGHT(Identity!$A429,4)&lt;&gt;"0000"),AND(LEFT(Identity!$A429,3)="AA-",LEN(Identity!$A429)=15,SUMPRODUCT(--ISNUMBER(FIND(MID(Identity!$A429,ROW($4:$15),1),"ABCDEFGHIJKLMNOPQRSTUVWXYZ")))=6,SUMPRODUCT(--ISNUMBER(FIND(MID(Identity!$A429,ROW($4:$15),1),"0123456789")))=6))),FALSE))</f>
      </c>
    </row>
    <row r="430">
      <c r="D430">
        <f>IF(Identity!$A430="",TRUE,IFERROR(AND(ISTEXT(Identity!$A430),EXACT(Identity!$A430,UPPER(Identity!$A430)),COUNTIF(Identity!$A$2:$A$501,Identity!$A430)=1,OR(AND(LEFT(Identity!$A430,3)="AAI",LEN(Identity!$A430)=11,SUMPRODUCT(--ISNUMBER(FIND(MID(Identity!$A430,ROW($4:$11),1),"0123456789")))=8,IFERROR(VALUE(MID(Identity!$A430,6,2)),0)&gt;=1,IFERROR(VALUE(MID(Identity!$A430,6,2)),0)&lt;=12,RIGHT(Identity!$A430,4)&lt;&gt;"0000"),AND(LEFT(Identity!$A430,3)="AA-",LEN(Identity!$A430)=15,SUMPRODUCT(--ISNUMBER(FIND(MID(Identity!$A430,ROW($4:$15),1),"ABCDEFGHIJKLMNOPQRSTUVWXYZ")))=6,SUMPRODUCT(--ISNUMBER(FIND(MID(Identity!$A430,ROW($4:$15),1),"0123456789")))=6))),FALSE))</f>
      </c>
    </row>
    <row r="431">
      <c r="D431">
        <f>IF(Identity!$A431="",TRUE,IFERROR(AND(ISTEXT(Identity!$A431),EXACT(Identity!$A431,UPPER(Identity!$A431)),COUNTIF(Identity!$A$2:$A$501,Identity!$A431)=1,OR(AND(LEFT(Identity!$A431,3)="AAI",LEN(Identity!$A431)=11,SUMPRODUCT(--ISNUMBER(FIND(MID(Identity!$A431,ROW($4:$11),1),"0123456789")))=8,IFERROR(VALUE(MID(Identity!$A431,6,2)),0)&gt;=1,IFERROR(VALUE(MID(Identity!$A431,6,2)),0)&lt;=12,RIGHT(Identity!$A431,4)&lt;&gt;"0000"),AND(LEFT(Identity!$A431,3)="AA-",LEN(Identity!$A431)=15,SUMPRODUCT(--ISNUMBER(FIND(MID(Identity!$A431,ROW($4:$15),1),"ABCDEFGHIJKLMNOPQRSTUVWXYZ")))=6,SUMPRODUCT(--ISNUMBER(FIND(MID(Identity!$A431,ROW($4:$15),1),"0123456789")))=6))),FALSE))</f>
      </c>
    </row>
    <row r="432">
      <c r="D432">
        <f>IF(Identity!$A432="",TRUE,IFERROR(AND(ISTEXT(Identity!$A432),EXACT(Identity!$A432,UPPER(Identity!$A432)),COUNTIF(Identity!$A$2:$A$501,Identity!$A432)=1,OR(AND(LEFT(Identity!$A432,3)="AAI",LEN(Identity!$A432)=11,SUMPRODUCT(--ISNUMBER(FIND(MID(Identity!$A432,ROW($4:$11),1),"0123456789")))=8,IFERROR(VALUE(MID(Identity!$A432,6,2)),0)&gt;=1,IFERROR(VALUE(MID(Identity!$A432,6,2)),0)&lt;=12,RIGHT(Identity!$A432,4)&lt;&gt;"0000"),AND(LEFT(Identity!$A432,3)="AA-",LEN(Identity!$A432)=15,SUMPRODUCT(--ISNUMBER(FIND(MID(Identity!$A432,ROW($4:$15),1),"ABCDEFGHIJKLMNOPQRSTUVWXYZ")))=6,SUMPRODUCT(--ISNUMBER(FIND(MID(Identity!$A432,ROW($4:$15),1),"0123456789")))=6))),FALSE))</f>
      </c>
    </row>
    <row r="433">
      <c r="D433">
        <f>IF(Identity!$A433="",TRUE,IFERROR(AND(ISTEXT(Identity!$A433),EXACT(Identity!$A433,UPPER(Identity!$A433)),COUNTIF(Identity!$A$2:$A$501,Identity!$A433)=1,OR(AND(LEFT(Identity!$A433,3)="AAI",LEN(Identity!$A433)=11,SUMPRODUCT(--ISNUMBER(FIND(MID(Identity!$A433,ROW($4:$11),1),"0123456789")))=8,IFERROR(VALUE(MID(Identity!$A433,6,2)),0)&gt;=1,IFERROR(VALUE(MID(Identity!$A433,6,2)),0)&lt;=12,RIGHT(Identity!$A433,4)&lt;&gt;"0000"),AND(LEFT(Identity!$A433,3)="AA-",LEN(Identity!$A433)=15,SUMPRODUCT(--ISNUMBER(FIND(MID(Identity!$A433,ROW($4:$15),1),"ABCDEFGHIJKLMNOPQRSTUVWXYZ")))=6,SUMPRODUCT(--ISNUMBER(FIND(MID(Identity!$A433,ROW($4:$15),1),"0123456789")))=6))),FALSE))</f>
      </c>
    </row>
    <row r="434">
      <c r="D434">
        <f>IF(Identity!$A434="",TRUE,IFERROR(AND(ISTEXT(Identity!$A434),EXACT(Identity!$A434,UPPER(Identity!$A434)),COUNTIF(Identity!$A$2:$A$501,Identity!$A434)=1,OR(AND(LEFT(Identity!$A434,3)="AAI",LEN(Identity!$A434)=11,SUMPRODUCT(--ISNUMBER(FIND(MID(Identity!$A434,ROW($4:$11),1),"0123456789")))=8,IFERROR(VALUE(MID(Identity!$A434,6,2)),0)&gt;=1,IFERROR(VALUE(MID(Identity!$A434,6,2)),0)&lt;=12,RIGHT(Identity!$A434,4)&lt;&gt;"0000"),AND(LEFT(Identity!$A434,3)="AA-",LEN(Identity!$A434)=15,SUMPRODUCT(--ISNUMBER(FIND(MID(Identity!$A434,ROW($4:$15),1),"ABCDEFGHIJKLMNOPQRSTUVWXYZ")))=6,SUMPRODUCT(--ISNUMBER(FIND(MID(Identity!$A434,ROW($4:$15),1),"0123456789")))=6))),FALSE))</f>
      </c>
    </row>
    <row r="435">
      <c r="D435">
        <f>IF(Identity!$A435="",TRUE,IFERROR(AND(ISTEXT(Identity!$A435),EXACT(Identity!$A435,UPPER(Identity!$A435)),COUNTIF(Identity!$A$2:$A$501,Identity!$A435)=1,OR(AND(LEFT(Identity!$A435,3)="AAI",LEN(Identity!$A435)=11,SUMPRODUCT(--ISNUMBER(FIND(MID(Identity!$A435,ROW($4:$11),1),"0123456789")))=8,IFERROR(VALUE(MID(Identity!$A435,6,2)),0)&gt;=1,IFERROR(VALUE(MID(Identity!$A435,6,2)),0)&lt;=12,RIGHT(Identity!$A435,4)&lt;&gt;"0000"),AND(LEFT(Identity!$A435,3)="AA-",LEN(Identity!$A435)=15,SUMPRODUCT(--ISNUMBER(FIND(MID(Identity!$A435,ROW($4:$15),1),"ABCDEFGHIJKLMNOPQRSTUVWXYZ")))=6,SUMPRODUCT(--ISNUMBER(FIND(MID(Identity!$A435,ROW($4:$15),1),"0123456789")))=6))),FALSE))</f>
      </c>
    </row>
    <row r="436">
      <c r="D436">
        <f>IF(Identity!$A436="",TRUE,IFERROR(AND(ISTEXT(Identity!$A436),EXACT(Identity!$A436,UPPER(Identity!$A436)),COUNTIF(Identity!$A$2:$A$501,Identity!$A436)=1,OR(AND(LEFT(Identity!$A436,3)="AAI",LEN(Identity!$A436)=11,SUMPRODUCT(--ISNUMBER(FIND(MID(Identity!$A436,ROW($4:$11),1),"0123456789")))=8,IFERROR(VALUE(MID(Identity!$A436,6,2)),0)&gt;=1,IFERROR(VALUE(MID(Identity!$A436,6,2)),0)&lt;=12,RIGHT(Identity!$A436,4)&lt;&gt;"0000"),AND(LEFT(Identity!$A436,3)="AA-",LEN(Identity!$A436)=15,SUMPRODUCT(--ISNUMBER(FIND(MID(Identity!$A436,ROW($4:$15),1),"ABCDEFGHIJKLMNOPQRSTUVWXYZ")))=6,SUMPRODUCT(--ISNUMBER(FIND(MID(Identity!$A436,ROW($4:$15),1),"0123456789")))=6))),FALSE))</f>
      </c>
    </row>
    <row r="437">
      <c r="D437">
        <f>IF(Identity!$A437="",TRUE,IFERROR(AND(ISTEXT(Identity!$A437),EXACT(Identity!$A437,UPPER(Identity!$A437)),COUNTIF(Identity!$A$2:$A$501,Identity!$A437)=1,OR(AND(LEFT(Identity!$A437,3)="AAI",LEN(Identity!$A437)=11,SUMPRODUCT(--ISNUMBER(FIND(MID(Identity!$A437,ROW($4:$11),1),"0123456789")))=8,IFERROR(VALUE(MID(Identity!$A437,6,2)),0)&gt;=1,IFERROR(VALUE(MID(Identity!$A437,6,2)),0)&lt;=12,RIGHT(Identity!$A437,4)&lt;&gt;"0000"),AND(LEFT(Identity!$A437,3)="AA-",LEN(Identity!$A437)=15,SUMPRODUCT(--ISNUMBER(FIND(MID(Identity!$A437,ROW($4:$15),1),"ABCDEFGHIJKLMNOPQRSTUVWXYZ")))=6,SUMPRODUCT(--ISNUMBER(FIND(MID(Identity!$A437,ROW($4:$15),1),"0123456789")))=6))),FALSE))</f>
      </c>
    </row>
    <row r="438">
      <c r="D438">
        <f>IF(Identity!$A438="",TRUE,IFERROR(AND(ISTEXT(Identity!$A438),EXACT(Identity!$A438,UPPER(Identity!$A438)),COUNTIF(Identity!$A$2:$A$501,Identity!$A438)=1,OR(AND(LEFT(Identity!$A438,3)="AAI",LEN(Identity!$A438)=11,SUMPRODUCT(--ISNUMBER(FIND(MID(Identity!$A438,ROW($4:$11),1),"0123456789")))=8,IFERROR(VALUE(MID(Identity!$A438,6,2)),0)&gt;=1,IFERROR(VALUE(MID(Identity!$A438,6,2)),0)&lt;=12,RIGHT(Identity!$A438,4)&lt;&gt;"0000"),AND(LEFT(Identity!$A438,3)="AA-",LEN(Identity!$A438)=15,SUMPRODUCT(--ISNUMBER(FIND(MID(Identity!$A438,ROW($4:$15),1),"ABCDEFGHIJKLMNOPQRSTUVWXYZ")))=6,SUMPRODUCT(--ISNUMBER(FIND(MID(Identity!$A438,ROW($4:$15),1),"0123456789")))=6))),FALSE))</f>
      </c>
    </row>
    <row r="439">
      <c r="D439">
        <f>IF(Identity!$A439="",TRUE,IFERROR(AND(ISTEXT(Identity!$A439),EXACT(Identity!$A439,UPPER(Identity!$A439)),COUNTIF(Identity!$A$2:$A$501,Identity!$A439)=1,OR(AND(LEFT(Identity!$A439,3)="AAI",LEN(Identity!$A439)=11,SUMPRODUCT(--ISNUMBER(FIND(MID(Identity!$A439,ROW($4:$11),1),"0123456789")))=8,IFERROR(VALUE(MID(Identity!$A439,6,2)),0)&gt;=1,IFERROR(VALUE(MID(Identity!$A439,6,2)),0)&lt;=12,RIGHT(Identity!$A439,4)&lt;&gt;"0000"),AND(LEFT(Identity!$A439,3)="AA-",LEN(Identity!$A439)=15,SUMPRODUCT(--ISNUMBER(FIND(MID(Identity!$A439,ROW($4:$15),1),"ABCDEFGHIJKLMNOPQRSTUVWXYZ")))=6,SUMPRODUCT(--ISNUMBER(FIND(MID(Identity!$A439,ROW($4:$15),1),"0123456789")))=6))),FALSE))</f>
      </c>
    </row>
    <row r="440">
      <c r="D440">
        <f>IF(Identity!$A440="",TRUE,IFERROR(AND(ISTEXT(Identity!$A440),EXACT(Identity!$A440,UPPER(Identity!$A440)),COUNTIF(Identity!$A$2:$A$501,Identity!$A440)=1,OR(AND(LEFT(Identity!$A440,3)="AAI",LEN(Identity!$A440)=11,SUMPRODUCT(--ISNUMBER(FIND(MID(Identity!$A440,ROW($4:$11),1),"0123456789")))=8,IFERROR(VALUE(MID(Identity!$A440,6,2)),0)&gt;=1,IFERROR(VALUE(MID(Identity!$A440,6,2)),0)&lt;=12,RIGHT(Identity!$A440,4)&lt;&gt;"0000"),AND(LEFT(Identity!$A440,3)="AA-",LEN(Identity!$A440)=15,SUMPRODUCT(--ISNUMBER(FIND(MID(Identity!$A440,ROW($4:$15),1),"ABCDEFGHIJKLMNOPQRSTUVWXYZ")))=6,SUMPRODUCT(--ISNUMBER(FIND(MID(Identity!$A440,ROW($4:$15),1),"0123456789")))=6))),FALSE))</f>
      </c>
    </row>
    <row r="441">
      <c r="D441">
        <f>IF(Identity!$A441="",TRUE,IFERROR(AND(ISTEXT(Identity!$A441),EXACT(Identity!$A441,UPPER(Identity!$A441)),COUNTIF(Identity!$A$2:$A$501,Identity!$A441)=1,OR(AND(LEFT(Identity!$A441,3)="AAI",LEN(Identity!$A441)=11,SUMPRODUCT(--ISNUMBER(FIND(MID(Identity!$A441,ROW($4:$11),1),"0123456789")))=8,IFERROR(VALUE(MID(Identity!$A441,6,2)),0)&gt;=1,IFERROR(VALUE(MID(Identity!$A441,6,2)),0)&lt;=12,RIGHT(Identity!$A441,4)&lt;&gt;"0000"),AND(LEFT(Identity!$A441,3)="AA-",LEN(Identity!$A441)=15,SUMPRODUCT(--ISNUMBER(FIND(MID(Identity!$A441,ROW($4:$15),1),"ABCDEFGHIJKLMNOPQRSTUVWXYZ")))=6,SUMPRODUCT(--ISNUMBER(FIND(MID(Identity!$A441,ROW($4:$15),1),"0123456789")))=6))),FALSE))</f>
      </c>
    </row>
    <row r="442">
      <c r="D442">
        <f>IF(Identity!$A442="",TRUE,IFERROR(AND(ISTEXT(Identity!$A442),EXACT(Identity!$A442,UPPER(Identity!$A442)),COUNTIF(Identity!$A$2:$A$501,Identity!$A442)=1,OR(AND(LEFT(Identity!$A442,3)="AAI",LEN(Identity!$A442)=11,SUMPRODUCT(--ISNUMBER(FIND(MID(Identity!$A442,ROW($4:$11),1),"0123456789")))=8,IFERROR(VALUE(MID(Identity!$A442,6,2)),0)&gt;=1,IFERROR(VALUE(MID(Identity!$A442,6,2)),0)&lt;=12,RIGHT(Identity!$A442,4)&lt;&gt;"0000"),AND(LEFT(Identity!$A442,3)="AA-",LEN(Identity!$A442)=15,SUMPRODUCT(--ISNUMBER(FIND(MID(Identity!$A442,ROW($4:$15),1),"ABCDEFGHIJKLMNOPQRSTUVWXYZ")))=6,SUMPRODUCT(--ISNUMBER(FIND(MID(Identity!$A442,ROW($4:$15),1),"0123456789")))=6))),FALSE))</f>
      </c>
    </row>
    <row r="443">
      <c r="D443">
        <f>IF(Identity!$A443="",TRUE,IFERROR(AND(ISTEXT(Identity!$A443),EXACT(Identity!$A443,UPPER(Identity!$A443)),COUNTIF(Identity!$A$2:$A$501,Identity!$A443)=1,OR(AND(LEFT(Identity!$A443,3)="AAI",LEN(Identity!$A443)=11,SUMPRODUCT(--ISNUMBER(FIND(MID(Identity!$A443,ROW($4:$11),1),"0123456789")))=8,IFERROR(VALUE(MID(Identity!$A443,6,2)),0)&gt;=1,IFERROR(VALUE(MID(Identity!$A443,6,2)),0)&lt;=12,RIGHT(Identity!$A443,4)&lt;&gt;"0000"),AND(LEFT(Identity!$A443,3)="AA-",LEN(Identity!$A443)=15,SUMPRODUCT(--ISNUMBER(FIND(MID(Identity!$A443,ROW($4:$15),1),"ABCDEFGHIJKLMNOPQRSTUVWXYZ")))=6,SUMPRODUCT(--ISNUMBER(FIND(MID(Identity!$A443,ROW($4:$15),1),"0123456789")))=6))),FALSE))</f>
      </c>
    </row>
    <row r="444">
      <c r="D444">
        <f>IF(Identity!$A444="",TRUE,IFERROR(AND(ISTEXT(Identity!$A444),EXACT(Identity!$A444,UPPER(Identity!$A444)),COUNTIF(Identity!$A$2:$A$501,Identity!$A444)=1,OR(AND(LEFT(Identity!$A444,3)="AAI",LEN(Identity!$A444)=11,SUMPRODUCT(--ISNUMBER(FIND(MID(Identity!$A444,ROW($4:$11),1),"0123456789")))=8,IFERROR(VALUE(MID(Identity!$A444,6,2)),0)&gt;=1,IFERROR(VALUE(MID(Identity!$A444,6,2)),0)&lt;=12,RIGHT(Identity!$A444,4)&lt;&gt;"0000"),AND(LEFT(Identity!$A444,3)="AA-",LEN(Identity!$A444)=15,SUMPRODUCT(--ISNUMBER(FIND(MID(Identity!$A444,ROW($4:$15),1),"ABCDEFGHIJKLMNOPQRSTUVWXYZ")))=6,SUMPRODUCT(--ISNUMBER(FIND(MID(Identity!$A444,ROW($4:$15),1),"0123456789")))=6))),FALSE))</f>
      </c>
    </row>
    <row r="445">
      <c r="D445">
        <f>IF(Identity!$A445="",TRUE,IFERROR(AND(ISTEXT(Identity!$A445),EXACT(Identity!$A445,UPPER(Identity!$A445)),COUNTIF(Identity!$A$2:$A$501,Identity!$A445)=1,OR(AND(LEFT(Identity!$A445,3)="AAI",LEN(Identity!$A445)=11,SUMPRODUCT(--ISNUMBER(FIND(MID(Identity!$A445,ROW($4:$11),1),"0123456789")))=8,IFERROR(VALUE(MID(Identity!$A445,6,2)),0)&gt;=1,IFERROR(VALUE(MID(Identity!$A445,6,2)),0)&lt;=12,RIGHT(Identity!$A445,4)&lt;&gt;"0000"),AND(LEFT(Identity!$A445,3)="AA-",LEN(Identity!$A445)=15,SUMPRODUCT(--ISNUMBER(FIND(MID(Identity!$A445,ROW($4:$15),1),"ABCDEFGHIJKLMNOPQRSTUVWXYZ")))=6,SUMPRODUCT(--ISNUMBER(FIND(MID(Identity!$A445,ROW($4:$15),1),"0123456789")))=6))),FALSE))</f>
      </c>
    </row>
    <row r="446">
      <c r="D446">
        <f>IF(Identity!$A446="",TRUE,IFERROR(AND(ISTEXT(Identity!$A446),EXACT(Identity!$A446,UPPER(Identity!$A446)),COUNTIF(Identity!$A$2:$A$501,Identity!$A446)=1,OR(AND(LEFT(Identity!$A446,3)="AAI",LEN(Identity!$A446)=11,SUMPRODUCT(--ISNUMBER(FIND(MID(Identity!$A446,ROW($4:$11),1),"0123456789")))=8,IFERROR(VALUE(MID(Identity!$A446,6,2)),0)&gt;=1,IFERROR(VALUE(MID(Identity!$A446,6,2)),0)&lt;=12,RIGHT(Identity!$A446,4)&lt;&gt;"0000"),AND(LEFT(Identity!$A446,3)="AA-",LEN(Identity!$A446)=15,SUMPRODUCT(--ISNUMBER(FIND(MID(Identity!$A446,ROW($4:$15),1),"ABCDEFGHIJKLMNOPQRSTUVWXYZ")))=6,SUMPRODUCT(--ISNUMBER(FIND(MID(Identity!$A446,ROW($4:$15),1),"0123456789")))=6))),FALSE))</f>
      </c>
    </row>
    <row r="447">
      <c r="D447">
        <f>IF(Identity!$A447="",TRUE,IFERROR(AND(ISTEXT(Identity!$A447),EXACT(Identity!$A447,UPPER(Identity!$A447)),COUNTIF(Identity!$A$2:$A$501,Identity!$A447)=1,OR(AND(LEFT(Identity!$A447,3)="AAI",LEN(Identity!$A447)=11,SUMPRODUCT(--ISNUMBER(FIND(MID(Identity!$A447,ROW($4:$11),1),"0123456789")))=8,IFERROR(VALUE(MID(Identity!$A447,6,2)),0)&gt;=1,IFERROR(VALUE(MID(Identity!$A447,6,2)),0)&lt;=12,RIGHT(Identity!$A447,4)&lt;&gt;"0000"),AND(LEFT(Identity!$A447,3)="AA-",LEN(Identity!$A447)=15,SUMPRODUCT(--ISNUMBER(FIND(MID(Identity!$A447,ROW($4:$15),1),"ABCDEFGHIJKLMNOPQRSTUVWXYZ")))=6,SUMPRODUCT(--ISNUMBER(FIND(MID(Identity!$A447,ROW($4:$15),1),"0123456789")))=6))),FALSE))</f>
      </c>
    </row>
    <row r="448">
      <c r="D448">
        <f>IF(Identity!$A448="",TRUE,IFERROR(AND(ISTEXT(Identity!$A448),EXACT(Identity!$A448,UPPER(Identity!$A448)),COUNTIF(Identity!$A$2:$A$501,Identity!$A448)=1,OR(AND(LEFT(Identity!$A448,3)="AAI",LEN(Identity!$A448)=11,SUMPRODUCT(--ISNUMBER(FIND(MID(Identity!$A448,ROW($4:$11),1),"0123456789")))=8,IFERROR(VALUE(MID(Identity!$A448,6,2)),0)&gt;=1,IFERROR(VALUE(MID(Identity!$A448,6,2)),0)&lt;=12,RIGHT(Identity!$A448,4)&lt;&gt;"0000"),AND(LEFT(Identity!$A448,3)="AA-",LEN(Identity!$A448)=15,SUMPRODUCT(--ISNUMBER(FIND(MID(Identity!$A448,ROW($4:$15),1),"ABCDEFGHIJKLMNOPQRSTUVWXYZ")))=6,SUMPRODUCT(--ISNUMBER(FIND(MID(Identity!$A448,ROW($4:$15),1),"0123456789")))=6))),FALSE))</f>
      </c>
    </row>
    <row r="449">
      <c r="D449">
        <f>IF(Identity!$A449="",TRUE,IFERROR(AND(ISTEXT(Identity!$A449),EXACT(Identity!$A449,UPPER(Identity!$A449)),COUNTIF(Identity!$A$2:$A$501,Identity!$A449)=1,OR(AND(LEFT(Identity!$A449,3)="AAI",LEN(Identity!$A449)=11,SUMPRODUCT(--ISNUMBER(FIND(MID(Identity!$A449,ROW($4:$11),1),"0123456789")))=8,IFERROR(VALUE(MID(Identity!$A449,6,2)),0)&gt;=1,IFERROR(VALUE(MID(Identity!$A449,6,2)),0)&lt;=12,RIGHT(Identity!$A449,4)&lt;&gt;"0000"),AND(LEFT(Identity!$A449,3)="AA-",LEN(Identity!$A449)=15,SUMPRODUCT(--ISNUMBER(FIND(MID(Identity!$A449,ROW($4:$15),1),"ABCDEFGHIJKLMNOPQRSTUVWXYZ")))=6,SUMPRODUCT(--ISNUMBER(FIND(MID(Identity!$A449,ROW($4:$15),1),"0123456789")))=6))),FALSE))</f>
      </c>
    </row>
    <row r="450">
      <c r="D450">
        <f>IF(Identity!$A450="",TRUE,IFERROR(AND(ISTEXT(Identity!$A450),EXACT(Identity!$A450,UPPER(Identity!$A450)),COUNTIF(Identity!$A$2:$A$501,Identity!$A450)=1,OR(AND(LEFT(Identity!$A450,3)="AAI",LEN(Identity!$A450)=11,SUMPRODUCT(--ISNUMBER(FIND(MID(Identity!$A450,ROW($4:$11),1),"0123456789")))=8,IFERROR(VALUE(MID(Identity!$A450,6,2)),0)&gt;=1,IFERROR(VALUE(MID(Identity!$A450,6,2)),0)&lt;=12,RIGHT(Identity!$A450,4)&lt;&gt;"0000"),AND(LEFT(Identity!$A450,3)="AA-",LEN(Identity!$A450)=15,SUMPRODUCT(--ISNUMBER(FIND(MID(Identity!$A450,ROW($4:$15),1),"ABCDEFGHIJKLMNOPQRSTUVWXYZ")))=6,SUMPRODUCT(--ISNUMBER(FIND(MID(Identity!$A450,ROW($4:$15),1),"0123456789")))=6))),FALSE))</f>
      </c>
    </row>
    <row r="451">
      <c r="D451">
        <f>IF(Identity!$A451="",TRUE,IFERROR(AND(ISTEXT(Identity!$A451),EXACT(Identity!$A451,UPPER(Identity!$A451)),COUNTIF(Identity!$A$2:$A$501,Identity!$A451)=1,OR(AND(LEFT(Identity!$A451,3)="AAI",LEN(Identity!$A451)=11,SUMPRODUCT(--ISNUMBER(FIND(MID(Identity!$A451,ROW($4:$11),1),"0123456789")))=8,IFERROR(VALUE(MID(Identity!$A451,6,2)),0)&gt;=1,IFERROR(VALUE(MID(Identity!$A451,6,2)),0)&lt;=12,RIGHT(Identity!$A451,4)&lt;&gt;"0000"),AND(LEFT(Identity!$A451,3)="AA-",LEN(Identity!$A451)=15,SUMPRODUCT(--ISNUMBER(FIND(MID(Identity!$A451,ROW($4:$15),1),"ABCDEFGHIJKLMNOPQRSTUVWXYZ")))=6,SUMPRODUCT(--ISNUMBER(FIND(MID(Identity!$A451,ROW($4:$15),1),"0123456789")))=6))),FALSE))</f>
      </c>
    </row>
    <row r="452">
      <c r="D452">
        <f>IF(Identity!$A452="",TRUE,IFERROR(AND(ISTEXT(Identity!$A452),EXACT(Identity!$A452,UPPER(Identity!$A452)),COUNTIF(Identity!$A$2:$A$501,Identity!$A452)=1,OR(AND(LEFT(Identity!$A452,3)="AAI",LEN(Identity!$A452)=11,SUMPRODUCT(--ISNUMBER(FIND(MID(Identity!$A452,ROW($4:$11),1),"0123456789")))=8,IFERROR(VALUE(MID(Identity!$A452,6,2)),0)&gt;=1,IFERROR(VALUE(MID(Identity!$A452,6,2)),0)&lt;=12,RIGHT(Identity!$A452,4)&lt;&gt;"0000"),AND(LEFT(Identity!$A452,3)="AA-",LEN(Identity!$A452)=15,SUMPRODUCT(--ISNUMBER(FIND(MID(Identity!$A452,ROW($4:$15),1),"ABCDEFGHIJKLMNOPQRSTUVWXYZ")))=6,SUMPRODUCT(--ISNUMBER(FIND(MID(Identity!$A452,ROW($4:$15),1),"0123456789")))=6))),FALSE))</f>
      </c>
    </row>
    <row r="453">
      <c r="D453">
        <f>IF(Identity!$A453="",TRUE,IFERROR(AND(ISTEXT(Identity!$A453),EXACT(Identity!$A453,UPPER(Identity!$A453)),COUNTIF(Identity!$A$2:$A$501,Identity!$A453)=1,OR(AND(LEFT(Identity!$A453,3)="AAI",LEN(Identity!$A453)=11,SUMPRODUCT(--ISNUMBER(FIND(MID(Identity!$A453,ROW($4:$11),1),"0123456789")))=8,IFERROR(VALUE(MID(Identity!$A453,6,2)),0)&gt;=1,IFERROR(VALUE(MID(Identity!$A453,6,2)),0)&lt;=12,RIGHT(Identity!$A453,4)&lt;&gt;"0000"),AND(LEFT(Identity!$A453,3)="AA-",LEN(Identity!$A453)=15,SUMPRODUCT(--ISNUMBER(FIND(MID(Identity!$A453,ROW($4:$15),1),"ABCDEFGHIJKLMNOPQRSTUVWXYZ")))=6,SUMPRODUCT(--ISNUMBER(FIND(MID(Identity!$A453,ROW($4:$15),1),"0123456789")))=6))),FALSE))</f>
      </c>
    </row>
    <row r="454">
      <c r="D454">
        <f>IF(Identity!$A454="",TRUE,IFERROR(AND(ISTEXT(Identity!$A454),EXACT(Identity!$A454,UPPER(Identity!$A454)),COUNTIF(Identity!$A$2:$A$501,Identity!$A454)=1,OR(AND(LEFT(Identity!$A454,3)="AAI",LEN(Identity!$A454)=11,SUMPRODUCT(--ISNUMBER(FIND(MID(Identity!$A454,ROW($4:$11),1),"0123456789")))=8,IFERROR(VALUE(MID(Identity!$A454,6,2)),0)&gt;=1,IFERROR(VALUE(MID(Identity!$A454,6,2)),0)&lt;=12,RIGHT(Identity!$A454,4)&lt;&gt;"0000"),AND(LEFT(Identity!$A454,3)="AA-",LEN(Identity!$A454)=15,SUMPRODUCT(--ISNUMBER(FIND(MID(Identity!$A454,ROW($4:$15),1),"ABCDEFGHIJKLMNOPQRSTUVWXYZ")))=6,SUMPRODUCT(--ISNUMBER(FIND(MID(Identity!$A454,ROW($4:$15),1),"0123456789")))=6))),FALSE))</f>
      </c>
    </row>
    <row r="455">
      <c r="D455">
        <f>IF(Identity!$A455="",TRUE,IFERROR(AND(ISTEXT(Identity!$A455),EXACT(Identity!$A455,UPPER(Identity!$A455)),COUNTIF(Identity!$A$2:$A$501,Identity!$A455)=1,OR(AND(LEFT(Identity!$A455,3)="AAI",LEN(Identity!$A455)=11,SUMPRODUCT(--ISNUMBER(FIND(MID(Identity!$A455,ROW($4:$11),1),"0123456789")))=8,IFERROR(VALUE(MID(Identity!$A455,6,2)),0)&gt;=1,IFERROR(VALUE(MID(Identity!$A455,6,2)),0)&lt;=12,RIGHT(Identity!$A455,4)&lt;&gt;"0000"),AND(LEFT(Identity!$A455,3)="AA-",LEN(Identity!$A455)=15,SUMPRODUCT(--ISNUMBER(FIND(MID(Identity!$A455,ROW($4:$15),1),"ABCDEFGHIJKLMNOPQRSTUVWXYZ")))=6,SUMPRODUCT(--ISNUMBER(FIND(MID(Identity!$A455,ROW($4:$15),1),"0123456789")))=6))),FALSE))</f>
      </c>
    </row>
    <row r="456">
      <c r="D456">
        <f>IF(Identity!$A456="",TRUE,IFERROR(AND(ISTEXT(Identity!$A456),EXACT(Identity!$A456,UPPER(Identity!$A456)),COUNTIF(Identity!$A$2:$A$501,Identity!$A456)=1,OR(AND(LEFT(Identity!$A456,3)="AAI",LEN(Identity!$A456)=11,SUMPRODUCT(--ISNUMBER(FIND(MID(Identity!$A456,ROW($4:$11),1),"0123456789")))=8,IFERROR(VALUE(MID(Identity!$A456,6,2)),0)&gt;=1,IFERROR(VALUE(MID(Identity!$A456,6,2)),0)&lt;=12,RIGHT(Identity!$A456,4)&lt;&gt;"0000"),AND(LEFT(Identity!$A456,3)="AA-",LEN(Identity!$A456)=15,SUMPRODUCT(--ISNUMBER(FIND(MID(Identity!$A456,ROW($4:$15),1),"ABCDEFGHIJKLMNOPQRSTUVWXYZ")))=6,SUMPRODUCT(--ISNUMBER(FIND(MID(Identity!$A456,ROW($4:$15),1),"0123456789")))=6))),FALSE))</f>
      </c>
    </row>
    <row r="457">
      <c r="D457">
        <f>IF(Identity!$A457="",TRUE,IFERROR(AND(ISTEXT(Identity!$A457),EXACT(Identity!$A457,UPPER(Identity!$A457)),COUNTIF(Identity!$A$2:$A$501,Identity!$A457)=1,OR(AND(LEFT(Identity!$A457,3)="AAI",LEN(Identity!$A457)=11,SUMPRODUCT(--ISNUMBER(FIND(MID(Identity!$A457,ROW($4:$11),1),"0123456789")))=8,IFERROR(VALUE(MID(Identity!$A457,6,2)),0)&gt;=1,IFERROR(VALUE(MID(Identity!$A457,6,2)),0)&lt;=12,RIGHT(Identity!$A457,4)&lt;&gt;"0000"),AND(LEFT(Identity!$A457,3)="AA-",LEN(Identity!$A457)=15,SUMPRODUCT(--ISNUMBER(FIND(MID(Identity!$A457,ROW($4:$15),1),"ABCDEFGHIJKLMNOPQRSTUVWXYZ")))=6,SUMPRODUCT(--ISNUMBER(FIND(MID(Identity!$A457,ROW($4:$15),1),"0123456789")))=6))),FALSE))</f>
      </c>
    </row>
    <row r="458">
      <c r="D458">
        <f>IF(Identity!$A458="",TRUE,IFERROR(AND(ISTEXT(Identity!$A458),EXACT(Identity!$A458,UPPER(Identity!$A458)),COUNTIF(Identity!$A$2:$A$501,Identity!$A458)=1,OR(AND(LEFT(Identity!$A458,3)="AAI",LEN(Identity!$A458)=11,SUMPRODUCT(--ISNUMBER(FIND(MID(Identity!$A458,ROW($4:$11),1),"0123456789")))=8,IFERROR(VALUE(MID(Identity!$A458,6,2)),0)&gt;=1,IFERROR(VALUE(MID(Identity!$A458,6,2)),0)&lt;=12,RIGHT(Identity!$A458,4)&lt;&gt;"0000"),AND(LEFT(Identity!$A458,3)="AA-",LEN(Identity!$A458)=15,SUMPRODUCT(--ISNUMBER(FIND(MID(Identity!$A458,ROW($4:$15),1),"ABCDEFGHIJKLMNOPQRSTUVWXYZ")))=6,SUMPRODUCT(--ISNUMBER(FIND(MID(Identity!$A458,ROW($4:$15),1),"0123456789")))=6))),FALSE))</f>
      </c>
    </row>
    <row r="459">
      <c r="D459">
        <f>IF(Identity!$A459="",TRUE,IFERROR(AND(ISTEXT(Identity!$A459),EXACT(Identity!$A459,UPPER(Identity!$A459)),COUNTIF(Identity!$A$2:$A$501,Identity!$A459)=1,OR(AND(LEFT(Identity!$A459,3)="AAI",LEN(Identity!$A459)=11,SUMPRODUCT(--ISNUMBER(FIND(MID(Identity!$A459,ROW($4:$11),1),"0123456789")))=8,IFERROR(VALUE(MID(Identity!$A459,6,2)),0)&gt;=1,IFERROR(VALUE(MID(Identity!$A459,6,2)),0)&lt;=12,RIGHT(Identity!$A459,4)&lt;&gt;"0000"),AND(LEFT(Identity!$A459,3)="AA-",LEN(Identity!$A459)=15,SUMPRODUCT(--ISNUMBER(FIND(MID(Identity!$A459,ROW($4:$15),1),"ABCDEFGHIJKLMNOPQRSTUVWXYZ")))=6,SUMPRODUCT(--ISNUMBER(FIND(MID(Identity!$A459,ROW($4:$15),1),"0123456789")))=6))),FALSE))</f>
      </c>
    </row>
    <row r="460">
      <c r="D460">
        <f>IF(Identity!$A460="",TRUE,IFERROR(AND(ISTEXT(Identity!$A460),EXACT(Identity!$A460,UPPER(Identity!$A460)),COUNTIF(Identity!$A$2:$A$501,Identity!$A460)=1,OR(AND(LEFT(Identity!$A460,3)="AAI",LEN(Identity!$A460)=11,SUMPRODUCT(--ISNUMBER(FIND(MID(Identity!$A460,ROW($4:$11),1),"0123456789")))=8,IFERROR(VALUE(MID(Identity!$A460,6,2)),0)&gt;=1,IFERROR(VALUE(MID(Identity!$A460,6,2)),0)&lt;=12,RIGHT(Identity!$A460,4)&lt;&gt;"0000"),AND(LEFT(Identity!$A460,3)="AA-",LEN(Identity!$A460)=15,SUMPRODUCT(--ISNUMBER(FIND(MID(Identity!$A460,ROW($4:$15),1),"ABCDEFGHIJKLMNOPQRSTUVWXYZ")))=6,SUMPRODUCT(--ISNUMBER(FIND(MID(Identity!$A460,ROW($4:$15),1),"0123456789")))=6))),FALSE))</f>
      </c>
    </row>
    <row r="461">
      <c r="D461">
        <f>IF(Identity!$A461="",TRUE,IFERROR(AND(ISTEXT(Identity!$A461),EXACT(Identity!$A461,UPPER(Identity!$A461)),COUNTIF(Identity!$A$2:$A$501,Identity!$A461)=1,OR(AND(LEFT(Identity!$A461,3)="AAI",LEN(Identity!$A461)=11,SUMPRODUCT(--ISNUMBER(FIND(MID(Identity!$A461,ROW($4:$11),1),"0123456789")))=8,IFERROR(VALUE(MID(Identity!$A461,6,2)),0)&gt;=1,IFERROR(VALUE(MID(Identity!$A461,6,2)),0)&lt;=12,RIGHT(Identity!$A461,4)&lt;&gt;"0000"),AND(LEFT(Identity!$A461,3)="AA-",LEN(Identity!$A461)=15,SUMPRODUCT(--ISNUMBER(FIND(MID(Identity!$A461,ROW($4:$15),1),"ABCDEFGHIJKLMNOPQRSTUVWXYZ")))=6,SUMPRODUCT(--ISNUMBER(FIND(MID(Identity!$A461,ROW($4:$15),1),"0123456789")))=6))),FALSE))</f>
      </c>
    </row>
    <row r="462">
      <c r="D462">
        <f>IF(Identity!$A462="",TRUE,IFERROR(AND(ISTEXT(Identity!$A462),EXACT(Identity!$A462,UPPER(Identity!$A462)),COUNTIF(Identity!$A$2:$A$501,Identity!$A462)=1,OR(AND(LEFT(Identity!$A462,3)="AAI",LEN(Identity!$A462)=11,SUMPRODUCT(--ISNUMBER(FIND(MID(Identity!$A462,ROW($4:$11),1),"0123456789")))=8,IFERROR(VALUE(MID(Identity!$A462,6,2)),0)&gt;=1,IFERROR(VALUE(MID(Identity!$A462,6,2)),0)&lt;=12,RIGHT(Identity!$A462,4)&lt;&gt;"0000"),AND(LEFT(Identity!$A462,3)="AA-",LEN(Identity!$A462)=15,SUMPRODUCT(--ISNUMBER(FIND(MID(Identity!$A462,ROW($4:$15),1),"ABCDEFGHIJKLMNOPQRSTUVWXYZ")))=6,SUMPRODUCT(--ISNUMBER(FIND(MID(Identity!$A462,ROW($4:$15),1),"0123456789")))=6))),FALSE))</f>
      </c>
    </row>
    <row r="463">
      <c r="D463">
        <f>IF(Identity!$A463="",TRUE,IFERROR(AND(ISTEXT(Identity!$A463),EXACT(Identity!$A463,UPPER(Identity!$A463)),COUNTIF(Identity!$A$2:$A$501,Identity!$A463)=1,OR(AND(LEFT(Identity!$A463,3)="AAI",LEN(Identity!$A463)=11,SUMPRODUCT(--ISNUMBER(FIND(MID(Identity!$A463,ROW($4:$11),1),"0123456789")))=8,IFERROR(VALUE(MID(Identity!$A463,6,2)),0)&gt;=1,IFERROR(VALUE(MID(Identity!$A463,6,2)),0)&lt;=12,RIGHT(Identity!$A463,4)&lt;&gt;"0000"),AND(LEFT(Identity!$A463,3)="AA-",LEN(Identity!$A463)=15,SUMPRODUCT(--ISNUMBER(FIND(MID(Identity!$A463,ROW($4:$15),1),"ABCDEFGHIJKLMNOPQRSTUVWXYZ")))=6,SUMPRODUCT(--ISNUMBER(FIND(MID(Identity!$A463,ROW($4:$15),1),"0123456789")))=6))),FALSE))</f>
      </c>
    </row>
    <row r="464">
      <c r="D464">
        <f>IF(Identity!$A464="",TRUE,IFERROR(AND(ISTEXT(Identity!$A464),EXACT(Identity!$A464,UPPER(Identity!$A464)),COUNTIF(Identity!$A$2:$A$501,Identity!$A464)=1,OR(AND(LEFT(Identity!$A464,3)="AAI",LEN(Identity!$A464)=11,SUMPRODUCT(--ISNUMBER(FIND(MID(Identity!$A464,ROW($4:$11),1),"0123456789")))=8,IFERROR(VALUE(MID(Identity!$A464,6,2)),0)&gt;=1,IFERROR(VALUE(MID(Identity!$A464,6,2)),0)&lt;=12,RIGHT(Identity!$A464,4)&lt;&gt;"0000"),AND(LEFT(Identity!$A464,3)="AA-",LEN(Identity!$A464)=15,SUMPRODUCT(--ISNUMBER(FIND(MID(Identity!$A464,ROW($4:$15),1),"ABCDEFGHIJKLMNOPQRSTUVWXYZ")))=6,SUMPRODUCT(--ISNUMBER(FIND(MID(Identity!$A464,ROW($4:$15),1),"0123456789")))=6))),FALSE))</f>
      </c>
    </row>
    <row r="465">
      <c r="D465">
        <f>IF(Identity!$A465="",TRUE,IFERROR(AND(ISTEXT(Identity!$A465),EXACT(Identity!$A465,UPPER(Identity!$A465)),COUNTIF(Identity!$A$2:$A$501,Identity!$A465)=1,OR(AND(LEFT(Identity!$A465,3)="AAI",LEN(Identity!$A465)=11,SUMPRODUCT(--ISNUMBER(FIND(MID(Identity!$A465,ROW($4:$11),1),"0123456789")))=8,IFERROR(VALUE(MID(Identity!$A465,6,2)),0)&gt;=1,IFERROR(VALUE(MID(Identity!$A465,6,2)),0)&lt;=12,RIGHT(Identity!$A465,4)&lt;&gt;"0000"),AND(LEFT(Identity!$A465,3)="AA-",LEN(Identity!$A465)=15,SUMPRODUCT(--ISNUMBER(FIND(MID(Identity!$A465,ROW($4:$15),1),"ABCDEFGHIJKLMNOPQRSTUVWXYZ")))=6,SUMPRODUCT(--ISNUMBER(FIND(MID(Identity!$A465,ROW($4:$15),1),"0123456789")))=6))),FALSE))</f>
      </c>
    </row>
    <row r="466">
      <c r="D466">
        <f>IF(Identity!$A466="",TRUE,IFERROR(AND(ISTEXT(Identity!$A466),EXACT(Identity!$A466,UPPER(Identity!$A466)),COUNTIF(Identity!$A$2:$A$501,Identity!$A466)=1,OR(AND(LEFT(Identity!$A466,3)="AAI",LEN(Identity!$A466)=11,SUMPRODUCT(--ISNUMBER(FIND(MID(Identity!$A466,ROW($4:$11),1),"0123456789")))=8,IFERROR(VALUE(MID(Identity!$A466,6,2)),0)&gt;=1,IFERROR(VALUE(MID(Identity!$A466,6,2)),0)&lt;=12,RIGHT(Identity!$A466,4)&lt;&gt;"0000"),AND(LEFT(Identity!$A466,3)="AA-",LEN(Identity!$A466)=15,SUMPRODUCT(--ISNUMBER(FIND(MID(Identity!$A466,ROW($4:$15),1),"ABCDEFGHIJKLMNOPQRSTUVWXYZ")))=6,SUMPRODUCT(--ISNUMBER(FIND(MID(Identity!$A466,ROW($4:$15),1),"0123456789")))=6))),FALSE))</f>
      </c>
    </row>
    <row r="467">
      <c r="D467">
        <f>IF(Identity!$A467="",TRUE,IFERROR(AND(ISTEXT(Identity!$A467),EXACT(Identity!$A467,UPPER(Identity!$A467)),COUNTIF(Identity!$A$2:$A$501,Identity!$A467)=1,OR(AND(LEFT(Identity!$A467,3)="AAI",LEN(Identity!$A467)=11,SUMPRODUCT(--ISNUMBER(FIND(MID(Identity!$A467,ROW($4:$11),1),"0123456789")))=8,IFERROR(VALUE(MID(Identity!$A467,6,2)),0)&gt;=1,IFERROR(VALUE(MID(Identity!$A467,6,2)),0)&lt;=12,RIGHT(Identity!$A467,4)&lt;&gt;"0000"),AND(LEFT(Identity!$A467,3)="AA-",LEN(Identity!$A467)=15,SUMPRODUCT(--ISNUMBER(FIND(MID(Identity!$A467,ROW($4:$15),1),"ABCDEFGHIJKLMNOPQRSTUVWXYZ")))=6,SUMPRODUCT(--ISNUMBER(FIND(MID(Identity!$A467,ROW($4:$15),1),"0123456789")))=6))),FALSE))</f>
      </c>
    </row>
    <row r="468">
      <c r="D468">
        <f>IF(Identity!$A468="",TRUE,IFERROR(AND(ISTEXT(Identity!$A468),EXACT(Identity!$A468,UPPER(Identity!$A468)),COUNTIF(Identity!$A$2:$A$501,Identity!$A468)=1,OR(AND(LEFT(Identity!$A468,3)="AAI",LEN(Identity!$A468)=11,SUMPRODUCT(--ISNUMBER(FIND(MID(Identity!$A468,ROW($4:$11),1),"0123456789")))=8,IFERROR(VALUE(MID(Identity!$A468,6,2)),0)&gt;=1,IFERROR(VALUE(MID(Identity!$A468,6,2)),0)&lt;=12,RIGHT(Identity!$A468,4)&lt;&gt;"0000"),AND(LEFT(Identity!$A468,3)="AA-",LEN(Identity!$A468)=15,SUMPRODUCT(--ISNUMBER(FIND(MID(Identity!$A468,ROW($4:$15),1),"ABCDEFGHIJKLMNOPQRSTUVWXYZ")))=6,SUMPRODUCT(--ISNUMBER(FIND(MID(Identity!$A468,ROW($4:$15),1),"0123456789")))=6))),FALSE))</f>
      </c>
    </row>
    <row r="469">
      <c r="D469">
        <f>IF(Identity!$A469="",TRUE,IFERROR(AND(ISTEXT(Identity!$A469),EXACT(Identity!$A469,UPPER(Identity!$A469)),COUNTIF(Identity!$A$2:$A$501,Identity!$A469)=1,OR(AND(LEFT(Identity!$A469,3)="AAI",LEN(Identity!$A469)=11,SUMPRODUCT(--ISNUMBER(FIND(MID(Identity!$A469,ROW($4:$11),1),"0123456789")))=8,IFERROR(VALUE(MID(Identity!$A469,6,2)),0)&gt;=1,IFERROR(VALUE(MID(Identity!$A469,6,2)),0)&lt;=12,RIGHT(Identity!$A469,4)&lt;&gt;"0000"),AND(LEFT(Identity!$A469,3)="AA-",LEN(Identity!$A469)=15,SUMPRODUCT(--ISNUMBER(FIND(MID(Identity!$A469,ROW($4:$15),1),"ABCDEFGHIJKLMNOPQRSTUVWXYZ")))=6,SUMPRODUCT(--ISNUMBER(FIND(MID(Identity!$A469,ROW($4:$15),1),"0123456789")))=6))),FALSE))</f>
      </c>
    </row>
    <row r="470">
      <c r="D470">
        <f>IF(Identity!$A470="",TRUE,IFERROR(AND(ISTEXT(Identity!$A470),EXACT(Identity!$A470,UPPER(Identity!$A470)),COUNTIF(Identity!$A$2:$A$501,Identity!$A470)=1,OR(AND(LEFT(Identity!$A470,3)="AAI",LEN(Identity!$A470)=11,SUMPRODUCT(--ISNUMBER(FIND(MID(Identity!$A470,ROW($4:$11),1),"0123456789")))=8,IFERROR(VALUE(MID(Identity!$A470,6,2)),0)&gt;=1,IFERROR(VALUE(MID(Identity!$A470,6,2)),0)&lt;=12,RIGHT(Identity!$A470,4)&lt;&gt;"0000"),AND(LEFT(Identity!$A470,3)="AA-",LEN(Identity!$A470)=15,SUMPRODUCT(--ISNUMBER(FIND(MID(Identity!$A470,ROW($4:$15),1),"ABCDEFGHIJKLMNOPQRSTUVWXYZ")))=6,SUMPRODUCT(--ISNUMBER(FIND(MID(Identity!$A470,ROW($4:$15),1),"0123456789")))=6))),FALSE))</f>
      </c>
    </row>
    <row r="471">
      <c r="D471">
        <f>IF(Identity!$A471="",TRUE,IFERROR(AND(ISTEXT(Identity!$A471),EXACT(Identity!$A471,UPPER(Identity!$A471)),COUNTIF(Identity!$A$2:$A$501,Identity!$A471)=1,OR(AND(LEFT(Identity!$A471,3)="AAI",LEN(Identity!$A471)=11,SUMPRODUCT(--ISNUMBER(FIND(MID(Identity!$A471,ROW($4:$11),1),"0123456789")))=8,IFERROR(VALUE(MID(Identity!$A471,6,2)),0)&gt;=1,IFERROR(VALUE(MID(Identity!$A471,6,2)),0)&lt;=12,RIGHT(Identity!$A471,4)&lt;&gt;"0000"),AND(LEFT(Identity!$A471,3)="AA-",LEN(Identity!$A471)=15,SUMPRODUCT(--ISNUMBER(FIND(MID(Identity!$A471,ROW($4:$15),1),"ABCDEFGHIJKLMNOPQRSTUVWXYZ")))=6,SUMPRODUCT(--ISNUMBER(FIND(MID(Identity!$A471,ROW($4:$15),1),"0123456789")))=6))),FALSE))</f>
      </c>
    </row>
    <row r="472">
      <c r="D472">
        <f>IF(Identity!$A472="",TRUE,IFERROR(AND(ISTEXT(Identity!$A472),EXACT(Identity!$A472,UPPER(Identity!$A472)),COUNTIF(Identity!$A$2:$A$501,Identity!$A472)=1,OR(AND(LEFT(Identity!$A472,3)="AAI",LEN(Identity!$A472)=11,SUMPRODUCT(--ISNUMBER(FIND(MID(Identity!$A472,ROW($4:$11),1),"0123456789")))=8,IFERROR(VALUE(MID(Identity!$A472,6,2)),0)&gt;=1,IFERROR(VALUE(MID(Identity!$A472,6,2)),0)&lt;=12,RIGHT(Identity!$A472,4)&lt;&gt;"0000"),AND(LEFT(Identity!$A472,3)="AA-",LEN(Identity!$A472)=15,SUMPRODUCT(--ISNUMBER(FIND(MID(Identity!$A472,ROW($4:$15),1),"ABCDEFGHIJKLMNOPQRSTUVWXYZ")))=6,SUMPRODUCT(--ISNUMBER(FIND(MID(Identity!$A472,ROW($4:$15),1),"0123456789")))=6))),FALSE))</f>
      </c>
    </row>
    <row r="473">
      <c r="D473">
        <f>IF(Identity!$A473="",TRUE,IFERROR(AND(ISTEXT(Identity!$A473),EXACT(Identity!$A473,UPPER(Identity!$A473)),COUNTIF(Identity!$A$2:$A$501,Identity!$A473)=1,OR(AND(LEFT(Identity!$A473,3)="AAI",LEN(Identity!$A473)=11,SUMPRODUCT(--ISNUMBER(FIND(MID(Identity!$A473,ROW($4:$11),1),"0123456789")))=8,IFERROR(VALUE(MID(Identity!$A473,6,2)),0)&gt;=1,IFERROR(VALUE(MID(Identity!$A473,6,2)),0)&lt;=12,RIGHT(Identity!$A473,4)&lt;&gt;"0000"),AND(LEFT(Identity!$A473,3)="AA-",LEN(Identity!$A473)=15,SUMPRODUCT(--ISNUMBER(FIND(MID(Identity!$A473,ROW($4:$15),1),"ABCDEFGHIJKLMNOPQRSTUVWXYZ")))=6,SUMPRODUCT(--ISNUMBER(FIND(MID(Identity!$A473,ROW($4:$15),1),"0123456789")))=6))),FALSE))</f>
      </c>
    </row>
    <row r="474">
      <c r="D474">
        <f>IF(Identity!$A474="",TRUE,IFERROR(AND(ISTEXT(Identity!$A474),EXACT(Identity!$A474,UPPER(Identity!$A474)),COUNTIF(Identity!$A$2:$A$501,Identity!$A474)=1,OR(AND(LEFT(Identity!$A474,3)="AAI",LEN(Identity!$A474)=11,SUMPRODUCT(--ISNUMBER(FIND(MID(Identity!$A474,ROW($4:$11),1),"0123456789")))=8,IFERROR(VALUE(MID(Identity!$A474,6,2)),0)&gt;=1,IFERROR(VALUE(MID(Identity!$A474,6,2)),0)&lt;=12,RIGHT(Identity!$A474,4)&lt;&gt;"0000"),AND(LEFT(Identity!$A474,3)="AA-",LEN(Identity!$A474)=15,SUMPRODUCT(--ISNUMBER(FIND(MID(Identity!$A474,ROW($4:$15),1),"ABCDEFGHIJKLMNOPQRSTUVWXYZ")))=6,SUMPRODUCT(--ISNUMBER(FIND(MID(Identity!$A474,ROW($4:$15),1),"0123456789")))=6))),FALSE))</f>
      </c>
    </row>
    <row r="475">
      <c r="D475">
        <f>IF(Identity!$A475="",TRUE,IFERROR(AND(ISTEXT(Identity!$A475),EXACT(Identity!$A475,UPPER(Identity!$A475)),COUNTIF(Identity!$A$2:$A$501,Identity!$A475)=1,OR(AND(LEFT(Identity!$A475,3)="AAI",LEN(Identity!$A475)=11,SUMPRODUCT(--ISNUMBER(FIND(MID(Identity!$A475,ROW($4:$11),1),"0123456789")))=8,IFERROR(VALUE(MID(Identity!$A475,6,2)),0)&gt;=1,IFERROR(VALUE(MID(Identity!$A475,6,2)),0)&lt;=12,RIGHT(Identity!$A475,4)&lt;&gt;"0000"),AND(LEFT(Identity!$A475,3)="AA-",LEN(Identity!$A475)=15,SUMPRODUCT(--ISNUMBER(FIND(MID(Identity!$A475,ROW($4:$15),1),"ABCDEFGHIJKLMNOPQRSTUVWXYZ")))=6,SUMPRODUCT(--ISNUMBER(FIND(MID(Identity!$A475,ROW($4:$15),1),"0123456789")))=6))),FALSE))</f>
      </c>
    </row>
    <row r="476">
      <c r="D476">
        <f>IF(Identity!$A476="",TRUE,IFERROR(AND(ISTEXT(Identity!$A476),EXACT(Identity!$A476,UPPER(Identity!$A476)),COUNTIF(Identity!$A$2:$A$501,Identity!$A476)=1,OR(AND(LEFT(Identity!$A476,3)="AAI",LEN(Identity!$A476)=11,SUMPRODUCT(--ISNUMBER(FIND(MID(Identity!$A476,ROW($4:$11),1),"0123456789")))=8,IFERROR(VALUE(MID(Identity!$A476,6,2)),0)&gt;=1,IFERROR(VALUE(MID(Identity!$A476,6,2)),0)&lt;=12,RIGHT(Identity!$A476,4)&lt;&gt;"0000"),AND(LEFT(Identity!$A476,3)="AA-",LEN(Identity!$A476)=15,SUMPRODUCT(--ISNUMBER(FIND(MID(Identity!$A476,ROW($4:$15),1),"ABCDEFGHIJKLMNOPQRSTUVWXYZ")))=6,SUMPRODUCT(--ISNUMBER(FIND(MID(Identity!$A476,ROW($4:$15),1),"0123456789")))=6))),FALSE))</f>
      </c>
    </row>
    <row r="477">
      <c r="D477">
        <f>IF(Identity!$A477="",TRUE,IFERROR(AND(ISTEXT(Identity!$A477),EXACT(Identity!$A477,UPPER(Identity!$A477)),COUNTIF(Identity!$A$2:$A$501,Identity!$A477)=1,OR(AND(LEFT(Identity!$A477,3)="AAI",LEN(Identity!$A477)=11,SUMPRODUCT(--ISNUMBER(FIND(MID(Identity!$A477,ROW($4:$11),1),"0123456789")))=8,IFERROR(VALUE(MID(Identity!$A477,6,2)),0)&gt;=1,IFERROR(VALUE(MID(Identity!$A477,6,2)),0)&lt;=12,RIGHT(Identity!$A477,4)&lt;&gt;"0000"),AND(LEFT(Identity!$A477,3)="AA-",LEN(Identity!$A477)=15,SUMPRODUCT(--ISNUMBER(FIND(MID(Identity!$A477,ROW($4:$15),1),"ABCDEFGHIJKLMNOPQRSTUVWXYZ")))=6,SUMPRODUCT(--ISNUMBER(FIND(MID(Identity!$A477,ROW($4:$15),1),"0123456789")))=6))),FALSE))</f>
      </c>
    </row>
    <row r="478">
      <c r="D478">
        <f>IF(Identity!$A478="",TRUE,IFERROR(AND(ISTEXT(Identity!$A478),EXACT(Identity!$A478,UPPER(Identity!$A478)),COUNTIF(Identity!$A$2:$A$501,Identity!$A478)=1,OR(AND(LEFT(Identity!$A478,3)="AAI",LEN(Identity!$A478)=11,SUMPRODUCT(--ISNUMBER(FIND(MID(Identity!$A478,ROW($4:$11),1),"0123456789")))=8,IFERROR(VALUE(MID(Identity!$A478,6,2)),0)&gt;=1,IFERROR(VALUE(MID(Identity!$A478,6,2)),0)&lt;=12,RIGHT(Identity!$A478,4)&lt;&gt;"0000"),AND(LEFT(Identity!$A478,3)="AA-",LEN(Identity!$A478)=15,SUMPRODUCT(--ISNUMBER(FIND(MID(Identity!$A478,ROW($4:$15),1),"ABCDEFGHIJKLMNOPQRSTUVWXYZ")))=6,SUMPRODUCT(--ISNUMBER(FIND(MID(Identity!$A478,ROW($4:$15),1),"0123456789")))=6))),FALSE))</f>
      </c>
    </row>
    <row r="479">
      <c r="D479">
        <f>IF(Identity!$A479="",TRUE,IFERROR(AND(ISTEXT(Identity!$A479),EXACT(Identity!$A479,UPPER(Identity!$A479)),COUNTIF(Identity!$A$2:$A$501,Identity!$A479)=1,OR(AND(LEFT(Identity!$A479,3)="AAI",LEN(Identity!$A479)=11,SUMPRODUCT(--ISNUMBER(FIND(MID(Identity!$A479,ROW($4:$11),1),"0123456789")))=8,IFERROR(VALUE(MID(Identity!$A479,6,2)),0)&gt;=1,IFERROR(VALUE(MID(Identity!$A479,6,2)),0)&lt;=12,RIGHT(Identity!$A479,4)&lt;&gt;"0000"),AND(LEFT(Identity!$A479,3)="AA-",LEN(Identity!$A479)=15,SUMPRODUCT(--ISNUMBER(FIND(MID(Identity!$A479,ROW($4:$15),1),"ABCDEFGHIJKLMNOPQRSTUVWXYZ")))=6,SUMPRODUCT(--ISNUMBER(FIND(MID(Identity!$A479,ROW($4:$15),1),"0123456789")))=6))),FALSE))</f>
      </c>
    </row>
    <row r="480">
      <c r="D480">
        <f>IF(Identity!$A480="",TRUE,IFERROR(AND(ISTEXT(Identity!$A480),EXACT(Identity!$A480,UPPER(Identity!$A480)),COUNTIF(Identity!$A$2:$A$501,Identity!$A480)=1,OR(AND(LEFT(Identity!$A480,3)="AAI",LEN(Identity!$A480)=11,SUMPRODUCT(--ISNUMBER(FIND(MID(Identity!$A480,ROW($4:$11),1),"0123456789")))=8,IFERROR(VALUE(MID(Identity!$A480,6,2)),0)&gt;=1,IFERROR(VALUE(MID(Identity!$A480,6,2)),0)&lt;=12,RIGHT(Identity!$A480,4)&lt;&gt;"0000"),AND(LEFT(Identity!$A480,3)="AA-",LEN(Identity!$A480)=15,SUMPRODUCT(--ISNUMBER(FIND(MID(Identity!$A480,ROW($4:$15),1),"ABCDEFGHIJKLMNOPQRSTUVWXYZ")))=6,SUMPRODUCT(--ISNUMBER(FIND(MID(Identity!$A480,ROW($4:$15),1),"0123456789")))=6))),FALSE))</f>
      </c>
    </row>
    <row r="481">
      <c r="D481">
        <f>IF(Identity!$A481="",TRUE,IFERROR(AND(ISTEXT(Identity!$A481),EXACT(Identity!$A481,UPPER(Identity!$A481)),COUNTIF(Identity!$A$2:$A$501,Identity!$A481)=1,OR(AND(LEFT(Identity!$A481,3)="AAI",LEN(Identity!$A481)=11,SUMPRODUCT(--ISNUMBER(FIND(MID(Identity!$A481,ROW($4:$11),1),"0123456789")))=8,IFERROR(VALUE(MID(Identity!$A481,6,2)),0)&gt;=1,IFERROR(VALUE(MID(Identity!$A481,6,2)),0)&lt;=12,RIGHT(Identity!$A481,4)&lt;&gt;"0000"),AND(LEFT(Identity!$A481,3)="AA-",LEN(Identity!$A481)=15,SUMPRODUCT(--ISNUMBER(FIND(MID(Identity!$A481,ROW($4:$15),1),"ABCDEFGHIJKLMNOPQRSTUVWXYZ")))=6,SUMPRODUCT(--ISNUMBER(FIND(MID(Identity!$A481,ROW($4:$15),1),"0123456789")))=6))),FALSE))</f>
      </c>
    </row>
    <row r="482">
      <c r="D482">
        <f>IF(Identity!$A482="",TRUE,IFERROR(AND(ISTEXT(Identity!$A482),EXACT(Identity!$A482,UPPER(Identity!$A482)),COUNTIF(Identity!$A$2:$A$501,Identity!$A482)=1,OR(AND(LEFT(Identity!$A482,3)="AAI",LEN(Identity!$A482)=11,SUMPRODUCT(--ISNUMBER(FIND(MID(Identity!$A482,ROW($4:$11),1),"0123456789")))=8,IFERROR(VALUE(MID(Identity!$A482,6,2)),0)&gt;=1,IFERROR(VALUE(MID(Identity!$A482,6,2)),0)&lt;=12,RIGHT(Identity!$A482,4)&lt;&gt;"0000"),AND(LEFT(Identity!$A482,3)="AA-",LEN(Identity!$A482)=15,SUMPRODUCT(--ISNUMBER(FIND(MID(Identity!$A482,ROW($4:$15),1),"ABCDEFGHIJKLMNOPQRSTUVWXYZ")))=6,SUMPRODUCT(--ISNUMBER(FIND(MID(Identity!$A482,ROW($4:$15),1),"0123456789")))=6))),FALSE))</f>
      </c>
    </row>
    <row r="483">
      <c r="D483">
        <f>IF(Identity!$A483="",TRUE,IFERROR(AND(ISTEXT(Identity!$A483),EXACT(Identity!$A483,UPPER(Identity!$A483)),COUNTIF(Identity!$A$2:$A$501,Identity!$A483)=1,OR(AND(LEFT(Identity!$A483,3)="AAI",LEN(Identity!$A483)=11,SUMPRODUCT(--ISNUMBER(FIND(MID(Identity!$A483,ROW($4:$11),1),"0123456789")))=8,IFERROR(VALUE(MID(Identity!$A483,6,2)),0)&gt;=1,IFERROR(VALUE(MID(Identity!$A483,6,2)),0)&lt;=12,RIGHT(Identity!$A483,4)&lt;&gt;"0000"),AND(LEFT(Identity!$A483,3)="AA-",LEN(Identity!$A483)=15,SUMPRODUCT(--ISNUMBER(FIND(MID(Identity!$A483,ROW($4:$15),1),"ABCDEFGHIJKLMNOPQRSTUVWXYZ")))=6,SUMPRODUCT(--ISNUMBER(FIND(MID(Identity!$A483,ROW($4:$15),1),"0123456789")))=6))),FALSE))</f>
      </c>
    </row>
    <row r="484">
      <c r="D484">
        <f>IF(Identity!$A484="",TRUE,IFERROR(AND(ISTEXT(Identity!$A484),EXACT(Identity!$A484,UPPER(Identity!$A484)),COUNTIF(Identity!$A$2:$A$501,Identity!$A484)=1,OR(AND(LEFT(Identity!$A484,3)="AAI",LEN(Identity!$A484)=11,SUMPRODUCT(--ISNUMBER(FIND(MID(Identity!$A484,ROW($4:$11),1),"0123456789")))=8,IFERROR(VALUE(MID(Identity!$A484,6,2)),0)&gt;=1,IFERROR(VALUE(MID(Identity!$A484,6,2)),0)&lt;=12,RIGHT(Identity!$A484,4)&lt;&gt;"0000"),AND(LEFT(Identity!$A484,3)="AA-",LEN(Identity!$A484)=15,SUMPRODUCT(--ISNUMBER(FIND(MID(Identity!$A484,ROW($4:$15),1),"ABCDEFGHIJKLMNOPQRSTUVWXYZ")))=6,SUMPRODUCT(--ISNUMBER(FIND(MID(Identity!$A484,ROW($4:$15),1),"0123456789")))=6))),FALSE))</f>
      </c>
    </row>
    <row r="485">
      <c r="D485">
        <f>IF(Identity!$A485="",TRUE,IFERROR(AND(ISTEXT(Identity!$A485),EXACT(Identity!$A485,UPPER(Identity!$A485)),COUNTIF(Identity!$A$2:$A$501,Identity!$A485)=1,OR(AND(LEFT(Identity!$A485,3)="AAI",LEN(Identity!$A485)=11,SUMPRODUCT(--ISNUMBER(FIND(MID(Identity!$A485,ROW($4:$11),1),"0123456789")))=8,IFERROR(VALUE(MID(Identity!$A485,6,2)),0)&gt;=1,IFERROR(VALUE(MID(Identity!$A485,6,2)),0)&lt;=12,RIGHT(Identity!$A485,4)&lt;&gt;"0000"),AND(LEFT(Identity!$A485,3)="AA-",LEN(Identity!$A485)=15,SUMPRODUCT(--ISNUMBER(FIND(MID(Identity!$A485,ROW($4:$15),1),"ABCDEFGHIJKLMNOPQRSTUVWXYZ")))=6,SUMPRODUCT(--ISNUMBER(FIND(MID(Identity!$A485,ROW($4:$15),1),"0123456789")))=6))),FALSE))</f>
      </c>
    </row>
    <row r="486">
      <c r="D486">
        <f>IF(Identity!$A486="",TRUE,IFERROR(AND(ISTEXT(Identity!$A486),EXACT(Identity!$A486,UPPER(Identity!$A486)),COUNTIF(Identity!$A$2:$A$501,Identity!$A486)=1,OR(AND(LEFT(Identity!$A486,3)="AAI",LEN(Identity!$A486)=11,SUMPRODUCT(--ISNUMBER(FIND(MID(Identity!$A486,ROW($4:$11),1),"0123456789")))=8,IFERROR(VALUE(MID(Identity!$A486,6,2)),0)&gt;=1,IFERROR(VALUE(MID(Identity!$A486,6,2)),0)&lt;=12,RIGHT(Identity!$A486,4)&lt;&gt;"0000"),AND(LEFT(Identity!$A486,3)="AA-",LEN(Identity!$A486)=15,SUMPRODUCT(--ISNUMBER(FIND(MID(Identity!$A486,ROW($4:$15),1),"ABCDEFGHIJKLMNOPQRSTUVWXYZ")))=6,SUMPRODUCT(--ISNUMBER(FIND(MID(Identity!$A486,ROW($4:$15),1),"0123456789")))=6))),FALSE))</f>
      </c>
    </row>
    <row r="487">
      <c r="D487">
        <f>IF(Identity!$A487="",TRUE,IFERROR(AND(ISTEXT(Identity!$A487),EXACT(Identity!$A487,UPPER(Identity!$A487)),COUNTIF(Identity!$A$2:$A$501,Identity!$A487)=1,OR(AND(LEFT(Identity!$A487,3)="AAI",LEN(Identity!$A487)=11,SUMPRODUCT(--ISNUMBER(FIND(MID(Identity!$A487,ROW($4:$11),1),"0123456789")))=8,IFERROR(VALUE(MID(Identity!$A487,6,2)),0)&gt;=1,IFERROR(VALUE(MID(Identity!$A487,6,2)),0)&lt;=12,RIGHT(Identity!$A487,4)&lt;&gt;"0000"),AND(LEFT(Identity!$A487,3)="AA-",LEN(Identity!$A487)=15,SUMPRODUCT(--ISNUMBER(FIND(MID(Identity!$A487,ROW($4:$15),1),"ABCDEFGHIJKLMNOPQRSTUVWXYZ")))=6,SUMPRODUCT(--ISNUMBER(FIND(MID(Identity!$A487,ROW($4:$15),1),"0123456789")))=6))),FALSE))</f>
      </c>
    </row>
    <row r="488">
      <c r="D488">
        <f>IF(Identity!$A488="",TRUE,IFERROR(AND(ISTEXT(Identity!$A488),EXACT(Identity!$A488,UPPER(Identity!$A488)),COUNTIF(Identity!$A$2:$A$501,Identity!$A488)=1,OR(AND(LEFT(Identity!$A488,3)="AAI",LEN(Identity!$A488)=11,SUMPRODUCT(--ISNUMBER(FIND(MID(Identity!$A488,ROW($4:$11),1),"0123456789")))=8,IFERROR(VALUE(MID(Identity!$A488,6,2)),0)&gt;=1,IFERROR(VALUE(MID(Identity!$A488,6,2)),0)&lt;=12,RIGHT(Identity!$A488,4)&lt;&gt;"0000"),AND(LEFT(Identity!$A488,3)="AA-",LEN(Identity!$A488)=15,SUMPRODUCT(--ISNUMBER(FIND(MID(Identity!$A488,ROW($4:$15),1),"ABCDEFGHIJKLMNOPQRSTUVWXYZ")))=6,SUMPRODUCT(--ISNUMBER(FIND(MID(Identity!$A488,ROW($4:$15),1),"0123456789")))=6))),FALSE))</f>
      </c>
    </row>
    <row r="489">
      <c r="D489">
        <f>IF(Identity!$A489="",TRUE,IFERROR(AND(ISTEXT(Identity!$A489),EXACT(Identity!$A489,UPPER(Identity!$A489)),COUNTIF(Identity!$A$2:$A$501,Identity!$A489)=1,OR(AND(LEFT(Identity!$A489,3)="AAI",LEN(Identity!$A489)=11,SUMPRODUCT(--ISNUMBER(FIND(MID(Identity!$A489,ROW($4:$11),1),"0123456789")))=8,IFERROR(VALUE(MID(Identity!$A489,6,2)),0)&gt;=1,IFERROR(VALUE(MID(Identity!$A489,6,2)),0)&lt;=12,RIGHT(Identity!$A489,4)&lt;&gt;"0000"),AND(LEFT(Identity!$A489,3)="AA-",LEN(Identity!$A489)=15,SUMPRODUCT(--ISNUMBER(FIND(MID(Identity!$A489,ROW($4:$15),1),"ABCDEFGHIJKLMNOPQRSTUVWXYZ")))=6,SUMPRODUCT(--ISNUMBER(FIND(MID(Identity!$A489,ROW($4:$15),1),"0123456789")))=6))),FALSE))</f>
      </c>
    </row>
    <row r="490">
      <c r="D490">
        <f>IF(Identity!$A490="",TRUE,IFERROR(AND(ISTEXT(Identity!$A490),EXACT(Identity!$A490,UPPER(Identity!$A490)),COUNTIF(Identity!$A$2:$A$501,Identity!$A490)=1,OR(AND(LEFT(Identity!$A490,3)="AAI",LEN(Identity!$A490)=11,SUMPRODUCT(--ISNUMBER(FIND(MID(Identity!$A490,ROW($4:$11),1),"0123456789")))=8,IFERROR(VALUE(MID(Identity!$A490,6,2)),0)&gt;=1,IFERROR(VALUE(MID(Identity!$A490,6,2)),0)&lt;=12,RIGHT(Identity!$A490,4)&lt;&gt;"0000"),AND(LEFT(Identity!$A490,3)="AA-",LEN(Identity!$A490)=15,SUMPRODUCT(--ISNUMBER(FIND(MID(Identity!$A490,ROW($4:$15),1),"ABCDEFGHIJKLMNOPQRSTUVWXYZ")))=6,SUMPRODUCT(--ISNUMBER(FIND(MID(Identity!$A490,ROW($4:$15),1),"0123456789")))=6))),FALSE))</f>
      </c>
    </row>
    <row r="491">
      <c r="D491">
        <f>IF(Identity!$A491="",TRUE,IFERROR(AND(ISTEXT(Identity!$A491),EXACT(Identity!$A491,UPPER(Identity!$A491)),COUNTIF(Identity!$A$2:$A$501,Identity!$A491)=1,OR(AND(LEFT(Identity!$A491,3)="AAI",LEN(Identity!$A491)=11,SUMPRODUCT(--ISNUMBER(FIND(MID(Identity!$A491,ROW($4:$11),1),"0123456789")))=8,IFERROR(VALUE(MID(Identity!$A491,6,2)),0)&gt;=1,IFERROR(VALUE(MID(Identity!$A491,6,2)),0)&lt;=12,RIGHT(Identity!$A491,4)&lt;&gt;"0000"),AND(LEFT(Identity!$A491,3)="AA-",LEN(Identity!$A491)=15,SUMPRODUCT(--ISNUMBER(FIND(MID(Identity!$A491,ROW($4:$15),1),"ABCDEFGHIJKLMNOPQRSTUVWXYZ")))=6,SUMPRODUCT(--ISNUMBER(FIND(MID(Identity!$A491,ROW($4:$15),1),"0123456789")))=6))),FALSE))</f>
      </c>
    </row>
    <row r="492">
      <c r="D492">
        <f>IF(Identity!$A492="",TRUE,IFERROR(AND(ISTEXT(Identity!$A492),EXACT(Identity!$A492,UPPER(Identity!$A492)),COUNTIF(Identity!$A$2:$A$501,Identity!$A492)=1,OR(AND(LEFT(Identity!$A492,3)="AAI",LEN(Identity!$A492)=11,SUMPRODUCT(--ISNUMBER(FIND(MID(Identity!$A492,ROW($4:$11),1),"0123456789")))=8,IFERROR(VALUE(MID(Identity!$A492,6,2)),0)&gt;=1,IFERROR(VALUE(MID(Identity!$A492,6,2)),0)&lt;=12,RIGHT(Identity!$A492,4)&lt;&gt;"0000"),AND(LEFT(Identity!$A492,3)="AA-",LEN(Identity!$A492)=15,SUMPRODUCT(--ISNUMBER(FIND(MID(Identity!$A492,ROW($4:$15),1),"ABCDEFGHIJKLMNOPQRSTUVWXYZ")))=6,SUMPRODUCT(--ISNUMBER(FIND(MID(Identity!$A492,ROW($4:$15),1),"0123456789")))=6))),FALSE))</f>
      </c>
    </row>
    <row r="493">
      <c r="D493">
        <f>IF(Identity!$A493="",TRUE,IFERROR(AND(ISTEXT(Identity!$A493),EXACT(Identity!$A493,UPPER(Identity!$A493)),COUNTIF(Identity!$A$2:$A$501,Identity!$A493)=1,OR(AND(LEFT(Identity!$A493,3)="AAI",LEN(Identity!$A493)=11,SUMPRODUCT(--ISNUMBER(FIND(MID(Identity!$A493,ROW($4:$11),1),"0123456789")))=8,IFERROR(VALUE(MID(Identity!$A493,6,2)),0)&gt;=1,IFERROR(VALUE(MID(Identity!$A493,6,2)),0)&lt;=12,RIGHT(Identity!$A493,4)&lt;&gt;"0000"),AND(LEFT(Identity!$A493,3)="AA-",LEN(Identity!$A493)=15,SUMPRODUCT(--ISNUMBER(FIND(MID(Identity!$A493,ROW($4:$15),1),"ABCDEFGHIJKLMNOPQRSTUVWXYZ")))=6,SUMPRODUCT(--ISNUMBER(FIND(MID(Identity!$A493,ROW($4:$15),1),"0123456789")))=6))),FALSE))</f>
      </c>
    </row>
    <row r="494">
      <c r="D494">
        <f>IF(Identity!$A494="",TRUE,IFERROR(AND(ISTEXT(Identity!$A494),EXACT(Identity!$A494,UPPER(Identity!$A494)),COUNTIF(Identity!$A$2:$A$501,Identity!$A494)=1,OR(AND(LEFT(Identity!$A494,3)="AAI",LEN(Identity!$A494)=11,SUMPRODUCT(--ISNUMBER(FIND(MID(Identity!$A494,ROW($4:$11),1),"0123456789")))=8,IFERROR(VALUE(MID(Identity!$A494,6,2)),0)&gt;=1,IFERROR(VALUE(MID(Identity!$A494,6,2)),0)&lt;=12,RIGHT(Identity!$A494,4)&lt;&gt;"0000"),AND(LEFT(Identity!$A494,3)="AA-",LEN(Identity!$A494)=15,SUMPRODUCT(--ISNUMBER(FIND(MID(Identity!$A494,ROW($4:$15),1),"ABCDEFGHIJKLMNOPQRSTUVWXYZ")))=6,SUMPRODUCT(--ISNUMBER(FIND(MID(Identity!$A494,ROW($4:$15),1),"0123456789")))=6))),FALSE))</f>
      </c>
    </row>
    <row r="495">
      <c r="D495">
        <f>IF(Identity!$A495="",TRUE,IFERROR(AND(ISTEXT(Identity!$A495),EXACT(Identity!$A495,UPPER(Identity!$A495)),COUNTIF(Identity!$A$2:$A$501,Identity!$A495)=1,OR(AND(LEFT(Identity!$A495,3)="AAI",LEN(Identity!$A495)=11,SUMPRODUCT(--ISNUMBER(FIND(MID(Identity!$A495,ROW($4:$11),1),"0123456789")))=8,IFERROR(VALUE(MID(Identity!$A495,6,2)),0)&gt;=1,IFERROR(VALUE(MID(Identity!$A495,6,2)),0)&lt;=12,RIGHT(Identity!$A495,4)&lt;&gt;"0000"),AND(LEFT(Identity!$A495,3)="AA-",LEN(Identity!$A495)=15,SUMPRODUCT(--ISNUMBER(FIND(MID(Identity!$A495,ROW($4:$15),1),"ABCDEFGHIJKLMNOPQRSTUVWXYZ")))=6,SUMPRODUCT(--ISNUMBER(FIND(MID(Identity!$A495,ROW($4:$15),1),"0123456789")))=6))),FALSE))</f>
      </c>
    </row>
    <row r="496">
      <c r="D496">
        <f>IF(Identity!$A496="",TRUE,IFERROR(AND(ISTEXT(Identity!$A496),EXACT(Identity!$A496,UPPER(Identity!$A496)),COUNTIF(Identity!$A$2:$A$501,Identity!$A496)=1,OR(AND(LEFT(Identity!$A496,3)="AAI",LEN(Identity!$A496)=11,SUMPRODUCT(--ISNUMBER(FIND(MID(Identity!$A496,ROW($4:$11),1),"0123456789")))=8,IFERROR(VALUE(MID(Identity!$A496,6,2)),0)&gt;=1,IFERROR(VALUE(MID(Identity!$A496,6,2)),0)&lt;=12,RIGHT(Identity!$A496,4)&lt;&gt;"0000"),AND(LEFT(Identity!$A496,3)="AA-",LEN(Identity!$A496)=15,SUMPRODUCT(--ISNUMBER(FIND(MID(Identity!$A496,ROW($4:$15),1),"ABCDEFGHIJKLMNOPQRSTUVWXYZ")))=6,SUMPRODUCT(--ISNUMBER(FIND(MID(Identity!$A496,ROW($4:$15),1),"0123456789")))=6))),FALSE))</f>
      </c>
    </row>
    <row r="497">
      <c r="D497">
        <f>IF(Identity!$A497="",TRUE,IFERROR(AND(ISTEXT(Identity!$A497),EXACT(Identity!$A497,UPPER(Identity!$A497)),COUNTIF(Identity!$A$2:$A$501,Identity!$A497)=1,OR(AND(LEFT(Identity!$A497,3)="AAI",LEN(Identity!$A497)=11,SUMPRODUCT(--ISNUMBER(FIND(MID(Identity!$A497,ROW($4:$11),1),"0123456789")))=8,IFERROR(VALUE(MID(Identity!$A497,6,2)),0)&gt;=1,IFERROR(VALUE(MID(Identity!$A497,6,2)),0)&lt;=12,RIGHT(Identity!$A497,4)&lt;&gt;"0000"),AND(LEFT(Identity!$A497,3)="AA-",LEN(Identity!$A497)=15,SUMPRODUCT(--ISNUMBER(FIND(MID(Identity!$A497,ROW($4:$15),1),"ABCDEFGHIJKLMNOPQRSTUVWXYZ")))=6,SUMPRODUCT(--ISNUMBER(FIND(MID(Identity!$A497,ROW($4:$15),1),"0123456789")))=6))),FALSE))</f>
      </c>
    </row>
    <row r="498">
      <c r="D498">
        <f>IF(Identity!$A498="",TRUE,IFERROR(AND(ISTEXT(Identity!$A498),EXACT(Identity!$A498,UPPER(Identity!$A498)),COUNTIF(Identity!$A$2:$A$501,Identity!$A498)=1,OR(AND(LEFT(Identity!$A498,3)="AAI",LEN(Identity!$A498)=11,SUMPRODUCT(--ISNUMBER(FIND(MID(Identity!$A498,ROW($4:$11),1),"0123456789")))=8,IFERROR(VALUE(MID(Identity!$A498,6,2)),0)&gt;=1,IFERROR(VALUE(MID(Identity!$A498,6,2)),0)&lt;=12,RIGHT(Identity!$A498,4)&lt;&gt;"0000"),AND(LEFT(Identity!$A498,3)="AA-",LEN(Identity!$A498)=15,SUMPRODUCT(--ISNUMBER(FIND(MID(Identity!$A498,ROW($4:$15),1),"ABCDEFGHIJKLMNOPQRSTUVWXYZ")))=6,SUMPRODUCT(--ISNUMBER(FIND(MID(Identity!$A498,ROW($4:$15),1),"0123456789")))=6))),FALSE))</f>
      </c>
    </row>
    <row r="499">
      <c r="D499">
        <f>IF(Identity!$A499="",TRUE,IFERROR(AND(ISTEXT(Identity!$A499),EXACT(Identity!$A499,UPPER(Identity!$A499)),COUNTIF(Identity!$A$2:$A$501,Identity!$A499)=1,OR(AND(LEFT(Identity!$A499,3)="AAI",LEN(Identity!$A499)=11,SUMPRODUCT(--ISNUMBER(FIND(MID(Identity!$A499,ROW($4:$11),1),"0123456789")))=8,IFERROR(VALUE(MID(Identity!$A499,6,2)),0)&gt;=1,IFERROR(VALUE(MID(Identity!$A499,6,2)),0)&lt;=12,RIGHT(Identity!$A499,4)&lt;&gt;"0000"),AND(LEFT(Identity!$A499,3)="AA-",LEN(Identity!$A499)=15,SUMPRODUCT(--ISNUMBER(FIND(MID(Identity!$A499,ROW($4:$15),1),"ABCDEFGHIJKLMNOPQRSTUVWXYZ")))=6,SUMPRODUCT(--ISNUMBER(FIND(MID(Identity!$A499,ROW($4:$15),1),"0123456789")))=6))),FALSE))</f>
      </c>
    </row>
    <row r="500">
      <c r="D500">
        <f>IF(Identity!$A500="",TRUE,IFERROR(AND(ISTEXT(Identity!$A500),EXACT(Identity!$A500,UPPER(Identity!$A500)),COUNTIF(Identity!$A$2:$A$501,Identity!$A500)=1,OR(AND(LEFT(Identity!$A500,3)="AAI",LEN(Identity!$A500)=11,SUMPRODUCT(--ISNUMBER(FIND(MID(Identity!$A500,ROW($4:$11),1),"0123456789")))=8,IFERROR(VALUE(MID(Identity!$A500,6,2)),0)&gt;=1,IFERROR(VALUE(MID(Identity!$A500,6,2)),0)&lt;=12,RIGHT(Identity!$A500,4)&lt;&gt;"0000"),AND(LEFT(Identity!$A500,3)="AA-",LEN(Identity!$A500)=15,SUMPRODUCT(--ISNUMBER(FIND(MID(Identity!$A500,ROW($4:$15),1),"ABCDEFGHIJKLMNOPQRSTUVWXYZ")))=6,SUMPRODUCT(--ISNUMBER(FIND(MID(Identity!$A500,ROW($4:$15),1),"0123456789")))=6))),FALSE))</f>
      </c>
    </row>
    <row r="501">
      <c r="D501">
        <f>IF(Identity!$A501="",TRUE,IFERROR(AND(ISTEXT(Identity!$A501),EXACT(Identity!$A501,UPPER(Identity!$A501)),COUNTIF(Identity!$A$2:$A$501,Identity!$A501)=1,OR(AND(LEFT(Identity!$A501,3)="AAI",LEN(Identity!$A501)=11,SUMPRODUCT(--ISNUMBER(FIND(MID(Identity!$A501,ROW($4:$11),1),"0123456789")))=8,IFERROR(VALUE(MID(Identity!$A501,6,2)),0)&gt;=1,IFERROR(VALUE(MID(Identity!$A501,6,2)),0)&lt;=12,RIGHT(Identity!$A501,4)&lt;&gt;"0000"),AND(LEFT(Identity!$A501,3)="AA-",LEN(Identity!$A501)=15,SUMPRODUCT(--ISNUMBER(FIND(MID(Identity!$A501,ROW($4:$15),1),"ABCDEFGHIJKLMNOPQRSTUVWXYZ")))=6,SUMPRODUCT(--ISNUMBER(FIND(MID(Identity!$A501,ROW($4:$15),1),"0123456789")))=6))),FALSE))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B6C3CF"/>
  </sheetPr>
  <dimension ref="A1:B1643"/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</cols>
  <sheetData>
    <row r="1" ht="26" customHeight="1">
      <c r="A1" t="inlineStr" s="5">
        <is>
          <t>Province|City</t>
        </is>
      </c>
      <c r="B1" t="inlineStr" s="5">
        <is>
          <t>ZIP</t>
        </is>
      </c>
    </row>
    <row r="2">
      <c r="A2" t="inlineStr">
        <is>
          <t>Abra|Bangued</t>
        </is>
      </c>
      <c r="B2" t="inlineStr">
        <is>
          <t>2800</t>
        </is>
      </c>
    </row>
    <row r="3">
      <c r="A3" t="inlineStr">
        <is>
          <t>Abra|Boliney</t>
        </is>
      </c>
      <c r="B3" t="inlineStr">
        <is>
          <t>2815</t>
        </is>
      </c>
    </row>
    <row r="4">
      <c r="A4" t="inlineStr">
        <is>
          <t>Abra|Bucay</t>
        </is>
      </c>
      <c r="B4" t="inlineStr">
        <is>
          <t>2805</t>
        </is>
      </c>
    </row>
    <row r="5">
      <c r="A5" t="inlineStr">
        <is>
          <t>Abra|Bucloc</t>
        </is>
      </c>
      <c r="B5" t="inlineStr">
        <is>
          <t>2817</t>
        </is>
      </c>
    </row>
    <row r="6">
      <c r="A6" t="inlineStr">
        <is>
          <t>Abra|Daguioman</t>
        </is>
      </c>
      <c r="B6" t="inlineStr">
        <is>
          <t>2816</t>
        </is>
      </c>
    </row>
    <row r="7">
      <c r="A7" t="inlineStr">
        <is>
          <t>Abra|Danglas</t>
        </is>
      </c>
      <c r="B7" t="inlineStr">
        <is>
          <t>2825</t>
        </is>
      </c>
    </row>
    <row r="8">
      <c r="A8" t="inlineStr">
        <is>
          <t>Abra|Dolores</t>
        </is>
      </c>
      <c r="B8" t="inlineStr">
        <is>
          <t>2801</t>
        </is>
      </c>
    </row>
    <row r="9">
      <c r="A9" t="inlineStr">
        <is>
          <t>Abra|La Paz</t>
        </is>
      </c>
      <c r="B9" t="inlineStr">
        <is>
          <t>2826</t>
        </is>
      </c>
    </row>
    <row r="10">
      <c r="A10" t="inlineStr">
        <is>
          <t>Abra|Lacub</t>
        </is>
      </c>
      <c r="B10" t="inlineStr">
        <is>
          <t>2821</t>
        </is>
      </c>
    </row>
    <row r="11">
      <c r="A11" t="inlineStr">
        <is>
          <t>Abra|Lagangilang</t>
        </is>
      </c>
      <c r="B11" t="inlineStr">
        <is>
          <t>2802</t>
        </is>
      </c>
    </row>
    <row r="12">
      <c r="A12" t="inlineStr">
        <is>
          <t>Abra|Lagayan</t>
        </is>
      </c>
      <c r="B12" t="inlineStr">
        <is>
          <t>2824</t>
        </is>
      </c>
    </row>
    <row r="13">
      <c r="A13" t="inlineStr">
        <is>
          <t>Abra|Langiden</t>
        </is>
      </c>
      <c r="B13" t="inlineStr">
        <is>
          <t>2807</t>
        </is>
      </c>
    </row>
    <row r="14">
      <c r="A14" t="inlineStr">
        <is>
          <t>Abra|Licuan-Baay</t>
        </is>
      </c>
      <c r="B14" t="inlineStr">
        <is>
          <t>2819</t>
        </is>
      </c>
    </row>
    <row r="15">
      <c r="A15" t="inlineStr">
        <is>
          <t>Abra|Luba</t>
        </is>
      </c>
      <c r="B15" t="inlineStr">
        <is>
          <t>2813</t>
        </is>
      </c>
    </row>
    <row r="16">
      <c r="A16" t="inlineStr">
        <is>
          <t>Abra|Malibcong</t>
        </is>
      </c>
      <c r="B16" t="inlineStr">
        <is>
          <t>2820</t>
        </is>
      </c>
    </row>
    <row r="17">
      <c r="A17" t="inlineStr">
        <is>
          <t>Abra|Manabo</t>
        </is>
      </c>
      <c r="B17" t="inlineStr">
        <is>
          <t>2810</t>
        </is>
      </c>
    </row>
    <row r="18">
      <c r="A18" t="inlineStr">
        <is>
          <t>Abra|Peñarrubia</t>
        </is>
      </c>
      <c r="B18" t="inlineStr">
        <is>
          <t>2804</t>
        </is>
      </c>
    </row>
    <row r="19">
      <c r="A19" t="inlineStr">
        <is>
          <t>Abra|Pidigan</t>
        </is>
      </c>
      <c r="B19" t="inlineStr">
        <is>
          <t>2806</t>
        </is>
      </c>
    </row>
    <row r="20">
      <c r="A20" t="inlineStr">
        <is>
          <t>Abra|Pilar</t>
        </is>
      </c>
      <c r="B20" t="inlineStr">
        <is>
          <t>2812</t>
        </is>
      </c>
    </row>
    <row r="21">
      <c r="A21" t="inlineStr">
        <is>
          <t>Abra|Sallapadan</t>
        </is>
      </c>
      <c r="B21" t="inlineStr">
        <is>
          <t>2818</t>
        </is>
      </c>
    </row>
    <row r="22">
      <c r="A22" t="inlineStr">
        <is>
          <t>Abra|San Isidro</t>
        </is>
      </c>
      <c r="B22" t="inlineStr">
        <is>
          <t>2809</t>
        </is>
      </c>
    </row>
    <row r="23">
      <c r="A23" t="inlineStr">
        <is>
          <t>Abra|San Juan</t>
        </is>
      </c>
      <c r="B23" t="inlineStr">
        <is>
          <t>2823</t>
        </is>
      </c>
    </row>
    <row r="24">
      <c r="A24" t="inlineStr">
        <is>
          <t>Abra|San Quintin</t>
        </is>
      </c>
      <c r="B24" t="inlineStr">
        <is>
          <t>2808</t>
        </is>
      </c>
    </row>
    <row r="25">
      <c r="A25" t="inlineStr">
        <is>
          <t>Abra|Tayum</t>
        </is>
      </c>
      <c r="B25" t="inlineStr">
        <is>
          <t>2803</t>
        </is>
      </c>
    </row>
    <row r="26">
      <c r="A26" t="inlineStr">
        <is>
          <t>Abra|Tineg</t>
        </is>
      </c>
      <c r="B26" t="inlineStr">
        <is>
          <t>2822</t>
        </is>
      </c>
    </row>
    <row r="27">
      <c r="A27" t="inlineStr">
        <is>
          <t>Abra|Tubo</t>
        </is>
      </c>
      <c r="B27" t="inlineStr">
        <is>
          <t>2814</t>
        </is>
      </c>
    </row>
    <row r="28">
      <c r="A28" t="inlineStr">
        <is>
          <t>Abra|Villaviciosa</t>
        </is>
      </c>
      <c r="B28" t="inlineStr">
        <is>
          <t>2811</t>
        </is>
      </c>
    </row>
    <row r="29">
      <c r="A29" t="inlineStr">
        <is>
          <t>Agusan del Norte|Buenavista</t>
        </is>
      </c>
      <c r="B29" t="inlineStr">
        <is>
          <t>8601</t>
        </is>
      </c>
    </row>
    <row r="30">
      <c r="A30" t="inlineStr">
        <is>
          <t>Agusan del Norte|Carmen</t>
        </is>
      </c>
      <c r="B30" t="inlineStr">
        <is>
          <t>8603</t>
        </is>
      </c>
    </row>
    <row r="31">
      <c r="A31" t="inlineStr">
        <is>
          <t>Agusan del Norte|City of Cabadbaran</t>
        </is>
      </c>
      <c r="B31" t="inlineStr">
        <is>
          <t>8605</t>
        </is>
      </c>
    </row>
    <row r="32">
      <c r="A32" t="inlineStr">
        <is>
          <t>Agusan del Norte|Jabonga</t>
        </is>
      </c>
      <c r="B32" t="inlineStr">
        <is>
          <t>8607</t>
        </is>
      </c>
    </row>
    <row r="33">
      <c r="A33" t="inlineStr">
        <is>
          <t>Agusan del Norte|Kitcharao</t>
        </is>
      </c>
      <c r="B33" t="inlineStr">
        <is>
          <t>8609</t>
        </is>
      </c>
    </row>
    <row r="34">
      <c r="A34" t="inlineStr">
        <is>
          <t>Agusan del Norte|Las Nieves</t>
        </is>
      </c>
      <c r="B34" t="inlineStr">
        <is>
          <t>8610</t>
        </is>
      </c>
    </row>
    <row r="35">
      <c r="A35" t="inlineStr">
        <is>
          <t>Agusan del Norte|Magallanes</t>
        </is>
      </c>
      <c r="B35" t="inlineStr">
        <is>
          <t>8604</t>
        </is>
      </c>
    </row>
    <row r="36">
      <c r="A36" t="inlineStr">
        <is>
          <t>Agusan del Norte|Nasipit</t>
        </is>
      </c>
      <c r="B36" t="inlineStr">
        <is>
          <t>8602</t>
        </is>
      </c>
    </row>
    <row r="37">
      <c r="A37" t="inlineStr">
        <is>
          <t>Agusan del Norte|Remedios T. Romualdez</t>
        </is>
      </c>
      <c r="B37" t="inlineStr">
        <is>
          <t>8611</t>
        </is>
      </c>
    </row>
    <row r="38">
      <c r="A38" t="inlineStr">
        <is>
          <t>Agusan del Norte|Santiago</t>
        </is>
      </c>
      <c r="B38" t="inlineStr">
        <is>
          <t>8608</t>
        </is>
      </c>
    </row>
    <row r="39">
      <c r="A39" t="inlineStr">
        <is>
          <t>Agusan del Norte|Tubay</t>
        </is>
      </c>
      <c r="B39" t="inlineStr">
        <is>
          <t>8606</t>
        </is>
      </c>
    </row>
    <row r="40">
      <c r="A40" t="inlineStr">
        <is>
          <t>Agusan del Sur|Bunawan</t>
        </is>
      </c>
      <c r="B40" t="inlineStr">
        <is>
          <t>8506</t>
        </is>
      </c>
    </row>
    <row r="41">
      <c r="A41" t="inlineStr">
        <is>
          <t>Agusan del Sur|City of Bayugan</t>
        </is>
      </c>
      <c r="B41" t="inlineStr">
        <is>
          <t>8502</t>
        </is>
      </c>
    </row>
    <row r="42">
      <c r="A42" t="inlineStr">
        <is>
          <t>Agusan del Sur|Esperanza</t>
        </is>
      </c>
      <c r="B42" t="inlineStr">
        <is>
          <t>8513</t>
        </is>
      </c>
    </row>
    <row r="43">
      <c r="A43" t="inlineStr">
        <is>
          <t>Agusan del Sur|La Paz</t>
        </is>
      </c>
      <c r="B43" t="inlineStr">
        <is>
          <t>8508</t>
        </is>
      </c>
    </row>
    <row r="44">
      <c r="A44" t="inlineStr">
        <is>
          <t>Agusan del Sur|Loreto</t>
        </is>
      </c>
      <c r="B44" t="inlineStr">
        <is>
          <t>8507</t>
        </is>
      </c>
    </row>
    <row r="45">
      <c r="A45" t="inlineStr">
        <is>
          <t>Agusan del Sur|Prosperidad</t>
        </is>
      </c>
      <c r="B45" t="inlineStr">
        <is>
          <t>8500</t>
        </is>
      </c>
    </row>
    <row r="46">
      <c r="A46" t="inlineStr">
        <is>
          <t>Agusan del Sur|Rosario</t>
        </is>
      </c>
      <c r="B46" t="inlineStr">
        <is>
          <t>8504</t>
        </is>
      </c>
    </row>
    <row r="47">
      <c r="A47" t="inlineStr">
        <is>
          <t>Agusan del Sur|San Francisco</t>
        </is>
      </c>
      <c r="B47" t="inlineStr">
        <is>
          <t>8501</t>
        </is>
      </c>
    </row>
    <row r="48">
      <c r="A48" t="inlineStr">
        <is>
          <t>Agusan del Sur|San Luis</t>
        </is>
      </c>
      <c r="B48" t="inlineStr">
        <is>
          <t>8511</t>
        </is>
      </c>
    </row>
    <row r="49">
      <c r="A49" t="inlineStr">
        <is>
          <t>Agusan del Sur|Santa Josefa</t>
        </is>
      </c>
      <c r="B49" t="inlineStr">
        <is>
          <t>8512</t>
        </is>
      </c>
    </row>
    <row r="50">
      <c r="A50" t="inlineStr">
        <is>
          <t>Agusan del Sur|Sibagat</t>
        </is>
      </c>
      <c r="B50" t="inlineStr">
        <is>
          <t>8503</t>
        </is>
      </c>
    </row>
    <row r="51">
      <c r="A51" t="inlineStr">
        <is>
          <t>Agusan del Sur|Talacogon</t>
        </is>
      </c>
      <c r="B51" t="inlineStr">
        <is>
          <t>8510</t>
        </is>
      </c>
    </row>
    <row r="52">
      <c r="A52" t="inlineStr">
        <is>
          <t>Agusan del Sur|Trento</t>
        </is>
      </c>
      <c r="B52" t="inlineStr">
        <is>
          <t>8505</t>
        </is>
      </c>
    </row>
    <row r="53">
      <c r="A53" t="inlineStr">
        <is>
          <t>Agusan del Sur|Veruela</t>
        </is>
      </c>
      <c r="B53" t="inlineStr">
        <is>
          <t>8509</t>
        </is>
      </c>
    </row>
    <row r="54">
      <c r="A54" t="inlineStr">
        <is>
          <t>Aklan|Altavas</t>
        </is>
      </c>
      <c r="B54" t="inlineStr">
        <is>
          <t>5616</t>
        </is>
      </c>
    </row>
    <row r="55">
      <c r="A55" t="inlineStr">
        <is>
          <t>Aklan|Balete</t>
        </is>
      </c>
      <c r="B55" t="inlineStr">
        <is>
          <t>5614</t>
        </is>
      </c>
    </row>
    <row r="56">
      <c r="A56" t="inlineStr">
        <is>
          <t>Aklan|Banga</t>
        </is>
      </c>
      <c r="B56" t="inlineStr">
        <is>
          <t>5601</t>
        </is>
      </c>
    </row>
    <row r="57">
      <c r="A57" t="inlineStr">
        <is>
          <t>Aklan|Batan</t>
        </is>
      </c>
      <c r="B57" t="inlineStr">
        <is>
          <t>5615</t>
        </is>
      </c>
    </row>
    <row r="58">
      <c r="A58" t="inlineStr">
        <is>
          <t>Aklan|Buruanga</t>
        </is>
      </c>
      <c r="B58" t="inlineStr">
        <is>
          <t>5609</t>
        </is>
      </c>
    </row>
    <row r="59">
      <c r="A59" t="inlineStr">
        <is>
          <t>Aklan|Ibajay</t>
        </is>
      </c>
      <c r="B59" t="inlineStr">
        <is>
          <t>5613</t>
        </is>
      </c>
    </row>
    <row r="60">
      <c r="A60" t="inlineStr">
        <is>
          <t>Aklan|Kalibo</t>
        </is>
      </c>
      <c r="B60" t="inlineStr">
        <is>
          <t>5600</t>
        </is>
      </c>
    </row>
    <row r="61">
      <c r="A61" t="inlineStr">
        <is>
          <t>Aklan|Lezo</t>
        </is>
      </c>
      <c r="B61" t="inlineStr">
        <is>
          <t>5605</t>
        </is>
      </c>
    </row>
    <row r="62">
      <c r="A62" t="inlineStr">
        <is>
          <t>Aklan|Libacao</t>
        </is>
      </c>
      <c r="B62" t="inlineStr">
        <is>
          <t>5602</t>
        </is>
      </c>
    </row>
    <row r="63">
      <c r="A63" t="inlineStr">
        <is>
          <t>Aklan|Madalag</t>
        </is>
      </c>
      <c r="B63" t="inlineStr">
        <is>
          <t>5603</t>
        </is>
      </c>
    </row>
    <row r="64">
      <c r="A64" t="inlineStr">
        <is>
          <t>Aklan|Makato</t>
        </is>
      </c>
      <c r="B64" t="inlineStr">
        <is>
          <t>5611</t>
        </is>
      </c>
    </row>
    <row r="65">
      <c r="A65" t="inlineStr">
        <is>
          <t>Aklan|Malay</t>
        </is>
      </c>
      <c r="B65" t="inlineStr">
        <is>
          <t>5608</t>
        </is>
      </c>
    </row>
    <row r="66">
      <c r="A66" t="inlineStr">
        <is>
          <t>Aklan|Malinao</t>
        </is>
      </c>
      <c r="B66" t="inlineStr">
        <is>
          <t>5606</t>
        </is>
      </c>
    </row>
    <row r="67">
      <c r="A67" t="inlineStr">
        <is>
          <t>Aklan|Nabas</t>
        </is>
      </c>
      <c r="B67" t="inlineStr">
        <is>
          <t>5607</t>
        </is>
      </c>
    </row>
    <row r="68">
      <c r="A68" t="inlineStr">
        <is>
          <t>Aklan|New Washington</t>
        </is>
      </c>
      <c r="B68" t="inlineStr">
        <is>
          <t>5610</t>
        </is>
      </c>
    </row>
    <row r="69">
      <c r="A69" t="inlineStr">
        <is>
          <t>Aklan|Numancia</t>
        </is>
      </c>
      <c r="B69" t="inlineStr">
        <is>
          <t>5604</t>
        </is>
      </c>
    </row>
    <row r="70">
      <c r="A70" t="inlineStr">
        <is>
          <t>Aklan|Tangalan</t>
        </is>
      </c>
      <c r="B70" t="inlineStr">
        <is>
          <t>5612</t>
        </is>
      </c>
    </row>
    <row r="71">
      <c r="A71" t="inlineStr">
        <is>
          <t>Albay|Bacacay</t>
        </is>
      </c>
      <c r="B71" t="inlineStr">
        <is>
          <t>4509</t>
        </is>
      </c>
    </row>
    <row r="72">
      <c r="A72" t="inlineStr">
        <is>
          <t>Albay|Camalig</t>
        </is>
      </c>
      <c r="B72" t="inlineStr">
        <is>
          <t>4502</t>
        </is>
      </c>
    </row>
    <row r="73">
      <c r="A73" t="inlineStr">
        <is>
          <t>Albay|City of Legazpi</t>
        </is>
      </c>
      <c r="B73" t="inlineStr">
        <is>
          <t>4500</t>
        </is>
      </c>
    </row>
    <row r="74">
      <c r="A74" t="inlineStr">
        <is>
          <t>Albay|City of Ligao</t>
        </is>
      </c>
      <c r="B74" t="inlineStr">
        <is>
          <t>4504</t>
        </is>
      </c>
    </row>
    <row r="75">
      <c r="A75" t="inlineStr">
        <is>
          <t>Albay|City of Tabaco</t>
        </is>
      </c>
      <c r="B75" t="inlineStr">
        <is>
          <t>4511</t>
        </is>
      </c>
    </row>
    <row r="76">
      <c r="A76" t="inlineStr">
        <is>
          <t>Albay|Daraga</t>
        </is>
      </c>
      <c r="B76" t="inlineStr">
        <is>
          <t>4501</t>
        </is>
      </c>
    </row>
    <row r="77">
      <c r="A77" t="inlineStr">
        <is>
          <t>Albay|Guinobatan</t>
        </is>
      </c>
      <c r="B77" t="inlineStr">
        <is>
          <t>4503</t>
        </is>
      </c>
    </row>
    <row r="78">
      <c r="A78" t="inlineStr">
        <is>
          <t>Albay|Jovellar</t>
        </is>
      </c>
      <c r="B78" t="inlineStr">
        <is>
          <t>4515</t>
        </is>
      </c>
    </row>
    <row r="79">
      <c r="A79" t="inlineStr">
        <is>
          <t>Albay|Libon</t>
        </is>
      </c>
      <c r="B79" t="inlineStr">
        <is>
          <t>4507</t>
        </is>
      </c>
    </row>
    <row r="80">
      <c r="A80" t="inlineStr">
        <is>
          <t>Albay|Malilipot</t>
        </is>
      </c>
      <c r="B80" t="inlineStr">
        <is>
          <t>4510</t>
        </is>
      </c>
    </row>
    <row r="81">
      <c r="A81" t="inlineStr">
        <is>
          <t>Albay|Malinao</t>
        </is>
      </c>
      <c r="B81" t="inlineStr">
        <is>
          <t>4512</t>
        </is>
      </c>
    </row>
    <row r="82">
      <c r="A82" t="inlineStr">
        <is>
          <t>Albay|Manito</t>
        </is>
      </c>
      <c r="B82" t="inlineStr">
        <is>
          <t>4514</t>
        </is>
      </c>
    </row>
    <row r="83">
      <c r="A83" t="inlineStr">
        <is>
          <t>Albay|Oas</t>
        </is>
      </c>
      <c r="B83" t="inlineStr">
        <is>
          <t>4505</t>
        </is>
      </c>
    </row>
    <row r="84">
      <c r="A84" t="inlineStr">
        <is>
          <t>Albay|Pio Duran</t>
        </is>
      </c>
      <c r="B84" t="inlineStr">
        <is>
          <t>4516</t>
        </is>
      </c>
    </row>
    <row r="85">
      <c r="A85" t="inlineStr">
        <is>
          <t>Albay|Polangui</t>
        </is>
      </c>
      <c r="B85" t="inlineStr">
        <is>
          <t>4506</t>
        </is>
      </c>
    </row>
    <row r="86">
      <c r="A86" t="inlineStr">
        <is>
          <t>Albay|Rapu-Rapu</t>
        </is>
      </c>
      <c r="B86" t="inlineStr">
        <is>
          <t>4517</t>
        </is>
      </c>
    </row>
    <row r="87">
      <c r="A87" t="inlineStr">
        <is>
          <t>Albay|Santo Domingo</t>
        </is>
      </c>
      <c r="B87" t="inlineStr">
        <is>
          <t>4508</t>
        </is>
      </c>
    </row>
    <row r="88">
      <c r="A88" t="inlineStr">
        <is>
          <t>Albay|Tiwi</t>
        </is>
      </c>
      <c r="B88" t="inlineStr">
        <is>
          <t>4513</t>
        </is>
      </c>
    </row>
    <row r="89">
      <c r="A89" t="inlineStr">
        <is>
          <t>Antique|Anini-Y</t>
        </is>
      </c>
      <c r="B89" t="inlineStr">
        <is>
          <t>5717</t>
        </is>
      </c>
    </row>
    <row r="90">
      <c r="A90" t="inlineStr">
        <is>
          <t>Antique|Barbaza</t>
        </is>
      </c>
      <c r="B90" t="inlineStr">
        <is>
          <t>5706</t>
        </is>
      </c>
    </row>
    <row r="91">
      <c r="A91" t="inlineStr">
        <is>
          <t>Antique|Belison</t>
        </is>
      </c>
      <c r="B91" t="inlineStr">
        <is>
          <t>5701</t>
        </is>
      </c>
    </row>
    <row r="92">
      <c r="A92" t="inlineStr">
        <is>
          <t>Antique|Bugasong</t>
        </is>
      </c>
      <c r="B92" t="inlineStr">
        <is>
          <t>5456</t>
        </is>
      </c>
    </row>
    <row r="93">
      <c r="A93" t="inlineStr">
        <is>
          <t>Antique|Caluya</t>
        </is>
      </c>
      <c r="B93" t="inlineStr">
        <is>
          <t>5711</t>
        </is>
      </c>
    </row>
    <row r="94">
      <c r="A94" t="inlineStr">
        <is>
          <t>Antique|Culasi</t>
        </is>
      </c>
      <c r="B94" t="inlineStr">
        <is>
          <t>5708</t>
        </is>
      </c>
    </row>
    <row r="95">
      <c r="A95" t="inlineStr">
        <is>
          <t>Antique|Hamtic</t>
        </is>
      </c>
      <c r="B95" t="inlineStr">
        <is>
          <t>5715</t>
        </is>
      </c>
    </row>
    <row r="96">
      <c r="A96" t="inlineStr">
        <is>
          <t>Antique|Laua-An</t>
        </is>
      </c>
      <c r="B96" t="inlineStr">
        <is>
          <t>5705</t>
        </is>
      </c>
    </row>
    <row r="97">
      <c r="A97" t="inlineStr">
        <is>
          <t>Antique|Libertad</t>
        </is>
      </c>
      <c r="B97" t="inlineStr">
        <is>
          <t>5710</t>
        </is>
      </c>
    </row>
    <row r="98">
      <c r="A98" t="inlineStr">
        <is>
          <t>Antique|Pandan</t>
        </is>
      </c>
      <c r="B98" t="inlineStr">
        <is>
          <t>5712</t>
        </is>
      </c>
    </row>
    <row r="99">
      <c r="A99" t="inlineStr">
        <is>
          <t>Antique|Patnongon</t>
        </is>
      </c>
      <c r="B99" t="inlineStr">
        <is>
          <t>5702</t>
        </is>
      </c>
    </row>
    <row r="100">
      <c r="A100" t="inlineStr">
        <is>
          <t>Antique|San Jose</t>
        </is>
      </c>
      <c r="B100" t="inlineStr">
        <is>
          <t>5700</t>
        </is>
      </c>
    </row>
    <row r="101">
      <c r="A101" t="inlineStr">
        <is>
          <t>Antique|San Remigio</t>
        </is>
      </c>
      <c r="B101" t="inlineStr">
        <is>
          <t>5714</t>
        </is>
      </c>
    </row>
    <row r="102">
      <c r="A102" t="inlineStr">
        <is>
          <t>Antique|Sebaste</t>
        </is>
      </c>
      <c r="B102" t="inlineStr">
        <is>
          <t>5709</t>
        </is>
      </c>
    </row>
    <row r="103">
      <c r="A103" t="inlineStr">
        <is>
          <t>Antique|Sibalom</t>
        </is>
      </c>
      <c r="B103" t="inlineStr">
        <is>
          <t>5713</t>
        </is>
      </c>
    </row>
    <row r="104">
      <c r="A104" t="inlineStr">
        <is>
          <t>Antique|Tibiao</t>
        </is>
      </c>
      <c r="B104" t="inlineStr">
        <is>
          <t>5700</t>
        </is>
      </c>
    </row>
    <row r="105">
      <c r="A105" t="inlineStr">
        <is>
          <t>Antique|Tobias Fornier</t>
        </is>
      </c>
      <c r="B105" t="inlineStr">
        <is>
          <t>5716</t>
        </is>
      </c>
    </row>
    <row r="106">
      <c r="A106" t="inlineStr">
        <is>
          <t>Antique|Valderrama</t>
        </is>
      </c>
      <c r="B106" t="inlineStr">
        <is>
          <t>5703</t>
        </is>
      </c>
    </row>
    <row r="107">
      <c r="A107" t="inlineStr">
        <is>
          <t>Apayao|Calanasan</t>
        </is>
      </c>
      <c r="B107" t="inlineStr">
        <is>
          <t>3814</t>
        </is>
      </c>
    </row>
    <row r="108">
      <c r="A108" t="inlineStr">
        <is>
          <t>Apayao|Conner</t>
        </is>
      </c>
      <c r="B108" t="inlineStr">
        <is>
          <t>3807</t>
        </is>
      </c>
    </row>
    <row r="109">
      <c r="A109" t="inlineStr">
        <is>
          <t>Apayao|Flora</t>
        </is>
      </c>
      <c r="B109" t="inlineStr">
        <is>
          <t>3810</t>
        </is>
      </c>
    </row>
    <row r="110">
      <c r="A110" t="inlineStr">
        <is>
          <t>Apayao|Kabugao</t>
        </is>
      </c>
      <c r="B110" t="inlineStr">
        <is>
          <t>3809</t>
        </is>
      </c>
    </row>
    <row r="111">
      <c r="A111" t="inlineStr">
        <is>
          <t>Apayao|Luna</t>
        </is>
      </c>
      <c r="B111" t="inlineStr">
        <is>
          <t>3813</t>
        </is>
      </c>
    </row>
    <row r="112">
      <c r="A112" t="inlineStr">
        <is>
          <t>Apayao|Pudtol</t>
        </is>
      </c>
      <c r="B112" t="inlineStr">
        <is>
          <t>3812</t>
        </is>
      </c>
    </row>
    <row r="113">
      <c r="A113" t="inlineStr">
        <is>
          <t>Apayao|Santa Marcela</t>
        </is>
      </c>
      <c r="B113" t="inlineStr">
        <is>
          <t>3811</t>
        </is>
      </c>
    </row>
    <row r="114">
      <c r="A114" t="inlineStr">
        <is>
          <t>Aurora|Baler</t>
        </is>
      </c>
      <c r="B114" t="inlineStr">
        <is>
          <t>3200</t>
        </is>
      </c>
    </row>
    <row r="115">
      <c r="A115" t="inlineStr">
        <is>
          <t>Aurora|Casiguran</t>
        </is>
      </c>
      <c r="B115" t="inlineStr">
        <is>
          <t>3204</t>
        </is>
      </c>
    </row>
    <row r="116">
      <c r="A116" t="inlineStr">
        <is>
          <t>Aurora|Dilasag</t>
        </is>
      </c>
      <c r="B116" t="inlineStr">
        <is>
          <t>3205</t>
        </is>
      </c>
    </row>
    <row r="117">
      <c r="A117" t="inlineStr">
        <is>
          <t>Aurora|Dinalungan</t>
        </is>
      </c>
      <c r="B117" t="inlineStr">
        <is>
          <t>3206</t>
        </is>
      </c>
    </row>
    <row r="118">
      <c r="A118" t="inlineStr">
        <is>
          <t>Aurora|Dingalan</t>
        </is>
      </c>
      <c r="B118" t="inlineStr">
        <is>
          <t>3207</t>
        </is>
      </c>
    </row>
    <row r="119">
      <c r="A119" t="inlineStr">
        <is>
          <t>Aurora|Dipaculao</t>
        </is>
      </c>
      <c r="B119" t="inlineStr">
        <is>
          <t>3203</t>
        </is>
      </c>
    </row>
    <row r="120">
      <c r="A120" t="inlineStr">
        <is>
          <t>Aurora|Maria Aurora</t>
        </is>
      </c>
      <c r="B120" t="inlineStr">
        <is>
          <t>3202</t>
        </is>
      </c>
    </row>
    <row r="121">
      <c r="A121" t="inlineStr">
        <is>
          <t>Aurora|San Luis</t>
        </is>
      </c>
      <c r="B121" t="inlineStr">
        <is>
          <t>3201</t>
        </is>
      </c>
    </row>
    <row r="122">
      <c r="A122" t="inlineStr">
        <is>
          <t>Basilan|Akbar</t>
        </is>
      </c>
      <c r="B122"/>
    </row>
    <row r="123">
      <c r="A123" t="inlineStr">
        <is>
          <t>Basilan|Al-Barka</t>
        </is>
      </c>
      <c r="B123"/>
    </row>
    <row r="124">
      <c r="A124" t="inlineStr">
        <is>
          <t>Basilan|City of Lamitan</t>
        </is>
      </c>
      <c r="B124" t="inlineStr">
        <is>
          <t>7302</t>
        </is>
      </c>
    </row>
    <row r="125">
      <c r="A125" t="inlineStr">
        <is>
          <t>Basilan|Hadji Mohammad Ajul</t>
        </is>
      </c>
      <c r="B125"/>
    </row>
    <row r="126">
      <c r="A126" t="inlineStr">
        <is>
          <t>Basilan|Hadji Muhtamad</t>
        </is>
      </c>
      <c r="B126"/>
    </row>
    <row r="127">
      <c r="A127" t="inlineStr">
        <is>
          <t>Basilan|Lantawan</t>
        </is>
      </c>
      <c r="B127" t="inlineStr">
        <is>
          <t>7301</t>
        </is>
      </c>
    </row>
    <row r="128">
      <c r="A128" t="inlineStr">
        <is>
          <t>Basilan|Maluso</t>
        </is>
      </c>
      <c r="B128" t="inlineStr">
        <is>
          <t>7303</t>
        </is>
      </c>
    </row>
    <row r="129">
      <c r="A129" t="inlineStr">
        <is>
          <t>Basilan|Sumisip</t>
        </is>
      </c>
      <c r="B129" t="inlineStr">
        <is>
          <t>7305</t>
        </is>
      </c>
    </row>
    <row r="130">
      <c r="A130" t="inlineStr">
        <is>
          <t>Basilan|Tabuan-Lasa</t>
        </is>
      </c>
      <c r="B130"/>
    </row>
    <row r="131">
      <c r="A131" t="inlineStr">
        <is>
          <t>Basilan|Tipo-Tipo</t>
        </is>
      </c>
      <c r="B131" t="inlineStr">
        <is>
          <t>7304</t>
        </is>
      </c>
    </row>
    <row r="132">
      <c r="A132" t="inlineStr">
        <is>
          <t>Basilan|Tuburan</t>
        </is>
      </c>
      <c r="B132" t="inlineStr">
        <is>
          <t>7306</t>
        </is>
      </c>
    </row>
    <row r="133">
      <c r="A133" t="inlineStr">
        <is>
          <t>Basilan|Ungkaya Pukan</t>
        </is>
      </c>
      <c r="B133"/>
    </row>
    <row r="134">
      <c r="A134" t="inlineStr">
        <is>
          <t>Bataan|Abucay</t>
        </is>
      </c>
      <c r="B134" t="inlineStr">
        <is>
          <t>2114</t>
        </is>
      </c>
    </row>
    <row r="135">
      <c r="A135" t="inlineStr">
        <is>
          <t>Bataan|Bagac</t>
        </is>
      </c>
      <c r="B135" t="inlineStr">
        <is>
          <t>2107</t>
        </is>
      </c>
    </row>
    <row r="136">
      <c r="A136" t="inlineStr">
        <is>
          <t>Bataan|City of Balanga</t>
        </is>
      </c>
      <c r="B136" t="inlineStr">
        <is>
          <t>2100</t>
        </is>
      </c>
    </row>
    <row r="137">
      <c r="A137" t="inlineStr">
        <is>
          <t>Bataan|Dinalupihan</t>
        </is>
      </c>
      <c r="B137" t="inlineStr">
        <is>
          <t>2110</t>
        </is>
      </c>
    </row>
    <row r="138">
      <c r="A138" t="inlineStr">
        <is>
          <t>Bataan|Hermosa</t>
        </is>
      </c>
      <c r="B138" t="inlineStr">
        <is>
          <t>2111</t>
        </is>
      </c>
    </row>
    <row r="139">
      <c r="A139" t="inlineStr">
        <is>
          <t>Bataan|Limay</t>
        </is>
      </c>
      <c r="B139" t="inlineStr">
        <is>
          <t>2103</t>
        </is>
      </c>
    </row>
    <row r="140">
      <c r="A140" t="inlineStr">
        <is>
          <t>Bataan|Mariveles</t>
        </is>
      </c>
      <c r="B140" t="inlineStr">
        <is>
          <t>2105</t>
        </is>
      </c>
    </row>
    <row r="141">
      <c r="A141" t="inlineStr">
        <is>
          <t>Bataan|Morong</t>
        </is>
      </c>
      <c r="B141" t="inlineStr">
        <is>
          <t>2108</t>
        </is>
      </c>
    </row>
    <row r="142">
      <c r="A142" t="inlineStr">
        <is>
          <t>Bataan|Orani</t>
        </is>
      </c>
      <c r="B142" t="inlineStr">
        <is>
          <t>2112</t>
        </is>
      </c>
    </row>
    <row r="143">
      <c r="A143" t="inlineStr">
        <is>
          <t>Bataan|Orion</t>
        </is>
      </c>
      <c r="B143" t="inlineStr">
        <is>
          <t>2102</t>
        </is>
      </c>
    </row>
    <row r="144">
      <c r="A144" t="inlineStr">
        <is>
          <t>Bataan|Pilar</t>
        </is>
      </c>
      <c r="B144" t="inlineStr">
        <is>
          <t>2101</t>
        </is>
      </c>
    </row>
    <row r="145">
      <c r="A145" t="inlineStr">
        <is>
          <t>Bataan|Samal</t>
        </is>
      </c>
      <c r="B145" t="inlineStr">
        <is>
          <t>2113</t>
        </is>
      </c>
    </row>
    <row r="146">
      <c r="A146" t="inlineStr">
        <is>
          <t>Batanes|Basco</t>
        </is>
      </c>
      <c r="B146" t="inlineStr">
        <is>
          <t>3900</t>
        </is>
      </c>
    </row>
    <row r="147">
      <c r="A147" t="inlineStr">
        <is>
          <t>Batanes|Itbayat</t>
        </is>
      </c>
      <c r="B147" t="inlineStr">
        <is>
          <t>3905</t>
        </is>
      </c>
    </row>
    <row r="148">
      <c r="A148" t="inlineStr">
        <is>
          <t>Batanes|Ivana</t>
        </is>
      </c>
      <c r="B148" t="inlineStr">
        <is>
          <t>3902</t>
        </is>
      </c>
    </row>
    <row r="149">
      <c r="A149" t="inlineStr">
        <is>
          <t>Batanes|Mahatao</t>
        </is>
      </c>
      <c r="B149" t="inlineStr">
        <is>
          <t>3901</t>
        </is>
      </c>
    </row>
    <row r="150">
      <c r="A150" t="inlineStr">
        <is>
          <t>Batanes|Sabtang</t>
        </is>
      </c>
      <c r="B150" t="inlineStr">
        <is>
          <t>3904</t>
        </is>
      </c>
    </row>
    <row r="151">
      <c r="A151" t="inlineStr">
        <is>
          <t>Batanes|Uyugan</t>
        </is>
      </c>
      <c r="B151" t="inlineStr">
        <is>
          <t>3903</t>
        </is>
      </c>
    </row>
    <row r="152">
      <c r="A152" t="inlineStr">
        <is>
          <t>Batangas|Agoncillo</t>
        </is>
      </c>
      <c r="B152" t="inlineStr">
        <is>
          <t>4211</t>
        </is>
      </c>
    </row>
    <row r="153">
      <c r="A153" t="inlineStr">
        <is>
          <t>Batangas|Alitagtag</t>
        </is>
      </c>
      <c r="B153" t="inlineStr">
        <is>
          <t>4205</t>
        </is>
      </c>
    </row>
    <row r="154">
      <c r="A154" t="inlineStr">
        <is>
          <t>Batangas|Balayan</t>
        </is>
      </c>
      <c r="B154" t="inlineStr">
        <is>
          <t>4213</t>
        </is>
      </c>
    </row>
    <row r="155">
      <c r="A155" t="inlineStr">
        <is>
          <t>Batangas|Balete</t>
        </is>
      </c>
      <c r="B155" t="inlineStr">
        <is>
          <t>4219</t>
        </is>
      </c>
    </row>
    <row r="156">
      <c r="A156" t="inlineStr">
        <is>
          <t>Batangas|Batangas City</t>
        </is>
      </c>
      <c r="B156" t="inlineStr">
        <is>
          <t>4200</t>
        </is>
      </c>
    </row>
    <row r="157">
      <c r="A157" t="inlineStr">
        <is>
          <t>Batangas|Bauan</t>
        </is>
      </c>
      <c r="B157" t="inlineStr">
        <is>
          <t>4201</t>
        </is>
      </c>
    </row>
    <row r="158">
      <c r="A158" t="inlineStr">
        <is>
          <t>Batangas|Calatagan</t>
        </is>
      </c>
      <c r="B158" t="inlineStr">
        <is>
          <t>4215</t>
        </is>
      </c>
    </row>
    <row r="159">
      <c r="A159" t="inlineStr">
        <is>
          <t>Batangas|City of Calaca</t>
        </is>
      </c>
      <c r="B159" t="inlineStr">
        <is>
          <t>4212</t>
        </is>
      </c>
    </row>
    <row r="160">
      <c r="A160" t="inlineStr">
        <is>
          <t>Batangas|City of Lipa</t>
        </is>
      </c>
      <c r="B160" t="inlineStr">
        <is>
          <t>4217</t>
        </is>
      </c>
    </row>
    <row r="161">
      <c r="A161" t="inlineStr">
        <is>
          <t>Batangas|City of Sto. Tomas</t>
        </is>
      </c>
      <c r="B161" t="inlineStr">
        <is>
          <t>4234</t>
        </is>
      </c>
    </row>
    <row r="162">
      <c r="A162" t="inlineStr">
        <is>
          <t>Batangas|City of Tanauan</t>
        </is>
      </c>
      <c r="B162" t="inlineStr">
        <is>
          <t>4232</t>
        </is>
      </c>
    </row>
    <row r="163">
      <c r="A163" t="inlineStr">
        <is>
          <t>Batangas|Cuenca</t>
        </is>
      </c>
      <c r="B163" t="inlineStr">
        <is>
          <t>4222</t>
        </is>
      </c>
    </row>
    <row r="164">
      <c r="A164" t="inlineStr">
        <is>
          <t>Batangas|Ibaan</t>
        </is>
      </c>
      <c r="B164" t="inlineStr">
        <is>
          <t>4230</t>
        </is>
      </c>
    </row>
    <row r="165">
      <c r="A165" t="inlineStr">
        <is>
          <t>Batangas|Laurel</t>
        </is>
      </c>
      <c r="B165" t="inlineStr">
        <is>
          <t>4221</t>
        </is>
      </c>
    </row>
    <row r="166">
      <c r="A166" t="inlineStr">
        <is>
          <t>Batangas|Lemery</t>
        </is>
      </c>
      <c r="B166" t="inlineStr">
        <is>
          <t>4209</t>
        </is>
      </c>
    </row>
    <row r="167">
      <c r="A167" t="inlineStr">
        <is>
          <t>Batangas|Lian</t>
        </is>
      </c>
      <c r="B167" t="inlineStr">
        <is>
          <t>4216</t>
        </is>
      </c>
    </row>
    <row r="168">
      <c r="A168" t="inlineStr">
        <is>
          <t>Batangas|Lobo</t>
        </is>
      </c>
      <c r="B168" t="inlineStr">
        <is>
          <t>4229</t>
        </is>
      </c>
    </row>
    <row r="169">
      <c r="A169" t="inlineStr">
        <is>
          <t>Batangas|Mabini</t>
        </is>
      </c>
      <c r="B169" t="inlineStr">
        <is>
          <t>4202</t>
        </is>
      </c>
    </row>
    <row r="170">
      <c r="A170" t="inlineStr">
        <is>
          <t>Batangas|Malvar</t>
        </is>
      </c>
      <c r="B170" t="inlineStr">
        <is>
          <t>4233</t>
        </is>
      </c>
    </row>
    <row r="171">
      <c r="A171" t="inlineStr">
        <is>
          <t>Batangas|Mataasnakahoy</t>
        </is>
      </c>
      <c r="B171" t="inlineStr">
        <is>
          <t>4223</t>
        </is>
      </c>
    </row>
    <row r="172">
      <c r="A172" t="inlineStr">
        <is>
          <t>Batangas|Nasugbu</t>
        </is>
      </c>
      <c r="B172" t="inlineStr">
        <is>
          <t>4231</t>
        </is>
      </c>
    </row>
    <row r="173">
      <c r="A173" t="inlineStr">
        <is>
          <t>Batangas|Padre Garcia</t>
        </is>
      </c>
      <c r="B173" t="inlineStr">
        <is>
          <t>4224</t>
        </is>
      </c>
    </row>
    <row r="174">
      <c r="A174" t="inlineStr">
        <is>
          <t>Batangas|Rosario</t>
        </is>
      </c>
      <c r="B174" t="inlineStr">
        <is>
          <t>4225</t>
        </is>
      </c>
    </row>
    <row r="175">
      <c r="A175" t="inlineStr">
        <is>
          <t>Batangas|San Jose</t>
        </is>
      </c>
      <c r="B175" t="inlineStr">
        <is>
          <t>4227</t>
        </is>
      </c>
    </row>
    <row r="176">
      <c r="A176" t="inlineStr">
        <is>
          <t>Batangas|San Juan</t>
        </is>
      </c>
      <c r="B176" t="inlineStr">
        <is>
          <t>4226</t>
        </is>
      </c>
    </row>
    <row r="177">
      <c r="A177" t="inlineStr">
        <is>
          <t>Batangas|San Luis</t>
        </is>
      </c>
      <c r="B177" t="inlineStr">
        <is>
          <t>4210</t>
        </is>
      </c>
    </row>
    <row r="178">
      <c r="A178" t="inlineStr">
        <is>
          <t>Batangas|San Nicolas</t>
        </is>
      </c>
      <c r="B178" t="inlineStr">
        <is>
          <t>4207</t>
        </is>
      </c>
    </row>
    <row r="179">
      <c r="A179" t="inlineStr">
        <is>
          <t>Batangas|San Pascual</t>
        </is>
      </c>
      <c r="B179" t="inlineStr">
        <is>
          <t>4204</t>
        </is>
      </c>
    </row>
    <row r="180">
      <c r="A180" t="inlineStr">
        <is>
          <t>Batangas|Santa Teresita</t>
        </is>
      </c>
      <c r="B180" t="inlineStr">
        <is>
          <t>4206</t>
        </is>
      </c>
    </row>
    <row r="181">
      <c r="A181" t="inlineStr">
        <is>
          <t>Batangas|Taal</t>
        </is>
      </c>
      <c r="B181" t="inlineStr">
        <is>
          <t>4208</t>
        </is>
      </c>
    </row>
    <row r="182">
      <c r="A182" t="inlineStr">
        <is>
          <t>Batangas|Talisay</t>
        </is>
      </c>
      <c r="B182" t="inlineStr">
        <is>
          <t>4220</t>
        </is>
      </c>
    </row>
    <row r="183">
      <c r="A183" t="inlineStr">
        <is>
          <t>Batangas|Taysan</t>
        </is>
      </c>
      <c r="B183" t="inlineStr">
        <is>
          <t>4228</t>
        </is>
      </c>
    </row>
    <row r="184">
      <c r="A184" t="inlineStr">
        <is>
          <t>Batangas|Tingloy</t>
        </is>
      </c>
      <c r="B184" t="inlineStr">
        <is>
          <t>4203</t>
        </is>
      </c>
    </row>
    <row r="185">
      <c r="A185" t="inlineStr">
        <is>
          <t>Batangas|Tuy</t>
        </is>
      </c>
      <c r="B185" t="inlineStr">
        <is>
          <t>4214</t>
        </is>
      </c>
    </row>
    <row r="186">
      <c r="A186" t="inlineStr">
        <is>
          <t>Benguet|Atok</t>
        </is>
      </c>
      <c r="B186" t="inlineStr">
        <is>
          <t>2612</t>
        </is>
      </c>
    </row>
    <row r="187">
      <c r="A187" t="inlineStr">
        <is>
          <t>Benguet|Bakun</t>
        </is>
      </c>
      <c r="B187" t="inlineStr">
        <is>
          <t>2610</t>
        </is>
      </c>
    </row>
    <row r="188">
      <c r="A188" t="inlineStr">
        <is>
          <t>Benguet|Bokod</t>
        </is>
      </c>
      <c r="B188" t="inlineStr">
        <is>
          <t>2605</t>
        </is>
      </c>
    </row>
    <row r="189">
      <c r="A189" t="inlineStr">
        <is>
          <t>Benguet|Buguias</t>
        </is>
      </c>
      <c r="B189" t="inlineStr">
        <is>
          <t>2607</t>
        </is>
      </c>
    </row>
    <row r="190">
      <c r="A190" t="inlineStr">
        <is>
          <t>Benguet|Itogon</t>
        </is>
      </c>
      <c r="B190" t="inlineStr">
        <is>
          <t>2604</t>
        </is>
      </c>
    </row>
    <row r="191">
      <c r="A191" t="inlineStr">
        <is>
          <t>Benguet|Kabayan</t>
        </is>
      </c>
      <c r="B191" t="inlineStr">
        <is>
          <t>2606</t>
        </is>
      </c>
    </row>
    <row r="192">
      <c r="A192" t="inlineStr">
        <is>
          <t>Benguet|Kapangan</t>
        </is>
      </c>
      <c r="B192" t="inlineStr">
        <is>
          <t>2613</t>
        </is>
      </c>
    </row>
    <row r="193">
      <c r="A193" t="inlineStr">
        <is>
          <t>Benguet|Kibungan</t>
        </is>
      </c>
      <c r="B193" t="inlineStr">
        <is>
          <t>2611</t>
        </is>
      </c>
    </row>
    <row r="194">
      <c r="A194" t="inlineStr">
        <is>
          <t>Benguet|La Trinidad</t>
        </is>
      </c>
      <c r="B194" t="inlineStr">
        <is>
          <t>2601</t>
        </is>
      </c>
    </row>
    <row r="195">
      <c r="A195" t="inlineStr">
        <is>
          <t>Benguet|Mankayan</t>
        </is>
      </c>
      <c r="B195" t="inlineStr">
        <is>
          <t>2608</t>
        </is>
      </c>
    </row>
    <row r="196">
      <c r="A196" t="inlineStr">
        <is>
          <t>Benguet|Sablan</t>
        </is>
      </c>
      <c r="B196" t="inlineStr">
        <is>
          <t>2614</t>
        </is>
      </c>
    </row>
    <row r="197">
      <c r="A197" t="inlineStr">
        <is>
          <t>Benguet|Tuba</t>
        </is>
      </c>
      <c r="B197" t="inlineStr">
        <is>
          <t>2603</t>
        </is>
      </c>
    </row>
    <row r="198">
      <c r="A198" t="inlineStr">
        <is>
          <t>Benguet|Tublay</t>
        </is>
      </c>
      <c r="B198" t="inlineStr">
        <is>
          <t>2615</t>
        </is>
      </c>
    </row>
    <row r="199">
      <c r="A199" t="inlineStr">
        <is>
          <t>Biliran|Almeria</t>
        </is>
      </c>
      <c r="B199" t="inlineStr">
        <is>
          <t>6544</t>
        </is>
      </c>
    </row>
    <row r="200">
      <c r="A200" t="inlineStr">
        <is>
          <t>Biliran|Biliran</t>
        </is>
      </c>
      <c r="B200" t="inlineStr">
        <is>
          <t>6549</t>
        </is>
      </c>
    </row>
    <row r="201">
      <c r="A201" t="inlineStr">
        <is>
          <t>Biliran|Cabucgayan</t>
        </is>
      </c>
      <c r="B201" t="inlineStr">
        <is>
          <t>6550</t>
        </is>
      </c>
    </row>
    <row r="202">
      <c r="A202" t="inlineStr">
        <is>
          <t>Biliran|Caibiran</t>
        </is>
      </c>
      <c r="B202" t="inlineStr">
        <is>
          <t>6548</t>
        </is>
      </c>
    </row>
    <row r="203">
      <c r="A203" t="inlineStr">
        <is>
          <t>Biliran|Culaba</t>
        </is>
      </c>
      <c r="B203" t="inlineStr">
        <is>
          <t>6547</t>
        </is>
      </c>
    </row>
    <row r="204">
      <c r="A204" t="inlineStr">
        <is>
          <t>Biliran|Kawayan</t>
        </is>
      </c>
      <c r="B204" t="inlineStr">
        <is>
          <t>6545</t>
        </is>
      </c>
    </row>
    <row r="205">
      <c r="A205" t="inlineStr">
        <is>
          <t>Biliran|Maripipi</t>
        </is>
      </c>
      <c r="B205" t="inlineStr">
        <is>
          <t>6546</t>
        </is>
      </c>
    </row>
    <row r="206">
      <c r="A206" t="inlineStr">
        <is>
          <t>Biliran|Naval</t>
        </is>
      </c>
      <c r="B206" t="inlineStr">
        <is>
          <t>6543</t>
        </is>
      </c>
    </row>
    <row r="207">
      <c r="A207" t="inlineStr">
        <is>
          <t>Bohol|Alburquerque</t>
        </is>
      </c>
      <c r="B207" t="inlineStr">
        <is>
          <t>6302</t>
        </is>
      </c>
    </row>
    <row r="208">
      <c r="A208" t="inlineStr">
        <is>
          <t>Bohol|Alicia</t>
        </is>
      </c>
      <c r="B208" t="inlineStr">
        <is>
          <t>6314</t>
        </is>
      </c>
    </row>
    <row r="209">
      <c r="A209" t="inlineStr">
        <is>
          <t>Bohol|Anda</t>
        </is>
      </c>
      <c r="B209" t="inlineStr">
        <is>
          <t>6311</t>
        </is>
      </c>
    </row>
    <row r="210">
      <c r="A210" t="inlineStr">
        <is>
          <t>Bohol|Antequera</t>
        </is>
      </c>
      <c r="B210" t="inlineStr">
        <is>
          <t>6335</t>
        </is>
      </c>
    </row>
    <row r="211">
      <c r="A211" t="inlineStr">
        <is>
          <t>Bohol|Baclayon</t>
        </is>
      </c>
      <c r="B211" t="inlineStr">
        <is>
          <t>6301</t>
        </is>
      </c>
    </row>
    <row r="212">
      <c r="A212" t="inlineStr">
        <is>
          <t>Bohol|Balilihan</t>
        </is>
      </c>
      <c r="B212" t="inlineStr">
        <is>
          <t>6342</t>
        </is>
      </c>
    </row>
    <row r="213">
      <c r="A213" t="inlineStr">
        <is>
          <t>Bohol|Batuan</t>
        </is>
      </c>
      <c r="B213" t="inlineStr">
        <is>
          <t>6318</t>
        </is>
      </c>
    </row>
    <row r="214">
      <c r="A214" t="inlineStr">
        <is>
          <t>Bohol|Bien Unido</t>
        </is>
      </c>
      <c r="B214" t="inlineStr">
        <is>
          <t>6326</t>
        </is>
      </c>
    </row>
    <row r="215">
      <c r="A215" t="inlineStr">
        <is>
          <t>Bohol|Bilar</t>
        </is>
      </c>
      <c r="B215" t="inlineStr">
        <is>
          <t>6317</t>
        </is>
      </c>
    </row>
    <row r="216">
      <c r="A216" t="inlineStr">
        <is>
          <t>Bohol|Buenavista</t>
        </is>
      </c>
      <c r="B216" t="inlineStr">
        <is>
          <t>6333</t>
        </is>
      </c>
    </row>
    <row r="217">
      <c r="A217" t="inlineStr">
        <is>
          <t>Bohol|Calape</t>
        </is>
      </c>
      <c r="B217" t="inlineStr">
        <is>
          <t>6328</t>
        </is>
      </c>
    </row>
    <row r="218">
      <c r="A218" t="inlineStr">
        <is>
          <t>Bohol|Candijay</t>
        </is>
      </c>
      <c r="B218" t="inlineStr">
        <is>
          <t>6312</t>
        </is>
      </c>
    </row>
    <row r="219">
      <c r="A219" t="inlineStr">
        <is>
          <t>Bohol|Carmen</t>
        </is>
      </c>
      <c r="B219" t="inlineStr">
        <is>
          <t>6319</t>
        </is>
      </c>
    </row>
    <row r="220">
      <c r="A220" t="inlineStr">
        <is>
          <t>Bohol|Catigbian</t>
        </is>
      </c>
      <c r="B220" t="inlineStr">
        <is>
          <t>6343</t>
        </is>
      </c>
    </row>
    <row r="221">
      <c r="A221" t="inlineStr">
        <is>
          <t>Bohol|City of Tagbilaran</t>
        </is>
      </c>
      <c r="B221" t="inlineStr">
        <is>
          <t>6300</t>
        </is>
      </c>
    </row>
    <row r="222">
      <c r="A222" t="inlineStr">
        <is>
          <t>Bohol|Clarin</t>
        </is>
      </c>
      <c r="B222" t="inlineStr">
        <is>
          <t>6330</t>
        </is>
      </c>
    </row>
    <row r="223">
      <c r="A223" t="inlineStr">
        <is>
          <t>Bohol|Corella</t>
        </is>
      </c>
      <c r="B223" t="inlineStr">
        <is>
          <t>6337</t>
        </is>
      </c>
    </row>
    <row r="224">
      <c r="A224" t="inlineStr">
        <is>
          <t>Bohol|Cortes</t>
        </is>
      </c>
      <c r="B224" t="inlineStr">
        <is>
          <t>6341</t>
        </is>
      </c>
    </row>
    <row r="225">
      <c r="A225" t="inlineStr">
        <is>
          <t>Bohol|Dagohoy</t>
        </is>
      </c>
      <c r="B225" t="inlineStr">
        <is>
          <t>6322</t>
        </is>
      </c>
    </row>
    <row r="226">
      <c r="A226" t="inlineStr">
        <is>
          <t>Bohol|Danao</t>
        </is>
      </c>
      <c r="B226" t="inlineStr">
        <is>
          <t>6344</t>
        </is>
      </c>
    </row>
    <row r="227">
      <c r="A227" t="inlineStr">
        <is>
          <t>Bohol|Dauis</t>
        </is>
      </c>
      <c r="B227" t="inlineStr">
        <is>
          <t>6339</t>
        </is>
      </c>
    </row>
    <row r="228">
      <c r="A228" t="inlineStr">
        <is>
          <t>Bohol|Dimiao</t>
        </is>
      </c>
      <c r="B228" t="inlineStr">
        <is>
          <t>6305</t>
        </is>
      </c>
    </row>
    <row r="229">
      <c r="A229" t="inlineStr">
        <is>
          <t>Bohol|Duero</t>
        </is>
      </c>
      <c r="B229" t="inlineStr">
        <is>
          <t>6309</t>
        </is>
      </c>
    </row>
    <row r="230">
      <c r="A230" t="inlineStr">
        <is>
          <t>Bohol|Garcia Hernandez</t>
        </is>
      </c>
      <c r="B230" t="inlineStr">
        <is>
          <t>6307</t>
        </is>
      </c>
    </row>
    <row r="231">
      <c r="A231" t="inlineStr">
        <is>
          <t>Bohol|Getafe</t>
        </is>
      </c>
      <c r="B231"/>
    </row>
    <row r="232">
      <c r="A232" t="inlineStr">
        <is>
          <t>Bohol|Guindulman</t>
        </is>
      </c>
      <c r="B232" t="inlineStr">
        <is>
          <t>6310</t>
        </is>
      </c>
    </row>
    <row r="233">
      <c r="A233" t="inlineStr">
        <is>
          <t>Bohol|Inabanga</t>
        </is>
      </c>
      <c r="B233" t="inlineStr">
        <is>
          <t>6332</t>
        </is>
      </c>
    </row>
    <row r="234">
      <c r="A234" t="inlineStr">
        <is>
          <t>Bohol|Jagna</t>
        </is>
      </c>
      <c r="B234" t="inlineStr">
        <is>
          <t>6308</t>
        </is>
      </c>
    </row>
    <row r="235">
      <c r="A235" t="inlineStr">
        <is>
          <t>Bohol|Lila</t>
        </is>
      </c>
      <c r="B235" t="inlineStr">
        <is>
          <t>6304</t>
        </is>
      </c>
    </row>
    <row r="236">
      <c r="A236" t="inlineStr">
        <is>
          <t>Bohol|Loay</t>
        </is>
      </c>
      <c r="B236" t="inlineStr">
        <is>
          <t>6303</t>
        </is>
      </c>
    </row>
    <row r="237">
      <c r="A237" t="inlineStr">
        <is>
          <t>Bohol|Loboc</t>
        </is>
      </c>
      <c r="B237" t="inlineStr">
        <is>
          <t>6316</t>
        </is>
      </c>
    </row>
    <row r="238">
      <c r="A238" t="inlineStr">
        <is>
          <t>Bohol|Loon</t>
        </is>
      </c>
      <c r="B238" t="inlineStr">
        <is>
          <t>6327</t>
        </is>
      </c>
    </row>
    <row r="239">
      <c r="A239" t="inlineStr">
        <is>
          <t>Bohol|Mabini</t>
        </is>
      </c>
      <c r="B239" t="inlineStr">
        <is>
          <t>6313</t>
        </is>
      </c>
    </row>
    <row r="240">
      <c r="A240" t="inlineStr">
        <is>
          <t>Bohol|Maribojoc</t>
        </is>
      </c>
      <c r="B240" t="inlineStr">
        <is>
          <t>6336</t>
        </is>
      </c>
    </row>
    <row r="241">
      <c r="A241" t="inlineStr">
        <is>
          <t>Bohol|Panglao</t>
        </is>
      </c>
      <c r="B241" t="inlineStr">
        <is>
          <t>6340</t>
        </is>
      </c>
    </row>
    <row r="242">
      <c r="A242" t="inlineStr">
        <is>
          <t>Bohol|Pilar</t>
        </is>
      </c>
      <c r="B242" t="inlineStr">
        <is>
          <t>6321</t>
        </is>
      </c>
    </row>
    <row r="243">
      <c r="A243" t="inlineStr">
        <is>
          <t>Bohol|President Carlos P. Garcia</t>
        </is>
      </c>
      <c r="B243"/>
    </row>
    <row r="244">
      <c r="A244" t="inlineStr">
        <is>
          <t>Bohol|Sagbayan</t>
        </is>
      </c>
      <c r="B244" t="inlineStr">
        <is>
          <t>6331</t>
        </is>
      </c>
    </row>
    <row r="245">
      <c r="A245" t="inlineStr">
        <is>
          <t>Bohol|San Isidro</t>
        </is>
      </c>
      <c r="B245" t="inlineStr">
        <is>
          <t>6345</t>
        </is>
      </c>
    </row>
    <row r="246">
      <c r="A246" t="inlineStr">
        <is>
          <t>Bohol|San Miguel</t>
        </is>
      </c>
      <c r="B246" t="inlineStr">
        <is>
          <t>6323</t>
        </is>
      </c>
    </row>
    <row r="247">
      <c r="A247" t="inlineStr">
        <is>
          <t>Bohol|Sevilla</t>
        </is>
      </c>
      <c r="B247" t="inlineStr">
        <is>
          <t>6347</t>
        </is>
      </c>
    </row>
    <row r="248">
      <c r="A248" t="inlineStr">
        <is>
          <t>Bohol|Sierra Bullones</t>
        </is>
      </c>
      <c r="B248" t="inlineStr">
        <is>
          <t>6320</t>
        </is>
      </c>
    </row>
    <row r="249">
      <c r="A249" t="inlineStr">
        <is>
          <t>Bohol|Sikatuna</t>
        </is>
      </c>
      <c r="B249" t="inlineStr">
        <is>
          <t>6338</t>
        </is>
      </c>
    </row>
    <row r="250">
      <c r="A250" t="inlineStr">
        <is>
          <t>Bohol|Talibon</t>
        </is>
      </c>
      <c r="B250" t="inlineStr">
        <is>
          <t>6325</t>
        </is>
      </c>
    </row>
    <row r="251">
      <c r="A251" t="inlineStr">
        <is>
          <t>Bohol|Trinidad</t>
        </is>
      </c>
      <c r="B251" t="inlineStr">
        <is>
          <t>6324</t>
        </is>
      </c>
    </row>
    <row r="252">
      <c r="A252" t="inlineStr">
        <is>
          <t>Bohol|Tubigon</t>
        </is>
      </c>
      <c r="B252" t="inlineStr">
        <is>
          <t>6329</t>
        </is>
      </c>
    </row>
    <row r="253">
      <c r="A253" t="inlineStr">
        <is>
          <t>Bohol|Ubay</t>
        </is>
      </c>
      <c r="B253" t="inlineStr">
        <is>
          <t>6315</t>
        </is>
      </c>
    </row>
    <row r="254">
      <c r="A254" t="inlineStr">
        <is>
          <t>Bohol|Valencia</t>
        </is>
      </c>
      <c r="B254"/>
    </row>
    <row r="255">
      <c r="A255" t="inlineStr">
        <is>
          <t>Bukidnon|Baungon</t>
        </is>
      </c>
      <c r="B255"/>
    </row>
    <row r="256">
      <c r="A256" t="inlineStr">
        <is>
          <t>Bukidnon|Cabanglasan</t>
        </is>
      </c>
      <c r="B256"/>
    </row>
    <row r="257">
      <c r="A257" t="inlineStr">
        <is>
          <t>Bukidnon|City of Malaybalay</t>
        </is>
      </c>
      <c r="B257" t="inlineStr">
        <is>
          <t>8700</t>
        </is>
      </c>
    </row>
    <row r="258">
      <c r="A258" t="inlineStr">
        <is>
          <t>Bukidnon|City of Valencia</t>
        </is>
      </c>
      <c r="B258" t="inlineStr">
        <is>
          <t>8709</t>
        </is>
      </c>
    </row>
    <row r="259">
      <c r="A259" t="inlineStr">
        <is>
          <t>Bukidnon|Damulog</t>
        </is>
      </c>
      <c r="B259"/>
    </row>
    <row r="260">
      <c r="A260" t="inlineStr">
        <is>
          <t>Bukidnon|Dangcagan</t>
        </is>
      </c>
      <c r="B260"/>
    </row>
    <row r="261">
      <c r="A261" t="inlineStr">
        <is>
          <t>Bukidnon|Don Carlos</t>
        </is>
      </c>
      <c r="B261"/>
    </row>
    <row r="262">
      <c r="A262" t="inlineStr">
        <is>
          <t>Bukidnon|Impasug-ong</t>
        </is>
      </c>
      <c r="B262"/>
    </row>
    <row r="263">
      <c r="A263" t="inlineStr">
        <is>
          <t>Bukidnon|Kadingilan</t>
        </is>
      </c>
      <c r="B263"/>
    </row>
    <row r="264">
      <c r="A264" t="inlineStr">
        <is>
          <t>Bukidnon|Kalilangan</t>
        </is>
      </c>
      <c r="B264"/>
    </row>
    <row r="265">
      <c r="A265" t="inlineStr">
        <is>
          <t>Bukidnon|Kibawe</t>
        </is>
      </c>
      <c r="B265"/>
    </row>
    <row r="266">
      <c r="A266" t="inlineStr">
        <is>
          <t>Bukidnon|Kitaotao</t>
        </is>
      </c>
      <c r="B266"/>
    </row>
    <row r="267">
      <c r="A267" t="inlineStr">
        <is>
          <t>Bukidnon|Lantapan</t>
        </is>
      </c>
      <c r="B267"/>
    </row>
    <row r="268">
      <c r="A268" t="inlineStr">
        <is>
          <t>Bukidnon|Libona</t>
        </is>
      </c>
      <c r="B268" t="inlineStr">
        <is>
          <t>8706</t>
        </is>
      </c>
    </row>
    <row r="269">
      <c r="A269" t="inlineStr">
        <is>
          <t>Bukidnon|Malitbog</t>
        </is>
      </c>
      <c r="B269" t="inlineStr">
        <is>
          <t>8704</t>
        </is>
      </c>
    </row>
    <row r="270">
      <c r="A270" t="inlineStr">
        <is>
          <t>Bukidnon|Manolo Fortich</t>
        </is>
      </c>
      <c r="B270" t="inlineStr">
        <is>
          <t>8703</t>
        </is>
      </c>
    </row>
    <row r="271">
      <c r="A271" t="inlineStr">
        <is>
          <t>Bukidnon|Maramag</t>
        </is>
      </c>
      <c r="B271" t="inlineStr">
        <is>
          <t>8714</t>
        </is>
      </c>
    </row>
    <row r="272">
      <c r="A272" t="inlineStr">
        <is>
          <t>Bukidnon|Pangantucan</t>
        </is>
      </c>
      <c r="B272" t="inlineStr">
        <is>
          <t>8717</t>
        </is>
      </c>
    </row>
    <row r="273">
      <c r="A273" t="inlineStr">
        <is>
          <t>Bukidnon|Quezon</t>
        </is>
      </c>
      <c r="B273" t="inlineStr">
        <is>
          <t>8715</t>
        </is>
      </c>
    </row>
    <row r="274">
      <c r="A274" t="inlineStr">
        <is>
          <t>Bukidnon|San Fernando</t>
        </is>
      </c>
      <c r="B274" t="inlineStr">
        <is>
          <t>8711</t>
        </is>
      </c>
    </row>
    <row r="275">
      <c r="A275" t="inlineStr">
        <is>
          <t>Bukidnon|Sumilao</t>
        </is>
      </c>
      <c r="B275" t="inlineStr">
        <is>
          <t>8701</t>
        </is>
      </c>
    </row>
    <row r="276">
      <c r="A276" t="inlineStr">
        <is>
          <t>Bukidnon|Talakag</t>
        </is>
      </c>
      <c r="B276" t="inlineStr">
        <is>
          <t>8708</t>
        </is>
      </c>
    </row>
    <row r="277">
      <c r="A277" t="inlineStr">
        <is>
          <t>Bulacan|Angat</t>
        </is>
      </c>
      <c r="B277" t="inlineStr">
        <is>
          <t>3012</t>
        </is>
      </c>
    </row>
    <row r="278">
      <c r="A278" t="inlineStr">
        <is>
          <t>Bulacan|Balagtas</t>
        </is>
      </c>
      <c r="B278" t="inlineStr">
        <is>
          <t>3016</t>
        </is>
      </c>
    </row>
    <row r="279">
      <c r="A279" t="inlineStr">
        <is>
          <t>Bulacan|Bocaue</t>
        </is>
      </c>
      <c r="B279" t="inlineStr">
        <is>
          <t>3018</t>
        </is>
      </c>
    </row>
    <row r="280">
      <c r="A280" t="inlineStr">
        <is>
          <t>Bulacan|Bulacan</t>
        </is>
      </c>
      <c r="B280" t="inlineStr">
        <is>
          <t>3017</t>
        </is>
      </c>
    </row>
    <row r="281">
      <c r="A281" t="inlineStr">
        <is>
          <t>Bulacan|Bustos</t>
        </is>
      </c>
      <c r="B281" t="inlineStr">
        <is>
          <t>3007</t>
        </is>
      </c>
    </row>
    <row r="282">
      <c r="A282" t="inlineStr">
        <is>
          <t>Bulacan|Calumpit</t>
        </is>
      </c>
      <c r="B282" t="inlineStr">
        <is>
          <t>3003</t>
        </is>
      </c>
    </row>
    <row r="283">
      <c r="A283" t="inlineStr">
        <is>
          <t>Bulacan|City of Baliwag</t>
        </is>
      </c>
      <c r="B283"/>
    </row>
    <row r="284">
      <c r="A284" t="inlineStr">
        <is>
          <t>Bulacan|City of Malolos</t>
        </is>
      </c>
      <c r="B284" t="inlineStr">
        <is>
          <t>3000</t>
        </is>
      </c>
    </row>
    <row r="285">
      <c r="A285" t="inlineStr">
        <is>
          <t>Bulacan|City of Meycauayan</t>
        </is>
      </c>
      <c r="B285" t="inlineStr">
        <is>
          <t>3020</t>
        </is>
      </c>
    </row>
    <row r="286">
      <c r="A286" t="inlineStr">
        <is>
          <t>Bulacan|City of San Jose Del Monte</t>
        </is>
      </c>
      <c r="B286" t="inlineStr">
        <is>
          <t>3023</t>
        </is>
      </c>
    </row>
    <row r="287">
      <c r="A287" t="inlineStr">
        <is>
          <t>Bulacan|Doña Remedios Trinidad</t>
        </is>
      </c>
      <c r="B287" t="inlineStr">
        <is>
          <t>3009</t>
        </is>
      </c>
    </row>
    <row r="288">
      <c r="A288" t="inlineStr">
        <is>
          <t>Bulacan|Guiguinto</t>
        </is>
      </c>
      <c r="B288" t="inlineStr">
        <is>
          <t>3015</t>
        </is>
      </c>
    </row>
    <row r="289">
      <c r="A289" t="inlineStr">
        <is>
          <t>Bulacan|Hagonoy</t>
        </is>
      </c>
      <c r="B289" t="inlineStr">
        <is>
          <t>3002</t>
        </is>
      </c>
    </row>
    <row r="290">
      <c r="A290" t="inlineStr">
        <is>
          <t>Bulacan|Marilao</t>
        </is>
      </c>
      <c r="B290" t="inlineStr">
        <is>
          <t>3019</t>
        </is>
      </c>
    </row>
    <row r="291">
      <c r="A291" t="inlineStr">
        <is>
          <t>Bulacan|Norzagaray</t>
        </is>
      </c>
      <c r="B291" t="inlineStr">
        <is>
          <t>3013</t>
        </is>
      </c>
    </row>
    <row r="292">
      <c r="A292" t="inlineStr">
        <is>
          <t>Bulacan|Obando</t>
        </is>
      </c>
      <c r="B292" t="inlineStr">
        <is>
          <t>3021</t>
        </is>
      </c>
    </row>
    <row r="293">
      <c r="A293" t="inlineStr">
        <is>
          <t>Bulacan|Pandi</t>
        </is>
      </c>
      <c r="B293" t="inlineStr">
        <is>
          <t>3014</t>
        </is>
      </c>
    </row>
    <row r="294">
      <c r="A294" t="inlineStr">
        <is>
          <t>Bulacan|Paombong</t>
        </is>
      </c>
      <c r="B294" t="inlineStr">
        <is>
          <t>3001</t>
        </is>
      </c>
    </row>
    <row r="295">
      <c r="A295" t="inlineStr">
        <is>
          <t>Bulacan|Plaridel</t>
        </is>
      </c>
      <c r="B295" t="inlineStr">
        <is>
          <t>3004</t>
        </is>
      </c>
    </row>
    <row r="296">
      <c r="A296" t="inlineStr">
        <is>
          <t>Bulacan|Pulilan</t>
        </is>
      </c>
      <c r="B296" t="inlineStr">
        <is>
          <t>3005</t>
        </is>
      </c>
    </row>
    <row r="297">
      <c r="A297" t="inlineStr">
        <is>
          <t>Bulacan|San Ildefonso</t>
        </is>
      </c>
      <c r="B297" t="inlineStr">
        <is>
          <t>3010</t>
        </is>
      </c>
    </row>
    <row r="298">
      <c r="A298" t="inlineStr">
        <is>
          <t>Bulacan|San Miguel</t>
        </is>
      </c>
      <c r="B298" t="inlineStr">
        <is>
          <t>3011</t>
        </is>
      </c>
    </row>
    <row r="299">
      <c r="A299" t="inlineStr">
        <is>
          <t>Bulacan|San Rafael</t>
        </is>
      </c>
      <c r="B299" t="inlineStr">
        <is>
          <t>3008</t>
        </is>
      </c>
    </row>
    <row r="300">
      <c r="A300" t="inlineStr">
        <is>
          <t>Bulacan|Santa Maria</t>
        </is>
      </c>
      <c r="B300" t="inlineStr">
        <is>
          <t>3022</t>
        </is>
      </c>
    </row>
    <row r="301">
      <c r="A301" t="inlineStr">
        <is>
          <t>Cagayan|Abulug</t>
        </is>
      </c>
      <c r="B301" t="inlineStr">
        <is>
          <t>3517</t>
        </is>
      </c>
    </row>
    <row r="302">
      <c r="A302" t="inlineStr">
        <is>
          <t>Cagayan|Alcala</t>
        </is>
      </c>
      <c r="B302" t="inlineStr">
        <is>
          <t>3507</t>
        </is>
      </c>
    </row>
    <row r="303">
      <c r="A303" t="inlineStr">
        <is>
          <t>Cagayan|Allacapan</t>
        </is>
      </c>
      <c r="B303" t="inlineStr">
        <is>
          <t>3523</t>
        </is>
      </c>
    </row>
    <row r="304">
      <c r="A304" t="inlineStr">
        <is>
          <t>Cagayan|Amulung</t>
        </is>
      </c>
      <c r="B304" t="inlineStr">
        <is>
          <t>3505</t>
        </is>
      </c>
    </row>
    <row r="305">
      <c r="A305" t="inlineStr">
        <is>
          <t>Cagayan|Aparri</t>
        </is>
      </c>
      <c r="B305" t="inlineStr">
        <is>
          <t>3515</t>
        </is>
      </c>
    </row>
    <row r="306">
      <c r="A306" t="inlineStr">
        <is>
          <t>Cagayan|Baggao</t>
        </is>
      </c>
      <c r="B306" t="inlineStr">
        <is>
          <t>3506</t>
        </is>
      </c>
    </row>
    <row r="307">
      <c r="A307" t="inlineStr">
        <is>
          <t>Cagayan|Ballesteros</t>
        </is>
      </c>
      <c r="B307" t="inlineStr">
        <is>
          <t>3516</t>
        </is>
      </c>
    </row>
    <row r="308">
      <c r="A308" t="inlineStr">
        <is>
          <t>Cagayan|Buguey</t>
        </is>
      </c>
      <c r="B308" t="inlineStr">
        <is>
          <t>3511</t>
        </is>
      </c>
    </row>
    <row r="309">
      <c r="A309" t="inlineStr">
        <is>
          <t>Cagayan|Calayan</t>
        </is>
      </c>
      <c r="B309" t="inlineStr">
        <is>
          <t>3520</t>
        </is>
      </c>
    </row>
    <row r="310">
      <c r="A310" t="inlineStr">
        <is>
          <t>Cagayan|Camalaniugan</t>
        </is>
      </c>
      <c r="B310" t="inlineStr">
        <is>
          <t>3510</t>
        </is>
      </c>
    </row>
    <row r="311">
      <c r="A311" t="inlineStr">
        <is>
          <t>Cagayan|Claveria</t>
        </is>
      </c>
      <c r="B311" t="inlineStr">
        <is>
          <t>3519</t>
        </is>
      </c>
    </row>
    <row r="312">
      <c r="A312" t="inlineStr">
        <is>
          <t>Cagayan|Enrile</t>
        </is>
      </c>
      <c r="B312" t="inlineStr">
        <is>
          <t>3501</t>
        </is>
      </c>
    </row>
    <row r="313">
      <c r="A313" t="inlineStr">
        <is>
          <t>Cagayan|Gattaran</t>
        </is>
      </c>
      <c r="B313" t="inlineStr">
        <is>
          <t>3508</t>
        </is>
      </c>
    </row>
    <row r="314">
      <c r="A314" t="inlineStr">
        <is>
          <t>Cagayan|Gonzaga</t>
        </is>
      </c>
      <c r="B314" t="inlineStr">
        <is>
          <t>3513</t>
        </is>
      </c>
    </row>
    <row r="315">
      <c r="A315" t="inlineStr">
        <is>
          <t>Cagayan|Iguig</t>
        </is>
      </c>
      <c r="B315" t="inlineStr">
        <is>
          <t>3504</t>
        </is>
      </c>
    </row>
    <row r="316">
      <c r="A316" t="inlineStr">
        <is>
          <t>Cagayan|Lal-Lo</t>
        </is>
      </c>
      <c r="B316" t="inlineStr">
        <is>
          <t>3509</t>
        </is>
      </c>
    </row>
    <row r="317">
      <c r="A317" t="inlineStr">
        <is>
          <t>Cagayan|Lasam</t>
        </is>
      </c>
      <c r="B317" t="inlineStr">
        <is>
          <t>3524</t>
        </is>
      </c>
    </row>
    <row r="318">
      <c r="A318" t="inlineStr">
        <is>
          <t>Cagayan|Pamplona</t>
        </is>
      </c>
      <c r="B318" t="inlineStr">
        <is>
          <t>3522</t>
        </is>
      </c>
    </row>
    <row r="319">
      <c r="A319" t="inlineStr">
        <is>
          <t>Cagayan|Peñablanca</t>
        </is>
      </c>
      <c r="B319" t="inlineStr">
        <is>
          <t>3502</t>
        </is>
      </c>
    </row>
    <row r="320">
      <c r="A320" t="inlineStr">
        <is>
          <t>Cagayan|Piat</t>
        </is>
      </c>
      <c r="B320" t="inlineStr">
        <is>
          <t>3527</t>
        </is>
      </c>
    </row>
    <row r="321">
      <c r="A321" t="inlineStr">
        <is>
          <t>Cagayan|Rizal</t>
        </is>
      </c>
      <c r="B321" t="inlineStr">
        <is>
          <t>3526</t>
        </is>
      </c>
    </row>
    <row r="322">
      <c r="A322" t="inlineStr">
        <is>
          <t>Cagayan|Sanchez Mira</t>
        </is>
      </c>
      <c r="B322" t="inlineStr">
        <is>
          <t>3518</t>
        </is>
      </c>
    </row>
    <row r="323">
      <c r="A323" t="inlineStr">
        <is>
          <t>Cagayan|Santa Ana</t>
        </is>
      </c>
      <c r="B323" t="inlineStr">
        <is>
          <t>3514</t>
        </is>
      </c>
    </row>
    <row r="324">
      <c r="A324" t="inlineStr">
        <is>
          <t>Cagayan|Santa Praxedes</t>
        </is>
      </c>
      <c r="B324" t="inlineStr">
        <is>
          <t>3521</t>
        </is>
      </c>
    </row>
    <row r="325">
      <c r="A325" t="inlineStr">
        <is>
          <t>Cagayan|Santa Teresita</t>
        </is>
      </c>
      <c r="B325" t="inlineStr">
        <is>
          <t>3512</t>
        </is>
      </c>
    </row>
    <row r="326">
      <c r="A326" t="inlineStr">
        <is>
          <t>Cagayan|Santo Niño</t>
        </is>
      </c>
      <c r="B326" t="inlineStr">
        <is>
          <t>3525</t>
        </is>
      </c>
    </row>
    <row r="327">
      <c r="A327" t="inlineStr">
        <is>
          <t>Cagayan|Solana</t>
        </is>
      </c>
      <c r="B327" t="inlineStr">
        <is>
          <t>3503</t>
        </is>
      </c>
    </row>
    <row r="328">
      <c r="A328" t="inlineStr">
        <is>
          <t>Cagayan|Tuao</t>
        </is>
      </c>
      <c r="B328" t="inlineStr">
        <is>
          <t>3528</t>
        </is>
      </c>
    </row>
    <row r="329">
      <c r="A329" t="inlineStr">
        <is>
          <t>Cagayan|Tuguegarao City</t>
        </is>
      </c>
      <c r="B329" t="inlineStr">
        <is>
          <t>3500</t>
        </is>
      </c>
    </row>
    <row r="330">
      <c r="A330" t="inlineStr">
        <is>
          <t>Camarines Norte|Basud</t>
        </is>
      </c>
      <c r="B330" t="inlineStr">
        <is>
          <t>4608</t>
        </is>
      </c>
    </row>
    <row r="331">
      <c r="A331" t="inlineStr">
        <is>
          <t>Camarines Norte|Capalonga</t>
        </is>
      </c>
      <c r="B331" t="inlineStr">
        <is>
          <t>4607</t>
        </is>
      </c>
    </row>
    <row r="332">
      <c r="A332" t="inlineStr">
        <is>
          <t>Camarines Norte|Daet</t>
        </is>
      </c>
      <c r="B332" t="inlineStr">
        <is>
          <t>4600</t>
        </is>
      </c>
    </row>
    <row r="333">
      <c r="A333" t="inlineStr">
        <is>
          <t>Camarines Norte|Jose Panganiban</t>
        </is>
      </c>
      <c r="B333" t="inlineStr">
        <is>
          <t>4606</t>
        </is>
      </c>
    </row>
    <row r="334">
      <c r="A334" t="inlineStr">
        <is>
          <t>Camarines Norte|Labo</t>
        </is>
      </c>
      <c r="B334" t="inlineStr">
        <is>
          <t>4604</t>
        </is>
      </c>
    </row>
    <row r="335">
      <c r="A335" t="inlineStr">
        <is>
          <t>Camarines Norte|Mercedes</t>
        </is>
      </c>
      <c r="B335" t="inlineStr">
        <is>
          <t>4601</t>
        </is>
      </c>
    </row>
    <row r="336">
      <c r="A336" t="inlineStr">
        <is>
          <t>Camarines Norte|Paracale</t>
        </is>
      </c>
      <c r="B336" t="inlineStr">
        <is>
          <t>4605</t>
        </is>
      </c>
    </row>
    <row r="337">
      <c r="A337" t="inlineStr">
        <is>
          <t>Camarines Norte|San Lorenzo Ruiz</t>
        </is>
      </c>
      <c r="B337" t="inlineStr">
        <is>
          <t>4610</t>
        </is>
      </c>
    </row>
    <row r="338">
      <c r="A338" t="inlineStr">
        <is>
          <t>Camarines Norte|San Vicente</t>
        </is>
      </c>
      <c r="B338" t="inlineStr">
        <is>
          <t>4609</t>
        </is>
      </c>
    </row>
    <row r="339">
      <c r="A339" t="inlineStr">
        <is>
          <t>Camarines Norte|Santa Elena</t>
        </is>
      </c>
      <c r="B339" t="inlineStr">
        <is>
          <t>4611</t>
        </is>
      </c>
    </row>
    <row r="340">
      <c r="A340" t="inlineStr">
        <is>
          <t>Camarines Norte|Talisay</t>
        </is>
      </c>
      <c r="B340" t="inlineStr">
        <is>
          <t>4602</t>
        </is>
      </c>
    </row>
    <row r="341">
      <c r="A341" t="inlineStr">
        <is>
          <t>Camarines Norte|Vinzons</t>
        </is>
      </c>
      <c r="B341" t="inlineStr">
        <is>
          <t>4603</t>
        </is>
      </c>
    </row>
    <row r="342">
      <c r="A342" t="inlineStr">
        <is>
          <t>Camarines Sur|Baao</t>
        </is>
      </c>
      <c r="B342" t="inlineStr">
        <is>
          <t>4432</t>
        </is>
      </c>
    </row>
    <row r="343">
      <c r="A343" t="inlineStr">
        <is>
          <t>Camarines Sur|Balatan</t>
        </is>
      </c>
      <c r="B343" t="inlineStr">
        <is>
          <t>4436</t>
        </is>
      </c>
    </row>
    <row r="344">
      <c r="A344" t="inlineStr">
        <is>
          <t>Camarines Sur|Bato</t>
        </is>
      </c>
      <c r="B344" t="inlineStr">
        <is>
          <t>4435</t>
        </is>
      </c>
    </row>
    <row r="345">
      <c r="A345" t="inlineStr">
        <is>
          <t>Camarines Sur|Bombon</t>
        </is>
      </c>
      <c r="B345" t="inlineStr">
        <is>
          <t>4404</t>
        </is>
      </c>
    </row>
    <row r="346">
      <c r="A346" t="inlineStr">
        <is>
          <t>Camarines Sur|Buhi</t>
        </is>
      </c>
      <c r="B346" t="inlineStr">
        <is>
          <t>4433</t>
        </is>
      </c>
    </row>
    <row r="347">
      <c r="A347" t="inlineStr">
        <is>
          <t>Camarines Sur|Bula</t>
        </is>
      </c>
      <c r="B347" t="inlineStr">
        <is>
          <t>4430</t>
        </is>
      </c>
    </row>
    <row r="348">
      <c r="A348" t="inlineStr">
        <is>
          <t>Camarines Sur|Cabusao</t>
        </is>
      </c>
      <c r="B348" t="inlineStr">
        <is>
          <t>4406</t>
        </is>
      </c>
    </row>
    <row r="349">
      <c r="A349" t="inlineStr">
        <is>
          <t>Camarines Sur|Calabanga</t>
        </is>
      </c>
      <c r="B349" t="inlineStr">
        <is>
          <t>4405</t>
        </is>
      </c>
    </row>
    <row r="350">
      <c r="A350" t="inlineStr">
        <is>
          <t>Camarines Sur|Camaligan</t>
        </is>
      </c>
      <c r="B350" t="inlineStr">
        <is>
          <t>4401</t>
        </is>
      </c>
    </row>
    <row r="351">
      <c r="A351" t="inlineStr">
        <is>
          <t>Camarines Sur|Canaman</t>
        </is>
      </c>
      <c r="B351" t="inlineStr">
        <is>
          <t>4402</t>
        </is>
      </c>
    </row>
    <row r="352">
      <c r="A352" t="inlineStr">
        <is>
          <t>Camarines Sur|Caramoan</t>
        </is>
      </c>
      <c r="B352" t="inlineStr">
        <is>
          <t>4429</t>
        </is>
      </c>
    </row>
    <row r="353">
      <c r="A353" t="inlineStr">
        <is>
          <t>Camarines Sur|City of Iriga</t>
        </is>
      </c>
      <c r="B353" t="inlineStr">
        <is>
          <t>4431</t>
        </is>
      </c>
    </row>
    <row r="354">
      <c r="A354" t="inlineStr">
        <is>
          <t>Camarines Sur|City of Naga</t>
        </is>
      </c>
      <c r="B354" t="inlineStr">
        <is>
          <t>4400</t>
        </is>
      </c>
    </row>
    <row r="355">
      <c r="A355" t="inlineStr">
        <is>
          <t>Camarines Sur|Del Gallego</t>
        </is>
      </c>
      <c r="B355" t="inlineStr">
        <is>
          <t>4411</t>
        </is>
      </c>
    </row>
    <row r="356">
      <c r="A356" t="inlineStr">
        <is>
          <t>Camarines Sur|Gainza</t>
        </is>
      </c>
      <c r="B356" t="inlineStr">
        <is>
          <t>4412</t>
        </is>
      </c>
    </row>
    <row r="357">
      <c r="A357" t="inlineStr">
        <is>
          <t>Camarines Sur|Garchitorena</t>
        </is>
      </c>
      <c r="B357" t="inlineStr">
        <is>
          <t>4428</t>
        </is>
      </c>
    </row>
    <row r="358">
      <c r="A358" t="inlineStr">
        <is>
          <t>Camarines Sur|Goa</t>
        </is>
      </c>
      <c r="B358" t="inlineStr">
        <is>
          <t>4422</t>
        </is>
      </c>
    </row>
    <row r="359">
      <c r="A359" t="inlineStr">
        <is>
          <t>Camarines Sur|Lagonoy</t>
        </is>
      </c>
      <c r="B359" t="inlineStr">
        <is>
          <t>4425</t>
        </is>
      </c>
    </row>
    <row r="360">
      <c r="A360" t="inlineStr">
        <is>
          <t>Camarines Sur|Libmanan</t>
        </is>
      </c>
      <c r="B360" t="inlineStr">
        <is>
          <t>4407</t>
        </is>
      </c>
    </row>
    <row r="361">
      <c r="A361" t="inlineStr">
        <is>
          <t>Camarines Sur|Lupi</t>
        </is>
      </c>
      <c r="B361" t="inlineStr">
        <is>
          <t>4409</t>
        </is>
      </c>
    </row>
    <row r="362">
      <c r="A362" t="inlineStr">
        <is>
          <t>Camarines Sur|Magarao</t>
        </is>
      </c>
      <c r="B362" t="inlineStr">
        <is>
          <t>4403</t>
        </is>
      </c>
    </row>
    <row r="363">
      <c r="A363" t="inlineStr">
        <is>
          <t>Camarines Sur|Milaor</t>
        </is>
      </c>
      <c r="B363" t="inlineStr">
        <is>
          <t>4413</t>
        </is>
      </c>
    </row>
    <row r="364">
      <c r="A364" t="inlineStr">
        <is>
          <t>Camarines Sur|Minalabac</t>
        </is>
      </c>
      <c r="B364" t="inlineStr">
        <is>
          <t>4414</t>
        </is>
      </c>
    </row>
    <row r="365">
      <c r="A365" t="inlineStr">
        <is>
          <t>Camarines Sur|Nabua</t>
        </is>
      </c>
      <c r="B365" t="inlineStr">
        <is>
          <t>4434</t>
        </is>
      </c>
    </row>
    <row r="366">
      <c r="A366" t="inlineStr">
        <is>
          <t>Camarines Sur|Ocampo</t>
        </is>
      </c>
      <c r="B366" t="inlineStr">
        <is>
          <t>4419</t>
        </is>
      </c>
    </row>
    <row r="367">
      <c r="A367" t="inlineStr">
        <is>
          <t>Camarines Sur|Pamplona</t>
        </is>
      </c>
      <c r="B367" t="inlineStr">
        <is>
          <t>4416</t>
        </is>
      </c>
    </row>
    <row r="368">
      <c r="A368" t="inlineStr">
        <is>
          <t>Camarines Sur|Pasacao</t>
        </is>
      </c>
      <c r="B368" t="inlineStr">
        <is>
          <t>4417</t>
        </is>
      </c>
    </row>
    <row r="369">
      <c r="A369" t="inlineStr">
        <is>
          <t>Camarines Sur|Pili</t>
        </is>
      </c>
      <c r="B369" t="inlineStr">
        <is>
          <t>4418</t>
        </is>
      </c>
    </row>
    <row r="370">
      <c r="A370" t="inlineStr">
        <is>
          <t>Camarines Sur|Presentacion</t>
        </is>
      </c>
      <c r="B370" t="inlineStr">
        <is>
          <t>4424</t>
        </is>
      </c>
    </row>
    <row r="371">
      <c r="A371" t="inlineStr">
        <is>
          <t>Camarines Sur|Ragay</t>
        </is>
      </c>
      <c r="B371" t="inlineStr">
        <is>
          <t>4410</t>
        </is>
      </c>
    </row>
    <row r="372">
      <c r="A372" t="inlineStr">
        <is>
          <t>Camarines Sur|Sagñay</t>
        </is>
      </c>
      <c r="B372" t="inlineStr">
        <is>
          <t>4421</t>
        </is>
      </c>
    </row>
    <row r="373">
      <c r="A373" t="inlineStr">
        <is>
          <t>Camarines Sur|San Fernando</t>
        </is>
      </c>
      <c r="B373" t="inlineStr">
        <is>
          <t>4415</t>
        </is>
      </c>
    </row>
    <row r="374">
      <c r="A374" t="inlineStr">
        <is>
          <t>Camarines Sur|San Jose</t>
        </is>
      </c>
      <c r="B374" t="inlineStr">
        <is>
          <t>4423</t>
        </is>
      </c>
    </row>
    <row r="375">
      <c r="A375" t="inlineStr">
        <is>
          <t>Camarines Sur|Sipocot</t>
        </is>
      </c>
      <c r="B375" t="inlineStr">
        <is>
          <t>4408</t>
        </is>
      </c>
    </row>
    <row r="376">
      <c r="A376" t="inlineStr">
        <is>
          <t>Camarines Sur|Siruma</t>
        </is>
      </c>
      <c r="B376" t="inlineStr">
        <is>
          <t>4427</t>
        </is>
      </c>
    </row>
    <row r="377">
      <c r="A377" t="inlineStr">
        <is>
          <t>Camarines Sur|Tigaon</t>
        </is>
      </c>
      <c r="B377" t="inlineStr">
        <is>
          <t>4420</t>
        </is>
      </c>
    </row>
    <row r="378">
      <c r="A378" t="inlineStr">
        <is>
          <t>Camarines Sur|Tinambac</t>
        </is>
      </c>
      <c r="B378" t="inlineStr">
        <is>
          <t>4426</t>
        </is>
      </c>
    </row>
    <row r="379">
      <c r="A379" t="inlineStr">
        <is>
          <t>Camiguin|Catarman</t>
        </is>
      </c>
      <c r="B379" t="inlineStr">
        <is>
          <t>9104</t>
        </is>
      </c>
    </row>
    <row r="380">
      <c r="A380" t="inlineStr">
        <is>
          <t>Camiguin|Guinsiliban</t>
        </is>
      </c>
      <c r="B380" t="inlineStr">
        <is>
          <t>9102</t>
        </is>
      </c>
    </row>
    <row r="381">
      <c r="A381" t="inlineStr">
        <is>
          <t>Camiguin|Mahinog</t>
        </is>
      </c>
      <c r="B381" t="inlineStr">
        <is>
          <t>9101</t>
        </is>
      </c>
    </row>
    <row r="382">
      <c r="A382" t="inlineStr">
        <is>
          <t>Camiguin|Mambajao</t>
        </is>
      </c>
      <c r="B382" t="inlineStr">
        <is>
          <t>9100</t>
        </is>
      </c>
    </row>
    <row r="383">
      <c r="A383" t="inlineStr">
        <is>
          <t>Camiguin|Sagay</t>
        </is>
      </c>
      <c r="B383" t="inlineStr">
        <is>
          <t>9103</t>
        </is>
      </c>
    </row>
    <row r="384">
      <c r="A384" t="inlineStr">
        <is>
          <t>Capiz|City of Roxas</t>
        </is>
      </c>
      <c r="B384" t="inlineStr">
        <is>
          <t>5800</t>
        </is>
      </c>
    </row>
    <row r="385">
      <c r="A385" t="inlineStr">
        <is>
          <t>Capiz|Cuartero</t>
        </is>
      </c>
      <c r="B385" t="inlineStr">
        <is>
          <t>5811</t>
        </is>
      </c>
    </row>
    <row r="386">
      <c r="A386" t="inlineStr">
        <is>
          <t>Capiz|Dao</t>
        </is>
      </c>
      <c r="B386" t="inlineStr">
        <is>
          <t>5810</t>
        </is>
      </c>
    </row>
    <row r="387">
      <c r="A387" t="inlineStr">
        <is>
          <t>Capiz|Dumalag</t>
        </is>
      </c>
      <c r="B387" t="inlineStr">
        <is>
          <t>5813</t>
        </is>
      </c>
    </row>
    <row r="388">
      <c r="A388" t="inlineStr">
        <is>
          <t>Capiz|Dumarao</t>
        </is>
      </c>
      <c r="B388" t="inlineStr">
        <is>
          <t>5812</t>
        </is>
      </c>
    </row>
    <row r="389">
      <c r="A389" t="inlineStr">
        <is>
          <t>Capiz|Ivisan</t>
        </is>
      </c>
      <c r="B389" t="inlineStr">
        <is>
          <t>5805</t>
        </is>
      </c>
    </row>
    <row r="390">
      <c r="A390" t="inlineStr">
        <is>
          <t>Capiz|Jamindan</t>
        </is>
      </c>
      <c r="B390" t="inlineStr">
        <is>
          <t>5808</t>
        </is>
      </c>
    </row>
    <row r="391">
      <c r="A391" t="inlineStr">
        <is>
          <t>Capiz|Ma-Ayon</t>
        </is>
      </c>
      <c r="B391" t="inlineStr">
        <is>
          <t>5809</t>
        </is>
      </c>
    </row>
    <row r="392">
      <c r="A392" t="inlineStr">
        <is>
          <t>Capiz|Mambusao</t>
        </is>
      </c>
      <c r="B392" t="inlineStr">
        <is>
          <t>5807</t>
        </is>
      </c>
    </row>
    <row r="393">
      <c r="A393" t="inlineStr">
        <is>
          <t>Capiz|Panay</t>
        </is>
      </c>
      <c r="B393" t="inlineStr">
        <is>
          <t>5801</t>
        </is>
      </c>
    </row>
    <row r="394">
      <c r="A394" t="inlineStr">
        <is>
          <t>Capiz|Panitan</t>
        </is>
      </c>
      <c r="B394" t="inlineStr">
        <is>
          <t>5815</t>
        </is>
      </c>
    </row>
    <row r="395">
      <c r="A395" t="inlineStr">
        <is>
          <t>Capiz|Pilar</t>
        </is>
      </c>
      <c r="B395" t="inlineStr">
        <is>
          <t>5804</t>
        </is>
      </c>
    </row>
    <row r="396">
      <c r="A396" t="inlineStr">
        <is>
          <t>Capiz|Pontevedra</t>
        </is>
      </c>
      <c r="B396" t="inlineStr">
        <is>
          <t>5802</t>
        </is>
      </c>
    </row>
    <row r="397">
      <c r="A397" t="inlineStr">
        <is>
          <t>Capiz|President Roxas</t>
        </is>
      </c>
      <c r="B397" t="inlineStr">
        <is>
          <t>5803</t>
        </is>
      </c>
    </row>
    <row r="398">
      <c r="A398" t="inlineStr">
        <is>
          <t>Capiz|Sapi-An</t>
        </is>
      </c>
      <c r="B398"/>
    </row>
    <row r="399">
      <c r="A399" t="inlineStr">
        <is>
          <t>Capiz|Sigma</t>
        </is>
      </c>
      <c r="B399" t="inlineStr">
        <is>
          <t>5816</t>
        </is>
      </c>
    </row>
    <row r="400">
      <c r="A400" t="inlineStr">
        <is>
          <t>Capiz|Tapaz</t>
        </is>
      </c>
      <c r="B400" t="inlineStr">
        <is>
          <t>5814</t>
        </is>
      </c>
    </row>
    <row r="401">
      <c r="A401" t="inlineStr">
        <is>
          <t>Catanduanes|Bagamanoc</t>
        </is>
      </c>
      <c r="B401" t="inlineStr">
        <is>
          <t>4807</t>
        </is>
      </c>
    </row>
    <row r="402">
      <c r="A402" t="inlineStr">
        <is>
          <t>Catanduanes|Baras</t>
        </is>
      </c>
      <c r="B402" t="inlineStr">
        <is>
          <t>4803</t>
        </is>
      </c>
    </row>
    <row r="403">
      <c r="A403" t="inlineStr">
        <is>
          <t>Catanduanes|Bato</t>
        </is>
      </c>
      <c r="B403" t="inlineStr">
        <is>
          <t>4801</t>
        </is>
      </c>
    </row>
    <row r="404">
      <c r="A404" t="inlineStr">
        <is>
          <t>Catanduanes|Caramoran</t>
        </is>
      </c>
      <c r="B404" t="inlineStr">
        <is>
          <t>4808</t>
        </is>
      </c>
    </row>
    <row r="405">
      <c r="A405" t="inlineStr">
        <is>
          <t>Catanduanes|Gigmoto</t>
        </is>
      </c>
      <c r="B405" t="inlineStr">
        <is>
          <t>4804</t>
        </is>
      </c>
    </row>
    <row r="406">
      <c r="A406" t="inlineStr">
        <is>
          <t>Catanduanes|Pandan</t>
        </is>
      </c>
      <c r="B406" t="inlineStr">
        <is>
          <t>4809</t>
        </is>
      </c>
    </row>
    <row r="407">
      <c r="A407" t="inlineStr">
        <is>
          <t>Catanduanes|Panganiban</t>
        </is>
      </c>
      <c r="B407" t="inlineStr">
        <is>
          <t>4806</t>
        </is>
      </c>
    </row>
    <row r="408">
      <c r="A408" t="inlineStr">
        <is>
          <t>Catanduanes|San Andres</t>
        </is>
      </c>
      <c r="B408" t="inlineStr">
        <is>
          <t>4810</t>
        </is>
      </c>
    </row>
    <row r="409">
      <c r="A409" t="inlineStr">
        <is>
          <t>Catanduanes|San Miguel</t>
        </is>
      </c>
      <c r="B409" t="inlineStr">
        <is>
          <t>4802</t>
        </is>
      </c>
    </row>
    <row r="410">
      <c r="A410" t="inlineStr">
        <is>
          <t>Catanduanes|Viga</t>
        </is>
      </c>
      <c r="B410" t="inlineStr">
        <is>
          <t>4805</t>
        </is>
      </c>
    </row>
    <row r="411">
      <c r="A411" t="inlineStr">
        <is>
          <t>Catanduanes|Virac</t>
        </is>
      </c>
      <c r="B411" t="inlineStr">
        <is>
          <t>4800</t>
        </is>
      </c>
    </row>
    <row r="412">
      <c r="A412" t="inlineStr">
        <is>
          <t>Cavite|Alfonso</t>
        </is>
      </c>
      <c r="B412" t="inlineStr">
        <is>
          <t>4123</t>
        </is>
      </c>
    </row>
    <row r="413">
      <c r="A413" t="inlineStr">
        <is>
          <t>Cavite|Amadeo</t>
        </is>
      </c>
      <c r="B413" t="inlineStr">
        <is>
          <t>4119</t>
        </is>
      </c>
    </row>
    <row r="414">
      <c r="A414" t="inlineStr">
        <is>
          <t>Cavite|City of Bacoor</t>
        </is>
      </c>
      <c r="B414" t="inlineStr">
        <is>
          <t>4102</t>
        </is>
      </c>
    </row>
    <row r="415">
      <c r="A415" t="inlineStr">
        <is>
          <t>Cavite|City of Carmona</t>
        </is>
      </c>
      <c r="B415" t="inlineStr">
        <is>
          <t>4116</t>
        </is>
      </c>
    </row>
    <row r="416">
      <c r="A416" t="inlineStr">
        <is>
          <t>Cavite|City of Cavite</t>
        </is>
      </c>
      <c r="B416" t="inlineStr">
        <is>
          <t>4100</t>
        </is>
      </c>
    </row>
    <row r="417">
      <c r="A417" t="inlineStr">
        <is>
          <t>Cavite|City of Dasmariñas</t>
        </is>
      </c>
      <c r="B417" t="inlineStr">
        <is>
          <t>4114</t>
        </is>
      </c>
    </row>
    <row r="418">
      <c r="A418" t="inlineStr">
        <is>
          <t>Cavite|City of General Trias</t>
        </is>
      </c>
      <c r="B418" t="inlineStr">
        <is>
          <t>4107</t>
        </is>
      </c>
    </row>
    <row r="419">
      <c r="A419" t="inlineStr">
        <is>
          <t>Cavite|City of Imus</t>
        </is>
      </c>
      <c r="B419" t="inlineStr">
        <is>
          <t>4103</t>
        </is>
      </c>
    </row>
    <row r="420">
      <c r="A420" t="inlineStr">
        <is>
          <t>Cavite|City of Tagaytay</t>
        </is>
      </c>
      <c r="B420" t="inlineStr">
        <is>
          <t>4120</t>
        </is>
      </c>
    </row>
    <row r="421">
      <c r="A421" t="inlineStr">
        <is>
          <t>Cavite|City of Trece Martires</t>
        </is>
      </c>
      <c r="B421" t="inlineStr">
        <is>
          <t>4109</t>
        </is>
      </c>
    </row>
    <row r="422">
      <c r="A422" t="inlineStr">
        <is>
          <t>Cavite|Gen. Mariano Alvarez</t>
        </is>
      </c>
      <c r="B422" t="inlineStr">
        <is>
          <t>4117</t>
        </is>
      </c>
    </row>
    <row r="423">
      <c r="A423" t="inlineStr">
        <is>
          <t>Cavite|General Emilio Aguinaldo</t>
        </is>
      </c>
      <c r="B423" t="inlineStr">
        <is>
          <t>4124</t>
        </is>
      </c>
    </row>
    <row r="424">
      <c r="A424" t="inlineStr">
        <is>
          <t>Cavite|Indang</t>
        </is>
      </c>
      <c r="B424" t="inlineStr">
        <is>
          <t>4122</t>
        </is>
      </c>
    </row>
    <row r="425">
      <c r="A425" t="inlineStr">
        <is>
          <t>Cavite|Kawit</t>
        </is>
      </c>
      <c r="B425" t="inlineStr">
        <is>
          <t>4104</t>
        </is>
      </c>
    </row>
    <row r="426">
      <c r="A426" t="inlineStr">
        <is>
          <t>Cavite|Magallanes</t>
        </is>
      </c>
      <c r="B426" t="inlineStr">
        <is>
          <t>4113</t>
        </is>
      </c>
    </row>
    <row r="427">
      <c r="A427" t="inlineStr">
        <is>
          <t>Cavite|Maragondon</t>
        </is>
      </c>
      <c r="B427" t="inlineStr">
        <is>
          <t>4112</t>
        </is>
      </c>
    </row>
    <row r="428">
      <c r="A428" t="inlineStr">
        <is>
          <t>Cavite|Mendez</t>
        </is>
      </c>
      <c r="B428" t="inlineStr">
        <is>
          <t>4121</t>
        </is>
      </c>
    </row>
    <row r="429">
      <c r="A429" t="inlineStr">
        <is>
          <t>Cavite|Naic</t>
        </is>
      </c>
      <c r="B429" t="inlineStr">
        <is>
          <t>4110</t>
        </is>
      </c>
    </row>
    <row r="430">
      <c r="A430" t="inlineStr">
        <is>
          <t>Cavite|Noveleta</t>
        </is>
      </c>
      <c r="B430" t="inlineStr">
        <is>
          <t>4105</t>
        </is>
      </c>
    </row>
    <row r="431">
      <c r="A431" t="inlineStr">
        <is>
          <t>Cavite|Rosario</t>
        </is>
      </c>
      <c r="B431" t="inlineStr">
        <is>
          <t>4106</t>
        </is>
      </c>
    </row>
    <row r="432">
      <c r="A432" t="inlineStr">
        <is>
          <t>Cavite|Silang</t>
        </is>
      </c>
      <c r="B432" t="inlineStr">
        <is>
          <t>4118</t>
        </is>
      </c>
    </row>
    <row r="433">
      <c r="A433" t="inlineStr">
        <is>
          <t>Cavite|Tanza</t>
        </is>
      </c>
      <c r="B433" t="inlineStr">
        <is>
          <t>4108</t>
        </is>
      </c>
    </row>
    <row r="434">
      <c r="A434" t="inlineStr">
        <is>
          <t>Cavite|Ternate</t>
        </is>
      </c>
      <c r="B434" t="inlineStr">
        <is>
          <t>4111</t>
        </is>
      </c>
    </row>
    <row r="435">
      <c r="A435" t="inlineStr">
        <is>
          <t>Cebu|Alcantara</t>
        </is>
      </c>
      <c r="B435" t="inlineStr">
        <is>
          <t>6033</t>
        </is>
      </c>
    </row>
    <row r="436">
      <c r="A436" t="inlineStr">
        <is>
          <t>Cebu|Alcoy</t>
        </is>
      </c>
      <c r="B436" t="inlineStr">
        <is>
          <t>6023</t>
        </is>
      </c>
    </row>
    <row r="437">
      <c r="A437" t="inlineStr">
        <is>
          <t>Cebu|Alegria</t>
        </is>
      </c>
      <c r="B437" t="inlineStr">
        <is>
          <t>6030</t>
        </is>
      </c>
    </row>
    <row r="438">
      <c r="A438" t="inlineStr">
        <is>
          <t>Cebu|Aloguinsan</t>
        </is>
      </c>
      <c r="B438" t="inlineStr">
        <is>
          <t>6040</t>
        </is>
      </c>
    </row>
    <row r="439">
      <c r="A439" t="inlineStr">
        <is>
          <t>Cebu|Argao</t>
        </is>
      </c>
      <c r="B439" t="inlineStr">
        <is>
          <t>6021</t>
        </is>
      </c>
    </row>
    <row r="440">
      <c r="A440" t="inlineStr">
        <is>
          <t>Cebu|Asturias</t>
        </is>
      </c>
      <c r="B440" t="inlineStr">
        <is>
          <t>6042</t>
        </is>
      </c>
    </row>
    <row r="441">
      <c r="A441" t="inlineStr">
        <is>
          <t>Cebu|Badian</t>
        </is>
      </c>
      <c r="B441" t="inlineStr">
        <is>
          <t>6031</t>
        </is>
      </c>
    </row>
    <row r="442">
      <c r="A442" t="inlineStr">
        <is>
          <t>Cebu|Balamban</t>
        </is>
      </c>
      <c r="B442" t="inlineStr">
        <is>
          <t>6041</t>
        </is>
      </c>
    </row>
    <row r="443">
      <c r="A443" t="inlineStr">
        <is>
          <t>Cebu|Bantayan</t>
        </is>
      </c>
      <c r="B443" t="inlineStr">
        <is>
          <t>6052</t>
        </is>
      </c>
    </row>
    <row r="444">
      <c r="A444" t="inlineStr">
        <is>
          <t>Cebu|Barili</t>
        </is>
      </c>
      <c r="B444" t="inlineStr">
        <is>
          <t>6036</t>
        </is>
      </c>
    </row>
    <row r="445">
      <c r="A445" t="inlineStr">
        <is>
          <t>Cebu|Boljoon</t>
        </is>
      </c>
      <c r="B445" t="inlineStr">
        <is>
          <t>6024</t>
        </is>
      </c>
    </row>
    <row r="446">
      <c r="A446" t="inlineStr">
        <is>
          <t>Cebu|Borbon</t>
        </is>
      </c>
      <c r="B446" t="inlineStr">
        <is>
          <t>6008</t>
        </is>
      </c>
    </row>
    <row r="447">
      <c r="A447" t="inlineStr">
        <is>
          <t>Cebu|Carmen</t>
        </is>
      </c>
      <c r="B447" t="inlineStr">
        <is>
          <t>6005</t>
        </is>
      </c>
    </row>
    <row r="448">
      <c r="A448" t="inlineStr">
        <is>
          <t>Cebu|Catmon</t>
        </is>
      </c>
      <c r="B448" t="inlineStr">
        <is>
          <t>6006</t>
        </is>
      </c>
    </row>
    <row r="449">
      <c r="A449" t="inlineStr">
        <is>
          <t>Cebu|City of Bogo</t>
        </is>
      </c>
      <c r="B449" t="inlineStr">
        <is>
          <t>6010</t>
        </is>
      </c>
    </row>
    <row r="450">
      <c r="A450" t="inlineStr">
        <is>
          <t>Cebu|City of Carcar</t>
        </is>
      </c>
      <c r="B450" t="inlineStr">
        <is>
          <t>6019</t>
        </is>
      </c>
    </row>
    <row r="451">
      <c r="A451" t="inlineStr">
        <is>
          <t>Cebu|City of Naga</t>
        </is>
      </c>
      <c r="B451" t="inlineStr">
        <is>
          <t>6037</t>
        </is>
      </c>
    </row>
    <row r="452">
      <c r="A452" t="inlineStr">
        <is>
          <t>Cebu|City of Talisay</t>
        </is>
      </c>
      <c r="B452" t="inlineStr">
        <is>
          <t>6045</t>
        </is>
      </c>
    </row>
    <row r="453">
      <c r="A453" t="inlineStr">
        <is>
          <t>Cebu|City of Toledo</t>
        </is>
      </c>
      <c r="B453" t="inlineStr">
        <is>
          <t>6038</t>
        </is>
      </c>
    </row>
    <row r="454">
      <c r="A454" t="inlineStr">
        <is>
          <t>Cebu|Compostela</t>
        </is>
      </c>
      <c r="B454" t="inlineStr">
        <is>
          <t>6003</t>
        </is>
      </c>
    </row>
    <row r="455">
      <c r="A455" t="inlineStr">
        <is>
          <t>Cebu|Consolacion</t>
        </is>
      </c>
      <c r="B455" t="inlineStr">
        <is>
          <t>6001</t>
        </is>
      </c>
    </row>
    <row r="456">
      <c r="A456" t="inlineStr">
        <is>
          <t>Cebu|Cordova</t>
        </is>
      </c>
      <c r="B456" t="inlineStr">
        <is>
          <t>6017</t>
        </is>
      </c>
    </row>
    <row r="457">
      <c r="A457" t="inlineStr">
        <is>
          <t>Cebu|Daanbantayan</t>
        </is>
      </c>
      <c r="B457" t="inlineStr">
        <is>
          <t>6013</t>
        </is>
      </c>
    </row>
    <row r="458">
      <c r="A458" t="inlineStr">
        <is>
          <t>Cebu|Dalaguete</t>
        </is>
      </c>
      <c r="B458" t="inlineStr">
        <is>
          <t>6022</t>
        </is>
      </c>
    </row>
    <row r="459">
      <c r="A459" t="inlineStr">
        <is>
          <t>Cebu|Danao City</t>
        </is>
      </c>
      <c r="B459" t="inlineStr">
        <is>
          <t>6004</t>
        </is>
      </c>
    </row>
    <row r="460">
      <c r="A460" t="inlineStr">
        <is>
          <t>Cebu|Dumanjug</t>
        </is>
      </c>
      <c r="B460" t="inlineStr">
        <is>
          <t>6035</t>
        </is>
      </c>
    </row>
    <row r="461">
      <c r="A461" t="inlineStr">
        <is>
          <t>Cebu|Ginatilan</t>
        </is>
      </c>
      <c r="B461" t="inlineStr">
        <is>
          <t>6028</t>
        </is>
      </c>
    </row>
    <row r="462">
      <c r="A462" t="inlineStr">
        <is>
          <t>Cebu|Liloan</t>
        </is>
      </c>
      <c r="B462" t="inlineStr">
        <is>
          <t>6002</t>
        </is>
      </c>
    </row>
    <row r="463">
      <c r="A463" t="inlineStr">
        <is>
          <t>Cebu|Madridejos</t>
        </is>
      </c>
      <c r="B463" t="inlineStr">
        <is>
          <t>6053</t>
        </is>
      </c>
    </row>
    <row r="464">
      <c r="A464" t="inlineStr">
        <is>
          <t>Cebu|Malabuyoc</t>
        </is>
      </c>
      <c r="B464" t="inlineStr">
        <is>
          <t>6029</t>
        </is>
      </c>
    </row>
    <row r="465">
      <c r="A465" t="inlineStr">
        <is>
          <t>Cebu|Medellin</t>
        </is>
      </c>
      <c r="B465" t="inlineStr">
        <is>
          <t>6012</t>
        </is>
      </c>
    </row>
    <row r="466">
      <c r="A466" t="inlineStr">
        <is>
          <t>Cebu|Minglanilla</t>
        </is>
      </c>
      <c r="B466" t="inlineStr">
        <is>
          <t>6046</t>
        </is>
      </c>
    </row>
    <row r="467">
      <c r="A467" t="inlineStr">
        <is>
          <t>Cebu|Moalboal</t>
        </is>
      </c>
      <c r="B467" t="inlineStr">
        <is>
          <t>6032</t>
        </is>
      </c>
    </row>
    <row r="468">
      <c r="A468" t="inlineStr">
        <is>
          <t>Cebu|Oslob</t>
        </is>
      </c>
      <c r="B468" t="inlineStr">
        <is>
          <t>6025</t>
        </is>
      </c>
    </row>
    <row r="469">
      <c r="A469" t="inlineStr">
        <is>
          <t>Cebu|Pilar</t>
        </is>
      </c>
      <c r="B469" t="inlineStr">
        <is>
          <t>6048</t>
        </is>
      </c>
    </row>
    <row r="470">
      <c r="A470" t="inlineStr">
        <is>
          <t>Cebu|Pinamungajan</t>
        </is>
      </c>
      <c r="B470" t="inlineStr">
        <is>
          <t>6039</t>
        </is>
      </c>
    </row>
    <row r="471">
      <c r="A471" t="inlineStr">
        <is>
          <t>Cebu|Poro</t>
        </is>
      </c>
      <c r="B471" t="inlineStr">
        <is>
          <t>6049</t>
        </is>
      </c>
    </row>
    <row r="472">
      <c r="A472" t="inlineStr">
        <is>
          <t>Cebu|Ronda</t>
        </is>
      </c>
      <c r="B472" t="inlineStr">
        <is>
          <t>6034</t>
        </is>
      </c>
    </row>
    <row r="473">
      <c r="A473" t="inlineStr">
        <is>
          <t>Cebu|Samboan</t>
        </is>
      </c>
      <c r="B473" t="inlineStr">
        <is>
          <t>6027</t>
        </is>
      </c>
    </row>
    <row r="474">
      <c r="A474" t="inlineStr">
        <is>
          <t>Cebu|San Fernando</t>
        </is>
      </c>
      <c r="B474" t="inlineStr">
        <is>
          <t>6018</t>
        </is>
      </c>
    </row>
    <row r="475">
      <c r="A475" t="inlineStr">
        <is>
          <t>Cebu|San Francisco</t>
        </is>
      </c>
      <c r="B475" t="inlineStr">
        <is>
          <t>6050</t>
        </is>
      </c>
    </row>
    <row r="476">
      <c r="A476" t="inlineStr">
        <is>
          <t>Cebu|San Remigio</t>
        </is>
      </c>
      <c r="B476" t="inlineStr">
        <is>
          <t>6011</t>
        </is>
      </c>
    </row>
    <row r="477">
      <c r="A477" t="inlineStr">
        <is>
          <t>Cebu|Santa Fe</t>
        </is>
      </c>
      <c r="B477" t="inlineStr">
        <is>
          <t>6047</t>
        </is>
      </c>
    </row>
    <row r="478">
      <c r="A478" t="inlineStr">
        <is>
          <t>Cebu|Santander</t>
        </is>
      </c>
      <c r="B478" t="inlineStr">
        <is>
          <t>6026</t>
        </is>
      </c>
    </row>
    <row r="479">
      <c r="A479" t="inlineStr">
        <is>
          <t>Cebu|Sibonga</t>
        </is>
      </c>
      <c r="B479" t="inlineStr">
        <is>
          <t>6020</t>
        </is>
      </c>
    </row>
    <row r="480">
      <c r="A480" t="inlineStr">
        <is>
          <t>Cebu|Sogod</t>
        </is>
      </c>
      <c r="B480" t="inlineStr">
        <is>
          <t>6007</t>
        </is>
      </c>
    </row>
    <row r="481">
      <c r="A481" t="inlineStr">
        <is>
          <t>Cebu|Tabogon</t>
        </is>
      </c>
      <c r="B481" t="inlineStr">
        <is>
          <t>6009</t>
        </is>
      </c>
    </row>
    <row r="482">
      <c r="A482" t="inlineStr">
        <is>
          <t>Cebu|Tabuelan</t>
        </is>
      </c>
      <c r="B482" t="inlineStr">
        <is>
          <t>6044</t>
        </is>
      </c>
    </row>
    <row r="483">
      <c r="A483" t="inlineStr">
        <is>
          <t>Cebu|Tuburan</t>
        </is>
      </c>
      <c r="B483" t="inlineStr">
        <is>
          <t>6043</t>
        </is>
      </c>
    </row>
    <row r="484">
      <c r="A484" t="inlineStr">
        <is>
          <t>Cebu|Tudela</t>
        </is>
      </c>
      <c r="B484" t="inlineStr">
        <is>
          <t>6051</t>
        </is>
      </c>
    </row>
    <row r="485">
      <c r="A485" t="inlineStr">
        <is>
          <t>City of Isabela (Not a Province)|City of Isabela</t>
        </is>
      </c>
      <c r="B485"/>
    </row>
    <row r="486">
      <c r="A486" t="inlineStr">
        <is>
          <t>Cotabato|Alamada</t>
        </is>
      </c>
      <c r="B486" t="inlineStr">
        <is>
          <t>9413</t>
        </is>
      </c>
    </row>
    <row r="487">
      <c r="A487" t="inlineStr">
        <is>
          <t>Cotabato|Aleosan</t>
        </is>
      </c>
      <c r="B487" t="inlineStr">
        <is>
          <t>9415</t>
        </is>
      </c>
    </row>
    <row r="488">
      <c r="A488" t="inlineStr">
        <is>
          <t>Cotabato|Antipas</t>
        </is>
      </c>
      <c r="B488" t="inlineStr">
        <is>
          <t>9414</t>
        </is>
      </c>
    </row>
    <row r="489">
      <c r="A489" t="inlineStr">
        <is>
          <t>Cotabato|Arakan</t>
        </is>
      </c>
      <c r="B489" t="inlineStr">
        <is>
          <t>9417</t>
        </is>
      </c>
    </row>
    <row r="490">
      <c r="A490" t="inlineStr">
        <is>
          <t>Cotabato|Banisilan</t>
        </is>
      </c>
      <c r="B490" t="inlineStr">
        <is>
          <t>9416</t>
        </is>
      </c>
    </row>
    <row r="491">
      <c r="A491" t="inlineStr">
        <is>
          <t>Cotabato|Carmen</t>
        </is>
      </c>
      <c r="B491" t="inlineStr">
        <is>
          <t>8603</t>
        </is>
      </c>
    </row>
    <row r="492">
      <c r="A492" t="inlineStr">
        <is>
          <t>Cotabato|City of Kidapawan</t>
        </is>
      </c>
      <c r="B492" t="inlineStr">
        <is>
          <t>9400</t>
        </is>
      </c>
    </row>
    <row r="493">
      <c r="A493" t="inlineStr">
        <is>
          <t>Cotabato|Kabacan</t>
        </is>
      </c>
      <c r="B493" t="inlineStr">
        <is>
          <t>9407</t>
        </is>
      </c>
    </row>
    <row r="494">
      <c r="A494" t="inlineStr">
        <is>
          <t>Cotabato|Libungan</t>
        </is>
      </c>
      <c r="B494" t="inlineStr">
        <is>
          <t>9411</t>
        </is>
      </c>
    </row>
    <row r="495">
      <c r="A495" t="inlineStr">
        <is>
          <t>Cotabato|M'Lang</t>
        </is>
      </c>
      <c r="B495" t="inlineStr">
        <is>
          <t>9402</t>
        </is>
      </c>
    </row>
    <row r="496">
      <c r="A496" t="inlineStr">
        <is>
          <t>Cotabato|Magpet</t>
        </is>
      </c>
      <c r="B496" t="inlineStr">
        <is>
          <t>9404</t>
        </is>
      </c>
    </row>
    <row r="497">
      <c r="A497" t="inlineStr">
        <is>
          <t>Cotabato|Makilala</t>
        </is>
      </c>
      <c r="B497" t="inlineStr">
        <is>
          <t>9401</t>
        </is>
      </c>
    </row>
    <row r="498">
      <c r="A498" t="inlineStr">
        <is>
          <t>Cotabato|Matalam</t>
        </is>
      </c>
      <c r="B498" t="inlineStr">
        <is>
          <t>9406</t>
        </is>
      </c>
    </row>
    <row r="499">
      <c r="A499" t="inlineStr">
        <is>
          <t>Cotabato|Midsayap</t>
        </is>
      </c>
      <c r="B499" t="inlineStr">
        <is>
          <t>9410</t>
        </is>
      </c>
    </row>
    <row r="500">
      <c r="A500" t="inlineStr">
        <is>
          <t>Cotabato|Pigkawayan</t>
        </is>
      </c>
      <c r="B500" t="inlineStr">
        <is>
          <t>9412</t>
        </is>
      </c>
    </row>
    <row r="501">
      <c r="A501" t="inlineStr">
        <is>
          <t>Cotabato|Pikit</t>
        </is>
      </c>
      <c r="B501" t="inlineStr">
        <is>
          <t>9409</t>
        </is>
      </c>
    </row>
    <row r="502">
      <c r="A502" t="inlineStr">
        <is>
          <t>Cotabato|President Roxas</t>
        </is>
      </c>
      <c r="B502" t="inlineStr">
        <is>
          <t>5803</t>
        </is>
      </c>
    </row>
    <row r="503">
      <c r="A503" t="inlineStr">
        <is>
          <t>Cotabato|Tulunan</t>
        </is>
      </c>
      <c r="B503" t="inlineStr">
        <is>
          <t>9403</t>
        </is>
      </c>
    </row>
    <row r="504">
      <c r="A504" t="inlineStr">
        <is>
          <t>Davao de Oro|Compostela</t>
        </is>
      </c>
      <c r="B504" t="inlineStr">
        <is>
          <t>6003</t>
        </is>
      </c>
    </row>
    <row r="505">
      <c r="A505" t="inlineStr">
        <is>
          <t>Davao de Oro|Laak</t>
        </is>
      </c>
      <c r="B505"/>
    </row>
    <row r="506">
      <c r="A506" t="inlineStr">
        <is>
          <t>Davao de Oro|Mabini</t>
        </is>
      </c>
      <c r="B506" t="inlineStr">
        <is>
          <t>4202</t>
        </is>
      </c>
    </row>
    <row r="507">
      <c r="A507" t="inlineStr">
        <is>
          <t>Davao de Oro|Maco</t>
        </is>
      </c>
      <c r="B507" t="inlineStr">
        <is>
          <t>8114</t>
        </is>
      </c>
    </row>
    <row r="508">
      <c r="A508" t="inlineStr">
        <is>
          <t>Davao de Oro|Maragusan</t>
        </is>
      </c>
      <c r="B508"/>
    </row>
    <row r="509">
      <c r="A509" t="inlineStr">
        <is>
          <t>Davao de Oro|Mawab</t>
        </is>
      </c>
      <c r="B509" t="inlineStr">
        <is>
          <t>8108</t>
        </is>
      </c>
    </row>
    <row r="510">
      <c r="A510" t="inlineStr">
        <is>
          <t>Davao de Oro|Monkayo</t>
        </is>
      </c>
      <c r="B510" t="inlineStr">
        <is>
          <t>8111</t>
        </is>
      </c>
    </row>
    <row r="511">
      <c r="A511" t="inlineStr">
        <is>
          <t>Davao de Oro|Montevista</t>
        </is>
      </c>
      <c r="B511" t="inlineStr">
        <is>
          <t>8107</t>
        </is>
      </c>
    </row>
    <row r="512">
      <c r="A512" t="inlineStr">
        <is>
          <t>Davao de Oro|Nabunturan</t>
        </is>
      </c>
      <c r="B512" t="inlineStr">
        <is>
          <t>8800</t>
        </is>
      </c>
    </row>
    <row r="513">
      <c r="A513" t="inlineStr">
        <is>
          <t>Davao de Oro|New Bataan</t>
        </is>
      </c>
      <c r="B513" t="inlineStr">
        <is>
          <t>8110</t>
        </is>
      </c>
    </row>
    <row r="514">
      <c r="A514" t="inlineStr">
        <is>
          <t>Davao de Oro|Pantukan</t>
        </is>
      </c>
      <c r="B514" t="inlineStr">
        <is>
          <t>8117</t>
        </is>
      </c>
    </row>
    <row r="515">
      <c r="A515" t="inlineStr">
        <is>
          <t>Davao del Norte|Asuncion</t>
        </is>
      </c>
      <c r="B515" t="inlineStr">
        <is>
          <t>8102</t>
        </is>
      </c>
    </row>
    <row r="516">
      <c r="A516" t="inlineStr">
        <is>
          <t>Davao del Norte|Braulio E. Dujali</t>
        </is>
      </c>
      <c r="B516" t="inlineStr">
        <is>
          <t>8106</t>
        </is>
      </c>
    </row>
    <row r="517">
      <c r="A517" t="inlineStr">
        <is>
          <t>Davao del Norte|Carmen</t>
        </is>
      </c>
      <c r="B517" t="inlineStr">
        <is>
          <t>8101</t>
        </is>
      </c>
    </row>
    <row r="518">
      <c r="A518" t="inlineStr">
        <is>
          <t>Davao del Norte|City of Panabo</t>
        </is>
      </c>
      <c r="B518" t="inlineStr">
        <is>
          <t>8105</t>
        </is>
      </c>
    </row>
    <row r="519">
      <c r="A519" t="inlineStr">
        <is>
          <t>Davao del Norte|City of Tagum</t>
        </is>
      </c>
      <c r="B519" t="inlineStr">
        <is>
          <t>8100</t>
        </is>
      </c>
    </row>
    <row r="520">
      <c r="A520" t="inlineStr">
        <is>
          <t>Davao del Norte|Island Garden City of Samal</t>
        </is>
      </c>
      <c r="B520" t="inlineStr">
        <is>
          <t>8119</t>
        </is>
      </c>
    </row>
    <row r="521">
      <c r="A521" t="inlineStr">
        <is>
          <t>Davao del Norte|Kapalong</t>
        </is>
      </c>
      <c r="B521" t="inlineStr">
        <is>
          <t>8113</t>
        </is>
      </c>
    </row>
    <row r="522">
      <c r="A522" t="inlineStr">
        <is>
          <t>Davao del Norte|New Corella</t>
        </is>
      </c>
      <c r="B522" t="inlineStr">
        <is>
          <t>8104</t>
        </is>
      </c>
    </row>
    <row r="523">
      <c r="A523" t="inlineStr">
        <is>
          <t>Davao del Norte|Santo Tomas</t>
        </is>
      </c>
      <c r="B523" t="inlineStr">
        <is>
          <t>8112</t>
        </is>
      </c>
    </row>
    <row r="524">
      <c r="A524" t="inlineStr">
        <is>
          <t>Davao del Norte|Sawata</t>
        </is>
      </c>
      <c r="B524"/>
    </row>
    <row r="525">
      <c r="A525" t="inlineStr">
        <is>
          <t>Davao del Norte|Talaingod</t>
        </is>
      </c>
      <c r="B525" t="inlineStr">
        <is>
          <t>8107</t>
        </is>
      </c>
    </row>
    <row r="526">
      <c r="A526" t="inlineStr">
        <is>
          <t>Davao del Sur|Bansalan</t>
        </is>
      </c>
      <c r="B526" t="inlineStr">
        <is>
          <t>8005</t>
        </is>
      </c>
    </row>
    <row r="527">
      <c r="A527" t="inlineStr">
        <is>
          <t>Davao del Sur|City of Digos</t>
        </is>
      </c>
      <c r="B527" t="inlineStr">
        <is>
          <t>8002</t>
        </is>
      </c>
    </row>
    <row r="528">
      <c r="A528" t="inlineStr">
        <is>
          <t>Davao del Sur|Hagonoy</t>
        </is>
      </c>
      <c r="B528" t="inlineStr">
        <is>
          <t>8006</t>
        </is>
      </c>
    </row>
    <row r="529">
      <c r="A529" t="inlineStr">
        <is>
          <t>Davao del Sur|Kiblawan</t>
        </is>
      </c>
      <c r="B529" t="inlineStr">
        <is>
          <t>8008</t>
        </is>
      </c>
    </row>
    <row r="530">
      <c r="A530" t="inlineStr">
        <is>
          <t>Davao del Sur|Magsaysay</t>
        </is>
      </c>
      <c r="B530" t="inlineStr">
        <is>
          <t>8004</t>
        </is>
      </c>
    </row>
    <row r="531">
      <c r="A531" t="inlineStr">
        <is>
          <t>Davao del Sur|Malalag</t>
        </is>
      </c>
      <c r="B531" t="inlineStr">
        <is>
          <t>8010</t>
        </is>
      </c>
    </row>
    <row r="532">
      <c r="A532" t="inlineStr">
        <is>
          <t>Davao del Sur|Matanao</t>
        </is>
      </c>
      <c r="B532" t="inlineStr">
        <is>
          <t>8003</t>
        </is>
      </c>
    </row>
    <row r="533">
      <c r="A533" t="inlineStr">
        <is>
          <t>Davao del Sur|Padada</t>
        </is>
      </c>
      <c r="B533" t="inlineStr">
        <is>
          <t>8007</t>
        </is>
      </c>
    </row>
    <row r="534">
      <c r="A534" t="inlineStr">
        <is>
          <t>Davao del Sur|Santa Cruz</t>
        </is>
      </c>
      <c r="B534" t="inlineStr">
        <is>
          <t>8001</t>
        </is>
      </c>
    </row>
    <row r="535">
      <c r="A535" t="inlineStr">
        <is>
          <t>Davao del Sur|Sulop</t>
        </is>
      </c>
      <c r="B535" t="inlineStr">
        <is>
          <t>8009</t>
        </is>
      </c>
    </row>
    <row r="536">
      <c r="A536" t="inlineStr">
        <is>
          <t>Davao Occidental|Don Marcelino</t>
        </is>
      </c>
      <c r="B536" t="inlineStr">
        <is>
          <t>8013</t>
        </is>
      </c>
    </row>
    <row r="537">
      <c r="A537" t="inlineStr">
        <is>
          <t>Davao Occidental|Jose Abad Santos</t>
        </is>
      </c>
      <c r="B537" t="inlineStr">
        <is>
          <t>8014</t>
        </is>
      </c>
    </row>
    <row r="538">
      <c r="A538" t="inlineStr">
        <is>
          <t>Davao Occidental|Malita</t>
        </is>
      </c>
      <c r="B538" t="inlineStr">
        <is>
          <t>8012</t>
        </is>
      </c>
    </row>
    <row r="539">
      <c r="A539" t="inlineStr">
        <is>
          <t>Davao Occidental|Santa Maria</t>
        </is>
      </c>
      <c r="B539" t="inlineStr">
        <is>
          <t>8011</t>
        </is>
      </c>
    </row>
    <row r="540">
      <c r="A540" t="inlineStr">
        <is>
          <t>Davao Occidental|Sarangani</t>
        </is>
      </c>
      <c r="B540" t="inlineStr">
        <is>
          <t>8015</t>
        </is>
      </c>
    </row>
    <row r="541">
      <c r="A541" t="inlineStr">
        <is>
          <t>Davao Oriental|Baganga</t>
        </is>
      </c>
      <c r="B541" t="inlineStr">
        <is>
          <t>8204</t>
        </is>
      </c>
    </row>
    <row r="542">
      <c r="A542" t="inlineStr">
        <is>
          <t>Davao Oriental|Banaybanay</t>
        </is>
      </c>
      <c r="B542" t="inlineStr">
        <is>
          <t>8208</t>
        </is>
      </c>
    </row>
    <row r="543">
      <c r="A543" t="inlineStr">
        <is>
          <t>Davao Oriental|Boston</t>
        </is>
      </c>
      <c r="B543" t="inlineStr">
        <is>
          <t>8206</t>
        </is>
      </c>
    </row>
    <row r="544">
      <c r="A544" t="inlineStr">
        <is>
          <t>Davao Oriental|Caraga</t>
        </is>
      </c>
      <c r="B544" t="inlineStr">
        <is>
          <t>8203</t>
        </is>
      </c>
    </row>
    <row r="545">
      <c r="A545" t="inlineStr">
        <is>
          <t>Davao Oriental|Cateel</t>
        </is>
      </c>
      <c r="B545" t="inlineStr">
        <is>
          <t>8205</t>
        </is>
      </c>
    </row>
    <row r="546">
      <c r="A546" t="inlineStr">
        <is>
          <t>Davao Oriental|City of Mati</t>
        </is>
      </c>
      <c r="B546" t="inlineStr">
        <is>
          <t>8200</t>
        </is>
      </c>
    </row>
    <row r="547">
      <c r="A547" t="inlineStr">
        <is>
          <t>Davao Oriental|Governor Generoso</t>
        </is>
      </c>
      <c r="B547"/>
    </row>
    <row r="548">
      <c r="A548" t="inlineStr">
        <is>
          <t>Davao Oriental|Lupon</t>
        </is>
      </c>
      <c r="B548" t="inlineStr">
        <is>
          <t>8207</t>
        </is>
      </c>
    </row>
    <row r="549">
      <c r="A549" t="inlineStr">
        <is>
          <t>Davao Oriental|Manay</t>
        </is>
      </c>
      <c r="B549" t="inlineStr">
        <is>
          <t>8202</t>
        </is>
      </c>
    </row>
    <row r="550">
      <c r="A550" t="inlineStr">
        <is>
          <t>Davao Oriental|San Isidro</t>
        </is>
      </c>
      <c r="B550" t="inlineStr">
        <is>
          <t>8209</t>
        </is>
      </c>
    </row>
    <row r="551">
      <c r="A551" t="inlineStr">
        <is>
          <t>Davao Oriental|Tarragona</t>
        </is>
      </c>
      <c r="B551" t="inlineStr">
        <is>
          <t>8201</t>
        </is>
      </c>
    </row>
    <row r="552">
      <c r="A552" t="inlineStr">
        <is>
          <t>Dinagat Islands|Basilisa</t>
        </is>
      </c>
      <c r="B552"/>
    </row>
    <row r="553">
      <c r="A553" t="inlineStr">
        <is>
          <t>Dinagat Islands|Cagdianao</t>
        </is>
      </c>
      <c r="B553" t="inlineStr">
        <is>
          <t>8411</t>
        </is>
      </c>
    </row>
    <row r="554">
      <c r="A554" t="inlineStr">
        <is>
          <t>Dinagat Islands|Dinagat</t>
        </is>
      </c>
      <c r="B554" t="inlineStr">
        <is>
          <t>8412</t>
        </is>
      </c>
    </row>
    <row r="555">
      <c r="A555" t="inlineStr">
        <is>
          <t>Dinagat Islands|Libjo</t>
        </is>
      </c>
      <c r="B555"/>
    </row>
    <row r="556">
      <c r="A556" t="inlineStr">
        <is>
          <t>Dinagat Islands|Loreto</t>
        </is>
      </c>
      <c r="B556" t="inlineStr">
        <is>
          <t>8415</t>
        </is>
      </c>
    </row>
    <row r="557">
      <c r="A557" t="inlineStr">
        <is>
          <t>Dinagat Islands|San Jose</t>
        </is>
      </c>
      <c r="B557" t="inlineStr">
        <is>
          <t>8427</t>
        </is>
      </c>
    </row>
    <row r="558">
      <c r="A558" t="inlineStr">
        <is>
          <t>Dinagat Islands|Tubajon</t>
        </is>
      </c>
      <c r="B558" t="inlineStr">
        <is>
          <t>8426</t>
        </is>
      </c>
    </row>
    <row r="559">
      <c r="A559" t="inlineStr">
        <is>
          <t>Eastern Samar|Arteche</t>
        </is>
      </c>
      <c r="B559" t="inlineStr">
        <is>
          <t>6822</t>
        </is>
      </c>
    </row>
    <row r="560">
      <c r="A560" t="inlineStr">
        <is>
          <t>Eastern Samar|Balangiga</t>
        </is>
      </c>
      <c r="B560" t="inlineStr">
        <is>
          <t>6812</t>
        </is>
      </c>
    </row>
    <row r="561">
      <c r="A561" t="inlineStr">
        <is>
          <t>Eastern Samar|Balangkayan</t>
        </is>
      </c>
      <c r="B561" t="inlineStr">
        <is>
          <t>6801</t>
        </is>
      </c>
    </row>
    <row r="562">
      <c r="A562" t="inlineStr">
        <is>
          <t>Eastern Samar|Can-Avid</t>
        </is>
      </c>
      <c r="B562" t="inlineStr">
        <is>
          <t>6806</t>
        </is>
      </c>
    </row>
    <row r="563">
      <c r="A563" t="inlineStr">
        <is>
          <t>Eastern Samar|City of Borongan</t>
        </is>
      </c>
      <c r="B563" t="inlineStr">
        <is>
          <t>6800</t>
        </is>
      </c>
    </row>
    <row r="564">
      <c r="A564" t="inlineStr">
        <is>
          <t>Eastern Samar|Dolores</t>
        </is>
      </c>
      <c r="B564" t="inlineStr">
        <is>
          <t>6817</t>
        </is>
      </c>
    </row>
    <row r="565">
      <c r="A565" t="inlineStr">
        <is>
          <t>Eastern Samar|General Macarthur</t>
        </is>
      </c>
      <c r="B565" t="inlineStr">
        <is>
          <t>6805</t>
        </is>
      </c>
    </row>
    <row r="566">
      <c r="A566" t="inlineStr">
        <is>
          <t>Eastern Samar|Giporlos</t>
        </is>
      </c>
      <c r="B566" t="inlineStr">
        <is>
          <t>6811</t>
        </is>
      </c>
    </row>
    <row r="567">
      <c r="A567" t="inlineStr">
        <is>
          <t>Eastern Samar|Guiuan</t>
        </is>
      </c>
      <c r="B567" t="inlineStr">
        <is>
          <t>6809</t>
        </is>
      </c>
    </row>
    <row r="568">
      <c r="A568" t="inlineStr">
        <is>
          <t>Eastern Samar|Hernani</t>
        </is>
      </c>
      <c r="B568" t="inlineStr">
        <is>
          <t>6804</t>
        </is>
      </c>
    </row>
    <row r="569">
      <c r="A569" t="inlineStr">
        <is>
          <t>Eastern Samar|Jipapad</t>
        </is>
      </c>
      <c r="B569" t="inlineStr">
        <is>
          <t>6819</t>
        </is>
      </c>
    </row>
    <row r="570">
      <c r="A570" t="inlineStr">
        <is>
          <t>Eastern Samar|Lawaan</t>
        </is>
      </c>
      <c r="B570" t="inlineStr">
        <is>
          <t>6813</t>
        </is>
      </c>
    </row>
    <row r="571">
      <c r="A571" t="inlineStr">
        <is>
          <t>Eastern Samar|Llorente</t>
        </is>
      </c>
      <c r="B571" t="inlineStr">
        <is>
          <t>6803</t>
        </is>
      </c>
    </row>
    <row r="572">
      <c r="A572" t="inlineStr">
        <is>
          <t>Eastern Samar|Maslog</t>
        </is>
      </c>
      <c r="B572" t="inlineStr">
        <is>
          <t>6820</t>
        </is>
      </c>
    </row>
    <row r="573">
      <c r="A573" t="inlineStr">
        <is>
          <t>Eastern Samar|Maydolong</t>
        </is>
      </c>
      <c r="B573" t="inlineStr">
        <is>
          <t>6802</t>
        </is>
      </c>
    </row>
    <row r="574">
      <c r="A574" t="inlineStr">
        <is>
          <t>Eastern Samar|Mercedes</t>
        </is>
      </c>
      <c r="B574" t="inlineStr">
        <is>
          <t>6808</t>
        </is>
      </c>
    </row>
    <row r="575">
      <c r="A575" t="inlineStr">
        <is>
          <t>Eastern Samar|Oras</t>
        </is>
      </c>
      <c r="B575" t="inlineStr">
        <is>
          <t>6818</t>
        </is>
      </c>
    </row>
    <row r="576">
      <c r="A576" t="inlineStr">
        <is>
          <t>Eastern Samar|Quinapondan</t>
        </is>
      </c>
      <c r="B576" t="inlineStr">
        <is>
          <t>6810</t>
        </is>
      </c>
    </row>
    <row r="577">
      <c r="A577" t="inlineStr">
        <is>
          <t>Eastern Samar|Salcedo</t>
        </is>
      </c>
      <c r="B577" t="inlineStr">
        <is>
          <t>6807</t>
        </is>
      </c>
    </row>
    <row r="578">
      <c r="A578" t="inlineStr">
        <is>
          <t>Eastern Samar|San Julian</t>
        </is>
      </c>
      <c r="B578" t="inlineStr">
        <is>
          <t>6814</t>
        </is>
      </c>
    </row>
    <row r="579">
      <c r="A579" t="inlineStr">
        <is>
          <t>Eastern Samar|San Policarpo</t>
        </is>
      </c>
      <c r="B579" t="inlineStr">
        <is>
          <t>6821</t>
        </is>
      </c>
    </row>
    <row r="580">
      <c r="A580" t="inlineStr">
        <is>
          <t>Eastern Samar|Sulat</t>
        </is>
      </c>
      <c r="B580" t="inlineStr">
        <is>
          <t>6815</t>
        </is>
      </c>
    </row>
    <row r="581">
      <c r="A581" t="inlineStr">
        <is>
          <t>Eastern Samar|Taft</t>
        </is>
      </c>
      <c r="B581" t="inlineStr">
        <is>
          <t>6816</t>
        </is>
      </c>
    </row>
    <row r="582">
      <c r="A582" t="inlineStr">
        <is>
          <t>Guimaras|Buenavista</t>
        </is>
      </c>
      <c r="B582" t="inlineStr">
        <is>
          <t>5044</t>
        </is>
      </c>
    </row>
    <row r="583">
      <c r="A583" t="inlineStr">
        <is>
          <t>Guimaras|Jordan</t>
        </is>
      </c>
      <c r="B583" t="inlineStr">
        <is>
          <t>5045</t>
        </is>
      </c>
    </row>
    <row r="584">
      <c r="A584" t="inlineStr">
        <is>
          <t>Guimaras|Nueva Valencia</t>
        </is>
      </c>
      <c r="B584" t="inlineStr">
        <is>
          <t>5046</t>
        </is>
      </c>
    </row>
    <row r="585">
      <c r="A585" t="inlineStr">
        <is>
          <t>Guimaras|San Lorenzo</t>
        </is>
      </c>
      <c r="B585" t="inlineStr">
        <is>
          <t>5047</t>
        </is>
      </c>
    </row>
    <row r="586">
      <c r="A586" t="inlineStr">
        <is>
          <t>Guimaras|Sibunag</t>
        </is>
      </c>
      <c r="B586" t="inlineStr">
        <is>
          <t>5048</t>
        </is>
      </c>
    </row>
    <row r="587">
      <c r="A587" t="inlineStr">
        <is>
          <t>Ifugao|Aguinaldo</t>
        </is>
      </c>
      <c r="B587" t="inlineStr">
        <is>
          <t>3606</t>
        </is>
      </c>
    </row>
    <row r="588">
      <c r="A588" t="inlineStr">
        <is>
          <t>Ifugao|Alfonso Lista</t>
        </is>
      </c>
      <c r="B588"/>
    </row>
    <row r="589">
      <c r="A589" t="inlineStr">
        <is>
          <t>Ifugao|Asipulo</t>
        </is>
      </c>
      <c r="B589" t="inlineStr">
        <is>
          <t>3610</t>
        </is>
      </c>
    </row>
    <row r="590">
      <c r="A590" t="inlineStr">
        <is>
          <t>Ifugao|Banaue</t>
        </is>
      </c>
      <c r="B590" t="inlineStr">
        <is>
          <t>3601</t>
        </is>
      </c>
    </row>
    <row r="591">
      <c r="A591" t="inlineStr">
        <is>
          <t>Ifugao|Hingyon</t>
        </is>
      </c>
      <c r="B591" t="inlineStr">
        <is>
          <t>3607</t>
        </is>
      </c>
    </row>
    <row r="592">
      <c r="A592" t="inlineStr">
        <is>
          <t>Ifugao|Hungduan</t>
        </is>
      </c>
      <c r="B592" t="inlineStr">
        <is>
          <t>3603</t>
        </is>
      </c>
    </row>
    <row r="593">
      <c r="A593" t="inlineStr">
        <is>
          <t>Ifugao|Kiangan</t>
        </is>
      </c>
      <c r="B593" t="inlineStr">
        <is>
          <t>3604</t>
        </is>
      </c>
    </row>
    <row r="594">
      <c r="A594" t="inlineStr">
        <is>
          <t>Ifugao|Lagawe</t>
        </is>
      </c>
      <c r="B594" t="inlineStr">
        <is>
          <t>3600</t>
        </is>
      </c>
    </row>
    <row r="595">
      <c r="A595" t="inlineStr">
        <is>
          <t>Ifugao|Lamut</t>
        </is>
      </c>
      <c r="B595" t="inlineStr">
        <is>
          <t>3605</t>
        </is>
      </c>
    </row>
    <row r="596">
      <c r="A596" t="inlineStr">
        <is>
          <t>Ifugao|Mayoyao</t>
        </is>
      </c>
      <c r="B596" t="inlineStr">
        <is>
          <t>3602</t>
        </is>
      </c>
    </row>
    <row r="597">
      <c r="A597" t="inlineStr">
        <is>
          <t>Ifugao|Tinoc</t>
        </is>
      </c>
      <c r="B597" t="inlineStr">
        <is>
          <t>3609</t>
        </is>
      </c>
    </row>
    <row r="598">
      <c r="A598" t="inlineStr">
        <is>
          <t>Ilocos Norte|Adams</t>
        </is>
      </c>
      <c r="B598" t="inlineStr">
        <is>
          <t>2922</t>
        </is>
      </c>
    </row>
    <row r="599">
      <c r="A599" t="inlineStr">
        <is>
          <t>Ilocos Norte|Bacarra</t>
        </is>
      </c>
      <c r="B599" t="inlineStr">
        <is>
          <t>2916</t>
        </is>
      </c>
    </row>
    <row r="600">
      <c r="A600" t="inlineStr">
        <is>
          <t>Ilocos Norte|Badoc</t>
        </is>
      </c>
      <c r="B600" t="inlineStr">
        <is>
          <t>2904</t>
        </is>
      </c>
    </row>
    <row r="601">
      <c r="A601" t="inlineStr">
        <is>
          <t>Ilocos Norte|Bangui</t>
        </is>
      </c>
      <c r="B601" t="inlineStr">
        <is>
          <t>2920</t>
        </is>
      </c>
    </row>
    <row r="602">
      <c r="A602" t="inlineStr">
        <is>
          <t>Ilocos Norte|Banna</t>
        </is>
      </c>
      <c r="B602" t="inlineStr">
        <is>
          <t>2908</t>
        </is>
      </c>
    </row>
    <row r="603">
      <c r="A603" t="inlineStr">
        <is>
          <t>Ilocos Norte|Burgos</t>
        </is>
      </c>
      <c r="B603" t="inlineStr">
        <is>
          <t>2918</t>
        </is>
      </c>
    </row>
    <row r="604">
      <c r="A604" t="inlineStr">
        <is>
          <t>Ilocos Norte|Carasi</t>
        </is>
      </c>
      <c r="B604" t="inlineStr">
        <is>
          <t>2911</t>
        </is>
      </c>
    </row>
    <row r="605">
      <c r="A605" t="inlineStr">
        <is>
          <t>Ilocos Norte|City of Batac</t>
        </is>
      </c>
      <c r="B605" t="inlineStr">
        <is>
          <t>2906</t>
        </is>
      </c>
    </row>
    <row r="606">
      <c r="A606" t="inlineStr">
        <is>
          <t>Ilocos Norte|City of Laoag</t>
        </is>
      </c>
      <c r="B606" t="inlineStr">
        <is>
          <t>2900</t>
        </is>
      </c>
    </row>
    <row r="607">
      <c r="A607" t="inlineStr">
        <is>
          <t>Ilocos Norte|Currimao</t>
        </is>
      </c>
      <c r="B607" t="inlineStr">
        <is>
          <t>2903</t>
        </is>
      </c>
    </row>
    <row r="608">
      <c r="A608" t="inlineStr">
        <is>
          <t>Ilocos Norte|Dingras</t>
        </is>
      </c>
      <c r="B608" t="inlineStr">
        <is>
          <t>2913</t>
        </is>
      </c>
    </row>
    <row r="609">
      <c r="A609" t="inlineStr">
        <is>
          <t>Ilocos Norte|Dumalneg</t>
        </is>
      </c>
      <c r="B609" t="inlineStr">
        <is>
          <t>2921</t>
        </is>
      </c>
    </row>
    <row r="610">
      <c r="A610" t="inlineStr">
        <is>
          <t>Ilocos Norte|Marcos</t>
        </is>
      </c>
      <c r="B610" t="inlineStr">
        <is>
          <t>2907</t>
        </is>
      </c>
    </row>
    <row r="611">
      <c r="A611" t="inlineStr">
        <is>
          <t>Ilocos Norte|Nueva Era</t>
        </is>
      </c>
      <c r="B611" t="inlineStr">
        <is>
          <t>2909</t>
        </is>
      </c>
    </row>
    <row r="612">
      <c r="A612" t="inlineStr">
        <is>
          <t>Ilocos Norte|Pagudpud</t>
        </is>
      </c>
      <c r="B612" t="inlineStr">
        <is>
          <t>2919</t>
        </is>
      </c>
    </row>
    <row r="613">
      <c r="A613" t="inlineStr">
        <is>
          <t>Ilocos Norte|Paoay</t>
        </is>
      </c>
      <c r="B613" t="inlineStr">
        <is>
          <t>2902</t>
        </is>
      </c>
    </row>
    <row r="614">
      <c r="A614" t="inlineStr">
        <is>
          <t>Ilocos Norte|Pasuquin</t>
        </is>
      </c>
      <c r="B614" t="inlineStr">
        <is>
          <t>2917</t>
        </is>
      </c>
    </row>
    <row r="615">
      <c r="A615" t="inlineStr">
        <is>
          <t>Ilocos Norte|Piddig</t>
        </is>
      </c>
      <c r="B615" t="inlineStr">
        <is>
          <t>2912</t>
        </is>
      </c>
    </row>
    <row r="616">
      <c r="A616" t="inlineStr">
        <is>
          <t>Ilocos Norte|Pinili</t>
        </is>
      </c>
      <c r="B616" t="inlineStr">
        <is>
          <t>2905</t>
        </is>
      </c>
    </row>
    <row r="617">
      <c r="A617" t="inlineStr">
        <is>
          <t>Ilocos Norte|San Nicolas</t>
        </is>
      </c>
      <c r="B617" t="inlineStr">
        <is>
          <t>2901</t>
        </is>
      </c>
    </row>
    <row r="618">
      <c r="A618" t="inlineStr">
        <is>
          <t>Ilocos Norte|Sarrat</t>
        </is>
      </c>
      <c r="B618" t="inlineStr">
        <is>
          <t>2914</t>
        </is>
      </c>
    </row>
    <row r="619">
      <c r="A619" t="inlineStr">
        <is>
          <t>Ilocos Norte|Solsona</t>
        </is>
      </c>
      <c r="B619" t="inlineStr">
        <is>
          <t>2910</t>
        </is>
      </c>
    </row>
    <row r="620">
      <c r="A620" t="inlineStr">
        <is>
          <t>Ilocos Norte|Vintar</t>
        </is>
      </c>
      <c r="B620" t="inlineStr">
        <is>
          <t>2915</t>
        </is>
      </c>
    </row>
    <row r="621">
      <c r="A621" t="inlineStr">
        <is>
          <t>Ilocos Sur|Alilem</t>
        </is>
      </c>
      <c r="B621" t="inlineStr">
        <is>
          <t>2716</t>
        </is>
      </c>
    </row>
    <row r="622">
      <c r="A622" t="inlineStr">
        <is>
          <t>Ilocos Sur|Banayoyo</t>
        </is>
      </c>
      <c r="B622" t="inlineStr">
        <is>
          <t>2708</t>
        </is>
      </c>
    </row>
    <row r="623">
      <c r="A623" t="inlineStr">
        <is>
          <t>Ilocos Sur|Bantay</t>
        </is>
      </c>
      <c r="B623" t="inlineStr">
        <is>
          <t>2727</t>
        </is>
      </c>
    </row>
    <row r="624">
      <c r="A624" t="inlineStr">
        <is>
          <t>Ilocos Sur|Burgos</t>
        </is>
      </c>
      <c r="B624" t="inlineStr">
        <is>
          <t>2724</t>
        </is>
      </c>
    </row>
    <row r="625">
      <c r="A625" t="inlineStr">
        <is>
          <t>Ilocos Sur|Cabugao</t>
        </is>
      </c>
      <c r="B625" t="inlineStr">
        <is>
          <t>2732</t>
        </is>
      </c>
    </row>
    <row r="626">
      <c r="A626" t="inlineStr">
        <is>
          <t>Ilocos Sur|Caoayan</t>
        </is>
      </c>
      <c r="B626" t="inlineStr">
        <is>
          <t>2702</t>
        </is>
      </c>
    </row>
    <row r="627">
      <c r="A627" t="inlineStr">
        <is>
          <t>Ilocos Sur|Cervantes</t>
        </is>
      </c>
      <c r="B627" t="inlineStr">
        <is>
          <t>2718</t>
        </is>
      </c>
    </row>
    <row r="628">
      <c r="A628" t="inlineStr">
        <is>
          <t>Ilocos Sur|City of Candon</t>
        </is>
      </c>
      <c r="B628" t="inlineStr">
        <is>
          <t>2710</t>
        </is>
      </c>
    </row>
    <row r="629">
      <c r="A629" t="inlineStr">
        <is>
          <t>Ilocos Sur|City of Vigan</t>
        </is>
      </c>
      <c r="B629" t="inlineStr">
        <is>
          <t>2700</t>
        </is>
      </c>
    </row>
    <row r="630">
      <c r="A630" t="inlineStr">
        <is>
          <t>Ilocos Sur|Galimuyod</t>
        </is>
      </c>
      <c r="B630" t="inlineStr">
        <is>
          <t>2709</t>
        </is>
      </c>
    </row>
    <row r="631">
      <c r="A631" t="inlineStr">
        <is>
          <t>Ilocos Sur|Gregorio del Pilar</t>
        </is>
      </c>
      <c r="B631" t="inlineStr">
        <is>
          <t>2720</t>
        </is>
      </c>
    </row>
    <row r="632">
      <c r="A632" t="inlineStr">
        <is>
          <t>Ilocos Sur|Lidlidda</t>
        </is>
      </c>
      <c r="B632" t="inlineStr">
        <is>
          <t>2723</t>
        </is>
      </c>
    </row>
    <row r="633">
      <c r="A633" t="inlineStr">
        <is>
          <t>Ilocos Sur|Magsingal</t>
        </is>
      </c>
      <c r="B633" t="inlineStr">
        <is>
          <t>2730</t>
        </is>
      </c>
    </row>
    <row r="634">
      <c r="A634" t="inlineStr">
        <is>
          <t>Ilocos Sur|Nagbukel</t>
        </is>
      </c>
      <c r="B634" t="inlineStr">
        <is>
          <t>2725</t>
        </is>
      </c>
    </row>
    <row r="635">
      <c r="A635" t="inlineStr">
        <is>
          <t>Ilocos Sur|Narvacan</t>
        </is>
      </c>
      <c r="B635" t="inlineStr">
        <is>
          <t>2704</t>
        </is>
      </c>
    </row>
    <row r="636">
      <c r="A636" t="inlineStr">
        <is>
          <t>Ilocos Sur|Quirino</t>
        </is>
      </c>
      <c r="B636" t="inlineStr">
        <is>
          <t>3321</t>
        </is>
      </c>
    </row>
    <row r="637">
      <c r="A637" t="inlineStr">
        <is>
          <t>Ilocos Sur|Salcedo</t>
        </is>
      </c>
      <c r="B637" t="inlineStr">
        <is>
          <t>6807</t>
        </is>
      </c>
    </row>
    <row r="638">
      <c r="A638" t="inlineStr">
        <is>
          <t>Ilocos Sur|San Emilio</t>
        </is>
      </c>
      <c r="B638" t="inlineStr">
        <is>
          <t>2722</t>
        </is>
      </c>
    </row>
    <row r="639">
      <c r="A639" t="inlineStr">
        <is>
          <t>Ilocos Sur|San Esteban</t>
        </is>
      </c>
      <c r="B639" t="inlineStr">
        <is>
          <t>2706</t>
        </is>
      </c>
    </row>
    <row r="640">
      <c r="A640" t="inlineStr">
        <is>
          <t>Ilocos Sur|San Ildefonso</t>
        </is>
      </c>
      <c r="B640" t="inlineStr">
        <is>
          <t>2728</t>
        </is>
      </c>
    </row>
    <row r="641">
      <c r="A641" t="inlineStr">
        <is>
          <t>Ilocos Sur|San Juan</t>
        </is>
      </c>
      <c r="B641" t="inlineStr">
        <is>
          <t>2823</t>
        </is>
      </c>
    </row>
    <row r="642">
      <c r="A642" t="inlineStr">
        <is>
          <t>Ilocos Sur|San Vicente</t>
        </is>
      </c>
      <c r="B642" t="inlineStr">
        <is>
          <t>2726</t>
        </is>
      </c>
    </row>
    <row r="643">
      <c r="A643" t="inlineStr">
        <is>
          <t>Ilocos Sur|Santa</t>
        </is>
      </c>
      <c r="B643" t="inlineStr">
        <is>
          <t>2703</t>
        </is>
      </c>
    </row>
    <row r="644">
      <c r="A644" t="inlineStr">
        <is>
          <t>Ilocos Sur|Santa Catalina</t>
        </is>
      </c>
      <c r="B644" t="inlineStr">
        <is>
          <t>2701</t>
        </is>
      </c>
    </row>
    <row r="645">
      <c r="A645" t="inlineStr">
        <is>
          <t>Ilocos Sur|Santa Cruz</t>
        </is>
      </c>
      <c r="B645" t="inlineStr">
        <is>
          <t>2713</t>
        </is>
      </c>
    </row>
    <row r="646">
      <c r="A646" t="inlineStr">
        <is>
          <t>Ilocos Sur|Santa Lucia</t>
        </is>
      </c>
      <c r="B646" t="inlineStr">
        <is>
          <t>2712</t>
        </is>
      </c>
    </row>
    <row r="647">
      <c r="A647" t="inlineStr">
        <is>
          <t>Ilocos Sur|Santa Maria</t>
        </is>
      </c>
      <c r="B647" t="inlineStr">
        <is>
          <t>2705</t>
        </is>
      </c>
    </row>
    <row r="648">
      <c r="A648" t="inlineStr">
        <is>
          <t>Ilocos Sur|Santiago</t>
        </is>
      </c>
      <c r="B648" t="inlineStr">
        <is>
          <t>2707</t>
        </is>
      </c>
    </row>
    <row r="649">
      <c r="A649" t="inlineStr">
        <is>
          <t>Ilocos Sur|Santo Domingo</t>
        </is>
      </c>
      <c r="B649" t="inlineStr">
        <is>
          <t>2729</t>
        </is>
      </c>
    </row>
    <row r="650">
      <c r="A650" t="inlineStr">
        <is>
          <t>Ilocos Sur|Sigay</t>
        </is>
      </c>
      <c r="B650" t="inlineStr">
        <is>
          <t>2719</t>
        </is>
      </c>
    </row>
    <row r="651">
      <c r="A651" t="inlineStr">
        <is>
          <t>Ilocos Sur|Sinait</t>
        </is>
      </c>
      <c r="B651" t="inlineStr">
        <is>
          <t>2733</t>
        </is>
      </c>
    </row>
    <row r="652">
      <c r="A652" t="inlineStr">
        <is>
          <t>Ilocos Sur|Sugpon</t>
        </is>
      </c>
      <c r="B652" t="inlineStr">
        <is>
          <t>2717</t>
        </is>
      </c>
    </row>
    <row r="653">
      <c r="A653" t="inlineStr">
        <is>
          <t>Ilocos Sur|Suyo</t>
        </is>
      </c>
      <c r="B653" t="inlineStr">
        <is>
          <t>2715</t>
        </is>
      </c>
    </row>
    <row r="654">
      <c r="A654" t="inlineStr">
        <is>
          <t>Ilocos Sur|Tagudin</t>
        </is>
      </c>
      <c r="B654" t="inlineStr">
        <is>
          <t>2714</t>
        </is>
      </c>
    </row>
    <row r="655">
      <c r="A655" t="inlineStr">
        <is>
          <t>Iloilo|Ajuy</t>
        </is>
      </c>
      <c r="B655" t="inlineStr">
        <is>
          <t>5012</t>
        </is>
      </c>
    </row>
    <row r="656">
      <c r="A656" t="inlineStr">
        <is>
          <t>Iloilo|Alimodian</t>
        </is>
      </c>
      <c r="B656" t="inlineStr">
        <is>
          <t>5028</t>
        </is>
      </c>
    </row>
    <row r="657">
      <c r="A657" t="inlineStr">
        <is>
          <t>Iloilo|Anilao</t>
        </is>
      </c>
      <c r="B657" t="inlineStr">
        <is>
          <t>5009</t>
        </is>
      </c>
    </row>
    <row r="658">
      <c r="A658" t="inlineStr">
        <is>
          <t>Iloilo|Badiangan</t>
        </is>
      </c>
      <c r="B658" t="inlineStr">
        <is>
          <t>5033</t>
        </is>
      </c>
    </row>
    <row r="659">
      <c r="A659" t="inlineStr">
        <is>
          <t>Iloilo|Balasan</t>
        </is>
      </c>
      <c r="B659" t="inlineStr">
        <is>
          <t>5018</t>
        </is>
      </c>
    </row>
    <row r="660">
      <c r="A660" t="inlineStr">
        <is>
          <t>Iloilo|Banate</t>
        </is>
      </c>
      <c r="B660" t="inlineStr">
        <is>
          <t>5010</t>
        </is>
      </c>
    </row>
    <row r="661">
      <c r="A661" t="inlineStr">
        <is>
          <t>Iloilo|Barotac Nuevo</t>
        </is>
      </c>
      <c r="B661" t="inlineStr">
        <is>
          <t>5007</t>
        </is>
      </c>
    </row>
    <row r="662">
      <c r="A662" t="inlineStr">
        <is>
          <t>Iloilo|Barotac Viejo</t>
        </is>
      </c>
      <c r="B662" t="inlineStr">
        <is>
          <t>5011</t>
        </is>
      </c>
    </row>
    <row r="663">
      <c r="A663" t="inlineStr">
        <is>
          <t>Iloilo|Batad</t>
        </is>
      </c>
      <c r="B663" t="inlineStr">
        <is>
          <t>5016</t>
        </is>
      </c>
    </row>
    <row r="664">
      <c r="A664" t="inlineStr">
        <is>
          <t>Iloilo|Bingawan</t>
        </is>
      </c>
      <c r="B664" t="inlineStr">
        <is>
          <t>5041</t>
        </is>
      </c>
    </row>
    <row r="665">
      <c r="A665" t="inlineStr">
        <is>
          <t>Iloilo|Cabatuan</t>
        </is>
      </c>
      <c r="B665" t="inlineStr">
        <is>
          <t>5031</t>
        </is>
      </c>
    </row>
    <row r="666">
      <c r="A666" t="inlineStr">
        <is>
          <t>Iloilo|Calinog</t>
        </is>
      </c>
      <c r="B666" t="inlineStr">
        <is>
          <t>5040</t>
        </is>
      </c>
    </row>
    <row r="667">
      <c r="A667" t="inlineStr">
        <is>
          <t>Iloilo|Carles</t>
        </is>
      </c>
      <c r="B667" t="inlineStr">
        <is>
          <t>5019</t>
        </is>
      </c>
    </row>
    <row r="668">
      <c r="A668" t="inlineStr">
        <is>
          <t>Iloilo|City of Passi</t>
        </is>
      </c>
      <c r="B668" t="inlineStr">
        <is>
          <t>5037</t>
        </is>
      </c>
    </row>
    <row r="669">
      <c r="A669" t="inlineStr">
        <is>
          <t>Iloilo|Concepcion</t>
        </is>
      </c>
      <c r="B669" t="inlineStr">
        <is>
          <t>5013</t>
        </is>
      </c>
    </row>
    <row r="670">
      <c r="A670" t="inlineStr">
        <is>
          <t>Iloilo|Dingle</t>
        </is>
      </c>
      <c r="B670" t="inlineStr">
        <is>
          <t>5035</t>
        </is>
      </c>
    </row>
    <row r="671">
      <c r="A671" t="inlineStr">
        <is>
          <t>Iloilo|Dueñas</t>
        </is>
      </c>
      <c r="B671" t="inlineStr">
        <is>
          <t>5038</t>
        </is>
      </c>
    </row>
    <row r="672">
      <c r="A672" t="inlineStr">
        <is>
          <t>Iloilo|Dumangas</t>
        </is>
      </c>
      <c r="B672" t="inlineStr">
        <is>
          <t>5006</t>
        </is>
      </c>
    </row>
    <row r="673">
      <c r="A673" t="inlineStr">
        <is>
          <t>Iloilo|Estancia</t>
        </is>
      </c>
      <c r="B673" t="inlineStr">
        <is>
          <t>5017</t>
        </is>
      </c>
    </row>
    <row r="674">
      <c r="A674" t="inlineStr">
        <is>
          <t>Iloilo|Guimbal</t>
        </is>
      </c>
      <c r="B674" t="inlineStr">
        <is>
          <t>5022</t>
        </is>
      </c>
    </row>
    <row r="675">
      <c r="A675" t="inlineStr">
        <is>
          <t>Iloilo|Igbaras</t>
        </is>
      </c>
      <c r="B675" t="inlineStr">
        <is>
          <t>5029</t>
        </is>
      </c>
    </row>
    <row r="676">
      <c r="A676" t="inlineStr">
        <is>
          <t>Iloilo|Janiuay</t>
        </is>
      </c>
      <c r="B676" t="inlineStr">
        <is>
          <t>5034</t>
        </is>
      </c>
    </row>
    <row r="677">
      <c r="A677" t="inlineStr">
        <is>
          <t>Iloilo|Lambunao</t>
        </is>
      </c>
      <c r="B677" t="inlineStr">
        <is>
          <t>5042</t>
        </is>
      </c>
    </row>
    <row r="678">
      <c r="A678" t="inlineStr">
        <is>
          <t>Iloilo|Leganes</t>
        </is>
      </c>
      <c r="B678" t="inlineStr">
        <is>
          <t>5003</t>
        </is>
      </c>
    </row>
    <row r="679">
      <c r="A679" t="inlineStr">
        <is>
          <t>Iloilo|Lemery</t>
        </is>
      </c>
      <c r="B679" t="inlineStr">
        <is>
          <t>5043</t>
        </is>
      </c>
    </row>
    <row r="680">
      <c r="A680" t="inlineStr">
        <is>
          <t>Iloilo|Leon</t>
        </is>
      </c>
      <c r="B680" t="inlineStr">
        <is>
          <t>5026</t>
        </is>
      </c>
    </row>
    <row r="681">
      <c r="A681" t="inlineStr">
        <is>
          <t>Iloilo|Maasin</t>
        </is>
      </c>
      <c r="B681" t="inlineStr">
        <is>
          <t>5030</t>
        </is>
      </c>
    </row>
    <row r="682">
      <c r="A682" t="inlineStr">
        <is>
          <t>Iloilo|Miagao</t>
        </is>
      </c>
      <c r="B682" t="inlineStr">
        <is>
          <t>5023</t>
        </is>
      </c>
    </row>
    <row r="683">
      <c r="A683" t="inlineStr">
        <is>
          <t>Iloilo|Mina</t>
        </is>
      </c>
      <c r="B683" t="inlineStr">
        <is>
          <t>5032</t>
        </is>
      </c>
    </row>
    <row r="684">
      <c r="A684" t="inlineStr">
        <is>
          <t>Iloilo|New Lucena</t>
        </is>
      </c>
      <c r="B684" t="inlineStr">
        <is>
          <t>5005</t>
        </is>
      </c>
    </row>
    <row r="685">
      <c r="A685" t="inlineStr">
        <is>
          <t>Iloilo|Oton</t>
        </is>
      </c>
      <c r="B685" t="inlineStr">
        <is>
          <t>5020</t>
        </is>
      </c>
    </row>
    <row r="686">
      <c r="A686" t="inlineStr">
        <is>
          <t>Iloilo|Pavia</t>
        </is>
      </c>
      <c r="B686" t="inlineStr">
        <is>
          <t>5001</t>
        </is>
      </c>
    </row>
    <row r="687">
      <c r="A687" t="inlineStr">
        <is>
          <t>Iloilo|Pototan</t>
        </is>
      </c>
      <c r="B687" t="inlineStr">
        <is>
          <t>5008</t>
        </is>
      </c>
    </row>
    <row r="688">
      <c r="A688" t="inlineStr">
        <is>
          <t>Iloilo|San Dionisio</t>
        </is>
      </c>
      <c r="B688" t="inlineStr">
        <is>
          <t>5015</t>
        </is>
      </c>
    </row>
    <row r="689">
      <c r="A689" t="inlineStr">
        <is>
          <t>Iloilo|San Enrique</t>
        </is>
      </c>
      <c r="B689" t="inlineStr">
        <is>
          <t>5036</t>
        </is>
      </c>
    </row>
    <row r="690">
      <c r="A690" t="inlineStr">
        <is>
          <t>Iloilo|San Joaquin</t>
        </is>
      </c>
      <c r="B690" t="inlineStr">
        <is>
          <t>5024</t>
        </is>
      </c>
    </row>
    <row r="691">
      <c r="A691" t="inlineStr">
        <is>
          <t>Iloilo|San Miguel</t>
        </is>
      </c>
      <c r="B691" t="inlineStr">
        <is>
          <t>5025</t>
        </is>
      </c>
    </row>
    <row r="692">
      <c r="A692" t="inlineStr">
        <is>
          <t>Iloilo|San Rafael</t>
        </is>
      </c>
      <c r="B692" t="inlineStr">
        <is>
          <t>5039</t>
        </is>
      </c>
    </row>
    <row r="693">
      <c r="A693" t="inlineStr">
        <is>
          <t>Iloilo|Santa Barbara</t>
        </is>
      </c>
      <c r="B693" t="inlineStr">
        <is>
          <t>5002</t>
        </is>
      </c>
    </row>
    <row r="694">
      <c r="A694" t="inlineStr">
        <is>
          <t>Iloilo|Sara</t>
        </is>
      </c>
      <c r="B694" t="inlineStr">
        <is>
          <t>5014</t>
        </is>
      </c>
    </row>
    <row r="695">
      <c r="A695" t="inlineStr">
        <is>
          <t>Iloilo|Tigbauan</t>
        </is>
      </c>
      <c r="B695" t="inlineStr">
        <is>
          <t>5021</t>
        </is>
      </c>
    </row>
    <row r="696">
      <c r="A696" t="inlineStr">
        <is>
          <t>Iloilo|Tubungan</t>
        </is>
      </c>
      <c r="B696" t="inlineStr">
        <is>
          <t>5027</t>
        </is>
      </c>
    </row>
    <row r="697">
      <c r="A697" t="inlineStr">
        <is>
          <t>Iloilo|Zarraga</t>
        </is>
      </c>
      <c r="B697" t="inlineStr">
        <is>
          <t>5004</t>
        </is>
      </c>
    </row>
    <row r="698">
      <c r="A698" t="inlineStr">
        <is>
          <t>Independent Cities — Cordillera Administrative Region (CAR)|City of Baguio</t>
        </is>
      </c>
      <c r="B698"/>
    </row>
    <row r="699">
      <c r="A699" t="inlineStr">
        <is>
          <t>Independent Cities — MIMAROPA Region|City of Puerto Princesa</t>
        </is>
      </c>
      <c r="B699"/>
    </row>
    <row r="700">
      <c r="A700" t="inlineStr">
        <is>
          <t>Independent Cities — Negros Island Region (NIR)|City of Bacolod</t>
        </is>
      </c>
      <c r="B700"/>
    </row>
    <row r="701">
      <c r="A701" t="inlineStr">
        <is>
          <t>Independent Cities — Region III (Central Luzon)|City of Angeles</t>
        </is>
      </c>
      <c r="B701"/>
    </row>
    <row r="702">
      <c r="A702" t="inlineStr">
        <is>
          <t>Independent Cities — Region III (Central Luzon)|City of Olongapo</t>
        </is>
      </c>
      <c r="B702"/>
    </row>
    <row r="703">
      <c r="A703" t="inlineStr">
        <is>
          <t>Independent Cities — Region IV-A (CALABARZON)|City of Lucena</t>
        </is>
      </c>
      <c r="B703"/>
    </row>
    <row r="704">
      <c r="A704" t="inlineStr">
        <is>
          <t>Independent Cities — Region IX (Zamboanga Peninsula)|City of Zamboanga</t>
        </is>
      </c>
      <c r="B704"/>
    </row>
    <row r="705">
      <c r="A705" t="inlineStr">
        <is>
          <t>Independent Cities — Region VI (Western Visayas)|City of Iloilo</t>
        </is>
      </c>
      <c r="B705"/>
    </row>
    <row r="706">
      <c r="A706" t="inlineStr">
        <is>
          <t>Independent Cities — Region VII (Central Visayas)|City of Cebu</t>
        </is>
      </c>
      <c r="B706"/>
    </row>
    <row r="707">
      <c r="A707" t="inlineStr">
        <is>
          <t>Independent Cities — Region VII (Central Visayas)|City of Lapu-Lapu</t>
        </is>
      </c>
      <c r="B707"/>
    </row>
    <row r="708">
      <c r="A708" t="inlineStr">
        <is>
          <t>Independent Cities — Region VII (Central Visayas)|City of Mandaue</t>
        </is>
      </c>
      <c r="B708"/>
    </row>
    <row r="709">
      <c r="A709" t="inlineStr">
        <is>
          <t>Independent Cities — Region VIII (Eastern Visayas)|City of Tacloban</t>
        </is>
      </c>
      <c r="B709"/>
    </row>
    <row r="710">
      <c r="A710" t="inlineStr">
        <is>
          <t>Independent Cities — Region X (Northern Mindanao)|City of Cagayan De Oro</t>
        </is>
      </c>
      <c r="B710"/>
    </row>
    <row r="711">
      <c r="A711" t="inlineStr">
        <is>
          <t>Independent Cities — Region X (Northern Mindanao)|City of Iligan</t>
        </is>
      </c>
      <c r="B711"/>
    </row>
    <row r="712">
      <c r="A712" t="inlineStr">
        <is>
          <t>Independent Cities — Region XI (Davao Region)|City of Davao</t>
        </is>
      </c>
      <c r="B712"/>
    </row>
    <row r="713">
      <c r="A713" t="inlineStr">
        <is>
          <t>Independent Cities — Region XII (SOCCSKSARGEN)|City of General Santos</t>
        </is>
      </c>
      <c r="B713"/>
    </row>
    <row r="714">
      <c r="A714" t="inlineStr">
        <is>
          <t>Independent Cities — Region XIII (Caraga)|City of Butuan</t>
        </is>
      </c>
      <c r="B714"/>
    </row>
    <row r="715">
      <c r="A715" t="inlineStr">
        <is>
          <t>Isabela|Alicia</t>
        </is>
      </c>
      <c r="B715" t="inlineStr">
        <is>
          <t>3306</t>
        </is>
      </c>
    </row>
    <row r="716">
      <c r="A716" t="inlineStr">
        <is>
          <t>Isabela|Angadanan</t>
        </is>
      </c>
      <c r="B716" t="inlineStr">
        <is>
          <t>3307</t>
        </is>
      </c>
    </row>
    <row r="717">
      <c r="A717" t="inlineStr">
        <is>
          <t>Isabela|Aurora</t>
        </is>
      </c>
      <c r="B717" t="inlineStr">
        <is>
          <t>3316</t>
        </is>
      </c>
    </row>
    <row r="718">
      <c r="A718" t="inlineStr">
        <is>
          <t>Isabela|Benito Soliven</t>
        </is>
      </c>
      <c r="B718" t="inlineStr">
        <is>
          <t>3331</t>
        </is>
      </c>
    </row>
    <row r="719">
      <c r="A719" t="inlineStr">
        <is>
          <t>Isabela|Burgos</t>
        </is>
      </c>
      <c r="B719" t="inlineStr">
        <is>
          <t>3322</t>
        </is>
      </c>
    </row>
    <row r="720">
      <c r="A720" t="inlineStr">
        <is>
          <t>Isabela|Cabagan</t>
        </is>
      </c>
      <c r="B720" t="inlineStr">
        <is>
          <t>3328</t>
        </is>
      </c>
    </row>
    <row r="721">
      <c r="A721" t="inlineStr">
        <is>
          <t>Isabela|Cabatuan</t>
        </is>
      </c>
      <c r="B721" t="inlineStr">
        <is>
          <t>3315</t>
        </is>
      </c>
    </row>
    <row r="722">
      <c r="A722" t="inlineStr">
        <is>
          <t>Isabela|City of Cauayan</t>
        </is>
      </c>
      <c r="B722" t="inlineStr">
        <is>
          <t>3305</t>
        </is>
      </c>
    </row>
    <row r="723">
      <c r="A723" t="inlineStr">
        <is>
          <t>Isabela|City of Ilagan</t>
        </is>
      </c>
      <c r="B723" t="inlineStr">
        <is>
          <t>3300</t>
        </is>
      </c>
    </row>
    <row r="724">
      <c r="A724" t="inlineStr">
        <is>
          <t>Isabela|City of Santiago</t>
        </is>
      </c>
      <c r="B724" t="inlineStr">
        <is>
          <t>3311</t>
        </is>
      </c>
    </row>
    <row r="725">
      <c r="A725" t="inlineStr">
        <is>
          <t>Isabela|Cordon</t>
        </is>
      </c>
      <c r="B725" t="inlineStr">
        <is>
          <t>3312</t>
        </is>
      </c>
    </row>
    <row r="726">
      <c r="A726" t="inlineStr">
        <is>
          <t>Isabela|Delfin Albano</t>
        </is>
      </c>
      <c r="B726" t="inlineStr">
        <is>
          <t>3326</t>
        </is>
      </c>
    </row>
    <row r="727">
      <c r="A727" t="inlineStr">
        <is>
          <t>Isabela|Dinapigue</t>
        </is>
      </c>
      <c r="B727" t="inlineStr">
        <is>
          <t>3336</t>
        </is>
      </c>
    </row>
    <row r="728">
      <c r="A728" t="inlineStr">
        <is>
          <t>Isabela|Divilacan</t>
        </is>
      </c>
      <c r="B728" t="inlineStr">
        <is>
          <t>3335</t>
        </is>
      </c>
    </row>
    <row r="729">
      <c r="A729" t="inlineStr">
        <is>
          <t>Isabela|Echague</t>
        </is>
      </c>
      <c r="B729" t="inlineStr">
        <is>
          <t>3309</t>
        </is>
      </c>
    </row>
    <row r="730">
      <c r="A730" t="inlineStr">
        <is>
          <t>Isabela|Gamu</t>
        </is>
      </c>
      <c r="B730" t="inlineStr">
        <is>
          <t>3301</t>
        </is>
      </c>
    </row>
    <row r="731">
      <c r="A731" t="inlineStr">
        <is>
          <t>Isabela|Jones</t>
        </is>
      </c>
      <c r="B731" t="inlineStr">
        <is>
          <t>3313</t>
        </is>
      </c>
    </row>
    <row r="732">
      <c r="A732" t="inlineStr">
        <is>
          <t>Isabela|Luna</t>
        </is>
      </c>
      <c r="B732" t="inlineStr">
        <is>
          <t>3304</t>
        </is>
      </c>
    </row>
    <row r="733">
      <c r="A733" t="inlineStr">
        <is>
          <t>Isabela|Maconacon</t>
        </is>
      </c>
      <c r="B733" t="inlineStr">
        <is>
          <t>3333</t>
        </is>
      </c>
    </row>
    <row r="734">
      <c r="A734" t="inlineStr">
        <is>
          <t>Isabela|Mallig</t>
        </is>
      </c>
      <c r="B734" t="inlineStr">
        <is>
          <t>3323</t>
        </is>
      </c>
    </row>
    <row r="735">
      <c r="A735" t="inlineStr">
        <is>
          <t>Isabela|Naguilian</t>
        </is>
      </c>
      <c r="B735" t="inlineStr">
        <is>
          <t>2511</t>
        </is>
      </c>
    </row>
    <row r="736">
      <c r="A736" t="inlineStr">
        <is>
          <t>Isabela|Palanan</t>
        </is>
      </c>
      <c r="B736" t="inlineStr">
        <is>
          <t>3334</t>
        </is>
      </c>
    </row>
    <row r="737">
      <c r="A737" t="inlineStr">
        <is>
          <t>Isabela|Quezon</t>
        </is>
      </c>
      <c r="B737" t="inlineStr">
        <is>
          <t>3324</t>
        </is>
      </c>
    </row>
    <row r="738">
      <c r="A738" t="inlineStr">
        <is>
          <t>Isabela|Quirino</t>
        </is>
      </c>
      <c r="B738" t="inlineStr">
        <is>
          <t>3321</t>
        </is>
      </c>
    </row>
    <row r="739">
      <c r="A739" t="inlineStr">
        <is>
          <t>Isabela|Ramon</t>
        </is>
      </c>
      <c r="B739" t="inlineStr">
        <is>
          <t>3319</t>
        </is>
      </c>
    </row>
    <row r="740">
      <c r="A740" t="inlineStr">
        <is>
          <t>Isabela|Reina Mercedes</t>
        </is>
      </c>
      <c r="B740" t="inlineStr">
        <is>
          <t>3303</t>
        </is>
      </c>
    </row>
    <row r="741">
      <c r="A741" t="inlineStr">
        <is>
          <t>Isabela|Roxas</t>
        </is>
      </c>
      <c r="B741" t="inlineStr">
        <is>
          <t>3320</t>
        </is>
      </c>
    </row>
    <row r="742">
      <c r="A742" t="inlineStr">
        <is>
          <t>Isabela|San Agustin</t>
        </is>
      </c>
      <c r="B742" t="inlineStr">
        <is>
          <t>3314</t>
        </is>
      </c>
    </row>
    <row r="743">
      <c r="A743" t="inlineStr">
        <is>
          <t>Isabela|San Guillermo</t>
        </is>
      </c>
      <c r="B743" t="inlineStr">
        <is>
          <t>3308</t>
        </is>
      </c>
    </row>
    <row r="744">
      <c r="A744" t="inlineStr">
        <is>
          <t>Isabela|San Isidro</t>
        </is>
      </c>
      <c r="B744" t="inlineStr">
        <is>
          <t>3310</t>
        </is>
      </c>
    </row>
    <row r="745">
      <c r="A745" t="inlineStr">
        <is>
          <t>Isabela|San Manuel</t>
        </is>
      </c>
      <c r="B745" t="inlineStr">
        <is>
          <t>3317</t>
        </is>
      </c>
    </row>
    <row r="746">
      <c r="A746" t="inlineStr">
        <is>
          <t>Isabela|San Mariano</t>
        </is>
      </c>
      <c r="B746" t="inlineStr">
        <is>
          <t>3332</t>
        </is>
      </c>
    </row>
    <row r="747">
      <c r="A747" t="inlineStr">
        <is>
          <t>Isabela|San Mateo</t>
        </is>
      </c>
      <c r="B747" t="inlineStr">
        <is>
          <t>3318</t>
        </is>
      </c>
    </row>
    <row r="748">
      <c r="A748" t="inlineStr">
        <is>
          <t>Isabela|San Pablo</t>
        </is>
      </c>
      <c r="B748" t="inlineStr">
        <is>
          <t>3329</t>
        </is>
      </c>
    </row>
    <row r="749">
      <c r="A749" t="inlineStr">
        <is>
          <t>Isabela|Santa Maria</t>
        </is>
      </c>
      <c r="B749" t="inlineStr">
        <is>
          <t>3330</t>
        </is>
      </c>
    </row>
    <row r="750">
      <c r="A750" t="inlineStr">
        <is>
          <t>Isabela|Santo Tomas</t>
        </is>
      </c>
      <c r="B750" t="inlineStr">
        <is>
          <t>3327</t>
        </is>
      </c>
    </row>
    <row r="751">
      <c r="A751" t="inlineStr">
        <is>
          <t>Isabela|Tumauini</t>
        </is>
      </c>
      <c r="B751" t="inlineStr">
        <is>
          <t>3325</t>
        </is>
      </c>
    </row>
    <row r="752">
      <c r="A752" t="inlineStr">
        <is>
          <t>Kalinga|Balbalan</t>
        </is>
      </c>
      <c r="B752" t="inlineStr">
        <is>
          <t>3801</t>
        </is>
      </c>
    </row>
    <row r="753">
      <c r="A753" t="inlineStr">
        <is>
          <t>Kalinga|City of Tabuk</t>
        </is>
      </c>
      <c r="B753" t="inlineStr">
        <is>
          <t>3800</t>
        </is>
      </c>
    </row>
    <row r="754">
      <c r="A754" t="inlineStr">
        <is>
          <t>Kalinga|Lubuagan</t>
        </is>
      </c>
      <c r="B754" t="inlineStr">
        <is>
          <t>3802</t>
        </is>
      </c>
    </row>
    <row r="755">
      <c r="A755" t="inlineStr">
        <is>
          <t>Kalinga|Pasil</t>
        </is>
      </c>
      <c r="B755" t="inlineStr">
        <is>
          <t>3803</t>
        </is>
      </c>
    </row>
    <row r="756">
      <c r="A756" t="inlineStr">
        <is>
          <t>Kalinga|Pinukpuk</t>
        </is>
      </c>
      <c r="B756" t="inlineStr">
        <is>
          <t>3806</t>
        </is>
      </c>
    </row>
    <row r="757">
      <c r="A757" t="inlineStr">
        <is>
          <t>Kalinga|Rizal</t>
        </is>
      </c>
      <c r="B757" t="inlineStr">
        <is>
          <t>3808</t>
        </is>
      </c>
    </row>
    <row r="758">
      <c r="A758" t="inlineStr">
        <is>
          <t>Kalinga|Tanudan</t>
        </is>
      </c>
      <c r="B758" t="inlineStr">
        <is>
          <t>3805</t>
        </is>
      </c>
    </row>
    <row r="759">
      <c r="A759" t="inlineStr">
        <is>
          <t>Kalinga|Tinglayan</t>
        </is>
      </c>
      <c r="B759" t="inlineStr">
        <is>
          <t>3804</t>
        </is>
      </c>
    </row>
    <row r="760">
      <c r="A760" t="inlineStr">
        <is>
          <t>La Union|Agoo</t>
        </is>
      </c>
      <c r="B760" t="inlineStr">
        <is>
          <t>2504</t>
        </is>
      </c>
    </row>
    <row r="761">
      <c r="A761" t="inlineStr">
        <is>
          <t>La Union|Aringay</t>
        </is>
      </c>
      <c r="B761" t="inlineStr">
        <is>
          <t>2503</t>
        </is>
      </c>
    </row>
    <row r="762">
      <c r="A762" t="inlineStr">
        <is>
          <t>La Union|Bacnotan</t>
        </is>
      </c>
      <c r="B762" t="inlineStr">
        <is>
          <t>2515</t>
        </is>
      </c>
    </row>
    <row r="763">
      <c r="A763" t="inlineStr">
        <is>
          <t>La Union|Bagulin</t>
        </is>
      </c>
      <c r="B763" t="inlineStr">
        <is>
          <t>2512</t>
        </is>
      </c>
    </row>
    <row r="764">
      <c r="A764" t="inlineStr">
        <is>
          <t>La Union|Balaoan</t>
        </is>
      </c>
      <c r="B764" t="inlineStr">
        <is>
          <t>2517</t>
        </is>
      </c>
    </row>
    <row r="765">
      <c r="A765" t="inlineStr">
        <is>
          <t>La Union|Bangar</t>
        </is>
      </c>
      <c r="B765" t="inlineStr">
        <is>
          <t>2519</t>
        </is>
      </c>
    </row>
    <row r="766">
      <c r="A766" t="inlineStr">
        <is>
          <t>La Union|Bauang</t>
        </is>
      </c>
      <c r="B766" t="inlineStr">
        <is>
          <t>2501</t>
        </is>
      </c>
    </row>
    <row r="767">
      <c r="A767" t="inlineStr">
        <is>
          <t>La Union|Burgos</t>
        </is>
      </c>
      <c r="B767" t="inlineStr">
        <is>
          <t>2510</t>
        </is>
      </c>
    </row>
    <row r="768">
      <c r="A768" t="inlineStr">
        <is>
          <t>La Union|Caba</t>
        </is>
      </c>
      <c r="B768" t="inlineStr">
        <is>
          <t>2502</t>
        </is>
      </c>
    </row>
    <row r="769">
      <c r="A769" t="inlineStr">
        <is>
          <t>La Union|City of San Fernando</t>
        </is>
      </c>
      <c r="B769" t="inlineStr">
        <is>
          <t>2500</t>
        </is>
      </c>
    </row>
    <row r="770">
      <c r="A770" t="inlineStr">
        <is>
          <t>La Union|Luna</t>
        </is>
      </c>
      <c r="B770" t="inlineStr">
        <is>
          <t>2518</t>
        </is>
      </c>
    </row>
    <row r="771">
      <c r="A771" t="inlineStr">
        <is>
          <t>La Union|Naguilian</t>
        </is>
      </c>
      <c r="B771" t="inlineStr">
        <is>
          <t>2511</t>
        </is>
      </c>
    </row>
    <row r="772">
      <c r="A772" t="inlineStr">
        <is>
          <t>La Union|Pugo</t>
        </is>
      </c>
      <c r="B772" t="inlineStr">
        <is>
          <t>2508</t>
        </is>
      </c>
    </row>
    <row r="773">
      <c r="A773" t="inlineStr">
        <is>
          <t>La Union|Rosario</t>
        </is>
      </c>
      <c r="B773" t="inlineStr">
        <is>
          <t>2506</t>
        </is>
      </c>
    </row>
    <row r="774">
      <c r="A774" t="inlineStr">
        <is>
          <t>La Union|San Gabriel</t>
        </is>
      </c>
      <c r="B774" t="inlineStr">
        <is>
          <t>2513</t>
        </is>
      </c>
    </row>
    <row r="775">
      <c r="A775" t="inlineStr">
        <is>
          <t>La Union|San Juan</t>
        </is>
      </c>
      <c r="B775" t="inlineStr">
        <is>
          <t>2514</t>
        </is>
      </c>
    </row>
    <row r="776">
      <c r="A776" t="inlineStr">
        <is>
          <t>La Union|Santo Tomas</t>
        </is>
      </c>
      <c r="B776" t="inlineStr">
        <is>
          <t>2505</t>
        </is>
      </c>
    </row>
    <row r="777">
      <c r="A777" t="inlineStr">
        <is>
          <t>La Union|Santol</t>
        </is>
      </c>
      <c r="B777" t="inlineStr">
        <is>
          <t>2516</t>
        </is>
      </c>
    </row>
    <row r="778">
      <c r="A778" t="inlineStr">
        <is>
          <t>La Union|Sudipen</t>
        </is>
      </c>
      <c r="B778" t="inlineStr">
        <is>
          <t>2520</t>
        </is>
      </c>
    </row>
    <row r="779">
      <c r="A779" t="inlineStr">
        <is>
          <t>La Union|Tubao</t>
        </is>
      </c>
      <c r="B779" t="inlineStr">
        <is>
          <t>2509</t>
        </is>
      </c>
    </row>
    <row r="780">
      <c r="A780" t="inlineStr">
        <is>
          <t>Laguna|Alaminos</t>
        </is>
      </c>
      <c r="B780" t="inlineStr">
        <is>
          <t>4001</t>
        </is>
      </c>
    </row>
    <row r="781">
      <c r="A781" t="inlineStr">
        <is>
          <t>Laguna|Bay</t>
        </is>
      </c>
      <c r="B781" t="inlineStr">
        <is>
          <t>4033</t>
        </is>
      </c>
    </row>
    <row r="782">
      <c r="A782" t="inlineStr">
        <is>
          <t>Laguna|Calauan</t>
        </is>
      </c>
      <c r="B782" t="inlineStr">
        <is>
          <t>4012</t>
        </is>
      </c>
    </row>
    <row r="783">
      <c r="A783" t="inlineStr">
        <is>
          <t>Laguna|Cavinti</t>
        </is>
      </c>
      <c r="B783" t="inlineStr">
        <is>
          <t>4013</t>
        </is>
      </c>
    </row>
    <row r="784">
      <c r="A784" t="inlineStr">
        <is>
          <t>Laguna|City of Biñan</t>
        </is>
      </c>
      <c r="B784" t="inlineStr">
        <is>
          <t>4024</t>
        </is>
      </c>
    </row>
    <row r="785">
      <c r="A785" t="inlineStr">
        <is>
          <t>Laguna|City of Cabuyao</t>
        </is>
      </c>
      <c r="B785" t="inlineStr">
        <is>
          <t>4025</t>
        </is>
      </c>
    </row>
    <row r="786">
      <c r="A786" t="inlineStr">
        <is>
          <t>Laguna|City of Calamba</t>
        </is>
      </c>
      <c r="B786" t="inlineStr">
        <is>
          <t>4027</t>
        </is>
      </c>
    </row>
    <row r="787">
      <c r="A787" t="inlineStr">
        <is>
          <t>Laguna|City of San Pablo</t>
        </is>
      </c>
      <c r="B787" t="inlineStr">
        <is>
          <t>4000</t>
        </is>
      </c>
    </row>
    <row r="788">
      <c r="A788" t="inlineStr">
        <is>
          <t>Laguna|City of San Pedro</t>
        </is>
      </c>
      <c r="B788" t="inlineStr">
        <is>
          <t>4023</t>
        </is>
      </c>
    </row>
    <row r="789">
      <c r="A789" t="inlineStr">
        <is>
          <t>Laguna|City of Santa Rosa</t>
        </is>
      </c>
      <c r="B789" t="inlineStr">
        <is>
          <t>4026</t>
        </is>
      </c>
    </row>
    <row r="790">
      <c r="A790" t="inlineStr">
        <is>
          <t>Laguna|Famy</t>
        </is>
      </c>
      <c r="B790" t="inlineStr">
        <is>
          <t>4021</t>
        </is>
      </c>
    </row>
    <row r="791">
      <c r="A791" t="inlineStr">
        <is>
          <t>Laguna|Kalayaan</t>
        </is>
      </c>
      <c r="B791" t="inlineStr">
        <is>
          <t>4015</t>
        </is>
      </c>
    </row>
    <row r="792">
      <c r="A792" t="inlineStr">
        <is>
          <t>Laguna|Liliw</t>
        </is>
      </c>
      <c r="B792" t="inlineStr">
        <is>
          <t>4004</t>
        </is>
      </c>
    </row>
    <row r="793">
      <c r="A793" t="inlineStr">
        <is>
          <t>Laguna|Los Baños</t>
        </is>
      </c>
      <c r="B793" t="inlineStr">
        <is>
          <t>4030</t>
        </is>
      </c>
    </row>
    <row r="794">
      <c r="A794" t="inlineStr">
        <is>
          <t>Laguna|Luisiana</t>
        </is>
      </c>
      <c r="B794" t="inlineStr">
        <is>
          <t>4032</t>
        </is>
      </c>
    </row>
    <row r="795">
      <c r="A795" t="inlineStr">
        <is>
          <t>Laguna|Lumban</t>
        </is>
      </c>
      <c r="B795" t="inlineStr">
        <is>
          <t>4014</t>
        </is>
      </c>
    </row>
    <row r="796">
      <c r="A796" t="inlineStr">
        <is>
          <t>Laguna|Mabitac</t>
        </is>
      </c>
      <c r="B796" t="inlineStr">
        <is>
          <t>4020</t>
        </is>
      </c>
    </row>
    <row r="797">
      <c r="A797" t="inlineStr">
        <is>
          <t>Laguna|Magdalena</t>
        </is>
      </c>
      <c r="B797" t="inlineStr">
        <is>
          <t>4007</t>
        </is>
      </c>
    </row>
    <row r="798">
      <c r="A798" t="inlineStr">
        <is>
          <t>Laguna|Majayjay</t>
        </is>
      </c>
      <c r="B798" t="inlineStr">
        <is>
          <t>4005</t>
        </is>
      </c>
    </row>
    <row r="799">
      <c r="A799" t="inlineStr">
        <is>
          <t>Laguna|Nagcarlan</t>
        </is>
      </c>
      <c r="B799" t="inlineStr">
        <is>
          <t>4002</t>
        </is>
      </c>
    </row>
    <row r="800">
      <c r="A800" t="inlineStr">
        <is>
          <t>Laguna|Paete</t>
        </is>
      </c>
      <c r="B800" t="inlineStr">
        <is>
          <t>4016</t>
        </is>
      </c>
    </row>
    <row r="801">
      <c r="A801" t="inlineStr">
        <is>
          <t>Laguna|Pagsanjan</t>
        </is>
      </c>
      <c r="B801" t="inlineStr">
        <is>
          <t>4008</t>
        </is>
      </c>
    </row>
    <row r="802">
      <c r="A802" t="inlineStr">
        <is>
          <t>Laguna|Pakil</t>
        </is>
      </c>
      <c r="B802" t="inlineStr">
        <is>
          <t>4017</t>
        </is>
      </c>
    </row>
    <row r="803">
      <c r="A803" t="inlineStr">
        <is>
          <t>Laguna|Pangil</t>
        </is>
      </c>
      <c r="B803" t="inlineStr">
        <is>
          <t>4018</t>
        </is>
      </c>
    </row>
    <row r="804">
      <c r="A804" t="inlineStr">
        <is>
          <t>Laguna|Pila</t>
        </is>
      </c>
      <c r="B804" t="inlineStr">
        <is>
          <t>4010</t>
        </is>
      </c>
    </row>
    <row r="805">
      <c r="A805" t="inlineStr">
        <is>
          <t>Laguna|Rizal</t>
        </is>
      </c>
      <c r="B805" t="inlineStr">
        <is>
          <t>4003</t>
        </is>
      </c>
    </row>
    <row r="806">
      <c r="A806" t="inlineStr">
        <is>
          <t>Laguna|Santa Cruz</t>
        </is>
      </c>
      <c r="B806" t="inlineStr">
        <is>
          <t>4009</t>
        </is>
      </c>
    </row>
    <row r="807">
      <c r="A807" t="inlineStr">
        <is>
          <t>Laguna|Santa Maria</t>
        </is>
      </c>
      <c r="B807" t="inlineStr">
        <is>
          <t>4022</t>
        </is>
      </c>
    </row>
    <row r="808">
      <c r="A808" t="inlineStr">
        <is>
          <t>Laguna|Siniloan</t>
        </is>
      </c>
      <c r="B808" t="inlineStr">
        <is>
          <t>4019</t>
        </is>
      </c>
    </row>
    <row r="809">
      <c r="A809" t="inlineStr">
        <is>
          <t>Laguna|Victoria</t>
        </is>
      </c>
      <c r="B809" t="inlineStr">
        <is>
          <t>4011</t>
        </is>
      </c>
    </row>
    <row r="810">
      <c r="A810" t="inlineStr">
        <is>
          <t>Lanao del Norte|Bacolod</t>
        </is>
      </c>
      <c r="B810" t="inlineStr">
        <is>
          <t>9205</t>
        </is>
      </c>
    </row>
    <row r="811">
      <c r="A811" t="inlineStr">
        <is>
          <t>Lanao del Norte|Baloi</t>
        </is>
      </c>
      <c r="B811" t="inlineStr">
        <is>
          <t>9217</t>
        </is>
      </c>
    </row>
    <row r="812">
      <c r="A812" t="inlineStr">
        <is>
          <t>Lanao del Norte|Baroy</t>
        </is>
      </c>
      <c r="B812" t="inlineStr">
        <is>
          <t>9210</t>
        </is>
      </c>
    </row>
    <row r="813">
      <c r="A813" t="inlineStr">
        <is>
          <t>Lanao del Norte|Kapatagan</t>
        </is>
      </c>
      <c r="B813" t="inlineStr">
        <is>
          <t>9214</t>
        </is>
      </c>
    </row>
    <row r="814">
      <c r="A814" t="inlineStr">
        <is>
          <t>Lanao del Norte|Kauswagan</t>
        </is>
      </c>
      <c r="B814" t="inlineStr">
        <is>
          <t>9202</t>
        </is>
      </c>
    </row>
    <row r="815">
      <c r="A815" t="inlineStr">
        <is>
          <t>Lanao del Norte|Kolambugan</t>
        </is>
      </c>
      <c r="B815" t="inlineStr">
        <is>
          <t>9207</t>
        </is>
      </c>
    </row>
    <row r="816">
      <c r="A816" t="inlineStr">
        <is>
          <t>Lanao del Norte|Lala</t>
        </is>
      </c>
      <c r="B816" t="inlineStr">
        <is>
          <t>9211</t>
        </is>
      </c>
    </row>
    <row r="817">
      <c r="A817" t="inlineStr">
        <is>
          <t>Lanao del Norte|Linamon</t>
        </is>
      </c>
      <c r="B817" t="inlineStr">
        <is>
          <t>9201</t>
        </is>
      </c>
    </row>
    <row r="818">
      <c r="A818" t="inlineStr">
        <is>
          <t>Lanao del Norte|Magsaysay</t>
        </is>
      </c>
      <c r="B818" t="inlineStr">
        <is>
          <t>9221</t>
        </is>
      </c>
    </row>
    <row r="819">
      <c r="A819" t="inlineStr">
        <is>
          <t>Lanao del Norte|Maigo</t>
        </is>
      </c>
      <c r="B819" t="inlineStr">
        <is>
          <t>9206</t>
        </is>
      </c>
    </row>
    <row r="820">
      <c r="A820" t="inlineStr">
        <is>
          <t>Lanao del Norte|Matungao</t>
        </is>
      </c>
      <c r="B820" t="inlineStr">
        <is>
          <t>9203</t>
        </is>
      </c>
    </row>
    <row r="821">
      <c r="A821" t="inlineStr">
        <is>
          <t>Lanao del Norte|Munai</t>
        </is>
      </c>
      <c r="B821" t="inlineStr">
        <is>
          <t>9219</t>
        </is>
      </c>
    </row>
    <row r="822">
      <c r="A822" t="inlineStr">
        <is>
          <t>Lanao del Norte|Nunungan</t>
        </is>
      </c>
      <c r="B822" t="inlineStr">
        <is>
          <t>9216</t>
        </is>
      </c>
    </row>
    <row r="823">
      <c r="A823" t="inlineStr">
        <is>
          <t>Lanao del Norte|Pantao Ragat</t>
        </is>
      </c>
      <c r="B823" t="inlineStr">
        <is>
          <t>9208</t>
        </is>
      </c>
    </row>
    <row r="824">
      <c r="A824" t="inlineStr">
        <is>
          <t>Lanao del Norte|Pantar</t>
        </is>
      </c>
      <c r="B824" t="inlineStr">
        <is>
          <t>9218</t>
        </is>
      </c>
    </row>
    <row r="825">
      <c r="A825" t="inlineStr">
        <is>
          <t>Lanao del Norte|Poona Piagapo</t>
        </is>
      </c>
      <c r="B825" t="inlineStr">
        <is>
          <t>9204</t>
        </is>
      </c>
    </row>
    <row r="826">
      <c r="A826" t="inlineStr">
        <is>
          <t>Lanao del Norte|Salvador</t>
        </is>
      </c>
      <c r="B826" t="inlineStr">
        <is>
          <t>9212</t>
        </is>
      </c>
    </row>
    <row r="827">
      <c r="A827" t="inlineStr">
        <is>
          <t>Lanao del Norte|Sapad</t>
        </is>
      </c>
      <c r="B827" t="inlineStr">
        <is>
          <t>9213</t>
        </is>
      </c>
    </row>
    <row r="828">
      <c r="A828" t="inlineStr">
        <is>
          <t>Lanao del Norte|Sultan Naga Dimaporo</t>
        </is>
      </c>
      <c r="B828"/>
    </row>
    <row r="829">
      <c r="A829" t="inlineStr">
        <is>
          <t>Lanao del Norte|Tagoloan</t>
        </is>
      </c>
      <c r="B829" t="inlineStr">
        <is>
          <t>9222</t>
        </is>
      </c>
    </row>
    <row r="830">
      <c r="A830" t="inlineStr">
        <is>
          <t>Lanao del Norte|Tangcal</t>
        </is>
      </c>
      <c r="B830" t="inlineStr">
        <is>
          <t>9220</t>
        </is>
      </c>
    </row>
    <row r="831">
      <c r="A831" t="inlineStr">
        <is>
          <t>Lanao del Norte|Tubod</t>
        </is>
      </c>
      <c r="B831" t="inlineStr">
        <is>
          <t>9209</t>
        </is>
      </c>
    </row>
    <row r="832">
      <c r="A832" t="inlineStr">
        <is>
          <t>Lanao del Sur|Amai Manabilang</t>
        </is>
      </c>
      <c r="B832"/>
    </row>
    <row r="833">
      <c r="A833" t="inlineStr">
        <is>
          <t>Lanao del Sur|Bacolod-Kalawi</t>
        </is>
      </c>
      <c r="B833"/>
    </row>
    <row r="834">
      <c r="A834" t="inlineStr">
        <is>
          <t>Lanao del Sur|Balabagan</t>
        </is>
      </c>
      <c r="B834"/>
    </row>
    <row r="835">
      <c r="A835" t="inlineStr">
        <is>
          <t>Lanao del Sur|Balindong</t>
        </is>
      </c>
      <c r="B835"/>
    </row>
    <row r="836">
      <c r="A836" t="inlineStr">
        <is>
          <t>Lanao del Sur|Bayang</t>
        </is>
      </c>
      <c r="B836"/>
    </row>
    <row r="837">
      <c r="A837" t="inlineStr">
        <is>
          <t>Lanao del Sur|Binidayan</t>
        </is>
      </c>
      <c r="B837"/>
    </row>
    <row r="838">
      <c r="A838" t="inlineStr">
        <is>
          <t>Lanao del Sur|Buadiposo-Buntong</t>
        </is>
      </c>
      <c r="B838"/>
    </row>
    <row r="839">
      <c r="A839" t="inlineStr">
        <is>
          <t>Lanao del Sur|Bubong</t>
        </is>
      </c>
      <c r="B839"/>
    </row>
    <row r="840">
      <c r="A840" t="inlineStr">
        <is>
          <t>Lanao del Sur|Butig</t>
        </is>
      </c>
      <c r="B840"/>
    </row>
    <row r="841">
      <c r="A841" t="inlineStr">
        <is>
          <t>Lanao del Sur|Calanogas</t>
        </is>
      </c>
      <c r="B841"/>
    </row>
    <row r="842">
      <c r="A842" t="inlineStr">
        <is>
          <t>Lanao del Sur|City of Marawi</t>
        </is>
      </c>
      <c r="B842"/>
    </row>
    <row r="843">
      <c r="A843" t="inlineStr">
        <is>
          <t>Lanao del Sur|Ditsaan-Ramain</t>
        </is>
      </c>
      <c r="B843"/>
    </row>
    <row r="844">
      <c r="A844" t="inlineStr">
        <is>
          <t>Lanao del Sur|Ganassi</t>
        </is>
      </c>
      <c r="B844"/>
    </row>
    <row r="845">
      <c r="A845" t="inlineStr">
        <is>
          <t>Lanao del Sur|Kapai</t>
        </is>
      </c>
      <c r="B845"/>
    </row>
    <row r="846">
      <c r="A846" t="inlineStr">
        <is>
          <t>Lanao del Sur|Kapatagan</t>
        </is>
      </c>
      <c r="B846"/>
    </row>
    <row r="847">
      <c r="A847" t="inlineStr">
        <is>
          <t>Lanao del Sur|Lumba-Bayabao</t>
        </is>
      </c>
      <c r="B847"/>
    </row>
    <row r="848">
      <c r="A848" t="inlineStr">
        <is>
          <t>Lanao del Sur|Lumbaca-Unayan</t>
        </is>
      </c>
      <c r="B848"/>
    </row>
    <row r="849">
      <c r="A849" t="inlineStr">
        <is>
          <t>Lanao del Sur|Lumbatan</t>
        </is>
      </c>
      <c r="B849"/>
    </row>
    <row r="850">
      <c r="A850" t="inlineStr">
        <is>
          <t>Lanao del Sur|Lumbayanague</t>
        </is>
      </c>
      <c r="B850"/>
    </row>
    <row r="851">
      <c r="A851" t="inlineStr">
        <is>
          <t>Lanao del Sur|Madalum</t>
        </is>
      </c>
      <c r="B851"/>
    </row>
    <row r="852">
      <c r="A852" t="inlineStr">
        <is>
          <t>Lanao del Sur|Madamba</t>
        </is>
      </c>
      <c r="B852"/>
    </row>
    <row r="853">
      <c r="A853" t="inlineStr">
        <is>
          <t>Lanao del Sur|Maguing</t>
        </is>
      </c>
      <c r="B853"/>
    </row>
    <row r="854">
      <c r="A854" t="inlineStr">
        <is>
          <t>Lanao del Sur|Malabang</t>
        </is>
      </c>
      <c r="B854"/>
    </row>
    <row r="855">
      <c r="A855" t="inlineStr">
        <is>
          <t>Lanao del Sur|Marantao</t>
        </is>
      </c>
      <c r="B855"/>
    </row>
    <row r="856">
      <c r="A856" t="inlineStr">
        <is>
          <t>Lanao del Sur|Marogong</t>
        </is>
      </c>
      <c r="B856"/>
    </row>
    <row r="857">
      <c r="A857" t="inlineStr">
        <is>
          <t>Lanao del Sur|Masiu</t>
        </is>
      </c>
      <c r="B857"/>
    </row>
    <row r="858">
      <c r="A858" t="inlineStr">
        <is>
          <t>Lanao del Sur|Mulondo</t>
        </is>
      </c>
      <c r="B858"/>
    </row>
    <row r="859">
      <c r="A859" t="inlineStr">
        <is>
          <t>Lanao del Sur|Pagayawan</t>
        </is>
      </c>
      <c r="B859"/>
    </row>
    <row r="860">
      <c r="A860" t="inlineStr">
        <is>
          <t>Lanao del Sur|Piagapo</t>
        </is>
      </c>
      <c r="B860"/>
    </row>
    <row r="861">
      <c r="A861" t="inlineStr">
        <is>
          <t>Lanao del Sur|Picong</t>
        </is>
      </c>
      <c r="B861"/>
    </row>
    <row r="862">
      <c r="A862" t="inlineStr">
        <is>
          <t>Lanao del Sur|Poona Bayabao</t>
        </is>
      </c>
      <c r="B862"/>
    </row>
    <row r="863">
      <c r="A863" t="inlineStr">
        <is>
          <t>Lanao del Sur|Pualas</t>
        </is>
      </c>
      <c r="B863"/>
    </row>
    <row r="864">
      <c r="A864" t="inlineStr">
        <is>
          <t>Lanao del Sur|Saguiaran</t>
        </is>
      </c>
      <c r="B864"/>
    </row>
    <row r="865">
      <c r="A865" t="inlineStr">
        <is>
          <t>Lanao del Sur|Sultan Dumalondong</t>
        </is>
      </c>
      <c r="B865"/>
    </row>
    <row r="866">
      <c r="A866" t="inlineStr">
        <is>
          <t>Lanao del Sur|Tagoloan II</t>
        </is>
      </c>
      <c r="B866"/>
    </row>
    <row r="867">
      <c r="A867" t="inlineStr">
        <is>
          <t>Lanao del Sur|Tamparan</t>
        </is>
      </c>
      <c r="B867"/>
    </row>
    <row r="868">
      <c r="A868" t="inlineStr">
        <is>
          <t>Lanao del Sur|Taraka</t>
        </is>
      </c>
      <c r="B868"/>
    </row>
    <row r="869">
      <c r="A869" t="inlineStr">
        <is>
          <t>Lanao del Sur|Tubaran</t>
        </is>
      </c>
      <c r="B869"/>
    </row>
    <row r="870">
      <c r="A870" t="inlineStr">
        <is>
          <t>Lanao del Sur|Tugaya</t>
        </is>
      </c>
      <c r="B870"/>
    </row>
    <row r="871">
      <c r="A871" t="inlineStr">
        <is>
          <t>Lanao del Sur|Wao</t>
        </is>
      </c>
      <c r="B871"/>
    </row>
    <row r="872">
      <c r="A872" t="inlineStr">
        <is>
          <t>Leyte|Abuyog</t>
        </is>
      </c>
      <c r="B872" t="inlineStr">
        <is>
          <t>6510</t>
        </is>
      </c>
    </row>
    <row r="873">
      <c r="A873" t="inlineStr">
        <is>
          <t>Leyte|Alangalang</t>
        </is>
      </c>
      <c r="B873" t="inlineStr">
        <is>
          <t>6517</t>
        </is>
      </c>
    </row>
    <row r="874">
      <c r="A874" t="inlineStr">
        <is>
          <t>Leyte|Albuera</t>
        </is>
      </c>
      <c r="B874" t="inlineStr">
        <is>
          <t>6542</t>
        </is>
      </c>
    </row>
    <row r="875">
      <c r="A875" t="inlineStr">
        <is>
          <t>Leyte|Babatngon</t>
        </is>
      </c>
      <c r="B875" t="inlineStr">
        <is>
          <t>6520</t>
        </is>
      </c>
    </row>
    <row r="876">
      <c r="A876" t="inlineStr">
        <is>
          <t>Leyte|Barugo</t>
        </is>
      </c>
      <c r="B876" t="inlineStr">
        <is>
          <t>6519</t>
        </is>
      </c>
    </row>
    <row r="877">
      <c r="A877" t="inlineStr">
        <is>
          <t>Leyte|Bato</t>
        </is>
      </c>
      <c r="B877" t="inlineStr">
        <is>
          <t>6525</t>
        </is>
      </c>
    </row>
    <row r="878">
      <c r="A878" t="inlineStr">
        <is>
          <t>Leyte|Burauen</t>
        </is>
      </c>
      <c r="B878" t="inlineStr">
        <is>
          <t>6516</t>
        </is>
      </c>
    </row>
    <row r="879">
      <c r="A879" t="inlineStr">
        <is>
          <t>Leyte|Calubian</t>
        </is>
      </c>
      <c r="B879" t="inlineStr">
        <is>
          <t>6534</t>
        </is>
      </c>
    </row>
    <row r="880">
      <c r="A880" t="inlineStr">
        <is>
          <t>Leyte|Capoocan</t>
        </is>
      </c>
      <c r="B880" t="inlineStr">
        <is>
          <t>6530</t>
        </is>
      </c>
    </row>
    <row r="881">
      <c r="A881" t="inlineStr">
        <is>
          <t>Leyte|Carigara</t>
        </is>
      </c>
      <c r="B881" t="inlineStr">
        <is>
          <t>6529</t>
        </is>
      </c>
    </row>
    <row r="882">
      <c r="A882" t="inlineStr">
        <is>
          <t>Leyte|City of Baybay</t>
        </is>
      </c>
      <c r="B882" t="inlineStr">
        <is>
          <t>6521</t>
        </is>
      </c>
    </row>
    <row r="883">
      <c r="A883" t="inlineStr">
        <is>
          <t>Leyte|Dagami</t>
        </is>
      </c>
      <c r="B883" t="inlineStr">
        <is>
          <t>6515</t>
        </is>
      </c>
    </row>
    <row r="884">
      <c r="A884" t="inlineStr">
        <is>
          <t>Leyte|Dulag</t>
        </is>
      </c>
      <c r="B884" t="inlineStr">
        <is>
          <t>6505</t>
        </is>
      </c>
    </row>
    <row r="885">
      <c r="A885" t="inlineStr">
        <is>
          <t>Leyte|Hilongos</t>
        </is>
      </c>
      <c r="B885" t="inlineStr">
        <is>
          <t>6524</t>
        </is>
      </c>
    </row>
    <row r="886">
      <c r="A886" t="inlineStr">
        <is>
          <t>Leyte|Hindang</t>
        </is>
      </c>
      <c r="B886" t="inlineStr">
        <is>
          <t>6523</t>
        </is>
      </c>
    </row>
    <row r="887">
      <c r="A887" t="inlineStr">
        <is>
          <t>Leyte|Inopacan</t>
        </is>
      </c>
      <c r="B887" t="inlineStr">
        <is>
          <t>6522</t>
        </is>
      </c>
    </row>
    <row r="888">
      <c r="A888" t="inlineStr">
        <is>
          <t>Leyte|Isabel</t>
        </is>
      </c>
      <c r="B888" t="inlineStr">
        <is>
          <t>6539</t>
        </is>
      </c>
    </row>
    <row r="889">
      <c r="A889" t="inlineStr">
        <is>
          <t>Leyte|Jaro</t>
        </is>
      </c>
      <c r="B889" t="inlineStr">
        <is>
          <t>6527</t>
        </is>
      </c>
    </row>
    <row r="890">
      <c r="A890" t="inlineStr">
        <is>
          <t>Leyte|Javier</t>
        </is>
      </c>
      <c r="B890" t="inlineStr">
        <is>
          <t>6511</t>
        </is>
      </c>
    </row>
    <row r="891">
      <c r="A891" t="inlineStr">
        <is>
          <t>Leyte|Julita</t>
        </is>
      </c>
      <c r="B891" t="inlineStr">
        <is>
          <t>6506</t>
        </is>
      </c>
    </row>
    <row r="892">
      <c r="A892" t="inlineStr">
        <is>
          <t>Leyte|Kananga</t>
        </is>
      </c>
      <c r="B892" t="inlineStr">
        <is>
          <t>6531</t>
        </is>
      </c>
    </row>
    <row r="893">
      <c r="A893" t="inlineStr">
        <is>
          <t>Leyte|La Paz</t>
        </is>
      </c>
      <c r="B893" t="inlineStr">
        <is>
          <t>6508</t>
        </is>
      </c>
    </row>
    <row r="894">
      <c r="A894" t="inlineStr">
        <is>
          <t>Leyte|Leyte</t>
        </is>
      </c>
      <c r="B894" t="inlineStr">
        <is>
          <t>6533</t>
        </is>
      </c>
    </row>
    <row r="895">
      <c r="A895" t="inlineStr">
        <is>
          <t>Leyte|Macarthur</t>
        </is>
      </c>
      <c r="B895" t="inlineStr">
        <is>
          <t>6509</t>
        </is>
      </c>
    </row>
    <row r="896">
      <c r="A896" t="inlineStr">
        <is>
          <t>Leyte|Mahaplag</t>
        </is>
      </c>
      <c r="B896" t="inlineStr">
        <is>
          <t>6512</t>
        </is>
      </c>
    </row>
    <row r="897">
      <c r="A897" t="inlineStr">
        <is>
          <t>Leyte|Matag-Ob</t>
        </is>
      </c>
      <c r="B897" t="inlineStr">
        <is>
          <t>6532</t>
        </is>
      </c>
    </row>
    <row r="898">
      <c r="A898" t="inlineStr">
        <is>
          <t>Leyte|Matalom</t>
        </is>
      </c>
      <c r="B898" t="inlineStr">
        <is>
          <t>6526</t>
        </is>
      </c>
    </row>
    <row r="899">
      <c r="A899" t="inlineStr">
        <is>
          <t>Leyte|Mayorga</t>
        </is>
      </c>
      <c r="B899" t="inlineStr">
        <is>
          <t>6507</t>
        </is>
      </c>
    </row>
    <row r="900">
      <c r="A900" t="inlineStr">
        <is>
          <t>Leyte|Merida</t>
        </is>
      </c>
      <c r="B900" t="inlineStr">
        <is>
          <t>6540</t>
        </is>
      </c>
    </row>
    <row r="901">
      <c r="A901" t="inlineStr">
        <is>
          <t>Leyte|Ormoc City</t>
        </is>
      </c>
      <c r="B901" t="inlineStr">
        <is>
          <t>6541</t>
        </is>
      </c>
    </row>
    <row r="902">
      <c r="A902" t="inlineStr">
        <is>
          <t>Leyte|Palo</t>
        </is>
      </c>
      <c r="B902" t="inlineStr">
        <is>
          <t>6501</t>
        </is>
      </c>
    </row>
    <row r="903">
      <c r="A903" t="inlineStr">
        <is>
          <t>Leyte|Palompon</t>
        </is>
      </c>
      <c r="B903" t="inlineStr">
        <is>
          <t>6538</t>
        </is>
      </c>
    </row>
    <row r="904">
      <c r="A904" t="inlineStr">
        <is>
          <t>Leyte|Pastrana</t>
        </is>
      </c>
      <c r="B904" t="inlineStr">
        <is>
          <t>6514</t>
        </is>
      </c>
    </row>
    <row r="905">
      <c r="A905" t="inlineStr">
        <is>
          <t>Leyte|San Isidro</t>
        </is>
      </c>
      <c r="B905" t="inlineStr">
        <is>
          <t>6535</t>
        </is>
      </c>
    </row>
    <row r="906">
      <c r="A906" t="inlineStr">
        <is>
          <t>Leyte|San Miguel</t>
        </is>
      </c>
      <c r="B906" t="inlineStr">
        <is>
          <t>6518</t>
        </is>
      </c>
    </row>
    <row r="907">
      <c r="A907" t="inlineStr">
        <is>
          <t>Leyte|Santa Fe</t>
        </is>
      </c>
      <c r="B907" t="inlineStr">
        <is>
          <t>6513</t>
        </is>
      </c>
    </row>
    <row r="908">
      <c r="A908" t="inlineStr">
        <is>
          <t>Leyte|Tabango</t>
        </is>
      </c>
      <c r="B908" t="inlineStr">
        <is>
          <t>6536</t>
        </is>
      </c>
    </row>
    <row r="909">
      <c r="A909" t="inlineStr">
        <is>
          <t>Leyte|Tabontabon</t>
        </is>
      </c>
      <c r="B909" t="inlineStr">
        <is>
          <t>6504</t>
        </is>
      </c>
    </row>
    <row r="910">
      <c r="A910" t="inlineStr">
        <is>
          <t>Leyte|Tanauan</t>
        </is>
      </c>
      <c r="B910" t="inlineStr">
        <is>
          <t>6502</t>
        </is>
      </c>
    </row>
    <row r="911">
      <c r="A911" t="inlineStr">
        <is>
          <t>Leyte|Tolosa</t>
        </is>
      </c>
      <c r="B911" t="inlineStr">
        <is>
          <t>6503</t>
        </is>
      </c>
    </row>
    <row r="912">
      <c r="A912" t="inlineStr">
        <is>
          <t>Leyte|Tunga</t>
        </is>
      </c>
      <c r="B912" t="inlineStr">
        <is>
          <t>6528</t>
        </is>
      </c>
    </row>
    <row r="913">
      <c r="A913" t="inlineStr">
        <is>
          <t>Leyte|Villaba</t>
        </is>
      </c>
      <c r="B913" t="inlineStr">
        <is>
          <t>6537</t>
        </is>
      </c>
    </row>
    <row r="914">
      <c r="A914" t="inlineStr">
        <is>
          <t>Maguindanao del Norte|Barira</t>
        </is>
      </c>
      <c r="B914" t="inlineStr">
        <is>
          <t>9614</t>
        </is>
      </c>
    </row>
    <row r="915">
      <c r="A915" t="inlineStr">
        <is>
          <t>Maguindanao del Norte|Buldon</t>
        </is>
      </c>
      <c r="B915" t="inlineStr">
        <is>
          <t>9615</t>
        </is>
      </c>
    </row>
    <row r="916">
      <c r="A916" t="inlineStr">
        <is>
          <t>Maguindanao del Norte|City of Cotabato</t>
        </is>
      </c>
      <c r="B916" t="inlineStr">
        <is>
          <t>9600</t>
        </is>
      </c>
    </row>
    <row r="917">
      <c r="A917" t="inlineStr">
        <is>
          <t>Maguindanao del Norte|Datu Blah T. Sinsuat</t>
        </is>
      </c>
      <c r="B917"/>
    </row>
    <row r="918">
      <c r="A918" t="inlineStr">
        <is>
          <t>Maguindanao del Norte|Datu Odin Sinsuat</t>
        </is>
      </c>
      <c r="B918"/>
    </row>
    <row r="919">
      <c r="A919" t="inlineStr">
        <is>
          <t>Maguindanao del Norte|Kabuntalan</t>
        </is>
      </c>
      <c r="B919"/>
    </row>
    <row r="920">
      <c r="A920" t="inlineStr">
        <is>
          <t>Maguindanao del Norte|Matanog</t>
        </is>
      </c>
      <c r="B920" t="inlineStr">
        <is>
          <t>9613</t>
        </is>
      </c>
    </row>
    <row r="921">
      <c r="A921" t="inlineStr">
        <is>
          <t>Maguindanao del Norte|Northern Kabuntalan</t>
        </is>
      </c>
      <c r="B921"/>
    </row>
    <row r="922">
      <c r="A922" t="inlineStr">
        <is>
          <t>Maguindanao del Norte|Parang</t>
        </is>
      </c>
      <c r="B922" t="inlineStr">
        <is>
          <t>9604</t>
        </is>
      </c>
    </row>
    <row r="923">
      <c r="A923" t="inlineStr">
        <is>
          <t>Maguindanao del Norte|Sultan Kudarat</t>
        </is>
      </c>
      <c r="B923"/>
    </row>
    <row r="924">
      <c r="A924" t="inlineStr">
        <is>
          <t>Maguindanao del Norte|Sultan Mastura</t>
        </is>
      </c>
      <c r="B924"/>
    </row>
    <row r="925">
      <c r="A925" t="inlineStr">
        <is>
          <t>Maguindanao del Norte|Talitay</t>
        </is>
      </c>
      <c r="B925"/>
    </row>
    <row r="926">
      <c r="A926" t="inlineStr">
        <is>
          <t>Maguindanao del Norte|Upi</t>
        </is>
      </c>
      <c r="B926"/>
    </row>
    <row r="927">
      <c r="A927" t="inlineStr">
        <is>
          <t>Maguindanao del Sur|Ampatuan</t>
        </is>
      </c>
      <c r="B927" t="inlineStr">
        <is>
          <t>9609</t>
        </is>
      </c>
    </row>
    <row r="928">
      <c r="A928" t="inlineStr">
        <is>
          <t>Maguindanao del Sur|Buluan</t>
        </is>
      </c>
      <c r="B928" t="inlineStr">
        <is>
          <t>9616</t>
        </is>
      </c>
    </row>
    <row r="929">
      <c r="A929" t="inlineStr">
        <is>
          <t>Maguindanao del Sur|Datu Abdullah Sangki</t>
        </is>
      </c>
      <c r="B929"/>
    </row>
    <row r="930">
      <c r="A930" t="inlineStr">
        <is>
          <t>Maguindanao del Sur|Datu Anggal Midtimbang</t>
        </is>
      </c>
      <c r="B930"/>
    </row>
    <row r="931">
      <c r="A931" t="inlineStr">
        <is>
          <t>Maguindanao del Sur|Datu Hoffer Ampatuan</t>
        </is>
      </c>
      <c r="B931"/>
    </row>
    <row r="932">
      <c r="A932" t="inlineStr">
        <is>
          <t>Maguindanao del Sur|Datu Paglas</t>
        </is>
      </c>
      <c r="B932" t="inlineStr">
        <is>
          <t>9617</t>
        </is>
      </c>
    </row>
    <row r="933">
      <c r="A933" t="inlineStr">
        <is>
          <t>Maguindanao del Sur|Datu Piang</t>
        </is>
      </c>
      <c r="B933" t="inlineStr">
        <is>
          <t>9607</t>
        </is>
      </c>
    </row>
    <row r="934">
      <c r="A934" t="inlineStr">
        <is>
          <t>Maguindanao del Sur|Datu Salibo</t>
        </is>
      </c>
      <c r="B934"/>
    </row>
    <row r="935">
      <c r="A935" t="inlineStr">
        <is>
          <t>Maguindanao del Sur|Datu Saudi Ampatuan</t>
        </is>
      </c>
      <c r="B935"/>
    </row>
    <row r="936">
      <c r="A936" t="inlineStr">
        <is>
          <t>Maguindanao del Sur|Datu Unsay</t>
        </is>
      </c>
      <c r="B936"/>
    </row>
    <row r="937">
      <c r="A937" t="inlineStr">
        <is>
          <t>Maguindanao del Sur|Gen. S.K. Pendatun</t>
        </is>
      </c>
      <c r="B937" t="inlineStr">
        <is>
          <t>9618</t>
        </is>
      </c>
    </row>
    <row r="938">
      <c r="A938" t="inlineStr">
        <is>
          <t>Maguindanao del Sur|Guindulungan</t>
        </is>
      </c>
      <c r="B938"/>
    </row>
    <row r="939">
      <c r="A939" t="inlineStr">
        <is>
          <t>Maguindanao del Sur|Mamasapano</t>
        </is>
      </c>
      <c r="B939"/>
    </row>
    <row r="940">
      <c r="A940" t="inlineStr">
        <is>
          <t>Maguindanao del Sur|Mangudadatu</t>
        </is>
      </c>
      <c r="B940"/>
    </row>
    <row r="941">
      <c r="A941" t="inlineStr">
        <is>
          <t>Maguindanao del Sur|Pagagawan</t>
        </is>
      </c>
      <c r="B941"/>
    </row>
    <row r="942">
      <c r="A942" t="inlineStr">
        <is>
          <t>Maguindanao del Sur|Pagalungan</t>
        </is>
      </c>
      <c r="B942" t="inlineStr">
        <is>
          <t>9610</t>
        </is>
      </c>
    </row>
    <row r="943">
      <c r="A943" t="inlineStr">
        <is>
          <t>Maguindanao del Sur|Paglat</t>
        </is>
      </c>
      <c r="B943"/>
    </row>
    <row r="944">
      <c r="A944" t="inlineStr">
        <is>
          <t>Maguindanao del Sur|Pandag</t>
        </is>
      </c>
      <c r="B944"/>
    </row>
    <row r="945">
      <c r="A945" t="inlineStr">
        <is>
          <t>Maguindanao del Sur|Rajah Buayan</t>
        </is>
      </c>
      <c r="B945"/>
    </row>
    <row r="946">
      <c r="A946" t="inlineStr">
        <is>
          <t>Maguindanao del Sur|Shariff Aguak</t>
        </is>
      </c>
      <c r="B946"/>
    </row>
    <row r="947">
      <c r="A947" t="inlineStr">
        <is>
          <t>Maguindanao del Sur|Shariff Saydona Mustapha</t>
        </is>
      </c>
      <c r="B947"/>
    </row>
    <row r="948">
      <c r="A948" t="inlineStr">
        <is>
          <t>Maguindanao del Sur|South Upi</t>
        </is>
      </c>
      <c r="B948" t="inlineStr">
        <is>
          <t>9603</t>
        </is>
      </c>
    </row>
    <row r="949">
      <c r="A949" t="inlineStr">
        <is>
          <t>Maguindanao del Sur|Sultan Sa Barongis</t>
        </is>
      </c>
      <c r="B949" t="inlineStr">
        <is>
          <t>9611</t>
        </is>
      </c>
    </row>
    <row r="950">
      <c r="A950" t="inlineStr">
        <is>
          <t>Maguindanao del Sur|Talayan</t>
        </is>
      </c>
      <c r="B950" t="inlineStr">
        <is>
          <t>9612</t>
        </is>
      </c>
    </row>
    <row r="951">
      <c r="A951" t="inlineStr">
        <is>
          <t>Marinduque|Boac</t>
        </is>
      </c>
      <c r="B951" t="inlineStr">
        <is>
          <t>4900</t>
        </is>
      </c>
    </row>
    <row r="952">
      <c r="A952" t="inlineStr">
        <is>
          <t>Marinduque|Buenavista</t>
        </is>
      </c>
      <c r="B952" t="inlineStr">
        <is>
          <t>4904</t>
        </is>
      </c>
    </row>
    <row r="953">
      <c r="A953" t="inlineStr">
        <is>
          <t>Marinduque|Gasan</t>
        </is>
      </c>
      <c r="B953" t="inlineStr">
        <is>
          <t>4905</t>
        </is>
      </c>
    </row>
    <row r="954">
      <c r="A954" t="inlineStr">
        <is>
          <t>Marinduque|Mogpog</t>
        </is>
      </c>
      <c r="B954" t="inlineStr">
        <is>
          <t>4901</t>
        </is>
      </c>
    </row>
    <row r="955">
      <c r="A955" t="inlineStr">
        <is>
          <t>Marinduque|Santa Cruz</t>
        </is>
      </c>
      <c r="B955" t="inlineStr">
        <is>
          <t>4902</t>
        </is>
      </c>
    </row>
    <row r="956">
      <c r="A956" t="inlineStr">
        <is>
          <t>Marinduque|Torrijos</t>
        </is>
      </c>
      <c r="B956" t="inlineStr">
        <is>
          <t>4903</t>
        </is>
      </c>
    </row>
    <row r="957">
      <c r="A957" t="inlineStr">
        <is>
          <t>Masbate|Aroroy</t>
        </is>
      </c>
      <c r="B957" t="inlineStr">
        <is>
          <t>5414</t>
        </is>
      </c>
    </row>
    <row r="958">
      <c r="A958" t="inlineStr">
        <is>
          <t>Masbate|Baleno</t>
        </is>
      </c>
      <c r="B958" t="inlineStr">
        <is>
          <t>5413</t>
        </is>
      </c>
    </row>
    <row r="959">
      <c r="A959" t="inlineStr">
        <is>
          <t>Masbate|Balud</t>
        </is>
      </c>
      <c r="B959" t="inlineStr">
        <is>
          <t>5412</t>
        </is>
      </c>
    </row>
    <row r="960">
      <c r="A960" t="inlineStr">
        <is>
          <t>Masbate|Batuan</t>
        </is>
      </c>
      <c r="B960" t="inlineStr">
        <is>
          <t>5415</t>
        </is>
      </c>
    </row>
    <row r="961">
      <c r="A961" t="inlineStr">
        <is>
          <t>Masbate|Cataingan</t>
        </is>
      </c>
      <c r="B961" t="inlineStr">
        <is>
          <t>5405</t>
        </is>
      </c>
    </row>
    <row r="962">
      <c r="A962" t="inlineStr">
        <is>
          <t>Masbate|Cawayan</t>
        </is>
      </c>
      <c r="B962" t="inlineStr">
        <is>
          <t>5409</t>
        </is>
      </c>
    </row>
    <row r="963">
      <c r="A963" t="inlineStr">
        <is>
          <t>Masbate|City of Masbate</t>
        </is>
      </c>
      <c r="B963" t="inlineStr">
        <is>
          <t>5400</t>
        </is>
      </c>
    </row>
    <row r="964">
      <c r="A964" t="inlineStr">
        <is>
          <t>Masbate|Claveria</t>
        </is>
      </c>
      <c r="B964" t="inlineStr">
        <is>
          <t>5419</t>
        </is>
      </c>
    </row>
    <row r="965">
      <c r="A965" t="inlineStr">
        <is>
          <t>Masbate|Dimasalang</t>
        </is>
      </c>
      <c r="B965" t="inlineStr">
        <is>
          <t>5403</t>
        </is>
      </c>
    </row>
    <row r="966">
      <c r="A966" t="inlineStr">
        <is>
          <t>Masbate|Esperanza</t>
        </is>
      </c>
      <c r="B966" t="inlineStr">
        <is>
          <t>5407</t>
        </is>
      </c>
    </row>
    <row r="967">
      <c r="A967" t="inlineStr">
        <is>
          <t>Masbate|Mandaon</t>
        </is>
      </c>
      <c r="B967" t="inlineStr">
        <is>
          <t>5411</t>
        </is>
      </c>
    </row>
    <row r="968">
      <c r="A968" t="inlineStr">
        <is>
          <t>Masbate|Milagros</t>
        </is>
      </c>
      <c r="B968" t="inlineStr">
        <is>
          <t>5410</t>
        </is>
      </c>
    </row>
    <row r="969">
      <c r="A969" t="inlineStr">
        <is>
          <t>Masbate|Mobo</t>
        </is>
      </c>
      <c r="B969" t="inlineStr">
        <is>
          <t>5401</t>
        </is>
      </c>
    </row>
    <row r="970">
      <c r="A970" t="inlineStr">
        <is>
          <t>Masbate|Monreal</t>
        </is>
      </c>
      <c r="B970" t="inlineStr">
        <is>
          <t>5418</t>
        </is>
      </c>
    </row>
    <row r="971">
      <c r="A971" t="inlineStr">
        <is>
          <t>Masbate|Palanas</t>
        </is>
      </c>
      <c r="B971" t="inlineStr">
        <is>
          <t>5404</t>
        </is>
      </c>
    </row>
    <row r="972">
      <c r="A972" t="inlineStr">
        <is>
          <t>Masbate|Pio V. Corpus</t>
        </is>
      </c>
      <c r="B972"/>
    </row>
    <row r="973">
      <c r="A973" t="inlineStr">
        <is>
          <t>Masbate|Placer</t>
        </is>
      </c>
      <c r="B973" t="inlineStr">
        <is>
          <t>5408</t>
        </is>
      </c>
    </row>
    <row r="974">
      <c r="A974" t="inlineStr">
        <is>
          <t>Masbate|San Fernando</t>
        </is>
      </c>
      <c r="B974" t="inlineStr">
        <is>
          <t>5416</t>
        </is>
      </c>
    </row>
    <row r="975">
      <c r="A975" t="inlineStr">
        <is>
          <t>Masbate|San Jacinto</t>
        </is>
      </c>
      <c r="B975" t="inlineStr">
        <is>
          <t>5417</t>
        </is>
      </c>
    </row>
    <row r="976">
      <c r="A976" t="inlineStr">
        <is>
          <t>Masbate|San Pascual</t>
        </is>
      </c>
      <c r="B976" t="inlineStr">
        <is>
          <t>5420</t>
        </is>
      </c>
    </row>
    <row r="977">
      <c r="A977" t="inlineStr">
        <is>
          <t>Masbate|Uson</t>
        </is>
      </c>
      <c r="B977" t="inlineStr">
        <is>
          <t>5402</t>
        </is>
      </c>
    </row>
    <row r="978">
      <c r="A978" t="inlineStr">
        <is>
          <t>Metro Manila (NCR)|City of Caloocan</t>
        </is>
      </c>
      <c r="B978"/>
    </row>
    <row r="979">
      <c r="A979" t="inlineStr">
        <is>
          <t>Metro Manila (NCR)|City of Las Piñas</t>
        </is>
      </c>
      <c r="B979"/>
    </row>
    <row r="980">
      <c r="A980" t="inlineStr">
        <is>
          <t>Metro Manila (NCR)|City of Makati</t>
        </is>
      </c>
      <c r="B980"/>
    </row>
    <row r="981">
      <c r="A981" t="inlineStr">
        <is>
          <t>Metro Manila (NCR)|City of Malabon</t>
        </is>
      </c>
      <c r="B981"/>
    </row>
    <row r="982">
      <c r="A982" t="inlineStr">
        <is>
          <t>Metro Manila (NCR)|City of Mandaluyong</t>
        </is>
      </c>
      <c r="B982"/>
    </row>
    <row r="983">
      <c r="A983" t="inlineStr">
        <is>
          <t>Metro Manila (NCR)|City of Manila</t>
        </is>
      </c>
      <c r="B983"/>
    </row>
    <row r="984">
      <c r="A984" t="inlineStr">
        <is>
          <t>Metro Manila (NCR)|City of Marikina</t>
        </is>
      </c>
      <c r="B984"/>
    </row>
    <row r="985">
      <c r="A985" t="inlineStr">
        <is>
          <t>Metro Manila (NCR)|City of Muntinlupa</t>
        </is>
      </c>
      <c r="B985"/>
    </row>
    <row r="986">
      <c r="A986" t="inlineStr">
        <is>
          <t>Metro Manila (NCR)|City of Navotas</t>
        </is>
      </c>
      <c r="B986"/>
    </row>
    <row r="987">
      <c r="A987" t="inlineStr">
        <is>
          <t>Metro Manila (NCR)|City of Parañaque</t>
        </is>
      </c>
      <c r="B987"/>
    </row>
    <row r="988">
      <c r="A988" t="inlineStr">
        <is>
          <t>Metro Manila (NCR)|City of Pasig</t>
        </is>
      </c>
      <c r="B988"/>
    </row>
    <row r="989">
      <c r="A989" t="inlineStr">
        <is>
          <t>Metro Manila (NCR)|City of San Juan</t>
        </is>
      </c>
      <c r="B989"/>
    </row>
    <row r="990">
      <c r="A990" t="inlineStr">
        <is>
          <t>Metro Manila (NCR)|City of Taguig</t>
        </is>
      </c>
      <c r="B990"/>
    </row>
    <row r="991">
      <c r="A991" t="inlineStr">
        <is>
          <t>Metro Manila (NCR)|City of Valenzuela</t>
        </is>
      </c>
      <c r="B991"/>
    </row>
    <row r="992">
      <c r="A992" t="inlineStr">
        <is>
          <t>Metro Manila (NCR)|Pasay City</t>
        </is>
      </c>
      <c r="B992"/>
    </row>
    <row r="993">
      <c r="A993" t="inlineStr">
        <is>
          <t>Metro Manila (NCR)|Pateros</t>
        </is>
      </c>
      <c r="B993"/>
    </row>
    <row r="994">
      <c r="A994" t="inlineStr">
        <is>
          <t>Metro Manila (NCR)|Quezon City</t>
        </is>
      </c>
      <c r="B994"/>
    </row>
    <row r="995">
      <c r="A995" t="inlineStr">
        <is>
          <t>Misamis Occidental|Aloran</t>
        </is>
      </c>
      <c r="B995" t="inlineStr">
        <is>
          <t>7206</t>
        </is>
      </c>
    </row>
    <row r="996">
      <c r="A996" t="inlineStr">
        <is>
          <t>Misamis Occidental|Baliangao</t>
        </is>
      </c>
      <c r="B996" t="inlineStr">
        <is>
          <t>7211</t>
        </is>
      </c>
    </row>
    <row r="997">
      <c r="A997" t="inlineStr">
        <is>
          <t>Misamis Occidental|Bonifacio</t>
        </is>
      </c>
      <c r="B997" t="inlineStr">
        <is>
          <t>7215</t>
        </is>
      </c>
    </row>
    <row r="998">
      <c r="A998" t="inlineStr">
        <is>
          <t>Misamis Occidental|Calamba</t>
        </is>
      </c>
      <c r="B998" t="inlineStr">
        <is>
          <t>7210</t>
        </is>
      </c>
    </row>
    <row r="999">
      <c r="A999" t="inlineStr">
        <is>
          <t>Misamis Occidental|City of Oroquieta</t>
        </is>
      </c>
      <c r="B999" t="inlineStr">
        <is>
          <t>7207</t>
        </is>
      </c>
    </row>
    <row r="1000">
      <c r="A1000" t="inlineStr">
        <is>
          <t>Misamis Occidental|City of Ozamiz</t>
        </is>
      </c>
      <c r="B1000" t="inlineStr">
        <is>
          <t>7200</t>
        </is>
      </c>
    </row>
    <row r="1001">
      <c r="A1001" t="inlineStr">
        <is>
          <t>Misamis Occidental|City of Tangub</t>
        </is>
      </c>
      <c r="B1001" t="inlineStr">
        <is>
          <t>7214</t>
        </is>
      </c>
    </row>
    <row r="1002">
      <c r="A1002" t="inlineStr">
        <is>
          <t>Misamis Occidental|Clarin</t>
        </is>
      </c>
      <c r="B1002" t="inlineStr">
        <is>
          <t>7201</t>
        </is>
      </c>
    </row>
    <row r="1003">
      <c r="A1003" t="inlineStr">
        <is>
          <t>Misamis Occidental|Concepcion</t>
        </is>
      </c>
      <c r="B1003" t="inlineStr">
        <is>
          <t>7213</t>
        </is>
      </c>
    </row>
    <row r="1004">
      <c r="A1004" t="inlineStr">
        <is>
          <t>Misamis Occidental|Don Victoriano</t>
        </is>
      </c>
      <c r="B1004"/>
    </row>
    <row r="1005">
      <c r="A1005" t="inlineStr">
        <is>
          <t>Misamis Occidental|Jimenez</t>
        </is>
      </c>
      <c r="B1005" t="inlineStr">
        <is>
          <t>7204</t>
        </is>
      </c>
    </row>
    <row r="1006">
      <c r="A1006" t="inlineStr">
        <is>
          <t>Misamis Occidental|Lopez Jaena</t>
        </is>
      </c>
      <c r="B1006" t="inlineStr">
        <is>
          <t>7208</t>
        </is>
      </c>
    </row>
    <row r="1007">
      <c r="A1007" t="inlineStr">
        <is>
          <t>Misamis Occidental|Panaon</t>
        </is>
      </c>
      <c r="B1007" t="inlineStr">
        <is>
          <t>7205</t>
        </is>
      </c>
    </row>
    <row r="1008">
      <c r="A1008" t="inlineStr">
        <is>
          <t>Misamis Occidental|Plaridel</t>
        </is>
      </c>
      <c r="B1008" t="inlineStr">
        <is>
          <t>7209</t>
        </is>
      </c>
    </row>
    <row r="1009">
      <c r="A1009" t="inlineStr">
        <is>
          <t>Misamis Occidental|Sapang Dalaga</t>
        </is>
      </c>
      <c r="B1009" t="inlineStr">
        <is>
          <t>7212</t>
        </is>
      </c>
    </row>
    <row r="1010">
      <c r="A1010" t="inlineStr">
        <is>
          <t>Misamis Occidental|Sinacaban</t>
        </is>
      </c>
      <c r="B1010" t="inlineStr">
        <is>
          <t>7203</t>
        </is>
      </c>
    </row>
    <row r="1011">
      <c r="A1011" t="inlineStr">
        <is>
          <t>Misamis Occidental|Tudela</t>
        </is>
      </c>
      <c r="B1011" t="inlineStr">
        <is>
          <t>7202</t>
        </is>
      </c>
    </row>
    <row r="1012">
      <c r="A1012" t="inlineStr">
        <is>
          <t>Misamis Oriental|Alubijid</t>
        </is>
      </c>
      <c r="B1012" t="inlineStr">
        <is>
          <t>9018</t>
        </is>
      </c>
    </row>
    <row r="1013">
      <c r="A1013" t="inlineStr">
        <is>
          <t>Misamis Oriental|Balingasag</t>
        </is>
      </c>
      <c r="B1013" t="inlineStr">
        <is>
          <t>9005</t>
        </is>
      </c>
    </row>
    <row r="1014">
      <c r="A1014" t="inlineStr">
        <is>
          <t>Misamis Oriental|Balingoan</t>
        </is>
      </c>
      <c r="B1014" t="inlineStr">
        <is>
          <t>9011</t>
        </is>
      </c>
    </row>
    <row r="1015">
      <c r="A1015" t="inlineStr">
        <is>
          <t>Misamis Oriental|Binuangan</t>
        </is>
      </c>
      <c r="B1015" t="inlineStr">
        <is>
          <t>9008</t>
        </is>
      </c>
    </row>
    <row r="1016">
      <c r="A1016" t="inlineStr">
        <is>
          <t>Misamis Oriental|City of El Salvador</t>
        </is>
      </c>
      <c r="B1016" t="inlineStr">
        <is>
          <t>9017</t>
        </is>
      </c>
    </row>
    <row r="1017">
      <c r="A1017" t="inlineStr">
        <is>
          <t>Misamis Oriental|City of Gingoog</t>
        </is>
      </c>
      <c r="B1017" t="inlineStr">
        <is>
          <t>9014</t>
        </is>
      </c>
    </row>
    <row r="1018">
      <c r="A1018" t="inlineStr">
        <is>
          <t>Misamis Oriental|Claveria</t>
        </is>
      </c>
      <c r="B1018" t="inlineStr">
        <is>
          <t>9004</t>
        </is>
      </c>
    </row>
    <row r="1019">
      <c r="A1019" t="inlineStr">
        <is>
          <t>Misamis Oriental|Gitagum</t>
        </is>
      </c>
      <c r="B1019" t="inlineStr">
        <is>
          <t>9020</t>
        </is>
      </c>
    </row>
    <row r="1020">
      <c r="A1020" t="inlineStr">
        <is>
          <t>Misamis Oriental|Initao</t>
        </is>
      </c>
      <c r="B1020" t="inlineStr">
        <is>
          <t>9022</t>
        </is>
      </c>
    </row>
    <row r="1021">
      <c r="A1021" t="inlineStr">
        <is>
          <t>Misamis Oriental|Jasaan</t>
        </is>
      </c>
      <c r="B1021" t="inlineStr">
        <is>
          <t>9003</t>
        </is>
      </c>
    </row>
    <row r="1022">
      <c r="A1022" t="inlineStr">
        <is>
          <t>Misamis Oriental|Kinoguitan</t>
        </is>
      </c>
      <c r="B1022" t="inlineStr">
        <is>
          <t>9010</t>
        </is>
      </c>
    </row>
    <row r="1023">
      <c r="A1023" t="inlineStr">
        <is>
          <t>Misamis Oriental|Lagonglong</t>
        </is>
      </c>
      <c r="B1023" t="inlineStr">
        <is>
          <t>9006</t>
        </is>
      </c>
    </row>
    <row r="1024">
      <c r="A1024" t="inlineStr">
        <is>
          <t>Misamis Oriental|Laguindingan</t>
        </is>
      </c>
      <c r="B1024" t="inlineStr">
        <is>
          <t>9019</t>
        </is>
      </c>
    </row>
    <row r="1025">
      <c r="A1025" t="inlineStr">
        <is>
          <t>Misamis Oriental|Libertad</t>
        </is>
      </c>
      <c r="B1025" t="inlineStr">
        <is>
          <t>9021</t>
        </is>
      </c>
    </row>
    <row r="1026">
      <c r="A1026" t="inlineStr">
        <is>
          <t>Misamis Oriental|Lugait</t>
        </is>
      </c>
      <c r="B1026" t="inlineStr">
        <is>
          <t>9025</t>
        </is>
      </c>
    </row>
    <row r="1027">
      <c r="A1027" t="inlineStr">
        <is>
          <t>Misamis Oriental|Magsaysay</t>
        </is>
      </c>
      <c r="B1027" t="inlineStr">
        <is>
          <t>9015</t>
        </is>
      </c>
    </row>
    <row r="1028">
      <c r="A1028" t="inlineStr">
        <is>
          <t>Misamis Oriental|Manticao</t>
        </is>
      </c>
      <c r="B1028" t="inlineStr">
        <is>
          <t>9024</t>
        </is>
      </c>
    </row>
    <row r="1029">
      <c r="A1029" t="inlineStr">
        <is>
          <t>Misamis Oriental|Medina</t>
        </is>
      </c>
      <c r="B1029" t="inlineStr">
        <is>
          <t>9013</t>
        </is>
      </c>
    </row>
    <row r="1030">
      <c r="A1030" t="inlineStr">
        <is>
          <t>Misamis Oriental|Naawan</t>
        </is>
      </c>
      <c r="B1030" t="inlineStr">
        <is>
          <t>9023</t>
        </is>
      </c>
    </row>
    <row r="1031">
      <c r="A1031" t="inlineStr">
        <is>
          <t>Misamis Oriental|Opol</t>
        </is>
      </c>
      <c r="B1031" t="inlineStr">
        <is>
          <t>9016</t>
        </is>
      </c>
    </row>
    <row r="1032">
      <c r="A1032" t="inlineStr">
        <is>
          <t>Misamis Oriental|Salay</t>
        </is>
      </c>
      <c r="B1032" t="inlineStr">
        <is>
          <t>9007</t>
        </is>
      </c>
    </row>
    <row r="1033">
      <c r="A1033" t="inlineStr">
        <is>
          <t>Misamis Oriental|Sugbongcogon</t>
        </is>
      </c>
      <c r="B1033" t="inlineStr">
        <is>
          <t>9009</t>
        </is>
      </c>
    </row>
    <row r="1034">
      <c r="A1034" t="inlineStr">
        <is>
          <t>Misamis Oriental|Tagoloan</t>
        </is>
      </c>
      <c r="B1034" t="inlineStr">
        <is>
          <t>9001</t>
        </is>
      </c>
    </row>
    <row r="1035">
      <c r="A1035" t="inlineStr">
        <is>
          <t>Misamis Oriental|Talisayan</t>
        </is>
      </c>
      <c r="B1035" t="inlineStr">
        <is>
          <t>9012</t>
        </is>
      </c>
    </row>
    <row r="1036">
      <c r="A1036" t="inlineStr">
        <is>
          <t>Misamis Oriental|Villanueva</t>
        </is>
      </c>
      <c r="B1036" t="inlineStr">
        <is>
          <t>9002</t>
        </is>
      </c>
    </row>
    <row r="1037">
      <c r="A1037" t="inlineStr">
        <is>
          <t>Mountain Province|Barlig</t>
        </is>
      </c>
      <c r="B1037" t="inlineStr">
        <is>
          <t>2623</t>
        </is>
      </c>
    </row>
    <row r="1038">
      <c r="A1038" t="inlineStr">
        <is>
          <t>Mountain Province|Bauko</t>
        </is>
      </c>
      <c r="B1038" t="inlineStr">
        <is>
          <t>2621</t>
        </is>
      </c>
    </row>
    <row r="1039">
      <c r="A1039" t="inlineStr">
        <is>
          <t>Mountain Province|Besao</t>
        </is>
      </c>
      <c r="B1039" t="inlineStr">
        <is>
          <t>2618</t>
        </is>
      </c>
    </row>
    <row r="1040">
      <c r="A1040" t="inlineStr">
        <is>
          <t>Mountain Province|Bontoc</t>
        </is>
      </c>
      <c r="B1040" t="inlineStr">
        <is>
          <t>2616</t>
        </is>
      </c>
    </row>
    <row r="1041">
      <c r="A1041" t="inlineStr">
        <is>
          <t>Mountain Province|Natonin</t>
        </is>
      </c>
      <c r="B1041" t="inlineStr">
        <is>
          <t>2624</t>
        </is>
      </c>
    </row>
    <row r="1042">
      <c r="A1042" t="inlineStr">
        <is>
          <t>Mountain Province|Paracelis</t>
        </is>
      </c>
      <c r="B1042" t="inlineStr">
        <is>
          <t>2625</t>
        </is>
      </c>
    </row>
    <row r="1043">
      <c r="A1043" t="inlineStr">
        <is>
          <t>Mountain Province|Sabangan</t>
        </is>
      </c>
      <c r="B1043" t="inlineStr">
        <is>
          <t>2622</t>
        </is>
      </c>
    </row>
    <row r="1044">
      <c r="A1044" t="inlineStr">
        <is>
          <t>Mountain Province|Sadanga</t>
        </is>
      </c>
      <c r="B1044" t="inlineStr">
        <is>
          <t>2617</t>
        </is>
      </c>
    </row>
    <row r="1045">
      <c r="A1045" t="inlineStr">
        <is>
          <t>Mountain Province|Sagada</t>
        </is>
      </c>
      <c r="B1045" t="inlineStr">
        <is>
          <t>2619</t>
        </is>
      </c>
    </row>
    <row r="1046">
      <c r="A1046" t="inlineStr">
        <is>
          <t>Mountain Province|Tadian</t>
        </is>
      </c>
      <c r="B1046" t="inlineStr">
        <is>
          <t>2620</t>
        </is>
      </c>
    </row>
    <row r="1047">
      <c r="A1047" t="inlineStr">
        <is>
          <t>Negros Occidental|Binalbagan</t>
        </is>
      </c>
      <c r="B1047" t="inlineStr">
        <is>
          <t>6107</t>
        </is>
      </c>
    </row>
    <row r="1048">
      <c r="A1048" t="inlineStr">
        <is>
          <t>Negros Occidental|Calatrava</t>
        </is>
      </c>
      <c r="B1048" t="inlineStr">
        <is>
          <t>6126</t>
        </is>
      </c>
    </row>
    <row r="1049">
      <c r="A1049" t="inlineStr">
        <is>
          <t>Negros Occidental|Candoni</t>
        </is>
      </c>
      <c r="B1049" t="inlineStr">
        <is>
          <t>6110</t>
        </is>
      </c>
    </row>
    <row r="1050">
      <c r="A1050" t="inlineStr">
        <is>
          <t>Negros Occidental|Cauayan</t>
        </is>
      </c>
      <c r="B1050" t="inlineStr">
        <is>
          <t>6112</t>
        </is>
      </c>
    </row>
    <row r="1051">
      <c r="A1051" t="inlineStr">
        <is>
          <t>Negros Occidental|City of Bago</t>
        </is>
      </c>
      <c r="B1051" t="inlineStr">
        <is>
          <t>6101</t>
        </is>
      </c>
    </row>
    <row r="1052">
      <c r="A1052" t="inlineStr">
        <is>
          <t>Negros Occidental|City of Cadiz</t>
        </is>
      </c>
      <c r="B1052" t="inlineStr">
        <is>
          <t>6121</t>
        </is>
      </c>
    </row>
    <row r="1053">
      <c r="A1053" t="inlineStr">
        <is>
          <t>Negros Occidental|City of Escalante</t>
        </is>
      </c>
      <c r="B1053" t="inlineStr">
        <is>
          <t>6124</t>
        </is>
      </c>
    </row>
    <row r="1054">
      <c r="A1054" t="inlineStr">
        <is>
          <t>Negros Occidental|City of Himamaylan</t>
        </is>
      </c>
      <c r="B1054" t="inlineStr">
        <is>
          <t>6108</t>
        </is>
      </c>
    </row>
    <row r="1055">
      <c r="A1055" t="inlineStr">
        <is>
          <t>Negros Occidental|City of Kabankalan</t>
        </is>
      </c>
      <c r="B1055" t="inlineStr">
        <is>
          <t>6111</t>
        </is>
      </c>
    </row>
    <row r="1056">
      <c r="A1056" t="inlineStr">
        <is>
          <t>Negros Occidental|City of La Carlota</t>
        </is>
      </c>
      <c r="B1056" t="inlineStr">
        <is>
          <t>6130</t>
        </is>
      </c>
    </row>
    <row r="1057">
      <c r="A1057" t="inlineStr">
        <is>
          <t>Negros Occidental|City of Sagay</t>
        </is>
      </c>
      <c r="B1057" t="inlineStr">
        <is>
          <t>6122</t>
        </is>
      </c>
    </row>
    <row r="1058">
      <c r="A1058" t="inlineStr">
        <is>
          <t>Negros Occidental|City of San Carlos</t>
        </is>
      </c>
      <c r="B1058" t="inlineStr">
        <is>
          <t>6127</t>
        </is>
      </c>
    </row>
    <row r="1059">
      <c r="A1059" t="inlineStr">
        <is>
          <t>Negros Occidental|City of Silay</t>
        </is>
      </c>
      <c r="B1059" t="inlineStr">
        <is>
          <t>6116</t>
        </is>
      </c>
    </row>
    <row r="1060">
      <c r="A1060" t="inlineStr">
        <is>
          <t>Negros Occidental|City of Sipalay</t>
        </is>
      </c>
      <c r="B1060" t="inlineStr">
        <is>
          <t>6113</t>
        </is>
      </c>
    </row>
    <row r="1061">
      <c r="A1061" t="inlineStr">
        <is>
          <t>Negros Occidental|City of Talisay</t>
        </is>
      </c>
      <c r="B1061" t="inlineStr">
        <is>
          <t>6115</t>
        </is>
      </c>
    </row>
    <row r="1062">
      <c r="A1062" t="inlineStr">
        <is>
          <t>Negros Occidental|City of Victorias</t>
        </is>
      </c>
      <c r="B1062" t="inlineStr">
        <is>
          <t>6119</t>
        </is>
      </c>
    </row>
    <row r="1063">
      <c r="A1063" t="inlineStr">
        <is>
          <t>Negros Occidental|Enrique B. Magalona</t>
        </is>
      </c>
      <c r="B1063" t="inlineStr">
        <is>
          <t>6118</t>
        </is>
      </c>
    </row>
    <row r="1064">
      <c r="A1064" t="inlineStr">
        <is>
          <t>Negros Occidental|Hinigaran</t>
        </is>
      </c>
      <c r="B1064" t="inlineStr">
        <is>
          <t>6106</t>
        </is>
      </c>
    </row>
    <row r="1065">
      <c r="A1065" t="inlineStr">
        <is>
          <t>Negros Occidental|Hinoba-an</t>
        </is>
      </c>
      <c r="B1065" t="inlineStr">
        <is>
          <t>6114</t>
        </is>
      </c>
    </row>
    <row r="1066">
      <c r="A1066" t="inlineStr">
        <is>
          <t>Negros Occidental|Ilog</t>
        </is>
      </c>
      <c r="B1066" t="inlineStr">
        <is>
          <t>6109</t>
        </is>
      </c>
    </row>
    <row r="1067">
      <c r="A1067" t="inlineStr">
        <is>
          <t>Negros Occidental|Isabela</t>
        </is>
      </c>
      <c r="B1067" t="inlineStr">
        <is>
          <t>6128</t>
        </is>
      </c>
    </row>
    <row r="1068">
      <c r="A1068" t="inlineStr">
        <is>
          <t>Negros Occidental|La Castellana</t>
        </is>
      </c>
      <c r="B1068" t="inlineStr">
        <is>
          <t>6131</t>
        </is>
      </c>
    </row>
    <row r="1069">
      <c r="A1069" t="inlineStr">
        <is>
          <t>Negros Occidental|Manapla</t>
        </is>
      </c>
      <c r="B1069" t="inlineStr">
        <is>
          <t>6120</t>
        </is>
      </c>
    </row>
    <row r="1070">
      <c r="A1070" t="inlineStr">
        <is>
          <t>Negros Occidental|Moises Padilla</t>
        </is>
      </c>
      <c r="B1070" t="inlineStr">
        <is>
          <t>6132</t>
        </is>
      </c>
    </row>
    <row r="1071">
      <c r="A1071" t="inlineStr">
        <is>
          <t>Negros Occidental|Murcia</t>
        </is>
      </c>
      <c r="B1071" t="inlineStr">
        <is>
          <t>6129</t>
        </is>
      </c>
    </row>
    <row r="1072">
      <c r="A1072" t="inlineStr">
        <is>
          <t>Negros Occidental|Pontevedra</t>
        </is>
      </c>
      <c r="B1072" t="inlineStr">
        <is>
          <t>6105</t>
        </is>
      </c>
    </row>
    <row r="1073">
      <c r="A1073" t="inlineStr">
        <is>
          <t>Negros Occidental|Pulupandan</t>
        </is>
      </c>
      <c r="B1073" t="inlineStr">
        <is>
          <t>6102</t>
        </is>
      </c>
    </row>
    <row r="1074">
      <c r="A1074" t="inlineStr">
        <is>
          <t>Negros Occidental|Salvador Benedicto</t>
        </is>
      </c>
      <c r="B1074"/>
    </row>
    <row r="1075">
      <c r="A1075" t="inlineStr">
        <is>
          <t>Negros Occidental|San Enrique</t>
        </is>
      </c>
      <c r="B1075" t="inlineStr">
        <is>
          <t>6104</t>
        </is>
      </c>
    </row>
    <row r="1076">
      <c r="A1076" t="inlineStr">
        <is>
          <t>Negros Occidental|Toboso</t>
        </is>
      </c>
      <c r="B1076" t="inlineStr">
        <is>
          <t>6125</t>
        </is>
      </c>
    </row>
    <row r="1077">
      <c r="A1077" t="inlineStr">
        <is>
          <t>Negros Occidental|Valladolid</t>
        </is>
      </c>
      <c r="B1077" t="inlineStr">
        <is>
          <t>6103</t>
        </is>
      </c>
    </row>
    <row r="1078">
      <c r="A1078" t="inlineStr">
        <is>
          <t>Negros Oriental|Amlan</t>
        </is>
      </c>
      <c r="B1078" t="inlineStr">
        <is>
          <t>6203</t>
        </is>
      </c>
    </row>
    <row r="1079">
      <c r="A1079" t="inlineStr">
        <is>
          <t>Negros Oriental|Ayungon</t>
        </is>
      </c>
      <c r="B1079" t="inlineStr">
        <is>
          <t>6210</t>
        </is>
      </c>
    </row>
    <row r="1080">
      <c r="A1080" t="inlineStr">
        <is>
          <t>Negros Oriental|Bacong</t>
        </is>
      </c>
      <c r="B1080" t="inlineStr">
        <is>
          <t>6216</t>
        </is>
      </c>
    </row>
    <row r="1081">
      <c r="A1081" t="inlineStr">
        <is>
          <t>Negros Oriental|Basay</t>
        </is>
      </c>
      <c r="B1081" t="inlineStr">
        <is>
          <t>6222</t>
        </is>
      </c>
    </row>
    <row r="1082">
      <c r="A1082" t="inlineStr">
        <is>
          <t>Negros Oriental|Bindoy</t>
        </is>
      </c>
      <c r="B1082" t="inlineStr">
        <is>
          <t>6209</t>
        </is>
      </c>
    </row>
    <row r="1083">
      <c r="A1083" t="inlineStr">
        <is>
          <t>Negros Oriental|City of Bais</t>
        </is>
      </c>
      <c r="B1083" t="inlineStr">
        <is>
          <t>6217</t>
        </is>
      </c>
    </row>
    <row r="1084">
      <c r="A1084" t="inlineStr">
        <is>
          <t>Negros Oriental|City of Bayawan</t>
        </is>
      </c>
      <c r="B1084" t="inlineStr">
        <is>
          <t>6221</t>
        </is>
      </c>
    </row>
    <row r="1085">
      <c r="A1085" t="inlineStr">
        <is>
          <t>Negros Oriental|City of Canlaon</t>
        </is>
      </c>
      <c r="B1085" t="inlineStr">
        <is>
          <t>6223</t>
        </is>
      </c>
    </row>
    <row r="1086">
      <c r="A1086" t="inlineStr">
        <is>
          <t>Negros Oriental|City of Dumaguete</t>
        </is>
      </c>
      <c r="B1086" t="inlineStr">
        <is>
          <t>6200</t>
        </is>
      </c>
    </row>
    <row r="1087">
      <c r="A1087" t="inlineStr">
        <is>
          <t>Negros Oriental|City of Guihulngan</t>
        </is>
      </c>
      <c r="B1087" t="inlineStr">
        <is>
          <t>6214</t>
        </is>
      </c>
    </row>
    <row r="1088">
      <c r="A1088" t="inlineStr">
        <is>
          <t>Negros Oriental|City of Tanjay</t>
        </is>
      </c>
      <c r="B1088" t="inlineStr">
        <is>
          <t>6204</t>
        </is>
      </c>
    </row>
    <row r="1089">
      <c r="A1089" t="inlineStr">
        <is>
          <t>Negros Oriental|Dauin</t>
        </is>
      </c>
      <c r="B1089" t="inlineStr">
        <is>
          <t>6217</t>
        </is>
      </c>
    </row>
    <row r="1090">
      <c r="A1090" t="inlineStr">
        <is>
          <t>Negros Oriental|Jimalalud</t>
        </is>
      </c>
      <c r="B1090" t="inlineStr">
        <is>
          <t>6212</t>
        </is>
      </c>
    </row>
    <row r="1091">
      <c r="A1091" t="inlineStr">
        <is>
          <t>Negros Oriental|La Libertad</t>
        </is>
      </c>
      <c r="B1091" t="inlineStr">
        <is>
          <t>6213</t>
        </is>
      </c>
    </row>
    <row r="1092">
      <c r="A1092" t="inlineStr">
        <is>
          <t>Negros Oriental|Mabinay</t>
        </is>
      </c>
      <c r="B1092" t="inlineStr">
        <is>
          <t>6207</t>
        </is>
      </c>
    </row>
    <row r="1093">
      <c r="A1093" t="inlineStr">
        <is>
          <t>Negros Oriental|Manjuyod</t>
        </is>
      </c>
      <c r="B1093" t="inlineStr">
        <is>
          <t>6208</t>
        </is>
      </c>
    </row>
    <row r="1094">
      <c r="A1094" t="inlineStr">
        <is>
          <t>Negros Oriental|Pamplona</t>
        </is>
      </c>
      <c r="B1094" t="inlineStr">
        <is>
          <t>6205</t>
        </is>
      </c>
    </row>
    <row r="1095">
      <c r="A1095" t="inlineStr">
        <is>
          <t>Negros Oriental|San Jose</t>
        </is>
      </c>
      <c r="B1095" t="inlineStr">
        <is>
          <t>6202</t>
        </is>
      </c>
    </row>
    <row r="1096">
      <c r="A1096" t="inlineStr">
        <is>
          <t>Negros Oriental|Santa Catalina</t>
        </is>
      </c>
      <c r="B1096" t="inlineStr">
        <is>
          <t>6220</t>
        </is>
      </c>
    </row>
    <row r="1097">
      <c r="A1097" t="inlineStr">
        <is>
          <t>Negros Oriental|Siaton</t>
        </is>
      </c>
      <c r="B1097" t="inlineStr">
        <is>
          <t>6219</t>
        </is>
      </c>
    </row>
    <row r="1098">
      <c r="A1098" t="inlineStr">
        <is>
          <t>Negros Oriental|Sibulan</t>
        </is>
      </c>
      <c r="B1098" t="inlineStr">
        <is>
          <t>6201</t>
        </is>
      </c>
    </row>
    <row r="1099">
      <c r="A1099" t="inlineStr">
        <is>
          <t>Negros Oriental|Tayasan</t>
        </is>
      </c>
      <c r="B1099" t="inlineStr">
        <is>
          <t>6211</t>
        </is>
      </c>
    </row>
    <row r="1100">
      <c r="A1100" t="inlineStr">
        <is>
          <t>Negros Oriental|Valencia</t>
        </is>
      </c>
      <c r="B1100" t="inlineStr">
        <is>
          <t>6215</t>
        </is>
      </c>
    </row>
    <row r="1101">
      <c r="A1101" t="inlineStr">
        <is>
          <t>Negros Oriental|Vallehermoso</t>
        </is>
      </c>
      <c r="B1101"/>
    </row>
    <row r="1102">
      <c r="A1102" t="inlineStr">
        <is>
          <t>Negros Oriental|Zamboanguita</t>
        </is>
      </c>
      <c r="B1102" t="inlineStr">
        <is>
          <t>6218</t>
        </is>
      </c>
    </row>
    <row r="1103">
      <c r="A1103" t="inlineStr">
        <is>
          <t>Northern Samar|Allen</t>
        </is>
      </c>
      <c r="B1103" t="inlineStr">
        <is>
          <t>6405</t>
        </is>
      </c>
    </row>
    <row r="1104">
      <c r="A1104" t="inlineStr">
        <is>
          <t>Northern Samar|Biri</t>
        </is>
      </c>
      <c r="B1104" t="inlineStr">
        <is>
          <t>6410</t>
        </is>
      </c>
    </row>
    <row r="1105">
      <c r="A1105" t="inlineStr">
        <is>
          <t>Northern Samar|Bobon</t>
        </is>
      </c>
      <c r="B1105" t="inlineStr">
        <is>
          <t>6401</t>
        </is>
      </c>
    </row>
    <row r="1106">
      <c r="A1106" t="inlineStr">
        <is>
          <t>Northern Samar|Capul</t>
        </is>
      </c>
      <c r="B1106" t="inlineStr">
        <is>
          <t>6408</t>
        </is>
      </c>
    </row>
    <row r="1107">
      <c r="A1107" t="inlineStr">
        <is>
          <t>Northern Samar|Catarman</t>
        </is>
      </c>
      <c r="B1107" t="inlineStr">
        <is>
          <t>6400</t>
        </is>
      </c>
    </row>
    <row r="1108">
      <c r="A1108" t="inlineStr">
        <is>
          <t>Northern Samar|Catubig</t>
        </is>
      </c>
      <c r="B1108" t="inlineStr">
        <is>
          <t>6418</t>
        </is>
      </c>
    </row>
    <row r="1109">
      <c r="A1109" t="inlineStr">
        <is>
          <t>Northern Samar|Gamay</t>
        </is>
      </c>
      <c r="B1109" t="inlineStr">
        <is>
          <t>6422</t>
        </is>
      </c>
    </row>
    <row r="1110">
      <c r="A1110" t="inlineStr">
        <is>
          <t>Northern Samar|Laoang</t>
        </is>
      </c>
      <c r="B1110" t="inlineStr">
        <is>
          <t>6411</t>
        </is>
      </c>
    </row>
    <row r="1111">
      <c r="A1111" t="inlineStr">
        <is>
          <t>Northern Samar|Lapinig</t>
        </is>
      </c>
      <c r="B1111" t="inlineStr">
        <is>
          <t>6423</t>
        </is>
      </c>
    </row>
    <row r="1112">
      <c r="A1112" t="inlineStr">
        <is>
          <t>Northern Samar|Las Navas</t>
        </is>
      </c>
      <c r="B1112" t="inlineStr">
        <is>
          <t>6420</t>
        </is>
      </c>
    </row>
    <row r="1113">
      <c r="A1113" t="inlineStr">
        <is>
          <t>Northern Samar|Lavezares</t>
        </is>
      </c>
      <c r="B1113" t="inlineStr">
        <is>
          <t>6404</t>
        </is>
      </c>
    </row>
    <row r="1114">
      <c r="A1114" t="inlineStr">
        <is>
          <t>Northern Samar|Lope De Vega</t>
        </is>
      </c>
      <c r="B1114" t="inlineStr">
        <is>
          <t>6403</t>
        </is>
      </c>
    </row>
    <row r="1115">
      <c r="A1115" t="inlineStr">
        <is>
          <t>Northern Samar|Mapanas</t>
        </is>
      </c>
      <c r="B1115" t="inlineStr">
        <is>
          <t>6412</t>
        </is>
      </c>
    </row>
    <row r="1116">
      <c r="A1116" t="inlineStr">
        <is>
          <t>Northern Samar|Mondragon</t>
        </is>
      </c>
      <c r="B1116" t="inlineStr">
        <is>
          <t>6417</t>
        </is>
      </c>
    </row>
    <row r="1117">
      <c r="A1117" t="inlineStr">
        <is>
          <t>Northern Samar|Palapag</t>
        </is>
      </c>
      <c r="B1117" t="inlineStr">
        <is>
          <t>6421</t>
        </is>
      </c>
    </row>
    <row r="1118">
      <c r="A1118" t="inlineStr">
        <is>
          <t>Northern Samar|Pambujan</t>
        </is>
      </c>
      <c r="B1118" t="inlineStr">
        <is>
          <t>6413</t>
        </is>
      </c>
    </row>
    <row r="1119">
      <c r="A1119" t="inlineStr">
        <is>
          <t>Northern Samar|Rosario</t>
        </is>
      </c>
      <c r="B1119" t="inlineStr">
        <is>
          <t>6416</t>
        </is>
      </c>
    </row>
    <row r="1120">
      <c r="A1120" t="inlineStr">
        <is>
          <t>Northern Samar|San Antonio</t>
        </is>
      </c>
      <c r="B1120"/>
    </row>
    <row r="1121">
      <c r="A1121" t="inlineStr">
        <is>
          <t>Northern Samar|San Isidro</t>
        </is>
      </c>
      <c r="B1121"/>
    </row>
    <row r="1122">
      <c r="A1122" t="inlineStr">
        <is>
          <t>Northern Samar|San Jose</t>
        </is>
      </c>
      <c r="B1122"/>
    </row>
    <row r="1123">
      <c r="A1123" t="inlineStr">
        <is>
          <t>Northern Samar|San Roque</t>
        </is>
      </c>
      <c r="B1123" t="inlineStr">
        <is>
          <t>6415</t>
        </is>
      </c>
    </row>
    <row r="1124">
      <c r="A1124" t="inlineStr">
        <is>
          <t>Northern Samar|San Vicente</t>
        </is>
      </c>
      <c r="B1124" t="inlineStr">
        <is>
          <t>6419</t>
        </is>
      </c>
    </row>
    <row r="1125">
      <c r="A1125" t="inlineStr">
        <is>
          <t>Northern Samar|Silvino Lobos</t>
        </is>
      </c>
      <c r="B1125" t="inlineStr">
        <is>
          <t>6414</t>
        </is>
      </c>
    </row>
    <row r="1126">
      <c r="A1126" t="inlineStr">
        <is>
          <t>Northern Samar|Victoria</t>
        </is>
      </c>
      <c r="B1126" t="inlineStr">
        <is>
          <t>6406</t>
        </is>
      </c>
    </row>
    <row r="1127">
      <c r="A1127" t="inlineStr">
        <is>
          <t>Nueva Ecija|Aliaga</t>
        </is>
      </c>
      <c r="B1127" t="inlineStr">
        <is>
          <t>3111</t>
        </is>
      </c>
    </row>
    <row r="1128">
      <c r="A1128" t="inlineStr">
        <is>
          <t>Nueva Ecija|Bongabon</t>
        </is>
      </c>
      <c r="B1128" t="inlineStr">
        <is>
          <t>3128</t>
        </is>
      </c>
    </row>
    <row r="1129">
      <c r="A1129" t="inlineStr">
        <is>
          <t>Nueva Ecija|Cabiao</t>
        </is>
      </c>
      <c r="B1129" t="inlineStr">
        <is>
          <t>3107</t>
        </is>
      </c>
    </row>
    <row r="1130">
      <c r="A1130" t="inlineStr">
        <is>
          <t>Nueva Ecija|Carranglan</t>
        </is>
      </c>
      <c r="B1130"/>
    </row>
    <row r="1131">
      <c r="A1131" t="inlineStr">
        <is>
          <t>Nueva Ecija|City of Cabanatuan</t>
        </is>
      </c>
      <c r="B1131" t="inlineStr">
        <is>
          <t>3100</t>
        </is>
      </c>
    </row>
    <row r="1132">
      <c r="A1132" t="inlineStr">
        <is>
          <t>Nueva Ecija|City of Gapan</t>
        </is>
      </c>
      <c r="B1132" t="inlineStr">
        <is>
          <t>3105</t>
        </is>
      </c>
    </row>
    <row r="1133">
      <c r="A1133" t="inlineStr">
        <is>
          <t>Nueva Ecija|City of Palayan</t>
        </is>
      </c>
      <c r="B1133" t="inlineStr">
        <is>
          <t>3132</t>
        </is>
      </c>
    </row>
    <row r="1134">
      <c r="A1134" t="inlineStr">
        <is>
          <t>Nueva Ecija|Cuyapo</t>
        </is>
      </c>
      <c r="B1134" t="inlineStr">
        <is>
          <t>3117</t>
        </is>
      </c>
    </row>
    <row r="1135">
      <c r="A1135" t="inlineStr">
        <is>
          <t>Nueva Ecija|Gabaldon</t>
        </is>
      </c>
      <c r="B1135" t="inlineStr">
        <is>
          <t>3131</t>
        </is>
      </c>
    </row>
    <row r="1136">
      <c r="A1136" t="inlineStr">
        <is>
          <t>Nueva Ecija|General Mamerto Natividad</t>
        </is>
      </c>
      <c r="B1136"/>
    </row>
    <row r="1137">
      <c r="A1137" t="inlineStr">
        <is>
          <t>Nueva Ecija|General Tinio</t>
        </is>
      </c>
      <c r="B1137"/>
    </row>
    <row r="1138">
      <c r="A1138" t="inlineStr">
        <is>
          <t>Nueva Ecija|Guimba</t>
        </is>
      </c>
      <c r="B1138" t="inlineStr">
        <is>
          <t>3115</t>
        </is>
      </c>
    </row>
    <row r="1139">
      <c r="A1139" t="inlineStr">
        <is>
          <t>Nueva Ecija|Jaen</t>
        </is>
      </c>
      <c r="B1139" t="inlineStr">
        <is>
          <t>3109</t>
        </is>
      </c>
    </row>
    <row r="1140">
      <c r="A1140" t="inlineStr">
        <is>
          <t>Nueva Ecija|Laur</t>
        </is>
      </c>
      <c r="B1140" t="inlineStr">
        <is>
          <t>3129</t>
        </is>
      </c>
    </row>
    <row r="1141">
      <c r="A1141" t="inlineStr">
        <is>
          <t>Nueva Ecija|Licab</t>
        </is>
      </c>
      <c r="B1141" t="inlineStr">
        <is>
          <t>3112</t>
        </is>
      </c>
    </row>
    <row r="1142">
      <c r="A1142" t="inlineStr">
        <is>
          <t>Nueva Ecija|Llanera</t>
        </is>
      </c>
      <c r="B1142" t="inlineStr">
        <is>
          <t>3126</t>
        </is>
      </c>
    </row>
    <row r="1143">
      <c r="A1143" t="inlineStr">
        <is>
          <t>Nueva Ecija|Lupao</t>
        </is>
      </c>
      <c r="B1143" t="inlineStr">
        <is>
          <t>3122</t>
        </is>
      </c>
    </row>
    <row r="1144">
      <c r="A1144" t="inlineStr">
        <is>
          <t>Nueva Ecija|Nampicuan</t>
        </is>
      </c>
      <c r="B1144" t="inlineStr">
        <is>
          <t>3116</t>
        </is>
      </c>
    </row>
    <row r="1145">
      <c r="A1145" t="inlineStr">
        <is>
          <t>Nueva Ecija|Pantabangan</t>
        </is>
      </c>
      <c r="B1145" t="inlineStr">
        <is>
          <t>3124</t>
        </is>
      </c>
    </row>
    <row r="1146">
      <c r="A1146" t="inlineStr">
        <is>
          <t>Nueva Ecija|Peñaranda</t>
        </is>
      </c>
      <c r="B1146" t="inlineStr">
        <is>
          <t>3103</t>
        </is>
      </c>
    </row>
    <row r="1147">
      <c r="A1147" t="inlineStr">
        <is>
          <t>Nueva Ecija|Quezon</t>
        </is>
      </c>
      <c r="B1147" t="inlineStr">
        <is>
          <t>3113</t>
        </is>
      </c>
    </row>
    <row r="1148">
      <c r="A1148" t="inlineStr">
        <is>
          <t>Nueva Ecija|Rizal</t>
        </is>
      </c>
      <c r="B1148" t="inlineStr">
        <is>
          <t>3127</t>
        </is>
      </c>
    </row>
    <row r="1149">
      <c r="A1149" t="inlineStr">
        <is>
          <t>Nueva Ecija|San Antonio</t>
        </is>
      </c>
      <c r="B1149" t="inlineStr">
        <is>
          <t>3108</t>
        </is>
      </c>
    </row>
    <row r="1150">
      <c r="A1150" t="inlineStr">
        <is>
          <t>Nueva Ecija|San Isidro</t>
        </is>
      </c>
      <c r="B1150" t="inlineStr">
        <is>
          <t>3106</t>
        </is>
      </c>
    </row>
    <row r="1151">
      <c r="A1151" t="inlineStr">
        <is>
          <t>Nueva Ecija|San Jose City</t>
        </is>
      </c>
      <c r="B1151" t="inlineStr">
        <is>
          <t>3121</t>
        </is>
      </c>
    </row>
    <row r="1152">
      <c r="A1152" t="inlineStr">
        <is>
          <t>Nueva Ecija|San Leonardo</t>
        </is>
      </c>
      <c r="B1152" t="inlineStr">
        <is>
          <t>3102</t>
        </is>
      </c>
    </row>
    <row r="1153">
      <c r="A1153" t="inlineStr">
        <is>
          <t>Nueva Ecija|Santa Rosa</t>
        </is>
      </c>
      <c r="B1153" t="inlineStr">
        <is>
          <t>3101</t>
        </is>
      </c>
    </row>
    <row r="1154">
      <c r="A1154" t="inlineStr">
        <is>
          <t>Nueva Ecija|Santo Domingo</t>
        </is>
      </c>
      <c r="B1154" t="inlineStr">
        <is>
          <t>3133</t>
        </is>
      </c>
    </row>
    <row r="1155">
      <c r="A1155" t="inlineStr">
        <is>
          <t>Nueva Ecija|Science City of Muñoz</t>
        </is>
      </c>
      <c r="B1155"/>
    </row>
    <row r="1156">
      <c r="A1156" t="inlineStr">
        <is>
          <t>Nueva Ecija|Talavera</t>
        </is>
      </c>
      <c r="B1156" t="inlineStr">
        <is>
          <t>3114</t>
        </is>
      </c>
    </row>
    <row r="1157">
      <c r="A1157" t="inlineStr">
        <is>
          <t>Nueva Ecija|Talugtug</t>
        </is>
      </c>
      <c r="B1157"/>
    </row>
    <row r="1158">
      <c r="A1158" t="inlineStr">
        <is>
          <t>Nueva Ecija|Zaragoza</t>
        </is>
      </c>
      <c r="B1158" t="inlineStr">
        <is>
          <t>3110</t>
        </is>
      </c>
    </row>
    <row r="1159">
      <c r="A1159" t="inlineStr">
        <is>
          <t>Nueva Vizcaya|Alfonso Castaneda</t>
        </is>
      </c>
      <c r="B1159" t="inlineStr">
        <is>
          <t>3714</t>
        </is>
      </c>
    </row>
    <row r="1160">
      <c r="A1160" t="inlineStr">
        <is>
          <t>Nueva Vizcaya|Ambaguio</t>
        </is>
      </c>
      <c r="B1160" t="inlineStr">
        <is>
          <t>3701</t>
        </is>
      </c>
    </row>
    <row r="1161">
      <c r="A1161" t="inlineStr">
        <is>
          <t>Nueva Vizcaya|Aritao</t>
        </is>
      </c>
      <c r="B1161" t="inlineStr">
        <is>
          <t>3704</t>
        </is>
      </c>
    </row>
    <row r="1162">
      <c r="A1162" t="inlineStr">
        <is>
          <t>Nueva Vizcaya|Bagabag</t>
        </is>
      </c>
      <c r="B1162" t="inlineStr">
        <is>
          <t>3711</t>
        </is>
      </c>
    </row>
    <row r="1163">
      <c r="A1163" t="inlineStr">
        <is>
          <t>Nueva Vizcaya|Bambang</t>
        </is>
      </c>
      <c r="B1163" t="inlineStr">
        <is>
          <t>3702</t>
        </is>
      </c>
    </row>
    <row r="1164">
      <c r="A1164" t="inlineStr">
        <is>
          <t>Nueva Vizcaya|Bayombong</t>
        </is>
      </c>
      <c r="B1164" t="inlineStr">
        <is>
          <t>3700</t>
        </is>
      </c>
    </row>
    <row r="1165">
      <c r="A1165" t="inlineStr">
        <is>
          <t>Nueva Vizcaya|Diadi</t>
        </is>
      </c>
      <c r="B1165" t="inlineStr">
        <is>
          <t>3712</t>
        </is>
      </c>
    </row>
    <row r="1166">
      <c r="A1166" t="inlineStr">
        <is>
          <t>Nueva Vizcaya|Dupax del Norte</t>
        </is>
      </c>
      <c r="B1166" t="inlineStr">
        <is>
          <t>3706</t>
        </is>
      </c>
    </row>
    <row r="1167">
      <c r="A1167" t="inlineStr">
        <is>
          <t>Nueva Vizcaya|Dupax del Sur</t>
        </is>
      </c>
      <c r="B1167" t="inlineStr">
        <is>
          <t>3707</t>
        </is>
      </c>
    </row>
    <row r="1168">
      <c r="A1168" t="inlineStr">
        <is>
          <t>Nueva Vizcaya|Kasibu</t>
        </is>
      </c>
      <c r="B1168" t="inlineStr">
        <is>
          <t>3703</t>
        </is>
      </c>
    </row>
    <row r="1169">
      <c r="A1169" t="inlineStr">
        <is>
          <t>Nueva Vizcaya|Kayapa</t>
        </is>
      </c>
      <c r="B1169" t="inlineStr">
        <is>
          <t>3708</t>
        </is>
      </c>
    </row>
    <row r="1170">
      <c r="A1170" t="inlineStr">
        <is>
          <t>Nueva Vizcaya|Quezon</t>
        </is>
      </c>
      <c r="B1170" t="inlineStr">
        <is>
          <t>3713</t>
        </is>
      </c>
    </row>
    <row r="1171">
      <c r="A1171" t="inlineStr">
        <is>
          <t>Nueva Vizcaya|Santa Fe</t>
        </is>
      </c>
      <c r="B1171" t="inlineStr">
        <is>
          <t>3705</t>
        </is>
      </c>
    </row>
    <row r="1172">
      <c r="A1172" t="inlineStr">
        <is>
          <t>Nueva Vizcaya|Solano</t>
        </is>
      </c>
      <c r="B1172" t="inlineStr">
        <is>
          <t>3709</t>
        </is>
      </c>
    </row>
    <row r="1173">
      <c r="A1173" t="inlineStr">
        <is>
          <t>Nueva Vizcaya|Villaverde</t>
        </is>
      </c>
      <c r="B1173" t="inlineStr">
        <is>
          <t>3703</t>
        </is>
      </c>
    </row>
    <row r="1174">
      <c r="A1174" t="inlineStr">
        <is>
          <t>Occidental Mindoro|Abra De Ilog</t>
        </is>
      </c>
      <c r="B1174" t="inlineStr">
        <is>
          <t>5108</t>
        </is>
      </c>
    </row>
    <row r="1175">
      <c r="A1175" t="inlineStr">
        <is>
          <t>Occidental Mindoro|Calintaan</t>
        </is>
      </c>
      <c r="B1175" t="inlineStr">
        <is>
          <t>5102</t>
        </is>
      </c>
    </row>
    <row r="1176">
      <c r="A1176" t="inlineStr">
        <is>
          <t>Occidental Mindoro|Looc</t>
        </is>
      </c>
      <c r="B1176" t="inlineStr">
        <is>
          <t>5111</t>
        </is>
      </c>
    </row>
    <row r="1177">
      <c r="A1177" t="inlineStr">
        <is>
          <t>Occidental Mindoro|Lubang</t>
        </is>
      </c>
      <c r="B1177" t="inlineStr">
        <is>
          <t>5109</t>
        </is>
      </c>
    </row>
    <row r="1178">
      <c r="A1178" t="inlineStr">
        <is>
          <t>Occidental Mindoro|Magsaysay</t>
        </is>
      </c>
      <c r="B1178" t="inlineStr">
        <is>
          <t>5101</t>
        </is>
      </c>
    </row>
    <row r="1179">
      <c r="A1179" t="inlineStr">
        <is>
          <t>Occidental Mindoro|Mamburao</t>
        </is>
      </c>
      <c r="B1179" t="inlineStr">
        <is>
          <t>5106</t>
        </is>
      </c>
    </row>
    <row r="1180">
      <c r="A1180" t="inlineStr">
        <is>
          <t>Occidental Mindoro|Paluan</t>
        </is>
      </c>
      <c r="B1180" t="inlineStr">
        <is>
          <t>5107</t>
        </is>
      </c>
    </row>
    <row r="1181">
      <c r="A1181" t="inlineStr">
        <is>
          <t>Occidental Mindoro|Rizal</t>
        </is>
      </c>
      <c r="B1181" t="inlineStr">
        <is>
          <t>5103</t>
        </is>
      </c>
    </row>
    <row r="1182">
      <c r="A1182" t="inlineStr">
        <is>
          <t>Occidental Mindoro|Sablayan</t>
        </is>
      </c>
      <c r="B1182" t="inlineStr">
        <is>
          <t>5104</t>
        </is>
      </c>
    </row>
    <row r="1183">
      <c r="A1183" t="inlineStr">
        <is>
          <t>Occidental Mindoro|San Jose</t>
        </is>
      </c>
      <c r="B1183" t="inlineStr">
        <is>
          <t>5100</t>
        </is>
      </c>
    </row>
    <row r="1184">
      <c r="A1184" t="inlineStr">
        <is>
          <t>Occidental Mindoro|Santa Cruz</t>
        </is>
      </c>
      <c r="B1184" t="inlineStr">
        <is>
          <t>5105</t>
        </is>
      </c>
    </row>
    <row r="1185">
      <c r="A1185" t="inlineStr">
        <is>
          <t>Oriental Mindoro|Baco</t>
        </is>
      </c>
      <c r="B1185" t="inlineStr">
        <is>
          <t>5201</t>
        </is>
      </c>
    </row>
    <row r="1186">
      <c r="A1186" t="inlineStr">
        <is>
          <t>Oriental Mindoro|Bansud</t>
        </is>
      </c>
      <c r="B1186" t="inlineStr">
        <is>
          <t>5210</t>
        </is>
      </c>
    </row>
    <row r="1187">
      <c r="A1187" t="inlineStr">
        <is>
          <t>Oriental Mindoro|Bongabong</t>
        </is>
      </c>
      <c r="B1187" t="inlineStr">
        <is>
          <t>5211</t>
        </is>
      </c>
    </row>
    <row r="1188">
      <c r="A1188" t="inlineStr">
        <is>
          <t>Oriental Mindoro|Bulalacao</t>
        </is>
      </c>
      <c r="B1188" t="inlineStr">
        <is>
          <t>5214</t>
        </is>
      </c>
    </row>
    <row r="1189">
      <c r="A1189" t="inlineStr">
        <is>
          <t>Oriental Mindoro|City of Calapan</t>
        </is>
      </c>
      <c r="B1189" t="inlineStr">
        <is>
          <t>5200</t>
        </is>
      </c>
    </row>
    <row r="1190">
      <c r="A1190" t="inlineStr">
        <is>
          <t>Oriental Mindoro|Gloria</t>
        </is>
      </c>
      <c r="B1190" t="inlineStr">
        <is>
          <t>5209</t>
        </is>
      </c>
    </row>
    <row r="1191">
      <c r="A1191" t="inlineStr">
        <is>
          <t>Oriental Mindoro|Mansalay</t>
        </is>
      </c>
      <c r="B1191" t="inlineStr">
        <is>
          <t>5213</t>
        </is>
      </c>
    </row>
    <row r="1192">
      <c r="A1192" t="inlineStr">
        <is>
          <t>Oriental Mindoro|Naujan</t>
        </is>
      </c>
      <c r="B1192" t="inlineStr">
        <is>
          <t>5204</t>
        </is>
      </c>
    </row>
    <row r="1193">
      <c r="A1193" t="inlineStr">
        <is>
          <t>Oriental Mindoro|Pinamalayan</t>
        </is>
      </c>
      <c r="B1193" t="inlineStr">
        <is>
          <t>5208</t>
        </is>
      </c>
    </row>
    <row r="1194">
      <c r="A1194" t="inlineStr">
        <is>
          <t>Oriental Mindoro|Pola</t>
        </is>
      </c>
      <c r="B1194" t="inlineStr">
        <is>
          <t>5206</t>
        </is>
      </c>
    </row>
    <row r="1195">
      <c r="A1195" t="inlineStr">
        <is>
          <t>Oriental Mindoro|Puerto Galera</t>
        </is>
      </c>
      <c r="B1195" t="inlineStr">
        <is>
          <t>5203</t>
        </is>
      </c>
    </row>
    <row r="1196">
      <c r="A1196" t="inlineStr">
        <is>
          <t>Oriental Mindoro|Roxas</t>
        </is>
      </c>
      <c r="B1196" t="inlineStr">
        <is>
          <t>5212</t>
        </is>
      </c>
    </row>
    <row r="1197">
      <c r="A1197" t="inlineStr">
        <is>
          <t>Oriental Mindoro|San Teodoro</t>
        </is>
      </c>
      <c r="B1197" t="inlineStr">
        <is>
          <t>5202</t>
        </is>
      </c>
    </row>
    <row r="1198">
      <c r="A1198" t="inlineStr">
        <is>
          <t>Oriental Mindoro|Socorro</t>
        </is>
      </c>
      <c r="B1198" t="inlineStr">
        <is>
          <t>5207</t>
        </is>
      </c>
    </row>
    <row r="1199">
      <c r="A1199" t="inlineStr">
        <is>
          <t>Oriental Mindoro|Victoria</t>
        </is>
      </c>
      <c r="B1199" t="inlineStr">
        <is>
          <t>5205</t>
        </is>
      </c>
    </row>
    <row r="1200">
      <c r="A1200" t="inlineStr">
        <is>
          <t>Palawan|Aborlan</t>
        </is>
      </c>
      <c r="B1200" t="inlineStr">
        <is>
          <t>5302</t>
        </is>
      </c>
    </row>
    <row r="1201">
      <c r="A1201" t="inlineStr">
        <is>
          <t>Palawan|Agutaya</t>
        </is>
      </c>
      <c r="B1201" t="inlineStr">
        <is>
          <t>5320</t>
        </is>
      </c>
    </row>
    <row r="1202">
      <c r="A1202" t="inlineStr">
        <is>
          <t>Palawan|Araceli</t>
        </is>
      </c>
      <c r="B1202" t="inlineStr">
        <is>
          <t>5311</t>
        </is>
      </c>
    </row>
    <row r="1203">
      <c r="A1203" t="inlineStr">
        <is>
          <t>Palawan|Balabac</t>
        </is>
      </c>
      <c r="B1203" t="inlineStr">
        <is>
          <t>5307</t>
        </is>
      </c>
    </row>
    <row r="1204">
      <c r="A1204" t="inlineStr">
        <is>
          <t>Palawan|Bataraza</t>
        </is>
      </c>
      <c r="B1204" t="inlineStr">
        <is>
          <t>5306</t>
        </is>
      </c>
    </row>
    <row r="1205">
      <c r="A1205" t="inlineStr">
        <is>
          <t>Palawan|Brooke's Point</t>
        </is>
      </c>
      <c r="B1205" t="inlineStr">
        <is>
          <t>5305</t>
        </is>
      </c>
    </row>
    <row r="1206">
      <c r="A1206" t="inlineStr">
        <is>
          <t>Palawan|Busuanga</t>
        </is>
      </c>
      <c r="B1206" t="inlineStr">
        <is>
          <t>5317</t>
        </is>
      </c>
    </row>
    <row r="1207">
      <c r="A1207" t="inlineStr">
        <is>
          <t>Palawan|Cagayancillo</t>
        </is>
      </c>
      <c r="B1207" t="inlineStr">
        <is>
          <t>5321</t>
        </is>
      </c>
    </row>
    <row r="1208">
      <c r="A1208" t="inlineStr">
        <is>
          <t>Palawan|Coron</t>
        </is>
      </c>
      <c r="B1208" t="inlineStr">
        <is>
          <t>5316</t>
        </is>
      </c>
    </row>
    <row r="1209">
      <c r="A1209" t="inlineStr">
        <is>
          <t>Palawan|Culion</t>
        </is>
      </c>
      <c r="B1209" t="inlineStr">
        <is>
          <t>5315</t>
        </is>
      </c>
    </row>
    <row r="1210">
      <c r="A1210" t="inlineStr">
        <is>
          <t>Palawan|Cuyo</t>
        </is>
      </c>
      <c r="B1210" t="inlineStr">
        <is>
          <t>5318</t>
        </is>
      </c>
    </row>
    <row r="1211">
      <c r="A1211" t="inlineStr">
        <is>
          <t>Palawan|Dr. Jose P. Rizal</t>
        </is>
      </c>
      <c r="B1211"/>
    </row>
    <row r="1212">
      <c r="A1212" t="inlineStr">
        <is>
          <t>Palawan|Dumaran</t>
        </is>
      </c>
      <c r="B1212" t="inlineStr">
        <is>
          <t>5310</t>
        </is>
      </c>
    </row>
    <row r="1213">
      <c r="A1213" t="inlineStr">
        <is>
          <t>Palawan|El Nido</t>
        </is>
      </c>
      <c r="B1213" t="inlineStr">
        <is>
          <t>5313</t>
        </is>
      </c>
    </row>
    <row r="1214">
      <c r="A1214" t="inlineStr">
        <is>
          <t>Palawan|Kalayaan</t>
        </is>
      </c>
      <c r="B1214" t="inlineStr">
        <is>
          <t>5322</t>
        </is>
      </c>
    </row>
    <row r="1215">
      <c r="A1215" t="inlineStr">
        <is>
          <t>Palawan|Linapacan</t>
        </is>
      </c>
      <c r="B1215" t="inlineStr">
        <is>
          <t>5314</t>
        </is>
      </c>
    </row>
    <row r="1216">
      <c r="A1216" t="inlineStr">
        <is>
          <t>Palawan|Magsaysay</t>
        </is>
      </c>
      <c r="B1216" t="inlineStr">
        <is>
          <t>5319</t>
        </is>
      </c>
    </row>
    <row r="1217">
      <c r="A1217" t="inlineStr">
        <is>
          <t>Palawan|Narra</t>
        </is>
      </c>
      <c r="B1217" t="inlineStr">
        <is>
          <t>5303</t>
        </is>
      </c>
    </row>
    <row r="1218">
      <c r="A1218" t="inlineStr">
        <is>
          <t>Palawan|Quezon</t>
        </is>
      </c>
      <c r="B1218" t="inlineStr">
        <is>
          <t>5304</t>
        </is>
      </c>
    </row>
    <row r="1219">
      <c r="A1219" t="inlineStr">
        <is>
          <t>Palawan|Roxas</t>
        </is>
      </c>
      <c r="B1219" t="inlineStr">
        <is>
          <t>5308</t>
        </is>
      </c>
    </row>
    <row r="1220">
      <c r="A1220" t="inlineStr">
        <is>
          <t>Palawan|San Vicente</t>
        </is>
      </c>
      <c r="B1220" t="inlineStr">
        <is>
          <t>5309</t>
        </is>
      </c>
    </row>
    <row r="1221">
      <c r="A1221" t="inlineStr">
        <is>
          <t>Palawan|Sofronio Española</t>
        </is>
      </c>
      <c r="B1221" t="inlineStr">
        <is>
          <t>5324</t>
        </is>
      </c>
    </row>
    <row r="1222">
      <c r="A1222" t="inlineStr">
        <is>
          <t>Palawan|Taytay</t>
        </is>
      </c>
      <c r="B1222" t="inlineStr">
        <is>
          <t>5312</t>
        </is>
      </c>
    </row>
    <row r="1223">
      <c r="A1223" t="inlineStr">
        <is>
          <t>Pampanga|Apalit</t>
        </is>
      </c>
      <c r="B1223" t="inlineStr">
        <is>
          <t>2016</t>
        </is>
      </c>
    </row>
    <row r="1224">
      <c r="A1224" t="inlineStr">
        <is>
          <t>Pampanga|Arayat</t>
        </is>
      </c>
      <c r="B1224" t="inlineStr">
        <is>
          <t>2012</t>
        </is>
      </c>
    </row>
    <row r="1225">
      <c r="A1225" t="inlineStr">
        <is>
          <t>Pampanga|Bacolor</t>
        </is>
      </c>
      <c r="B1225" t="inlineStr">
        <is>
          <t>2001</t>
        </is>
      </c>
    </row>
    <row r="1226">
      <c r="A1226" t="inlineStr">
        <is>
          <t>Pampanga|Candaba</t>
        </is>
      </c>
      <c r="B1226" t="inlineStr">
        <is>
          <t>2013</t>
        </is>
      </c>
    </row>
    <row r="1227">
      <c r="A1227" t="inlineStr">
        <is>
          <t>Pampanga|City of San Fernando</t>
        </is>
      </c>
      <c r="B1227" t="inlineStr">
        <is>
          <t>2000</t>
        </is>
      </c>
    </row>
    <row r="1228">
      <c r="A1228" t="inlineStr">
        <is>
          <t>Pampanga|Floridablanca</t>
        </is>
      </c>
      <c r="B1228" t="inlineStr">
        <is>
          <t>2006</t>
        </is>
      </c>
    </row>
    <row r="1229">
      <c r="A1229" t="inlineStr">
        <is>
          <t>Pampanga|Guagua</t>
        </is>
      </c>
      <c r="B1229" t="inlineStr">
        <is>
          <t>2003</t>
        </is>
      </c>
    </row>
    <row r="1230">
      <c r="A1230" t="inlineStr">
        <is>
          <t>Pampanga|Lubao</t>
        </is>
      </c>
      <c r="B1230" t="inlineStr">
        <is>
          <t>2005</t>
        </is>
      </c>
    </row>
    <row r="1231">
      <c r="A1231" t="inlineStr">
        <is>
          <t>Pampanga|Mabalacat City</t>
        </is>
      </c>
      <c r="B1231" t="inlineStr">
        <is>
          <t>2010</t>
        </is>
      </c>
    </row>
    <row r="1232">
      <c r="A1232" t="inlineStr">
        <is>
          <t>Pampanga|Macabebe</t>
        </is>
      </c>
      <c r="B1232" t="inlineStr">
        <is>
          <t>2018</t>
        </is>
      </c>
    </row>
    <row r="1233">
      <c r="A1233" t="inlineStr">
        <is>
          <t>Pampanga|Magalang</t>
        </is>
      </c>
      <c r="B1233" t="inlineStr">
        <is>
          <t>2011</t>
        </is>
      </c>
    </row>
    <row r="1234">
      <c r="A1234" t="inlineStr">
        <is>
          <t>Pampanga|Masantol</t>
        </is>
      </c>
      <c r="B1234" t="inlineStr">
        <is>
          <t>2017</t>
        </is>
      </c>
    </row>
    <row r="1235">
      <c r="A1235" t="inlineStr">
        <is>
          <t>Pampanga|Mexico</t>
        </is>
      </c>
      <c r="B1235" t="inlineStr">
        <is>
          <t>2021</t>
        </is>
      </c>
    </row>
    <row r="1236">
      <c r="A1236" t="inlineStr">
        <is>
          <t>Pampanga|Minalin</t>
        </is>
      </c>
      <c r="B1236" t="inlineStr">
        <is>
          <t>2019</t>
        </is>
      </c>
    </row>
    <row r="1237">
      <c r="A1237" t="inlineStr">
        <is>
          <t>Pampanga|Porac</t>
        </is>
      </c>
      <c r="B1237" t="inlineStr">
        <is>
          <t>2008</t>
        </is>
      </c>
    </row>
    <row r="1238">
      <c r="A1238" t="inlineStr">
        <is>
          <t>Pampanga|San Luis</t>
        </is>
      </c>
      <c r="B1238" t="inlineStr">
        <is>
          <t>2014</t>
        </is>
      </c>
    </row>
    <row r="1239">
      <c r="A1239" t="inlineStr">
        <is>
          <t>Pampanga|San Simon</t>
        </is>
      </c>
      <c r="B1239" t="inlineStr">
        <is>
          <t>2015</t>
        </is>
      </c>
    </row>
    <row r="1240">
      <c r="A1240" t="inlineStr">
        <is>
          <t>Pampanga|Santa Ana</t>
        </is>
      </c>
      <c r="B1240" t="inlineStr">
        <is>
          <t>2022</t>
        </is>
      </c>
    </row>
    <row r="1241">
      <c r="A1241" t="inlineStr">
        <is>
          <t>Pampanga|Santa Rita</t>
        </is>
      </c>
      <c r="B1241" t="inlineStr">
        <is>
          <t>2002</t>
        </is>
      </c>
    </row>
    <row r="1242">
      <c r="A1242" t="inlineStr">
        <is>
          <t>Pampanga|Sasmuan</t>
        </is>
      </c>
      <c r="B1242" t="inlineStr">
        <is>
          <t>2004</t>
        </is>
      </c>
    </row>
    <row r="1243">
      <c r="A1243" t="inlineStr">
        <is>
          <t>Pampanga|Sto. Tomas</t>
        </is>
      </c>
      <c r="B1243" t="inlineStr">
        <is>
          <t>2020</t>
        </is>
      </c>
    </row>
    <row r="1244">
      <c r="A1244" t="inlineStr">
        <is>
          <t>Pangasinan|Agno</t>
        </is>
      </c>
      <c r="B1244" t="inlineStr">
        <is>
          <t>2408</t>
        </is>
      </c>
    </row>
    <row r="1245">
      <c r="A1245" t="inlineStr">
        <is>
          <t>Pangasinan|Aguilar</t>
        </is>
      </c>
      <c r="B1245" t="inlineStr">
        <is>
          <t>2415</t>
        </is>
      </c>
    </row>
    <row r="1246">
      <c r="A1246" t="inlineStr">
        <is>
          <t>Pangasinan|Alcala</t>
        </is>
      </c>
      <c r="B1246" t="inlineStr">
        <is>
          <t>2425</t>
        </is>
      </c>
    </row>
    <row r="1247">
      <c r="A1247" t="inlineStr">
        <is>
          <t>Pangasinan|Anda</t>
        </is>
      </c>
      <c r="B1247" t="inlineStr">
        <is>
          <t>2405</t>
        </is>
      </c>
    </row>
    <row r="1248">
      <c r="A1248" t="inlineStr">
        <is>
          <t>Pangasinan|Asingan</t>
        </is>
      </c>
      <c r="B1248" t="inlineStr">
        <is>
          <t>2439</t>
        </is>
      </c>
    </row>
    <row r="1249">
      <c r="A1249" t="inlineStr">
        <is>
          <t>Pangasinan|Balungao</t>
        </is>
      </c>
      <c r="B1249" t="inlineStr">
        <is>
          <t>2442</t>
        </is>
      </c>
    </row>
    <row r="1250">
      <c r="A1250" t="inlineStr">
        <is>
          <t>Pangasinan|Bani</t>
        </is>
      </c>
      <c r="B1250" t="inlineStr">
        <is>
          <t>2407</t>
        </is>
      </c>
    </row>
    <row r="1251">
      <c r="A1251" t="inlineStr">
        <is>
          <t>Pangasinan|Basista</t>
        </is>
      </c>
      <c r="B1251" t="inlineStr">
        <is>
          <t>2422</t>
        </is>
      </c>
    </row>
    <row r="1252">
      <c r="A1252" t="inlineStr">
        <is>
          <t>Pangasinan|Bautista</t>
        </is>
      </c>
      <c r="B1252" t="inlineStr">
        <is>
          <t>2424</t>
        </is>
      </c>
    </row>
    <row r="1253">
      <c r="A1253" t="inlineStr">
        <is>
          <t>Pangasinan|Bayambang</t>
        </is>
      </c>
      <c r="B1253" t="inlineStr">
        <is>
          <t>2423</t>
        </is>
      </c>
    </row>
    <row r="1254">
      <c r="A1254" t="inlineStr">
        <is>
          <t>Pangasinan|Binalonan</t>
        </is>
      </c>
      <c r="B1254" t="inlineStr">
        <is>
          <t>2436</t>
        </is>
      </c>
    </row>
    <row r="1255">
      <c r="A1255" t="inlineStr">
        <is>
          <t>Pangasinan|Binmaley</t>
        </is>
      </c>
      <c r="B1255" t="inlineStr">
        <is>
          <t>2417</t>
        </is>
      </c>
    </row>
    <row r="1256">
      <c r="A1256" t="inlineStr">
        <is>
          <t>Pangasinan|Bolinao</t>
        </is>
      </c>
      <c r="B1256" t="inlineStr">
        <is>
          <t>2406</t>
        </is>
      </c>
    </row>
    <row r="1257">
      <c r="A1257" t="inlineStr">
        <is>
          <t>Pangasinan|Bugallon</t>
        </is>
      </c>
      <c r="B1257" t="inlineStr">
        <is>
          <t>2416</t>
        </is>
      </c>
    </row>
    <row r="1258">
      <c r="A1258" t="inlineStr">
        <is>
          <t>Pangasinan|Burgos</t>
        </is>
      </c>
      <c r="B1258" t="inlineStr">
        <is>
          <t>2410</t>
        </is>
      </c>
    </row>
    <row r="1259">
      <c r="A1259" t="inlineStr">
        <is>
          <t>Pangasinan|Calasiao</t>
        </is>
      </c>
      <c r="B1259" t="inlineStr">
        <is>
          <t>2418</t>
        </is>
      </c>
    </row>
    <row r="1260">
      <c r="A1260" t="inlineStr">
        <is>
          <t>Pangasinan|City of Alaminos</t>
        </is>
      </c>
      <c r="B1260" t="inlineStr">
        <is>
          <t>2404</t>
        </is>
      </c>
    </row>
    <row r="1261">
      <c r="A1261" t="inlineStr">
        <is>
          <t>Pangasinan|City of Dagupan</t>
        </is>
      </c>
      <c r="B1261" t="inlineStr">
        <is>
          <t>2400</t>
        </is>
      </c>
    </row>
    <row r="1262">
      <c r="A1262" t="inlineStr">
        <is>
          <t>Pangasinan|City of San Carlos</t>
        </is>
      </c>
      <c r="B1262" t="inlineStr">
        <is>
          <t>2420</t>
        </is>
      </c>
    </row>
    <row r="1263">
      <c r="A1263" t="inlineStr">
        <is>
          <t>Pangasinan|City of Urdaneta</t>
        </is>
      </c>
      <c r="B1263" t="inlineStr">
        <is>
          <t>2428</t>
        </is>
      </c>
    </row>
    <row r="1264">
      <c r="A1264" t="inlineStr">
        <is>
          <t>Pangasinan|Dasol</t>
        </is>
      </c>
      <c r="B1264" t="inlineStr">
        <is>
          <t>2411</t>
        </is>
      </c>
    </row>
    <row r="1265">
      <c r="A1265" t="inlineStr">
        <is>
          <t>Pangasinan|Infanta</t>
        </is>
      </c>
      <c r="B1265" t="inlineStr">
        <is>
          <t>2412</t>
        </is>
      </c>
    </row>
    <row r="1266">
      <c r="A1266" t="inlineStr">
        <is>
          <t>Pangasinan|Labrador</t>
        </is>
      </c>
      <c r="B1266" t="inlineStr">
        <is>
          <t>2402</t>
        </is>
      </c>
    </row>
    <row r="1267">
      <c r="A1267" t="inlineStr">
        <is>
          <t>Pangasinan|Laoac</t>
        </is>
      </c>
      <c r="B1267" t="inlineStr">
        <is>
          <t>2437</t>
        </is>
      </c>
    </row>
    <row r="1268">
      <c r="A1268" t="inlineStr">
        <is>
          <t>Pangasinan|Lingayen</t>
        </is>
      </c>
      <c r="B1268" t="inlineStr">
        <is>
          <t>2401</t>
        </is>
      </c>
    </row>
    <row r="1269">
      <c r="A1269" t="inlineStr">
        <is>
          <t>Pangasinan|Mabini</t>
        </is>
      </c>
      <c r="B1269" t="inlineStr">
        <is>
          <t>2409</t>
        </is>
      </c>
    </row>
    <row r="1270">
      <c r="A1270" t="inlineStr">
        <is>
          <t>Pangasinan|Malasiqui</t>
        </is>
      </c>
      <c r="B1270" t="inlineStr">
        <is>
          <t>2421</t>
        </is>
      </c>
    </row>
    <row r="1271">
      <c r="A1271" t="inlineStr">
        <is>
          <t>Pangasinan|Manaoag</t>
        </is>
      </c>
      <c r="B1271" t="inlineStr">
        <is>
          <t>2430</t>
        </is>
      </c>
    </row>
    <row r="1272">
      <c r="A1272" t="inlineStr">
        <is>
          <t>Pangasinan|Mangaldan</t>
        </is>
      </c>
      <c r="B1272" t="inlineStr">
        <is>
          <t>2432</t>
        </is>
      </c>
    </row>
    <row r="1273">
      <c r="A1273" t="inlineStr">
        <is>
          <t>Pangasinan|Mangatarem</t>
        </is>
      </c>
      <c r="B1273" t="inlineStr">
        <is>
          <t>2413</t>
        </is>
      </c>
    </row>
    <row r="1274">
      <c r="A1274" t="inlineStr">
        <is>
          <t>Pangasinan|Mapandan</t>
        </is>
      </c>
      <c r="B1274" t="inlineStr">
        <is>
          <t>2429</t>
        </is>
      </c>
    </row>
    <row r="1275">
      <c r="A1275" t="inlineStr">
        <is>
          <t>Pangasinan|Natividad</t>
        </is>
      </c>
      <c r="B1275" t="inlineStr">
        <is>
          <t>2446</t>
        </is>
      </c>
    </row>
    <row r="1276">
      <c r="A1276" t="inlineStr">
        <is>
          <t>Pangasinan|Pozorrubio</t>
        </is>
      </c>
      <c r="B1276" t="inlineStr">
        <is>
          <t>2435</t>
        </is>
      </c>
    </row>
    <row r="1277">
      <c r="A1277" t="inlineStr">
        <is>
          <t>Pangasinan|Rosales</t>
        </is>
      </c>
      <c r="B1277" t="inlineStr">
        <is>
          <t>2441</t>
        </is>
      </c>
    </row>
    <row r="1278">
      <c r="A1278" t="inlineStr">
        <is>
          <t>Pangasinan|San Fabian</t>
        </is>
      </c>
      <c r="B1278" t="inlineStr">
        <is>
          <t>2433</t>
        </is>
      </c>
    </row>
    <row r="1279">
      <c r="A1279" t="inlineStr">
        <is>
          <t>Pangasinan|San Jacinto</t>
        </is>
      </c>
      <c r="B1279" t="inlineStr">
        <is>
          <t>2431</t>
        </is>
      </c>
    </row>
    <row r="1280">
      <c r="A1280" t="inlineStr">
        <is>
          <t>Pangasinan|San Manuel</t>
        </is>
      </c>
      <c r="B1280" t="inlineStr">
        <is>
          <t>2438</t>
        </is>
      </c>
    </row>
    <row r="1281">
      <c r="A1281" t="inlineStr">
        <is>
          <t>Pangasinan|San Nicolas</t>
        </is>
      </c>
      <c r="B1281" t="inlineStr">
        <is>
          <t>2447</t>
        </is>
      </c>
    </row>
    <row r="1282">
      <c r="A1282" t="inlineStr">
        <is>
          <t>Pangasinan|San Quintin</t>
        </is>
      </c>
      <c r="B1282" t="inlineStr">
        <is>
          <t>2444</t>
        </is>
      </c>
    </row>
    <row r="1283">
      <c r="A1283" t="inlineStr">
        <is>
          <t>Pangasinan|Santa Barbara</t>
        </is>
      </c>
      <c r="B1283" t="inlineStr">
        <is>
          <t>2419</t>
        </is>
      </c>
    </row>
    <row r="1284">
      <c r="A1284" t="inlineStr">
        <is>
          <t>Pangasinan|Santa Maria</t>
        </is>
      </c>
      <c r="B1284" t="inlineStr">
        <is>
          <t>2440</t>
        </is>
      </c>
    </row>
    <row r="1285">
      <c r="A1285" t="inlineStr">
        <is>
          <t>Pangasinan|Santo Tomas</t>
        </is>
      </c>
      <c r="B1285" t="inlineStr">
        <is>
          <t>2426</t>
        </is>
      </c>
    </row>
    <row r="1286">
      <c r="A1286" t="inlineStr">
        <is>
          <t>Pangasinan|Sison</t>
        </is>
      </c>
      <c r="B1286" t="inlineStr">
        <is>
          <t>2434</t>
        </is>
      </c>
    </row>
    <row r="1287">
      <c r="A1287" t="inlineStr">
        <is>
          <t>Pangasinan|Sual</t>
        </is>
      </c>
      <c r="B1287" t="inlineStr">
        <is>
          <t>2403</t>
        </is>
      </c>
    </row>
    <row r="1288">
      <c r="A1288" t="inlineStr">
        <is>
          <t>Pangasinan|Tayug</t>
        </is>
      </c>
      <c r="B1288" t="inlineStr">
        <is>
          <t>2445</t>
        </is>
      </c>
    </row>
    <row r="1289">
      <c r="A1289" t="inlineStr">
        <is>
          <t>Pangasinan|Umingan</t>
        </is>
      </c>
      <c r="B1289" t="inlineStr">
        <is>
          <t>2443</t>
        </is>
      </c>
    </row>
    <row r="1290">
      <c r="A1290" t="inlineStr">
        <is>
          <t>Pangasinan|Urbiztondo</t>
        </is>
      </c>
      <c r="B1290" t="inlineStr">
        <is>
          <t>2414</t>
        </is>
      </c>
    </row>
    <row r="1291">
      <c r="A1291" t="inlineStr">
        <is>
          <t>Pangasinan|Villasis</t>
        </is>
      </c>
      <c r="B1291" t="inlineStr">
        <is>
          <t>2427</t>
        </is>
      </c>
    </row>
    <row r="1292">
      <c r="A1292" t="inlineStr">
        <is>
          <t>Quezon|Agdangan</t>
        </is>
      </c>
      <c r="B1292" t="inlineStr">
        <is>
          <t>4304</t>
        </is>
      </c>
    </row>
    <row r="1293">
      <c r="A1293" t="inlineStr">
        <is>
          <t>Quezon|Alabat</t>
        </is>
      </c>
      <c r="B1293" t="inlineStr">
        <is>
          <t>4333</t>
        </is>
      </c>
    </row>
    <row r="1294">
      <c r="A1294" t="inlineStr">
        <is>
          <t>Quezon|Atimonan</t>
        </is>
      </c>
      <c r="B1294" t="inlineStr">
        <is>
          <t>4331</t>
        </is>
      </c>
    </row>
    <row r="1295">
      <c r="A1295" t="inlineStr">
        <is>
          <t>Quezon|Buenavista</t>
        </is>
      </c>
      <c r="B1295" t="inlineStr">
        <is>
          <t>4320</t>
        </is>
      </c>
    </row>
    <row r="1296">
      <c r="A1296" t="inlineStr">
        <is>
          <t>Quezon|Burdeos</t>
        </is>
      </c>
      <c r="B1296" t="inlineStr">
        <is>
          <t>4340</t>
        </is>
      </c>
    </row>
    <row r="1297">
      <c r="A1297" t="inlineStr">
        <is>
          <t>Quezon|Calauag</t>
        </is>
      </c>
      <c r="B1297" t="inlineStr">
        <is>
          <t>4318</t>
        </is>
      </c>
    </row>
    <row r="1298">
      <c r="A1298" t="inlineStr">
        <is>
          <t>Quezon|Candelaria</t>
        </is>
      </c>
      <c r="B1298" t="inlineStr">
        <is>
          <t>4323</t>
        </is>
      </c>
    </row>
    <row r="1299">
      <c r="A1299" t="inlineStr">
        <is>
          <t>Quezon|Catanauan</t>
        </is>
      </c>
      <c r="B1299" t="inlineStr">
        <is>
          <t>4311</t>
        </is>
      </c>
    </row>
    <row r="1300">
      <c r="A1300" t="inlineStr">
        <is>
          <t>Quezon|City of Tayabas</t>
        </is>
      </c>
      <c r="B1300" t="inlineStr">
        <is>
          <t>4327</t>
        </is>
      </c>
    </row>
    <row r="1301">
      <c r="A1301" t="inlineStr">
        <is>
          <t>Quezon|Dolores</t>
        </is>
      </c>
      <c r="B1301" t="inlineStr">
        <is>
          <t>4326</t>
        </is>
      </c>
    </row>
    <row r="1302">
      <c r="A1302" t="inlineStr">
        <is>
          <t>Quezon|General Luna</t>
        </is>
      </c>
      <c r="B1302" t="inlineStr">
        <is>
          <t>4310</t>
        </is>
      </c>
    </row>
    <row r="1303">
      <c r="A1303" t="inlineStr">
        <is>
          <t>Quezon|General Nakar</t>
        </is>
      </c>
      <c r="B1303" t="inlineStr">
        <is>
          <t>4338</t>
        </is>
      </c>
    </row>
    <row r="1304">
      <c r="A1304" t="inlineStr">
        <is>
          <t>Quezon|Guinayangan</t>
        </is>
      </c>
      <c r="B1304" t="inlineStr">
        <is>
          <t>4319</t>
        </is>
      </c>
    </row>
    <row r="1305">
      <c r="A1305" t="inlineStr">
        <is>
          <t>Quezon|Gumaca</t>
        </is>
      </c>
      <c r="B1305" t="inlineStr">
        <is>
          <t>4307</t>
        </is>
      </c>
    </row>
    <row r="1306">
      <c r="A1306" t="inlineStr">
        <is>
          <t>Quezon|Infanta</t>
        </is>
      </c>
      <c r="B1306" t="inlineStr">
        <is>
          <t>4336</t>
        </is>
      </c>
    </row>
    <row r="1307">
      <c r="A1307" t="inlineStr">
        <is>
          <t>Quezon|Jomalig</t>
        </is>
      </c>
      <c r="B1307" t="inlineStr">
        <is>
          <t>4342</t>
        </is>
      </c>
    </row>
    <row r="1308">
      <c r="A1308" t="inlineStr">
        <is>
          <t>Quezon|Lopez</t>
        </is>
      </c>
      <c r="B1308" t="inlineStr">
        <is>
          <t>4316</t>
        </is>
      </c>
    </row>
    <row r="1309">
      <c r="A1309" t="inlineStr">
        <is>
          <t>Quezon|Lucban</t>
        </is>
      </c>
      <c r="B1309" t="inlineStr">
        <is>
          <t>4328</t>
        </is>
      </c>
    </row>
    <row r="1310">
      <c r="A1310" t="inlineStr">
        <is>
          <t>Quezon|Macalelon</t>
        </is>
      </c>
      <c r="B1310" t="inlineStr">
        <is>
          <t>4309</t>
        </is>
      </c>
    </row>
    <row r="1311">
      <c r="A1311" t="inlineStr">
        <is>
          <t>Quezon|Mauban</t>
        </is>
      </c>
      <c r="B1311" t="inlineStr">
        <is>
          <t>4330</t>
        </is>
      </c>
    </row>
    <row r="1312">
      <c r="A1312" t="inlineStr">
        <is>
          <t>Quezon|Mulanay</t>
        </is>
      </c>
      <c r="B1312" t="inlineStr">
        <is>
          <t>4312</t>
        </is>
      </c>
    </row>
    <row r="1313">
      <c r="A1313" t="inlineStr">
        <is>
          <t>Quezon|Padre Burgos</t>
        </is>
      </c>
      <c r="B1313" t="inlineStr">
        <is>
          <t>4303</t>
        </is>
      </c>
    </row>
    <row r="1314">
      <c r="A1314" t="inlineStr">
        <is>
          <t>Quezon|Pagbilao</t>
        </is>
      </c>
      <c r="B1314" t="inlineStr">
        <is>
          <t>4302</t>
        </is>
      </c>
    </row>
    <row r="1315">
      <c r="A1315" t="inlineStr">
        <is>
          <t>Quezon|Panukulan</t>
        </is>
      </c>
      <c r="B1315" t="inlineStr">
        <is>
          <t>4337</t>
        </is>
      </c>
    </row>
    <row r="1316">
      <c r="A1316" t="inlineStr">
        <is>
          <t>Quezon|Patnanungan</t>
        </is>
      </c>
      <c r="B1316" t="inlineStr">
        <is>
          <t>4341</t>
        </is>
      </c>
    </row>
    <row r="1317">
      <c r="A1317" t="inlineStr">
        <is>
          <t>Quezon|Perez</t>
        </is>
      </c>
      <c r="B1317" t="inlineStr">
        <is>
          <t>4334</t>
        </is>
      </c>
    </row>
    <row r="1318">
      <c r="A1318" t="inlineStr">
        <is>
          <t>Quezon|Pitogo</t>
        </is>
      </c>
      <c r="B1318" t="inlineStr">
        <is>
          <t>4308</t>
        </is>
      </c>
    </row>
    <row r="1319">
      <c r="A1319" t="inlineStr">
        <is>
          <t>Quezon|Plaridel</t>
        </is>
      </c>
      <c r="B1319" t="inlineStr">
        <is>
          <t>4306</t>
        </is>
      </c>
    </row>
    <row r="1320">
      <c r="A1320" t="inlineStr">
        <is>
          <t>Quezon|Polillo</t>
        </is>
      </c>
      <c r="B1320" t="inlineStr">
        <is>
          <t>4339</t>
        </is>
      </c>
    </row>
    <row r="1321">
      <c r="A1321" t="inlineStr">
        <is>
          <t>Quezon|Quezon</t>
        </is>
      </c>
      <c r="B1321" t="inlineStr">
        <is>
          <t>4332</t>
        </is>
      </c>
    </row>
    <row r="1322">
      <c r="A1322" t="inlineStr">
        <is>
          <t>Quezon|Real</t>
        </is>
      </c>
      <c r="B1322" t="inlineStr">
        <is>
          <t>4335</t>
        </is>
      </c>
    </row>
    <row r="1323">
      <c r="A1323" t="inlineStr">
        <is>
          <t>Quezon|Sampaloc</t>
        </is>
      </c>
      <c r="B1323" t="inlineStr">
        <is>
          <t>4329</t>
        </is>
      </c>
    </row>
    <row r="1324">
      <c r="A1324" t="inlineStr">
        <is>
          <t>Quezon|San Andres</t>
        </is>
      </c>
      <c r="B1324" t="inlineStr">
        <is>
          <t>4314</t>
        </is>
      </c>
    </row>
    <row r="1325">
      <c r="A1325" t="inlineStr">
        <is>
          <t>Quezon|San Antonio</t>
        </is>
      </c>
      <c r="B1325" t="inlineStr">
        <is>
          <t>4324</t>
        </is>
      </c>
    </row>
    <row r="1326">
      <c r="A1326" t="inlineStr">
        <is>
          <t>Quezon|San Francisco</t>
        </is>
      </c>
      <c r="B1326" t="inlineStr">
        <is>
          <t>4315</t>
        </is>
      </c>
    </row>
    <row r="1327">
      <c r="A1327" t="inlineStr">
        <is>
          <t>Quezon|San Narciso</t>
        </is>
      </c>
      <c r="B1327" t="inlineStr">
        <is>
          <t>4313</t>
        </is>
      </c>
    </row>
    <row r="1328">
      <c r="A1328" t="inlineStr">
        <is>
          <t>Quezon|Sariaya</t>
        </is>
      </c>
      <c r="B1328" t="inlineStr">
        <is>
          <t>4322</t>
        </is>
      </c>
    </row>
    <row r="1329">
      <c r="A1329" t="inlineStr">
        <is>
          <t>Quezon|Tagkawayan</t>
        </is>
      </c>
      <c r="B1329" t="inlineStr">
        <is>
          <t>4321</t>
        </is>
      </c>
    </row>
    <row r="1330">
      <c r="A1330" t="inlineStr">
        <is>
          <t>Quezon|Tiaong</t>
        </is>
      </c>
      <c r="B1330" t="inlineStr">
        <is>
          <t>4325</t>
        </is>
      </c>
    </row>
    <row r="1331">
      <c r="A1331" t="inlineStr">
        <is>
          <t>Quezon|Unisan</t>
        </is>
      </c>
      <c r="B1331" t="inlineStr">
        <is>
          <t>4305</t>
        </is>
      </c>
    </row>
    <row r="1332">
      <c r="A1332" t="inlineStr">
        <is>
          <t>Quirino|Aglipay</t>
        </is>
      </c>
      <c r="B1332" t="inlineStr">
        <is>
          <t>3403</t>
        </is>
      </c>
    </row>
    <row r="1333">
      <c r="A1333" t="inlineStr">
        <is>
          <t>Quirino|Cabarroguis</t>
        </is>
      </c>
      <c r="B1333" t="inlineStr">
        <is>
          <t>3400</t>
        </is>
      </c>
    </row>
    <row r="1334">
      <c r="A1334" t="inlineStr">
        <is>
          <t>Quirino|Diffun</t>
        </is>
      </c>
      <c r="B1334" t="inlineStr">
        <is>
          <t>3401</t>
        </is>
      </c>
    </row>
    <row r="1335">
      <c r="A1335" t="inlineStr">
        <is>
          <t>Quirino|Maddela</t>
        </is>
      </c>
      <c r="B1335" t="inlineStr">
        <is>
          <t>3404</t>
        </is>
      </c>
    </row>
    <row r="1336">
      <c r="A1336" t="inlineStr">
        <is>
          <t>Quirino|Nagtipunan</t>
        </is>
      </c>
      <c r="B1336" t="inlineStr">
        <is>
          <t>3405</t>
        </is>
      </c>
    </row>
    <row r="1337">
      <c r="A1337" t="inlineStr">
        <is>
          <t>Quirino|Saguday</t>
        </is>
      </c>
      <c r="B1337" t="inlineStr">
        <is>
          <t>3402</t>
        </is>
      </c>
    </row>
    <row r="1338">
      <c r="A1338" t="inlineStr">
        <is>
          <t>Rizal|Angono</t>
        </is>
      </c>
      <c r="B1338" t="inlineStr">
        <is>
          <t>1930</t>
        </is>
      </c>
    </row>
    <row r="1339">
      <c r="A1339" t="inlineStr">
        <is>
          <t>Rizal|Baras</t>
        </is>
      </c>
      <c r="B1339" t="inlineStr">
        <is>
          <t>1970</t>
        </is>
      </c>
    </row>
    <row r="1340">
      <c r="A1340" t="inlineStr">
        <is>
          <t>Rizal|Binangonan</t>
        </is>
      </c>
      <c r="B1340" t="inlineStr">
        <is>
          <t>1940</t>
        </is>
      </c>
    </row>
    <row r="1341">
      <c r="A1341" t="inlineStr">
        <is>
          <t>Rizal|Cainta</t>
        </is>
      </c>
      <c r="B1341" t="inlineStr">
        <is>
          <t>1900</t>
        </is>
      </c>
    </row>
    <row r="1342">
      <c r="A1342" t="inlineStr">
        <is>
          <t>Rizal|Cardona</t>
        </is>
      </c>
      <c r="B1342" t="inlineStr">
        <is>
          <t>1950</t>
        </is>
      </c>
    </row>
    <row r="1343">
      <c r="A1343" t="inlineStr">
        <is>
          <t>Rizal|City of Antipolo</t>
        </is>
      </c>
      <c r="B1343" t="inlineStr">
        <is>
          <t>1870</t>
        </is>
      </c>
    </row>
    <row r="1344">
      <c r="A1344" t="inlineStr">
        <is>
          <t>Rizal|Jala-Jala</t>
        </is>
      </c>
      <c r="B1344" t="inlineStr">
        <is>
          <t>1990</t>
        </is>
      </c>
    </row>
    <row r="1345">
      <c r="A1345" t="inlineStr">
        <is>
          <t>Rizal|Morong</t>
        </is>
      </c>
      <c r="B1345" t="inlineStr">
        <is>
          <t>1960</t>
        </is>
      </c>
    </row>
    <row r="1346">
      <c r="A1346" t="inlineStr">
        <is>
          <t>Rizal|Pililla</t>
        </is>
      </c>
      <c r="B1346" t="inlineStr">
        <is>
          <t>1910</t>
        </is>
      </c>
    </row>
    <row r="1347">
      <c r="A1347" t="inlineStr">
        <is>
          <t>Rizal|Rodriguez</t>
        </is>
      </c>
      <c r="B1347" t="inlineStr">
        <is>
          <t>1860</t>
        </is>
      </c>
    </row>
    <row r="1348">
      <c r="A1348" t="inlineStr">
        <is>
          <t>Rizal|San Mateo</t>
        </is>
      </c>
      <c r="B1348" t="inlineStr">
        <is>
          <t>1850</t>
        </is>
      </c>
    </row>
    <row r="1349">
      <c r="A1349" t="inlineStr">
        <is>
          <t>Rizal|Tanay</t>
        </is>
      </c>
      <c r="B1349" t="inlineStr">
        <is>
          <t>1980</t>
        </is>
      </c>
    </row>
    <row r="1350">
      <c r="A1350" t="inlineStr">
        <is>
          <t>Rizal|Taytay</t>
        </is>
      </c>
      <c r="B1350" t="inlineStr">
        <is>
          <t>1920</t>
        </is>
      </c>
    </row>
    <row r="1351">
      <c r="A1351" t="inlineStr">
        <is>
          <t>Rizal|Teresa</t>
        </is>
      </c>
      <c r="B1351" t="inlineStr">
        <is>
          <t>1880</t>
        </is>
      </c>
    </row>
    <row r="1352">
      <c r="A1352" t="inlineStr">
        <is>
          <t>Romblon|Alcantara</t>
        </is>
      </c>
      <c r="B1352" t="inlineStr">
        <is>
          <t>5509</t>
        </is>
      </c>
    </row>
    <row r="1353">
      <c r="A1353" t="inlineStr">
        <is>
          <t>Romblon|Banton</t>
        </is>
      </c>
      <c r="B1353" t="inlineStr">
        <is>
          <t>5515</t>
        </is>
      </c>
    </row>
    <row r="1354">
      <c r="A1354" t="inlineStr">
        <is>
          <t>Romblon|Cajidiocan</t>
        </is>
      </c>
      <c r="B1354" t="inlineStr">
        <is>
          <t>5512</t>
        </is>
      </c>
    </row>
    <row r="1355">
      <c r="A1355" t="inlineStr">
        <is>
          <t>Romblon|Calatrava</t>
        </is>
      </c>
      <c r="B1355" t="inlineStr">
        <is>
          <t>5503</t>
        </is>
      </c>
    </row>
    <row r="1356">
      <c r="A1356" t="inlineStr">
        <is>
          <t>Romblon|Concepcion</t>
        </is>
      </c>
      <c r="B1356" t="inlineStr">
        <is>
          <t>5516</t>
        </is>
      </c>
    </row>
    <row r="1357">
      <c r="A1357" t="inlineStr">
        <is>
          <t>Romblon|Corcuera</t>
        </is>
      </c>
      <c r="B1357" t="inlineStr">
        <is>
          <t>5514</t>
        </is>
      </c>
    </row>
    <row r="1358">
      <c r="A1358" t="inlineStr">
        <is>
          <t>Romblon|Ferrol</t>
        </is>
      </c>
      <c r="B1358" t="inlineStr">
        <is>
          <t>5506</t>
        </is>
      </c>
    </row>
    <row r="1359">
      <c r="A1359" t="inlineStr">
        <is>
          <t>Romblon|Looc</t>
        </is>
      </c>
      <c r="B1359" t="inlineStr">
        <is>
          <t>5507</t>
        </is>
      </c>
    </row>
    <row r="1360">
      <c r="A1360" t="inlineStr">
        <is>
          <t>Romblon|Magdiwang</t>
        </is>
      </c>
      <c r="B1360" t="inlineStr">
        <is>
          <t>5511</t>
        </is>
      </c>
    </row>
    <row r="1361">
      <c r="A1361" t="inlineStr">
        <is>
          <t>Romblon|Odiongan</t>
        </is>
      </c>
      <c r="B1361" t="inlineStr">
        <is>
          <t>5505</t>
        </is>
      </c>
    </row>
    <row r="1362">
      <c r="A1362" t="inlineStr">
        <is>
          <t>Romblon|Romblon</t>
        </is>
      </c>
      <c r="B1362" t="inlineStr">
        <is>
          <t>5500</t>
        </is>
      </c>
    </row>
    <row r="1363">
      <c r="A1363" t="inlineStr">
        <is>
          <t>Romblon|San Agustin</t>
        </is>
      </c>
      <c r="B1363" t="inlineStr">
        <is>
          <t>5501</t>
        </is>
      </c>
    </row>
    <row r="1364">
      <c r="A1364" t="inlineStr">
        <is>
          <t>Romblon|San Andres</t>
        </is>
      </c>
      <c r="B1364" t="inlineStr">
        <is>
          <t>5504</t>
        </is>
      </c>
    </row>
    <row r="1365">
      <c r="A1365" t="inlineStr">
        <is>
          <t>Romblon|San Fernando</t>
        </is>
      </c>
      <c r="B1365" t="inlineStr">
        <is>
          <t>5513</t>
        </is>
      </c>
    </row>
    <row r="1366">
      <c r="A1366" t="inlineStr">
        <is>
          <t>Romblon|San Jose</t>
        </is>
      </c>
      <c r="B1366" t="inlineStr">
        <is>
          <t>5510</t>
        </is>
      </c>
    </row>
    <row r="1367">
      <c r="A1367" t="inlineStr">
        <is>
          <t>Romblon|Santa Fe</t>
        </is>
      </c>
      <c r="B1367" t="inlineStr">
        <is>
          <t>5508</t>
        </is>
      </c>
    </row>
    <row r="1368">
      <c r="A1368" t="inlineStr">
        <is>
          <t>Romblon|Santa Maria</t>
        </is>
      </c>
      <c r="B1368" t="inlineStr">
        <is>
          <t>5502</t>
        </is>
      </c>
    </row>
    <row r="1369">
      <c r="A1369" t="inlineStr">
        <is>
          <t>Samar|Almagro</t>
        </is>
      </c>
      <c r="B1369" t="inlineStr">
        <is>
          <t>6724</t>
        </is>
      </c>
    </row>
    <row r="1370">
      <c r="A1370" t="inlineStr">
        <is>
          <t>Samar|Basey</t>
        </is>
      </c>
      <c r="B1370" t="inlineStr">
        <is>
          <t>6720</t>
        </is>
      </c>
    </row>
    <row r="1371">
      <c r="A1371" t="inlineStr">
        <is>
          <t>Samar|Calbiga</t>
        </is>
      </c>
      <c r="B1371" t="inlineStr">
        <is>
          <t>6715</t>
        </is>
      </c>
    </row>
    <row r="1372">
      <c r="A1372" t="inlineStr">
        <is>
          <t>Samar|City of Calbayog</t>
        </is>
      </c>
      <c r="B1372" t="inlineStr">
        <is>
          <t>6710</t>
        </is>
      </c>
    </row>
    <row r="1373">
      <c r="A1373" t="inlineStr">
        <is>
          <t>Samar|City of Catbalogan</t>
        </is>
      </c>
      <c r="B1373" t="inlineStr">
        <is>
          <t>6700</t>
        </is>
      </c>
    </row>
    <row r="1374">
      <c r="A1374" t="inlineStr">
        <is>
          <t>Samar|Daram</t>
        </is>
      </c>
      <c r="B1374" t="inlineStr">
        <is>
          <t>6722</t>
        </is>
      </c>
    </row>
    <row r="1375">
      <c r="A1375" t="inlineStr">
        <is>
          <t>Samar|Gandara</t>
        </is>
      </c>
      <c r="B1375" t="inlineStr">
        <is>
          <t>6706</t>
        </is>
      </c>
    </row>
    <row r="1376">
      <c r="A1376" t="inlineStr">
        <is>
          <t>Samar|Hinabangan</t>
        </is>
      </c>
      <c r="B1376" t="inlineStr">
        <is>
          <t>6713</t>
        </is>
      </c>
    </row>
    <row r="1377">
      <c r="A1377" t="inlineStr">
        <is>
          <t>Samar|Jiabong</t>
        </is>
      </c>
      <c r="B1377" t="inlineStr">
        <is>
          <t>6701</t>
        </is>
      </c>
    </row>
    <row r="1378">
      <c r="A1378" t="inlineStr">
        <is>
          <t>Samar|Marabut</t>
        </is>
      </c>
      <c r="B1378" t="inlineStr">
        <is>
          <t>6721</t>
        </is>
      </c>
    </row>
    <row r="1379">
      <c r="A1379" t="inlineStr">
        <is>
          <t>Samar|Matuguinao</t>
        </is>
      </c>
      <c r="B1379" t="inlineStr">
        <is>
          <t>6708</t>
        </is>
      </c>
    </row>
    <row r="1380">
      <c r="A1380" t="inlineStr">
        <is>
          <t>Samar|Motiong</t>
        </is>
      </c>
      <c r="B1380" t="inlineStr">
        <is>
          <t>6702</t>
        </is>
      </c>
    </row>
    <row r="1381">
      <c r="A1381" t="inlineStr">
        <is>
          <t>Samar|Pagsanghan</t>
        </is>
      </c>
      <c r="B1381" t="inlineStr">
        <is>
          <t>6705</t>
        </is>
      </c>
    </row>
    <row r="1382">
      <c r="A1382" t="inlineStr">
        <is>
          <t>Samar|Paranas</t>
        </is>
      </c>
      <c r="B1382"/>
    </row>
    <row r="1383">
      <c r="A1383" t="inlineStr">
        <is>
          <t>Samar|Pinabacdao</t>
        </is>
      </c>
      <c r="B1383" t="inlineStr">
        <is>
          <t>6716</t>
        </is>
      </c>
    </row>
    <row r="1384">
      <c r="A1384" t="inlineStr">
        <is>
          <t>Samar|San Jorge</t>
        </is>
      </c>
      <c r="B1384" t="inlineStr">
        <is>
          <t>6707</t>
        </is>
      </c>
    </row>
    <row r="1385">
      <c r="A1385" t="inlineStr">
        <is>
          <t>Samar|San Jose De Buan</t>
        </is>
      </c>
      <c r="B1385" t="inlineStr">
        <is>
          <t>6723</t>
        </is>
      </c>
    </row>
    <row r="1386">
      <c r="A1386" t="inlineStr">
        <is>
          <t>Samar|San Sebastian</t>
        </is>
      </c>
      <c r="B1386" t="inlineStr">
        <is>
          <t>6714</t>
        </is>
      </c>
    </row>
    <row r="1387">
      <c r="A1387" t="inlineStr">
        <is>
          <t>Samar|Santa Margarita</t>
        </is>
      </c>
      <c r="B1387" t="inlineStr">
        <is>
          <t>6709</t>
        </is>
      </c>
    </row>
    <row r="1388">
      <c r="A1388" t="inlineStr">
        <is>
          <t>Samar|Santa Rita</t>
        </is>
      </c>
      <c r="B1388" t="inlineStr">
        <is>
          <t>6718</t>
        </is>
      </c>
    </row>
    <row r="1389">
      <c r="A1389" t="inlineStr">
        <is>
          <t>Samar|Santo Niño</t>
        </is>
      </c>
      <c r="B1389" t="inlineStr">
        <is>
          <t>6711</t>
        </is>
      </c>
    </row>
    <row r="1390">
      <c r="A1390" t="inlineStr">
        <is>
          <t>Samar|Tagapul-An</t>
        </is>
      </c>
      <c r="B1390" t="inlineStr">
        <is>
          <t>6712</t>
        </is>
      </c>
    </row>
    <row r="1391">
      <c r="A1391" t="inlineStr">
        <is>
          <t>Samar|Talalora</t>
        </is>
      </c>
      <c r="B1391" t="inlineStr">
        <is>
          <t>6719</t>
        </is>
      </c>
    </row>
    <row r="1392">
      <c r="A1392" t="inlineStr">
        <is>
          <t>Samar|Tarangnan</t>
        </is>
      </c>
      <c r="B1392" t="inlineStr">
        <is>
          <t>6704</t>
        </is>
      </c>
    </row>
    <row r="1393">
      <c r="A1393" t="inlineStr">
        <is>
          <t>Samar|Villareal</t>
        </is>
      </c>
      <c r="B1393" t="inlineStr">
        <is>
          <t>6717</t>
        </is>
      </c>
    </row>
    <row r="1394">
      <c r="A1394" t="inlineStr">
        <is>
          <t>Samar|Zumarraga</t>
        </is>
      </c>
      <c r="B1394" t="inlineStr">
        <is>
          <t>6725</t>
        </is>
      </c>
    </row>
    <row r="1395">
      <c r="A1395" t="inlineStr">
        <is>
          <t>Sarangani|Alabel</t>
        </is>
      </c>
      <c r="B1395" t="inlineStr">
        <is>
          <t>9501</t>
        </is>
      </c>
    </row>
    <row r="1396">
      <c r="A1396" t="inlineStr">
        <is>
          <t>Sarangani|Glan</t>
        </is>
      </c>
      <c r="B1396" t="inlineStr">
        <is>
          <t>9517</t>
        </is>
      </c>
    </row>
    <row r="1397">
      <c r="A1397" t="inlineStr">
        <is>
          <t>Sarangani|Kiamba</t>
        </is>
      </c>
      <c r="B1397" t="inlineStr">
        <is>
          <t>9514</t>
        </is>
      </c>
    </row>
    <row r="1398">
      <c r="A1398" t="inlineStr">
        <is>
          <t>Sarangani|Maasim</t>
        </is>
      </c>
      <c r="B1398" t="inlineStr">
        <is>
          <t>9502</t>
        </is>
      </c>
    </row>
    <row r="1399">
      <c r="A1399" t="inlineStr">
        <is>
          <t>Sarangani|Maitum</t>
        </is>
      </c>
      <c r="B1399" t="inlineStr">
        <is>
          <t>9515</t>
        </is>
      </c>
    </row>
    <row r="1400">
      <c r="A1400" t="inlineStr">
        <is>
          <t>Sarangani|Malapatan</t>
        </is>
      </c>
      <c r="B1400" t="inlineStr">
        <is>
          <t>9516</t>
        </is>
      </c>
    </row>
    <row r="1401">
      <c r="A1401" t="inlineStr">
        <is>
          <t>Sarangani|Malungon</t>
        </is>
      </c>
      <c r="B1401" t="inlineStr">
        <is>
          <t>9503</t>
        </is>
      </c>
    </row>
    <row r="1402">
      <c r="A1402" t="inlineStr">
        <is>
          <t>Siquijor|Enrique Villanueva</t>
        </is>
      </c>
      <c r="B1402" t="inlineStr">
        <is>
          <t>6230</t>
        </is>
      </c>
    </row>
    <row r="1403">
      <c r="A1403" t="inlineStr">
        <is>
          <t>Siquijor|Larena</t>
        </is>
      </c>
      <c r="B1403" t="inlineStr">
        <is>
          <t>6226</t>
        </is>
      </c>
    </row>
    <row r="1404">
      <c r="A1404" t="inlineStr">
        <is>
          <t>Siquijor|Lazi</t>
        </is>
      </c>
      <c r="B1404" t="inlineStr">
        <is>
          <t>6228</t>
        </is>
      </c>
    </row>
    <row r="1405">
      <c r="A1405" t="inlineStr">
        <is>
          <t>Siquijor|Maria</t>
        </is>
      </c>
      <c r="B1405" t="inlineStr">
        <is>
          <t>6229</t>
        </is>
      </c>
    </row>
    <row r="1406">
      <c r="A1406" t="inlineStr">
        <is>
          <t>Siquijor|San Juan</t>
        </is>
      </c>
      <c r="B1406" t="inlineStr">
        <is>
          <t>6227</t>
        </is>
      </c>
    </row>
    <row r="1407">
      <c r="A1407" t="inlineStr">
        <is>
          <t>Siquijor|Siquijor</t>
        </is>
      </c>
      <c r="B1407" t="inlineStr">
        <is>
          <t>6225</t>
        </is>
      </c>
    </row>
    <row r="1408">
      <c r="A1408" t="inlineStr">
        <is>
          <t>Sorsogon|Barcelona</t>
        </is>
      </c>
      <c r="B1408" t="inlineStr">
        <is>
          <t>4712</t>
        </is>
      </c>
    </row>
    <row r="1409">
      <c r="A1409" t="inlineStr">
        <is>
          <t>Sorsogon|Bulan</t>
        </is>
      </c>
      <c r="B1409" t="inlineStr">
        <is>
          <t>4706</t>
        </is>
      </c>
    </row>
    <row r="1410">
      <c r="A1410" t="inlineStr">
        <is>
          <t>Sorsogon|Bulusan</t>
        </is>
      </c>
      <c r="B1410" t="inlineStr">
        <is>
          <t>4704</t>
        </is>
      </c>
    </row>
    <row r="1411">
      <c r="A1411" t="inlineStr">
        <is>
          <t>Sorsogon|Casiguran</t>
        </is>
      </c>
      <c r="B1411" t="inlineStr">
        <is>
          <t>4702</t>
        </is>
      </c>
    </row>
    <row r="1412">
      <c r="A1412" t="inlineStr">
        <is>
          <t>Sorsogon|Castilla</t>
        </is>
      </c>
      <c r="B1412" t="inlineStr">
        <is>
          <t>4713</t>
        </is>
      </c>
    </row>
    <row r="1413">
      <c r="A1413" t="inlineStr">
        <is>
          <t>Sorsogon|City of Sorsogon</t>
        </is>
      </c>
      <c r="B1413" t="inlineStr">
        <is>
          <t>4700</t>
        </is>
      </c>
    </row>
    <row r="1414">
      <c r="A1414" t="inlineStr">
        <is>
          <t>Sorsogon|Donsol</t>
        </is>
      </c>
      <c r="B1414" t="inlineStr">
        <is>
          <t>4715</t>
        </is>
      </c>
    </row>
    <row r="1415">
      <c r="A1415" t="inlineStr">
        <is>
          <t>Sorsogon|Gubat</t>
        </is>
      </c>
      <c r="B1415" t="inlineStr">
        <is>
          <t>4710</t>
        </is>
      </c>
    </row>
    <row r="1416">
      <c r="A1416" t="inlineStr">
        <is>
          <t>Sorsogon|Irosin</t>
        </is>
      </c>
      <c r="B1416" t="inlineStr">
        <is>
          <t>4707</t>
        </is>
      </c>
    </row>
    <row r="1417">
      <c r="A1417" t="inlineStr">
        <is>
          <t>Sorsogon|Juban</t>
        </is>
      </c>
      <c r="B1417" t="inlineStr">
        <is>
          <t>4703</t>
        </is>
      </c>
    </row>
    <row r="1418">
      <c r="A1418" t="inlineStr">
        <is>
          <t>Sorsogon|Magallanes</t>
        </is>
      </c>
      <c r="B1418" t="inlineStr">
        <is>
          <t>4705</t>
        </is>
      </c>
    </row>
    <row r="1419">
      <c r="A1419" t="inlineStr">
        <is>
          <t>Sorsogon|Matnog</t>
        </is>
      </c>
      <c r="B1419" t="inlineStr">
        <is>
          <t>4708</t>
        </is>
      </c>
    </row>
    <row r="1420">
      <c r="A1420" t="inlineStr">
        <is>
          <t>Sorsogon|Pilar</t>
        </is>
      </c>
      <c r="B1420" t="inlineStr">
        <is>
          <t>4714</t>
        </is>
      </c>
    </row>
    <row r="1421">
      <c r="A1421" t="inlineStr">
        <is>
          <t>Sorsogon|Prieto Diaz</t>
        </is>
      </c>
      <c r="B1421" t="inlineStr">
        <is>
          <t>4711</t>
        </is>
      </c>
    </row>
    <row r="1422">
      <c r="A1422" t="inlineStr">
        <is>
          <t>Sorsogon|Santa Magdalena</t>
        </is>
      </c>
      <c r="B1422" t="inlineStr">
        <is>
          <t>4709</t>
        </is>
      </c>
    </row>
    <row r="1423">
      <c r="A1423" t="inlineStr">
        <is>
          <t>South Cotabato|Banga</t>
        </is>
      </c>
      <c r="B1423" t="inlineStr">
        <is>
          <t>9511</t>
        </is>
      </c>
    </row>
    <row r="1424">
      <c r="A1424" t="inlineStr">
        <is>
          <t>South Cotabato|City of Koronadal</t>
        </is>
      </c>
      <c r="B1424" t="inlineStr">
        <is>
          <t>9506</t>
        </is>
      </c>
    </row>
    <row r="1425">
      <c r="A1425" t="inlineStr">
        <is>
          <t>South Cotabato|Lake Sebu</t>
        </is>
      </c>
      <c r="B1425" t="inlineStr">
        <is>
          <t>9518</t>
        </is>
      </c>
    </row>
    <row r="1426">
      <c r="A1426" t="inlineStr">
        <is>
          <t>South Cotabato|Norala</t>
        </is>
      </c>
      <c r="B1426" t="inlineStr">
        <is>
          <t>9508</t>
        </is>
      </c>
    </row>
    <row r="1427">
      <c r="A1427" t="inlineStr">
        <is>
          <t>South Cotabato|Polomolok</t>
        </is>
      </c>
      <c r="B1427" t="inlineStr">
        <is>
          <t>9504</t>
        </is>
      </c>
    </row>
    <row r="1428">
      <c r="A1428" t="inlineStr">
        <is>
          <t>South Cotabato|Santo Niño</t>
        </is>
      </c>
      <c r="B1428" t="inlineStr">
        <is>
          <t>9509</t>
        </is>
      </c>
    </row>
    <row r="1429">
      <c r="A1429" t="inlineStr">
        <is>
          <t>South Cotabato|Surallah</t>
        </is>
      </c>
      <c r="B1429" t="inlineStr">
        <is>
          <t>9512</t>
        </is>
      </c>
    </row>
    <row r="1430">
      <c r="A1430" t="inlineStr">
        <is>
          <t>South Cotabato|T'Boli</t>
        </is>
      </c>
      <c r="B1430" t="inlineStr">
        <is>
          <t>9513</t>
        </is>
      </c>
    </row>
    <row r="1431">
      <c r="A1431" t="inlineStr">
        <is>
          <t>South Cotabato|Tampakan</t>
        </is>
      </c>
      <c r="B1431" t="inlineStr">
        <is>
          <t>9507</t>
        </is>
      </c>
    </row>
    <row r="1432">
      <c r="A1432" t="inlineStr">
        <is>
          <t>South Cotabato|Tantangan</t>
        </is>
      </c>
      <c r="B1432" t="inlineStr">
        <is>
          <t>9510</t>
        </is>
      </c>
    </row>
    <row r="1433">
      <c r="A1433" t="inlineStr">
        <is>
          <t>South Cotabato|Tupi</t>
        </is>
      </c>
      <c r="B1433" t="inlineStr">
        <is>
          <t>9505</t>
        </is>
      </c>
    </row>
    <row r="1434">
      <c r="A1434" t="inlineStr">
        <is>
          <t>Southern Leyte|Anahawan</t>
        </is>
      </c>
      <c r="B1434" t="inlineStr">
        <is>
          <t>6610</t>
        </is>
      </c>
    </row>
    <row r="1435">
      <c r="A1435" t="inlineStr">
        <is>
          <t>Southern Leyte|Bontoc</t>
        </is>
      </c>
      <c r="B1435" t="inlineStr">
        <is>
          <t>6604</t>
        </is>
      </c>
    </row>
    <row r="1436">
      <c r="A1436" t="inlineStr">
        <is>
          <t>Southern Leyte|City of Maasin</t>
        </is>
      </c>
      <c r="B1436" t="inlineStr">
        <is>
          <t>6600</t>
        </is>
      </c>
    </row>
    <row r="1437">
      <c r="A1437" t="inlineStr">
        <is>
          <t>Southern Leyte|Hinunangan</t>
        </is>
      </c>
      <c r="B1437" t="inlineStr">
        <is>
          <t>6608</t>
        </is>
      </c>
    </row>
    <row r="1438">
      <c r="A1438" t="inlineStr">
        <is>
          <t>Southern Leyte|Hinundayan</t>
        </is>
      </c>
      <c r="B1438" t="inlineStr">
        <is>
          <t>6609</t>
        </is>
      </c>
    </row>
    <row r="1439">
      <c r="A1439" t="inlineStr">
        <is>
          <t>Southern Leyte|Libagon</t>
        </is>
      </c>
      <c r="B1439" t="inlineStr">
        <is>
          <t>6615</t>
        </is>
      </c>
    </row>
    <row r="1440">
      <c r="A1440" t="inlineStr">
        <is>
          <t>Southern Leyte|Liloan</t>
        </is>
      </c>
      <c r="B1440" t="inlineStr">
        <is>
          <t>6612</t>
        </is>
      </c>
    </row>
    <row r="1441">
      <c r="A1441" t="inlineStr">
        <is>
          <t>Southern Leyte|Limasawa</t>
        </is>
      </c>
      <c r="B1441"/>
    </row>
    <row r="1442">
      <c r="A1442" t="inlineStr">
        <is>
          <t>Southern Leyte|Macrohon</t>
        </is>
      </c>
      <c r="B1442" t="inlineStr">
        <is>
          <t>6601</t>
        </is>
      </c>
    </row>
    <row r="1443">
      <c r="A1443" t="inlineStr">
        <is>
          <t>Southern Leyte|Malitbog</t>
        </is>
      </c>
      <c r="B1443" t="inlineStr">
        <is>
          <t>6603</t>
        </is>
      </c>
    </row>
    <row r="1444">
      <c r="A1444" t="inlineStr">
        <is>
          <t>Southern Leyte|Padre Burgos</t>
        </is>
      </c>
      <c r="B1444" t="inlineStr">
        <is>
          <t>6602</t>
        </is>
      </c>
    </row>
    <row r="1445">
      <c r="A1445" t="inlineStr">
        <is>
          <t>Southern Leyte|Pintuyan</t>
        </is>
      </c>
      <c r="B1445" t="inlineStr">
        <is>
          <t>6614</t>
        </is>
      </c>
    </row>
    <row r="1446">
      <c r="A1446" t="inlineStr">
        <is>
          <t>Southern Leyte|Saint Bernard</t>
        </is>
      </c>
      <c r="B1446" t="inlineStr">
        <is>
          <t>6616</t>
        </is>
      </c>
    </row>
    <row r="1447">
      <c r="A1447" t="inlineStr">
        <is>
          <t>Southern Leyte|San Francisco</t>
        </is>
      </c>
      <c r="B1447" t="inlineStr">
        <is>
          <t>6613</t>
        </is>
      </c>
    </row>
    <row r="1448">
      <c r="A1448" t="inlineStr">
        <is>
          <t>Southern Leyte|San Juan</t>
        </is>
      </c>
      <c r="B1448" t="inlineStr">
        <is>
          <t>2823</t>
        </is>
      </c>
    </row>
    <row r="1449">
      <c r="A1449" t="inlineStr">
        <is>
          <t>Southern Leyte|San Ricardo</t>
        </is>
      </c>
      <c r="B1449" t="inlineStr">
        <is>
          <t>6617</t>
        </is>
      </c>
    </row>
    <row r="1450">
      <c r="A1450" t="inlineStr">
        <is>
          <t>Southern Leyte|Silago</t>
        </is>
      </c>
      <c r="B1450" t="inlineStr">
        <is>
          <t>6607</t>
        </is>
      </c>
    </row>
    <row r="1451">
      <c r="A1451" t="inlineStr">
        <is>
          <t>Southern Leyte|Sogod</t>
        </is>
      </c>
      <c r="B1451" t="inlineStr">
        <is>
          <t>6606</t>
        </is>
      </c>
    </row>
    <row r="1452">
      <c r="A1452" t="inlineStr">
        <is>
          <t>Southern Leyte|Tomas Oppus</t>
        </is>
      </c>
      <c r="B1452"/>
    </row>
    <row r="1453">
      <c r="A1453" t="inlineStr">
        <is>
          <t>Special Geographic Area|Kadayangan</t>
        </is>
      </c>
      <c r="B1453"/>
    </row>
    <row r="1454">
      <c r="A1454" t="inlineStr">
        <is>
          <t>Special Geographic Area|Kapalawan</t>
        </is>
      </c>
      <c r="B1454"/>
    </row>
    <row r="1455">
      <c r="A1455" t="inlineStr">
        <is>
          <t>Special Geographic Area|Ligawasan</t>
        </is>
      </c>
      <c r="B1455"/>
    </row>
    <row r="1456">
      <c r="A1456" t="inlineStr">
        <is>
          <t>Special Geographic Area|Malidegao</t>
        </is>
      </c>
      <c r="B1456"/>
    </row>
    <row r="1457">
      <c r="A1457" t="inlineStr">
        <is>
          <t>Special Geographic Area|Nabalawag</t>
        </is>
      </c>
      <c r="B1457"/>
    </row>
    <row r="1458">
      <c r="A1458" t="inlineStr">
        <is>
          <t>Special Geographic Area|Old Kaabakan</t>
        </is>
      </c>
      <c r="B1458"/>
    </row>
    <row r="1459">
      <c r="A1459" t="inlineStr">
        <is>
          <t>Special Geographic Area|Pahamuddin</t>
        </is>
      </c>
      <c r="B1459"/>
    </row>
    <row r="1460">
      <c r="A1460" t="inlineStr">
        <is>
          <t>Special Geographic Area|Tugunan</t>
        </is>
      </c>
      <c r="B1460"/>
    </row>
    <row r="1461">
      <c r="A1461" t="inlineStr">
        <is>
          <t>Sultan Kudarat|Bagumbayan</t>
        </is>
      </c>
      <c r="B1461" t="inlineStr">
        <is>
          <t>9810</t>
        </is>
      </c>
    </row>
    <row r="1462">
      <c r="A1462" t="inlineStr">
        <is>
          <t>Sultan Kudarat|City of Tacurong</t>
        </is>
      </c>
      <c r="B1462" t="inlineStr">
        <is>
          <t>9800</t>
        </is>
      </c>
    </row>
    <row r="1463">
      <c r="A1463" t="inlineStr">
        <is>
          <t>Sultan Kudarat|Columbio</t>
        </is>
      </c>
      <c r="B1463" t="inlineStr">
        <is>
          <t>9801</t>
        </is>
      </c>
    </row>
    <row r="1464">
      <c r="A1464" t="inlineStr">
        <is>
          <t>Sultan Kudarat|Esperanza</t>
        </is>
      </c>
      <c r="B1464" t="inlineStr">
        <is>
          <t>9806</t>
        </is>
      </c>
    </row>
    <row r="1465">
      <c r="A1465" t="inlineStr">
        <is>
          <t>Sultan Kudarat|Isulan</t>
        </is>
      </c>
      <c r="B1465" t="inlineStr">
        <is>
          <t>9805</t>
        </is>
      </c>
    </row>
    <row r="1466">
      <c r="A1466" t="inlineStr">
        <is>
          <t>Sultan Kudarat|Kalamansig</t>
        </is>
      </c>
      <c r="B1466" t="inlineStr">
        <is>
          <t>9808</t>
        </is>
      </c>
    </row>
    <row r="1467">
      <c r="A1467" t="inlineStr">
        <is>
          <t>Sultan Kudarat|Lambayong</t>
        </is>
      </c>
      <c r="B1467" t="inlineStr">
        <is>
          <t>9802</t>
        </is>
      </c>
    </row>
    <row r="1468">
      <c r="A1468" t="inlineStr">
        <is>
          <t>Sultan Kudarat|Lebak</t>
        </is>
      </c>
      <c r="B1468" t="inlineStr">
        <is>
          <t>9807</t>
        </is>
      </c>
    </row>
    <row r="1469">
      <c r="A1469" t="inlineStr">
        <is>
          <t>Sultan Kudarat|Lutayan</t>
        </is>
      </c>
      <c r="B1469" t="inlineStr">
        <is>
          <t>9803</t>
        </is>
      </c>
    </row>
    <row r="1470">
      <c r="A1470" t="inlineStr">
        <is>
          <t>Sultan Kudarat|Palimbang</t>
        </is>
      </c>
      <c r="B1470" t="inlineStr">
        <is>
          <t>9809</t>
        </is>
      </c>
    </row>
    <row r="1471">
      <c r="A1471" t="inlineStr">
        <is>
          <t>Sultan Kudarat|President Quirino</t>
        </is>
      </c>
      <c r="B1471"/>
    </row>
    <row r="1472">
      <c r="A1472" t="inlineStr">
        <is>
          <t>Sultan Kudarat|Sen. Ninoy Aquino</t>
        </is>
      </c>
      <c r="B1472" t="inlineStr">
        <is>
          <t>9811</t>
        </is>
      </c>
    </row>
    <row r="1473">
      <c r="A1473" t="inlineStr">
        <is>
          <t>Sulu|Hadji Panglima Tahil</t>
        </is>
      </c>
      <c r="B1473" t="inlineStr">
        <is>
          <t>7413</t>
        </is>
      </c>
    </row>
    <row r="1474">
      <c r="A1474" t="inlineStr">
        <is>
          <t>Sulu|Indanan</t>
        </is>
      </c>
      <c r="B1474" t="inlineStr">
        <is>
          <t>7407</t>
        </is>
      </c>
    </row>
    <row r="1475">
      <c r="A1475" t="inlineStr">
        <is>
          <t>Sulu|Jolo</t>
        </is>
      </c>
      <c r="B1475" t="inlineStr">
        <is>
          <t>7400</t>
        </is>
      </c>
    </row>
    <row r="1476">
      <c r="A1476" t="inlineStr">
        <is>
          <t>Sulu|Kalingalan Caluang</t>
        </is>
      </c>
      <c r="B1476"/>
    </row>
    <row r="1477">
      <c r="A1477" t="inlineStr">
        <is>
          <t>Sulu|Lugus</t>
        </is>
      </c>
      <c r="B1477" t="inlineStr">
        <is>
          <t>7411</t>
        </is>
      </c>
    </row>
    <row r="1478">
      <c r="A1478" t="inlineStr">
        <is>
          <t>Sulu|Luuk</t>
        </is>
      </c>
      <c r="B1478" t="inlineStr">
        <is>
          <t>7404</t>
        </is>
      </c>
    </row>
    <row r="1479">
      <c r="A1479" t="inlineStr">
        <is>
          <t>Sulu|Maimbung</t>
        </is>
      </c>
      <c r="B1479" t="inlineStr">
        <is>
          <t>7409</t>
        </is>
      </c>
    </row>
    <row r="1480">
      <c r="A1480" t="inlineStr">
        <is>
          <t>Sulu|Old Panamao</t>
        </is>
      </c>
      <c r="B1480" t="inlineStr">
        <is>
          <t>7402</t>
        </is>
      </c>
    </row>
    <row r="1481">
      <c r="A1481" t="inlineStr">
        <is>
          <t>Sulu|Omar</t>
        </is>
      </c>
      <c r="B1481"/>
    </row>
    <row r="1482">
      <c r="A1482" t="inlineStr">
        <is>
          <t>Sulu|Pandami</t>
        </is>
      </c>
      <c r="B1482"/>
    </row>
    <row r="1483">
      <c r="A1483" t="inlineStr">
        <is>
          <t>Sulu|Panglima Estino</t>
        </is>
      </c>
      <c r="B1483"/>
    </row>
    <row r="1484">
      <c r="A1484" t="inlineStr">
        <is>
          <t>Sulu|Pangutaran</t>
        </is>
      </c>
      <c r="B1484" t="inlineStr">
        <is>
          <t>7414</t>
        </is>
      </c>
    </row>
    <row r="1485">
      <c r="A1485" t="inlineStr">
        <is>
          <t>Sulu|Parang</t>
        </is>
      </c>
      <c r="B1485" t="inlineStr">
        <is>
          <t>7408</t>
        </is>
      </c>
    </row>
    <row r="1486">
      <c r="A1486" t="inlineStr">
        <is>
          <t>Sulu|Pata</t>
        </is>
      </c>
      <c r="B1486" t="inlineStr">
        <is>
          <t>7405</t>
        </is>
      </c>
    </row>
    <row r="1487">
      <c r="A1487" t="inlineStr">
        <is>
          <t>Sulu|Patikul</t>
        </is>
      </c>
      <c r="B1487" t="inlineStr">
        <is>
          <t>7401</t>
        </is>
      </c>
    </row>
    <row r="1488">
      <c r="A1488" t="inlineStr">
        <is>
          <t>Sulu|Siasi</t>
        </is>
      </c>
      <c r="B1488" t="inlineStr">
        <is>
          <t>7412</t>
        </is>
      </c>
    </row>
    <row r="1489">
      <c r="A1489" t="inlineStr">
        <is>
          <t>Sulu|Talipao</t>
        </is>
      </c>
      <c r="B1489" t="inlineStr">
        <is>
          <t>7403</t>
        </is>
      </c>
    </row>
    <row r="1490">
      <c r="A1490" t="inlineStr">
        <is>
          <t>Sulu|Tapul</t>
        </is>
      </c>
      <c r="B1490" t="inlineStr">
        <is>
          <t>7410</t>
        </is>
      </c>
    </row>
    <row r="1491">
      <c r="A1491" t="inlineStr">
        <is>
          <t>Sulu|Tongkil</t>
        </is>
      </c>
      <c r="B1491" t="inlineStr">
        <is>
          <t>7406</t>
        </is>
      </c>
    </row>
    <row r="1492">
      <c r="A1492" t="inlineStr">
        <is>
          <t>Surigao del Norte|Alegria</t>
        </is>
      </c>
      <c r="B1492" t="inlineStr">
        <is>
          <t>8425</t>
        </is>
      </c>
    </row>
    <row r="1493">
      <c r="A1493" t="inlineStr">
        <is>
          <t>Surigao del Norte|Bacuag</t>
        </is>
      </c>
      <c r="B1493" t="inlineStr">
        <is>
          <t>8408</t>
        </is>
      </c>
    </row>
    <row r="1494">
      <c r="A1494" t="inlineStr">
        <is>
          <t>Surigao del Norte|Burgos</t>
        </is>
      </c>
      <c r="B1494" t="inlineStr">
        <is>
          <t>8424</t>
        </is>
      </c>
    </row>
    <row r="1495">
      <c r="A1495" t="inlineStr">
        <is>
          <t>Surigao del Norte|City of Surigao</t>
        </is>
      </c>
      <c r="B1495" t="inlineStr">
        <is>
          <t>8400</t>
        </is>
      </c>
    </row>
    <row r="1496">
      <c r="A1496" t="inlineStr">
        <is>
          <t>Surigao del Norte|Claver</t>
        </is>
      </c>
      <c r="B1496" t="inlineStr">
        <is>
          <t>8410</t>
        </is>
      </c>
    </row>
    <row r="1497">
      <c r="A1497" t="inlineStr">
        <is>
          <t>Surigao del Norte|Dapa</t>
        </is>
      </c>
      <c r="B1497" t="inlineStr">
        <is>
          <t>8417</t>
        </is>
      </c>
    </row>
    <row r="1498">
      <c r="A1498" t="inlineStr">
        <is>
          <t>Surigao del Norte|Del Carmen</t>
        </is>
      </c>
      <c r="B1498" t="inlineStr">
        <is>
          <t>8418</t>
        </is>
      </c>
    </row>
    <row r="1499">
      <c r="A1499" t="inlineStr">
        <is>
          <t>Surigao del Norte|General Luna</t>
        </is>
      </c>
      <c r="B1499" t="inlineStr">
        <is>
          <t>8419</t>
        </is>
      </c>
    </row>
    <row r="1500">
      <c r="A1500" t="inlineStr">
        <is>
          <t>Surigao del Norte|Gigaquit</t>
        </is>
      </c>
      <c r="B1500" t="inlineStr">
        <is>
          <t>8409</t>
        </is>
      </c>
    </row>
    <row r="1501">
      <c r="A1501" t="inlineStr">
        <is>
          <t>Surigao del Norte|Mainit</t>
        </is>
      </c>
      <c r="B1501" t="inlineStr">
        <is>
          <t>8407</t>
        </is>
      </c>
    </row>
    <row r="1502">
      <c r="A1502" t="inlineStr">
        <is>
          <t>Surigao del Norte|Malimono</t>
        </is>
      </c>
      <c r="B1502" t="inlineStr">
        <is>
          <t>8402</t>
        </is>
      </c>
    </row>
    <row r="1503">
      <c r="A1503" t="inlineStr">
        <is>
          <t>Surigao del Norte|Pilar</t>
        </is>
      </c>
      <c r="B1503" t="inlineStr">
        <is>
          <t>8420</t>
        </is>
      </c>
    </row>
    <row r="1504">
      <c r="A1504" t="inlineStr">
        <is>
          <t>Surigao del Norte|Placer</t>
        </is>
      </c>
      <c r="B1504" t="inlineStr">
        <is>
          <t>8405</t>
        </is>
      </c>
    </row>
    <row r="1505">
      <c r="A1505" t="inlineStr">
        <is>
          <t>Surigao del Norte|San Benito</t>
        </is>
      </c>
      <c r="B1505" t="inlineStr">
        <is>
          <t>8423</t>
        </is>
      </c>
    </row>
    <row r="1506">
      <c r="A1506" t="inlineStr">
        <is>
          <t>Surigao del Norte|San Francisco</t>
        </is>
      </c>
      <c r="B1506" t="inlineStr">
        <is>
          <t>8401</t>
        </is>
      </c>
    </row>
    <row r="1507">
      <c r="A1507" t="inlineStr">
        <is>
          <t>Surigao del Norte|San Isidro</t>
        </is>
      </c>
      <c r="B1507" t="inlineStr">
        <is>
          <t>8421</t>
        </is>
      </c>
    </row>
    <row r="1508">
      <c r="A1508" t="inlineStr">
        <is>
          <t>Surigao del Norte|Santa Monica</t>
        </is>
      </c>
      <c r="B1508" t="inlineStr">
        <is>
          <t>8422</t>
        </is>
      </c>
    </row>
    <row r="1509">
      <c r="A1509" t="inlineStr">
        <is>
          <t>Surigao del Norte|Sison</t>
        </is>
      </c>
      <c r="B1509" t="inlineStr">
        <is>
          <t>8404</t>
        </is>
      </c>
    </row>
    <row r="1510">
      <c r="A1510" t="inlineStr">
        <is>
          <t>Surigao del Norte|Socorro</t>
        </is>
      </c>
      <c r="B1510" t="inlineStr">
        <is>
          <t>8416</t>
        </is>
      </c>
    </row>
    <row r="1511">
      <c r="A1511" t="inlineStr">
        <is>
          <t>Surigao del Norte|Tagana-An</t>
        </is>
      </c>
      <c r="B1511" t="inlineStr">
        <is>
          <t>8403</t>
        </is>
      </c>
    </row>
    <row r="1512">
      <c r="A1512" t="inlineStr">
        <is>
          <t>Surigao del Norte|Tubod</t>
        </is>
      </c>
      <c r="B1512" t="inlineStr">
        <is>
          <t>8406</t>
        </is>
      </c>
    </row>
    <row r="1513">
      <c r="A1513" t="inlineStr">
        <is>
          <t>Surigao del Sur|Barobo</t>
        </is>
      </c>
      <c r="B1513" t="inlineStr">
        <is>
          <t>8309</t>
        </is>
      </c>
    </row>
    <row r="1514">
      <c r="A1514" t="inlineStr">
        <is>
          <t>Surigao del Sur|Bayabas</t>
        </is>
      </c>
      <c r="B1514" t="inlineStr">
        <is>
          <t>8303</t>
        </is>
      </c>
    </row>
    <row r="1515">
      <c r="A1515" t="inlineStr">
        <is>
          <t>Surigao del Sur|Cagwait</t>
        </is>
      </c>
      <c r="B1515" t="inlineStr">
        <is>
          <t>8304</t>
        </is>
      </c>
    </row>
    <row r="1516">
      <c r="A1516" t="inlineStr">
        <is>
          <t>Surigao del Sur|Cantilan</t>
        </is>
      </c>
      <c r="B1516" t="inlineStr">
        <is>
          <t>8317</t>
        </is>
      </c>
    </row>
    <row r="1517">
      <c r="A1517" t="inlineStr">
        <is>
          <t>Surigao del Sur|Carmen</t>
        </is>
      </c>
      <c r="B1517" t="inlineStr">
        <is>
          <t>8603</t>
        </is>
      </c>
    </row>
    <row r="1518">
      <c r="A1518" t="inlineStr">
        <is>
          <t>Surigao del Sur|Carrascal</t>
        </is>
      </c>
      <c r="B1518" t="inlineStr">
        <is>
          <t>8318</t>
        </is>
      </c>
    </row>
    <row r="1519">
      <c r="A1519" t="inlineStr">
        <is>
          <t>Surigao del Sur|City of Bislig</t>
        </is>
      </c>
      <c r="B1519" t="inlineStr">
        <is>
          <t>8311</t>
        </is>
      </c>
    </row>
    <row r="1520">
      <c r="A1520" t="inlineStr">
        <is>
          <t>Surigao del Sur|City of Tandag</t>
        </is>
      </c>
      <c r="B1520" t="inlineStr">
        <is>
          <t>8300</t>
        </is>
      </c>
    </row>
    <row r="1521">
      <c r="A1521" t="inlineStr">
        <is>
          <t>Surigao del Sur|Cortes</t>
        </is>
      </c>
      <c r="B1521" t="inlineStr">
        <is>
          <t>6341</t>
        </is>
      </c>
    </row>
    <row r="1522">
      <c r="A1522" t="inlineStr">
        <is>
          <t>Surigao del Sur|Hinatuan</t>
        </is>
      </c>
      <c r="B1522" t="inlineStr">
        <is>
          <t>8310</t>
        </is>
      </c>
    </row>
    <row r="1523">
      <c r="A1523" t="inlineStr">
        <is>
          <t>Surigao del Sur|Lanuza</t>
        </is>
      </c>
      <c r="B1523" t="inlineStr">
        <is>
          <t>8314</t>
        </is>
      </c>
    </row>
    <row r="1524">
      <c r="A1524" t="inlineStr">
        <is>
          <t>Surigao del Sur|Lianga</t>
        </is>
      </c>
      <c r="B1524" t="inlineStr">
        <is>
          <t>8307</t>
        </is>
      </c>
    </row>
    <row r="1525">
      <c r="A1525" t="inlineStr">
        <is>
          <t>Surigao del Sur|Lingig</t>
        </is>
      </c>
      <c r="B1525" t="inlineStr">
        <is>
          <t>8312</t>
        </is>
      </c>
    </row>
    <row r="1526">
      <c r="A1526" t="inlineStr">
        <is>
          <t>Surigao del Sur|Madrid</t>
        </is>
      </c>
      <c r="B1526" t="inlineStr">
        <is>
          <t>8316</t>
        </is>
      </c>
    </row>
    <row r="1527">
      <c r="A1527" t="inlineStr">
        <is>
          <t>Surigao del Sur|Marihatag</t>
        </is>
      </c>
      <c r="B1527" t="inlineStr">
        <is>
          <t>8306</t>
        </is>
      </c>
    </row>
    <row r="1528">
      <c r="A1528" t="inlineStr">
        <is>
          <t>Surigao del Sur|San Agustin</t>
        </is>
      </c>
      <c r="B1528" t="inlineStr">
        <is>
          <t>8305</t>
        </is>
      </c>
    </row>
    <row r="1529">
      <c r="A1529" t="inlineStr">
        <is>
          <t>Surigao del Sur|San Miguel</t>
        </is>
      </c>
      <c r="B1529" t="inlineStr">
        <is>
          <t>8301</t>
        </is>
      </c>
    </row>
    <row r="1530">
      <c r="A1530" t="inlineStr">
        <is>
          <t>Surigao del Sur|Tagbina</t>
        </is>
      </c>
      <c r="B1530" t="inlineStr">
        <is>
          <t>8308</t>
        </is>
      </c>
    </row>
    <row r="1531">
      <c r="A1531" t="inlineStr">
        <is>
          <t>Surigao del Sur|Tago</t>
        </is>
      </c>
      <c r="B1531" t="inlineStr">
        <is>
          <t>8302</t>
        </is>
      </c>
    </row>
    <row r="1532">
      <c r="A1532" t="inlineStr">
        <is>
          <t>Tarlac|Anao</t>
        </is>
      </c>
      <c r="B1532" t="inlineStr">
        <is>
          <t>2310</t>
        </is>
      </c>
    </row>
    <row r="1533">
      <c r="A1533" t="inlineStr">
        <is>
          <t>Tarlac|Bamban</t>
        </is>
      </c>
      <c r="B1533" t="inlineStr">
        <is>
          <t>2317</t>
        </is>
      </c>
    </row>
    <row r="1534">
      <c r="A1534" t="inlineStr">
        <is>
          <t>Tarlac|Camiling</t>
        </is>
      </c>
      <c r="B1534" t="inlineStr">
        <is>
          <t>2306</t>
        </is>
      </c>
    </row>
    <row r="1535">
      <c r="A1535" t="inlineStr">
        <is>
          <t>Tarlac|Capas</t>
        </is>
      </c>
      <c r="B1535" t="inlineStr">
        <is>
          <t>2315</t>
        </is>
      </c>
    </row>
    <row r="1536">
      <c r="A1536" t="inlineStr">
        <is>
          <t>Tarlac|City of Tarlac</t>
        </is>
      </c>
      <c r="B1536" t="inlineStr">
        <is>
          <t>2300</t>
        </is>
      </c>
    </row>
    <row r="1537">
      <c r="A1537" t="inlineStr">
        <is>
          <t>Tarlac|Concepcion</t>
        </is>
      </c>
      <c r="B1537" t="inlineStr">
        <is>
          <t>2316</t>
        </is>
      </c>
    </row>
    <row r="1538">
      <c r="A1538" t="inlineStr">
        <is>
          <t>Tarlac|Gerona</t>
        </is>
      </c>
      <c r="B1538" t="inlineStr">
        <is>
          <t>2302</t>
        </is>
      </c>
    </row>
    <row r="1539">
      <c r="A1539" t="inlineStr">
        <is>
          <t>Tarlac|La Paz</t>
        </is>
      </c>
      <c r="B1539" t="inlineStr">
        <is>
          <t>2314</t>
        </is>
      </c>
    </row>
    <row r="1540">
      <c r="A1540" t="inlineStr">
        <is>
          <t>Tarlac|Mayantoc</t>
        </is>
      </c>
      <c r="B1540" t="inlineStr">
        <is>
          <t>2304</t>
        </is>
      </c>
    </row>
    <row r="1541">
      <c r="A1541" t="inlineStr">
        <is>
          <t>Tarlac|Moncada</t>
        </is>
      </c>
      <c r="B1541" t="inlineStr">
        <is>
          <t>2308</t>
        </is>
      </c>
    </row>
    <row r="1542">
      <c r="A1542" t="inlineStr">
        <is>
          <t>Tarlac|Paniqui</t>
        </is>
      </c>
      <c r="B1542" t="inlineStr">
        <is>
          <t>2307</t>
        </is>
      </c>
    </row>
    <row r="1543">
      <c r="A1543" t="inlineStr">
        <is>
          <t>Tarlac|Pura</t>
        </is>
      </c>
      <c r="B1543" t="inlineStr">
        <is>
          <t>2312</t>
        </is>
      </c>
    </row>
    <row r="1544">
      <c r="A1544" t="inlineStr">
        <is>
          <t>Tarlac|Ramos</t>
        </is>
      </c>
      <c r="B1544" t="inlineStr">
        <is>
          <t>2311</t>
        </is>
      </c>
    </row>
    <row r="1545">
      <c r="A1545" t="inlineStr">
        <is>
          <t>Tarlac|San Clemente</t>
        </is>
      </c>
      <c r="B1545" t="inlineStr">
        <is>
          <t>2305</t>
        </is>
      </c>
    </row>
    <row r="1546">
      <c r="A1546" t="inlineStr">
        <is>
          <t>Tarlac|San Jose</t>
        </is>
      </c>
      <c r="B1546" t="inlineStr">
        <is>
          <t>2318</t>
        </is>
      </c>
    </row>
    <row r="1547">
      <c r="A1547" t="inlineStr">
        <is>
          <t>Tarlac|San Manuel</t>
        </is>
      </c>
      <c r="B1547" t="inlineStr">
        <is>
          <t>2309</t>
        </is>
      </c>
    </row>
    <row r="1548">
      <c r="A1548" t="inlineStr">
        <is>
          <t>Tarlac|Santa Ignacia</t>
        </is>
      </c>
      <c r="B1548" t="inlineStr">
        <is>
          <t>2303</t>
        </is>
      </c>
    </row>
    <row r="1549">
      <c r="A1549" t="inlineStr">
        <is>
          <t>Tarlac|Victoria</t>
        </is>
      </c>
      <c r="B1549" t="inlineStr">
        <is>
          <t>2313</t>
        </is>
      </c>
    </row>
    <row r="1550">
      <c r="A1550" t="inlineStr">
        <is>
          <t>Tawi-Tawi|Bongao</t>
        </is>
      </c>
      <c r="B1550" t="inlineStr">
        <is>
          <t>7500</t>
        </is>
      </c>
    </row>
    <row r="1551">
      <c r="A1551" t="inlineStr">
        <is>
          <t>Tawi-Tawi|Languyan</t>
        </is>
      </c>
      <c r="B1551" t="inlineStr">
        <is>
          <t>7509</t>
        </is>
      </c>
    </row>
    <row r="1552">
      <c r="A1552" t="inlineStr">
        <is>
          <t>Tawi-Tawi|Mapun</t>
        </is>
      </c>
      <c r="B1552"/>
    </row>
    <row r="1553">
      <c r="A1553" t="inlineStr">
        <is>
          <t>Tawi-Tawi|Panglima Sugala</t>
        </is>
      </c>
      <c r="B1553"/>
    </row>
    <row r="1554">
      <c r="A1554" t="inlineStr">
        <is>
          <t>Tawi-Tawi|Sapa-Sapa</t>
        </is>
      </c>
      <c r="B1554" t="inlineStr">
        <is>
          <t>7503</t>
        </is>
      </c>
    </row>
    <row r="1555">
      <c r="A1555" t="inlineStr">
        <is>
          <t>Tawi-Tawi|Sibutu</t>
        </is>
      </c>
      <c r="B1555"/>
    </row>
    <row r="1556">
      <c r="A1556" t="inlineStr">
        <is>
          <t>Tawi-Tawi|Simunul</t>
        </is>
      </c>
      <c r="B1556" t="inlineStr">
        <is>
          <t>7505</t>
        </is>
      </c>
    </row>
    <row r="1557">
      <c r="A1557" t="inlineStr">
        <is>
          <t>Tawi-Tawi|Sitangkai</t>
        </is>
      </c>
      <c r="B1557" t="inlineStr">
        <is>
          <t>7506</t>
        </is>
      </c>
    </row>
    <row r="1558">
      <c r="A1558" t="inlineStr">
        <is>
          <t>Tawi-Tawi|South Ubian</t>
        </is>
      </c>
      <c r="B1558" t="inlineStr">
        <is>
          <t>7504</t>
        </is>
      </c>
    </row>
    <row r="1559">
      <c r="A1559" t="inlineStr">
        <is>
          <t>Tawi-Tawi|Tandubas</t>
        </is>
      </c>
      <c r="B1559" t="inlineStr">
        <is>
          <t>7502</t>
        </is>
      </c>
    </row>
    <row r="1560">
      <c r="A1560" t="inlineStr">
        <is>
          <t>Tawi-Tawi|Turtle Islands</t>
        </is>
      </c>
      <c r="B1560"/>
    </row>
    <row r="1561">
      <c r="A1561" t="inlineStr">
        <is>
          <t>Zambales|Botolan</t>
        </is>
      </c>
      <c r="B1561" t="inlineStr">
        <is>
          <t>2202</t>
        </is>
      </c>
    </row>
    <row r="1562">
      <c r="A1562" t="inlineStr">
        <is>
          <t>Zambales|Cabangan</t>
        </is>
      </c>
      <c r="B1562" t="inlineStr">
        <is>
          <t>2203</t>
        </is>
      </c>
    </row>
    <row r="1563">
      <c r="A1563" t="inlineStr">
        <is>
          <t>Zambales|Candelaria</t>
        </is>
      </c>
      <c r="B1563" t="inlineStr">
        <is>
          <t>2212</t>
        </is>
      </c>
    </row>
    <row r="1564">
      <c r="A1564" t="inlineStr">
        <is>
          <t>Zambales|Castillejos</t>
        </is>
      </c>
      <c r="B1564" t="inlineStr">
        <is>
          <t>2208</t>
        </is>
      </c>
    </row>
    <row r="1565">
      <c r="A1565" t="inlineStr">
        <is>
          <t>Zambales|Iba</t>
        </is>
      </c>
      <c r="B1565" t="inlineStr">
        <is>
          <t>2201</t>
        </is>
      </c>
    </row>
    <row r="1566">
      <c r="A1566" t="inlineStr">
        <is>
          <t>Zambales|Masinloc</t>
        </is>
      </c>
      <c r="B1566" t="inlineStr">
        <is>
          <t>2211</t>
        </is>
      </c>
    </row>
    <row r="1567">
      <c r="A1567" t="inlineStr">
        <is>
          <t>Zambales|Palauig</t>
        </is>
      </c>
      <c r="B1567" t="inlineStr">
        <is>
          <t>2210</t>
        </is>
      </c>
    </row>
    <row r="1568">
      <c r="A1568" t="inlineStr">
        <is>
          <t>Zambales|San Antonio</t>
        </is>
      </c>
      <c r="B1568" t="inlineStr">
        <is>
          <t>2206</t>
        </is>
      </c>
    </row>
    <row r="1569">
      <c r="A1569" t="inlineStr">
        <is>
          <t>Zambales|San Felipe</t>
        </is>
      </c>
      <c r="B1569" t="inlineStr">
        <is>
          <t>2204</t>
        </is>
      </c>
    </row>
    <row r="1570">
      <c r="A1570" t="inlineStr">
        <is>
          <t>Zambales|San Marcelino</t>
        </is>
      </c>
      <c r="B1570" t="inlineStr">
        <is>
          <t>2207</t>
        </is>
      </c>
    </row>
    <row r="1571">
      <c r="A1571" t="inlineStr">
        <is>
          <t>Zambales|San Narciso</t>
        </is>
      </c>
      <c r="B1571" t="inlineStr">
        <is>
          <t>2205</t>
        </is>
      </c>
    </row>
    <row r="1572">
      <c r="A1572" t="inlineStr">
        <is>
          <t>Zambales|Santa Cruz</t>
        </is>
      </c>
      <c r="B1572" t="inlineStr">
        <is>
          <t>2213</t>
        </is>
      </c>
    </row>
    <row r="1573">
      <c r="A1573" t="inlineStr">
        <is>
          <t>Zambales|Subic</t>
        </is>
      </c>
      <c r="B1573" t="inlineStr">
        <is>
          <t>2209</t>
        </is>
      </c>
    </row>
    <row r="1574">
      <c r="A1574" t="inlineStr">
        <is>
          <t>Zamboanga del Norte|Baliguian</t>
        </is>
      </c>
      <c r="B1574" t="inlineStr">
        <is>
          <t>7123</t>
        </is>
      </c>
    </row>
    <row r="1575">
      <c r="A1575" t="inlineStr">
        <is>
          <t>Zamboanga del Norte|City of Dapitan</t>
        </is>
      </c>
      <c r="B1575" t="inlineStr">
        <is>
          <t>7101</t>
        </is>
      </c>
    </row>
    <row r="1576">
      <c r="A1576" t="inlineStr">
        <is>
          <t>Zamboanga del Norte|City of Dipolog</t>
        </is>
      </c>
      <c r="B1576" t="inlineStr">
        <is>
          <t>7100</t>
        </is>
      </c>
    </row>
    <row r="1577">
      <c r="A1577" t="inlineStr">
        <is>
          <t>Zamboanga del Norte|Godod</t>
        </is>
      </c>
      <c r="B1577"/>
    </row>
    <row r="1578">
      <c r="A1578" t="inlineStr">
        <is>
          <t>Zamboanga del Norte|Gutalac</t>
        </is>
      </c>
      <c r="B1578" t="inlineStr">
        <is>
          <t>7118</t>
        </is>
      </c>
    </row>
    <row r="1579">
      <c r="A1579" t="inlineStr">
        <is>
          <t>Zamboanga del Norte|Jose Dalman</t>
        </is>
      </c>
      <c r="B1579"/>
    </row>
    <row r="1580">
      <c r="A1580" t="inlineStr">
        <is>
          <t>Zamboanga del Norte|Kalawit</t>
        </is>
      </c>
      <c r="B1580" t="inlineStr">
        <is>
          <t>7124</t>
        </is>
      </c>
    </row>
    <row r="1581">
      <c r="A1581" t="inlineStr">
        <is>
          <t>Zamboanga del Norte|Katipunan</t>
        </is>
      </c>
      <c r="B1581" t="inlineStr">
        <is>
          <t>7109</t>
        </is>
      </c>
    </row>
    <row r="1582">
      <c r="A1582" t="inlineStr">
        <is>
          <t>Zamboanga del Norte|La Libertad</t>
        </is>
      </c>
      <c r="B1582" t="inlineStr">
        <is>
          <t>7119</t>
        </is>
      </c>
    </row>
    <row r="1583">
      <c r="A1583" t="inlineStr">
        <is>
          <t>Zamboanga del Norte|Labason</t>
        </is>
      </c>
      <c r="B1583" t="inlineStr">
        <is>
          <t>7117</t>
        </is>
      </c>
    </row>
    <row r="1584">
      <c r="A1584" t="inlineStr">
        <is>
          <t>Zamboanga del Norte|Leon T. Postigo</t>
        </is>
      </c>
      <c r="B1584"/>
    </row>
    <row r="1585">
      <c r="A1585" t="inlineStr">
        <is>
          <t>Zamboanga del Norte|Liloy</t>
        </is>
      </c>
      <c r="B1585" t="inlineStr">
        <is>
          <t>7115</t>
        </is>
      </c>
    </row>
    <row r="1586">
      <c r="A1586" t="inlineStr">
        <is>
          <t>Zamboanga del Norte|Manukan</t>
        </is>
      </c>
      <c r="B1586" t="inlineStr">
        <is>
          <t>7110</t>
        </is>
      </c>
    </row>
    <row r="1587">
      <c r="A1587" t="inlineStr">
        <is>
          <t>Zamboanga del Norte|Mutia</t>
        </is>
      </c>
      <c r="B1587" t="inlineStr">
        <is>
          <t>7107</t>
        </is>
      </c>
    </row>
    <row r="1588">
      <c r="A1588" t="inlineStr">
        <is>
          <t>Zamboanga del Norte|Piñan</t>
        </is>
      </c>
      <c r="B1588" t="inlineStr">
        <is>
          <t>7105</t>
        </is>
      </c>
    </row>
    <row r="1589">
      <c r="A1589" t="inlineStr">
        <is>
          <t>Zamboanga del Norte|Polanco</t>
        </is>
      </c>
      <c r="B1589" t="inlineStr">
        <is>
          <t>7106</t>
        </is>
      </c>
    </row>
    <row r="1590">
      <c r="A1590" t="inlineStr">
        <is>
          <t>Zamboanga del Norte|Pres. Manuel A. Roxas</t>
        </is>
      </c>
      <c r="B1590"/>
    </row>
    <row r="1591">
      <c r="A1591" t="inlineStr">
        <is>
          <t>Zamboanga del Norte|Rizal</t>
        </is>
      </c>
      <c r="B1591" t="inlineStr">
        <is>
          <t>7104</t>
        </is>
      </c>
    </row>
    <row r="1592">
      <c r="A1592" t="inlineStr">
        <is>
          <t>Zamboanga del Norte|Salug</t>
        </is>
      </c>
      <c r="B1592" t="inlineStr">
        <is>
          <t>7114</t>
        </is>
      </c>
    </row>
    <row r="1593">
      <c r="A1593" t="inlineStr">
        <is>
          <t>Zamboanga del Norte|Sergio Osmeña Sr.</t>
        </is>
      </c>
      <c r="B1593"/>
    </row>
    <row r="1594">
      <c r="A1594" t="inlineStr">
        <is>
          <t>Zamboanga del Norte|Siayan</t>
        </is>
      </c>
      <c r="B1594" t="inlineStr">
        <is>
          <t>7113</t>
        </is>
      </c>
    </row>
    <row r="1595">
      <c r="A1595" t="inlineStr">
        <is>
          <t>Zamboanga del Norte|Sibuco</t>
        </is>
      </c>
      <c r="B1595" t="inlineStr">
        <is>
          <t>7122</t>
        </is>
      </c>
    </row>
    <row r="1596">
      <c r="A1596" t="inlineStr">
        <is>
          <t>Zamboanga del Norte|Sibutad</t>
        </is>
      </c>
      <c r="B1596" t="inlineStr">
        <is>
          <t>7103</t>
        </is>
      </c>
    </row>
    <row r="1597">
      <c r="A1597" t="inlineStr">
        <is>
          <t>Zamboanga del Norte|Sindangan</t>
        </is>
      </c>
      <c r="B1597"/>
    </row>
    <row r="1598">
      <c r="A1598" t="inlineStr">
        <is>
          <t>Zamboanga del Norte|Siocon</t>
        </is>
      </c>
      <c r="B1598" t="inlineStr">
        <is>
          <t>7120</t>
        </is>
      </c>
    </row>
    <row r="1599">
      <c r="A1599" t="inlineStr">
        <is>
          <t>Zamboanga del Norte|Sirawai</t>
        </is>
      </c>
      <c r="B1599" t="inlineStr">
        <is>
          <t>7121</t>
        </is>
      </c>
    </row>
    <row r="1600">
      <c r="A1600" t="inlineStr">
        <is>
          <t>Zamboanga del Norte|Tampilisan</t>
        </is>
      </c>
      <c r="B1600" t="inlineStr">
        <is>
          <t>7116</t>
        </is>
      </c>
    </row>
    <row r="1601">
      <c r="A1601" t="inlineStr">
        <is>
          <t>Zamboanga del Sur|Aurora</t>
        </is>
      </c>
      <c r="B1601" t="inlineStr">
        <is>
          <t>3316</t>
        </is>
      </c>
    </row>
    <row r="1602">
      <c r="A1602" t="inlineStr">
        <is>
          <t>Zamboanga del Sur|Bayog</t>
        </is>
      </c>
      <c r="B1602" t="inlineStr">
        <is>
          <t>7011</t>
        </is>
      </c>
    </row>
    <row r="1603">
      <c r="A1603" t="inlineStr">
        <is>
          <t>Zamboanga del Sur|City of Pagadian</t>
        </is>
      </c>
      <c r="B1603" t="inlineStr">
        <is>
          <t>7016</t>
        </is>
      </c>
    </row>
    <row r="1604">
      <c r="A1604" t="inlineStr">
        <is>
          <t>Zamboanga del Sur|Dimataling</t>
        </is>
      </c>
      <c r="B1604" t="inlineStr">
        <is>
          <t>7032</t>
        </is>
      </c>
    </row>
    <row r="1605">
      <c r="A1605" t="inlineStr">
        <is>
          <t>Zamboanga del Sur|Dinas</t>
        </is>
      </c>
      <c r="B1605" t="inlineStr">
        <is>
          <t>7030</t>
        </is>
      </c>
    </row>
    <row r="1606">
      <c r="A1606" t="inlineStr">
        <is>
          <t>Zamboanga del Sur|Dumalinao</t>
        </is>
      </c>
      <c r="B1606" t="inlineStr">
        <is>
          <t>7015</t>
        </is>
      </c>
    </row>
    <row r="1607">
      <c r="A1607" t="inlineStr">
        <is>
          <t>Zamboanga del Sur|Dumingag</t>
        </is>
      </c>
      <c r="B1607" t="inlineStr">
        <is>
          <t>7028</t>
        </is>
      </c>
    </row>
    <row r="1608">
      <c r="A1608" t="inlineStr">
        <is>
          <t>Zamboanga del Sur|Guipos</t>
        </is>
      </c>
      <c r="B1608" t="inlineStr">
        <is>
          <t>7042</t>
        </is>
      </c>
    </row>
    <row r="1609">
      <c r="A1609" t="inlineStr">
        <is>
          <t>Zamboanga del Sur|Josefina</t>
        </is>
      </c>
      <c r="B1609" t="inlineStr">
        <is>
          <t>7027</t>
        </is>
      </c>
    </row>
    <row r="1610">
      <c r="A1610" t="inlineStr">
        <is>
          <t>Zamboanga del Sur|Kumalarang</t>
        </is>
      </c>
      <c r="B1610" t="inlineStr">
        <is>
          <t>7013</t>
        </is>
      </c>
    </row>
    <row r="1611">
      <c r="A1611" t="inlineStr">
        <is>
          <t>Zamboanga del Sur|Labangan</t>
        </is>
      </c>
      <c r="B1611" t="inlineStr">
        <is>
          <t>7017</t>
        </is>
      </c>
    </row>
    <row r="1612">
      <c r="A1612" t="inlineStr">
        <is>
          <t>Zamboanga del Sur|Lakewood</t>
        </is>
      </c>
      <c r="B1612" t="inlineStr">
        <is>
          <t>7014</t>
        </is>
      </c>
    </row>
    <row r="1613">
      <c r="A1613" t="inlineStr">
        <is>
          <t>Zamboanga del Sur|Lapuyan</t>
        </is>
      </c>
      <c r="B1613" t="inlineStr">
        <is>
          <t>7037</t>
        </is>
      </c>
    </row>
    <row r="1614">
      <c r="A1614" t="inlineStr">
        <is>
          <t>Zamboanga del Sur|Mahayag</t>
        </is>
      </c>
      <c r="B1614" t="inlineStr">
        <is>
          <t>7026</t>
        </is>
      </c>
    </row>
    <row r="1615">
      <c r="A1615" t="inlineStr">
        <is>
          <t>Zamboanga del Sur|Margosatubig</t>
        </is>
      </c>
      <c r="B1615" t="inlineStr">
        <is>
          <t>7035</t>
        </is>
      </c>
    </row>
    <row r="1616">
      <c r="A1616" t="inlineStr">
        <is>
          <t>Zamboanga del Sur|Midsalip</t>
        </is>
      </c>
      <c r="B1616" t="inlineStr">
        <is>
          <t>7021</t>
        </is>
      </c>
    </row>
    <row r="1617">
      <c r="A1617" t="inlineStr">
        <is>
          <t>Zamboanga del Sur|Molave</t>
        </is>
      </c>
      <c r="B1617" t="inlineStr">
        <is>
          <t>7023</t>
        </is>
      </c>
    </row>
    <row r="1618">
      <c r="A1618" t="inlineStr">
        <is>
          <t>Zamboanga del Sur|Pitogo</t>
        </is>
      </c>
      <c r="B1618" t="inlineStr">
        <is>
          <t>4308</t>
        </is>
      </c>
    </row>
    <row r="1619">
      <c r="A1619" t="inlineStr">
        <is>
          <t>Zamboanga del Sur|Ramon Magsaysay</t>
        </is>
      </c>
      <c r="B1619"/>
    </row>
    <row r="1620">
      <c r="A1620" t="inlineStr">
        <is>
          <t>Zamboanga del Sur|San Miguel</t>
        </is>
      </c>
      <c r="B1620" t="inlineStr">
        <is>
          <t>6323</t>
        </is>
      </c>
    </row>
    <row r="1621">
      <c r="A1621" t="inlineStr">
        <is>
          <t>Zamboanga del Sur|San Pablo</t>
        </is>
      </c>
      <c r="B1621" t="inlineStr">
        <is>
          <t>3329</t>
        </is>
      </c>
    </row>
    <row r="1622">
      <c r="A1622" t="inlineStr">
        <is>
          <t>Zamboanga del Sur|Sominot</t>
        </is>
      </c>
      <c r="B1622"/>
    </row>
    <row r="1623">
      <c r="A1623" t="inlineStr">
        <is>
          <t>Zamboanga del Sur|Tabina</t>
        </is>
      </c>
      <c r="B1623" t="inlineStr">
        <is>
          <t>7034</t>
        </is>
      </c>
    </row>
    <row r="1624">
      <c r="A1624" t="inlineStr">
        <is>
          <t>Zamboanga del Sur|Tambulig</t>
        </is>
      </c>
      <c r="B1624" t="inlineStr">
        <is>
          <t>7025</t>
        </is>
      </c>
    </row>
    <row r="1625">
      <c r="A1625" t="inlineStr">
        <is>
          <t>Zamboanga del Sur|Tigbao</t>
        </is>
      </c>
      <c r="B1625" t="inlineStr">
        <is>
          <t>7043</t>
        </is>
      </c>
    </row>
    <row r="1626">
      <c r="A1626" t="inlineStr">
        <is>
          <t>Zamboanga del Sur|Tukuran</t>
        </is>
      </c>
      <c r="B1626" t="inlineStr">
        <is>
          <t>7019</t>
        </is>
      </c>
    </row>
    <row r="1627">
      <c r="A1627" t="inlineStr">
        <is>
          <t>Zamboanga del Sur|Vincenzo A. Sagun</t>
        </is>
      </c>
      <c r="B1627" t="inlineStr">
        <is>
          <t>7036</t>
        </is>
      </c>
    </row>
    <row r="1628">
      <c r="A1628" t="inlineStr">
        <is>
          <t>Zamboanga Sibugay|Alicia</t>
        </is>
      </c>
      <c r="B1628" t="inlineStr">
        <is>
          <t>7040</t>
        </is>
      </c>
    </row>
    <row r="1629">
      <c r="A1629" t="inlineStr">
        <is>
          <t>Zamboanga Sibugay|Buug</t>
        </is>
      </c>
      <c r="B1629" t="inlineStr">
        <is>
          <t>7009</t>
        </is>
      </c>
    </row>
    <row r="1630">
      <c r="A1630" t="inlineStr">
        <is>
          <t>Zamboanga Sibugay|Diplahan</t>
        </is>
      </c>
      <c r="B1630" t="inlineStr">
        <is>
          <t>7039</t>
        </is>
      </c>
    </row>
    <row r="1631">
      <c r="A1631" t="inlineStr">
        <is>
          <t>Zamboanga Sibugay|Imelda</t>
        </is>
      </c>
      <c r="B1631" t="inlineStr">
        <is>
          <t>7007</t>
        </is>
      </c>
    </row>
    <row r="1632">
      <c r="A1632" t="inlineStr">
        <is>
          <t>Zamboanga Sibugay|Ipil</t>
        </is>
      </c>
      <c r="B1632" t="inlineStr">
        <is>
          <t>7001</t>
        </is>
      </c>
    </row>
    <row r="1633">
      <c r="A1633" t="inlineStr">
        <is>
          <t>Zamboanga Sibugay|Kabasalan</t>
        </is>
      </c>
      <c r="B1633" t="inlineStr">
        <is>
          <t>7005</t>
        </is>
      </c>
    </row>
    <row r="1634">
      <c r="A1634" t="inlineStr">
        <is>
          <t>Zamboanga Sibugay|Mabuhay</t>
        </is>
      </c>
      <c r="B1634" t="inlineStr">
        <is>
          <t>7010</t>
        </is>
      </c>
    </row>
    <row r="1635">
      <c r="A1635" t="inlineStr">
        <is>
          <t>Zamboanga Sibugay|Malangas</t>
        </is>
      </c>
      <c r="B1635" t="inlineStr">
        <is>
          <t>7038</t>
        </is>
      </c>
    </row>
    <row r="1636">
      <c r="A1636" t="inlineStr">
        <is>
          <t>Zamboanga Sibugay|Naga</t>
        </is>
      </c>
      <c r="B1636" t="inlineStr">
        <is>
          <t>7004</t>
        </is>
      </c>
    </row>
    <row r="1637">
      <c r="A1637" t="inlineStr">
        <is>
          <t>Zamboanga Sibugay|Olutanga</t>
        </is>
      </c>
      <c r="B1637" t="inlineStr">
        <is>
          <t>7041</t>
        </is>
      </c>
    </row>
    <row r="1638">
      <c r="A1638" t="inlineStr">
        <is>
          <t>Zamboanga Sibugay|Payao</t>
        </is>
      </c>
      <c r="B1638" t="inlineStr">
        <is>
          <t>7008</t>
        </is>
      </c>
    </row>
    <row r="1639">
      <c r="A1639" t="inlineStr">
        <is>
          <t>Zamboanga Sibugay|Roseller Lim</t>
        </is>
      </c>
      <c r="B1639"/>
    </row>
    <row r="1640">
      <c r="A1640" t="inlineStr">
        <is>
          <t>Zamboanga Sibugay|Siay</t>
        </is>
      </c>
      <c r="B1640" t="inlineStr">
        <is>
          <t>7006</t>
        </is>
      </c>
    </row>
    <row r="1641">
      <c r="A1641" t="inlineStr">
        <is>
          <t>Zamboanga Sibugay|Talusan</t>
        </is>
      </c>
      <c r="B1641" t="inlineStr">
        <is>
          <t>7012</t>
        </is>
      </c>
    </row>
    <row r="1642">
      <c r="A1642" t="inlineStr">
        <is>
          <t>Zamboanga Sibugay|Titay</t>
        </is>
      </c>
      <c r="B1642" t="inlineStr">
        <is>
          <t>7003</t>
        </is>
      </c>
    </row>
    <row r="1643">
      <c r="A1643" t="inlineStr">
        <is>
          <t>Zamboanga Sibugay|Tungawan</t>
        </is>
      </c>
      <c r="B1643" t="inlineStr">
        <is>
          <t>7018</t>
        </is>
      </c>
    </row>
  </sheetData>
  <autoFilter ref="A1:B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B6C3CF"/>
  </sheetPr>
  <dimension ref="A1:C9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42" customWidth="1"/>
  </cols>
  <sheetData>
    <row r="1" spans="1:3">
      <c r="A1" t="inlineStr">
        <is>
          <t>Province / Region for independent cities</t>
        </is>
      </c>
      <c r="B1"/>
      <c r="C1"/>
    </row>
    <row r="2" spans="1:3">
      <c r="A2" t="inlineStr">
        <is>
          <t>Abra</t>
        </is>
      </c>
    </row>
    <row r="3" spans="1:3">
      <c r="A3" t="inlineStr">
        <is>
          <t>Agusan del Norte</t>
        </is>
      </c>
    </row>
    <row r="4" spans="1:3">
      <c r="A4" t="inlineStr">
        <is>
          <t>Agusan del Sur</t>
        </is>
      </c>
    </row>
    <row r="5" spans="1:3">
      <c r="A5" t="inlineStr">
        <is>
          <t>Aklan</t>
        </is>
      </c>
    </row>
    <row r="6" spans="1:3">
      <c r="A6" t="inlineStr">
        <is>
          <t>Albay</t>
        </is>
      </c>
    </row>
    <row r="7" spans="1:3">
      <c r="A7" t="inlineStr">
        <is>
          <t>Antique</t>
        </is>
      </c>
    </row>
    <row r="8" spans="1:3">
      <c r="A8" t="inlineStr">
        <is>
          <t>Apayao</t>
        </is>
      </c>
    </row>
    <row r="9" spans="1:3">
      <c r="A9" t="inlineStr">
        <is>
          <t>Aurora</t>
        </is>
      </c>
    </row>
    <row r="10" spans="1:3">
      <c r="A10" t="inlineStr">
        <is>
          <t>Basilan</t>
        </is>
      </c>
    </row>
    <row r="11" spans="1:3">
      <c r="A11" t="inlineStr">
        <is>
          <t>Bataan</t>
        </is>
      </c>
    </row>
    <row r="12" spans="1:3">
      <c r="A12" t="inlineStr">
        <is>
          <t>Batanes</t>
        </is>
      </c>
    </row>
    <row r="13" spans="1:3">
      <c r="A13" t="inlineStr">
        <is>
          <t>Batangas</t>
        </is>
      </c>
    </row>
    <row r="14" spans="1:3">
      <c r="A14" t="inlineStr">
        <is>
          <t>Benguet</t>
        </is>
      </c>
    </row>
    <row r="15" spans="1:3">
      <c r="A15" t="inlineStr">
        <is>
          <t>Biliran</t>
        </is>
      </c>
    </row>
    <row r="16" spans="1:3">
      <c r="A16" t="inlineStr">
        <is>
          <t>Bohol</t>
        </is>
      </c>
    </row>
    <row r="17" spans="1:1">
      <c r="A17" t="inlineStr">
        <is>
          <t>Bukidnon</t>
        </is>
      </c>
    </row>
    <row r="18" spans="1:1">
      <c r="A18" t="inlineStr">
        <is>
          <t>Bulacan</t>
        </is>
      </c>
    </row>
    <row r="19" spans="1:1">
      <c r="A19" t="inlineStr">
        <is>
          <t>Cagayan</t>
        </is>
      </c>
    </row>
    <row r="20" spans="1:1">
      <c r="A20" t="inlineStr">
        <is>
          <t>Camarines Norte</t>
        </is>
      </c>
    </row>
    <row r="21" spans="1:1">
      <c r="A21" t="inlineStr">
        <is>
          <t>Camarines Sur</t>
        </is>
      </c>
    </row>
    <row r="22" spans="1:1">
      <c r="A22" t="inlineStr">
        <is>
          <t>Camiguin</t>
        </is>
      </c>
    </row>
    <row r="23" spans="1:1">
      <c r="A23" t="inlineStr">
        <is>
          <t>Capiz</t>
        </is>
      </c>
    </row>
    <row r="24" spans="1:1">
      <c r="A24" t="inlineStr">
        <is>
          <t>Catanduanes</t>
        </is>
      </c>
    </row>
    <row r="25" spans="1:1">
      <c r="A25" t="inlineStr">
        <is>
          <t>Cavite</t>
        </is>
      </c>
    </row>
    <row r="26" spans="1:1">
      <c r="A26" t="inlineStr">
        <is>
          <t>Cebu</t>
        </is>
      </c>
    </row>
    <row r="27" spans="1:1">
      <c r="A27" t="inlineStr">
        <is>
          <t>City of Isabela (Not a Province)</t>
        </is>
      </c>
    </row>
    <row r="28" spans="1:1">
      <c r="A28" t="inlineStr">
        <is>
          <t>Cotabato</t>
        </is>
      </c>
    </row>
    <row r="29" spans="1:1">
      <c r="A29" t="inlineStr">
        <is>
          <t>Davao de Oro</t>
        </is>
      </c>
    </row>
    <row r="30" spans="1:1">
      <c r="A30" t="inlineStr">
        <is>
          <t>Davao del Norte</t>
        </is>
      </c>
    </row>
    <row r="31" spans="1:1">
      <c r="A31" t="inlineStr">
        <is>
          <t>Davao del Sur</t>
        </is>
      </c>
    </row>
    <row r="32" spans="1:1">
      <c r="A32" t="inlineStr">
        <is>
          <t>Davao Occidental</t>
        </is>
      </c>
    </row>
    <row r="33" spans="1:1">
      <c r="A33" t="inlineStr">
        <is>
          <t>Davao Oriental</t>
        </is>
      </c>
    </row>
    <row r="34" spans="1:1">
      <c r="A34" t="inlineStr">
        <is>
          <t>Dinagat Islands</t>
        </is>
      </c>
    </row>
    <row r="35" spans="1:1">
      <c r="A35" t="inlineStr">
        <is>
          <t>Eastern Samar</t>
        </is>
      </c>
    </row>
    <row r="36" spans="1:1">
      <c r="A36" t="inlineStr">
        <is>
          <t>Guimaras</t>
        </is>
      </c>
    </row>
    <row r="37" spans="1:1">
      <c r="A37" t="inlineStr">
        <is>
          <t>Ifugao</t>
        </is>
      </c>
    </row>
    <row r="38" spans="1:1">
      <c r="A38" t="inlineStr">
        <is>
          <t>Ilocos Norte</t>
        </is>
      </c>
    </row>
    <row r="39" spans="1:1">
      <c r="A39" t="inlineStr">
        <is>
          <t>Ilocos Sur</t>
        </is>
      </c>
    </row>
    <row r="40" spans="1:1">
      <c r="A40" t="inlineStr">
        <is>
          <t>Iloilo</t>
        </is>
      </c>
    </row>
    <row r="41" spans="1:1">
      <c r="A41" t="inlineStr">
        <is>
          <t>Independent Cities — Cordillera Administrative Region (CAR)</t>
        </is>
      </c>
    </row>
    <row r="42" spans="1:1">
      <c r="A42" t="inlineStr">
        <is>
          <t>Independent Cities — MIMAROPA Region</t>
        </is>
      </c>
    </row>
    <row r="43" spans="1:1">
      <c r="A43" t="inlineStr">
        <is>
          <t>Independent Cities — Negros Island Region (NIR)</t>
        </is>
      </c>
    </row>
    <row r="44" spans="1:1">
      <c r="A44" t="inlineStr">
        <is>
          <t>Independent Cities — Region III (Central Luzon)</t>
        </is>
      </c>
    </row>
    <row r="45" spans="1:1">
      <c r="A45" t="inlineStr">
        <is>
          <t>Independent Cities — Region IV-A (CALABARZON)</t>
        </is>
      </c>
    </row>
    <row r="46" spans="1:1">
      <c r="A46" t="inlineStr">
        <is>
          <t>Independent Cities — Region IX (Zamboanga Peninsula)</t>
        </is>
      </c>
    </row>
    <row r="47" spans="1:1">
      <c r="A47" t="inlineStr">
        <is>
          <t>Independent Cities — Region VI (Western Visayas)</t>
        </is>
      </c>
    </row>
    <row r="48" spans="1:1">
      <c r="A48" t="inlineStr">
        <is>
          <t>Independent Cities — Region VII (Central Visayas)</t>
        </is>
      </c>
    </row>
    <row r="49" spans="1:1">
      <c r="A49" t="inlineStr">
        <is>
          <t>Independent Cities — Region VIII (Eastern Visayas)</t>
        </is>
      </c>
    </row>
    <row r="50" spans="1:1">
      <c r="A50" t="inlineStr">
        <is>
          <t>Independent Cities — Region X (Northern Mindanao)</t>
        </is>
      </c>
    </row>
    <row r="51" spans="1:1">
      <c r="A51" t="inlineStr">
        <is>
          <t>Independent Cities — Region XI (Davao Region)</t>
        </is>
      </c>
    </row>
    <row r="52" spans="1:1">
      <c r="A52" t="inlineStr">
        <is>
          <t>Independent Cities — Region XII (SOCCSKSARGEN)</t>
        </is>
      </c>
    </row>
    <row r="53" spans="1:1">
      <c r="A53" t="inlineStr">
        <is>
          <t>Independent Cities — Region XIII (Caraga)</t>
        </is>
      </c>
    </row>
    <row r="54" spans="1:1">
      <c r="A54" t="inlineStr">
        <is>
          <t>Isabela</t>
        </is>
      </c>
    </row>
    <row r="55" spans="1:1">
      <c r="A55" t="inlineStr">
        <is>
          <t>Kalinga</t>
        </is>
      </c>
    </row>
    <row r="56" spans="1:1">
      <c r="A56" t="inlineStr">
        <is>
          <t>La Union</t>
        </is>
      </c>
    </row>
    <row r="57" spans="1:1">
      <c r="A57" t="inlineStr">
        <is>
          <t>Laguna</t>
        </is>
      </c>
    </row>
    <row r="58" spans="1:1">
      <c r="A58" t="inlineStr">
        <is>
          <t>Lanao del Norte</t>
        </is>
      </c>
    </row>
    <row r="59" spans="1:1">
      <c r="A59" t="inlineStr">
        <is>
          <t>Lanao del Sur</t>
        </is>
      </c>
    </row>
    <row r="60" spans="1:1">
      <c r="A60" t="inlineStr">
        <is>
          <t>Leyte</t>
        </is>
      </c>
    </row>
    <row r="61" spans="1:1">
      <c r="A61" t="inlineStr">
        <is>
          <t>Maguindanao del Norte</t>
        </is>
      </c>
    </row>
    <row r="62" spans="1:1">
      <c r="A62" t="inlineStr">
        <is>
          <t>Maguindanao del Sur</t>
        </is>
      </c>
    </row>
    <row r="63" spans="1:1">
      <c r="A63" t="inlineStr">
        <is>
          <t>Marinduque</t>
        </is>
      </c>
    </row>
    <row r="64" spans="1:1">
      <c r="A64" t="inlineStr">
        <is>
          <t>Masbate</t>
        </is>
      </c>
    </row>
    <row r="65" spans="1:1">
      <c r="A65" t="inlineStr">
        <is>
          <t>Metro Manila (NCR)</t>
        </is>
      </c>
    </row>
    <row r="66" spans="1:1">
      <c r="A66" t="inlineStr">
        <is>
          <t>Misamis Occidental</t>
        </is>
      </c>
    </row>
    <row r="67" spans="1:1">
      <c r="A67" t="inlineStr">
        <is>
          <t>Misamis Oriental</t>
        </is>
      </c>
    </row>
    <row r="68" spans="1:1">
      <c r="A68" t="inlineStr">
        <is>
          <t>Mountain Province</t>
        </is>
      </c>
    </row>
    <row r="69" spans="1:1">
      <c r="A69" t="inlineStr">
        <is>
          <t>Negros Occidental</t>
        </is>
      </c>
    </row>
    <row r="70" spans="1:1">
      <c r="A70" t="inlineStr">
        <is>
          <t>Negros Oriental</t>
        </is>
      </c>
    </row>
    <row r="71" spans="1:1">
      <c r="A71" t="inlineStr">
        <is>
          <t>Northern Samar</t>
        </is>
      </c>
    </row>
    <row r="72" spans="1:1">
      <c r="A72" t="inlineStr">
        <is>
          <t>Nueva Ecija</t>
        </is>
      </c>
    </row>
    <row r="73" spans="1:1">
      <c r="A73" t="inlineStr">
        <is>
          <t>Nueva Vizcaya</t>
        </is>
      </c>
    </row>
    <row r="74" spans="1:1">
      <c r="A74" t="inlineStr">
        <is>
          <t>Occidental Mindoro</t>
        </is>
      </c>
    </row>
    <row r="75" spans="1:1">
      <c r="A75" t="inlineStr">
        <is>
          <t>Oriental Mindoro</t>
        </is>
      </c>
    </row>
    <row r="76" spans="1:1">
      <c r="A76" t="inlineStr">
        <is>
          <t>Palawan</t>
        </is>
      </c>
    </row>
    <row r="77" spans="1:1">
      <c r="A77" t="inlineStr">
        <is>
          <t>Pampanga</t>
        </is>
      </c>
    </row>
    <row r="78" spans="1:1">
      <c r="A78" t="inlineStr">
        <is>
          <t>Pangasinan</t>
        </is>
      </c>
    </row>
    <row r="79" spans="1:1">
      <c r="A79" t="inlineStr">
        <is>
          <t>Quezon</t>
        </is>
      </c>
    </row>
    <row r="80" spans="1:1">
      <c r="A80" t="inlineStr">
        <is>
          <t>Quirino</t>
        </is>
      </c>
    </row>
    <row r="81" spans="1:1">
      <c r="A81" t="inlineStr">
        <is>
          <t>Rizal</t>
        </is>
      </c>
    </row>
    <row r="82" spans="1:1">
      <c r="A82" t="inlineStr">
        <is>
          <t>Romblon</t>
        </is>
      </c>
    </row>
    <row r="83" spans="1:1">
      <c r="A83" t="inlineStr">
        <is>
          <t>Samar</t>
        </is>
      </c>
    </row>
    <row r="84" spans="1:1">
      <c r="A84" t="inlineStr">
        <is>
          <t>Sarangani</t>
        </is>
      </c>
    </row>
    <row r="85" spans="1:1">
      <c r="A85" t="inlineStr">
        <is>
          <t>Siquijor</t>
        </is>
      </c>
    </row>
    <row r="86" spans="1:1">
      <c r="A86" t="inlineStr">
        <is>
          <t>Sorsogon</t>
        </is>
      </c>
    </row>
    <row r="87" spans="1:1">
      <c r="A87" t="inlineStr">
        <is>
          <t>South Cotabato</t>
        </is>
      </c>
    </row>
    <row r="88" spans="1:1">
      <c r="A88" t="inlineStr">
        <is>
          <t>Southern Leyte</t>
        </is>
      </c>
    </row>
    <row r="89" spans="1:1">
      <c r="A89" t="inlineStr">
        <is>
          <t>Special Geographic Area</t>
        </is>
      </c>
    </row>
    <row r="90" spans="1:1">
      <c r="A90" t="inlineStr">
        <is>
          <t>Sultan Kudarat</t>
        </is>
      </c>
    </row>
    <row r="91" spans="1:1">
      <c r="A91" t="inlineStr">
        <is>
          <t>Sulu</t>
        </is>
      </c>
    </row>
    <row r="92" spans="1:1">
      <c r="A92" t="inlineStr">
        <is>
          <t>Surigao del Norte</t>
        </is>
      </c>
    </row>
    <row r="93" spans="1:1">
      <c r="A93" t="inlineStr">
        <is>
          <t>Surigao del Sur</t>
        </is>
      </c>
    </row>
    <row r="94" spans="1:1">
      <c r="A94" t="inlineStr">
        <is>
          <t>Tarlac</t>
        </is>
      </c>
    </row>
    <row r="95" spans="1:1">
      <c r="A95" t="inlineStr">
        <is>
          <t>Tawi-Tawi</t>
        </is>
      </c>
    </row>
    <row r="96" spans="1:1">
      <c r="A96" t="inlineStr">
        <is>
          <t>Zambales</t>
        </is>
      </c>
    </row>
    <row r="97" spans="1:1">
      <c r="A97" t="inlineStr">
        <is>
          <t>Zamboanga del Norte</t>
        </is>
      </c>
    </row>
    <row r="98" spans="1:1">
      <c r="A98" t="inlineStr">
        <is>
          <t>Zamboanga del Sur</t>
        </is>
      </c>
    </row>
    <row r="99" spans="1:1">
      <c r="A99" t="inlineStr">
        <is>
          <t>Zamboanga Sibugay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B6C3CF"/>
  </sheetPr>
  <dimension ref="A1:D164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37" customWidth="1"/>
  </cols>
  <sheetData>
    <row r="1" spans="1:4">
      <c r="A1" t="inlineStr">
        <is>
          <t>Province / region</t>
        </is>
      </c>
      <c r="B1" t="inlineStr">
        <is>
          <t>City / municipality</t>
        </is>
      </c>
      <c r="C1" t="inlineStr">
        <is>
          <t>Postal Code</t>
        </is>
      </c>
      <c r="D1" t="inlineStr">
        <is>
          <t>Postal Source</t>
        </is>
      </c>
    </row>
    <row r="2" spans="1:4">
      <c r="A2" t="inlineStr">
        <is>
          <t>Abra</t>
        </is>
      </c>
      <c r="B2" t="inlineStr">
        <is>
          <t>Bangued</t>
        </is>
      </c>
      <c r="C2" t="inlineStr">
        <is>
          <t>2800</t>
        </is>
      </c>
      <c r="D2" t="inlineStr">
        <is>
          <t>PHLPost</t>
        </is>
      </c>
    </row>
    <row r="3" spans="1:4">
      <c r="A3" t="inlineStr">
        <is>
          <t>Abra</t>
        </is>
      </c>
      <c r="B3" t="inlineStr">
        <is>
          <t>Boliney</t>
        </is>
      </c>
      <c r="C3" t="inlineStr">
        <is>
          <t>2815</t>
        </is>
      </c>
      <c r="D3" t="inlineStr">
        <is>
          <t>PHLPost</t>
        </is>
      </c>
    </row>
    <row r="4" spans="1:4">
      <c r="A4" t="inlineStr">
        <is>
          <t>Abra</t>
        </is>
      </c>
      <c r="B4" t="inlineStr">
        <is>
          <t>Bucay</t>
        </is>
      </c>
      <c r="C4" t="inlineStr">
        <is>
          <t>2805</t>
        </is>
      </c>
      <c r="D4" t="inlineStr">
        <is>
          <t>PHLPost</t>
        </is>
      </c>
    </row>
    <row r="5" spans="1:4">
      <c r="A5" t="inlineStr">
        <is>
          <t>Abra</t>
        </is>
      </c>
      <c r="B5" t="inlineStr">
        <is>
          <t>Bucloc</t>
        </is>
      </c>
      <c r="C5" t="inlineStr">
        <is>
          <t>2817</t>
        </is>
      </c>
      <c r="D5" t="inlineStr">
        <is>
          <t>PHLPost</t>
        </is>
      </c>
    </row>
    <row r="6" spans="1:4">
      <c r="A6" t="inlineStr">
        <is>
          <t>Abra</t>
        </is>
      </c>
      <c r="B6" t="inlineStr">
        <is>
          <t>Daguioman</t>
        </is>
      </c>
      <c r="C6" t="inlineStr">
        <is>
          <t>2816</t>
        </is>
      </c>
      <c r="D6" t="inlineStr">
        <is>
          <t>PHLPost</t>
        </is>
      </c>
    </row>
    <row r="7" spans="1:4">
      <c r="A7" t="inlineStr">
        <is>
          <t>Abra</t>
        </is>
      </c>
      <c r="B7" t="inlineStr">
        <is>
          <t>Danglas</t>
        </is>
      </c>
      <c r="C7" t="inlineStr">
        <is>
          <t>2825</t>
        </is>
      </c>
      <c r="D7" t="inlineStr">
        <is>
          <t>PHLPost</t>
        </is>
      </c>
    </row>
    <row r="8" spans="1:4">
      <c r="A8" t="inlineStr">
        <is>
          <t>Abra</t>
        </is>
      </c>
      <c r="B8" t="inlineStr">
        <is>
          <t>Dolores</t>
        </is>
      </c>
      <c r="C8" t="inlineStr">
        <is>
          <t>2801</t>
        </is>
      </c>
      <c r="D8" t="inlineStr">
        <is>
          <t>PHLPost</t>
        </is>
      </c>
    </row>
    <row r="9" spans="1:4">
      <c r="A9" t="inlineStr">
        <is>
          <t>Abra</t>
        </is>
      </c>
      <c r="B9" t="inlineStr">
        <is>
          <t>La Paz</t>
        </is>
      </c>
      <c r="C9" t="inlineStr">
        <is>
          <t>2826</t>
        </is>
      </c>
      <c r="D9" t="inlineStr">
        <is>
          <t>PHLPost</t>
        </is>
      </c>
    </row>
    <row r="10" spans="1:4">
      <c r="A10" t="inlineStr">
        <is>
          <t>Abra</t>
        </is>
      </c>
      <c r="B10" t="inlineStr">
        <is>
          <t>Lacub</t>
        </is>
      </c>
      <c r="C10" t="inlineStr">
        <is>
          <t>2821</t>
        </is>
      </c>
      <c r="D10" t="inlineStr">
        <is>
          <t>PHLPost</t>
        </is>
      </c>
    </row>
    <row r="11" spans="1:4">
      <c r="A11" t="inlineStr">
        <is>
          <t>Abra</t>
        </is>
      </c>
      <c r="B11" t="inlineStr">
        <is>
          <t>Lagangilang</t>
        </is>
      </c>
      <c r="C11" t="inlineStr">
        <is>
          <t>2802</t>
        </is>
      </c>
      <c r="D11" t="inlineStr">
        <is>
          <t>PHLPost</t>
        </is>
      </c>
    </row>
    <row r="12" spans="1:4">
      <c r="A12" t="inlineStr">
        <is>
          <t>Abra</t>
        </is>
      </c>
      <c r="B12" t="inlineStr">
        <is>
          <t>Lagayan</t>
        </is>
      </c>
      <c r="C12" t="inlineStr">
        <is>
          <t>2824</t>
        </is>
      </c>
      <c r="D12" t="inlineStr">
        <is>
          <t>PHLPost</t>
        </is>
      </c>
    </row>
    <row r="13" spans="1:4">
      <c r="A13" t="inlineStr">
        <is>
          <t>Abra</t>
        </is>
      </c>
      <c r="B13" t="inlineStr">
        <is>
          <t>Langiden</t>
        </is>
      </c>
      <c r="C13" t="inlineStr">
        <is>
          <t>2807</t>
        </is>
      </c>
      <c r="D13" t="inlineStr">
        <is>
          <t>PHLPost</t>
        </is>
      </c>
    </row>
    <row r="14" spans="1:4">
      <c r="A14" t="inlineStr">
        <is>
          <t>Abra</t>
        </is>
      </c>
      <c r="B14" t="inlineStr">
        <is>
          <t>Licuan-Baay</t>
        </is>
      </c>
      <c r="C14" t="inlineStr">
        <is>
          <t>2819</t>
        </is>
      </c>
      <c r="D14" t="inlineStr">
        <is>
          <t>PHLPost</t>
        </is>
      </c>
    </row>
    <row r="15" spans="1:4">
      <c r="A15" t="inlineStr">
        <is>
          <t>Abra</t>
        </is>
      </c>
      <c r="B15" t="inlineStr">
        <is>
          <t>Luba</t>
        </is>
      </c>
      <c r="C15" t="inlineStr">
        <is>
          <t>2813</t>
        </is>
      </c>
      <c r="D15" t="inlineStr">
        <is>
          <t>PHLPost</t>
        </is>
      </c>
    </row>
    <row r="16" spans="1:4">
      <c r="A16" t="inlineStr">
        <is>
          <t>Abra</t>
        </is>
      </c>
      <c r="B16" t="inlineStr">
        <is>
          <t>Malibcong</t>
        </is>
      </c>
      <c r="C16" t="inlineStr">
        <is>
          <t>2820</t>
        </is>
      </c>
      <c r="D16" t="inlineStr">
        <is>
          <t>PHLPost</t>
        </is>
      </c>
    </row>
    <row r="17" spans="1:4">
      <c r="A17" t="inlineStr">
        <is>
          <t>Abra</t>
        </is>
      </c>
      <c r="B17" t="inlineStr">
        <is>
          <t>Manabo</t>
        </is>
      </c>
      <c r="C17" t="inlineStr">
        <is>
          <t>2810</t>
        </is>
      </c>
      <c r="D17" t="inlineStr">
        <is>
          <t>PHLPost</t>
        </is>
      </c>
    </row>
    <row r="18" spans="1:4">
      <c r="A18" t="inlineStr">
        <is>
          <t>Abra</t>
        </is>
      </c>
      <c r="B18" t="inlineStr">
        <is>
          <t>Peñarrubia</t>
        </is>
      </c>
      <c r="C18" t="inlineStr">
        <is>
          <t>2804</t>
        </is>
      </c>
      <c r="D18" t="inlineStr">
        <is>
          <t>PHLPost</t>
        </is>
      </c>
    </row>
    <row r="19" spans="1:4">
      <c r="A19" t="inlineStr">
        <is>
          <t>Abra</t>
        </is>
      </c>
      <c r="B19" t="inlineStr">
        <is>
          <t>Pidigan</t>
        </is>
      </c>
      <c r="C19" t="inlineStr">
        <is>
          <t>2806</t>
        </is>
      </c>
      <c r="D19" t="inlineStr">
        <is>
          <t>PHLPost</t>
        </is>
      </c>
    </row>
    <row r="20" spans="1:4">
      <c r="A20" t="inlineStr">
        <is>
          <t>Abra</t>
        </is>
      </c>
      <c r="B20" t="inlineStr">
        <is>
          <t>Pilar</t>
        </is>
      </c>
      <c r="C20" t="inlineStr">
        <is>
          <t>2812</t>
        </is>
      </c>
      <c r="D20" t="inlineStr">
        <is>
          <t>PHLPost</t>
        </is>
      </c>
    </row>
    <row r="21" spans="1:4">
      <c r="A21" t="inlineStr">
        <is>
          <t>Abra</t>
        </is>
      </c>
      <c r="B21" t="inlineStr">
        <is>
          <t>Sallapadan</t>
        </is>
      </c>
      <c r="C21" t="inlineStr">
        <is>
          <t>2818</t>
        </is>
      </c>
      <c r="D21" t="inlineStr">
        <is>
          <t>PHLPost</t>
        </is>
      </c>
    </row>
    <row r="22" spans="1:4">
      <c r="A22" t="inlineStr">
        <is>
          <t>Abra</t>
        </is>
      </c>
      <c r="B22" t="inlineStr">
        <is>
          <t>San Isidro</t>
        </is>
      </c>
      <c r="C22" t="inlineStr">
        <is>
          <t>2809</t>
        </is>
      </c>
      <c r="D22" t="inlineStr">
        <is>
          <t>PHLPost</t>
        </is>
      </c>
    </row>
    <row r="23" spans="1:4">
      <c r="A23" t="inlineStr">
        <is>
          <t>Abra</t>
        </is>
      </c>
      <c r="B23" t="inlineStr">
        <is>
          <t>San Juan</t>
        </is>
      </c>
      <c r="C23" t="inlineStr">
        <is>
          <t>2823</t>
        </is>
      </c>
      <c r="D23" t="inlineStr">
        <is>
          <t>PHLPost</t>
        </is>
      </c>
    </row>
    <row r="24" spans="1:4">
      <c r="A24" t="inlineStr">
        <is>
          <t>Abra</t>
        </is>
      </c>
      <c r="B24" t="inlineStr">
        <is>
          <t>San Quintin</t>
        </is>
      </c>
      <c r="C24" t="inlineStr">
        <is>
          <t>2808</t>
        </is>
      </c>
      <c r="D24" t="inlineStr">
        <is>
          <t>PHLPost</t>
        </is>
      </c>
    </row>
    <row r="25" spans="1:4">
      <c r="A25" t="inlineStr">
        <is>
          <t>Abra</t>
        </is>
      </c>
      <c r="B25" t="inlineStr">
        <is>
          <t>Tayum</t>
        </is>
      </c>
      <c r="C25" t="inlineStr">
        <is>
          <t>2803</t>
        </is>
      </c>
      <c r="D25" t="inlineStr">
        <is>
          <t>PHLPost</t>
        </is>
      </c>
    </row>
    <row r="26" spans="1:4">
      <c r="A26" t="inlineStr">
        <is>
          <t>Abra</t>
        </is>
      </c>
      <c r="B26" t="inlineStr">
        <is>
          <t>Tineg</t>
        </is>
      </c>
      <c r="C26" t="inlineStr">
        <is>
          <t>2822</t>
        </is>
      </c>
      <c r="D26" t="inlineStr">
        <is>
          <t>PHLPost</t>
        </is>
      </c>
    </row>
    <row r="27" spans="1:4">
      <c r="A27" t="inlineStr">
        <is>
          <t>Abra</t>
        </is>
      </c>
      <c r="B27" t="inlineStr">
        <is>
          <t>Tubo</t>
        </is>
      </c>
      <c r="C27" t="inlineStr">
        <is>
          <t>2814</t>
        </is>
      </c>
      <c r="D27" t="inlineStr">
        <is>
          <t>PHLPost</t>
        </is>
      </c>
    </row>
    <row r="28" spans="1:4">
      <c r="A28" t="inlineStr">
        <is>
          <t>Abra</t>
        </is>
      </c>
      <c r="B28" t="inlineStr">
        <is>
          <t>Villaviciosa</t>
        </is>
      </c>
      <c r="C28" t="inlineStr">
        <is>
          <t>2811</t>
        </is>
      </c>
      <c r="D28" t="inlineStr">
        <is>
          <t>PHLPost</t>
        </is>
      </c>
    </row>
    <row r="29" spans="1:4">
      <c r="A29" t="inlineStr">
        <is>
          <t>Agusan del Norte</t>
        </is>
      </c>
      <c r="B29" t="inlineStr">
        <is>
          <t>Buenavista</t>
        </is>
      </c>
      <c r="C29" t="inlineStr">
        <is>
          <t>8601</t>
        </is>
      </c>
      <c r="D29" t="inlineStr">
        <is>
          <t>PHLPost</t>
        </is>
      </c>
    </row>
    <row r="30" spans="1:4">
      <c r="A30" t="inlineStr">
        <is>
          <t>Agusan del Norte</t>
        </is>
      </c>
      <c r="B30" t="inlineStr">
        <is>
          <t>Carmen</t>
        </is>
      </c>
      <c r="C30" t="inlineStr">
        <is>
          <t>8603</t>
        </is>
      </c>
      <c r="D30" t="inlineStr">
        <is>
          <t>PHLPost</t>
        </is>
      </c>
    </row>
    <row r="31" spans="1:4">
      <c r="A31" t="inlineStr">
        <is>
          <t>Agusan del Norte</t>
        </is>
      </c>
      <c r="B31" t="inlineStr">
        <is>
          <t>City of Cabadbaran</t>
        </is>
      </c>
      <c r="C31" t="inlineStr">
        <is>
          <t>8605</t>
        </is>
      </c>
      <c r="D31" t="inlineStr">
        <is>
          <t>PHLPost</t>
        </is>
      </c>
    </row>
    <row r="32" spans="1:4">
      <c r="A32" t="inlineStr">
        <is>
          <t>Agusan del Norte</t>
        </is>
      </c>
      <c r="B32" t="inlineStr">
        <is>
          <t>Jabonga</t>
        </is>
      </c>
      <c r="C32" t="inlineStr">
        <is>
          <t>8607</t>
        </is>
      </c>
      <c r="D32" t="inlineStr">
        <is>
          <t>PHLPost</t>
        </is>
      </c>
    </row>
    <row r="33" spans="1:4">
      <c r="A33" t="inlineStr">
        <is>
          <t>Agusan del Norte</t>
        </is>
      </c>
      <c r="B33" t="inlineStr">
        <is>
          <t>Kitcharao</t>
        </is>
      </c>
      <c r="C33" t="inlineStr">
        <is>
          <t>8609</t>
        </is>
      </c>
      <c r="D33" t="inlineStr">
        <is>
          <t>PHLPost</t>
        </is>
      </c>
    </row>
    <row r="34" spans="1:4">
      <c r="A34" t="inlineStr">
        <is>
          <t>Agusan del Norte</t>
        </is>
      </c>
      <c r="B34" t="inlineStr">
        <is>
          <t>Las Nieves</t>
        </is>
      </c>
      <c r="C34" t="inlineStr">
        <is>
          <t>8610</t>
        </is>
      </c>
      <c r="D34" t="inlineStr">
        <is>
          <t>PHLPost</t>
        </is>
      </c>
    </row>
    <row r="35" spans="1:4">
      <c r="A35" t="inlineStr">
        <is>
          <t>Agusan del Norte</t>
        </is>
      </c>
      <c r="B35" t="inlineStr">
        <is>
          <t>Magallanes</t>
        </is>
      </c>
      <c r="C35" t="inlineStr">
        <is>
          <t>8604</t>
        </is>
      </c>
      <c r="D35" t="inlineStr">
        <is>
          <t>PHLPost</t>
        </is>
      </c>
    </row>
    <row r="36" spans="1:4">
      <c r="A36" t="inlineStr">
        <is>
          <t>Agusan del Norte</t>
        </is>
      </c>
      <c r="B36" t="inlineStr">
        <is>
          <t>Nasipit</t>
        </is>
      </c>
      <c r="C36" t="inlineStr">
        <is>
          <t>8602</t>
        </is>
      </c>
      <c r="D36" t="inlineStr">
        <is>
          <t>PHLPost</t>
        </is>
      </c>
    </row>
    <row r="37" spans="1:4">
      <c r="A37" t="inlineStr">
        <is>
          <t>Agusan del Norte</t>
        </is>
      </c>
      <c r="B37" t="inlineStr">
        <is>
          <t>Remedios T. Romualdez</t>
        </is>
      </c>
      <c r="C37" t="inlineStr">
        <is>
          <t>8611</t>
        </is>
      </c>
      <c r="D37" t="inlineStr">
        <is>
          <t>PHLPost</t>
        </is>
      </c>
    </row>
    <row r="38" spans="1:4">
      <c r="A38" t="inlineStr">
        <is>
          <t>Agusan del Norte</t>
        </is>
      </c>
      <c r="B38" t="inlineStr">
        <is>
          <t>Santiago</t>
        </is>
      </c>
      <c r="C38" t="inlineStr">
        <is>
          <t>8608</t>
        </is>
      </c>
      <c r="D38" t="inlineStr">
        <is>
          <t>PHLPost</t>
        </is>
      </c>
    </row>
    <row r="39" spans="1:4">
      <c r="A39" t="inlineStr">
        <is>
          <t>Agusan del Norte</t>
        </is>
      </c>
      <c r="B39" t="inlineStr">
        <is>
          <t>Tubay</t>
        </is>
      </c>
      <c r="C39" t="inlineStr">
        <is>
          <t>8606</t>
        </is>
      </c>
      <c r="D39" t="inlineStr">
        <is>
          <t>PHLPost</t>
        </is>
      </c>
    </row>
    <row r="40" spans="1:4">
      <c r="A40" t="inlineStr">
        <is>
          <t>Agusan del Sur</t>
        </is>
      </c>
      <c r="B40" t="inlineStr">
        <is>
          <t>Bunawan</t>
        </is>
      </c>
      <c r="C40" t="inlineStr">
        <is>
          <t>8506</t>
        </is>
      </c>
      <c r="D40" t="inlineStr">
        <is>
          <t>PHLPost</t>
        </is>
      </c>
    </row>
    <row r="41" spans="1:4">
      <c r="A41" t="inlineStr">
        <is>
          <t>Agusan del Sur</t>
        </is>
      </c>
      <c r="B41" t="inlineStr">
        <is>
          <t>City of Bayugan</t>
        </is>
      </c>
      <c r="C41" t="inlineStr">
        <is>
          <t>8502</t>
        </is>
      </c>
      <c r="D41" t="inlineStr">
        <is>
          <t>PHLPost</t>
        </is>
      </c>
    </row>
    <row r="42" spans="1:4">
      <c r="A42" t="inlineStr">
        <is>
          <t>Agusan del Sur</t>
        </is>
      </c>
      <c r="B42" t="inlineStr">
        <is>
          <t>Esperanza</t>
        </is>
      </c>
      <c r="C42" t="inlineStr">
        <is>
          <t>8513</t>
        </is>
      </c>
      <c r="D42" t="inlineStr">
        <is>
          <t>PHLPost</t>
        </is>
      </c>
    </row>
    <row r="43" spans="1:4">
      <c r="A43" t="inlineStr">
        <is>
          <t>Agusan del Sur</t>
        </is>
      </c>
      <c r="B43" t="inlineStr">
        <is>
          <t>La Paz</t>
        </is>
      </c>
      <c r="C43" t="inlineStr">
        <is>
          <t>8508</t>
        </is>
      </c>
      <c r="D43" t="inlineStr">
        <is>
          <t>PHLPost</t>
        </is>
      </c>
    </row>
    <row r="44" spans="1:4">
      <c r="A44" t="inlineStr">
        <is>
          <t>Agusan del Sur</t>
        </is>
      </c>
      <c r="B44" t="inlineStr">
        <is>
          <t>Loreto</t>
        </is>
      </c>
      <c r="C44" t="inlineStr">
        <is>
          <t>8507</t>
        </is>
      </c>
      <c r="D44" t="inlineStr">
        <is>
          <t>PHLPost</t>
        </is>
      </c>
    </row>
    <row r="45" spans="1:4">
      <c r="A45" t="inlineStr">
        <is>
          <t>Agusan del Sur</t>
        </is>
      </c>
      <c r="B45" t="inlineStr">
        <is>
          <t>Prosperidad</t>
        </is>
      </c>
      <c r="C45" t="inlineStr">
        <is>
          <t>8500</t>
        </is>
      </c>
      <c r="D45" t="inlineStr">
        <is>
          <t>PHLPost</t>
        </is>
      </c>
    </row>
    <row r="46" spans="1:4">
      <c r="A46" t="inlineStr">
        <is>
          <t>Agusan del Sur</t>
        </is>
      </c>
      <c r="B46" t="inlineStr">
        <is>
          <t>Rosario</t>
        </is>
      </c>
      <c r="C46" t="inlineStr">
        <is>
          <t>8504</t>
        </is>
      </c>
      <c r="D46" t="inlineStr">
        <is>
          <t>PHLPost</t>
        </is>
      </c>
    </row>
    <row r="47" spans="1:4">
      <c r="A47" t="inlineStr">
        <is>
          <t>Agusan del Sur</t>
        </is>
      </c>
      <c r="B47" t="inlineStr">
        <is>
          <t>San Francisco</t>
        </is>
      </c>
      <c r="C47" t="inlineStr">
        <is>
          <t>8501</t>
        </is>
      </c>
      <c r="D47" t="inlineStr">
        <is>
          <t>PHLPost</t>
        </is>
      </c>
    </row>
    <row r="48" spans="1:4">
      <c r="A48" t="inlineStr">
        <is>
          <t>Agusan del Sur</t>
        </is>
      </c>
      <c r="B48" t="inlineStr">
        <is>
          <t>San Luis</t>
        </is>
      </c>
      <c r="C48" t="inlineStr">
        <is>
          <t>8511</t>
        </is>
      </c>
      <c r="D48" t="inlineStr">
        <is>
          <t>PHLPost</t>
        </is>
      </c>
    </row>
    <row r="49" spans="1:4">
      <c r="A49" t="inlineStr">
        <is>
          <t>Agusan del Sur</t>
        </is>
      </c>
      <c r="B49" t="inlineStr">
        <is>
          <t>Santa Josefa</t>
        </is>
      </c>
      <c r="C49" t="inlineStr">
        <is>
          <t>8512</t>
        </is>
      </c>
      <c r="D49" t="inlineStr">
        <is>
          <t>PHLPost</t>
        </is>
      </c>
    </row>
    <row r="50" spans="1:4">
      <c r="A50" t="inlineStr">
        <is>
          <t>Agusan del Sur</t>
        </is>
      </c>
      <c r="B50" t="inlineStr">
        <is>
          <t>Sibagat</t>
        </is>
      </c>
      <c r="C50" t="inlineStr">
        <is>
          <t>8503</t>
        </is>
      </c>
      <c r="D50" t="inlineStr">
        <is>
          <t>PHLPost</t>
        </is>
      </c>
    </row>
    <row r="51" spans="1:4">
      <c r="A51" t="inlineStr">
        <is>
          <t>Agusan del Sur</t>
        </is>
      </c>
      <c r="B51" t="inlineStr">
        <is>
          <t>Talacogon</t>
        </is>
      </c>
      <c r="C51" t="inlineStr">
        <is>
          <t>8510</t>
        </is>
      </c>
      <c r="D51" t="inlineStr">
        <is>
          <t>PHLPost</t>
        </is>
      </c>
    </row>
    <row r="52" spans="1:4">
      <c r="A52" t="inlineStr">
        <is>
          <t>Agusan del Sur</t>
        </is>
      </c>
      <c r="B52" t="inlineStr">
        <is>
          <t>Trento</t>
        </is>
      </c>
      <c r="C52" t="inlineStr">
        <is>
          <t>8505</t>
        </is>
      </c>
      <c r="D52" t="inlineStr">
        <is>
          <t>PHLPost</t>
        </is>
      </c>
    </row>
    <row r="53" spans="1:4">
      <c r="A53" t="inlineStr">
        <is>
          <t>Agusan del Sur</t>
        </is>
      </c>
      <c r="B53" t="inlineStr">
        <is>
          <t>Veruela</t>
        </is>
      </c>
      <c r="C53" t="inlineStr">
        <is>
          <t>8509</t>
        </is>
      </c>
      <c r="D53" t="inlineStr">
        <is>
          <t>PHLPost</t>
        </is>
      </c>
    </row>
    <row r="54" spans="1:4">
      <c r="A54" t="inlineStr">
        <is>
          <t>Aklan</t>
        </is>
      </c>
      <c r="B54" t="inlineStr">
        <is>
          <t>Altavas</t>
        </is>
      </c>
      <c r="C54" t="inlineStr">
        <is>
          <t>5616</t>
        </is>
      </c>
      <c r="D54" t="inlineStr">
        <is>
          <t>BarangayDirectory</t>
        </is>
      </c>
    </row>
    <row r="55" spans="1:4">
      <c r="A55" t="inlineStr">
        <is>
          <t>Aklan</t>
        </is>
      </c>
      <c r="B55" t="inlineStr">
        <is>
          <t>Balete</t>
        </is>
      </c>
      <c r="C55" t="inlineStr">
        <is>
          <t>5614</t>
        </is>
      </c>
      <c r="D55" t="inlineStr">
        <is>
          <t>BarangayDirectory</t>
        </is>
      </c>
    </row>
    <row r="56" spans="1:4">
      <c r="A56" t="inlineStr">
        <is>
          <t>Aklan</t>
        </is>
      </c>
      <c r="B56" t="inlineStr">
        <is>
          <t>Banga</t>
        </is>
      </c>
      <c r="C56" t="inlineStr">
        <is>
          <t>5601</t>
        </is>
      </c>
      <c r="D56" t="inlineStr">
        <is>
          <t>BarangayDirectory</t>
        </is>
      </c>
    </row>
    <row r="57" spans="1:4">
      <c r="A57" t="inlineStr">
        <is>
          <t>Aklan</t>
        </is>
      </c>
      <c r="B57" t="inlineStr">
        <is>
          <t>Batan</t>
        </is>
      </c>
      <c r="C57" t="inlineStr">
        <is>
          <t>5615</t>
        </is>
      </c>
      <c r="D57" t="inlineStr">
        <is>
          <t>BarangayDirectory</t>
        </is>
      </c>
    </row>
    <row r="58" spans="1:4">
      <c r="A58" t="inlineStr">
        <is>
          <t>Aklan</t>
        </is>
      </c>
      <c r="B58" t="inlineStr">
        <is>
          <t>Buruanga</t>
        </is>
      </c>
      <c r="C58" t="inlineStr">
        <is>
          <t>5609</t>
        </is>
      </c>
      <c r="D58" t="inlineStr">
        <is>
          <t>BarangayDirectory</t>
        </is>
      </c>
    </row>
    <row r="59" spans="1:4">
      <c r="A59" t="inlineStr">
        <is>
          <t>Aklan</t>
        </is>
      </c>
      <c r="B59" t="inlineStr">
        <is>
          <t>Ibajay</t>
        </is>
      </c>
      <c r="C59" t="inlineStr">
        <is>
          <t>5613</t>
        </is>
      </c>
      <c r="D59" t="inlineStr">
        <is>
          <t>BarangayDirectory</t>
        </is>
      </c>
    </row>
    <row r="60" spans="1:4">
      <c r="A60" t="inlineStr">
        <is>
          <t>Aklan</t>
        </is>
      </c>
      <c r="B60" t="inlineStr">
        <is>
          <t>Kalibo</t>
        </is>
      </c>
      <c r="C60" t="inlineStr">
        <is>
          <t>5600</t>
        </is>
      </c>
      <c r="D60" t="inlineStr">
        <is>
          <t>BarangayDirectory</t>
        </is>
      </c>
    </row>
    <row r="61" spans="1:4">
      <c r="A61" t="inlineStr">
        <is>
          <t>Aklan</t>
        </is>
      </c>
      <c r="B61" t="inlineStr">
        <is>
          <t>Lezo</t>
        </is>
      </c>
      <c r="C61" t="inlineStr">
        <is>
          <t>5605</t>
        </is>
      </c>
      <c r="D61" t="inlineStr">
        <is>
          <t>BarangayDirectory</t>
        </is>
      </c>
    </row>
    <row r="62" spans="1:4">
      <c r="A62" t="inlineStr">
        <is>
          <t>Aklan</t>
        </is>
      </c>
      <c r="B62" t="inlineStr">
        <is>
          <t>Libacao</t>
        </is>
      </c>
      <c r="C62" t="inlineStr">
        <is>
          <t>5602</t>
        </is>
      </c>
      <c r="D62" t="inlineStr">
        <is>
          <t>BarangayDirectory</t>
        </is>
      </c>
    </row>
    <row r="63" spans="1:4">
      <c r="A63" t="inlineStr">
        <is>
          <t>Aklan</t>
        </is>
      </c>
      <c r="B63" t="inlineStr">
        <is>
          <t>Madalag</t>
        </is>
      </c>
      <c r="C63" t="inlineStr">
        <is>
          <t>5603</t>
        </is>
      </c>
      <c r="D63" t="inlineStr">
        <is>
          <t>BarangayDirectory</t>
        </is>
      </c>
    </row>
    <row r="64" spans="1:4">
      <c r="A64" t="inlineStr">
        <is>
          <t>Aklan</t>
        </is>
      </c>
      <c r="B64" t="inlineStr">
        <is>
          <t>Makato</t>
        </is>
      </c>
      <c r="C64" t="inlineStr">
        <is>
          <t>5611</t>
        </is>
      </c>
      <c r="D64" t="inlineStr">
        <is>
          <t>BarangayDirectory</t>
        </is>
      </c>
    </row>
    <row r="65" spans="1:4">
      <c r="A65" t="inlineStr">
        <is>
          <t>Aklan</t>
        </is>
      </c>
      <c r="B65" t="inlineStr">
        <is>
          <t>Malay</t>
        </is>
      </c>
      <c r="C65" t="inlineStr">
        <is>
          <t>5608</t>
        </is>
      </c>
      <c r="D65" t="inlineStr">
        <is>
          <t>BarangayDirectory</t>
        </is>
      </c>
    </row>
    <row r="66" spans="1:4">
      <c r="A66" t="inlineStr">
        <is>
          <t>Aklan</t>
        </is>
      </c>
      <c r="B66" t="inlineStr">
        <is>
          <t>Malinao</t>
        </is>
      </c>
      <c r="C66" t="inlineStr">
        <is>
          <t>5606</t>
        </is>
      </c>
      <c r="D66" t="inlineStr">
        <is>
          <t>BarangayDirectory</t>
        </is>
      </c>
    </row>
    <row r="67" spans="1:4">
      <c r="A67" t="inlineStr">
        <is>
          <t>Aklan</t>
        </is>
      </c>
      <c r="B67" t="inlineStr">
        <is>
          <t>Nabas</t>
        </is>
      </c>
      <c r="C67" t="inlineStr">
        <is>
          <t>5607</t>
        </is>
      </c>
      <c r="D67" t="inlineStr">
        <is>
          <t>BarangayDirectory</t>
        </is>
      </c>
    </row>
    <row r="68" spans="1:4">
      <c r="A68" t="inlineStr">
        <is>
          <t>Aklan</t>
        </is>
      </c>
      <c r="B68" t="inlineStr">
        <is>
          <t>New Washington</t>
        </is>
      </c>
      <c r="C68" t="inlineStr">
        <is>
          <t>5610</t>
        </is>
      </c>
      <c r="D68" t="inlineStr">
        <is>
          <t>BarangayDirectory</t>
        </is>
      </c>
    </row>
    <row r="69" spans="1:4">
      <c r="A69" t="inlineStr">
        <is>
          <t>Aklan</t>
        </is>
      </c>
      <c r="B69" t="inlineStr">
        <is>
          <t>Numancia</t>
        </is>
      </c>
      <c r="C69" t="inlineStr">
        <is>
          <t>5604</t>
        </is>
      </c>
      <c r="D69" t="inlineStr">
        <is>
          <t>BarangayDirectory</t>
        </is>
      </c>
    </row>
    <row r="70" spans="1:4">
      <c r="A70" t="inlineStr">
        <is>
          <t>Aklan</t>
        </is>
      </c>
      <c r="B70" t="inlineStr">
        <is>
          <t>Tangalan</t>
        </is>
      </c>
      <c r="C70" t="inlineStr">
        <is>
          <t>5612</t>
        </is>
      </c>
      <c r="D70" t="inlineStr">
        <is>
          <t>BarangayDirectory</t>
        </is>
      </c>
    </row>
    <row r="71" spans="1:4">
      <c r="A71" t="inlineStr">
        <is>
          <t>Albay</t>
        </is>
      </c>
      <c r="B71" t="inlineStr">
        <is>
          <t>Bacacay</t>
        </is>
      </c>
      <c r="C71" t="inlineStr">
        <is>
          <t>4509</t>
        </is>
      </c>
      <c r="D71" t="inlineStr">
        <is>
          <t>PHLPost</t>
        </is>
      </c>
    </row>
    <row r="72" spans="1:4">
      <c r="A72" t="inlineStr">
        <is>
          <t>Albay</t>
        </is>
      </c>
      <c r="B72" t="inlineStr">
        <is>
          <t>Camalig</t>
        </is>
      </c>
      <c r="C72" t="inlineStr">
        <is>
          <t>4502</t>
        </is>
      </c>
      <c r="D72" t="inlineStr">
        <is>
          <t>PHLPost</t>
        </is>
      </c>
    </row>
    <row r="73" spans="1:4">
      <c r="A73" t="inlineStr">
        <is>
          <t>Albay</t>
        </is>
      </c>
      <c r="B73" t="inlineStr">
        <is>
          <t>City of Legazpi</t>
        </is>
      </c>
      <c r="C73" t="inlineStr">
        <is>
          <t>4500</t>
        </is>
      </c>
      <c r="D73" t="inlineStr">
        <is>
          <t>PHLPost</t>
        </is>
      </c>
    </row>
    <row r="74" spans="1:4">
      <c r="A74" t="inlineStr">
        <is>
          <t>Albay</t>
        </is>
      </c>
      <c r="B74" t="inlineStr">
        <is>
          <t>City of Ligao</t>
        </is>
      </c>
      <c r="C74" t="inlineStr">
        <is>
          <t>4504</t>
        </is>
      </c>
      <c r="D74" t="inlineStr">
        <is>
          <t>PHLPost</t>
        </is>
      </c>
    </row>
    <row r="75" spans="1:4">
      <c r="A75" t="inlineStr">
        <is>
          <t>Albay</t>
        </is>
      </c>
      <c r="B75" t="inlineStr">
        <is>
          <t>City of Tabaco</t>
        </is>
      </c>
      <c r="C75" t="inlineStr">
        <is>
          <t>4511</t>
        </is>
      </c>
      <c r="D75" t="inlineStr">
        <is>
          <t>PHLPost</t>
        </is>
      </c>
    </row>
    <row r="76" spans="1:4">
      <c r="A76" t="inlineStr">
        <is>
          <t>Albay</t>
        </is>
      </c>
      <c r="B76" t="inlineStr">
        <is>
          <t>Daraga</t>
        </is>
      </c>
      <c r="C76" t="inlineStr">
        <is>
          <t>4501</t>
        </is>
      </c>
      <c r="D76" t="inlineStr">
        <is>
          <t>BarangayDirectory</t>
        </is>
      </c>
    </row>
    <row r="77" spans="1:4">
      <c r="A77" t="inlineStr">
        <is>
          <t>Albay</t>
        </is>
      </c>
      <c r="B77" t="inlineStr">
        <is>
          <t>Guinobatan</t>
        </is>
      </c>
      <c r="C77" t="inlineStr">
        <is>
          <t>4503</t>
        </is>
      </c>
      <c r="D77" t="inlineStr">
        <is>
          <t>PHLPost</t>
        </is>
      </c>
    </row>
    <row r="78" spans="1:4">
      <c r="A78" t="inlineStr">
        <is>
          <t>Albay</t>
        </is>
      </c>
      <c r="B78" t="inlineStr">
        <is>
          <t>Jovellar</t>
        </is>
      </c>
      <c r="C78" t="inlineStr">
        <is>
          <t>4515</t>
        </is>
      </c>
      <c r="D78" t="inlineStr">
        <is>
          <t>PHLPost</t>
        </is>
      </c>
    </row>
    <row r="79" spans="1:4">
      <c r="A79" t="inlineStr">
        <is>
          <t>Albay</t>
        </is>
      </c>
      <c r="B79" t="inlineStr">
        <is>
          <t>Libon</t>
        </is>
      </c>
      <c r="C79" t="inlineStr">
        <is>
          <t>4507</t>
        </is>
      </c>
      <c r="D79" t="inlineStr">
        <is>
          <t>PHLPost</t>
        </is>
      </c>
    </row>
    <row r="80" spans="1:4">
      <c r="A80" t="inlineStr">
        <is>
          <t>Albay</t>
        </is>
      </c>
      <c r="B80" t="inlineStr">
        <is>
          <t>Malilipot</t>
        </is>
      </c>
      <c r="C80" t="inlineStr">
        <is>
          <t>4510</t>
        </is>
      </c>
      <c r="D80" t="inlineStr">
        <is>
          <t>PHLPost</t>
        </is>
      </c>
    </row>
    <row r="81" spans="1:4">
      <c r="A81" t="inlineStr">
        <is>
          <t>Albay</t>
        </is>
      </c>
      <c r="B81" t="inlineStr">
        <is>
          <t>Malinao</t>
        </is>
      </c>
      <c r="C81" t="inlineStr">
        <is>
          <t>4512</t>
        </is>
      </c>
      <c r="D81" t="inlineStr">
        <is>
          <t>PHLPost</t>
        </is>
      </c>
    </row>
    <row r="82" spans="1:4">
      <c r="A82" t="inlineStr">
        <is>
          <t>Albay</t>
        </is>
      </c>
      <c r="B82" t="inlineStr">
        <is>
          <t>Manito</t>
        </is>
      </c>
      <c r="C82" t="inlineStr">
        <is>
          <t>4514</t>
        </is>
      </c>
      <c r="D82" t="inlineStr">
        <is>
          <t>PHLPost</t>
        </is>
      </c>
    </row>
    <row r="83" spans="1:4">
      <c r="A83" t="inlineStr">
        <is>
          <t>Albay</t>
        </is>
      </c>
      <c r="B83" t="inlineStr">
        <is>
          <t>Oas</t>
        </is>
      </c>
      <c r="C83" t="inlineStr">
        <is>
          <t>4505</t>
        </is>
      </c>
      <c r="D83" t="inlineStr">
        <is>
          <t>PHLPost</t>
        </is>
      </c>
    </row>
    <row r="84" spans="1:4">
      <c r="A84" t="inlineStr">
        <is>
          <t>Albay</t>
        </is>
      </c>
      <c r="B84" t="inlineStr">
        <is>
          <t>Pio Duran</t>
        </is>
      </c>
      <c r="C84" t="inlineStr">
        <is>
          <t>4516</t>
        </is>
      </c>
      <c r="D84" t="inlineStr">
        <is>
          <t>BarangayDirectory</t>
        </is>
      </c>
    </row>
    <row r="85" spans="1:4">
      <c r="A85" t="inlineStr">
        <is>
          <t>Albay</t>
        </is>
      </c>
      <c r="B85" t="inlineStr">
        <is>
          <t>Polangui</t>
        </is>
      </c>
      <c r="C85" t="inlineStr">
        <is>
          <t>4506</t>
        </is>
      </c>
      <c r="D85" t="inlineStr">
        <is>
          <t>PHLPost</t>
        </is>
      </c>
    </row>
    <row r="86" spans="1:4">
      <c r="A86" t="inlineStr">
        <is>
          <t>Albay</t>
        </is>
      </c>
      <c r="B86" t="inlineStr">
        <is>
          <t>Rapu-Rapu</t>
        </is>
      </c>
      <c r="C86" t="inlineStr">
        <is>
          <t>4517</t>
        </is>
      </c>
      <c r="D86" t="inlineStr">
        <is>
          <t>PHLPost</t>
        </is>
      </c>
    </row>
    <row r="87" spans="1:4">
      <c r="A87" t="inlineStr">
        <is>
          <t>Albay</t>
        </is>
      </c>
      <c r="B87" t="inlineStr">
        <is>
          <t>Santo Domingo</t>
        </is>
      </c>
      <c r="C87" t="inlineStr">
        <is>
          <t>4508</t>
        </is>
      </c>
      <c r="D87" t="inlineStr">
        <is>
          <t>PHLPost</t>
        </is>
      </c>
    </row>
    <row r="88" spans="1:4">
      <c r="A88" t="inlineStr">
        <is>
          <t>Albay</t>
        </is>
      </c>
      <c r="B88" t="inlineStr">
        <is>
          <t>Tiwi</t>
        </is>
      </c>
      <c r="C88" t="inlineStr">
        <is>
          <t>4513</t>
        </is>
      </c>
      <c r="D88" t="inlineStr">
        <is>
          <t>PHLPost</t>
        </is>
      </c>
    </row>
    <row r="89" spans="1:4">
      <c r="A89" t="inlineStr">
        <is>
          <t>Antique</t>
        </is>
      </c>
      <c r="B89" t="inlineStr">
        <is>
          <t>Anini-Y</t>
        </is>
      </c>
      <c r="C89" t="inlineStr">
        <is>
          <t>5717</t>
        </is>
      </c>
      <c r="D89" t="inlineStr">
        <is>
          <t>BarangayDirectory</t>
        </is>
      </c>
    </row>
    <row r="90" spans="1:4">
      <c r="A90" t="inlineStr">
        <is>
          <t>Antique</t>
        </is>
      </c>
      <c r="B90" t="inlineStr">
        <is>
          <t>Barbaza</t>
        </is>
      </c>
      <c r="C90" t="inlineStr">
        <is>
          <t>5706</t>
        </is>
      </c>
      <c r="D90" t="inlineStr">
        <is>
          <t>BarangayDirectory</t>
        </is>
      </c>
    </row>
    <row r="91" spans="1:4">
      <c r="A91" t="inlineStr">
        <is>
          <t>Antique</t>
        </is>
      </c>
      <c r="B91" t="inlineStr">
        <is>
          <t>Belison</t>
        </is>
      </c>
      <c r="C91" t="inlineStr">
        <is>
          <t>5701</t>
        </is>
      </c>
      <c r="D91" t="inlineStr">
        <is>
          <t>BarangayDirectory</t>
        </is>
      </c>
    </row>
    <row r="92" spans="1:4">
      <c r="A92" t="inlineStr">
        <is>
          <t>Antique</t>
        </is>
      </c>
      <c r="B92" t="inlineStr">
        <is>
          <t>Bugasong</t>
        </is>
      </c>
      <c r="C92" t="inlineStr">
        <is>
          <t>5456</t>
        </is>
      </c>
      <c r="D92" t="inlineStr">
        <is>
          <t>BarangayDirectory</t>
        </is>
      </c>
    </row>
    <row r="93" spans="1:4">
      <c r="A93" t="inlineStr">
        <is>
          <t>Antique</t>
        </is>
      </c>
      <c r="B93" t="inlineStr">
        <is>
          <t>Caluya</t>
        </is>
      </c>
      <c r="C93" t="inlineStr">
        <is>
          <t>5711</t>
        </is>
      </c>
      <c r="D93" t="inlineStr">
        <is>
          <t>BarangayDirectory</t>
        </is>
      </c>
    </row>
    <row r="94" spans="1:4">
      <c r="A94" t="inlineStr">
        <is>
          <t>Antique</t>
        </is>
      </c>
      <c r="B94" t="inlineStr">
        <is>
          <t>Culasi</t>
        </is>
      </c>
      <c r="C94" t="inlineStr">
        <is>
          <t>5708</t>
        </is>
      </c>
      <c r="D94" t="inlineStr">
        <is>
          <t>BarangayDirectory</t>
        </is>
      </c>
    </row>
    <row r="95" spans="1:4">
      <c r="A95" t="inlineStr">
        <is>
          <t>Antique</t>
        </is>
      </c>
      <c r="B95" t="inlineStr">
        <is>
          <t>Hamtic</t>
        </is>
      </c>
      <c r="C95" t="inlineStr">
        <is>
          <t>5715</t>
        </is>
      </c>
      <c r="D95" t="inlineStr">
        <is>
          <t>BarangayDirectory</t>
        </is>
      </c>
    </row>
    <row r="96" spans="1:4">
      <c r="A96" t="inlineStr">
        <is>
          <t>Antique</t>
        </is>
      </c>
      <c r="B96" t="inlineStr">
        <is>
          <t>Laua-An</t>
        </is>
      </c>
      <c r="C96" t="inlineStr">
        <is>
          <t>5705</t>
        </is>
      </c>
      <c r="D96" t="inlineStr">
        <is>
          <t>BarangayDirectory</t>
        </is>
      </c>
    </row>
    <row r="97" spans="1:4">
      <c r="A97" t="inlineStr">
        <is>
          <t>Antique</t>
        </is>
      </c>
      <c r="B97" t="inlineStr">
        <is>
          <t>Libertad</t>
        </is>
      </c>
      <c r="C97" t="inlineStr">
        <is>
          <t>5710</t>
        </is>
      </c>
      <c r="D97" t="inlineStr">
        <is>
          <t>BarangayDirectory</t>
        </is>
      </c>
    </row>
    <row r="98" spans="1:4">
      <c r="A98" t="inlineStr">
        <is>
          <t>Antique</t>
        </is>
      </c>
      <c r="B98" t="inlineStr">
        <is>
          <t>Pandan</t>
        </is>
      </c>
      <c r="C98" t="inlineStr">
        <is>
          <t>5712</t>
        </is>
      </c>
      <c r="D98" t="inlineStr">
        <is>
          <t>BarangayDirectory</t>
        </is>
      </c>
    </row>
    <row r="99" spans="1:4">
      <c r="A99" t="inlineStr">
        <is>
          <t>Antique</t>
        </is>
      </c>
      <c r="B99" t="inlineStr">
        <is>
          <t>Patnongon</t>
        </is>
      </c>
      <c r="C99" t="inlineStr">
        <is>
          <t>5702</t>
        </is>
      </c>
      <c r="D99" t="inlineStr">
        <is>
          <t>BarangayDirectory</t>
        </is>
      </c>
    </row>
    <row r="100" spans="1:4">
      <c r="A100" t="inlineStr">
        <is>
          <t>Antique</t>
        </is>
      </c>
      <c r="B100" t="inlineStr">
        <is>
          <t>San Jose</t>
        </is>
      </c>
      <c r="C100" t="inlineStr">
        <is>
          <t>5700</t>
        </is>
      </c>
      <c r="D100" t="inlineStr">
        <is>
          <t>BarangayDirectory</t>
        </is>
      </c>
    </row>
    <row r="101" spans="1:4">
      <c r="A101" t="inlineStr">
        <is>
          <t>Antique</t>
        </is>
      </c>
      <c r="B101" t="inlineStr">
        <is>
          <t>San Remigio</t>
        </is>
      </c>
      <c r="C101" t="inlineStr">
        <is>
          <t>5714</t>
        </is>
      </c>
      <c r="D101" t="inlineStr">
        <is>
          <t>BarangayDirectory</t>
        </is>
      </c>
    </row>
    <row r="102" spans="1:4">
      <c r="A102" t="inlineStr">
        <is>
          <t>Antique</t>
        </is>
      </c>
      <c r="B102" t="inlineStr">
        <is>
          <t>Sebaste</t>
        </is>
      </c>
      <c r="C102" t="inlineStr">
        <is>
          <t>5709</t>
        </is>
      </c>
      <c r="D102" t="inlineStr">
        <is>
          <t>BarangayDirectory</t>
        </is>
      </c>
    </row>
    <row r="103" spans="1:4">
      <c r="A103" t="inlineStr">
        <is>
          <t>Antique</t>
        </is>
      </c>
      <c r="B103" t="inlineStr">
        <is>
          <t>Sibalom</t>
        </is>
      </c>
      <c r="C103" t="inlineStr">
        <is>
          <t>5713</t>
        </is>
      </c>
      <c r="D103" t="inlineStr">
        <is>
          <t>BarangayDirectory</t>
        </is>
      </c>
    </row>
    <row r="104" spans="1:4">
      <c r="A104" t="inlineStr">
        <is>
          <t>Antique</t>
        </is>
      </c>
      <c r="B104" t="inlineStr">
        <is>
          <t>Tibiao</t>
        </is>
      </c>
      <c r="C104" t="inlineStr">
        <is>
          <t>5700</t>
        </is>
      </c>
      <c r="D104" t="inlineStr">
        <is>
          <t>BarangayDirectory</t>
        </is>
      </c>
    </row>
    <row r="105" spans="1:4">
      <c r="A105" t="inlineStr">
        <is>
          <t>Antique</t>
        </is>
      </c>
      <c r="B105" t="inlineStr">
        <is>
          <t>Tobias Fornier</t>
        </is>
      </c>
      <c r="C105" t="inlineStr">
        <is>
          <t>5716</t>
        </is>
      </c>
      <c r="D105" t="inlineStr">
        <is>
          <t>BarangayDirectory</t>
        </is>
      </c>
    </row>
    <row r="106" spans="1:4">
      <c r="A106" t="inlineStr">
        <is>
          <t>Antique</t>
        </is>
      </c>
      <c r="B106" t="inlineStr">
        <is>
          <t>Valderrama</t>
        </is>
      </c>
      <c r="C106" t="inlineStr">
        <is>
          <t>5703</t>
        </is>
      </c>
      <c r="D106" t="inlineStr">
        <is>
          <t>BarangayDirectory</t>
        </is>
      </c>
    </row>
    <row r="107" spans="1:4">
      <c r="A107" t="inlineStr">
        <is>
          <t>Apayao</t>
        </is>
      </c>
      <c r="B107" t="inlineStr">
        <is>
          <t>Calanasan</t>
        </is>
      </c>
      <c r="C107" t="inlineStr">
        <is>
          <t>3814</t>
        </is>
      </c>
      <c r="D107" t="inlineStr">
        <is>
          <t>PHLPost</t>
        </is>
      </c>
    </row>
    <row r="108" spans="1:4">
      <c r="A108" t="inlineStr">
        <is>
          <t>Apayao</t>
        </is>
      </c>
      <c r="B108" t="inlineStr">
        <is>
          <t>Conner</t>
        </is>
      </c>
      <c r="C108" t="inlineStr">
        <is>
          <t>3807</t>
        </is>
      </c>
      <c r="D108" t="inlineStr">
        <is>
          <t>PHLPost</t>
        </is>
      </c>
    </row>
    <row r="109" spans="1:4">
      <c r="A109" t="inlineStr">
        <is>
          <t>Apayao</t>
        </is>
      </c>
      <c r="B109" t="inlineStr">
        <is>
          <t>Flora</t>
        </is>
      </c>
      <c r="C109" t="inlineStr">
        <is>
          <t>3810</t>
        </is>
      </c>
      <c r="D109" t="inlineStr">
        <is>
          <t>PHLPost</t>
        </is>
      </c>
    </row>
    <row r="110" spans="1:4">
      <c r="A110" t="inlineStr">
        <is>
          <t>Apayao</t>
        </is>
      </c>
      <c r="B110" t="inlineStr">
        <is>
          <t>Kabugao</t>
        </is>
      </c>
      <c r="C110" t="inlineStr">
        <is>
          <t>3809</t>
        </is>
      </c>
      <c r="D110" t="inlineStr">
        <is>
          <t>PHLPost</t>
        </is>
      </c>
    </row>
    <row r="111" spans="1:4">
      <c r="A111" t="inlineStr">
        <is>
          <t>Apayao</t>
        </is>
      </c>
      <c r="B111" t="inlineStr">
        <is>
          <t>Luna</t>
        </is>
      </c>
      <c r="C111" t="inlineStr">
        <is>
          <t>3813</t>
        </is>
      </c>
      <c r="D111" t="inlineStr">
        <is>
          <t>PHLPost</t>
        </is>
      </c>
    </row>
    <row r="112" spans="1:4">
      <c r="A112" t="inlineStr">
        <is>
          <t>Apayao</t>
        </is>
      </c>
      <c r="B112" t="inlineStr">
        <is>
          <t>Pudtol</t>
        </is>
      </c>
      <c r="C112" t="inlineStr">
        <is>
          <t>3812</t>
        </is>
      </c>
      <c r="D112" t="inlineStr">
        <is>
          <t>PHLPost</t>
        </is>
      </c>
    </row>
    <row r="113" spans="1:4">
      <c r="A113" t="inlineStr">
        <is>
          <t>Apayao</t>
        </is>
      </c>
      <c r="B113" t="inlineStr">
        <is>
          <t>Santa Marcela</t>
        </is>
      </c>
      <c r="C113" t="inlineStr">
        <is>
          <t>3811</t>
        </is>
      </c>
      <c r="D113" t="inlineStr">
        <is>
          <t>PHLPost</t>
        </is>
      </c>
    </row>
    <row r="114" spans="1:4">
      <c r="A114" t="inlineStr">
        <is>
          <t>Aurora</t>
        </is>
      </c>
      <c r="B114" t="inlineStr">
        <is>
          <t>Baler</t>
        </is>
      </c>
      <c r="C114" t="inlineStr">
        <is>
          <t>3200</t>
        </is>
      </c>
      <c r="D114" t="inlineStr">
        <is>
          <t>PHLPost</t>
        </is>
      </c>
    </row>
    <row r="115" spans="1:4">
      <c r="A115" t="inlineStr">
        <is>
          <t>Aurora</t>
        </is>
      </c>
      <c r="B115" t="inlineStr">
        <is>
          <t>Casiguran</t>
        </is>
      </c>
      <c r="C115" t="inlineStr">
        <is>
          <t>3204</t>
        </is>
      </c>
      <c r="D115" t="inlineStr">
        <is>
          <t>PHLPost</t>
        </is>
      </c>
    </row>
    <row r="116" spans="1:4">
      <c r="A116" t="inlineStr">
        <is>
          <t>Aurora</t>
        </is>
      </c>
      <c r="B116" t="inlineStr">
        <is>
          <t>Dilasag</t>
        </is>
      </c>
      <c r="C116" t="inlineStr">
        <is>
          <t>3205</t>
        </is>
      </c>
      <c r="D116" t="inlineStr">
        <is>
          <t>PHLPost</t>
        </is>
      </c>
    </row>
    <row r="117" spans="1:4">
      <c r="A117" t="inlineStr">
        <is>
          <t>Aurora</t>
        </is>
      </c>
      <c r="B117" t="inlineStr">
        <is>
          <t>Dinalungan</t>
        </is>
      </c>
      <c r="C117" t="inlineStr">
        <is>
          <t>3206</t>
        </is>
      </c>
      <c r="D117" t="inlineStr">
        <is>
          <t>PHLPost</t>
        </is>
      </c>
    </row>
    <row r="118" spans="1:4">
      <c r="A118" t="inlineStr">
        <is>
          <t>Aurora</t>
        </is>
      </c>
      <c r="B118" t="inlineStr">
        <is>
          <t>Dingalan</t>
        </is>
      </c>
      <c r="C118" t="inlineStr">
        <is>
          <t>3207</t>
        </is>
      </c>
      <c r="D118" t="inlineStr">
        <is>
          <t>PHLPost</t>
        </is>
      </c>
    </row>
    <row r="119" spans="1:4">
      <c r="A119" t="inlineStr">
        <is>
          <t>Aurora</t>
        </is>
      </c>
      <c r="B119" t="inlineStr">
        <is>
          <t>Dipaculao</t>
        </is>
      </c>
      <c r="C119" t="inlineStr">
        <is>
          <t>3203</t>
        </is>
      </c>
      <c r="D119" t="inlineStr">
        <is>
          <t>PHLPost</t>
        </is>
      </c>
    </row>
    <row r="120" spans="1:4">
      <c r="A120" t="inlineStr">
        <is>
          <t>Aurora</t>
        </is>
      </c>
      <c r="B120" t="inlineStr">
        <is>
          <t>Maria Aurora</t>
        </is>
      </c>
      <c r="C120" t="inlineStr">
        <is>
          <t>3202</t>
        </is>
      </c>
      <c r="D120" t="inlineStr">
        <is>
          <t>PHLPost</t>
        </is>
      </c>
    </row>
    <row r="121" spans="1:4">
      <c r="A121" t="inlineStr">
        <is>
          <t>Aurora</t>
        </is>
      </c>
      <c r="B121" t="inlineStr">
        <is>
          <t>San Luis</t>
        </is>
      </c>
      <c r="C121" t="inlineStr">
        <is>
          <t>3201</t>
        </is>
      </c>
      <c r="D121" t="inlineStr">
        <is>
          <t>PHLPost</t>
        </is>
      </c>
    </row>
    <row r="122" spans="1:4">
      <c r="A122" t="inlineStr">
        <is>
          <t>Basilan</t>
        </is>
      </c>
      <c r="B122" t="inlineStr">
        <is>
          <t>Akbar</t>
        </is>
      </c>
      <c r="D122" t="inlineStr">
        <is>
          <t>Needs verification</t>
        </is>
      </c>
    </row>
    <row r="123" spans="1:4">
      <c r="A123" t="inlineStr">
        <is>
          <t>Basilan</t>
        </is>
      </c>
      <c r="B123" t="inlineStr">
        <is>
          <t>Al-Barka</t>
        </is>
      </c>
      <c r="D123" t="inlineStr">
        <is>
          <t>Needs verification</t>
        </is>
      </c>
    </row>
    <row r="124" spans="1:4">
      <c r="A124" t="inlineStr">
        <is>
          <t>Basilan</t>
        </is>
      </c>
      <c r="B124" t="inlineStr">
        <is>
          <t>City of Lamitan</t>
        </is>
      </c>
      <c r="C124" t="inlineStr">
        <is>
          <t>7302</t>
        </is>
      </c>
      <c r="D124" t="inlineStr">
        <is>
          <t>BarangayDirectory</t>
        </is>
      </c>
    </row>
    <row r="125" spans="1:4">
      <c r="A125" t="inlineStr">
        <is>
          <t>Basilan</t>
        </is>
      </c>
      <c r="B125" t="inlineStr">
        <is>
          <t>Hadji Mohammad Ajul</t>
        </is>
      </c>
      <c r="D125" t="inlineStr">
        <is>
          <t>Needs verification</t>
        </is>
      </c>
    </row>
    <row r="126" spans="1:4">
      <c r="A126" t="inlineStr">
        <is>
          <t>Basilan</t>
        </is>
      </c>
      <c r="B126" t="inlineStr">
        <is>
          <t>Hadji Muhtamad</t>
        </is>
      </c>
      <c r="D126" t="inlineStr">
        <is>
          <t>Needs verification</t>
        </is>
      </c>
    </row>
    <row r="127" spans="1:4">
      <c r="A127" t="inlineStr">
        <is>
          <t>Basilan</t>
        </is>
      </c>
      <c r="B127" t="inlineStr">
        <is>
          <t>Lantawan</t>
        </is>
      </c>
      <c r="C127" t="inlineStr">
        <is>
          <t>7301</t>
        </is>
      </c>
      <c r="D127" t="inlineStr">
        <is>
          <t>BarangayDirectory</t>
        </is>
      </c>
    </row>
    <row r="128" spans="1:4">
      <c r="A128" t="inlineStr">
        <is>
          <t>Basilan</t>
        </is>
      </c>
      <c r="B128" t="inlineStr">
        <is>
          <t>Maluso</t>
        </is>
      </c>
      <c r="C128" t="inlineStr">
        <is>
          <t>7303</t>
        </is>
      </c>
      <c r="D128" t="inlineStr">
        <is>
          <t>BarangayDirectory</t>
        </is>
      </c>
    </row>
    <row r="129" spans="1:4">
      <c r="A129" t="inlineStr">
        <is>
          <t>Basilan</t>
        </is>
      </c>
      <c r="B129" t="inlineStr">
        <is>
          <t>Sumisip</t>
        </is>
      </c>
      <c r="C129" t="inlineStr">
        <is>
          <t>7305</t>
        </is>
      </c>
      <c r="D129" t="inlineStr">
        <is>
          <t>BarangayDirectory</t>
        </is>
      </c>
    </row>
    <row r="130" spans="1:4">
      <c r="A130" t="inlineStr">
        <is>
          <t>Basilan</t>
        </is>
      </c>
      <c r="B130" t="inlineStr">
        <is>
          <t>Tabuan-Lasa</t>
        </is>
      </c>
      <c r="D130" t="inlineStr">
        <is>
          <t>Needs verification</t>
        </is>
      </c>
    </row>
    <row r="131" spans="1:4">
      <c r="A131" t="inlineStr">
        <is>
          <t>Basilan</t>
        </is>
      </c>
      <c r="B131" t="inlineStr">
        <is>
          <t>Tipo-Tipo</t>
        </is>
      </c>
      <c r="C131" t="inlineStr">
        <is>
          <t>7304</t>
        </is>
      </c>
      <c r="D131" t="inlineStr">
        <is>
          <t>BarangayDirectory</t>
        </is>
      </c>
    </row>
    <row r="132" spans="1:4">
      <c r="A132" t="inlineStr">
        <is>
          <t>Basilan</t>
        </is>
      </c>
      <c r="B132" t="inlineStr">
        <is>
          <t>Tuburan</t>
        </is>
      </c>
      <c r="C132" t="inlineStr">
        <is>
          <t>7306</t>
        </is>
      </c>
      <c r="D132" t="inlineStr">
        <is>
          <t>BarangayDirectory</t>
        </is>
      </c>
    </row>
    <row r="133" spans="1:4">
      <c r="A133" t="inlineStr">
        <is>
          <t>Basilan</t>
        </is>
      </c>
      <c r="B133" t="inlineStr">
        <is>
          <t>Ungkaya Pukan</t>
        </is>
      </c>
      <c r="D133" t="inlineStr">
        <is>
          <t>Needs verification</t>
        </is>
      </c>
    </row>
    <row r="134" spans="1:4">
      <c r="A134" t="inlineStr">
        <is>
          <t>Bataan</t>
        </is>
      </c>
      <c r="B134" t="inlineStr">
        <is>
          <t>Abucay</t>
        </is>
      </c>
      <c r="C134" t="inlineStr">
        <is>
          <t>2114</t>
        </is>
      </c>
      <c r="D134" t="inlineStr">
        <is>
          <t>PHLPost</t>
        </is>
      </c>
    </row>
    <row r="135" spans="1:4">
      <c r="A135" t="inlineStr">
        <is>
          <t>Bataan</t>
        </is>
      </c>
      <c r="B135" t="inlineStr">
        <is>
          <t>Bagac</t>
        </is>
      </c>
      <c r="C135" t="inlineStr">
        <is>
          <t>2107</t>
        </is>
      </c>
      <c r="D135" t="inlineStr">
        <is>
          <t>PHLPost</t>
        </is>
      </c>
    </row>
    <row r="136" spans="1:4">
      <c r="A136" t="inlineStr">
        <is>
          <t>Bataan</t>
        </is>
      </c>
      <c r="B136" t="inlineStr">
        <is>
          <t>City of Balanga</t>
        </is>
      </c>
      <c r="C136" t="inlineStr">
        <is>
          <t>2100</t>
        </is>
      </c>
      <c r="D136" t="inlineStr">
        <is>
          <t>PHLPost</t>
        </is>
      </c>
    </row>
    <row r="137" spans="1:4">
      <c r="A137" t="inlineStr">
        <is>
          <t>Bataan</t>
        </is>
      </c>
      <c r="B137" t="inlineStr">
        <is>
          <t>Dinalupihan</t>
        </is>
      </c>
      <c r="C137" t="inlineStr">
        <is>
          <t>2110</t>
        </is>
      </c>
      <c r="D137" t="inlineStr">
        <is>
          <t>PHLPost</t>
        </is>
      </c>
    </row>
    <row r="138" spans="1:4">
      <c r="A138" t="inlineStr">
        <is>
          <t>Bataan</t>
        </is>
      </c>
      <c r="B138" t="inlineStr">
        <is>
          <t>Hermosa</t>
        </is>
      </c>
      <c r="C138" t="inlineStr">
        <is>
          <t>2111</t>
        </is>
      </c>
      <c r="D138" t="inlineStr">
        <is>
          <t>PHLPost</t>
        </is>
      </c>
    </row>
    <row r="139" spans="1:4">
      <c r="A139" t="inlineStr">
        <is>
          <t>Bataan</t>
        </is>
      </c>
      <c r="B139" t="inlineStr">
        <is>
          <t>Limay</t>
        </is>
      </c>
      <c r="C139" t="inlineStr">
        <is>
          <t>2103</t>
        </is>
      </c>
      <c r="D139" t="inlineStr">
        <is>
          <t>PHLPost</t>
        </is>
      </c>
    </row>
    <row r="140" spans="1:4">
      <c r="A140" t="inlineStr">
        <is>
          <t>Bataan</t>
        </is>
      </c>
      <c r="B140" t="inlineStr">
        <is>
          <t>Mariveles</t>
        </is>
      </c>
      <c r="C140" t="inlineStr">
        <is>
          <t>2105</t>
        </is>
      </c>
      <c r="D140" t="inlineStr">
        <is>
          <t>BarangayDirectory</t>
        </is>
      </c>
    </row>
    <row r="141" spans="1:4">
      <c r="A141" t="inlineStr">
        <is>
          <t>Bataan</t>
        </is>
      </c>
      <c r="B141" t="inlineStr">
        <is>
          <t>Morong</t>
        </is>
      </c>
      <c r="C141" t="inlineStr">
        <is>
          <t>2108</t>
        </is>
      </c>
      <c r="D141" t="inlineStr">
        <is>
          <t>BarangayDirectory</t>
        </is>
      </c>
    </row>
    <row r="142" spans="1:4">
      <c r="A142" t="inlineStr">
        <is>
          <t>Bataan</t>
        </is>
      </c>
      <c r="B142" t="inlineStr">
        <is>
          <t>Orani</t>
        </is>
      </c>
      <c r="C142" t="inlineStr">
        <is>
          <t>2112</t>
        </is>
      </c>
      <c r="D142" t="inlineStr">
        <is>
          <t>BarangayDirectory</t>
        </is>
      </c>
    </row>
    <row r="143" spans="1:4">
      <c r="A143" t="inlineStr">
        <is>
          <t>Bataan</t>
        </is>
      </c>
      <c r="B143" t="inlineStr">
        <is>
          <t>Orion</t>
        </is>
      </c>
      <c r="C143" t="inlineStr">
        <is>
          <t>2102</t>
        </is>
      </c>
      <c r="D143" t="inlineStr">
        <is>
          <t>BarangayDirectory</t>
        </is>
      </c>
    </row>
    <row r="144" spans="1:4">
      <c r="A144" t="inlineStr">
        <is>
          <t>Bataan</t>
        </is>
      </c>
      <c r="B144" t="inlineStr">
        <is>
          <t>Pilar</t>
        </is>
      </c>
      <c r="C144" t="inlineStr">
        <is>
          <t>2101</t>
        </is>
      </c>
      <c r="D144" t="inlineStr">
        <is>
          <t>BarangayDirectory</t>
        </is>
      </c>
    </row>
    <row r="145" spans="1:4">
      <c r="A145" t="inlineStr">
        <is>
          <t>Bataan</t>
        </is>
      </c>
      <c r="B145" t="inlineStr">
        <is>
          <t>Samal</t>
        </is>
      </c>
      <c r="C145" t="inlineStr">
        <is>
          <t>2113</t>
        </is>
      </c>
      <c r="D145" t="inlineStr">
        <is>
          <t>BarangayDirectory</t>
        </is>
      </c>
    </row>
    <row r="146" spans="1:4">
      <c r="A146" t="inlineStr">
        <is>
          <t>Batanes</t>
        </is>
      </c>
      <c r="B146" t="inlineStr">
        <is>
          <t>Basco</t>
        </is>
      </c>
      <c r="C146" t="inlineStr">
        <is>
          <t>3900</t>
        </is>
      </c>
      <c r="D146" t="inlineStr">
        <is>
          <t>PHLPost</t>
        </is>
      </c>
    </row>
    <row r="147" spans="1:4">
      <c r="A147" t="inlineStr">
        <is>
          <t>Batanes</t>
        </is>
      </c>
      <c r="B147" t="inlineStr">
        <is>
          <t>Itbayat</t>
        </is>
      </c>
      <c r="C147" t="inlineStr">
        <is>
          <t>3905</t>
        </is>
      </c>
      <c r="D147" t="inlineStr">
        <is>
          <t>PHLPost</t>
        </is>
      </c>
    </row>
    <row r="148" spans="1:4">
      <c r="A148" t="inlineStr">
        <is>
          <t>Batanes</t>
        </is>
      </c>
      <c r="B148" t="inlineStr">
        <is>
          <t>Ivana</t>
        </is>
      </c>
      <c r="C148" t="inlineStr">
        <is>
          <t>3902</t>
        </is>
      </c>
      <c r="D148" t="inlineStr">
        <is>
          <t>PHLPost</t>
        </is>
      </c>
    </row>
    <row r="149" spans="1:4">
      <c r="A149" t="inlineStr">
        <is>
          <t>Batanes</t>
        </is>
      </c>
      <c r="B149" t="inlineStr">
        <is>
          <t>Mahatao</t>
        </is>
      </c>
      <c r="C149" t="inlineStr">
        <is>
          <t>3901</t>
        </is>
      </c>
      <c r="D149" t="inlineStr">
        <is>
          <t>PHLPost</t>
        </is>
      </c>
    </row>
    <row r="150" spans="1:4">
      <c r="A150" t="inlineStr">
        <is>
          <t>Batanes</t>
        </is>
      </c>
      <c r="B150" t="inlineStr">
        <is>
          <t>Sabtang</t>
        </is>
      </c>
      <c r="C150" t="inlineStr">
        <is>
          <t>3904</t>
        </is>
      </c>
      <c r="D150" t="inlineStr">
        <is>
          <t>PHLPost</t>
        </is>
      </c>
    </row>
    <row r="151" spans="1:4">
      <c r="A151" t="inlineStr">
        <is>
          <t>Batanes</t>
        </is>
      </c>
      <c r="B151" t="inlineStr">
        <is>
          <t>Uyugan</t>
        </is>
      </c>
      <c r="C151" t="inlineStr">
        <is>
          <t>3903</t>
        </is>
      </c>
      <c r="D151" t="inlineStr">
        <is>
          <t>PHLPost</t>
        </is>
      </c>
    </row>
    <row r="152" spans="1:4">
      <c r="A152" t="inlineStr">
        <is>
          <t>Batangas</t>
        </is>
      </c>
      <c r="B152" t="inlineStr">
        <is>
          <t>Agoncillo</t>
        </is>
      </c>
      <c r="C152" t="inlineStr">
        <is>
          <t>4211</t>
        </is>
      </c>
      <c r="D152" t="inlineStr">
        <is>
          <t>PHLPost</t>
        </is>
      </c>
    </row>
    <row r="153" spans="1:4">
      <c r="A153" t="inlineStr">
        <is>
          <t>Batangas</t>
        </is>
      </c>
      <c r="B153" t="inlineStr">
        <is>
          <t>Alitagtag</t>
        </is>
      </c>
      <c r="C153" t="inlineStr">
        <is>
          <t>4205</t>
        </is>
      </c>
      <c r="D153" t="inlineStr">
        <is>
          <t>PHLPost</t>
        </is>
      </c>
    </row>
    <row r="154" spans="1:4">
      <c r="A154" t="inlineStr">
        <is>
          <t>Batangas</t>
        </is>
      </c>
      <c r="B154" t="inlineStr">
        <is>
          <t>Balayan</t>
        </is>
      </c>
      <c r="C154" t="inlineStr">
        <is>
          <t>4213</t>
        </is>
      </c>
      <c r="D154" t="inlineStr">
        <is>
          <t>PHLPost</t>
        </is>
      </c>
    </row>
    <row r="155" spans="1:4">
      <c r="A155" t="inlineStr">
        <is>
          <t>Batangas</t>
        </is>
      </c>
      <c r="B155" t="inlineStr">
        <is>
          <t>Balete</t>
        </is>
      </c>
      <c r="C155" t="inlineStr">
        <is>
          <t>4219</t>
        </is>
      </c>
      <c r="D155" t="inlineStr">
        <is>
          <t>PHLPost</t>
        </is>
      </c>
    </row>
    <row r="156" spans="1:4">
      <c r="A156" t="inlineStr">
        <is>
          <t>Batangas</t>
        </is>
      </c>
      <c r="B156" t="inlineStr">
        <is>
          <t>Batangas City</t>
        </is>
      </c>
      <c r="C156" t="inlineStr">
        <is>
          <t>4200</t>
        </is>
      </c>
      <c r="D156" t="inlineStr">
        <is>
          <t>PHLPost</t>
        </is>
      </c>
    </row>
    <row r="157" spans="1:4">
      <c r="A157" t="inlineStr">
        <is>
          <t>Batangas</t>
        </is>
      </c>
      <c r="B157" t="inlineStr">
        <is>
          <t>Bauan</t>
        </is>
      </c>
      <c r="C157" t="inlineStr">
        <is>
          <t>4201</t>
        </is>
      </c>
      <c r="D157" t="inlineStr">
        <is>
          <t>PHLPost</t>
        </is>
      </c>
    </row>
    <row r="158" spans="1:4">
      <c r="A158" t="inlineStr">
        <is>
          <t>Batangas</t>
        </is>
      </c>
      <c r="B158" t="inlineStr">
        <is>
          <t>Calatagan</t>
        </is>
      </c>
      <c r="C158" t="inlineStr">
        <is>
          <t>4215</t>
        </is>
      </c>
      <c r="D158" t="inlineStr">
        <is>
          <t>PHLPost</t>
        </is>
      </c>
    </row>
    <row r="159" spans="1:4">
      <c r="A159" t="inlineStr">
        <is>
          <t>Batangas</t>
        </is>
      </c>
      <c r="B159" t="inlineStr">
        <is>
          <t>City of Calaca</t>
        </is>
      </c>
      <c r="C159" t="inlineStr">
        <is>
          <t>4212</t>
        </is>
      </c>
      <c r="D159" t="inlineStr">
        <is>
          <t>PHLPost</t>
        </is>
      </c>
    </row>
    <row r="160" spans="1:4">
      <c r="A160" t="inlineStr">
        <is>
          <t>Batangas</t>
        </is>
      </c>
      <c r="B160" t="inlineStr">
        <is>
          <t>City of Lipa</t>
        </is>
      </c>
      <c r="C160" t="inlineStr">
        <is>
          <t>4217</t>
        </is>
      </c>
      <c r="D160" t="inlineStr">
        <is>
          <t>PHLPost</t>
        </is>
      </c>
    </row>
    <row r="161" spans="1:4">
      <c r="A161" t="inlineStr">
        <is>
          <t>Batangas</t>
        </is>
      </c>
      <c r="B161" t="inlineStr">
        <is>
          <t>City of Sto. Tomas</t>
        </is>
      </c>
      <c r="C161" t="inlineStr">
        <is>
          <t>4234</t>
        </is>
      </c>
      <c r="D161" t="inlineStr">
        <is>
          <t>PHLPost</t>
        </is>
      </c>
    </row>
    <row r="162" spans="1:4">
      <c r="A162" t="inlineStr">
        <is>
          <t>Batangas</t>
        </is>
      </c>
      <c r="B162" t="inlineStr">
        <is>
          <t>City of Tanauan</t>
        </is>
      </c>
      <c r="C162" t="inlineStr">
        <is>
          <t>4232</t>
        </is>
      </c>
      <c r="D162" t="inlineStr">
        <is>
          <t>PHLPost</t>
        </is>
      </c>
    </row>
    <row r="163" spans="1:4">
      <c r="A163" t="inlineStr">
        <is>
          <t>Batangas</t>
        </is>
      </c>
      <c r="B163" t="inlineStr">
        <is>
          <t>Cuenca</t>
        </is>
      </c>
      <c r="C163" t="inlineStr">
        <is>
          <t>4222</t>
        </is>
      </c>
      <c r="D163" t="inlineStr">
        <is>
          <t>PHLPost</t>
        </is>
      </c>
    </row>
    <row r="164" spans="1:4">
      <c r="A164" t="inlineStr">
        <is>
          <t>Batangas</t>
        </is>
      </c>
      <c r="B164" t="inlineStr">
        <is>
          <t>Ibaan</t>
        </is>
      </c>
      <c r="C164" t="inlineStr">
        <is>
          <t>4230</t>
        </is>
      </c>
      <c r="D164" t="inlineStr">
        <is>
          <t>PHLPost</t>
        </is>
      </c>
    </row>
    <row r="165" spans="1:4">
      <c r="A165" t="inlineStr">
        <is>
          <t>Batangas</t>
        </is>
      </c>
      <c r="B165" t="inlineStr">
        <is>
          <t>Laurel</t>
        </is>
      </c>
      <c r="C165" t="inlineStr">
        <is>
          <t>4221</t>
        </is>
      </c>
      <c r="D165" t="inlineStr">
        <is>
          <t>PHLPost</t>
        </is>
      </c>
    </row>
    <row r="166" spans="1:4">
      <c r="A166" t="inlineStr">
        <is>
          <t>Batangas</t>
        </is>
      </c>
      <c r="B166" t="inlineStr">
        <is>
          <t>Lemery</t>
        </is>
      </c>
      <c r="C166" t="inlineStr">
        <is>
          <t>4209</t>
        </is>
      </c>
      <c r="D166" t="inlineStr">
        <is>
          <t>PHLPost</t>
        </is>
      </c>
    </row>
    <row r="167" spans="1:4">
      <c r="A167" t="inlineStr">
        <is>
          <t>Batangas</t>
        </is>
      </c>
      <c r="B167" t="inlineStr">
        <is>
          <t>Lian</t>
        </is>
      </c>
      <c r="C167" t="inlineStr">
        <is>
          <t>4216</t>
        </is>
      </c>
      <c r="D167" t="inlineStr">
        <is>
          <t>PHLPost</t>
        </is>
      </c>
    </row>
    <row r="168" spans="1:4">
      <c r="A168" t="inlineStr">
        <is>
          <t>Batangas</t>
        </is>
      </c>
      <c r="B168" t="inlineStr">
        <is>
          <t>Lobo</t>
        </is>
      </c>
      <c r="C168" t="inlineStr">
        <is>
          <t>4229</t>
        </is>
      </c>
      <c r="D168" t="inlineStr">
        <is>
          <t>PHLPost</t>
        </is>
      </c>
    </row>
    <row r="169" spans="1:4">
      <c r="A169" t="inlineStr">
        <is>
          <t>Batangas</t>
        </is>
      </c>
      <c r="B169" t="inlineStr">
        <is>
          <t>Mabini</t>
        </is>
      </c>
      <c r="C169" t="inlineStr">
        <is>
          <t>4202</t>
        </is>
      </c>
      <c r="D169" t="inlineStr">
        <is>
          <t>PHLPost</t>
        </is>
      </c>
    </row>
    <row r="170" spans="1:4">
      <c r="A170" t="inlineStr">
        <is>
          <t>Batangas</t>
        </is>
      </c>
      <c r="B170" t="inlineStr">
        <is>
          <t>Malvar</t>
        </is>
      </c>
      <c r="C170" t="inlineStr">
        <is>
          <t>4233</t>
        </is>
      </c>
      <c r="D170" t="inlineStr">
        <is>
          <t>PHLPost</t>
        </is>
      </c>
    </row>
    <row r="171" spans="1:4">
      <c r="A171" t="inlineStr">
        <is>
          <t>Batangas</t>
        </is>
      </c>
      <c r="B171" t="inlineStr">
        <is>
          <t>Mataasnakahoy</t>
        </is>
      </c>
      <c r="C171" t="inlineStr">
        <is>
          <t>4223</t>
        </is>
      </c>
      <c r="D171" t="inlineStr">
        <is>
          <t>BarangayDirectory</t>
        </is>
      </c>
    </row>
    <row r="172" spans="1:4">
      <c r="A172" t="inlineStr">
        <is>
          <t>Batangas</t>
        </is>
      </c>
      <c r="B172" t="inlineStr">
        <is>
          <t>Nasugbu</t>
        </is>
      </c>
      <c r="C172" t="inlineStr">
        <is>
          <t>4231</t>
        </is>
      </c>
      <c r="D172" t="inlineStr">
        <is>
          <t>PHLPost</t>
        </is>
      </c>
    </row>
    <row r="173" spans="1:4">
      <c r="A173" t="inlineStr">
        <is>
          <t>Batangas</t>
        </is>
      </c>
      <c r="B173" t="inlineStr">
        <is>
          <t>Padre Garcia</t>
        </is>
      </c>
      <c r="C173" t="inlineStr">
        <is>
          <t>4224</t>
        </is>
      </c>
      <c r="D173" t="inlineStr">
        <is>
          <t>PHLPost</t>
        </is>
      </c>
    </row>
    <row r="174" spans="1:4">
      <c r="A174" t="inlineStr">
        <is>
          <t>Batangas</t>
        </is>
      </c>
      <c r="B174" t="inlineStr">
        <is>
          <t>Rosario</t>
        </is>
      </c>
      <c r="C174" t="inlineStr">
        <is>
          <t>4225</t>
        </is>
      </c>
      <c r="D174" t="inlineStr">
        <is>
          <t>PHLPost</t>
        </is>
      </c>
    </row>
    <row r="175" spans="1:4">
      <c r="A175" t="inlineStr">
        <is>
          <t>Batangas</t>
        </is>
      </c>
      <c r="B175" t="inlineStr">
        <is>
          <t>San Jose</t>
        </is>
      </c>
      <c r="C175" t="inlineStr">
        <is>
          <t>4227</t>
        </is>
      </c>
      <c r="D175" t="inlineStr">
        <is>
          <t>PHLPost</t>
        </is>
      </c>
    </row>
    <row r="176" spans="1:4">
      <c r="A176" t="inlineStr">
        <is>
          <t>Batangas</t>
        </is>
      </c>
      <c r="B176" t="inlineStr">
        <is>
          <t>San Juan</t>
        </is>
      </c>
      <c r="C176" t="inlineStr">
        <is>
          <t>4226</t>
        </is>
      </c>
      <c r="D176" t="inlineStr">
        <is>
          <t>PHLPost</t>
        </is>
      </c>
    </row>
    <row r="177" spans="1:4">
      <c r="A177" t="inlineStr">
        <is>
          <t>Batangas</t>
        </is>
      </c>
      <c r="B177" t="inlineStr">
        <is>
          <t>San Luis</t>
        </is>
      </c>
      <c r="C177" t="inlineStr">
        <is>
          <t>4210</t>
        </is>
      </c>
      <c r="D177" t="inlineStr">
        <is>
          <t>PHLPost</t>
        </is>
      </c>
    </row>
    <row r="178" spans="1:4">
      <c r="A178" t="inlineStr">
        <is>
          <t>Batangas</t>
        </is>
      </c>
      <c r="B178" t="inlineStr">
        <is>
          <t>San Nicolas</t>
        </is>
      </c>
      <c r="C178" t="inlineStr">
        <is>
          <t>4207</t>
        </is>
      </c>
      <c r="D178" t="inlineStr">
        <is>
          <t>PHLPost</t>
        </is>
      </c>
    </row>
    <row r="179" spans="1:4">
      <c r="A179" t="inlineStr">
        <is>
          <t>Batangas</t>
        </is>
      </c>
      <c r="B179" t="inlineStr">
        <is>
          <t>San Pascual</t>
        </is>
      </c>
      <c r="C179" t="inlineStr">
        <is>
          <t>4204</t>
        </is>
      </c>
      <c r="D179" t="inlineStr">
        <is>
          <t>PHLPost</t>
        </is>
      </c>
    </row>
    <row r="180" spans="1:4">
      <c r="A180" t="inlineStr">
        <is>
          <t>Batangas</t>
        </is>
      </c>
      <c r="B180" t="inlineStr">
        <is>
          <t>Santa Teresita</t>
        </is>
      </c>
      <c r="C180" t="inlineStr">
        <is>
          <t>4206</t>
        </is>
      </c>
      <c r="D180" t="inlineStr">
        <is>
          <t>PHLPost</t>
        </is>
      </c>
    </row>
    <row r="181" spans="1:4">
      <c r="A181" t="inlineStr">
        <is>
          <t>Batangas</t>
        </is>
      </c>
      <c r="B181" t="inlineStr">
        <is>
          <t>Taal</t>
        </is>
      </c>
      <c r="C181" t="inlineStr">
        <is>
          <t>4208</t>
        </is>
      </c>
      <c r="D181" t="inlineStr">
        <is>
          <t>PHLPost</t>
        </is>
      </c>
    </row>
    <row r="182" spans="1:4">
      <c r="A182" t="inlineStr">
        <is>
          <t>Batangas</t>
        </is>
      </c>
      <c r="B182" t="inlineStr">
        <is>
          <t>Talisay</t>
        </is>
      </c>
      <c r="C182" t="inlineStr">
        <is>
          <t>4220</t>
        </is>
      </c>
      <c r="D182" t="inlineStr">
        <is>
          <t>PHLPost</t>
        </is>
      </c>
    </row>
    <row r="183" spans="1:4">
      <c r="A183" t="inlineStr">
        <is>
          <t>Batangas</t>
        </is>
      </c>
      <c r="B183" t="inlineStr">
        <is>
          <t>Taysan</t>
        </is>
      </c>
      <c r="C183" t="inlineStr">
        <is>
          <t>4228</t>
        </is>
      </c>
      <c r="D183" t="inlineStr">
        <is>
          <t>PHLPost</t>
        </is>
      </c>
    </row>
    <row r="184" spans="1:4">
      <c r="A184" t="inlineStr">
        <is>
          <t>Batangas</t>
        </is>
      </c>
      <c r="B184" t="inlineStr">
        <is>
          <t>Tingloy</t>
        </is>
      </c>
      <c r="C184" t="inlineStr">
        <is>
          <t>4203</t>
        </is>
      </c>
      <c r="D184" t="inlineStr">
        <is>
          <t>PHLPost</t>
        </is>
      </c>
    </row>
    <row r="185" spans="1:4">
      <c r="A185" t="inlineStr">
        <is>
          <t>Batangas</t>
        </is>
      </c>
      <c r="B185" t="inlineStr">
        <is>
          <t>Tuy</t>
        </is>
      </c>
      <c r="C185" t="inlineStr">
        <is>
          <t>4214</t>
        </is>
      </c>
      <c r="D185" t="inlineStr">
        <is>
          <t>PHLPost</t>
        </is>
      </c>
    </row>
    <row r="186" spans="1:4">
      <c r="A186" t="inlineStr">
        <is>
          <t>Benguet</t>
        </is>
      </c>
      <c r="B186" t="inlineStr">
        <is>
          <t>Atok</t>
        </is>
      </c>
      <c r="C186" t="inlineStr">
        <is>
          <t>2612</t>
        </is>
      </c>
      <c r="D186" t="inlineStr">
        <is>
          <t>PHLPost</t>
        </is>
      </c>
    </row>
    <row r="187" spans="1:4">
      <c r="A187" t="inlineStr">
        <is>
          <t>Benguet</t>
        </is>
      </c>
      <c r="B187" t="inlineStr">
        <is>
          <t>Bakun</t>
        </is>
      </c>
      <c r="C187" t="inlineStr">
        <is>
          <t>2610</t>
        </is>
      </c>
      <c r="D187" t="inlineStr">
        <is>
          <t>PHLPost</t>
        </is>
      </c>
    </row>
    <row r="188" spans="1:4">
      <c r="A188" t="inlineStr">
        <is>
          <t>Benguet</t>
        </is>
      </c>
      <c r="B188" t="inlineStr">
        <is>
          <t>Bokod</t>
        </is>
      </c>
      <c r="C188" t="inlineStr">
        <is>
          <t>2605</t>
        </is>
      </c>
      <c r="D188" t="inlineStr">
        <is>
          <t>PHLPost</t>
        </is>
      </c>
    </row>
    <row r="189" spans="1:4">
      <c r="A189" t="inlineStr">
        <is>
          <t>Benguet</t>
        </is>
      </c>
      <c r="B189" t="inlineStr">
        <is>
          <t>Buguias</t>
        </is>
      </c>
      <c r="C189" t="inlineStr">
        <is>
          <t>2607</t>
        </is>
      </c>
      <c r="D189" t="inlineStr">
        <is>
          <t>PHLPost</t>
        </is>
      </c>
    </row>
    <row r="190" spans="1:4">
      <c r="A190" t="inlineStr">
        <is>
          <t>Benguet</t>
        </is>
      </c>
      <c r="B190" t="inlineStr">
        <is>
          <t>Itogon</t>
        </is>
      </c>
      <c r="C190" t="inlineStr">
        <is>
          <t>2604</t>
        </is>
      </c>
      <c r="D190" t="inlineStr">
        <is>
          <t>PHLPost</t>
        </is>
      </c>
    </row>
    <row r="191" spans="1:4">
      <c r="A191" t="inlineStr">
        <is>
          <t>Benguet</t>
        </is>
      </c>
      <c r="B191" t="inlineStr">
        <is>
          <t>Kabayan</t>
        </is>
      </c>
      <c r="C191" t="inlineStr">
        <is>
          <t>2606</t>
        </is>
      </c>
      <c r="D191" t="inlineStr">
        <is>
          <t>PHLPost</t>
        </is>
      </c>
    </row>
    <row r="192" spans="1:4">
      <c r="A192" t="inlineStr">
        <is>
          <t>Benguet</t>
        </is>
      </c>
      <c r="B192" t="inlineStr">
        <is>
          <t>Kapangan</t>
        </is>
      </c>
      <c r="C192" t="inlineStr">
        <is>
          <t>2613</t>
        </is>
      </c>
      <c r="D192" t="inlineStr">
        <is>
          <t>PHLPost</t>
        </is>
      </c>
    </row>
    <row r="193" spans="1:4">
      <c r="A193" t="inlineStr">
        <is>
          <t>Benguet</t>
        </is>
      </c>
      <c r="B193" t="inlineStr">
        <is>
          <t>Kibungan</t>
        </is>
      </c>
      <c r="C193" t="inlineStr">
        <is>
          <t>2611</t>
        </is>
      </c>
      <c r="D193" t="inlineStr">
        <is>
          <t>PHLPost</t>
        </is>
      </c>
    </row>
    <row r="194" spans="1:4">
      <c r="A194" t="inlineStr">
        <is>
          <t>Benguet</t>
        </is>
      </c>
      <c r="B194" t="inlineStr">
        <is>
          <t>La Trinidad</t>
        </is>
      </c>
      <c r="C194" t="inlineStr">
        <is>
          <t>2601</t>
        </is>
      </c>
      <c r="D194" t="inlineStr">
        <is>
          <t>PHLPost</t>
        </is>
      </c>
    </row>
    <row r="195" spans="1:4">
      <c r="A195" t="inlineStr">
        <is>
          <t>Benguet</t>
        </is>
      </c>
      <c r="B195" t="inlineStr">
        <is>
          <t>Mankayan</t>
        </is>
      </c>
      <c r="C195" t="inlineStr">
        <is>
          <t>2608</t>
        </is>
      </c>
      <c r="D195" t="inlineStr">
        <is>
          <t>PHLPost</t>
        </is>
      </c>
    </row>
    <row r="196" spans="1:4">
      <c r="A196" t="inlineStr">
        <is>
          <t>Benguet</t>
        </is>
      </c>
      <c r="B196" t="inlineStr">
        <is>
          <t>Sablan</t>
        </is>
      </c>
      <c r="C196" t="inlineStr">
        <is>
          <t>2614</t>
        </is>
      </c>
      <c r="D196" t="inlineStr">
        <is>
          <t>PHLPost</t>
        </is>
      </c>
    </row>
    <row r="197" spans="1:4">
      <c r="A197" t="inlineStr">
        <is>
          <t>Benguet</t>
        </is>
      </c>
      <c r="B197" t="inlineStr">
        <is>
          <t>Tuba</t>
        </is>
      </c>
      <c r="C197" t="inlineStr">
        <is>
          <t>2603</t>
        </is>
      </c>
      <c r="D197" t="inlineStr">
        <is>
          <t>PHLPost</t>
        </is>
      </c>
    </row>
    <row r="198" spans="1:4">
      <c r="A198" t="inlineStr">
        <is>
          <t>Benguet</t>
        </is>
      </c>
      <c r="B198" t="inlineStr">
        <is>
          <t>Tublay</t>
        </is>
      </c>
      <c r="C198" t="inlineStr">
        <is>
          <t>2615</t>
        </is>
      </c>
      <c r="D198" t="inlineStr">
        <is>
          <t>PHLPost</t>
        </is>
      </c>
    </row>
    <row r="199" spans="1:4">
      <c r="A199" t="inlineStr">
        <is>
          <t>Biliran</t>
        </is>
      </c>
      <c r="B199" t="inlineStr">
        <is>
          <t>Almeria</t>
        </is>
      </c>
      <c r="C199" t="inlineStr">
        <is>
          <t>6544</t>
        </is>
      </c>
      <c r="D199" t="inlineStr">
        <is>
          <t>BarangayDirectory</t>
        </is>
      </c>
    </row>
    <row r="200" spans="1:4">
      <c r="A200" t="inlineStr">
        <is>
          <t>Biliran</t>
        </is>
      </c>
      <c r="B200" t="inlineStr">
        <is>
          <t>Biliran</t>
        </is>
      </c>
      <c r="C200" t="inlineStr">
        <is>
          <t>6549</t>
        </is>
      </c>
      <c r="D200" t="inlineStr">
        <is>
          <t>BarangayDirectory</t>
        </is>
      </c>
    </row>
    <row r="201" spans="1:4">
      <c r="A201" t="inlineStr">
        <is>
          <t>Biliran</t>
        </is>
      </c>
      <c r="B201" t="inlineStr">
        <is>
          <t>Cabucgayan</t>
        </is>
      </c>
      <c r="C201" t="inlineStr">
        <is>
          <t>6550</t>
        </is>
      </c>
      <c r="D201" t="inlineStr">
        <is>
          <t>BarangayDirectory</t>
        </is>
      </c>
    </row>
    <row r="202" spans="1:4">
      <c r="A202" t="inlineStr">
        <is>
          <t>Biliran</t>
        </is>
      </c>
      <c r="B202" t="inlineStr">
        <is>
          <t>Caibiran</t>
        </is>
      </c>
      <c r="C202" t="inlineStr">
        <is>
          <t>6548</t>
        </is>
      </c>
      <c r="D202" t="inlineStr">
        <is>
          <t>BarangayDirectory</t>
        </is>
      </c>
    </row>
    <row r="203" spans="1:4">
      <c r="A203" t="inlineStr">
        <is>
          <t>Biliran</t>
        </is>
      </c>
      <c r="B203" t="inlineStr">
        <is>
          <t>Culaba</t>
        </is>
      </c>
      <c r="C203" t="inlineStr">
        <is>
          <t>6547</t>
        </is>
      </c>
      <c r="D203" t="inlineStr">
        <is>
          <t>BarangayDirectory</t>
        </is>
      </c>
    </row>
    <row r="204" spans="1:4">
      <c r="A204" t="inlineStr">
        <is>
          <t>Biliran</t>
        </is>
      </c>
      <c r="B204" t="inlineStr">
        <is>
          <t>Kawayan</t>
        </is>
      </c>
      <c r="C204" t="inlineStr">
        <is>
          <t>6545</t>
        </is>
      </c>
      <c r="D204" t="inlineStr">
        <is>
          <t>BarangayDirectory</t>
        </is>
      </c>
    </row>
    <row r="205" spans="1:4">
      <c r="A205" t="inlineStr">
        <is>
          <t>Biliran</t>
        </is>
      </c>
      <c r="B205" t="inlineStr">
        <is>
          <t>Maripipi</t>
        </is>
      </c>
      <c r="C205" t="inlineStr">
        <is>
          <t>6546</t>
        </is>
      </c>
      <c r="D205" t="inlineStr">
        <is>
          <t>BarangayDirectory</t>
        </is>
      </c>
    </row>
    <row r="206" spans="1:4">
      <c r="A206" t="inlineStr">
        <is>
          <t>Biliran</t>
        </is>
      </c>
      <c r="B206" t="inlineStr">
        <is>
          <t>Naval</t>
        </is>
      </c>
      <c r="C206" t="inlineStr">
        <is>
          <t>6543</t>
        </is>
      </c>
      <c r="D206" t="inlineStr">
        <is>
          <t>BarangayDirectory</t>
        </is>
      </c>
    </row>
    <row r="207" spans="1:4">
      <c r="A207" t="inlineStr">
        <is>
          <t>Bohol</t>
        </is>
      </c>
      <c r="B207" t="inlineStr">
        <is>
          <t>Alburquerque</t>
        </is>
      </c>
      <c r="C207" t="inlineStr">
        <is>
          <t>6302</t>
        </is>
      </c>
      <c r="D207" t="inlineStr">
        <is>
          <t>BarangayDirectory</t>
        </is>
      </c>
    </row>
    <row r="208" spans="1:4">
      <c r="A208" t="inlineStr">
        <is>
          <t>Bohol</t>
        </is>
      </c>
      <c r="B208" t="inlineStr">
        <is>
          <t>Alicia</t>
        </is>
      </c>
      <c r="C208" t="inlineStr">
        <is>
          <t>6314</t>
        </is>
      </c>
      <c r="D208" t="inlineStr">
        <is>
          <t>BarangayDirectory</t>
        </is>
      </c>
    </row>
    <row r="209" spans="1:4">
      <c r="A209" t="inlineStr">
        <is>
          <t>Bohol</t>
        </is>
      </c>
      <c r="B209" t="inlineStr">
        <is>
          <t>Anda</t>
        </is>
      </c>
      <c r="C209" t="inlineStr">
        <is>
          <t>6311</t>
        </is>
      </c>
      <c r="D209" t="inlineStr">
        <is>
          <t>BarangayDirectory</t>
        </is>
      </c>
    </row>
    <row r="210" spans="1:4">
      <c r="A210" t="inlineStr">
        <is>
          <t>Bohol</t>
        </is>
      </c>
      <c r="B210" t="inlineStr">
        <is>
          <t>Antequera</t>
        </is>
      </c>
      <c r="C210" t="inlineStr">
        <is>
          <t>6335</t>
        </is>
      </c>
      <c r="D210" t="inlineStr">
        <is>
          <t>BarangayDirectory</t>
        </is>
      </c>
    </row>
    <row r="211" spans="1:4">
      <c r="A211" t="inlineStr">
        <is>
          <t>Bohol</t>
        </is>
      </c>
      <c r="B211" t="inlineStr">
        <is>
          <t>Baclayon</t>
        </is>
      </c>
      <c r="C211" t="inlineStr">
        <is>
          <t>6301</t>
        </is>
      </c>
      <c r="D211" t="inlineStr">
        <is>
          <t>BarangayDirectory</t>
        </is>
      </c>
    </row>
    <row r="212" spans="1:4">
      <c r="A212" t="inlineStr">
        <is>
          <t>Bohol</t>
        </is>
      </c>
      <c r="B212" t="inlineStr">
        <is>
          <t>Balilihan</t>
        </is>
      </c>
      <c r="C212" t="inlineStr">
        <is>
          <t>6342</t>
        </is>
      </c>
      <c r="D212" t="inlineStr">
        <is>
          <t>BarangayDirectory</t>
        </is>
      </c>
    </row>
    <row r="213" spans="1:4">
      <c r="A213" t="inlineStr">
        <is>
          <t>Bohol</t>
        </is>
      </c>
      <c r="B213" t="inlineStr">
        <is>
          <t>Batuan</t>
        </is>
      </c>
      <c r="C213" t="inlineStr">
        <is>
          <t>6318</t>
        </is>
      </c>
      <c r="D213" t="inlineStr">
        <is>
          <t>BarangayDirectory</t>
        </is>
      </c>
    </row>
    <row r="214" spans="1:4">
      <c r="A214" t="inlineStr">
        <is>
          <t>Bohol</t>
        </is>
      </c>
      <c r="B214" t="inlineStr">
        <is>
          <t>Bien Unido</t>
        </is>
      </c>
      <c r="C214" t="inlineStr">
        <is>
          <t>6326</t>
        </is>
      </c>
      <c r="D214" t="inlineStr">
        <is>
          <t>BarangayDirectory</t>
        </is>
      </c>
    </row>
    <row r="215" spans="1:4">
      <c r="A215" t="inlineStr">
        <is>
          <t>Bohol</t>
        </is>
      </c>
      <c r="B215" t="inlineStr">
        <is>
          <t>Bilar</t>
        </is>
      </c>
      <c r="C215" t="inlineStr">
        <is>
          <t>6317</t>
        </is>
      </c>
      <c r="D215" t="inlineStr">
        <is>
          <t>BarangayDirectory</t>
        </is>
      </c>
    </row>
    <row r="216" spans="1:4">
      <c r="A216" t="inlineStr">
        <is>
          <t>Bohol</t>
        </is>
      </c>
      <c r="B216" t="inlineStr">
        <is>
          <t>Buenavista</t>
        </is>
      </c>
      <c r="C216" t="inlineStr">
        <is>
          <t>6333</t>
        </is>
      </c>
      <c r="D216" t="inlineStr">
        <is>
          <t>BarangayDirectory</t>
        </is>
      </c>
    </row>
    <row r="217" spans="1:4">
      <c r="A217" t="inlineStr">
        <is>
          <t>Bohol</t>
        </is>
      </c>
      <c r="B217" t="inlineStr">
        <is>
          <t>Calape</t>
        </is>
      </c>
      <c r="C217" t="inlineStr">
        <is>
          <t>6328</t>
        </is>
      </c>
      <c r="D217" t="inlineStr">
        <is>
          <t>BarangayDirectory</t>
        </is>
      </c>
    </row>
    <row r="218" spans="1:4">
      <c r="A218" t="inlineStr">
        <is>
          <t>Bohol</t>
        </is>
      </c>
      <c r="B218" t="inlineStr">
        <is>
          <t>Candijay</t>
        </is>
      </c>
      <c r="C218" t="inlineStr">
        <is>
          <t>6312</t>
        </is>
      </c>
      <c r="D218" t="inlineStr">
        <is>
          <t>BarangayDirectory</t>
        </is>
      </c>
    </row>
    <row r="219" spans="1:4">
      <c r="A219" t="inlineStr">
        <is>
          <t>Bohol</t>
        </is>
      </c>
      <c r="B219" t="inlineStr">
        <is>
          <t>Carmen</t>
        </is>
      </c>
      <c r="C219" t="inlineStr">
        <is>
          <t>6319</t>
        </is>
      </c>
      <c r="D219" t="inlineStr">
        <is>
          <t>BarangayDirectory</t>
        </is>
      </c>
    </row>
    <row r="220" spans="1:4">
      <c r="A220" t="inlineStr">
        <is>
          <t>Bohol</t>
        </is>
      </c>
      <c r="B220" t="inlineStr">
        <is>
          <t>Catigbian</t>
        </is>
      </c>
      <c r="C220" t="inlineStr">
        <is>
          <t>6343</t>
        </is>
      </c>
      <c r="D220" t="inlineStr">
        <is>
          <t>BarangayDirectory</t>
        </is>
      </c>
    </row>
    <row r="221" spans="1:4">
      <c r="A221" t="inlineStr">
        <is>
          <t>Bohol</t>
        </is>
      </c>
      <c r="B221" t="inlineStr">
        <is>
          <t>City of Tagbilaran</t>
        </is>
      </c>
      <c r="C221" t="inlineStr">
        <is>
          <t>6300</t>
        </is>
      </c>
      <c r="D221" t="inlineStr">
        <is>
          <t>BarangayDirectory</t>
        </is>
      </c>
    </row>
    <row r="222" spans="1:4">
      <c r="A222" t="inlineStr">
        <is>
          <t>Bohol</t>
        </is>
      </c>
      <c r="B222" t="inlineStr">
        <is>
          <t>Clarin</t>
        </is>
      </c>
      <c r="C222" t="inlineStr">
        <is>
          <t>6330</t>
        </is>
      </c>
      <c r="D222" t="inlineStr">
        <is>
          <t>BarangayDirectory</t>
        </is>
      </c>
    </row>
    <row r="223" spans="1:4">
      <c r="A223" t="inlineStr">
        <is>
          <t>Bohol</t>
        </is>
      </c>
      <c r="B223" t="inlineStr">
        <is>
          <t>Corella</t>
        </is>
      </c>
      <c r="C223" t="inlineStr">
        <is>
          <t>6337</t>
        </is>
      </c>
      <c r="D223" t="inlineStr">
        <is>
          <t>BarangayDirectory</t>
        </is>
      </c>
    </row>
    <row r="224" spans="1:4">
      <c r="A224" t="inlineStr">
        <is>
          <t>Bohol</t>
        </is>
      </c>
      <c r="B224" t="inlineStr">
        <is>
          <t>Cortes</t>
        </is>
      </c>
      <c r="C224" t="inlineStr">
        <is>
          <t>6341</t>
        </is>
      </c>
      <c r="D224" t="inlineStr">
        <is>
          <t>BarangayDirectory</t>
        </is>
      </c>
    </row>
    <row r="225" spans="1:4">
      <c r="A225" t="inlineStr">
        <is>
          <t>Bohol</t>
        </is>
      </c>
      <c r="B225" t="inlineStr">
        <is>
          <t>Dagohoy</t>
        </is>
      </c>
      <c r="C225" t="inlineStr">
        <is>
          <t>6322</t>
        </is>
      </c>
      <c r="D225" t="inlineStr">
        <is>
          <t>BarangayDirectory</t>
        </is>
      </c>
    </row>
    <row r="226" spans="1:4">
      <c r="A226" t="inlineStr">
        <is>
          <t>Bohol</t>
        </is>
      </c>
      <c r="B226" t="inlineStr">
        <is>
          <t>Danao</t>
        </is>
      </c>
      <c r="C226" t="inlineStr">
        <is>
          <t>6344</t>
        </is>
      </c>
      <c r="D226" t="inlineStr">
        <is>
          <t>BarangayDirectory</t>
        </is>
      </c>
    </row>
    <row r="227" spans="1:4">
      <c r="A227" t="inlineStr">
        <is>
          <t>Bohol</t>
        </is>
      </c>
      <c r="B227" t="inlineStr">
        <is>
          <t>Dauis</t>
        </is>
      </c>
      <c r="C227" t="inlineStr">
        <is>
          <t>6339</t>
        </is>
      </c>
      <c r="D227" t="inlineStr">
        <is>
          <t>BarangayDirectory</t>
        </is>
      </c>
    </row>
    <row r="228" spans="1:4">
      <c r="A228" t="inlineStr">
        <is>
          <t>Bohol</t>
        </is>
      </c>
      <c r="B228" t="inlineStr">
        <is>
          <t>Dimiao</t>
        </is>
      </c>
      <c r="C228" t="inlineStr">
        <is>
          <t>6305</t>
        </is>
      </c>
      <c r="D228" t="inlineStr">
        <is>
          <t>BarangayDirectory</t>
        </is>
      </c>
    </row>
    <row r="229" spans="1:4">
      <c r="A229" t="inlineStr">
        <is>
          <t>Bohol</t>
        </is>
      </c>
      <c r="B229" t="inlineStr">
        <is>
          <t>Duero</t>
        </is>
      </c>
      <c r="C229" t="inlineStr">
        <is>
          <t>6309</t>
        </is>
      </c>
      <c r="D229" t="inlineStr">
        <is>
          <t>BarangayDirectory</t>
        </is>
      </c>
    </row>
    <row r="230" spans="1:4">
      <c r="A230" t="inlineStr">
        <is>
          <t>Bohol</t>
        </is>
      </c>
      <c r="B230" t="inlineStr">
        <is>
          <t>Garcia Hernandez</t>
        </is>
      </c>
      <c r="C230" t="inlineStr">
        <is>
          <t>6307</t>
        </is>
      </c>
      <c r="D230" t="inlineStr">
        <is>
          <t>BarangayDirectory</t>
        </is>
      </c>
    </row>
    <row r="231" spans="1:4">
      <c r="A231" t="inlineStr">
        <is>
          <t>Bohol</t>
        </is>
      </c>
      <c r="B231" t="inlineStr">
        <is>
          <t>Getafe</t>
        </is>
      </c>
      <c r="D231" t="inlineStr">
        <is>
          <t>Needs verification</t>
        </is>
      </c>
    </row>
    <row r="232" spans="1:4">
      <c r="A232" t="inlineStr">
        <is>
          <t>Bohol</t>
        </is>
      </c>
      <c r="B232" t="inlineStr">
        <is>
          <t>Guindulman</t>
        </is>
      </c>
      <c r="C232" t="inlineStr">
        <is>
          <t>6310</t>
        </is>
      </c>
      <c r="D232" t="inlineStr">
        <is>
          <t>BarangayDirectory</t>
        </is>
      </c>
    </row>
    <row r="233" spans="1:4">
      <c r="A233" t="inlineStr">
        <is>
          <t>Bohol</t>
        </is>
      </c>
      <c r="B233" t="inlineStr">
        <is>
          <t>Inabanga</t>
        </is>
      </c>
      <c r="C233" t="inlineStr">
        <is>
          <t>6332</t>
        </is>
      </c>
      <c r="D233" t="inlineStr">
        <is>
          <t>BarangayDirectory</t>
        </is>
      </c>
    </row>
    <row r="234" spans="1:4">
      <c r="A234" t="inlineStr">
        <is>
          <t>Bohol</t>
        </is>
      </c>
      <c r="B234" t="inlineStr">
        <is>
          <t>Jagna</t>
        </is>
      </c>
      <c r="C234" t="inlineStr">
        <is>
          <t>6308</t>
        </is>
      </c>
      <c r="D234" t="inlineStr">
        <is>
          <t>BarangayDirectory</t>
        </is>
      </c>
    </row>
    <row r="235" spans="1:4">
      <c r="A235" t="inlineStr">
        <is>
          <t>Bohol</t>
        </is>
      </c>
      <c r="B235" t="inlineStr">
        <is>
          <t>Lila</t>
        </is>
      </c>
      <c r="C235" t="inlineStr">
        <is>
          <t>6304</t>
        </is>
      </c>
      <c r="D235" t="inlineStr">
        <is>
          <t>BarangayDirectory</t>
        </is>
      </c>
    </row>
    <row r="236" spans="1:4">
      <c r="A236" t="inlineStr">
        <is>
          <t>Bohol</t>
        </is>
      </c>
      <c r="B236" t="inlineStr">
        <is>
          <t>Loay</t>
        </is>
      </c>
      <c r="C236" t="inlineStr">
        <is>
          <t>6303</t>
        </is>
      </c>
      <c r="D236" t="inlineStr">
        <is>
          <t>BarangayDirectory</t>
        </is>
      </c>
    </row>
    <row r="237" spans="1:4">
      <c r="A237" t="inlineStr">
        <is>
          <t>Bohol</t>
        </is>
      </c>
      <c r="B237" t="inlineStr">
        <is>
          <t>Loboc</t>
        </is>
      </c>
      <c r="C237" t="inlineStr">
        <is>
          <t>6316</t>
        </is>
      </c>
      <c r="D237" t="inlineStr">
        <is>
          <t>BarangayDirectory</t>
        </is>
      </c>
    </row>
    <row r="238" spans="1:4">
      <c r="A238" t="inlineStr">
        <is>
          <t>Bohol</t>
        </is>
      </c>
      <c r="B238" t="inlineStr">
        <is>
          <t>Loon</t>
        </is>
      </c>
      <c r="C238" t="inlineStr">
        <is>
          <t>6327</t>
        </is>
      </c>
      <c r="D238" t="inlineStr">
        <is>
          <t>BarangayDirectory</t>
        </is>
      </c>
    </row>
    <row r="239" spans="1:4">
      <c r="A239" t="inlineStr">
        <is>
          <t>Bohol</t>
        </is>
      </c>
      <c r="B239" t="inlineStr">
        <is>
          <t>Mabini</t>
        </is>
      </c>
      <c r="C239" t="inlineStr">
        <is>
          <t>6313</t>
        </is>
      </c>
      <c r="D239" t="inlineStr">
        <is>
          <t>BarangayDirectory</t>
        </is>
      </c>
    </row>
    <row r="240" spans="1:4">
      <c r="A240" t="inlineStr">
        <is>
          <t>Bohol</t>
        </is>
      </c>
      <c r="B240" t="inlineStr">
        <is>
          <t>Maribojoc</t>
        </is>
      </c>
      <c r="C240" t="inlineStr">
        <is>
          <t>6336</t>
        </is>
      </c>
      <c r="D240" t="inlineStr">
        <is>
          <t>BarangayDirectory</t>
        </is>
      </c>
    </row>
    <row r="241" spans="1:4">
      <c r="A241" t="inlineStr">
        <is>
          <t>Bohol</t>
        </is>
      </c>
      <c r="B241" t="inlineStr">
        <is>
          <t>Panglao</t>
        </is>
      </c>
      <c r="C241" t="inlineStr">
        <is>
          <t>6340</t>
        </is>
      </c>
      <c r="D241" t="inlineStr">
        <is>
          <t>BarangayDirectory</t>
        </is>
      </c>
    </row>
    <row r="242" spans="1:4">
      <c r="A242" t="inlineStr">
        <is>
          <t>Bohol</t>
        </is>
      </c>
      <c r="B242" t="inlineStr">
        <is>
          <t>Pilar</t>
        </is>
      </c>
      <c r="C242" t="inlineStr">
        <is>
          <t>6321</t>
        </is>
      </c>
      <c r="D242" t="inlineStr">
        <is>
          <t>BarangayDirectory</t>
        </is>
      </c>
    </row>
    <row r="243" spans="1:4">
      <c r="A243" t="inlineStr">
        <is>
          <t>Bohol</t>
        </is>
      </c>
      <c r="B243" t="inlineStr">
        <is>
          <t>President Carlos P. Garcia</t>
        </is>
      </c>
      <c r="D243" t="inlineStr">
        <is>
          <t>Needs verification</t>
        </is>
      </c>
    </row>
    <row r="244" spans="1:4">
      <c r="A244" t="inlineStr">
        <is>
          <t>Bohol</t>
        </is>
      </c>
      <c r="B244" t="inlineStr">
        <is>
          <t>Sagbayan</t>
        </is>
      </c>
      <c r="C244" t="inlineStr">
        <is>
          <t>6331</t>
        </is>
      </c>
      <c r="D244" t="inlineStr">
        <is>
          <t>BarangayDirectory</t>
        </is>
      </c>
    </row>
    <row r="245" spans="1:4">
      <c r="A245" t="inlineStr">
        <is>
          <t>Bohol</t>
        </is>
      </c>
      <c r="B245" t="inlineStr">
        <is>
          <t>San Isidro</t>
        </is>
      </c>
      <c r="C245" t="inlineStr">
        <is>
          <t>6345</t>
        </is>
      </c>
      <c r="D245" t="inlineStr">
        <is>
          <t>BarangayDirectory</t>
        </is>
      </c>
    </row>
    <row r="246" spans="1:4">
      <c r="A246" t="inlineStr">
        <is>
          <t>Bohol</t>
        </is>
      </c>
      <c r="B246" t="inlineStr">
        <is>
          <t>San Miguel</t>
        </is>
      </c>
      <c r="C246" t="inlineStr">
        <is>
          <t>6323</t>
        </is>
      </c>
      <c r="D246" t="inlineStr">
        <is>
          <t>BarangayDirectory</t>
        </is>
      </c>
    </row>
    <row r="247" spans="1:4">
      <c r="A247" t="inlineStr">
        <is>
          <t>Bohol</t>
        </is>
      </c>
      <c r="B247" t="inlineStr">
        <is>
          <t>Sevilla</t>
        </is>
      </c>
      <c r="C247" t="inlineStr">
        <is>
          <t>6347</t>
        </is>
      </c>
      <c r="D247" t="inlineStr">
        <is>
          <t>BarangayDirectory</t>
        </is>
      </c>
    </row>
    <row r="248" spans="1:4">
      <c r="A248" t="inlineStr">
        <is>
          <t>Bohol</t>
        </is>
      </c>
      <c r="B248" t="inlineStr">
        <is>
          <t>Sierra Bullones</t>
        </is>
      </c>
      <c r="C248" t="inlineStr">
        <is>
          <t>6320</t>
        </is>
      </c>
      <c r="D248" t="inlineStr">
        <is>
          <t>BarangayDirectory</t>
        </is>
      </c>
    </row>
    <row r="249" spans="1:4">
      <c r="A249" t="inlineStr">
        <is>
          <t>Bohol</t>
        </is>
      </c>
      <c r="B249" t="inlineStr">
        <is>
          <t>Sikatuna</t>
        </is>
      </c>
      <c r="C249" t="inlineStr">
        <is>
          <t>6338</t>
        </is>
      </c>
      <c r="D249" t="inlineStr">
        <is>
          <t>BarangayDirectory</t>
        </is>
      </c>
    </row>
    <row r="250" spans="1:4">
      <c r="A250" t="inlineStr">
        <is>
          <t>Bohol</t>
        </is>
      </c>
      <c r="B250" t="inlineStr">
        <is>
          <t>Talibon</t>
        </is>
      </c>
      <c r="C250" t="inlineStr">
        <is>
          <t>6325</t>
        </is>
      </c>
      <c r="D250" t="inlineStr">
        <is>
          <t>BarangayDirectory</t>
        </is>
      </c>
    </row>
    <row r="251" spans="1:4">
      <c r="A251" t="inlineStr">
        <is>
          <t>Bohol</t>
        </is>
      </c>
      <c r="B251" t="inlineStr">
        <is>
          <t>Trinidad</t>
        </is>
      </c>
      <c r="C251" t="inlineStr">
        <is>
          <t>6324</t>
        </is>
      </c>
      <c r="D251" t="inlineStr">
        <is>
          <t>BarangayDirectory</t>
        </is>
      </c>
    </row>
    <row r="252" spans="1:4">
      <c r="A252" t="inlineStr">
        <is>
          <t>Bohol</t>
        </is>
      </c>
      <c r="B252" t="inlineStr">
        <is>
          <t>Tubigon</t>
        </is>
      </c>
      <c r="C252" t="inlineStr">
        <is>
          <t>6329</t>
        </is>
      </c>
      <c r="D252" t="inlineStr">
        <is>
          <t>BarangayDirectory</t>
        </is>
      </c>
    </row>
    <row r="253" spans="1:4">
      <c r="A253" t="inlineStr">
        <is>
          <t>Bohol</t>
        </is>
      </c>
      <c r="B253" t="inlineStr">
        <is>
          <t>Ubay</t>
        </is>
      </c>
      <c r="C253" t="inlineStr">
        <is>
          <t>6315</t>
        </is>
      </c>
      <c r="D253" t="inlineStr">
        <is>
          <t>BarangayDirectory</t>
        </is>
      </c>
    </row>
    <row r="254" spans="1:4">
      <c r="A254" t="inlineStr">
        <is>
          <t>Bohol</t>
        </is>
      </c>
      <c r="B254" t="inlineStr">
        <is>
          <t>Valencia</t>
        </is>
      </c>
      <c r="D254" t="inlineStr">
        <is>
          <t>Needs verification</t>
        </is>
      </c>
    </row>
    <row r="255" spans="1:4">
      <c r="A255" t="inlineStr">
        <is>
          <t>Bukidnon</t>
        </is>
      </c>
      <c r="B255" t="inlineStr">
        <is>
          <t>Baungon</t>
        </is>
      </c>
      <c r="D255" t="inlineStr">
        <is>
          <t>Needs verification</t>
        </is>
      </c>
    </row>
    <row r="256" spans="1:4">
      <c r="A256" t="inlineStr">
        <is>
          <t>Bukidnon</t>
        </is>
      </c>
      <c r="B256" t="inlineStr">
        <is>
          <t>Cabanglasan</t>
        </is>
      </c>
      <c r="D256" t="inlineStr">
        <is>
          <t>Needs verification</t>
        </is>
      </c>
    </row>
    <row r="257" spans="1:4">
      <c r="A257" t="inlineStr">
        <is>
          <t>Bukidnon</t>
        </is>
      </c>
      <c r="B257" t="inlineStr">
        <is>
          <t>City of Malaybalay</t>
        </is>
      </c>
      <c r="C257" t="inlineStr">
        <is>
          <t>8700</t>
        </is>
      </c>
      <c r="D257" t="inlineStr">
        <is>
          <t>PHLPost</t>
        </is>
      </c>
    </row>
    <row r="258" spans="1:4">
      <c r="A258" t="inlineStr">
        <is>
          <t>Bukidnon</t>
        </is>
      </c>
      <c r="B258" t="inlineStr">
        <is>
          <t>City of Valencia</t>
        </is>
      </c>
      <c r="C258" t="inlineStr">
        <is>
          <t>8709</t>
        </is>
      </c>
      <c r="D258" t="inlineStr">
        <is>
          <t>PHLPost</t>
        </is>
      </c>
    </row>
    <row r="259" spans="1:4">
      <c r="A259" t="inlineStr">
        <is>
          <t>Bukidnon</t>
        </is>
      </c>
      <c r="B259" t="inlineStr">
        <is>
          <t>Damulog</t>
        </is>
      </c>
      <c r="D259" t="inlineStr">
        <is>
          <t>Needs verification</t>
        </is>
      </c>
    </row>
    <row r="260" spans="1:4">
      <c r="A260" t="inlineStr">
        <is>
          <t>Bukidnon</t>
        </is>
      </c>
      <c r="B260" t="inlineStr">
        <is>
          <t>Dangcagan</t>
        </is>
      </c>
      <c r="D260" t="inlineStr">
        <is>
          <t>Needs verification</t>
        </is>
      </c>
    </row>
    <row r="261" spans="1:4">
      <c r="A261" t="inlineStr">
        <is>
          <t>Bukidnon</t>
        </is>
      </c>
      <c r="B261" t="inlineStr">
        <is>
          <t>Don Carlos</t>
        </is>
      </c>
      <c r="D261" t="inlineStr">
        <is>
          <t>Needs verification</t>
        </is>
      </c>
    </row>
    <row r="262" spans="1:4">
      <c r="A262" t="inlineStr">
        <is>
          <t>Bukidnon</t>
        </is>
      </c>
      <c r="B262" t="inlineStr">
        <is>
          <t>Impasug-ong</t>
        </is>
      </c>
      <c r="D262" t="inlineStr">
        <is>
          <t>Needs verification</t>
        </is>
      </c>
    </row>
    <row r="263" spans="1:4">
      <c r="A263" t="inlineStr">
        <is>
          <t>Bukidnon</t>
        </is>
      </c>
      <c r="B263" t="inlineStr">
        <is>
          <t>Kadingilan</t>
        </is>
      </c>
      <c r="D263" t="inlineStr">
        <is>
          <t>Needs verification</t>
        </is>
      </c>
    </row>
    <row r="264" spans="1:4">
      <c r="A264" t="inlineStr">
        <is>
          <t>Bukidnon</t>
        </is>
      </c>
      <c r="B264" t="inlineStr">
        <is>
          <t>Kalilangan</t>
        </is>
      </c>
      <c r="D264" t="inlineStr">
        <is>
          <t>Needs verification</t>
        </is>
      </c>
    </row>
    <row r="265" spans="1:4">
      <c r="A265" t="inlineStr">
        <is>
          <t>Bukidnon</t>
        </is>
      </c>
      <c r="B265" t="inlineStr">
        <is>
          <t>Kibawe</t>
        </is>
      </c>
      <c r="D265" t="inlineStr">
        <is>
          <t>Needs verification</t>
        </is>
      </c>
    </row>
    <row r="266" spans="1:4">
      <c r="A266" t="inlineStr">
        <is>
          <t>Bukidnon</t>
        </is>
      </c>
      <c r="B266" t="inlineStr">
        <is>
          <t>Kitaotao</t>
        </is>
      </c>
      <c r="D266" t="inlineStr">
        <is>
          <t>Needs verification</t>
        </is>
      </c>
    </row>
    <row r="267" spans="1:4">
      <c r="A267" t="inlineStr">
        <is>
          <t>Bukidnon</t>
        </is>
      </c>
      <c r="B267" t="inlineStr">
        <is>
          <t>Lantapan</t>
        </is>
      </c>
      <c r="D267" t="inlineStr">
        <is>
          <t>Needs verification</t>
        </is>
      </c>
    </row>
    <row r="268" spans="1:4">
      <c r="A268" t="inlineStr">
        <is>
          <t>Bukidnon</t>
        </is>
      </c>
      <c r="B268" t="inlineStr">
        <is>
          <t>Libona</t>
        </is>
      </c>
      <c r="C268" t="inlineStr">
        <is>
          <t>8706</t>
        </is>
      </c>
      <c r="D268" t="inlineStr">
        <is>
          <t>PHLPost</t>
        </is>
      </c>
    </row>
    <row r="269" spans="1:4">
      <c r="A269" t="inlineStr">
        <is>
          <t>Bukidnon</t>
        </is>
      </c>
      <c r="B269" t="inlineStr">
        <is>
          <t>Malitbog</t>
        </is>
      </c>
      <c r="C269" t="inlineStr">
        <is>
          <t>8704</t>
        </is>
      </c>
      <c r="D269" t="inlineStr">
        <is>
          <t>PHLPost</t>
        </is>
      </c>
    </row>
    <row r="270" spans="1:4">
      <c r="A270" t="inlineStr">
        <is>
          <t>Bukidnon</t>
        </is>
      </c>
      <c r="B270" t="inlineStr">
        <is>
          <t>Manolo Fortich</t>
        </is>
      </c>
      <c r="C270" t="inlineStr">
        <is>
          <t>8703</t>
        </is>
      </c>
      <c r="D270" t="inlineStr">
        <is>
          <t>PHLPost</t>
        </is>
      </c>
    </row>
    <row r="271" spans="1:4">
      <c r="A271" t="inlineStr">
        <is>
          <t>Bukidnon</t>
        </is>
      </c>
      <c r="B271" t="inlineStr">
        <is>
          <t>Maramag</t>
        </is>
      </c>
      <c r="C271" t="inlineStr">
        <is>
          <t>8714</t>
        </is>
      </c>
      <c r="D271" t="inlineStr">
        <is>
          <t>PHLPost</t>
        </is>
      </c>
    </row>
    <row r="272" spans="1:4">
      <c r="A272" t="inlineStr">
        <is>
          <t>Bukidnon</t>
        </is>
      </c>
      <c r="B272" t="inlineStr">
        <is>
          <t>Pangantucan</t>
        </is>
      </c>
      <c r="C272" t="inlineStr">
        <is>
          <t>8717</t>
        </is>
      </c>
      <c r="D272" t="inlineStr">
        <is>
          <t>PHLPost</t>
        </is>
      </c>
    </row>
    <row r="273" spans="1:4">
      <c r="A273" t="inlineStr">
        <is>
          <t>Bukidnon</t>
        </is>
      </c>
      <c r="B273" t="inlineStr">
        <is>
          <t>Quezon</t>
        </is>
      </c>
      <c r="C273" t="inlineStr">
        <is>
          <t>8715</t>
        </is>
      </c>
      <c r="D273" t="inlineStr">
        <is>
          <t>PHLPost</t>
        </is>
      </c>
    </row>
    <row r="274" spans="1:4">
      <c r="A274" t="inlineStr">
        <is>
          <t>Bukidnon</t>
        </is>
      </c>
      <c r="B274" t="inlineStr">
        <is>
          <t>San Fernando</t>
        </is>
      </c>
      <c r="C274" t="inlineStr">
        <is>
          <t>8711</t>
        </is>
      </c>
      <c r="D274" t="inlineStr">
        <is>
          <t>PHLPost</t>
        </is>
      </c>
    </row>
    <row r="275" spans="1:4">
      <c r="A275" t="inlineStr">
        <is>
          <t>Bukidnon</t>
        </is>
      </c>
      <c r="B275" t="inlineStr">
        <is>
          <t>Sumilao</t>
        </is>
      </c>
      <c r="C275" t="inlineStr">
        <is>
          <t>8701</t>
        </is>
      </c>
      <c r="D275" t="inlineStr">
        <is>
          <t>PHLPost</t>
        </is>
      </c>
    </row>
    <row r="276" spans="1:4">
      <c r="A276" t="inlineStr">
        <is>
          <t>Bukidnon</t>
        </is>
      </c>
      <c r="B276" t="inlineStr">
        <is>
          <t>Talakag</t>
        </is>
      </c>
      <c r="C276" t="inlineStr">
        <is>
          <t>8708</t>
        </is>
      </c>
      <c r="D276" t="inlineStr">
        <is>
          <t>PHLPost</t>
        </is>
      </c>
    </row>
    <row r="277" spans="1:4">
      <c r="A277" t="inlineStr">
        <is>
          <t>Bulacan</t>
        </is>
      </c>
      <c r="B277" t="inlineStr">
        <is>
          <t>Angat</t>
        </is>
      </c>
      <c r="C277" t="inlineStr">
        <is>
          <t>3012</t>
        </is>
      </c>
      <c r="D277" t="inlineStr">
        <is>
          <t>PHLPost</t>
        </is>
      </c>
    </row>
    <row r="278" spans="1:4">
      <c r="A278" t="inlineStr">
        <is>
          <t>Bulacan</t>
        </is>
      </c>
      <c r="B278" t="inlineStr">
        <is>
          <t>Balagtas</t>
        </is>
      </c>
      <c r="C278" t="inlineStr">
        <is>
          <t>3016</t>
        </is>
      </c>
      <c r="D278" t="inlineStr">
        <is>
          <t>PHLPost</t>
        </is>
      </c>
    </row>
    <row r="279" spans="1:4">
      <c r="A279" t="inlineStr">
        <is>
          <t>Bulacan</t>
        </is>
      </c>
      <c r="B279" t="inlineStr">
        <is>
          <t>Bocaue</t>
        </is>
      </c>
      <c r="C279" t="inlineStr">
        <is>
          <t>3018</t>
        </is>
      </c>
      <c r="D279" t="inlineStr">
        <is>
          <t>PHLPost</t>
        </is>
      </c>
    </row>
    <row r="280" spans="1:4">
      <c r="A280" t="inlineStr">
        <is>
          <t>Bulacan</t>
        </is>
      </c>
      <c r="B280" t="inlineStr">
        <is>
          <t>Bulacan</t>
        </is>
      </c>
      <c r="C280" t="inlineStr">
        <is>
          <t>3017</t>
        </is>
      </c>
      <c r="D280" t="inlineStr">
        <is>
          <t>PHLPost</t>
        </is>
      </c>
    </row>
    <row r="281" spans="1:4">
      <c r="A281" t="inlineStr">
        <is>
          <t>Bulacan</t>
        </is>
      </c>
      <c r="B281" t="inlineStr">
        <is>
          <t>Bustos</t>
        </is>
      </c>
      <c r="C281" t="inlineStr">
        <is>
          <t>3007</t>
        </is>
      </c>
      <c r="D281" t="inlineStr">
        <is>
          <t>PHLPost</t>
        </is>
      </c>
    </row>
    <row r="282" spans="1:4">
      <c r="A282" t="inlineStr">
        <is>
          <t>Bulacan</t>
        </is>
      </c>
      <c r="B282" t="inlineStr">
        <is>
          <t>Calumpit</t>
        </is>
      </c>
      <c r="C282" t="inlineStr">
        <is>
          <t>3003</t>
        </is>
      </c>
      <c r="D282" t="inlineStr">
        <is>
          <t>PHLPost</t>
        </is>
      </c>
    </row>
    <row r="283" spans="1:4">
      <c r="A283" t="inlineStr">
        <is>
          <t>Bulacan</t>
        </is>
      </c>
      <c r="B283" t="inlineStr">
        <is>
          <t>City of Baliwag</t>
        </is>
      </c>
      <c r="D283" t="inlineStr">
        <is>
          <t>Needs verification</t>
        </is>
      </c>
    </row>
    <row r="284" spans="1:4">
      <c r="A284" t="inlineStr">
        <is>
          <t>Bulacan</t>
        </is>
      </c>
      <c r="B284" t="inlineStr">
        <is>
          <t>City of Malolos</t>
        </is>
      </c>
      <c r="C284" t="inlineStr">
        <is>
          <t>3000</t>
        </is>
      </c>
      <c r="D284" t="inlineStr">
        <is>
          <t>PHLPost</t>
        </is>
      </c>
    </row>
    <row r="285" spans="1:4">
      <c r="A285" t="inlineStr">
        <is>
          <t>Bulacan</t>
        </is>
      </c>
      <c r="B285" t="inlineStr">
        <is>
          <t>City of Meycauayan</t>
        </is>
      </c>
      <c r="C285" t="inlineStr">
        <is>
          <t>3020</t>
        </is>
      </c>
      <c r="D285" t="inlineStr">
        <is>
          <t>PHLPost</t>
        </is>
      </c>
    </row>
    <row r="286" spans="1:4">
      <c r="A286" t="inlineStr">
        <is>
          <t>Bulacan</t>
        </is>
      </c>
      <c r="B286" t="inlineStr">
        <is>
          <t>City of San Jose Del Monte</t>
        </is>
      </c>
      <c r="C286" t="inlineStr">
        <is>
          <t>3023</t>
        </is>
      </c>
      <c r="D286" t="inlineStr">
        <is>
          <t>PHLPost</t>
        </is>
      </c>
    </row>
    <row r="287" spans="1:4">
      <c r="A287" t="inlineStr">
        <is>
          <t>Bulacan</t>
        </is>
      </c>
      <c r="B287" t="inlineStr">
        <is>
          <t>Doña Remedios Trinidad</t>
        </is>
      </c>
      <c r="C287" t="inlineStr">
        <is>
          <t>3009</t>
        </is>
      </c>
      <c r="D287" t="inlineStr">
        <is>
          <t>PHLPost</t>
        </is>
      </c>
    </row>
    <row r="288" spans="1:4">
      <c r="A288" t="inlineStr">
        <is>
          <t>Bulacan</t>
        </is>
      </c>
      <c r="B288" t="inlineStr">
        <is>
          <t>Guiguinto</t>
        </is>
      </c>
      <c r="C288" t="inlineStr">
        <is>
          <t>3015</t>
        </is>
      </c>
      <c r="D288" t="inlineStr">
        <is>
          <t>PHLPost</t>
        </is>
      </c>
    </row>
    <row r="289" spans="1:4">
      <c r="A289" t="inlineStr">
        <is>
          <t>Bulacan</t>
        </is>
      </c>
      <c r="B289" t="inlineStr">
        <is>
          <t>Hagonoy</t>
        </is>
      </c>
      <c r="C289" t="inlineStr">
        <is>
          <t>3002</t>
        </is>
      </c>
      <c r="D289" t="inlineStr">
        <is>
          <t>PHLPost</t>
        </is>
      </c>
    </row>
    <row r="290" spans="1:4">
      <c r="A290" t="inlineStr">
        <is>
          <t>Bulacan</t>
        </is>
      </c>
      <c r="B290" t="inlineStr">
        <is>
          <t>Marilao</t>
        </is>
      </c>
      <c r="C290" t="inlineStr">
        <is>
          <t>3019</t>
        </is>
      </c>
      <c r="D290" t="inlineStr">
        <is>
          <t>PHLPost</t>
        </is>
      </c>
    </row>
    <row r="291" spans="1:4">
      <c r="A291" t="inlineStr">
        <is>
          <t>Bulacan</t>
        </is>
      </c>
      <c r="B291" t="inlineStr">
        <is>
          <t>Norzagaray</t>
        </is>
      </c>
      <c r="C291" t="inlineStr">
        <is>
          <t>3013</t>
        </is>
      </c>
      <c r="D291" t="inlineStr">
        <is>
          <t>PHLPost</t>
        </is>
      </c>
    </row>
    <row r="292" spans="1:4">
      <c r="A292" t="inlineStr">
        <is>
          <t>Bulacan</t>
        </is>
      </c>
      <c r="B292" t="inlineStr">
        <is>
          <t>Obando</t>
        </is>
      </c>
      <c r="C292" t="inlineStr">
        <is>
          <t>3021</t>
        </is>
      </c>
      <c r="D292" t="inlineStr">
        <is>
          <t>PHLPost</t>
        </is>
      </c>
    </row>
    <row r="293" spans="1:4">
      <c r="A293" t="inlineStr">
        <is>
          <t>Bulacan</t>
        </is>
      </c>
      <c r="B293" t="inlineStr">
        <is>
          <t>Pandi</t>
        </is>
      </c>
      <c r="C293" t="inlineStr">
        <is>
          <t>3014</t>
        </is>
      </c>
      <c r="D293" t="inlineStr">
        <is>
          <t>PHLPost</t>
        </is>
      </c>
    </row>
    <row r="294" spans="1:4">
      <c r="A294" t="inlineStr">
        <is>
          <t>Bulacan</t>
        </is>
      </c>
      <c r="B294" t="inlineStr">
        <is>
          <t>Paombong</t>
        </is>
      </c>
      <c r="C294" t="inlineStr">
        <is>
          <t>3001</t>
        </is>
      </c>
      <c r="D294" t="inlineStr">
        <is>
          <t>PHLPost</t>
        </is>
      </c>
    </row>
    <row r="295" spans="1:4">
      <c r="A295" t="inlineStr">
        <is>
          <t>Bulacan</t>
        </is>
      </c>
      <c r="B295" t="inlineStr">
        <is>
          <t>Plaridel</t>
        </is>
      </c>
      <c r="C295" t="inlineStr">
        <is>
          <t>3004</t>
        </is>
      </c>
      <c r="D295" t="inlineStr">
        <is>
          <t>PHLPost</t>
        </is>
      </c>
    </row>
    <row r="296" spans="1:4">
      <c r="A296" t="inlineStr">
        <is>
          <t>Bulacan</t>
        </is>
      </c>
      <c r="B296" t="inlineStr">
        <is>
          <t>Pulilan</t>
        </is>
      </c>
      <c r="C296" t="inlineStr">
        <is>
          <t>3005</t>
        </is>
      </c>
      <c r="D296" t="inlineStr">
        <is>
          <t>PHLPost</t>
        </is>
      </c>
    </row>
    <row r="297" spans="1:4">
      <c r="A297" t="inlineStr">
        <is>
          <t>Bulacan</t>
        </is>
      </c>
      <c r="B297" t="inlineStr">
        <is>
          <t>San Ildefonso</t>
        </is>
      </c>
      <c r="C297" t="inlineStr">
        <is>
          <t>3010</t>
        </is>
      </c>
      <c r="D297" t="inlineStr">
        <is>
          <t>PHLPost</t>
        </is>
      </c>
    </row>
    <row r="298" spans="1:4">
      <c r="A298" t="inlineStr">
        <is>
          <t>Bulacan</t>
        </is>
      </c>
      <c r="B298" t="inlineStr">
        <is>
          <t>San Miguel</t>
        </is>
      </c>
      <c r="C298" t="inlineStr">
        <is>
          <t>3011</t>
        </is>
      </c>
      <c r="D298" t="inlineStr">
        <is>
          <t>PHLPost</t>
        </is>
      </c>
    </row>
    <row r="299" spans="1:4">
      <c r="A299" t="inlineStr">
        <is>
          <t>Bulacan</t>
        </is>
      </c>
      <c r="B299" t="inlineStr">
        <is>
          <t>San Rafael</t>
        </is>
      </c>
      <c r="C299" t="inlineStr">
        <is>
          <t>3008</t>
        </is>
      </c>
      <c r="D299" t="inlineStr">
        <is>
          <t>PHLPost</t>
        </is>
      </c>
    </row>
    <row r="300" spans="1:4">
      <c r="A300" t="inlineStr">
        <is>
          <t>Bulacan</t>
        </is>
      </c>
      <c r="B300" t="inlineStr">
        <is>
          <t>Santa Maria</t>
        </is>
      </c>
      <c r="C300" t="inlineStr">
        <is>
          <t>3022</t>
        </is>
      </c>
      <c r="D300" t="inlineStr">
        <is>
          <t>PHLPost</t>
        </is>
      </c>
    </row>
    <row r="301" spans="1:4">
      <c r="A301" t="inlineStr">
        <is>
          <t>Cagayan</t>
        </is>
      </c>
      <c r="B301" t="inlineStr">
        <is>
          <t>Abulug</t>
        </is>
      </c>
      <c r="C301" t="inlineStr">
        <is>
          <t>3517</t>
        </is>
      </c>
      <c r="D301" t="inlineStr">
        <is>
          <t>PHLPost</t>
        </is>
      </c>
    </row>
    <row r="302" spans="1:4">
      <c r="A302" t="inlineStr">
        <is>
          <t>Cagayan</t>
        </is>
      </c>
      <c r="B302" t="inlineStr">
        <is>
          <t>Alcala</t>
        </is>
      </c>
      <c r="C302" t="inlineStr">
        <is>
          <t>3507</t>
        </is>
      </c>
      <c r="D302" t="inlineStr">
        <is>
          <t>PHLPost</t>
        </is>
      </c>
    </row>
    <row r="303" spans="1:4">
      <c r="A303" t="inlineStr">
        <is>
          <t>Cagayan</t>
        </is>
      </c>
      <c r="B303" t="inlineStr">
        <is>
          <t>Allacapan</t>
        </is>
      </c>
      <c r="C303" t="inlineStr">
        <is>
          <t>3523</t>
        </is>
      </c>
      <c r="D303" t="inlineStr">
        <is>
          <t>PHLPost</t>
        </is>
      </c>
    </row>
    <row r="304" spans="1:4">
      <c r="A304" t="inlineStr">
        <is>
          <t>Cagayan</t>
        </is>
      </c>
      <c r="B304" t="inlineStr">
        <is>
          <t>Amulung</t>
        </is>
      </c>
      <c r="C304" t="inlineStr">
        <is>
          <t>3505</t>
        </is>
      </c>
      <c r="D304" t="inlineStr">
        <is>
          <t>PHLPost</t>
        </is>
      </c>
    </row>
    <row r="305" spans="1:4">
      <c r="A305" t="inlineStr">
        <is>
          <t>Cagayan</t>
        </is>
      </c>
      <c r="B305" t="inlineStr">
        <is>
          <t>Aparri</t>
        </is>
      </c>
      <c r="C305" t="inlineStr">
        <is>
          <t>3515</t>
        </is>
      </c>
      <c r="D305" t="inlineStr">
        <is>
          <t>PHLPost</t>
        </is>
      </c>
    </row>
    <row r="306" spans="1:4">
      <c r="A306" t="inlineStr">
        <is>
          <t>Cagayan</t>
        </is>
      </c>
      <c r="B306" t="inlineStr">
        <is>
          <t>Baggao</t>
        </is>
      </c>
      <c r="C306" t="inlineStr">
        <is>
          <t>3506</t>
        </is>
      </c>
      <c r="D306" t="inlineStr">
        <is>
          <t>PHLPost</t>
        </is>
      </c>
    </row>
    <row r="307" spans="1:4">
      <c r="A307" t="inlineStr">
        <is>
          <t>Cagayan</t>
        </is>
      </c>
      <c r="B307" t="inlineStr">
        <is>
          <t>Ballesteros</t>
        </is>
      </c>
      <c r="C307" t="inlineStr">
        <is>
          <t>3516</t>
        </is>
      </c>
      <c r="D307" t="inlineStr">
        <is>
          <t>PHLPost</t>
        </is>
      </c>
    </row>
    <row r="308" spans="1:4">
      <c r="A308" t="inlineStr">
        <is>
          <t>Cagayan</t>
        </is>
      </c>
      <c r="B308" t="inlineStr">
        <is>
          <t>Buguey</t>
        </is>
      </c>
      <c r="C308" t="inlineStr">
        <is>
          <t>3511</t>
        </is>
      </c>
      <c r="D308" t="inlineStr">
        <is>
          <t>PHLPost</t>
        </is>
      </c>
    </row>
    <row r="309" spans="1:4">
      <c r="A309" t="inlineStr">
        <is>
          <t>Cagayan</t>
        </is>
      </c>
      <c r="B309" t="inlineStr">
        <is>
          <t>Calayan</t>
        </is>
      </c>
      <c r="C309" t="inlineStr">
        <is>
          <t>3520</t>
        </is>
      </c>
      <c r="D309" t="inlineStr">
        <is>
          <t>PHLPost</t>
        </is>
      </c>
    </row>
    <row r="310" spans="1:4">
      <c r="A310" t="inlineStr">
        <is>
          <t>Cagayan</t>
        </is>
      </c>
      <c r="B310" t="inlineStr">
        <is>
          <t>Camalaniugan</t>
        </is>
      </c>
      <c r="C310" t="inlineStr">
        <is>
          <t>3510</t>
        </is>
      </c>
      <c r="D310" t="inlineStr">
        <is>
          <t>PHLPost</t>
        </is>
      </c>
    </row>
    <row r="311" spans="1:4">
      <c r="A311" t="inlineStr">
        <is>
          <t>Cagayan</t>
        </is>
      </c>
      <c r="B311" t="inlineStr">
        <is>
          <t>Claveria</t>
        </is>
      </c>
      <c r="C311" t="inlineStr">
        <is>
          <t>3519</t>
        </is>
      </c>
      <c r="D311" t="inlineStr">
        <is>
          <t>PHLPost</t>
        </is>
      </c>
    </row>
    <row r="312" spans="1:4">
      <c r="A312" t="inlineStr">
        <is>
          <t>Cagayan</t>
        </is>
      </c>
      <c r="B312" t="inlineStr">
        <is>
          <t>Enrile</t>
        </is>
      </c>
      <c r="C312" t="inlineStr">
        <is>
          <t>3501</t>
        </is>
      </c>
      <c r="D312" t="inlineStr">
        <is>
          <t>PHLPost</t>
        </is>
      </c>
    </row>
    <row r="313" spans="1:4">
      <c r="A313" t="inlineStr">
        <is>
          <t>Cagayan</t>
        </is>
      </c>
      <c r="B313" t="inlineStr">
        <is>
          <t>Gattaran</t>
        </is>
      </c>
      <c r="C313" t="inlineStr">
        <is>
          <t>3508</t>
        </is>
      </c>
      <c r="D313" t="inlineStr">
        <is>
          <t>PHLPost</t>
        </is>
      </c>
    </row>
    <row r="314" spans="1:4">
      <c r="A314" t="inlineStr">
        <is>
          <t>Cagayan</t>
        </is>
      </c>
      <c r="B314" t="inlineStr">
        <is>
          <t>Gonzaga</t>
        </is>
      </c>
      <c r="C314" t="inlineStr">
        <is>
          <t>3513</t>
        </is>
      </c>
      <c r="D314" t="inlineStr">
        <is>
          <t>PHLPost</t>
        </is>
      </c>
    </row>
    <row r="315" spans="1:4">
      <c r="A315" t="inlineStr">
        <is>
          <t>Cagayan</t>
        </is>
      </c>
      <c r="B315" t="inlineStr">
        <is>
          <t>Iguig</t>
        </is>
      </c>
      <c r="C315" t="inlineStr">
        <is>
          <t>3504</t>
        </is>
      </c>
      <c r="D315" t="inlineStr">
        <is>
          <t>PHLPost</t>
        </is>
      </c>
    </row>
    <row r="316" spans="1:4">
      <c r="A316" t="inlineStr">
        <is>
          <t>Cagayan</t>
        </is>
      </c>
      <c r="B316" t="inlineStr">
        <is>
          <t>Lal-Lo</t>
        </is>
      </c>
      <c r="C316" t="inlineStr">
        <is>
          <t>3509</t>
        </is>
      </c>
      <c r="D316" t="inlineStr">
        <is>
          <t>PHLPost</t>
        </is>
      </c>
    </row>
    <row r="317" spans="1:4">
      <c r="A317" t="inlineStr">
        <is>
          <t>Cagayan</t>
        </is>
      </c>
      <c r="B317" t="inlineStr">
        <is>
          <t>Lasam</t>
        </is>
      </c>
      <c r="C317" t="inlineStr">
        <is>
          <t>3524</t>
        </is>
      </c>
      <c r="D317" t="inlineStr">
        <is>
          <t>PHLPost</t>
        </is>
      </c>
    </row>
    <row r="318" spans="1:4">
      <c r="A318" t="inlineStr">
        <is>
          <t>Cagayan</t>
        </is>
      </c>
      <c r="B318" t="inlineStr">
        <is>
          <t>Pamplona</t>
        </is>
      </c>
      <c r="C318" t="inlineStr">
        <is>
          <t>3522</t>
        </is>
      </c>
      <c r="D318" t="inlineStr">
        <is>
          <t>PHLPost</t>
        </is>
      </c>
    </row>
    <row r="319" spans="1:4">
      <c r="A319" t="inlineStr">
        <is>
          <t>Cagayan</t>
        </is>
      </c>
      <c r="B319" t="inlineStr">
        <is>
          <t>Peñablanca</t>
        </is>
      </c>
      <c r="C319" t="inlineStr">
        <is>
          <t>3502</t>
        </is>
      </c>
      <c r="D319" t="inlineStr">
        <is>
          <t>PHLPost</t>
        </is>
      </c>
    </row>
    <row r="320" spans="1:4">
      <c r="A320" t="inlineStr">
        <is>
          <t>Cagayan</t>
        </is>
      </c>
      <c r="B320" t="inlineStr">
        <is>
          <t>Piat</t>
        </is>
      </c>
      <c r="C320" t="inlineStr">
        <is>
          <t>3527</t>
        </is>
      </c>
      <c r="D320" t="inlineStr">
        <is>
          <t>PHLPost</t>
        </is>
      </c>
    </row>
    <row r="321" spans="1:4">
      <c r="A321" t="inlineStr">
        <is>
          <t>Cagayan</t>
        </is>
      </c>
      <c r="B321" t="inlineStr">
        <is>
          <t>Rizal</t>
        </is>
      </c>
      <c r="C321" t="inlineStr">
        <is>
          <t>3526</t>
        </is>
      </c>
      <c r="D321" t="inlineStr">
        <is>
          <t>PHLPost</t>
        </is>
      </c>
    </row>
    <row r="322" spans="1:4">
      <c r="A322" t="inlineStr">
        <is>
          <t>Cagayan</t>
        </is>
      </c>
      <c r="B322" t="inlineStr">
        <is>
          <t>Sanchez Mira</t>
        </is>
      </c>
      <c r="C322" t="inlineStr">
        <is>
          <t>3518</t>
        </is>
      </c>
      <c r="D322" t="inlineStr">
        <is>
          <t>PHLPost</t>
        </is>
      </c>
    </row>
    <row r="323" spans="1:4">
      <c r="A323" t="inlineStr">
        <is>
          <t>Cagayan</t>
        </is>
      </c>
      <c r="B323" t="inlineStr">
        <is>
          <t>Santa Ana</t>
        </is>
      </c>
      <c r="C323" t="inlineStr">
        <is>
          <t>3514</t>
        </is>
      </c>
      <c r="D323" t="inlineStr">
        <is>
          <t>PHLPost</t>
        </is>
      </c>
    </row>
    <row r="324" spans="1:4">
      <c r="A324" t="inlineStr">
        <is>
          <t>Cagayan</t>
        </is>
      </c>
      <c r="B324" t="inlineStr">
        <is>
          <t>Santa Praxedes</t>
        </is>
      </c>
      <c r="C324" t="inlineStr">
        <is>
          <t>3521</t>
        </is>
      </c>
      <c r="D324" t="inlineStr">
        <is>
          <t>PHLPost</t>
        </is>
      </c>
    </row>
    <row r="325" spans="1:4">
      <c r="A325" t="inlineStr">
        <is>
          <t>Cagayan</t>
        </is>
      </c>
      <c r="B325" t="inlineStr">
        <is>
          <t>Santa Teresita</t>
        </is>
      </c>
      <c r="C325" t="inlineStr">
        <is>
          <t>3512</t>
        </is>
      </c>
      <c r="D325" t="inlineStr">
        <is>
          <t>PHLPost</t>
        </is>
      </c>
    </row>
    <row r="326" spans="1:4">
      <c r="A326" t="inlineStr">
        <is>
          <t>Cagayan</t>
        </is>
      </c>
      <c r="B326" t="inlineStr">
        <is>
          <t>Santo Niño</t>
        </is>
      </c>
      <c r="C326" t="inlineStr">
        <is>
          <t>3525</t>
        </is>
      </c>
      <c r="D326" t="inlineStr">
        <is>
          <t>PHLPost</t>
        </is>
      </c>
    </row>
    <row r="327" spans="1:4">
      <c r="A327" t="inlineStr">
        <is>
          <t>Cagayan</t>
        </is>
      </c>
      <c r="B327" t="inlineStr">
        <is>
          <t>Solana</t>
        </is>
      </c>
      <c r="C327" t="inlineStr">
        <is>
          <t>3503</t>
        </is>
      </c>
      <c r="D327" t="inlineStr">
        <is>
          <t>PHLPost</t>
        </is>
      </c>
    </row>
    <row r="328" spans="1:4">
      <c r="A328" t="inlineStr">
        <is>
          <t>Cagayan</t>
        </is>
      </c>
      <c r="B328" t="inlineStr">
        <is>
          <t>Tuao</t>
        </is>
      </c>
      <c r="C328" t="inlineStr">
        <is>
          <t>3528</t>
        </is>
      </c>
      <c r="D328" t="inlineStr">
        <is>
          <t>PHLPost</t>
        </is>
      </c>
    </row>
    <row r="329" spans="1:4">
      <c r="A329" t="inlineStr">
        <is>
          <t>Cagayan</t>
        </is>
      </c>
      <c r="B329" t="inlineStr">
        <is>
          <t>Tuguegarao City</t>
        </is>
      </c>
      <c r="C329" t="inlineStr">
        <is>
          <t>3500</t>
        </is>
      </c>
      <c r="D329" t="inlineStr">
        <is>
          <t>PHLPost</t>
        </is>
      </c>
    </row>
    <row r="330" spans="1:4">
      <c r="A330" t="inlineStr">
        <is>
          <t>Camarines Norte</t>
        </is>
      </c>
      <c r="B330" t="inlineStr">
        <is>
          <t>Basud</t>
        </is>
      </c>
      <c r="C330" t="inlineStr">
        <is>
          <t>4608</t>
        </is>
      </c>
      <c r="D330" t="inlineStr">
        <is>
          <t>PHLPost</t>
        </is>
      </c>
    </row>
    <row r="331" spans="1:4">
      <c r="A331" t="inlineStr">
        <is>
          <t>Camarines Norte</t>
        </is>
      </c>
      <c r="B331" t="inlineStr">
        <is>
          <t>Capalonga</t>
        </is>
      </c>
      <c r="C331" t="inlineStr">
        <is>
          <t>4607</t>
        </is>
      </c>
      <c r="D331" t="inlineStr">
        <is>
          <t>PHLPost</t>
        </is>
      </c>
    </row>
    <row r="332" spans="1:4">
      <c r="A332" t="inlineStr">
        <is>
          <t>Camarines Norte</t>
        </is>
      </c>
      <c r="B332" t="inlineStr">
        <is>
          <t>Daet</t>
        </is>
      </c>
      <c r="C332" t="inlineStr">
        <is>
          <t>4600</t>
        </is>
      </c>
      <c r="D332" t="inlineStr">
        <is>
          <t>PHLPost</t>
        </is>
      </c>
    </row>
    <row r="333" spans="1:4">
      <c r="A333" t="inlineStr">
        <is>
          <t>Camarines Norte</t>
        </is>
      </c>
      <c r="B333" t="inlineStr">
        <is>
          <t>Jose Panganiban</t>
        </is>
      </c>
      <c r="C333" t="inlineStr">
        <is>
          <t>4606</t>
        </is>
      </c>
      <c r="D333" t="inlineStr">
        <is>
          <t>PHLPost</t>
        </is>
      </c>
    </row>
    <row r="334" spans="1:4">
      <c r="A334" t="inlineStr">
        <is>
          <t>Camarines Norte</t>
        </is>
      </c>
      <c r="B334" t="inlineStr">
        <is>
          <t>Labo</t>
        </is>
      </c>
      <c r="C334" t="inlineStr">
        <is>
          <t>4604</t>
        </is>
      </c>
      <c r="D334" t="inlineStr">
        <is>
          <t>PHLPost</t>
        </is>
      </c>
    </row>
    <row r="335" spans="1:4">
      <c r="A335" t="inlineStr">
        <is>
          <t>Camarines Norte</t>
        </is>
      </c>
      <c r="B335" t="inlineStr">
        <is>
          <t>Mercedes</t>
        </is>
      </c>
      <c r="C335" t="inlineStr">
        <is>
          <t>4601</t>
        </is>
      </c>
      <c r="D335" t="inlineStr">
        <is>
          <t>PHLPost</t>
        </is>
      </c>
    </row>
    <row r="336" spans="1:4">
      <c r="A336" t="inlineStr">
        <is>
          <t>Camarines Norte</t>
        </is>
      </c>
      <c r="B336" t="inlineStr">
        <is>
          <t>Paracale</t>
        </is>
      </c>
      <c r="C336" t="inlineStr">
        <is>
          <t>4605</t>
        </is>
      </c>
      <c r="D336" t="inlineStr">
        <is>
          <t>PHLPost</t>
        </is>
      </c>
    </row>
    <row r="337" spans="1:4">
      <c r="A337" t="inlineStr">
        <is>
          <t>Camarines Norte</t>
        </is>
      </c>
      <c r="B337" t="inlineStr">
        <is>
          <t>San Lorenzo Ruiz</t>
        </is>
      </c>
      <c r="C337" t="inlineStr">
        <is>
          <t>4610</t>
        </is>
      </c>
      <c r="D337" t="inlineStr">
        <is>
          <t>BarangayDirectory</t>
        </is>
      </c>
    </row>
    <row r="338" spans="1:4">
      <c r="A338" t="inlineStr">
        <is>
          <t>Camarines Norte</t>
        </is>
      </c>
      <c r="B338" t="inlineStr">
        <is>
          <t>San Vicente</t>
        </is>
      </c>
      <c r="C338" t="inlineStr">
        <is>
          <t>4609</t>
        </is>
      </c>
      <c r="D338" t="inlineStr">
        <is>
          <t>PHLPost</t>
        </is>
      </c>
    </row>
    <row r="339" spans="1:4">
      <c r="A339" t="inlineStr">
        <is>
          <t>Camarines Norte</t>
        </is>
      </c>
      <c r="B339" t="inlineStr">
        <is>
          <t>Santa Elena</t>
        </is>
      </c>
      <c r="C339" t="inlineStr">
        <is>
          <t>4611</t>
        </is>
      </c>
      <c r="D339" t="inlineStr">
        <is>
          <t>PHLPost</t>
        </is>
      </c>
    </row>
    <row r="340" spans="1:4">
      <c r="A340" t="inlineStr">
        <is>
          <t>Camarines Norte</t>
        </is>
      </c>
      <c r="B340" t="inlineStr">
        <is>
          <t>Talisay</t>
        </is>
      </c>
      <c r="C340" t="inlineStr">
        <is>
          <t>4602</t>
        </is>
      </c>
      <c r="D340" t="inlineStr">
        <is>
          <t>PHLPost</t>
        </is>
      </c>
    </row>
    <row r="341" spans="1:4">
      <c r="A341" t="inlineStr">
        <is>
          <t>Camarines Norte</t>
        </is>
      </c>
      <c r="B341" t="inlineStr">
        <is>
          <t>Vinzons</t>
        </is>
      </c>
      <c r="C341" t="inlineStr">
        <is>
          <t>4603</t>
        </is>
      </c>
      <c r="D341" t="inlineStr">
        <is>
          <t>PHLPost</t>
        </is>
      </c>
    </row>
    <row r="342" spans="1:4">
      <c r="A342" t="inlineStr">
        <is>
          <t>Camarines Sur</t>
        </is>
      </c>
      <c r="B342" t="inlineStr">
        <is>
          <t>Baao</t>
        </is>
      </c>
      <c r="C342" t="inlineStr">
        <is>
          <t>4432</t>
        </is>
      </c>
      <c r="D342" t="inlineStr">
        <is>
          <t>BarangayDirectory</t>
        </is>
      </c>
    </row>
    <row r="343" spans="1:4">
      <c r="A343" t="inlineStr">
        <is>
          <t>Camarines Sur</t>
        </is>
      </c>
      <c r="B343" t="inlineStr">
        <is>
          <t>Balatan</t>
        </is>
      </c>
      <c r="C343" t="inlineStr">
        <is>
          <t>4436</t>
        </is>
      </c>
      <c r="D343" t="inlineStr">
        <is>
          <t>BarangayDirectory</t>
        </is>
      </c>
    </row>
    <row r="344" spans="1:4">
      <c r="A344" t="inlineStr">
        <is>
          <t>Camarines Sur</t>
        </is>
      </c>
      <c r="B344" t="inlineStr">
        <is>
          <t>Bato</t>
        </is>
      </c>
      <c r="C344" t="inlineStr">
        <is>
          <t>4435</t>
        </is>
      </c>
      <c r="D344" t="inlineStr">
        <is>
          <t>BarangayDirectory</t>
        </is>
      </c>
    </row>
    <row r="345" spans="1:4">
      <c r="A345" t="inlineStr">
        <is>
          <t>Camarines Sur</t>
        </is>
      </c>
      <c r="B345" t="inlineStr">
        <is>
          <t>Bombon</t>
        </is>
      </c>
      <c r="C345" t="inlineStr">
        <is>
          <t>4404</t>
        </is>
      </c>
      <c r="D345" t="inlineStr">
        <is>
          <t>BarangayDirectory</t>
        </is>
      </c>
    </row>
    <row r="346" spans="1:4">
      <c r="A346" t="inlineStr">
        <is>
          <t>Camarines Sur</t>
        </is>
      </c>
      <c r="B346" t="inlineStr">
        <is>
          <t>Buhi</t>
        </is>
      </c>
      <c r="C346" t="inlineStr">
        <is>
          <t>4433</t>
        </is>
      </c>
      <c r="D346" t="inlineStr">
        <is>
          <t>BarangayDirectory</t>
        </is>
      </c>
    </row>
    <row r="347" spans="1:4">
      <c r="A347" t="inlineStr">
        <is>
          <t>Camarines Sur</t>
        </is>
      </c>
      <c r="B347" t="inlineStr">
        <is>
          <t>Bula</t>
        </is>
      </c>
      <c r="C347" t="inlineStr">
        <is>
          <t>4430</t>
        </is>
      </c>
      <c r="D347" t="inlineStr">
        <is>
          <t>BarangayDirectory</t>
        </is>
      </c>
    </row>
    <row r="348" spans="1:4">
      <c r="A348" t="inlineStr">
        <is>
          <t>Camarines Sur</t>
        </is>
      </c>
      <c r="B348" t="inlineStr">
        <is>
          <t>Cabusao</t>
        </is>
      </c>
      <c r="C348" t="inlineStr">
        <is>
          <t>4406</t>
        </is>
      </c>
      <c r="D348" t="inlineStr">
        <is>
          <t>BarangayDirectory</t>
        </is>
      </c>
    </row>
    <row r="349" spans="1:4">
      <c r="A349" t="inlineStr">
        <is>
          <t>Camarines Sur</t>
        </is>
      </c>
      <c r="B349" t="inlineStr">
        <is>
          <t>Calabanga</t>
        </is>
      </c>
      <c r="C349" t="inlineStr">
        <is>
          <t>4405</t>
        </is>
      </c>
      <c r="D349" t="inlineStr">
        <is>
          <t>BarangayDirectory</t>
        </is>
      </c>
    </row>
    <row r="350" spans="1:4">
      <c r="A350" t="inlineStr">
        <is>
          <t>Camarines Sur</t>
        </is>
      </c>
      <c r="B350" t="inlineStr">
        <is>
          <t>Camaligan</t>
        </is>
      </c>
      <c r="C350" t="inlineStr">
        <is>
          <t>4401</t>
        </is>
      </c>
      <c r="D350" t="inlineStr">
        <is>
          <t>BarangayDirectory</t>
        </is>
      </c>
    </row>
    <row r="351" spans="1:4">
      <c r="A351" t="inlineStr">
        <is>
          <t>Camarines Sur</t>
        </is>
      </c>
      <c r="B351" t="inlineStr">
        <is>
          <t>Canaman</t>
        </is>
      </c>
      <c r="C351" t="inlineStr">
        <is>
          <t>4402</t>
        </is>
      </c>
      <c r="D351" t="inlineStr">
        <is>
          <t>BarangayDirectory</t>
        </is>
      </c>
    </row>
    <row r="352" spans="1:4">
      <c r="A352" t="inlineStr">
        <is>
          <t>Camarines Sur</t>
        </is>
      </c>
      <c r="B352" t="inlineStr">
        <is>
          <t>Caramoan</t>
        </is>
      </c>
      <c r="C352" t="inlineStr">
        <is>
          <t>4429</t>
        </is>
      </c>
      <c r="D352" t="inlineStr">
        <is>
          <t>BarangayDirectory</t>
        </is>
      </c>
    </row>
    <row r="353" spans="1:4">
      <c r="A353" t="inlineStr">
        <is>
          <t>Camarines Sur</t>
        </is>
      </c>
      <c r="B353" t="inlineStr">
        <is>
          <t>City of Iriga</t>
        </is>
      </c>
      <c r="C353" t="inlineStr">
        <is>
          <t>4431</t>
        </is>
      </c>
      <c r="D353" t="inlineStr">
        <is>
          <t>BarangayDirectory</t>
        </is>
      </c>
    </row>
    <row r="354" spans="1:4">
      <c r="A354" t="inlineStr">
        <is>
          <t>Camarines Sur</t>
        </is>
      </c>
      <c r="B354" t="inlineStr">
        <is>
          <t>City of Naga</t>
        </is>
      </c>
      <c r="C354" t="inlineStr">
        <is>
          <t>4400</t>
        </is>
      </c>
      <c r="D354" t="inlineStr">
        <is>
          <t>BarangayDirectory</t>
        </is>
      </c>
    </row>
    <row r="355" spans="1:4">
      <c r="A355" t="inlineStr">
        <is>
          <t>Camarines Sur</t>
        </is>
      </c>
      <c r="B355" t="inlineStr">
        <is>
          <t>Del Gallego</t>
        </is>
      </c>
      <c r="C355" t="inlineStr">
        <is>
          <t>4411</t>
        </is>
      </c>
      <c r="D355" t="inlineStr">
        <is>
          <t>BarangayDirectory</t>
        </is>
      </c>
    </row>
    <row r="356" spans="1:4">
      <c r="A356" t="inlineStr">
        <is>
          <t>Camarines Sur</t>
        </is>
      </c>
      <c r="B356" t="inlineStr">
        <is>
          <t>Gainza</t>
        </is>
      </c>
      <c r="C356" t="inlineStr">
        <is>
          <t>4412</t>
        </is>
      </c>
      <c r="D356" t="inlineStr">
        <is>
          <t>BarangayDirectory</t>
        </is>
      </c>
    </row>
    <row r="357" spans="1:4">
      <c r="A357" t="inlineStr">
        <is>
          <t>Camarines Sur</t>
        </is>
      </c>
      <c r="B357" t="inlineStr">
        <is>
          <t>Garchitorena</t>
        </is>
      </c>
      <c r="C357" t="inlineStr">
        <is>
          <t>4428</t>
        </is>
      </c>
      <c r="D357" t="inlineStr">
        <is>
          <t>BarangayDirectory</t>
        </is>
      </c>
    </row>
    <row r="358" spans="1:4">
      <c r="A358" t="inlineStr">
        <is>
          <t>Camarines Sur</t>
        </is>
      </c>
      <c r="B358" t="inlineStr">
        <is>
          <t>Goa</t>
        </is>
      </c>
      <c r="C358" t="inlineStr">
        <is>
          <t>4422</t>
        </is>
      </c>
      <c r="D358" t="inlineStr">
        <is>
          <t>BarangayDirectory</t>
        </is>
      </c>
    </row>
    <row r="359" spans="1:4">
      <c r="A359" t="inlineStr">
        <is>
          <t>Camarines Sur</t>
        </is>
      </c>
      <c r="B359" t="inlineStr">
        <is>
          <t>Lagonoy</t>
        </is>
      </c>
      <c r="C359" t="inlineStr">
        <is>
          <t>4425</t>
        </is>
      </c>
      <c r="D359" t="inlineStr">
        <is>
          <t>BarangayDirectory</t>
        </is>
      </c>
    </row>
    <row r="360" spans="1:4">
      <c r="A360" t="inlineStr">
        <is>
          <t>Camarines Sur</t>
        </is>
      </c>
      <c r="B360" t="inlineStr">
        <is>
          <t>Libmanan</t>
        </is>
      </c>
      <c r="C360" t="inlineStr">
        <is>
          <t>4407</t>
        </is>
      </c>
      <c r="D360" t="inlineStr">
        <is>
          <t>BarangayDirectory</t>
        </is>
      </c>
    </row>
    <row r="361" spans="1:4">
      <c r="A361" t="inlineStr">
        <is>
          <t>Camarines Sur</t>
        </is>
      </c>
      <c r="B361" t="inlineStr">
        <is>
          <t>Lupi</t>
        </is>
      </c>
      <c r="C361" t="inlineStr">
        <is>
          <t>4409</t>
        </is>
      </c>
      <c r="D361" t="inlineStr">
        <is>
          <t>BarangayDirectory</t>
        </is>
      </c>
    </row>
    <row r="362" spans="1:4">
      <c r="A362" t="inlineStr">
        <is>
          <t>Camarines Sur</t>
        </is>
      </c>
      <c r="B362" t="inlineStr">
        <is>
          <t>Magarao</t>
        </is>
      </c>
      <c r="C362" t="inlineStr">
        <is>
          <t>4403</t>
        </is>
      </c>
      <c r="D362" t="inlineStr">
        <is>
          <t>BarangayDirectory</t>
        </is>
      </c>
    </row>
    <row r="363" spans="1:4">
      <c r="A363" t="inlineStr">
        <is>
          <t>Camarines Sur</t>
        </is>
      </c>
      <c r="B363" t="inlineStr">
        <is>
          <t>Milaor</t>
        </is>
      </c>
      <c r="C363" t="inlineStr">
        <is>
          <t>4413</t>
        </is>
      </c>
      <c r="D363" t="inlineStr">
        <is>
          <t>BarangayDirectory</t>
        </is>
      </c>
    </row>
    <row r="364" spans="1:4">
      <c r="A364" t="inlineStr">
        <is>
          <t>Camarines Sur</t>
        </is>
      </c>
      <c r="B364" t="inlineStr">
        <is>
          <t>Minalabac</t>
        </is>
      </c>
      <c r="C364" t="inlineStr">
        <is>
          <t>4414</t>
        </is>
      </c>
      <c r="D364" t="inlineStr">
        <is>
          <t>BarangayDirectory</t>
        </is>
      </c>
    </row>
    <row r="365" spans="1:4">
      <c r="A365" t="inlineStr">
        <is>
          <t>Camarines Sur</t>
        </is>
      </c>
      <c r="B365" t="inlineStr">
        <is>
          <t>Nabua</t>
        </is>
      </c>
      <c r="C365" t="inlineStr">
        <is>
          <t>4434</t>
        </is>
      </c>
      <c r="D365" t="inlineStr">
        <is>
          <t>BarangayDirectory</t>
        </is>
      </c>
    </row>
    <row r="366" spans="1:4">
      <c r="A366" t="inlineStr">
        <is>
          <t>Camarines Sur</t>
        </is>
      </c>
      <c r="B366" t="inlineStr">
        <is>
          <t>Ocampo</t>
        </is>
      </c>
      <c r="C366" t="inlineStr">
        <is>
          <t>4419</t>
        </is>
      </c>
      <c r="D366" t="inlineStr">
        <is>
          <t>BarangayDirectory</t>
        </is>
      </c>
    </row>
    <row r="367" spans="1:4">
      <c r="A367" t="inlineStr">
        <is>
          <t>Camarines Sur</t>
        </is>
      </c>
      <c r="B367" t="inlineStr">
        <is>
          <t>Pamplona</t>
        </is>
      </c>
      <c r="C367" t="inlineStr">
        <is>
          <t>4416</t>
        </is>
      </c>
      <c r="D367" t="inlineStr">
        <is>
          <t>BarangayDirectory</t>
        </is>
      </c>
    </row>
    <row r="368" spans="1:4">
      <c r="A368" t="inlineStr">
        <is>
          <t>Camarines Sur</t>
        </is>
      </c>
      <c r="B368" t="inlineStr">
        <is>
          <t>Pasacao</t>
        </is>
      </c>
      <c r="C368" t="inlineStr">
        <is>
          <t>4417</t>
        </is>
      </c>
      <c r="D368" t="inlineStr">
        <is>
          <t>BarangayDirectory</t>
        </is>
      </c>
    </row>
    <row r="369" spans="1:4">
      <c r="A369" t="inlineStr">
        <is>
          <t>Camarines Sur</t>
        </is>
      </c>
      <c r="B369" t="inlineStr">
        <is>
          <t>Pili</t>
        </is>
      </c>
      <c r="C369" t="inlineStr">
        <is>
          <t>4418</t>
        </is>
      </c>
      <c r="D369" t="inlineStr">
        <is>
          <t>BarangayDirectory</t>
        </is>
      </c>
    </row>
    <row r="370" spans="1:4">
      <c r="A370" t="inlineStr">
        <is>
          <t>Camarines Sur</t>
        </is>
      </c>
      <c r="B370" t="inlineStr">
        <is>
          <t>Presentacion</t>
        </is>
      </c>
      <c r="C370" t="inlineStr">
        <is>
          <t>4424</t>
        </is>
      </c>
      <c r="D370" t="inlineStr">
        <is>
          <t>BarangayDirectory</t>
        </is>
      </c>
    </row>
    <row r="371" spans="1:4">
      <c r="A371" t="inlineStr">
        <is>
          <t>Camarines Sur</t>
        </is>
      </c>
      <c r="B371" t="inlineStr">
        <is>
          <t>Ragay</t>
        </is>
      </c>
      <c r="C371" t="inlineStr">
        <is>
          <t>4410</t>
        </is>
      </c>
      <c r="D371" t="inlineStr">
        <is>
          <t>BarangayDirectory</t>
        </is>
      </c>
    </row>
    <row r="372" spans="1:4">
      <c r="A372" t="inlineStr">
        <is>
          <t>Camarines Sur</t>
        </is>
      </c>
      <c r="B372" t="inlineStr">
        <is>
          <t>Sagñay</t>
        </is>
      </c>
      <c r="C372" t="inlineStr">
        <is>
          <t>4421</t>
        </is>
      </c>
      <c r="D372" t="inlineStr">
        <is>
          <t>BarangayDirectory</t>
        </is>
      </c>
    </row>
    <row r="373" spans="1:4">
      <c r="A373" t="inlineStr">
        <is>
          <t>Camarines Sur</t>
        </is>
      </c>
      <c r="B373" t="inlineStr">
        <is>
          <t>San Fernando</t>
        </is>
      </c>
      <c r="C373" t="inlineStr">
        <is>
          <t>4415</t>
        </is>
      </c>
      <c r="D373" t="inlineStr">
        <is>
          <t>BarangayDirectory</t>
        </is>
      </c>
    </row>
    <row r="374" spans="1:4">
      <c r="A374" t="inlineStr">
        <is>
          <t>Camarines Sur</t>
        </is>
      </c>
      <c r="B374" t="inlineStr">
        <is>
          <t>San Jose</t>
        </is>
      </c>
      <c r="C374" t="inlineStr">
        <is>
          <t>4423</t>
        </is>
      </c>
      <c r="D374" t="inlineStr">
        <is>
          <t>BarangayDirectory</t>
        </is>
      </c>
    </row>
    <row r="375" spans="1:4">
      <c r="A375" t="inlineStr">
        <is>
          <t>Camarines Sur</t>
        </is>
      </c>
      <c r="B375" t="inlineStr">
        <is>
          <t>Sipocot</t>
        </is>
      </c>
      <c r="C375" t="inlineStr">
        <is>
          <t>4408</t>
        </is>
      </c>
      <c r="D375" t="inlineStr">
        <is>
          <t>BarangayDirectory</t>
        </is>
      </c>
    </row>
    <row r="376" spans="1:4">
      <c r="A376" t="inlineStr">
        <is>
          <t>Camarines Sur</t>
        </is>
      </c>
      <c r="B376" t="inlineStr">
        <is>
          <t>Siruma</t>
        </is>
      </c>
      <c r="C376" t="inlineStr">
        <is>
          <t>4427</t>
        </is>
      </c>
      <c r="D376" t="inlineStr">
        <is>
          <t>BarangayDirectory</t>
        </is>
      </c>
    </row>
    <row r="377" spans="1:4">
      <c r="A377" t="inlineStr">
        <is>
          <t>Camarines Sur</t>
        </is>
      </c>
      <c r="B377" t="inlineStr">
        <is>
          <t>Tigaon</t>
        </is>
      </c>
      <c r="C377" t="inlineStr">
        <is>
          <t>4420</t>
        </is>
      </c>
      <c r="D377" t="inlineStr">
        <is>
          <t>BarangayDirectory</t>
        </is>
      </c>
    </row>
    <row r="378" spans="1:4">
      <c r="A378" t="inlineStr">
        <is>
          <t>Camarines Sur</t>
        </is>
      </c>
      <c r="B378" t="inlineStr">
        <is>
          <t>Tinambac</t>
        </is>
      </c>
      <c r="C378" t="inlineStr">
        <is>
          <t>4426</t>
        </is>
      </c>
      <c r="D378" t="inlineStr">
        <is>
          <t>BarangayDirectory</t>
        </is>
      </c>
    </row>
    <row r="379" spans="1:4">
      <c r="A379" t="inlineStr">
        <is>
          <t>Camiguin</t>
        </is>
      </c>
      <c r="B379" t="inlineStr">
        <is>
          <t>Catarman</t>
        </is>
      </c>
      <c r="C379" t="inlineStr">
        <is>
          <t>9104</t>
        </is>
      </c>
      <c r="D379" t="inlineStr">
        <is>
          <t>PHLPost</t>
        </is>
      </c>
    </row>
    <row r="380" spans="1:4">
      <c r="A380" t="inlineStr">
        <is>
          <t>Camiguin</t>
        </is>
      </c>
      <c r="B380" t="inlineStr">
        <is>
          <t>Guinsiliban</t>
        </is>
      </c>
      <c r="C380" t="inlineStr">
        <is>
          <t>9102</t>
        </is>
      </c>
      <c r="D380" t="inlineStr">
        <is>
          <t>PHLPost</t>
        </is>
      </c>
    </row>
    <row r="381" spans="1:4">
      <c r="A381" t="inlineStr">
        <is>
          <t>Camiguin</t>
        </is>
      </c>
      <c r="B381" t="inlineStr">
        <is>
          <t>Mahinog</t>
        </is>
      </c>
      <c r="C381" t="inlineStr">
        <is>
          <t>9101</t>
        </is>
      </c>
      <c r="D381" t="inlineStr">
        <is>
          <t>PHLPost</t>
        </is>
      </c>
    </row>
    <row r="382" spans="1:4">
      <c r="A382" t="inlineStr">
        <is>
          <t>Camiguin</t>
        </is>
      </c>
      <c r="B382" t="inlineStr">
        <is>
          <t>Mambajao</t>
        </is>
      </c>
      <c r="C382" t="inlineStr">
        <is>
          <t>9100</t>
        </is>
      </c>
      <c r="D382" t="inlineStr">
        <is>
          <t>PHLPost</t>
        </is>
      </c>
    </row>
    <row r="383" spans="1:4">
      <c r="A383" t="inlineStr">
        <is>
          <t>Camiguin</t>
        </is>
      </c>
      <c r="B383" t="inlineStr">
        <is>
          <t>Sagay</t>
        </is>
      </c>
      <c r="C383" t="inlineStr">
        <is>
          <t>9103</t>
        </is>
      </c>
      <c r="D383" t="inlineStr">
        <is>
          <t>PHLPost</t>
        </is>
      </c>
    </row>
    <row r="384" spans="1:4">
      <c r="A384" t="inlineStr">
        <is>
          <t>Capiz</t>
        </is>
      </c>
      <c r="B384" t="inlineStr">
        <is>
          <t>City of Roxas</t>
        </is>
      </c>
      <c r="C384" t="inlineStr">
        <is>
          <t>5800</t>
        </is>
      </c>
      <c r="D384" t="inlineStr">
        <is>
          <t>BarangayDirectory</t>
        </is>
      </c>
    </row>
    <row r="385" spans="1:4">
      <c r="A385" t="inlineStr">
        <is>
          <t>Capiz</t>
        </is>
      </c>
      <c r="B385" t="inlineStr">
        <is>
          <t>Cuartero</t>
        </is>
      </c>
      <c r="C385" t="inlineStr">
        <is>
          <t>5811</t>
        </is>
      </c>
      <c r="D385" t="inlineStr">
        <is>
          <t>BarangayDirectory</t>
        </is>
      </c>
    </row>
    <row r="386" spans="1:4">
      <c r="A386" t="inlineStr">
        <is>
          <t>Capiz</t>
        </is>
      </c>
      <c r="B386" t="inlineStr">
        <is>
          <t>Dao</t>
        </is>
      </c>
      <c r="C386" t="inlineStr">
        <is>
          <t>5810</t>
        </is>
      </c>
      <c r="D386" t="inlineStr">
        <is>
          <t>BarangayDirectory</t>
        </is>
      </c>
    </row>
    <row r="387" spans="1:4">
      <c r="A387" t="inlineStr">
        <is>
          <t>Capiz</t>
        </is>
      </c>
      <c r="B387" t="inlineStr">
        <is>
          <t>Dumalag</t>
        </is>
      </c>
      <c r="C387" t="inlineStr">
        <is>
          <t>5813</t>
        </is>
      </c>
      <c r="D387" t="inlineStr">
        <is>
          <t>BarangayDirectory</t>
        </is>
      </c>
    </row>
    <row r="388" spans="1:4">
      <c r="A388" t="inlineStr">
        <is>
          <t>Capiz</t>
        </is>
      </c>
      <c r="B388" t="inlineStr">
        <is>
          <t>Dumarao</t>
        </is>
      </c>
      <c r="C388" t="inlineStr">
        <is>
          <t>5812</t>
        </is>
      </c>
      <c r="D388" t="inlineStr">
        <is>
          <t>BarangayDirectory</t>
        </is>
      </c>
    </row>
    <row r="389" spans="1:4">
      <c r="A389" t="inlineStr">
        <is>
          <t>Capiz</t>
        </is>
      </c>
      <c r="B389" t="inlineStr">
        <is>
          <t>Ivisan</t>
        </is>
      </c>
      <c r="C389" t="inlineStr">
        <is>
          <t>5805</t>
        </is>
      </c>
      <c r="D389" t="inlineStr">
        <is>
          <t>BarangayDirectory</t>
        </is>
      </c>
    </row>
    <row r="390" spans="1:4">
      <c r="A390" t="inlineStr">
        <is>
          <t>Capiz</t>
        </is>
      </c>
      <c r="B390" t="inlineStr">
        <is>
          <t>Jamindan</t>
        </is>
      </c>
      <c r="C390" t="inlineStr">
        <is>
          <t>5808</t>
        </is>
      </c>
      <c r="D390" t="inlineStr">
        <is>
          <t>BarangayDirectory</t>
        </is>
      </c>
    </row>
    <row r="391" spans="1:4">
      <c r="A391" t="inlineStr">
        <is>
          <t>Capiz</t>
        </is>
      </c>
      <c r="B391" t="inlineStr">
        <is>
          <t>Ma-Ayon</t>
        </is>
      </c>
      <c r="C391" t="inlineStr">
        <is>
          <t>5809</t>
        </is>
      </c>
      <c r="D391" t="inlineStr">
        <is>
          <t>BarangayDirectory</t>
        </is>
      </c>
    </row>
    <row r="392" spans="1:4">
      <c r="A392" t="inlineStr">
        <is>
          <t>Capiz</t>
        </is>
      </c>
      <c r="B392" t="inlineStr">
        <is>
          <t>Mambusao</t>
        </is>
      </c>
      <c r="C392" t="inlineStr">
        <is>
          <t>5807</t>
        </is>
      </c>
      <c r="D392" t="inlineStr">
        <is>
          <t>BarangayDirectory</t>
        </is>
      </c>
    </row>
    <row r="393" spans="1:4">
      <c r="A393" t="inlineStr">
        <is>
          <t>Capiz</t>
        </is>
      </c>
      <c r="B393" t="inlineStr">
        <is>
          <t>Panay</t>
        </is>
      </c>
      <c r="C393" t="inlineStr">
        <is>
          <t>5801</t>
        </is>
      </c>
      <c r="D393" t="inlineStr">
        <is>
          <t>BarangayDirectory</t>
        </is>
      </c>
    </row>
    <row r="394" spans="1:4">
      <c r="A394" t="inlineStr">
        <is>
          <t>Capiz</t>
        </is>
      </c>
      <c r="B394" t="inlineStr">
        <is>
          <t>Panitan</t>
        </is>
      </c>
      <c r="C394" t="inlineStr">
        <is>
          <t>5815</t>
        </is>
      </c>
      <c r="D394" t="inlineStr">
        <is>
          <t>BarangayDirectory</t>
        </is>
      </c>
    </row>
    <row r="395" spans="1:4">
      <c r="A395" t="inlineStr">
        <is>
          <t>Capiz</t>
        </is>
      </c>
      <c r="B395" t="inlineStr">
        <is>
          <t>Pilar</t>
        </is>
      </c>
      <c r="C395" t="inlineStr">
        <is>
          <t>5804</t>
        </is>
      </c>
      <c r="D395" t="inlineStr">
        <is>
          <t>BarangayDirectory</t>
        </is>
      </c>
    </row>
    <row r="396" spans="1:4">
      <c r="A396" t="inlineStr">
        <is>
          <t>Capiz</t>
        </is>
      </c>
      <c r="B396" t="inlineStr">
        <is>
          <t>Pontevedra</t>
        </is>
      </c>
      <c r="C396" t="inlineStr">
        <is>
          <t>5802</t>
        </is>
      </c>
      <c r="D396" t="inlineStr">
        <is>
          <t>BarangayDirectory</t>
        </is>
      </c>
    </row>
    <row r="397" spans="1:4">
      <c r="A397" t="inlineStr">
        <is>
          <t>Capiz</t>
        </is>
      </c>
      <c r="B397" t="inlineStr">
        <is>
          <t>President Roxas</t>
        </is>
      </c>
      <c r="C397" t="inlineStr">
        <is>
          <t>5803</t>
        </is>
      </c>
      <c r="D397" t="inlineStr">
        <is>
          <t>BarangayDirectory</t>
        </is>
      </c>
    </row>
    <row r="398" spans="1:4">
      <c r="A398" t="inlineStr">
        <is>
          <t>Capiz</t>
        </is>
      </c>
      <c r="B398" t="inlineStr">
        <is>
          <t>Sapi-An</t>
        </is>
      </c>
      <c r="D398" t="inlineStr">
        <is>
          <t>Needs verification</t>
        </is>
      </c>
    </row>
    <row r="399" spans="1:4">
      <c r="A399" t="inlineStr">
        <is>
          <t>Capiz</t>
        </is>
      </c>
      <c r="B399" t="inlineStr">
        <is>
          <t>Sigma</t>
        </is>
      </c>
      <c r="C399" t="inlineStr">
        <is>
          <t>5816</t>
        </is>
      </c>
      <c r="D399" t="inlineStr">
        <is>
          <t>BarangayDirectory</t>
        </is>
      </c>
    </row>
    <row r="400" spans="1:4">
      <c r="A400" t="inlineStr">
        <is>
          <t>Capiz</t>
        </is>
      </c>
      <c r="B400" t="inlineStr">
        <is>
          <t>Tapaz</t>
        </is>
      </c>
      <c r="C400" t="inlineStr">
        <is>
          <t>5814</t>
        </is>
      </c>
      <c r="D400" t="inlineStr">
        <is>
          <t>BarangayDirectory</t>
        </is>
      </c>
    </row>
    <row r="401" spans="1:4">
      <c r="A401" t="inlineStr">
        <is>
          <t>Catanduanes</t>
        </is>
      </c>
      <c r="B401" t="inlineStr">
        <is>
          <t>Bagamanoc</t>
        </is>
      </c>
      <c r="C401" t="inlineStr">
        <is>
          <t>4807</t>
        </is>
      </c>
      <c r="D401" t="inlineStr">
        <is>
          <t>PHLPost</t>
        </is>
      </c>
    </row>
    <row r="402" spans="1:4">
      <c r="A402" t="inlineStr">
        <is>
          <t>Catanduanes</t>
        </is>
      </c>
      <c r="B402" t="inlineStr">
        <is>
          <t>Baras</t>
        </is>
      </c>
      <c r="C402" t="inlineStr">
        <is>
          <t>4803</t>
        </is>
      </c>
      <c r="D402" t="inlineStr">
        <is>
          <t>PHLPost</t>
        </is>
      </c>
    </row>
    <row r="403" spans="1:4">
      <c r="A403" t="inlineStr">
        <is>
          <t>Catanduanes</t>
        </is>
      </c>
      <c r="B403" t="inlineStr">
        <is>
          <t>Bato</t>
        </is>
      </c>
      <c r="C403" t="inlineStr">
        <is>
          <t>4801</t>
        </is>
      </c>
      <c r="D403" t="inlineStr">
        <is>
          <t>PHLPost</t>
        </is>
      </c>
    </row>
    <row r="404" spans="1:4">
      <c r="A404" t="inlineStr">
        <is>
          <t>Catanduanes</t>
        </is>
      </c>
      <c r="B404" t="inlineStr">
        <is>
          <t>Caramoran</t>
        </is>
      </c>
      <c r="C404" t="inlineStr">
        <is>
          <t>4808</t>
        </is>
      </c>
      <c r="D404" t="inlineStr">
        <is>
          <t>PHLPost</t>
        </is>
      </c>
    </row>
    <row r="405" spans="1:4">
      <c r="A405" t="inlineStr">
        <is>
          <t>Catanduanes</t>
        </is>
      </c>
      <c r="B405" t="inlineStr">
        <is>
          <t>Gigmoto</t>
        </is>
      </c>
      <c r="C405" t="inlineStr">
        <is>
          <t>4804</t>
        </is>
      </c>
      <c r="D405" t="inlineStr">
        <is>
          <t>PHLPost</t>
        </is>
      </c>
    </row>
    <row r="406" spans="1:4">
      <c r="A406" t="inlineStr">
        <is>
          <t>Catanduanes</t>
        </is>
      </c>
      <c r="B406" t="inlineStr">
        <is>
          <t>Pandan</t>
        </is>
      </c>
      <c r="C406" t="inlineStr">
        <is>
          <t>4809</t>
        </is>
      </c>
      <c r="D406" t="inlineStr">
        <is>
          <t>PHLPost</t>
        </is>
      </c>
    </row>
    <row r="407" spans="1:4">
      <c r="A407" t="inlineStr">
        <is>
          <t>Catanduanes</t>
        </is>
      </c>
      <c r="B407" t="inlineStr">
        <is>
          <t>Panganiban</t>
        </is>
      </c>
      <c r="C407" t="inlineStr">
        <is>
          <t>4806</t>
        </is>
      </c>
      <c r="D407" t="inlineStr">
        <is>
          <t>PHLPost</t>
        </is>
      </c>
    </row>
    <row r="408" spans="1:4">
      <c r="A408" t="inlineStr">
        <is>
          <t>Catanduanes</t>
        </is>
      </c>
      <c r="B408" t="inlineStr">
        <is>
          <t>San Andres</t>
        </is>
      </c>
      <c r="C408" t="inlineStr">
        <is>
          <t>4810</t>
        </is>
      </c>
      <c r="D408" t="inlineStr">
        <is>
          <t>PHLPost</t>
        </is>
      </c>
    </row>
    <row r="409" spans="1:4">
      <c r="A409" t="inlineStr">
        <is>
          <t>Catanduanes</t>
        </is>
      </c>
      <c r="B409" t="inlineStr">
        <is>
          <t>San Miguel</t>
        </is>
      </c>
      <c r="C409" t="inlineStr">
        <is>
          <t>4802</t>
        </is>
      </c>
      <c r="D409" t="inlineStr">
        <is>
          <t>PHLPost</t>
        </is>
      </c>
    </row>
    <row r="410" spans="1:4">
      <c r="A410" t="inlineStr">
        <is>
          <t>Catanduanes</t>
        </is>
      </c>
      <c r="B410" t="inlineStr">
        <is>
          <t>Viga</t>
        </is>
      </c>
      <c r="C410" t="inlineStr">
        <is>
          <t>4805</t>
        </is>
      </c>
      <c r="D410" t="inlineStr">
        <is>
          <t>PHLPost</t>
        </is>
      </c>
    </row>
    <row r="411" spans="1:4">
      <c r="A411" t="inlineStr">
        <is>
          <t>Catanduanes</t>
        </is>
      </c>
      <c r="B411" t="inlineStr">
        <is>
          <t>Virac</t>
        </is>
      </c>
      <c r="C411" t="inlineStr">
        <is>
          <t>4800</t>
        </is>
      </c>
      <c r="D411" t="inlineStr">
        <is>
          <t>PHLPost</t>
        </is>
      </c>
    </row>
    <row r="412" spans="1:4">
      <c r="A412" t="inlineStr">
        <is>
          <t>Cavite</t>
        </is>
      </c>
      <c r="B412" t="inlineStr">
        <is>
          <t>Alfonso</t>
        </is>
      </c>
      <c r="C412" t="inlineStr">
        <is>
          <t>4123</t>
        </is>
      </c>
      <c r="D412" t="inlineStr">
        <is>
          <t>PHLPost</t>
        </is>
      </c>
    </row>
    <row r="413" spans="1:4">
      <c r="A413" t="inlineStr">
        <is>
          <t>Cavite</t>
        </is>
      </c>
      <c r="B413" t="inlineStr">
        <is>
          <t>Amadeo</t>
        </is>
      </c>
      <c r="C413" t="inlineStr">
        <is>
          <t>4119</t>
        </is>
      </c>
      <c r="D413" t="inlineStr">
        <is>
          <t>PHLPost</t>
        </is>
      </c>
    </row>
    <row r="414" spans="1:4">
      <c r="A414" t="inlineStr">
        <is>
          <t>Cavite</t>
        </is>
      </c>
      <c r="B414" t="inlineStr">
        <is>
          <t>City of Bacoor</t>
        </is>
      </c>
      <c r="C414" t="inlineStr">
        <is>
          <t>4102</t>
        </is>
      </c>
      <c r="D414" t="inlineStr">
        <is>
          <t>PHLPost</t>
        </is>
      </c>
    </row>
    <row r="415" spans="1:4">
      <c r="A415" t="inlineStr">
        <is>
          <t>Cavite</t>
        </is>
      </c>
      <c r="B415" t="inlineStr">
        <is>
          <t>City of Carmona</t>
        </is>
      </c>
      <c r="C415" t="inlineStr">
        <is>
          <t>4116</t>
        </is>
      </c>
      <c r="D415" t="inlineStr">
        <is>
          <t>PHLPost</t>
        </is>
      </c>
    </row>
    <row r="416" spans="1:4">
      <c r="A416" t="inlineStr">
        <is>
          <t>Cavite</t>
        </is>
      </c>
      <c r="B416" t="inlineStr">
        <is>
          <t>City of Cavite</t>
        </is>
      </c>
      <c r="C416" t="inlineStr">
        <is>
          <t>4100</t>
        </is>
      </c>
      <c r="D416" t="inlineStr">
        <is>
          <t>PHLPost</t>
        </is>
      </c>
    </row>
    <row r="417" spans="1:4">
      <c r="A417" t="inlineStr">
        <is>
          <t>Cavite</t>
        </is>
      </c>
      <c r="B417" t="inlineStr">
        <is>
          <t>City of Dasmariñas</t>
        </is>
      </c>
      <c r="C417" t="inlineStr">
        <is>
          <t>4114</t>
        </is>
      </c>
      <c r="D417" t="inlineStr">
        <is>
          <t>PHLPost</t>
        </is>
      </c>
    </row>
    <row r="418" spans="1:4">
      <c r="A418" t="inlineStr">
        <is>
          <t>Cavite</t>
        </is>
      </c>
      <c r="B418" t="inlineStr">
        <is>
          <t>City of General Trias</t>
        </is>
      </c>
      <c r="C418" t="inlineStr">
        <is>
          <t>4107</t>
        </is>
      </c>
      <c r="D418" t="inlineStr">
        <is>
          <t>BarangayDirectory</t>
        </is>
      </c>
    </row>
    <row r="419" spans="1:4">
      <c r="A419" t="inlineStr">
        <is>
          <t>Cavite</t>
        </is>
      </c>
      <c r="B419" t="inlineStr">
        <is>
          <t>City of Imus</t>
        </is>
      </c>
      <c r="C419" t="inlineStr">
        <is>
          <t>4103</t>
        </is>
      </c>
      <c r="D419" t="inlineStr">
        <is>
          <t>PHLPost</t>
        </is>
      </c>
    </row>
    <row r="420" spans="1:4">
      <c r="A420" t="inlineStr">
        <is>
          <t>Cavite</t>
        </is>
      </c>
      <c r="B420" t="inlineStr">
        <is>
          <t>City of Tagaytay</t>
        </is>
      </c>
      <c r="C420" t="inlineStr">
        <is>
          <t>4120</t>
        </is>
      </c>
      <c r="D420" t="inlineStr">
        <is>
          <t>PHLPost</t>
        </is>
      </c>
    </row>
    <row r="421" spans="1:4">
      <c r="A421" t="inlineStr">
        <is>
          <t>Cavite</t>
        </is>
      </c>
      <c r="B421" t="inlineStr">
        <is>
          <t>City of Trece Martires</t>
        </is>
      </c>
      <c r="C421" t="inlineStr">
        <is>
          <t>4109</t>
        </is>
      </c>
      <c r="D421" t="inlineStr">
        <is>
          <t>BarangayDirectory</t>
        </is>
      </c>
    </row>
    <row r="422" spans="1:4">
      <c r="A422" t="inlineStr">
        <is>
          <t>Cavite</t>
        </is>
      </c>
      <c r="B422" t="inlineStr">
        <is>
          <t>Gen. Mariano Alvarez</t>
        </is>
      </c>
      <c r="C422" t="inlineStr">
        <is>
          <t>4117</t>
        </is>
      </c>
      <c r="D422" t="inlineStr">
        <is>
          <t>PHLPost</t>
        </is>
      </c>
    </row>
    <row r="423" spans="1:4">
      <c r="A423" t="inlineStr">
        <is>
          <t>Cavite</t>
        </is>
      </c>
      <c r="B423" t="inlineStr">
        <is>
          <t>General Emilio Aguinaldo</t>
        </is>
      </c>
      <c r="C423" t="inlineStr">
        <is>
          <t>4124</t>
        </is>
      </c>
      <c r="D423" t="inlineStr">
        <is>
          <t>BarangayDirectory</t>
        </is>
      </c>
    </row>
    <row r="424" spans="1:4">
      <c r="A424" t="inlineStr">
        <is>
          <t>Cavite</t>
        </is>
      </c>
      <c r="B424" t="inlineStr">
        <is>
          <t>Indang</t>
        </is>
      </c>
      <c r="C424" t="inlineStr">
        <is>
          <t>4122</t>
        </is>
      </c>
      <c r="D424" t="inlineStr">
        <is>
          <t>PHLPost</t>
        </is>
      </c>
    </row>
    <row r="425" spans="1:4">
      <c r="A425" t="inlineStr">
        <is>
          <t>Cavite</t>
        </is>
      </c>
      <c r="B425" t="inlineStr">
        <is>
          <t>Kawit</t>
        </is>
      </c>
      <c r="C425" t="inlineStr">
        <is>
          <t>4104</t>
        </is>
      </c>
      <c r="D425" t="inlineStr">
        <is>
          <t>PHLPost</t>
        </is>
      </c>
    </row>
    <row r="426" spans="1:4">
      <c r="A426" t="inlineStr">
        <is>
          <t>Cavite</t>
        </is>
      </c>
      <c r="B426" t="inlineStr">
        <is>
          <t>Magallanes</t>
        </is>
      </c>
      <c r="C426" t="inlineStr">
        <is>
          <t>4113</t>
        </is>
      </c>
      <c r="D426" t="inlineStr">
        <is>
          <t>PHLPost</t>
        </is>
      </c>
    </row>
    <row r="427" spans="1:4">
      <c r="A427" t="inlineStr">
        <is>
          <t>Cavite</t>
        </is>
      </c>
      <c r="B427" t="inlineStr">
        <is>
          <t>Maragondon</t>
        </is>
      </c>
      <c r="C427" t="inlineStr">
        <is>
          <t>4112</t>
        </is>
      </c>
      <c r="D427" t="inlineStr">
        <is>
          <t>PHLPost</t>
        </is>
      </c>
    </row>
    <row r="428" spans="1:4">
      <c r="A428" t="inlineStr">
        <is>
          <t>Cavite</t>
        </is>
      </c>
      <c r="B428" t="inlineStr">
        <is>
          <t>Mendez</t>
        </is>
      </c>
      <c r="C428" t="inlineStr">
        <is>
          <t>4121</t>
        </is>
      </c>
      <c r="D428" t="inlineStr">
        <is>
          <t>PHLPost</t>
        </is>
      </c>
    </row>
    <row r="429" spans="1:4">
      <c r="A429" t="inlineStr">
        <is>
          <t>Cavite</t>
        </is>
      </c>
      <c r="B429" t="inlineStr">
        <is>
          <t>Naic</t>
        </is>
      </c>
      <c r="C429" t="inlineStr">
        <is>
          <t>4110</t>
        </is>
      </c>
      <c r="D429" t="inlineStr">
        <is>
          <t>PHLPost</t>
        </is>
      </c>
    </row>
    <row r="430" spans="1:4">
      <c r="A430" t="inlineStr">
        <is>
          <t>Cavite</t>
        </is>
      </c>
      <c r="B430" t="inlineStr">
        <is>
          <t>Noveleta</t>
        </is>
      </c>
      <c r="C430" t="inlineStr">
        <is>
          <t>4105</t>
        </is>
      </c>
      <c r="D430" t="inlineStr">
        <is>
          <t>PHLPost</t>
        </is>
      </c>
    </row>
    <row r="431" spans="1:4">
      <c r="A431" t="inlineStr">
        <is>
          <t>Cavite</t>
        </is>
      </c>
      <c r="B431" t="inlineStr">
        <is>
          <t>Rosario</t>
        </is>
      </c>
      <c r="C431" t="inlineStr">
        <is>
          <t>4106</t>
        </is>
      </c>
      <c r="D431" t="inlineStr">
        <is>
          <t>PHLPost</t>
        </is>
      </c>
    </row>
    <row r="432" spans="1:4">
      <c r="A432" t="inlineStr">
        <is>
          <t>Cavite</t>
        </is>
      </c>
      <c r="B432" t="inlineStr">
        <is>
          <t>Silang</t>
        </is>
      </c>
      <c r="C432" t="inlineStr">
        <is>
          <t>4118</t>
        </is>
      </c>
      <c r="D432" t="inlineStr">
        <is>
          <t>PHLPost</t>
        </is>
      </c>
    </row>
    <row r="433" spans="1:4">
      <c r="A433" t="inlineStr">
        <is>
          <t>Cavite</t>
        </is>
      </c>
      <c r="B433" t="inlineStr">
        <is>
          <t>Tanza</t>
        </is>
      </c>
      <c r="C433" t="inlineStr">
        <is>
          <t>4108</t>
        </is>
      </c>
      <c r="D433" t="inlineStr">
        <is>
          <t>PHLPost</t>
        </is>
      </c>
    </row>
    <row r="434" spans="1:4">
      <c r="A434" t="inlineStr">
        <is>
          <t>Cavite</t>
        </is>
      </c>
      <c r="B434" t="inlineStr">
        <is>
          <t>Ternate</t>
        </is>
      </c>
      <c r="C434" t="inlineStr">
        <is>
          <t>4111</t>
        </is>
      </c>
      <c r="D434" t="inlineStr">
        <is>
          <t>PHLPost</t>
        </is>
      </c>
    </row>
    <row r="435" spans="1:4">
      <c r="A435" t="inlineStr">
        <is>
          <t>Cebu</t>
        </is>
      </c>
      <c r="B435" t="inlineStr">
        <is>
          <t>Alcantara</t>
        </is>
      </c>
      <c r="C435" t="inlineStr">
        <is>
          <t>6033</t>
        </is>
      </c>
      <c r="D435" t="inlineStr">
        <is>
          <t>BarangayDirectory</t>
        </is>
      </c>
    </row>
    <row r="436" spans="1:4">
      <c r="A436" t="inlineStr">
        <is>
          <t>Cebu</t>
        </is>
      </c>
      <c r="B436" t="inlineStr">
        <is>
          <t>Alcoy</t>
        </is>
      </c>
      <c r="C436" t="inlineStr">
        <is>
          <t>6023</t>
        </is>
      </c>
      <c r="D436" t="inlineStr">
        <is>
          <t>BarangayDirectory</t>
        </is>
      </c>
    </row>
    <row r="437" spans="1:4">
      <c r="A437" t="inlineStr">
        <is>
          <t>Cebu</t>
        </is>
      </c>
      <c r="B437" t="inlineStr">
        <is>
          <t>Alegria</t>
        </is>
      </c>
      <c r="C437" t="inlineStr">
        <is>
          <t>6030</t>
        </is>
      </c>
      <c r="D437" t="inlineStr">
        <is>
          <t>BarangayDirectory</t>
        </is>
      </c>
    </row>
    <row r="438" spans="1:4">
      <c r="A438" t="inlineStr">
        <is>
          <t>Cebu</t>
        </is>
      </c>
      <c r="B438" t="inlineStr">
        <is>
          <t>Aloguinsan</t>
        </is>
      </c>
      <c r="C438" t="inlineStr">
        <is>
          <t>6040</t>
        </is>
      </c>
      <c r="D438" t="inlineStr">
        <is>
          <t>BarangayDirectory</t>
        </is>
      </c>
    </row>
    <row r="439" spans="1:4">
      <c r="A439" t="inlineStr">
        <is>
          <t>Cebu</t>
        </is>
      </c>
      <c r="B439" t="inlineStr">
        <is>
          <t>Argao</t>
        </is>
      </c>
      <c r="C439" t="inlineStr">
        <is>
          <t>6021</t>
        </is>
      </c>
      <c r="D439" t="inlineStr">
        <is>
          <t>BarangayDirectory</t>
        </is>
      </c>
    </row>
    <row r="440" spans="1:4">
      <c r="A440" t="inlineStr">
        <is>
          <t>Cebu</t>
        </is>
      </c>
      <c r="B440" t="inlineStr">
        <is>
          <t>Asturias</t>
        </is>
      </c>
      <c r="C440" t="inlineStr">
        <is>
          <t>6042</t>
        </is>
      </c>
      <c r="D440" t="inlineStr">
        <is>
          <t>BarangayDirectory</t>
        </is>
      </c>
    </row>
    <row r="441" spans="1:4">
      <c r="A441" t="inlineStr">
        <is>
          <t>Cebu</t>
        </is>
      </c>
      <c r="B441" t="inlineStr">
        <is>
          <t>Badian</t>
        </is>
      </c>
      <c r="C441" t="inlineStr">
        <is>
          <t>6031</t>
        </is>
      </c>
      <c r="D441" t="inlineStr">
        <is>
          <t>BarangayDirectory</t>
        </is>
      </c>
    </row>
    <row r="442" spans="1:4">
      <c r="A442" t="inlineStr">
        <is>
          <t>Cebu</t>
        </is>
      </c>
      <c r="B442" t="inlineStr">
        <is>
          <t>Balamban</t>
        </is>
      </c>
      <c r="C442" t="inlineStr">
        <is>
          <t>6041</t>
        </is>
      </c>
      <c r="D442" t="inlineStr">
        <is>
          <t>BarangayDirectory</t>
        </is>
      </c>
    </row>
    <row r="443" spans="1:4">
      <c r="A443" t="inlineStr">
        <is>
          <t>Cebu</t>
        </is>
      </c>
      <c r="B443" t="inlineStr">
        <is>
          <t>Bantayan</t>
        </is>
      </c>
      <c r="C443" t="inlineStr">
        <is>
          <t>6052</t>
        </is>
      </c>
      <c r="D443" t="inlineStr">
        <is>
          <t>BarangayDirectory</t>
        </is>
      </c>
    </row>
    <row r="444" spans="1:4">
      <c r="A444" t="inlineStr">
        <is>
          <t>Cebu</t>
        </is>
      </c>
      <c r="B444" t="inlineStr">
        <is>
          <t>Barili</t>
        </is>
      </c>
      <c r="C444" t="inlineStr">
        <is>
          <t>6036</t>
        </is>
      </c>
      <c r="D444" t="inlineStr">
        <is>
          <t>BarangayDirectory</t>
        </is>
      </c>
    </row>
    <row r="445" spans="1:4">
      <c r="A445" t="inlineStr">
        <is>
          <t>Cebu</t>
        </is>
      </c>
      <c r="B445" t="inlineStr">
        <is>
          <t>Boljoon</t>
        </is>
      </c>
      <c r="C445" t="inlineStr">
        <is>
          <t>6024</t>
        </is>
      </c>
      <c r="D445" t="inlineStr">
        <is>
          <t>BarangayDirectory</t>
        </is>
      </c>
    </row>
    <row r="446" spans="1:4">
      <c r="A446" t="inlineStr">
        <is>
          <t>Cebu</t>
        </is>
      </c>
      <c r="B446" t="inlineStr">
        <is>
          <t>Borbon</t>
        </is>
      </c>
      <c r="C446" t="inlineStr">
        <is>
          <t>6008</t>
        </is>
      </c>
      <c r="D446" t="inlineStr">
        <is>
          <t>BarangayDirectory</t>
        </is>
      </c>
    </row>
    <row r="447" spans="1:4">
      <c r="A447" t="inlineStr">
        <is>
          <t>Cebu</t>
        </is>
      </c>
      <c r="B447" t="inlineStr">
        <is>
          <t>Carmen</t>
        </is>
      </c>
      <c r="C447" t="inlineStr">
        <is>
          <t>6005</t>
        </is>
      </c>
      <c r="D447" t="inlineStr">
        <is>
          <t>BarangayDirectory</t>
        </is>
      </c>
    </row>
    <row r="448" spans="1:4">
      <c r="A448" t="inlineStr">
        <is>
          <t>Cebu</t>
        </is>
      </c>
      <c r="B448" t="inlineStr">
        <is>
          <t>Catmon</t>
        </is>
      </c>
      <c r="C448" t="inlineStr">
        <is>
          <t>6006</t>
        </is>
      </c>
      <c r="D448" t="inlineStr">
        <is>
          <t>BarangayDirectory</t>
        </is>
      </c>
    </row>
    <row r="449" spans="1:4">
      <c r="A449" t="inlineStr">
        <is>
          <t>Cebu</t>
        </is>
      </c>
      <c r="B449" t="inlineStr">
        <is>
          <t>City of Bogo</t>
        </is>
      </c>
      <c r="C449" t="inlineStr">
        <is>
          <t>6010</t>
        </is>
      </c>
      <c r="D449" t="inlineStr">
        <is>
          <t>BarangayDirectory</t>
        </is>
      </c>
    </row>
    <row r="450" spans="1:4">
      <c r="A450" t="inlineStr">
        <is>
          <t>Cebu</t>
        </is>
      </c>
      <c r="B450" t="inlineStr">
        <is>
          <t>City of Carcar</t>
        </is>
      </c>
      <c r="C450" t="inlineStr">
        <is>
          <t>6019</t>
        </is>
      </c>
      <c r="D450" t="inlineStr">
        <is>
          <t>BarangayDirectory</t>
        </is>
      </c>
    </row>
    <row r="451" spans="1:4">
      <c r="A451" t="inlineStr">
        <is>
          <t>Cebu</t>
        </is>
      </c>
      <c r="B451" t="inlineStr">
        <is>
          <t>City of Naga</t>
        </is>
      </c>
      <c r="C451" t="inlineStr">
        <is>
          <t>6037</t>
        </is>
      </c>
      <c r="D451" t="inlineStr">
        <is>
          <t>BarangayDirectory</t>
        </is>
      </c>
    </row>
    <row r="452" spans="1:4">
      <c r="A452" t="inlineStr">
        <is>
          <t>Cebu</t>
        </is>
      </c>
      <c r="B452" t="inlineStr">
        <is>
          <t>City of Talisay</t>
        </is>
      </c>
      <c r="C452" t="inlineStr">
        <is>
          <t>6045</t>
        </is>
      </c>
      <c r="D452" t="inlineStr">
        <is>
          <t>BarangayDirectory</t>
        </is>
      </c>
    </row>
    <row r="453" spans="1:4">
      <c r="A453" t="inlineStr">
        <is>
          <t>Cebu</t>
        </is>
      </c>
      <c r="B453" t="inlineStr">
        <is>
          <t>City of Toledo</t>
        </is>
      </c>
      <c r="C453" t="inlineStr">
        <is>
          <t>6038</t>
        </is>
      </c>
      <c r="D453" t="inlineStr">
        <is>
          <t>BarangayDirectory</t>
        </is>
      </c>
    </row>
    <row r="454" spans="1:4">
      <c r="A454" t="inlineStr">
        <is>
          <t>Cebu</t>
        </is>
      </c>
      <c r="B454" t="inlineStr">
        <is>
          <t>Compostela</t>
        </is>
      </c>
      <c r="C454" t="inlineStr">
        <is>
          <t>6003</t>
        </is>
      </c>
      <c r="D454" t="inlineStr">
        <is>
          <t>BarangayDirectory</t>
        </is>
      </c>
    </row>
    <row r="455" spans="1:4">
      <c r="A455" t="inlineStr">
        <is>
          <t>Cebu</t>
        </is>
      </c>
      <c r="B455" t="inlineStr">
        <is>
          <t>Consolacion</t>
        </is>
      </c>
      <c r="C455" t="inlineStr">
        <is>
          <t>6001</t>
        </is>
      </c>
      <c r="D455" t="inlineStr">
        <is>
          <t>BarangayDirectory</t>
        </is>
      </c>
    </row>
    <row r="456" spans="1:4">
      <c r="A456" t="inlineStr">
        <is>
          <t>Cebu</t>
        </is>
      </c>
      <c r="B456" t="inlineStr">
        <is>
          <t>Cordova</t>
        </is>
      </c>
      <c r="C456" t="inlineStr">
        <is>
          <t>6017</t>
        </is>
      </c>
      <c r="D456" t="inlineStr">
        <is>
          <t>BarangayDirectory</t>
        </is>
      </c>
    </row>
    <row r="457" spans="1:4">
      <c r="A457" t="inlineStr">
        <is>
          <t>Cebu</t>
        </is>
      </c>
      <c r="B457" t="inlineStr">
        <is>
          <t>Daanbantayan</t>
        </is>
      </c>
      <c r="C457" t="inlineStr">
        <is>
          <t>6013</t>
        </is>
      </c>
      <c r="D457" t="inlineStr">
        <is>
          <t>BarangayDirectory</t>
        </is>
      </c>
    </row>
    <row r="458" spans="1:4">
      <c r="A458" t="inlineStr">
        <is>
          <t>Cebu</t>
        </is>
      </c>
      <c r="B458" t="inlineStr">
        <is>
          <t>Dalaguete</t>
        </is>
      </c>
      <c r="C458" t="inlineStr">
        <is>
          <t>6022</t>
        </is>
      </c>
      <c r="D458" t="inlineStr">
        <is>
          <t>BarangayDirectory</t>
        </is>
      </c>
    </row>
    <row r="459" spans="1:4">
      <c r="A459" t="inlineStr">
        <is>
          <t>Cebu</t>
        </is>
      </c>
      <c r="B459" t="inlineStr">
        <is>
          <t>Danao City</t>
        </is>
      </c>
      <c r="C459" t="inlineStr">
        <is>
          <t>6004</t>
        </is>
      </c>
      <c r="D459" t="inlineStr">
        <is>
          <t>BarangayDirectory</t>
        </is>
      </c>
    </row>
    <row r="460" spans="1:4">
      <c r="A460" t="inlineStr">
        <is>
          <t>Cebu</t>
        </is>
      </c>
      <c r="B460" t="inlineStr">
        <is>
          <t>Dumanjug</t>
        </is>
      </c>
      <c r="C460" t="inlineStr">
        <is>
          <t>6035</t>
        </is>
      </c>
      <c r="D460" t="inlineStr">
        <is>
          <t>BarangayDirectory</t>
        </is>
      </c>
    </row>
    <row r="461" spans="1:4">
      <c r="A461" t="inlineStr">
        <is>
          <t>Cebu</t>
        </is>
      </c>
      <c r="B461" t="inlineStr">
        <is>
          <t>Ginatilan</t>
        </is>
      </c>
      <c r="C461" t="inlineStr">
        <is>
          <t>6028</t>
        </is>
      </c>
      <c r="D461" t="inlineStr">
        <is>
          <t>BarangayDirectory</t>
        </is>
      </c>
    </row>
    <row r="462" spans="1:4">
      <c r="A462" t="inlineStr">
        <is>
          <t>Cebu</t>
        </is>
      </c>
      <c r="B462" t="inlineStr">
        <is>
          <t>Liloan</t>
        </is>
      </c>
      <c r="C462" t="inlineStr">
        <is>
          <t>6002</t>
        </is>
      </c>
      <c r="D462" t="inlineStr">
        <is>
          <t>BarangayDirectory</t>
        </is>
      </c>
    </row>
    <row r="463" spans="1:4">
      <c r="A463" t="inlineStr">
        <is>
          <t>Cebu</t>
        </is>
      </c>
      <c r="B463" t="inlineStr">
        <is>
          <t>Madridejos</t>
        </is>
      </c>
      <c r="C463" t="inlineStr">
        <is>
          <t>6053</t>
        </is>
      </c>
      <c r="D463" t="inlineStr">
        <is>
          <t>BarangayDirectory</t>
        </is>
      </c>
    </row>
    <row r="464" spans="1:4">
      <c r="A464" t="inlineStr">
        <is>
          <t>Cebu</t>
        </is>
      </c>
      <c r="B464" t="inlineStr">
        <is>
          <t>Malabuyoc</t>
        </is>
      </c>
      <c r="C464" t="inlineStr">
        <is>
          <t>6029</t>
        </is>
      </c>
      <c r="D464" t="inlineStr">
        <is>
          <t>BarangayDirectory</t>
        </is>
      </c>
    </row>
    <row r="465" spans="1:4">
      <c r="A465" t="inlineStr">
        <is>
          <t>Cebu</t>
        </is>
      </c>
      <c r="B465" t="inlineStr">
        <is>
          <t>Medellin</t>
        </is>
      </c>
      <c r="C465" t="inlineStr">
        <is>
          <t>6012</t>
        </is>
      </c>
      <c r="D465" t="inlineStr">
        <is>
          <t>BarangayDirectory</t>
        </is>
      </c>
    </row>
    <row r="466" spans="1:4">
      <c r="A466" t="inlineStr">
        <is>
          <t>Cebu</t>
        </is>
      </c>
      <c r="B466" t="inlineStr">
        <is>
          <t>Minglanilla</t>
        </is>
      </c>
      <c r="C466" t="inlineStr">
        <is>
          <t>6046</t>
        </is>
      </c>
      <c r="D466" t="inlineStr">
        <is>
          <t>BarangayDirectory</t>
        </is>
      </c>
    </row>
    <row r="467" spans="1:4">
      <c r="A467" t="inlineStr">
        <is>
          <t>Cebu</t>
        </is>
      </c>
      <c r="B467" t="inlineStr">
        <is>
          <t>Moalboal</t>
        </is>
      </c>
      <c r="C467" t="inlineStr">
        <is>
          <t>6032</t>
        </is>
      </c>
      <c r="D467" t="inlineStr">
        <is>
          <t>BarangayDirectory</t>
        </is>
      </c>
    </row>
    <row r="468" spans="1:4">
      <c r="A468" t="inlineStr">
        <is>
          <t>Cebu</t>
        </is>
      </c>
      <c r="B468" t="inlineStr">
        <is>
          <t>Oslob</t>
        </is>
      </c>
      <c r="C468" t="inlineStr">
        <is>
          <t>6025</t>
        </is>
      </c>
      <c r="D468" t="inlineStr">
        <is>
          <t>BarangayDirectory</t>
        </is>
      </c>
    </row>
    <row r="469" spans="1:4">
      <c r="A469" t="inlineStr">
        <is>
          <t>Cebu</t>
        </is>
      </c>
      <c r="B469" t="inlineStr">
        <is>
          <t>Pilar</t>
        </is>
      </c>
      <c r="C469" t="inlineStr">
        <is>
          <t>6048</t>
        </is>
      </c>
      <c r="D469" t="inlineStr">
        <is>
          <t>BarangayDirectory</t>
        </is>
      </c>
    </row>
    <row r="470" spans="1:4">
      <c r="A470" t="inlineStr">
        <is>
          <t>Cebu</t>
        </is>
      </c>
      <c r="B470" t="inlineStr">
        <is>
          <t>Pinamungajan</t>
        </is>
      </c>
      <c r="C470" t="inlineStr">
        <is>
          <t>6039</t>
        </is>
      </c>
      <c r="D470" t="inlineStr">
        <is>
          <t>BarangayDirectory</t>
        </is>
      </c>
    </row>
    <row r="471" spans="1:4">
      <c r="A471" t="inlineStr">
        <is>
          <t>Cebu</t>
        </is>
      </c>
      <c r="B471" t="inlineStr">
        <is>
          <t>Poro</t>
        </is>
      </c>
      <c r="C471" t="inlineStr">
        <is>
          <t>6049</t>
        </is>
      </c>
      <c r="D471" t="inlineStr">
        <is>
          <t>BarangayDirectory</t>
        </is>
      </c>
    </row>
    <row r="472" spans="1:4">
      <c r="A472" t="inlineStr">
        <is>
          <t>Cebu</t>
        </is>
      </c>
      <c r="B472" t="inlineStr">
        <is>
          <t>Ronda</t>
        </is>
      </c>
      <c r="C472" t="inlineStr">
        <is>
          <t>6034</t>
        </is>
      </c>
      <c r="D472" t="inlineStr">
        <is>
          <t>BarangayDirectory</t>
        </is>
      </c>
    </row>
    <row r="473" spans="1:4">
      <c r="A473" t="inlineStr">
        <is>
          <t>Cebu</t>
        </is>
      </c>
      <c r="B473" t="inlineStr">
        <is>
          <t>Samboan</t>
        </is>
      </c>
      <c r="C473" t="inlineStr">
        <is>
          <t>6027</t>
        </is>
      </c>
      <c r="D473" t="inlineStr">
        <is>
          <t>BarangayDirectory</t>
        </is>
      </c>
    </row>
    <row r="474" spans="1:4">
      <c r="A474" t="inlineStr">
        <is>
          <t>Cebu</t>
        </is>
      </c>
      <c r="B474" t="inlineStr">
        <is>
          <t>San Fernando</t>
        </is>
      </c>
      <c r="C474" t="inlineStr">
        <is>
          <t>6018</t>
        </is>
      </c>
      <c r="D474" t="inlineStr">
        <is>
          <t>BarangayDirectory</t>
        </is>
      </c>
    </row>
    <row r="475" spans="1:4">
      <c r="A475" t="inlineStr">
        <is>
          <t>Cebu</t>
        </is>
      </c>
      <c r="B475" t="inlineStr">
        <is>
          <t>San Francisco</t>
        </is>
      </c>
      <c r="C475" t="inlineStr">
        <is>
          <t>6050</t>
        </is>
      </c>
      <c r="D475" t="inlineStr">
        <is>
          <t>BarangayDirectory</t>
        </is>
      </c>
    </row>
    <row r="476" spans="1:4">
      <c r="A476" t="inlineStr">
        <is>
          <t>Cebu</t>
        </is>
      </c>
      <c r="B476" t="inlineStr">
        <is>
          <t>San Remigio</t>
        </is>
      </c>
      <c r="C476" t="inlineStr">
        <is>
          <t>6011</t>
        </is>
      </c>
      <c r="D476" t="inlineStr">
        <is>
          <t>BarangayDirectory</t>
        </is>
      </c>
    </row>
    <row r="477" spans="1:4">
      <c r="A477" t="inlineStr">
        <is>
          <t>Cebu</t>
        </is>
      </c>
      <c r="B477" t="inlineStr">
        <is>
          <t>Santa Fe</t>
        </is>
      </c>
      <c r="C477" t="inlineStr">
        <is>
          <t>6047</t>
        </is>
      </c>
      <c r="D477" t="inlineStr">
        <is>
          <t>BarangayDirectory</t>
        </is>
      </c>
    </row>
    <row r="478" spans="1:4">
      <c r="A478" t="inlineStr">
        <is>
          <t>Cebu</t>
        </is>
      </c>
      <c r="B478" t="inlineStr">
        <is>
          <t>Santander</t>
        </is>
      </c>
      <c r="C478" t="inlineStr">
        <is>
          <t>6026</t>
        </is>
      </c>
      <c r="D478" t="inlineStr">
        <is>
          <t>BarangayDirectory</t>
        </is>
      </c>
    </row>
    <row r="479" spans="1:4">
      <c r="A479" t="inlineStr">
        <is>
          <t>Cebu</t>
        </is>
      </c>
      <c r="B479" t="inlineStr">
        <is>
          <t>Sibonga</t>
        </is>
      </c>
      <c r="C479" t="inlineStr">
        <is>
          <t>6020</t>
        </is>
      </c>
      <c r="D479" t="inlineStr">
        <is>
          <t>BarangayDirectory</t>
        </is>
      </c>
    </row>
    <row r="480" spans="1:4">
      <c r="A480" t="inlineStr">
        <is>
          <t>Cebu</t>
        </is>
      </c>
      <c r="B480" t="inlineStr">
        <is>
          <t>Sogod</t>
        </is>
      </c>
      <c r="C480" t="inlineStr">
        <is>
          <t>6007</t>
        </is>
      </c>
      <c r="D480" t="inlineStr">
        <is>
          <t>BarangayDirectory</t>
        </is>
      </c>
    </row>
    <row r="481" spans="1:4">
      <c r="A481" t="inlineStr">
        <is>
          <t>Cebu</t>
        </is>
      </c>
      <c r="B481" t="inlineStr">
        <is>
          <t>Tabogon</t>
        </is>
      </c>
      <c r="C481" t="inlineStr">
        <is>
          <t>6009</t>
        </is>
      </c>
      <c r="D481" t="inlineStr">
        <is>
          <t>BarangayDirectory</t>
        </is>
      </c>
    </row>
    <row r="482" spans="1:4">
      <c r="A482" t="inlineStr">
        <is>
          <t>Cebu</t>
        </is>
      </c>
      <c r="B482" t="inlineStr">
        <is>
          <t>Tabuelan</t>
        </is>
      </c>
      <c r="C482" t="inlineStr">
        <is>
          <t>6044</t>
        </is>
      </c>
      <c r="D482" t="inlineStr">
        <is>
          <t>BarangayDirectory</t>
        </is>
      </c>
    </row>
    <row r="483" spans="1:4">
      <c r="A483" t="inlineStr">
        <is>
          <t>Cebu</t>
        </is>
      </c>
      <c r="B483" t="inlineStr">
        <is>
          <t>Tuburan</t>
        </is>
      </c>
      <c r="C483" t="inlineStr">
        <is>
          <t>6043</t>
        </is>
      </c>
      <c r="D483" t="inlineStr">
        <is>
          <t>BarangayDirectory</t>
        </is>
      </c>
    </row>
    <row r="484" spans="1:4">
      <c r="A484" t="inlineStr">
        <is>
          <t>Cebu</t>
        </is>
      </c>
      <c r="B484" t="inlineStr">
        <is>
          <t>Tudela</t>
        </is>
      </c>
      <c r="C484" t="inlineStr">
        <is>
          <t>6051</t>
        </is>
      </c>
      <c r="D484" t="inlineStr">
        <is>
          <t>BarangayDirectory</t>
        </is>
      </c>
    </row>
    <row r="485" spans="1:4">
      <c r="A485" t="inlineStr">
        <is>
          <t>City of Isabela (Not a Province)</t>
        </is>
      </c>
      <c r="B485" t="inlineStr">
        <is>
          <t>City of Isabela</t>
        </is>
      </c>
      <c r="D485" t="inlineStr">
        <is>
          <t>Needs verification</t>
        </is>
      </c>
    </row>
    <row r="486" spans="1:4">
      <c r="A486" t="inlineStr">
        <is>
          <t>Cotabato</t>
        </is>
      </c>
      <c r="B486" t="inlineStr">
        <is>
          <t>Alamada</t>
        </is>
      </c>
      <c r="C486" t="inlineStr">
        <is>
          <t>9413</t>
        </is>
      </c>
      <c r="D486" t="inlineStr">
        <is>
          <t>BarangayDirectory</t>
        </is>
      </c>
    </row>
    <row r="487" spans="1:4">
      <c r="A487" t="inlineStr">
        <is>
          <t>Cotabato</t>
        </is>
      </c>
      <c r="B487" t="inlineStr">
        <is>
          <t>Aleosan</t>
        </is>
      </c>
      <c r="C487" t="inlineStr">
        <is>
          <t>9415</t>
        </is>
      </c>
      <c r="D487" t="inlineStr">
        <is>
          <t>BarangayDirectory</t>
        </is>
      </c>
    </row>
    <row r="488" spans="1:4">
      <c r="A488" t="inlineStr">
        <is>
          <t>Cotabato</t>
        </is>
      </c>
      <c r="B488" t="inlineStr">
        <is>
          <t>Antipas</t>
        </is>
      </c>
      <c r="C488" t="inlineStr">
        <is>
          <t>9414</t>
        </is>
      </c>
      <c r="D488" t="inlineStr">
        <is>
          <t>BarangayDirectory</t>
        </is>
      </c>
    </row>
    <row r="489" spans="1:4">
      <c r="A489" t="inlineStr">
        <is>
          <t>Cotabato</t>
        </is>
      </c>
      <c r="B489" t="inlineStr">
        <is>
          <t>Arakan</t>
        </is>
      </c>
      <c r="C489" t="inlineStr">
        <is>
          <t>9417</t>
        </is>
      </c>
      <c r="D489" t="inlineStr">
        <is>
          <t>BarangayDirectory</t>
        </is>
      </c>
    </row>
    <row r="490" spans="1:4">
      <c r="A490" t="inlineStr">
        <is>
          <t>Cotabato</t>
        </is>
      </c>
      <c r="B490" t="inlineStr">
        <is>
          <t>Banisilan</t>
        </is>
      </c>
      <c r="C490" t="inlineStr">
        <is>
          <t>9416</t>
        </is>
      </c>
      <c r="D490" t="inlineStr">
        <is>
          <t>BarangayDirectory</t>
        </is>
      </c>
    </row>
    <row r="491" spans="1:4">
      <c r="A491" t="inlineStr">
        <is>
          <t>Cotabato</t>
        </is>
      </c>
      <c r="B491" t="inlineStr">
        <is>
          <t>Carmen</t>
        </is>
      </c>
      <c r="C491" t="inlineStr">
        <is>
          <t>8603</t>
        </is>
      </c>
      <c r="D491" t="inlineStr">
        <is>
          <t>BarangayDirectory</t>
        </is>
      </c>
    </row>
    <row r="492" spans="1:4">
      <c r="A492" t="inlineStr">
        <is>
          <t>Cotabato</t>
        </is>
      </c>
      <c r="B492" t="inlineStr">
        <is>
          <t>City of Kidapawan</t>
        </is>
      </c>
      <c r="C492" t="inlineStr">
        <is>
          <t>9400</t>
        </is>
      </c>
      <c r="D492" t="inlineStr">
        <is>
          <t>BarangayDirectory</t>
        </is>
      </c>
    </row>
    <row r="493" spans="1:4">
      <c r="A493" t="inlineStr">
        <is>
          <t>Cotabato</t>
        </is>
      </c>
      <c r="B493" t="inlineStr">
        <is>
          <t>Kabacan</t>
        </is>
      </c>
      <c r="C493" t="inlineStr">
        <is>
          <t>9407</t>
        </is>
      </c>
      <c r="D493" t="inlineStr">
        <is>
          <t>BarangayDirectory</t>
        </is>
      </c>
    </row>
    <row r="494" spans="1:4">
      <c r="A494" t="inlineStr">
        <is>
          <t>Cotabato</t>
        </is>
      </c>
      <c r="B494" t="inlineStr">
        <is>
          <t>Libungan</t>
        </is>
      </c>
      <c r="C494" t="inlineStr">
        <is>
          <t>9411</t>
        </is>
      </c>
      <c r="D494" t="inlineStr">
        <is>
          <t>BarangayDirectory</t>
        </is>
      </c>
    </row>
    <row r="495" spans="1:4">
      <c r="A495" t="inlineStr">
        <is>
          <t>Cotabato</t>
        </is>
      </c>
      <c r="B495" t="inlineStr">
        <is>
          <t>M'Lang</t>
        </is>
      </c>
      <c r="C495" t="inlineStr">
        <is>
          <t>9402</t>
        </is>
      </c>
      <c r="D495" t="inlineStr">
        <is>
          <t>BarangayDirectory</t>
        </is>
      </c>
    </row>
    <row r="496" spans="1:4">
      <c r="A496" t="inlineStr">
        <is>
          <t>Cotabato</t>
        </is>
      </c>
      <c r="B496" t="inlineStr">
        <is>
          <t>Magpet</t>
        </is>
      </c>
      <c r="C496" t="inlineStr">
        <is>
          <t>9404</t>
        </is>
      </c>
      <c r="D496" t="inlineStr">
        <is>
          <t>BarangayDirectory</t>
        </is>
      </c>
    </row>
    <row r="497" spans="1:4">
      <c r="A497" t="inlineStr">
        <is>
          <t>Cotabato</t>
        </is>
      </c>
      <c r="B497" t="inlineStr">
        <is>
          <t>Makilala</t>
        </is>
      </c>
      <c r="C497" t="inlineStr">
        <is>
          <t>9401</t>
        </is>
      </c>
      <c r="D497" t="inlineStr">
        <is>
          <t>BarangayDirectory</t>
        </is>
      </c>
    </row>
    <row r="498" spans="1:4">
      <c r="A498" t="inlineStr">
        <is>
          <t>Cotabato</t>
        </is>
      </c>
      <c r="B498" t="inlineStr">
        <is>
          <t>Matalam</t>
        </is>
      </c>
      <c r="C498" t="inlineStr">
        <is>
          <t>9406</t>
        </is>
      </c>
      <c r="D498" t="inlineStr">
        <is>
          <t>BarangayDirectory</t>
        </is>
      </c>
    </row>
    <row r="499" spans="1:4">
      <c r="A499" t="inlineStr">
        <is>
          <t>Cotabato</t>
        </is>
      </c>
      <c r="B499" t="inlineStr">
        <is>
          <t>Midsayap</t>
        </is>
      </c>
      <c r="C499" t="inlineStr">
        <is>
          <t>9410</t>
        </is>
      </c>
      <c r="D499" t="inlineStr">
        <is>
          <t>BarangayDirectory</t>
        </is>
      </c>
    </row>
    <row r="500" spans="1:4">
      <c r="A500" t="inlineStr">
        <is>
          <t>Cotabato</t>
        </is>
      </c>
      <c r="B500" t="inlineStr">
        <is>
          <t>Pigkawayan</t>
        </is>
      </c>
      <c r="C500" t="inlineStr">
        <is>
          <t>9412</t>
        </is>
      </c>
      <c r="D500" t="inlineStr">
        <is>
          <t>BarangayDirectory</t>
        </is>
      </c>
    </row>
    <row r="501" spans="1:4">
      <c r="A501" t="inlineStr">
        <is>
          <t>Cotabato</t>
        </is>
      </c>
      <c r="B501" t="inlineStr">
        <is>
          <t>Pikit</t>
        </is>
      </c>
      <c r="C501" t="inlineStr">
        <is>
          <t>9409</t>
        </is>
      </c>
      <c r="D501" t="inlineStr">
        <is>
          <t>BarangayDirectory</t>
        </is>
      </c>
    </row>
    <row r="502" spans="1:4">
      <c r="A502" t="inlineStr">
        <is>
          <t>Cotabato</t>
        </is>
      </c>
      <c r="B502" t="inlineStr">
        <is>
          <t>President Roxas</t>
        </is>
      </c>
      <c r="C502" t="inlineStr">
        <is>
          <t>5803</t>
        </is>
      </c>
      <c r="D502" t="inlineStr">
        <is>
          <t>BarangayDirectory</t>
        </is>
      </c>
    </row>
    <row r="503" spans="1:4">
      <c r="A503" t="inlineStr">
        <is>
          <t>Cotabato</t>
        </is>
      </c>
      <c r="B503" t="inlineStr">
        <is>
          <t>Tulunan</t>
        </is>
      </c>
      <c r="C503" t="inlineStr">
        <is>
          <t>9403</t>
        </is>
      </c>
      <c r="D503" t="inlineStr">
        <is>
          <t>BarangayDirectory</t>
        </is>
      </c>
    </row>
    <row r="504" spans="1:4">
      <c r="A504" t="inlineStr">
        <is>
          <t>Davao de Oro</t>
        </is>
      </c>
      <c r="B504" t="inlineStr">
        <is>
          <t>Compostela</t>
        </is>
      </c>
      <c r="C504" t="inlineStr">
        <is>
          <t>6003</t>
        </is>
      </c>
      <c r="D504" t="inlineStr">
        <is>
          <t>BarangayDirectory</t>
        </is>
      </c>
    </row>
    <row r="505" spans="1:4">
      <c r="A505" t="inlineStr">
        <is>
          <t>Davao de Oro</t>
        </is>
      </c>
      <c r="B505" t="inlineStr">
        <is>
          <t>Laak</t>
        </is>
      </c>
      <c r="D505" t="inlineStr">
        <is>
          <t>Needs verification</t>
        </is>
      </c>
    </row>
    <row r="506" spans="1:4">
      <c r="A506" t="inlineStr">
        <is>
          <t>Davao de Oro</t>
        </is>
      </c>
      <c r="B506" t="inlineStr">
        <is>
          <t>Mabini</t>
        </is>
      </c>
      <c r="C506" t="inlineStr">
        <is>
          <t>4202</t>
        </is>
      </c>
      <c r="D506" t="inlineStr">
        <is>
          <t>BarangayDirectory</t>
        </is>
      </c>
    </row>
    <row r="507" spans="1:4">
      <c r="A507" t="inlineStr">
        <is>
          <t>Davao de Oro</t>
        </is>
      </c>
      <c r="B507" t="inlineStr">
        <is>
          <t>Maco</t>
        </is>
      </c>
      <c r="C507" t="inlineStr">
        <is>
          <t>8114</t>
        </is>
      </c>
      <c r="D507" t="inlineStr">
        <is>
          <t>BarangayDirectory</t>
        </is>
      </c>
    </row>
    <row r="508" spans="1:4">
      <c r="A508" t="inlineStr">
        <is>
          <t>Davao de Oro</t>
        </is>
      </c>
      <c r="B508" t="inlineStr">
        <is>
          <t>Maragusan</t>
        </is>
      </c>
      <c r="D508" t="inlineStr">
        <is>
          <t>Needs verification</t>
        </is>
      </c>
    </row>
    <row r="509" spans="1:4">
      <c r="A509" t="inlineStr">
        <is>
          <t>Davao de Oro</t>
        </is>
      </c>
      <c r="B509" t="inlineStr">
        <is>
          <t>Mawab</t>
        </is>
      </c>
      <c r="C509" t="inlineStr">
        <is>
          <t>8108</t>
        </is>
      </c>
      <c r="D509" t="inlineStr">
        <is>
          <t>BarangayDirectory</t>
        </is>
      </c>
    </row>
    <row r="510" spans="1:4">
      <c r="A510" t="inlineStr">
        <is>
          <t>Davao de Oro</t>
        </is>
      </c>
      <c r="B510" t="inlineStr">
        <is>
          <t>Monkayo</t>
        </is>
      </c>
      <c r="C510" t="inlineStr">
        <is>
          <t>8111</t>
        </is>
      </c>
      <c r="D510" t="inlineStr">
        <is>
          <t>BarangayDirectory</t>
        </is>
      </c>
    </row>
    <row r="511" spans="1:4">
      <c r="A511" t="inlineStr">
        <is>
          <t>Davao de Oro</t>
        </is>
      </c>
      <c r="B511" t="inlineStr">
        <is>
          <t>Montevista</t>
        </is>
      </c>
      <c r="C511" t="inlineStr">
        <is>
          <t>8107</t>
        </is>
      </c>
      <c r="D511" t="inlineStr">
        <is>
          <t>BarangayDirectory</t>
        </is>
      </c>
    </row>
    <row r="512" spans="1:4">
      <c r="A512" t="inlineStr">
        <is>
          <t>Davao de Oro</t>
        </is>
      </c>
      <c r="B512" t="inlineStr">
        <is>
          <t>Nabunturan</t>
        </is>
      </c>
      <c r="C512" t="inlineStr">
        <is>
          <t>8800</t>
        </is>
      </c>
      <c r="D512" t="inlineStr">
        <is>
          <t>BarangayDirectory</t>
        </is>
      </c>
    </row>
    <row r="513" spans="1:4">
      <c r="A513" t="inlineStr">
        <is>
          <t>Davao de Oro</t>
        </is>
      </c>
      <c r="B513" t="inlineStr">
        <is>
          <t>New Bataan</t>
        </is>
      </c>
      <c r="C513" t="inlineStr">
        <is>
          <t>8110</t>
        </is>
      </c>
      <c r="D513" t="inlineStr">
        <is>
          <t>BarangayDirectory</t>
        </is>
      </c>
    </row>
    <row r="514" spans="1:4">
      <c r="A514" t="inlineStr">
        <is>
          <t>Davao de Oro</t>
        </is>
      </c>
      <c r="B514" t="inlineStr">
        <is>
          <t>Pantukan</t>
        </is>
      </c>
      <c r="C514" t="inlineStr">
        <is>
          <t>8117</t>
        </is>
      </c>
      <c r="D514" t="inlineStr">
        <is>
          <t>BarangayDirectory</t>
        </is>
      </c>
    </row>
    <row r="515" spans="1:4">
      <c r="A515" t="inlineStr">
        <is>
          <t>Davao del Norte</t>
        </is>
      </c>
      <c r="B515" t="inlineStr">
        <is>
          <t>Asuncion</t>
        </is>
      </c>
      <c r="C515" t="inlineStr">
        <is>
          <t>8102</t>
        </is>
      </c>
      <c r="D515" t="inlineStr">
        <is>
          <t>BarangayDirectory</t>
        </is>
      </c>
    </row>
    <row r="516" spans="1:4">
      <c r="A516" t="inlineStr">
        <is>
          <t>Davao del Norte</t>
        </is>
      </c>
      <c r="B516" t="inlineStr">
        <is>
          <t>Braulio E. Dujali</t>
        </is>
      </c>
      <c r="C516" t="inlineStr">
        <is>
          <t>8106</t>
        </is>
      </c>
      <c r="D516" t="inlineStr">
        <is>
          <t>PHLPost</t>
        </is>
      </c>
    </row>
    <row r="517" spans="1:4">
      <c r="A517" t="inlineStr">
        <is>
          <t>Davao del Norte</t>
        </is>
      </c>
      <c r="B517" t="inlineStr">
        <is>
          <t>Carmen</t>
        </is>
      </c>
      <c r="C517" t="inlineStr">
        <is>
          <t>8101</t>
        </is>
      </c>
      <c r="D517" t="inlineStr">
        <is>
          <t>PHLPost</t>
        </is>
      </c>
    </row>
    <row r="518" spans="1:4">
      <c r="A518" t="inlineStr">
        <is>
          <t>Davao del Norte</t>
        </is>
      </c>
      <c r="B518" t="inlineStr">
        <is>
          <t>City of Panabo</t>
        </is>
      </c>
      <c r="C518" t="inlineStr">
        <is>
          <t>8105</t>
        </is>
      </c>
      <c r="D518" t="inlineStr">
        <is>
          <t>PHLPost</t>
        </is>
      </c>
    </row>
    <row r="519" spans="1:4">
      <c r="A519" t="inlineStr">
        <is>
          <t>Davao del Norte</t>
        </is>
      </c>
      <c r="B519" t="inlineStr">
        <is>
          <t>City of Tagum</t>
        </is>
      </c>
      <c r="C519" t="inlineStr">
        <is>
          <t>8100</t>
        </is>
      </c>
      <c r="D519" t="inlineStr">
        <is>
          <t>PHLPost</t>
        </is>
      </c>
    </row>
    <row r="520" spans="1:4">
      <c r="A520" t="inlineStr">
        <is>
          <t>Davao del Norte</t>
        </is>
      </c>
      <c r="B520" t="inlineStr">
        <is>
          <t>Island Garden City of Samal</t>
        </is>
      </c>
      <c r="C520" t="inlineStr">
        <is>
          <t>8119</t>
        </is>
      </c>
      <c r="D520" t="inlineStr">
        <is>
          <t>BarangayDirectory</t>
        </is>
      </c>
    </row>
    <row r="521" spans="1:4">
      <c r="A521" t="inlineStr">
        <is>
          <t>Davao del Norte</t>
        </is>
      </c>
      <c r="B521" t="inlineStr">
        <is>
          <t>Kapalong</t>
        </is>
      </c>
      <c r="C521" t="inlineStr">
        <is>
          <t>8113</t>
        </is>
      </c>
      <c r="D521" t="inlineStr">
        <is>
          <t>PHLPost</t>
        </is>
      </c>
    </row>
    <row r="522" spans="1:4">
      <c r="A522" t="inlineStr">
        <is>
          <t>Davao del Norte</t>
        </is>
      </c>
      <c r="B522" t="inlineStr">
        <is>
          <t>New Corella</t>
        </is>
      </c>
      <c r="C522" t="inlineStr">
        <is>
          <t>8104</t>
        </is>
      </c>
      <c r="D522" t="inlineStr">
        <is>
          <t>PHLPost</t>
        </is>
      </c>
    </row>
    <row r="523" spans="1:4">
      <c r="A523" t="inlineStr">
        <is>
          <t>Davao del Norte</t>
        </is>
      </c>
      <c r="B523" t="inlineStr">
        <is>
          <t>Santo Tomas</t>
        </is>
      </c>
      <c r="C523" t="inlineStr">
        <is>
          <t>8112</t>
        </is>
      </c>
      <c r="D523" t="inlineStr">
        <is>
          <t>PHLPost</t>
        </is>
      </c>
    </row>
    <row r="524" spans="1:4">
      <c r="A524" t="inlineStr">
        <is>
          <t>Davao del Norte</t>
        </is>
      </c>
      <c r="B524" t="inlineStr">
        <is>
          <t>Sawata</t>
        </is>
      </c>
      <c r="D524" t="inlineStr">
        <is>
          <t>Needs verification</t>
        </is>
      </c>
    </row>
    <row r="525" spans="1:4">
      <c r="A525" t="inlineStr">
        <is>
          <t>Davao del Norte</t>
        </is>
      </c>
      <c r="B525" t="inlineStr">
        <is>
          <t>Talaingod</t>
        </is>
      </c>
      <c r="C525" t="inlineStr">
        <is>
          <t>8107</t>
        </is>
      </c>
      <c r="D525" t="inlineStr">
        <is>
          <t>PHLPost</t>
        </is>
      </c>
    </row>
    <row r="526" spans="1:4">
      <c r="A526" t="inlineStr">
        <is>
          <t>Davao del Sur</t>
        </is>
      </c>
      <c r="B526" t="inlineStr">
        <is>
          <t>Bansalan</t>
        </is>
      </c>
      <c r="C526" t="inlineStr">
        <is>
          <t>8005</t>
        </is>
      </c>
      <c r="D526" t="inlineStr">
        <is>
          <t>PHLPost</t>
        </is>
      </c>
    </row>
    <row r="527" spans="1:4">
      <c r="A527" t="inlineStr">
        <is>
          <t>Davao del Sur</t>
        </is>
      </c>
      <c r="B527" t="inlineStr">
        <is>
          <t>City of Digos</t>
        </is>
      </c>
      <c r="C527" t="inlineStr">
        <is>
          <t>8002</t>
        </is>
      </c>
      <c r="D527" t="inlineStr">
        <is>
          <t>PHLPost</t>
        </is>
      </c>
    </row>
    <row r="528" spans="1:4">
      <c r="A528" t="inlineStr">
        <is>
          <t>Davao del Sur</t>
        </is>
      </c>
      <c r="B528" t="inlineStr">
        <is>
          <t>Hagonoy</t>
        </is>
      </c>
      <c r="C528" t="inlineStr">
        <is>
          <t>8006</t>
        </is>
      </c>
      <c r="D528" t="inlineStr">
        <is>
          <t>PHLPost</t>
        </is>
      </c>
    </row>
    <row r="529" spans="1:4">
      <c r="A529" t="inlineStr">
        <is>
          <t>Davao del Sur</t>
        </is>
      </c>
      <c r="B529" t="inlineStr">
        <is>
          <t>Kiblawan</t>
        </is>
      </c>
      <c r="C529" t="inlineStr">
        <is>
          <t>8008</t>
        </is>
      </c>
      <c r="D529" t="inlineStr">
        <is>
          <t>PHLPost</t>
        </is>
      </c>
    </row>
    <row r="530" spans="1:4">
      <c r="A530" t="inlineStr">
        <is>
          <t>Davao del Sur</t>
        </is>
      </c>
      <c r="B530" t="inlineStr">
        <is>
          <t>Magsaysay</t>
        </is>
      </c>
      <c r="C530" t="inlineStr">
        <is>
          <t>8004</t>
        </is>
      </c>
      <c r="D530" t="inlineStr">
        <is>
          <t>PHLPost</t>
        </is>
      </c>
    </row>
    <row r="531" spans="1:4">
      <c r="A531" t="inlineStr">
        <is>
          <t>Davao del Sur</t>
        </is>
      </c>
      <c r="B531" t="inlineStr">
        <is>
          <t>Malalag</t>
        </is>
      </c>
      <c r="C531" t="inlineStr">
        <is>
          <t>8010</t>
        </is>
      </c>
      <c r="D531" t="inlineStr">
        <is>
          <t>PHLPost</t>
        </is>
      </c>
    </row>
    <row r="532" spans="1:4">
      <c r="A532" t="inlineStr">
        <is>
          <t>Davao del Sur</t>
        </is>
      </c>
      <c r="B532" t="inlineStr">
        <is>
          <t>Matanao</t>
        </is>
      </c>
      <c r="C532" t="inlineStr">
        <is>
          <t>8003</t>
        </is>
      </c>
      <c r="D532" t="inlineStr">
        <is>
          <t>PHLPost</t>
        </is>
      </c>
    </row>
    <row r="533" spans="1:4">
      <c r="A533" t="inlineStr">
        <is>
          <t>Davao del Sur</t>
        </is>
      </c>
      <c r="B533" t="inlineStr">
        <is>
          <t>Padada</t>
        </is>
      </c>
      <c r="C533" t="inlineStr">
        <is>
          <t>8007</t>
        </is>
      </c>
      <c r="D533" t="inlineStr">
        <is>
          <t>PHLPost</t>
        </is>
      </c>
    </row>
    <row r="534" spans="1:4">
      <c r="A534" t="inlineStr">
        <is>
          <t>Davao del Sur</t>
        </is>
      </c>
      <c r="B534" t="inlineStr">
        <is>
          <t>Santa Cruz</t>
        </is>
      </c>
      <c r="C534" t="inlineStr">
        <is>
          <t>8001</t>
        </is>
      </c>
      <c r="D534" t="inlineStr">
        <is>
          <t>PHLPost</t>
        </is>
      </c>
    </row>
    <row r="535" spans="1:4">
      <c r="A535" t="inlineStr">
        <is>
          <t>Davao del Sur</t>
        </is>
      </c>
      <c r="B535" t="inlineStr">
        <is>
          <t>Sulop</t>
        </is>
      </c>
      <c r="C535" t="inlineStr">
        <is>
          <t>8009</t>
        </is>
      </c>
      <c r="D535" t="inlineStr">
        <is>
          <t>PHLPost</t>
        </is>
      </c>
    </row>
    <row r="536" spans="1:4">
      <c r="A536" t="inlineStr">
        <is>
          <t>Davao Occidental</t>
        </is>
      </c>
      <c r="B536" t="inlineStr">
        <is>
          <t>Don Marcelino</t>
        </is>
      </c>
      <c r="C536" t="inlineStr">
        <is>
          <t>8013</t>
        </is>
      </c>
      <c r="D536" t="inlineStr">
        <is>
          <t>PHLPost</t>
        </is>
      </c>
    </row>
    <row r="537" spans="1:4">
      <c r="A537" t="inlineStr">
        <is>
          <t>Davao Occidental</t>
        </is>
      </c>
      <c r="B537" t="inlineStr">
        <is>
          <t>Jose Abad Santos</t>
        </is>
      </c>
      <c r="C537" t="inlineStr">
        <is>
          <t>8014</t>
        </is>
      </c>
      <c r="D537" t="inlineStr">
        <is>
          <t>PHLPost</t>
        </is>
      </c>
    </row>
    <row r="538" spans="1:4">
      <c r="A538" t="inlineStr">
        <is>
          <t>Davao Occidental</t>
        </is>
      </c>
      <c r="B538" t="inlineStr">
        <is>
          <t>Malita</t>
        </is>
      </c>
      <c r="C538" t="inlineStr">
        <is>
          <t>8012</t>
        </is>
      </c>
      <c r="D538" t="inlineStr">
        <is>
          <t>PHLPost</t>
        </is>
      </c>
    </row>
    <row r="539" spans="1:4">
      <c r="A539" t="inlineStr">
        <is>
          <t>Davao Occidental</t>
        </is>
      </c>
      <c r="B539" t="inlineStr">
        <is>
          <t>Santa Maria</t>
        </is>
      </c>
      <c r="C539" t="inlineStr">
        <is>
          <t>8011</t>
        </is>
      </c>
      <c r="D539" t="inlineStr">
        <is>
          <t>PHLPost</t>
        </is>
      </c>
    </row>
    <row r="540" spans="1:4">
      <c r="A540" t="inlineStr">
        <is>
          <t>Davao Occidental</t>
        </is>
      </c>
      <c r="B540" t="inlineStr">
        <is>
          <t>Sarangani</t>
        </is>
      </c>
      <c r="C540" t="inlineStr">
        <is>
          <t>8015</t>
        </is>
      </c>
      <c r="D540" t="inlineStr">
        <is>
          <t>PHLPost</t>
        </is>
      </c>
    </row>
    <row r="541" spans="1:4">
      <c r="A541" t="inlineStr">
        <is>
          <t>Davao Oriental</t>
        </is>
      </c>
      <c r="B541" t="inlineStr">
        <is>
          <t>Baganga</t>
        </is>
      </c>
      <c r="C541" t="inlineStr">
        <is>
          <t>8204</t>
        </is>
      </c>
      <c r="D541" t="inlineStr">
        <is>
          <t>PHLPost</t>
        </is>
      </c>
    </row>
    <row r="542" spans="1:4">
      <c r="A542" t="inlineStr">
        <is>
          <t>Davao Oriental</t>
        </is>
      </c>
      <c r="B542" t="inlineStr">
        <is>
          <t>Banaybanay</t>
        </is>
      </c>
      <c r="C542" t="inlineStr">
        <is>
          <t>8208</t>
        </is>
      </c>
      <c r="D542" t="inlineStr">
        <is>
          <t>PHLPost</t>
        </is>
      </c>
    </row>
    <row r="543" spans="1:4">
      <c r="A543" t="inlineStr">
        <is>
          <t>Davao Oriental</t>
        </is>
      </c>
      <c r="B543" t="inlineStr">
        <is>
          <t>Boston</t>
        </is>
      </c>
      <c r="C543" t="inlineStr">
        <is>
          <t>8206</t>
        </is>
      </c>
      <c r="D543" t="inlineStr">
        <is>
          <t>PHLPost</t>
        </is>
      </c>
    </row>
    <row r="544" spans="1:4">
      <c r="A544" t="inlineStr">
        <is>
          <t>Davao Oriental</t>
        </is>
      </c>
      <c r="B544" t="inlineStr">
        <is>
          <t>Caraga</t>
        </is>
      </c>
      <c r="C544" t="inlineStr">
        <is>
          <t>8203</t>
        </is>
      </c>
      <c r="D544" t="inlineStr">
        <is>
          <t>PHLPost</t>
        </is>
      </c>
    </row>
    <row r="545" spans="1:4">
      <c r="A545" t="inlineStr">
        <is>
          <t>Davao Oriental</t>
        </is>
      </c>
      <c r="B545" t="inlineStr">
        <is>
          <t>Cateel</t>
        </is>
      </c>
      <c r="C545" t="inlineStr">
        <is>
          <t>8205</t>
        </is>
      </c>
      <c r="D545" t="inlineStr">
        <is>
          <t>PHLPost</t>
        </is>
      </c>
    </row>
    <row r="546" spans="1:4">
      <c r="A546" t="inlineStr">
        <is>
          <t>Davao Oriental</t>
        </is>
      </c>
      <c r="B546" t="inlineStr">
        <is>
          <t>City of Mati</t>
        </is>
      </c>
      <c r="C546" t="inlineStr">
        <is>
          <t>8200</t>
        </is>
      </c>
      <c r="D546" t="inlineStr">
        <is>
          <t>PHLPost</t>
        </is>
      </c>
    </row>
    <row r="547" spans="1:4">
      <c r="A547" t="inlineStr">
        <is>
          <t>Davao Oriental</t>
        </is>
      </c>
      <c r="B547" t="inlineStr">
        <is>
          <t>Governor Generoso</t>
        </is>
      </c>
      <c r="D547" t="inlineStr">
        <is>
          <t>Needs verification</t>
        </is>
      </c>
    </row>
    <row r="548" spans="1:4">
      <c r="A548" t="inlineStr">
        <is>
          <t>Davao Oriental</t>
        </is>
      </c>
      <c r="B548" t="inlineStr">
        <is>
          <t>Lupon</t>
        </is>
      </c>
      <c r="C548" t="inlineStr">
        <is>
          <t>8207</t>
        </is>
      </c>
      <c r="D548" t="inlineStr">
        <is>
          <t>PHLPost</t>
        </is>
      </c>
    </row>
    <row r="549" spans="1:4">
      <c r="A549" t="inlineStr">
        <is>
          <t>Davao Oriental</t>
        </is>
      </c>
      <c r="B549" t="inlineStr">
        <is>
          <t>Manay</t>
        </is>
      </c>
      <c r="C549" t="inlineStr">
        <is>
          <t>8202</t>
        </is>
      </c>
      <c r="D549" t="inlineStr">
        <is>
          <t>PHLPost</t>
        </is>
      </c>
    </row>
    <row r="550" spans="1:4">
      <c r="A550" t="inlineStr">
        <is>
          <t>Davao Oriental</t>
        </is>
      </c>
      <c r="B550" t="inlineStr">
        <is>
          <t>San Isidro</t>
        </is>
      </c>
      <c r="C550" t="inlineStr">
        <is>
          <t>8209</t>
        </is>
      </c>
      <c r="D550" t="inlineStr">
        <is>
          <t>PHLPost</t>
        </is>
      </c>
    </row>
    <row r="551" spans="1:4">
      <c r="A551" t="inlineStr">
        <is>
          <t>Davao Oriental</t>
        </is>
      </c>
      <c r="B551" t="inlineStr">
        <is>
          <t>Tarragona</t>
        </is>
      </c>
      <c r="C551" t="inlineStr">
        <is>
          <t>8201</t>
        </is>
      </c>
      <c r="D551" t="inlineStr">
        <is>
          <t>PHLPost</t>
        </is>
      </c>
    </row>
    <row r="552" spans="1:4">
      <c r="A552" t="inlineStr">
        <is>
          <t>Dinagat Islands</t>
        </is>
      </c>
      <c r="B552" t="inlineStr">
        <is>
          <t>Basilisa</t>
        </is>
      </c>
      <c r="D552" t="inlineStr">
        <is>
          <t>Needs verification</t>
        </is>
      </c>
    </row>
    <row r="553" spans="1:4">
      <c r="A553" t="inlineStr">
        <is>
          <t>Dinagat Islands</t>
        </is>
      </c>
      <c r="B553" t="inlineStr">
        <is>
          <t>Cagdianao</t>
        </is>
      </c>
      <c r="C553" t="inlineStr">
        <is>
          <t>8411</t>
        </is>
      </c>
      <c r="D553" t="inlineStr">
        <is>
          <t>PHLPost</t>
        </is>
      </c>
    </row>
    <row r="554" spans="1:4">
      <c r="A554" t="inlineStr">
        <is>
          <t>Dinagat Islands</t>
        </is>
      </c>
      <c r="B554" t="inlineStr">
        <is>
          <t>Dinagat</t>
        </is>
      </c>
      <c r="C554" t="inlineStr">
        <is>
          <t>8412</t>
        </is>
      </c>
      <c r="D554" t="inlineStr">
        <is>
          <t>PHLPost</t>
        </is>
      </c>
    </row>
    <row r="555" spans="1:4">
      <c r="A555" t="inlineStr">
        <is>
          <t>Dinagat Islands</t>
        </is>
      </c>
      <c r="B555" t="inlineStr">
        <is>
          <t>Libjo</t>
        </is>
      </c>
      <c r="D555" t="inlineStr">
        <is>
          <t>Needs verification</t>
        </is>
      </c>
    </row>
    <row r="556" spans="1:4">
      <c r="A556" t="inlineStr">
        <is>
          <t>Dinagat Islands</t>
        </is>
      </c>
      <c r="B556" t="inlineStr">
        <is>
          <t>Loreto</t>
        </is>
      </c>
      <c r="C556" t="inlineStr">
        <is>
          <t>8415</t>
        </is>
      </c>
      <c r="D556" t="inlineStr">
        <is>
          <t>PHLPost</t>
        </is>
      </c>
    </row>
    <row r="557" spans="1:4">
      <c r="A557" t="inlineStr">
        <is>
          <t>Dinagat Islands</t>
        </is>
      </c>
      <c r="B557" t="inlineStr">
        <is>
          <t>San Jose</t>
        </is>
      </c>
      <c r="C557" t="inlineStr">
        <is>
          <t>8427</t>
        </is>
      </c>
      <c r="D557" t="inlineStr">
        <is>
          <t>PHLPost</t>
        </is>
      </c>
    </row>
    <row r="558" spans="1:4">
      <c r="A558" t="inlineStr">
        <is>
          <t>Dinagat Islands</t>
        </is>
      </c>
      <c r="B558" t="inlineStr">
        <is>
          <t>Tubajon</t>
        </is>
      </c>
      <c r="C558" t="inlineStr">
        <is>
          <t>8426</t>
        </is>
      </c>
      <c r="D558" t="inlineStr">
        <is>
          <t>PHLPost</t>
        </is>
      </c>
    </row>
    <row r="559" spans="1:4">
      <c r="A559" t="inlineStr">
        <is>
          <t>Eastern Samar</t>
        </is>
      </c>
      <c r="B559" t="inlineStr">
        <is>
          <t>Arteche</t>
        </is>
      </c>
      <c r="C559" t="inlineStr">
        <is>
          <t>6822</t>
        </is>
      </c>
      <c r="D559" t="inlineStr">
        <is>
          <t>BarangayDirectory</t>
        </is>
      </c>
    </row>
    <row r="560" spans="1:4">
      <c r="A560" t="inlineStr">
        <is>
          <t>Eastern Samar</t>
        </is>
      </c>
      <c r="B560" t="inlineStr">
        <is>
          <t>Balangiga</t>
        </is>
      </c>
      <c r="C560" t="inlineStr">
        <is>
          <t>6812</t>
        </is>
      </c>
      <c r="D560" t="inlineStr">
        <is>
          <t>BarangayDirectory</t>
        </is>
      </c>
    </row>
    <row r="561" spans="1:4">
      <c r="A561" t="inlineStr">
        <is>
          <t>Eastern Samar</t>
        </is>
      </c>
      <c r="B561" t="inlineStr">
        <is>
          <t>Balangkayan</t>
        </is>
      </c>
      <c r="C561" t="inlineStr">
        <is>
          <t>6801</t>
        </is>
      </c>
      <c r="D561" t="inlineStr">
        <is>
          <t>BarangayDirectory</t>
        </is>
      </c>
    </row>
    <row r="562" spans="1:4">
      <c r="A562" t="inlineStr">
        <is>
          <t>Eastern Samar</t>
        </is>
      </c>
      <c r="B562" t="inlineStr">
        <is>
          <t>Can-Avid</t>
        </is>
      </c>
      <c r="C562" t="inlineStr">
        <is>
          <t>6806</t>
        </is>
      </c>
      <c r="D562" t="inlineStr">
        <is>
          <t>BarangayDirectory</t>
        </is>
      </c>
    </row>
    <row r="563" spans="1:4">
      <c r="A563" t="inlineStr">
        <is>
          <t>Eastern Samar</t>
        </is>
      </c>
      <c r="B563" t="inlineStr">
        <is>
          <t>City of Borongan</t>
        </is>
      </c>
      <c r="C563" t="inlineStr">
        <is>
          <t>6800</t>
        </is>
      </c>
      <c r="D563" t="inlineStr">
        <is>
          <t>BarangayDirectory</t>
        </is>
      </c>
    </row>
    <row r="564" spans="1:4">
      <c r="A564" t="inlineStr">
        <is>
          <t>Eastern Samar</t>
        </is>
      </c>
      <c r="B564" t="inlineStr">
        <is>
          <t>Dolores</t>
        </is>
      </c>
      <c r="C564" t="inlineStr">
        <is>
          <t>6817</t>
        </is>
      </c>
      <c r="D564" t="inlineStr">
        <is>
          <t>BarangayDirectory</t>
        </is>
      </c>
    </row>
    <row r="565" spans="1:4">
      <c r="A565" t="inlineStr">
        <is>
          <t>Eastern Samar</t>
        </is>
      </c>
      <c r="B565" t="inlineStr">
        <is>
          <t>General Macarthur</t>
        </is>
      </c>
      <c r="C565" t="inlineStr">
        <is>
          <t>6805</t>
        </is>
      </c>
      <c r="D565" t="inlineStr">
        <is>
          <t>BarangayDirectory</t>
        </is>
      </c>
    </row>
    <row r="566" spans="1:4">
      <c r="A566" t="inlineStr">
        <is>
          <t>Eastern Samar</t>
        </is>
      </c>
      <c r="B566" t="inlineStr">
        <is>
          <t>Giporlos</t>
        </is>
      </c>
      <c r="C566" t="inlineStr">
        <is>
          <t>6811</t>
        </is>
      </c>
      <c r="D566" t="inlineStr">
        <is>
          <t>BarangayDirectory</t>
        </is>
      </c>
    </row>
    <row r="567" spans="1:4">
      <c r="A567" t="inlineStr">
        <is>
          <t>Eastern Samar</t>
        </is>
      </c>
      <c r="B567" t="inlineStr">
        <is>
          <t>Guiuan</t>
        </is>
      </c>
      <c r="C567" t="inlineStr">
        <is>
          <t>6809</t>
        </is>
      </c>
      <c r="D567" t="inlineStr">
        <is>
          <t>BarangayDirectory</t>
        </is>
      </c>
    </row>
    <row r="568" spans="1:4">
      <c r="A568" t="inlineStr">
        <is>
          <t>Eastern Samar</t>
        </is>
      </c>
      <c r="B568" t="inlineStr">
        <is>
          <t>Hernani</t>
        </is>
      </c>
      <c r="C568" t="inlineStr">
        <is>
          <t>6804</t>
        </is>
      </c>
      <c r="D568" t="inlineStr">
        <is>
          <t>BarangayDirectory</t>
        </is>
      </c>
    </row>
    <row r="569" spans="1:4">
      <c r="A569" t="inlineStr">
        <is>
          <t>Eastern Samar</t>
        </is>
      </c>
      <c r="B569" t="inlineStr">
        <is>
          <t>Jipapad</t>
        </is>
      </c>
      <c r="C569" t="inlineStr">
        <is>
          <t>6819</t>
        </is>
      </c>
      <c r="D569" t="inlineStr">
        <is>
          <t>BarangayDirectory</t>
        </is>
      </c>
    </row>
    <row r="570" spans="1:4">
      <c r="A570" t="inlineStr">
        <is>
          <t>Eastern Samar</t>
        </is>
      </c>
      <c r="B570" t="inlineStr">
        <is>
          <t>Lawaan</t>
        </is>
      </c>
      <c r="C570" t="inlineStr">
        <is>
          <t>6813</t>
        </is>
      </c>
      <c r="D570" t="inlineStr">
        <is>
          <t>BarangayDirectory</t>
        </is>
      </c>
    </row>
    <row r="571" spans="1:4">
      <c r="A571" t="inlineStr">
        <is>
          <t>Eastern Samar</t>
        </is>
      </c>
      <c r="B571" t="inlineStr">
        <is>
          <t>Llorente</t>
        </is>
      </c>
      <c r="C571" t="inlineStr">
        <is>
          <t>6803</t>
        </is>
      </c>
      <c r="D571" t="inlineStr">
        <is>
          <t>BarangayDirectory</t>
        </is>
      </c>
    </row>
    <row r="572" spans="1:4">
      <c r="A572" t="inlineStr">
        <is>
          <t>Eastern Samar</t>
        </is>
      </c>
      <c r="B572" t="inlineStr">
        <is>
          <t>Maslog</t>
        </is>
      </c>
      <c r="C572" t="inlineStr">
        <is>
          <t>6820</t>
        </is>
      </c>
      <c r="D572" t="inlineStr">
        <is>
          <t>BarangayDirectory</t>
        </is>
      </c>
    </row>
    <row r="573" spans="1:4">
      <c r="A573" t="inlineStr">
        <is>
          <t>Eastern Samar</t>
        </is>
      </c>
      <c r="B573" t="inlineStr">
        <is>
          <t>Maydolong</t>
        </is>
      </c>
      <c r="C573" t="inlineStr">
        <is>
          <t>6802</t>
        </is>
      </c>
      <c r="D573" t="inlineStr">
        <is>
          <t>BarangayDirectory</t>
        </is>
      </c>
    </row>
    <row r="574" spans="1:4">
      <c r="A574" t="inlineStr">
        <is>
          <t>Eastern Samar</t>
        </is>
      </c>
      <c r="B574" t="inlineStr">
        <is>
          <t>Mercedes</t>
        </is>
      </c>
      <c r="C574" t="inlineStr">
        <is>
          <t>6808</t>
        </is>
      </c>
      <c r="D574" t="inlineStr">
        <is>
          <t>BarangayDirectory</t>
        </is>
      </c>
    </row>
    <row r="575" spans="1:4">
      <c r="A575" t="inlineStr">
        <is>
          <t>Eastern Samar</t>
        </is>
      </c>
      <c r="B575" t="inlineStr">
        <is>
          <t>Oras</t>
        </is>
      </c>
      <c r="C575" t="inlineStr">
        <is>
          <t>6818</t>
        </is>
      </c>
      <c r="D575" t="inlineStr">
        <is>
          <t>BarangayDirectory</t>
        </is>
      </c>
    </row>
    <row r="576" spans="1:4">
      <c r="A576" t="inlineStr">
        <is>
          <t>Eastern Samar</t>
        </is>
      </c>
      <c r="B576" t="inlineStr">
        <is>
          <t>Quinapondan</t>
        </is>
      </c>
      <c r="C576" t="inlineStr">
        <is>
          <t>6810</t>
        </is>
      </c>
      <c r="D576" t="inlineStr">
        <is>
          <t>BarangayDirectory</t>
        </is>
      </c>
    </row>
    <row r="577" spans="1:4">
      <c r="A577" t="inlineStr">
        <is>
          <t>Eastern Samar</t>
        </is>
      </c>
      <c r="B577" t="inlineStr">
        <is>
          <t>Salcedo</t>
        </is>
      </c>
      <c r="C577" t="inlineStr">
        <is>
          <t>6807</t>
        </is>
      </c>
      <c r="D577" t="inlineStr">
        <is>
          <t>BarangayDirectory</t>
        </is>
      </c>
    </row>
    <row r="578" spans="1:4">
      <c r="A578" t="inlineStr">
        <is>
          <t>Eastern Samar</t>
        </is>
      </c>
      <c r="B578" t="inlineStr">
        <is>
          <t>San Julian</t>
        </is>
      </c>
      <c r="C578" t="inlineStr">
        <is>
          <t>6814</t>
        </is>
      </c>
      <c r="D578" t="inlineStr">
        <is>
          <t>BarangayDirectory</t>
        </is>
      </c>
    </row>
    <row r="579" spans="1:4">
      <c r="A579" t="inlineStr">
        <is>
          <t>Eastern Samar</t>
        </is>
      </c>
      <c r="B579" t="inlineStr">
        <is>
          <t>San Policarpo</t>
        </is>
      </c>
      <c r="C579" t="inlineStr">
        <is>
          <t>6821</t>
        </is>
      </c>
      <c r="D579" t="inlineStr">
        <is>
          <t>BarangayDirectory</t>
        </is>
      </c>
    </row>
    <row r="580" spans="1:4">
      <c r="A580" t="inlineStr">
        <is>
          <t>Eastern Samar</t>
        </is>
      </c>
      <c r="B580" t="inlineStr">
        <is>
          <t>Sulat</t>
        </is>
      </c>
      <c r="C580" t="inlineStr">
        <is>
          <t>6815</t>
        </is>
      </c>
      <c r="D580" t="inlineStr">
        <is>
          <t>BarangayDirectory</t>
        </is>
      </c>
    </row>
    <row r="581" spans="1:4">
      <c r="A581" t="inlineStr">
        <is>
          <t>Eastern Samar</t>
        </is>
      </c>
      <c r="B581" t="inlineStr">
        <is>
          <t>Taft</t>
        </is>
      </c>
      <c r="C581" t="inlineStr">
        <is>
          <t>6816</t>
        </is>
      </c>
      <c r="D581" t="inlineStr">
        <is>
          <t>BarangayDirectory</t>
        </is>
      </c>
    </row>
    <row r="582" spans="1:4">
      <c r="A582" t="inlineStr">
        <is>
          <t>Guimaras</t>
        </is>
      </c>
      <c r="B582" t="inlineStr">
        <is>
          <t>Buenavista</t>
        </is>
      </c>
      <c r="C582" t="inlineStr">
        <is>
          <t>5044</t>
        </is>
      </c>
      <c r="D582" t="inlineStr">
        <is>
          <t>BarangayDirectory</t>
        </is>
      </c>
    </row>
    <row r="583" spans="1:4">
      <c r="A583" t="inlineStr">
        <is>
          <t>Guimaras</t>
        </is>
      </c>
      <c r="B583" t="inlineStr">
        <is>
          <t>Jordan</t>
        </is>
      </c>
      <c r="C583" t="inlineStr">
        <is>
          <t>5045</t>
        </is>
      </c>
      <c r="D583" t="inlineStr">
        <is>
          <t>BarangayDirectory</t>
        </is>
      </c>
    </row>
    <row r="584" spans="1:4">
      <c r="A584" t="inlineStr">
        <is>
          <t>Guimaras</t>
        </is>
      </c>
      <c r="B584" t="inlineStr">
        <is>
          <t>Nueva Valencia</t>
        </is>
      </c>
      <c r="C584" t="inlineStr">
        <is>
          <t>5046</t>
        </is>
      </c>
      <c r="D584" t="inlineStr">
        <is>
          <t>BarangayDirectory</t>
        </is>
      </c>
    </row>
    <row r="585" spans="1:4">
      <c r="A585" t="inlineStr">
        <is>
          <t>Guimaras</t>
        </is>
      </c>
      <c r="B585" t="inlineStr">
        <is>
          <t>San Lorenzo</t>
        </is>
      </c>
      <c r="C585" t="inlineStr">
        <is>
          <t>5047</t>
        </is>
      </c>
      <c r="D585" t="inlineStr">
        <is>
          <t>BarangayDirectory</t>
        </is>
      </c>
    </row>
    <row r="586" spans="1:4">
      <c r="A586" t="inlineStr">
        <is>
          <t>Guimaras</t>
        </is>
      </c>
      <c r="B586" t="inlineStr">
        <is>
          <t>Sibunag</t>
        </is>
      </c>
      <c r="C586" t="inlineStr">
        <is>
          <t>5048</t>
        </is>
      </c>
      <c r="D586" t="inlineStr">
        <is>
          <t>BarangayDirectory</t>
        </is>
      </c>
    </row>
    <row r="587" spans="1:4">
      <c r="A587" t="inlineStr">
        <is>
          <t>Ifugao</t>
        </is>
      </c>
      <c r="B587" t="inlineStr">
        <is>
          <t>Aguinaldo</t>
        </is>
      </c>
      <c r="C587" t="inlineStr">
        <is>
          <t>3606</t>
        </is>
      </c>
      <c r="D587" t="inlineStr">
        <is>
          <t>PHLPost</t>
        </is>
      </c>
    </row>
    <row r="588" spans="1:4">
      <c r="A588" t="inlineStr">
        <is>
          <t>Ifugao</t>
        </is>
      </c>
      <c r="B588" t="inlineStr">
        <is>
          <t>Alfonso Lista</t>
        </is>
      </c>
      <c r="D588" t="inlineStr">
        <is>
          <t>Needs verification</t>
        </is>
      </c>
    </row>
    <row r="589" spans="1:4">
      <c r="A589" t="inlineStr">
        <is>
          <t>Ifugao</t>
        </is>
      </c>
      <c r="B589" t="inlineStr">
        <is>
          <t>Asipulo</t>
        </is>
      </c>
      <c r="C589" t="inlineStr">
        <is>
          <t>3610</t>
        </is>
      </c>
      <c r="D589" t="inlineStr">
        <is>
          <t>PHLPost</t>
        </is>
      </c>
    </row>
    <row r="590" spans="1:4">
      <c r="A590" t="inlineStr">
        <is>
          <t>Ifugao</t>
        </is>
      </c>
      <c r="B590" t="inlineStr">
        <is>
          <t>Banaue</t>
        </is>
      </c>
      <c r="C590" t="inlineStr">
        <is>
          <t>3601</t>
        </is>
      </c>
      <c r="D590" t="inlineStr">
        <is>
          <t>PHLPost</t>
        </is>
      </c>
    </row>
    <row r="591" spans="1:4">
      <c r="A591" t="inlineStr">
        <is>
          <t>Ifugao</t>
        </is>
      </c>
      <c r="B591" t="inlineStr">
        <is>
          <t>Hingyon</t>
        </is>
      </c>
      <c r="C591" t="inlineStr">
        <is>
          <t>3607</t>
        </is>
      </c>
      <c r="D591" t="inlineStr">
        <is>
          <t>PHLPost</t>
        </is>
      </c>
    </row>
    <row r="592" spans="1:4">
      <c r="A592" t="inlineStr">
        <is>
          <t>Ifugao</t>
        </is>
      </c>
      <c r="B592" t="inlineStr">
        <is>
          <t>Hungduan</t>
        </is>
      </c>
      <c r="C592" t="inlineStr">
        <is>
          <t>3603</t>
        </is>
      </c>
      <c r="D592" t="inlineStr">
        <is>
          <t>PHLPost</t>
        </is>
      </c>
    </row>
    <row r="593" spans="1:4">
      <c r="A593" t="inlineStr">
        <is>
          <t>Ifugao</t>
        </is>
      </c>
      <c r="B593" t="inlineStr">
        <is>
          <t>Kiangan</t>
        </is>
      </c>
      <c r="C593" t="inlineStr">
        <is>
          <t>3604</t>
        </is>
      </c>
      <c r="D593" t="inlineStr">
        <is>
          <t>PHLPost</t>
        </is>
      </c>
    </row>
    <row r="594" spans="1:4">
      <c r="A594" t="inlineStr">
        <is>
          <t>Ifugao</t>
        </is>
      </c>
      <c r="B594" t="inlineStr">
        <is>
          <t>Lagawe</t>
        </is>
      </c>
      <c r="C594" t="inlineStr">
        <is>
          <t>3600</t>
        </is>
      </c>
      <c r="D594" t="inlineStr">
        <is>
          <t>PHLPost</t>
        </is>
      </c>
    </row>
    <row r="595" spans="1:4">
      <c r="A595" t="inlineStr">
        <is>
          <t>Ifugao</t>
        </is>
      </c>
      <c r="B595" t="inlineStr">
        <is>
          <t>Lamut</t>
        </is>
      </c>
      <c r="C595" t="inlineStr">
        <is>
          <t>3605</t>
        </is>
      </c>
      <c r="D595" t="inlineStr">
        <is>
          <t>PHLPost</t>
        </is>
      </c>
    </row>
    <row r="596" spans="1:4">
      <c r="A596" t="inlineStr">
        <is>
          <t>Ifugao</t>
        </is>
      </c>
      <c r="B596" t="inlineStr">
        <is>
          <t>Mayoyao</t>
        </is>
      </c>
      <c r="C596" t="inlineStr">
        <is>
          <t>3602</t>
        </is>
      </c>
      <c r="D596" t="inlineStr">
        <is>
          <t>PHLPost</t>
        </is>
      </c>
    </row>
    <row r="597" spans="1:4">
      <c r="A597" t="inlineStr">
        <is>
          <t>Ifugao</t>
        </is>
      </c>
      <c r="B597" t="inlineStr">
        <is>
          <t>Tinoc</t>
        </is>
      </c>
      <c r="C597" t="inlineStr">
        <is>
          <t>3609</t>
        </is>
      </c>
      <c r="D597" t="inlineStr">
        <is>
          <t>PHLPost</t>
        </is>
      </c>
    </row>
    <row r="598" spans="1:4">
      <c r="A598" t="inlineStr">
        <is>
          <t>Ilocos Norte</t>
        </is>
      </c>
      <c r="B598" t="inlineStr">
        <is>
          <t>Adams</t>
        </is>
      </c>
      <c r="C598" t="inlineStr">
        <is>
          <t>2922</t>
        </is>
      </c>
      <c r="D598" t="inlineStr">
        <is>
          <t>BarangayDirectory</t>
        </is>
      </c>
    </row>
    <row r="599" spans="1:4">
      <c r="A599" t="inlineStr">
        <is>
          <t>Ilocos Norte</t>
        </is>
      </c>
      <c r="B599" t="inlineStr">
        <is>
          <t>Bacarra</t>
        </is>
      </c>
      <c r="C599" t="inlineStr">
        <is>
          <t>2916</t>
        </is>
      </c>
      <c r="D599" t="inlineStr">
        <is>
          <t>BarangayDirectory</t>
        </is>
      </c>
    </row>
    <row r="600" spans="1:4">
      <c r="A600" t="inlineStr">
        <is>
          <t>Ilocos Norte</t>
        </is>
      </c>
      <c r="B600" t="inlineStr">
        <is>
          <t>Badoc</t>
        </is>
      </c>
      <c r="C600" t="inlineStr">
        <is>
          <t>2904</t>
        </is>
      </c>
      <c r="D600" t="inlineStr">
        <is>
          <t>BarangayDirectory</t>
        </is>
      </c>
    </row>
    <row r="601" spans="1:4">
      <c r="A601" t="inlineStr">
        <is>
          <t>Ilocos Norte</t>
        </is>
      </c>
      <c r="B601" t="inlineStr">
        <is>
          <t>Bangui</t>
        </is>
      </c>
      <c r="C601" t="inlineStr">
        <is>
          <t>2920</t>
        </is>
      </c>
      <c r="D601" t="inlineStr">
        <is>
          <t>BarangayDirectory</t>
        </is>
      </c>
    </row>
    <row r="602" spans="1:4">
      <c r="A602" t="inlineStr">
        <is>
          <t>Ilocos Norte</t>
        </is>
      </c>
      <c r="B602" t="inlineStr">
        <is>
          <t>Banna</t>
        </is>
      </c>
      <c r="C602" t="inlineStr">
        <is>
          <t>2908</t>
        </is>
      </c>
      <c r="D602" t="inlineStr">
        <is>
          <t>BarangayDirectory</t>
        </is>
      </c>
    </row>
    <row r="603" spans="1:4">
      <c r="A603" t="inlineStr">
        <is>
          <t>Ilocos Norte</t>
        </is>
      </c>
      <c r="B603" t="inlineStr">
        <is>
          <t>Burgos</t>
        </is>
      </c>
      <c r="C603" t="inlineStr">
        <is>
          <t>2918</t>
        </is>
      </c>
      <c r="D603" t="inlineStr">
        <is>
          <t>BarangayDirectory</t>
        </is>
      </c>
    </row>
    <row r="604" spans="1:4">
      <c r="A604" t="inlineStr">
        <is>
          <t>Ilocos Norte</t>
        </is>
      </c>
      <c r="B604" t="inlineStr">
        <is>
          <t>Carasi</t>
        </is>
      </c>
      <c r="C604" t="inlineStr">
        <is>
          <t>2911</t>
        </is>
      </c>
      <c r="D604" t="inlineStr">
        <is>
          <t>BarangayDirectory</t>
        </is>
      </c>
    </row>
    <row r="605" spans="1:4">
      <c r="A605" t="inlineStr">
        <is>
          <t>Ilocos Norte</t>
        </is>
      </c>
      <c r="B605" t="inlineStr">
        <is>
          <t>City of Batac</t>
        </is>
      </c>
      <c r="C605" t="inlineStr">
        <is>
          <t>2906</t>
        </is>
      </c>
      <c r="D605" t="inlineStr">
        <is>
          <t>BarangayDirectory</t>
        </is>
      </c>
    </row>
    <row r="606" spans="1:4">
      <c r="A606" t="inlineStr">
        <is>
          <t>Ilocos Norte</t>
        </is>
      </c>
      <c r="B606" t="inlineStr">
        <is>
          <t>City of Laoag</t>
        </is>
      </c>
      <c r="C606" t="inlineStr">
        <is>
          <t>2900</t>
        </is>
      </c>
      <c r="D606" t="inlineStr">
        <is>
          <t>BarangayDirectory</t>
        </is>
      </c>
    </row>
    <row r="607" spans="1:4">
      <c r="A607" t="inlineStr">
        <is>
          <t>Ilocos Norte</t>
        </is>
      </c>
      <c r="B607" t="inlineStr">
        <is>
          <t>Currimao</t>
        </is>
      </c>
      <c r="C607" t="inlineStr">
        <is>
          <t>2903</t>
        </is>
      </c>
      <c r="D607" t="inlineStr">
        <is>
          <t>BarangayDirectory</t>
        </is>
      </c>
    </row>
    <row r="608" spans="1:4">
      <c r="A608" t="inlineStr">
        <is>
          <t>Ilocos Norte</t>
        </is>
      </c>
      <c r="B608" t="inlineStr">
        <is>
          <t>Dingras</t>
        </is>
      </c>
      <c r="C608" t="inlineStr">
        <is>
          <t>2913</t>
        </is>
      </c>
      <c r="D608" t="inlineStr">
        <is>
          <t>BarangayDirectory</t>
        </is>
      </c>
    </row>
    <row r="609" spans="1:4">
      <c r="A609" t="inlineStr">
        <is>
          <t>Ilocos Norte</t>
        </is>
      </c>
      <c r="B609" t="inlineStr">
        <is>
          <t>Dumalneg</t>
        </is>
      </c>
      <c r="C609" t="inlineStr">
        <is>
          <t>2921</t>
        </is>
      </c>
      <c r="D609" t="inlineStr">
        <is>
          <t>BarangayDirectory</t>
        </is>
      </c>
    </row>
    <row r="610" spans="1:4">
      <c r="A610" t="inlineStr">
        <is>
          <t>Ilocos Norte</t>
        </is>
      </c>
      <c r="B610" t="inlineStr">
        <is>
          <t>Marcos</t>
        </is>
      </c>
      <c r="C610" t="inlineStr">
        <is>
          <t>2907</t>
        </is>
      </c>
      <c r="D610" t="inlineStr">
        <is>
          <t>BarangayDirectory</t>
        </is>
      </c>
    </row>
    <row r="611" spans="1:4">
      <c r="A611" t="inlineStr">
        <is>
          <t>Ilocos Norte</t>
        </is>
      </c>
      <c r="B611" t="inlineStr">
        <is>
          <t>Nueva Era</t>
        </is>
      </c>
      <c r="C611" t="inlineStr">
        <is>
          <t>2909</t>
        </is>
      </c>
      <c r="D611" t="inlineStr">
        <is>
          <t>BarangayDirectory</t>
        </is>
      </c>
    </row>
    <row r="612" spans="1:4">
      <c r="A612" t="inlineStr">
        <is>
          <t>Ilocos Norte</t>
        </is>
      </c>
      <c r="B612" t="inlineStr">
        <is>
          <t>Pagudpud</t>
        </is>
      </c>
      <c r="C612" t="inlineStr">
        <is>
          <t>2919</t>
        </is>
      </c>
      <c r="D612" t="inlineStr">
        <is>
          <t>BarangayDirectory</t>
        </is>
      </c>
    </row>
    <row r="613" spans="1:4">
      <c r="A613" t="inlineStr">
        <is>
          <t>Ilocos Norte</t>
        </is>
      </c>
      <c r="B613" t="inlineStr">
        <is>
          <t>Paoay</t>
        </is>
      </c>
      <c r="C613" t="inlineStr">
        <is>
          <t>2902</t>
        </is>
      </c>
      <c r="D613" t="inlineStr">
        <is>
          <t>BarangayDirectory</t>
        </is>
      </c>
    </row>
    <row r="614" spans="1:4">
      <c r="A614" t="inlineStr">
        <is>
          <t>Ilocos Norte</t>
        </is>
      </c>
      <c r="B614" t="inlineStr">
        <is>
          <t>Pasuquin</t>
        </is>
      </c>
      <c r="C614" t="inlineStr">
        <is>
          <t>2917</t>
        </is>
      </c>
      <c r="D614" t="inlineStr">
        <is>
          <t>BarangayDirectory</t>
        </is>
      </c>
    </row>
    <row r="615" spans="1:4">
      <c r="A615" t="inlineStr">
        <is>
          <t>Ilocos Norte</t>
        </is>
      </c>
      <c r="B615" t="inlineStr">
        <is>
          <t>Piddig</t>
        </is>
      </c>
      <c r="C615" t="inlineStr">
        <is>
          <t>2912</t>
        </is>
      </c>
      <c r="D615" t="inlineStr">
        <is>
          <t>BarangayDirectory</t>
        </is>
      </c>
    </row>
    <row r="616" spans="1:4">
      <c r="A616" t="inlineStr">
        <is>
          <t>Ilocos Norte</t>
        </is>
      </c>
      <c r="B616" t="inlineStr">
        <is>
          <t>Pinili</t>
        </is>
      </c>
      <c r="C616" t="inlineStr">
        <is>
          <t>2905</t>
        </is>
      </c>
      <c r="D616" t="inlineStr">
        <is>
          <t>BarangayDirectory</t>
        </is>
      </c>
    </row>
    <row r="617" spans="1:4">
      <c r="A617" t="inlineStr">
        <is>
          <t>Ilocos Norte</t>
        </is>
      </c>
      <c r="B617" t="inlineStr">
        <is>
          <t>San Nicolas</t>
        </is>
      </c>
      <c r="C617" t="inlineStr">
        <is>
          <t>2901</t>
        </is>
      </c>
      <c r="D617" t="inlineStr">
        <is>
          <t>BarangayDirectory</t>
        </is>
      </c>
    </row>
    <row r="618" spans="1:4">
      <c r="A618" t="inlineStr">
        <is>
          <t>Ilocos Norte</t>
        </is>
      </c>
      <c r="B618" t="inlineStr">
        <is>
          <t>Sarrat</t>
        </is>
      </c>
      <c r="C618" t="inlineStr">
        <is>
          <t>2914</t>
        </is>
      </c>
      <c r="D618" t="inlineStr">
        <is>
          <t>BarangayDirectory</t>
        </is>
      </c>
    </row>
    <row r="619" spans="1:4">
      <c r="A619" t="inlineStr">
        <is>
          <t>Ilocos Norte</t>
        </is>
      </c>
      <c r="B619" t="inlineStr">
        <is>
          <t>Solsona</t>
        </is>
      </c>
      <c r="C619" t="inlineStr">
        <is>
          <t>2910</t>
        </is>
      </c>
      <c r="D619" t="inlineStr">
        <is>
          <t>BarangayDirectory</t>
        </is>
      </c>
    </row>
    <row r="620" spans="1:4">
      <c r="A620" t="inlineStr">
        <is>
          <t>Ilocos Norte</t>
        </is>
      </c>
      <c r="B620" t="inlineStr">
        <is>
          <t>Vintar</t>
        </is>
      </c>
      <c r="C620" t="inlineStr">
        <is>
          <t>2915</t>
        </is>
      </c>
      <c r="D620" t="inlineStr">
        <is>
          <t>BarangayDirectory</t>
        </is>
      </c>
    </row>
    <row r="621" spans="1:4">
      <c r="A621" t="inlineStr">
        <is>
          <t>Ilocos Sur</t>
        </is>
      </c>
      <c r="B621" t="inlineStr">
        <is>
          <t>Alilem</t>
        </is>
      </c>
      <c r="C621" t="inlineStr">
        <is>
          <t>2716</t>
        </is>
      </c>
      <c r="D621" t="inlineStr">
        <is>
          <t>BarangayDirectory</t>
        </is>
      </c>
    </row>
    <row r="622" spans="1:4">
      <c r="A622" t="inlineStr">
        <is>
          <t>Ilocos Sur</t>
        </is>
      </c>
      <c r="B622" t="inlineStr">
        <is>
          <t>Banayoyo</t>
        </is>
      </c>
      <c r="C622" t="inlineStr">
        <is>
          <t>2708</t>
        </is>
      </c>
      <c r="D622" t="inlineStr">
        <is>
          <t>BarangayDirectory</t>
        </is>
      </c>
    </row>
    <row r="623" spans="1:4">
      <c r="A623" t="inlineStr">
        <is>
          <t>Ilocos Sur</t>
        </is>
      </c>
      <c r="B623" t="inlineStr">
        <is>
          <t>Bantay</t>
        </is>
      </c>
      <c r="C623" t="inlineStr">
        <is>
          <t>2727</t>
        </is>
      </c>
      <c r="D623" t="inlineStr">
        <is>
          <t>BarangayDirectory</t>
        </is>
      </c>
    </row>
    <row r="624" spans="1:4">
      <c r="A624" t="inlineStr">
        <is>
          <t>Ilocos Sur</t>
        </is>
      </c>
      <c r="B624" t="inlineStr">
        <is>
          <t>Burgos</t>
        </is>
      </c>
      <c r="C624" t="inlineStr">
        <is>
          <t>2724</t>
        </is>
      </c>
      <c r="D624" t="inlineStr">
        <is>
          <t>BarangayDirectory</t>
        </is>
      </c>
    </row>
    <row r="625" spans="1:4">
      <c r="A625" t="inlineStr">
        <is>
          <t>Ilocos Sur</t>
        </is>
      </c>
      <c r="B625" t="inlineStr">
        <is>
          <t>Cabugao</t>
        </is>
      </c>
      <c r="C625" t="inlineStr">
        <is>
          <t>2732</t>
        </is>
      </c>
      <c r="D625" t="inlineStr">
        <is>
          <t>BarangayDirectory</t>
        </is>
      </c>
    </row>
    <row r="626" spans="1:4">
      <c r="A626" t="inlineStr">
        <is>
          <t>Ilocos Sur</t>
        </is>
      </c>
      <c r="B626" t="inlineStr">
        <is>
          <t>Caoayan</t>
        </is>
      </c>
      <c r="C626" t="inlineStr">
        <is>
          <t>2702</t>
        </is>
      </c>
      <c r="D626" t="inlineStr">
        <is>
          <t>BarangayDirectory</t>
        </is>
      </c>
    </row>
    <row r="627" spans="1:4">
      <c r="A627" t="inlineStr">
        <is>
          <t>Ilocos Sur</t>
        </is>
      </c>
      <c r="B627" t="inlineStr">
        <is>
          <t>Cervantes</t>
        </is>
      </c>
      <c r="C627" t="inlineStr">
        <is>
          <t>2718</t>
        </is>
      </c>
      <c r="D627" t="inlineStr">
        <is>
          <t>BarangayDirectory</t>
        </is>
      </c>
    </row>
    <row r="628" spans="1:4">
      <c r="A628" t="inlineStr">
        <is>
          <t>Ilocos Sur</t>
        </is>
      </c>
      <c r="B628" t="inlineStr">
        <is>
          <t>City of Candon</t>
        </is>
      </c>
      <c r="C628" t="inlineStr">
        <is>
          <t>2710</t>
        </is>
      </c>
      <c r="D628" t="inlineStr">
        <is>
          <t>BarangayDirectory</t>
        </is>
      </c>
    </row>
    <row r="629" spans="1:4">
      <c r="A629" t="inlineStr">
        <is>
          <t>Ilocos Sur</t>
        </is>
      </c>
      <c r="B629" t="inlineStr">
        <is>
          <t>City of Vigan</t>
        </is>
      </c>
      <c r="C629" t="inlineStr">
        <is>
          <t>2700</t>
        </is>
      </c>
      <c r="D629" t="inlineStr">
        <is>
          <t>BarangayDirectory</t>
        </is>
      </c>
    </row>
    <row r="630" spans="1:4">
      <c r="A630" t="inlineStr">
        <is>
          <t>Ilocos Sur</t>
        </is>
      </c>
      <c r="B630" t="inlineStr">
        <is>
          <t>Galimuyod</t>
        </is>
      </c>
      <c r="C630" t="inlineStr">
        <is>
          <t>2709</t>
        </is>
      </c>
      <c r="D630" t="inlineStr">
        <is>
          <t>BarangayDirectory</t>
        </is>
      </c>
    </row>
    <row r="631" spans="1:4">
      <c r="A631" t="inlineStr">
        <is>
          <t>Ilocos Sur</t>
        </is>
      </c>
      <c r="B631" t="inlineStr">
        <is>
          <t>Gregorio del Pilar</t>
        </is>
      </c>
      <c r="C631" t="inlineStr">
        <is>
          <t>2720</t>
        </is>
      </c>
      <c r="D631" t="inlineStr">
        <is>
          <t>BarangayDirectory</t>
        </is>
      </c>
    </row>
    <row r="632" spans="1:4">
      <c r="A632" t="inlineStr">
        <is>
          <t>Ilocos Sur</t>
        </is>
      </c>
      <c r="B632" t="inlineStr">
        <is>
          <t>Lidlidda</t>
        </is>
      </c>
      <c r="C632" t="inlineStr">
        <is>
          <t>2723</t>
        </is>
      </c>
      <c r="D632" t="inlineStr">
        <is>
          <t>BarangayDirectory</t>
        </is>
      </c>
    </row>
    <row r="633" spans="1:4">
      <c r="A633" t="inlineStr">
        <is>
          <t>Ilocos Sur</t>
        </is>
      </c>
      <c r="B633" t="inlineStr">
        <is>
          <t>Magsingal</t>
        </is>
      </c>
      <c r="C633" t="inlineStr">
        <is>
          <t>2730</t>
        </is>
      </c>
      <c r="D633" t="inlineStr">
        <is>
          <t>BarangayDirectory</t>
        </is>
      </c>
    </row>
    <row r="634" spans="1:4">
      <c r="A634" t="inlineStr">
        <is>
          <t>Ilocos Sur</t>
        </is>
      </c>
      <c r="B634" t="inlineStr">
        <is>
          <t>Nagbukel</t>
        </is>
      </c>
      <c r="C634" t="inlineStr">
        <is>
          <t>2725</t>
        </is>
      </c>
      <c r="D634" t="inlineStr">
        <is>
          <t>BarangayDirectory</t>
        </is>
      </c>
    </row>
    <row r="635" spans="1:4">
      <c r="A635" t="inlineStr">
        <is>
          <t>Ilocos Sur</t>
        </is>
      </c>
      <c r="B635" t="inlineStr">
        <is>
          <t>Narvacan</t>
        </is>
      </c>
      <c r="C635" t="inlineStr">
        <is>
          <t>2704</t>
        </is>
      </c>
      <c r="D635" t="inlineStr">
        <is>
          <t>BarangayDirectory</t>
        </is>
      </c>
    </row>
    <row r="636" spans="1:4">
      <c r="A636" t="inlineStr">
        <is>
          <t>Ilocos Sur</t>
        </is>
      </c>
      <c r="B636" t="inlineStr">
        <is>
          <t>Quirino</t>
        </is>
      </c>
      <c r="C636" t="inlineStr">
        <is>
          <t>3321</t>
        </is>
      </c>
      <c r="D636" t="inlineStr">
        <is>
          <t>BarangayDirectory</t>
        </is>
      </c>
    </row>
    <row r="637" spans="1:4">
      <c r="A637" t="inlineStr">
        <is>
          <t>Ilocos Sur</t>
        </is>
      </c>
      <c r="B637" t="inlineStr">
        <is>
          <t>Salcedo</t>
        </is>
      </c>
      <c r="C637" t="inlineStr">
        <is>
          <t>6807</t>
        </is>
      </c>
      <c r="D637" t="inlineStr">
        <is>
          <t>BarangayDirectory</t>
        </is>
      </c>
    </row>
    <row r="638" spans="1:4">
      <c r="A638" t="inlineStr">
        <is>
          <t>Ilocos Sur</t>
        </is>
      </c>
      <c r="B638" t="inlineStr">
        <is>
          <t>San Emilio</t>
        </is>
      </c>
      <c r="C638" t="inlineStr">
        <is>
          <t>2722</t>
        </is>
      </c>
      <c r="D638" t="inlineStr">
        <is>
          <t>BarangayDirectory</t>
        </is>
      </c>
    </row>
    <row r="639" spans="1:4">
      <c r="A639" t="inlineStr">
        <is>
          <t>Ilocos Sur</t>
        </is>
      </c>
      <c r="B639" t="inlineStr">
        <is>
          <t>San Esteban</t>
        </is>
      </c>
      <c r="C639" t="inlineStr">
        <is>
          <t>2706</t>
        </is>
      </c>
      <c r="D639" t="inlineStr">
        <is>
          <t>BarangayDirectory</t>
        </is>
      </c>
    </row>
    <row r="640" spans="1:4">
      <c r="A640" t="inlineStr">
        <is>
          <t>Ilocos Sur</t>
        </is>
      </c>
      <c r="B640" t="inlineStr">
        <is>
          <t>San Ildefonso</t>
        </is>
      </c>
      <c r="C640" t="inlineStr">
        <is>
          <t>2728</t>
        </is>
      </c>
      <c r="D640" t="inlineStr">
        <is>
          <t>BarangayDirectory</t>
        </is>
      </c>
    </row>
    <row r="641" spans="1:4">
      <c r="A641" t="inlineStr">
        <is>
          <t>Ilocos Sur</t>
        </is>
      </c>
      <c r="B641" t="inlineStr">
        <is>
          <t>San Juan</t>
        </is>
      </c>
      <c r="C641" t="inlineStr">
        <is>
          <t>2823</t>
        </is>
      </c>
      <c r="D641" t="inlineStr">
        <is>
          <t>BarangayDirectory</t>
        </is>
      </c>
    </row>
    <row r="642" spans="1:4">
      <c r="A642" t="inlineStr">
        <is>
          <t>Ilocos Sur</t>
        </is>
      </c>
      <c r="B642" t="inlineStr">
        <is>
          <t>San Vicente</t>
        </is>
      </c>
      <c r="C642" t="inlineStr">
        <is>
          <t>2726</t>
        </is>
      </c>
      <c r="D642" t="inlineStr">
        <is>
          <t>BarangayDirectory</t>
        </is>
      </c>
    </row>
    <row r="643" spans="1:4">
      <c r="A643" t="inlineStr">
        <is>
          <t>Ilocos Sur</t>
        </is>
      </c>
      <c r="B643" t="inlineStr">
        <is>
          <t>Santa</t>
        </is>
      </c>
      <c r="C643" t="inlineStr">
        <is>
          <t>2703</t>
        </is>
      </c>
      <c r="D643" t="inlineStr">
        <is>
          <t>BarangayDirectory</t>
        </is>
      </c>
    </row>
    <row r="644" spans="1:4">
      <c r="A644" t="inlineStr">
        <is>
          <t>Ilocos Sur</t>
        </is>
      </c>
      <c r="B644" t="inlineStr">
        <is>
          <t>Santa Catalina</t>
        </is>
      </c>
      <c r="C644" t="inlineStr">
        <is>
          <t>2701</t>
        </is>
      </c>
      <c r="D644" t="inlineStr">
        <is>
          <t>BarangayDirectory</t>
        </is>
      </c>
    </row>
    <row r="645" spans="1:4">
      <c r="A645" t="inlineStr">
        <is>
          <t>Ilocos Sur</t>
        </is>
      </c>
      <c r="B645" t="inlineStr">
        <is>
          <t>Santa Cruz</t>
        </is>
      </c>
      <c r="C645" t="inlineStr">
        <is>
          <t>2713</t>
        </is>
      </c>
      <c r="D645" t="inlineStr">
        <is>
          <t>BarangayDirectory</t>
        </is>
      </c>
    </row>
    <row r="646" spans="1:4">
      <c r="A646" t="inlineStr">
        <is>
          <t>Ilocos Sur</t>
        </is>
      </c>
      <c r="B646" t="inlineStr">
        <is>
          <t>Santa Lucia</t>
        </is>
      </c>
      <c r="C646" t="inlineStr">
        <is>
          <t>2712</t>
        </is>
      </c>
      <c r="D646" t="inlineStr">
        <is>
          <t>BarangayDirectory</t>
        </is>
      </c>
    </row>
    <row r="647" spans="1:4">
      <c r="A647" t="inlineStr">
        <is>
          <t>Ilocos Sur</t>
        </is>
      </c>
      <c r="B647" t="inlineStr">
        <is>
          <t>Santa Maria</t>
        </is>
      </c>
      <c r="C647" t="inlineStr">
        <is>
          <t>2705</t>
        </is>
      </c>
      <c r="D647" t="inlineStr">
        <is>
          <t>BarangayDirectory</t>
        </is>
      </c>
    </row>
    <row r="648" spans="1:4">
      <c r="A648" t="inlineStr">
        <is>
          <t>Ilocos Sur</t>
        </is>
      </c>
      <c r="B648" t="inlineStr">
        <is>
          <t>Santiago</t>
        </is>
      </c>
      <c r="C648" t="inlineStr">
        <is>
          <t>2707</t>
        </is>
      </c>
      <c r="D648" t="inlineStr">
        <is>
          <t>BarangayDirectory</t>
        </is>
      </c>
    </row>
    <row r="649" spans="1:4">
      <c r="A649" t="inlineStr">
        <is>
          <t>Ilocos Sur</t>
        </is>
      </c>
      <c r="B649" t="inlineStr">
        <is>
          <t>Santo Domingo</t>
        </is>
      </c>
      <c r="C649" t="inlineStr">
        <is>
          <t>2729</t>
        </is>
      </c>
      <c r="D649" t="inlineStr">
        <is>
          <t>BarangayDirectory</t>
        </is>
      </c>
    </row>
    <row r="650" spans="1:4">
      <c r="A650" t="inlineStr">
        <is>
          <t>Ilocos Sur</t>
        </is>
      </c>
      <c r="B650" t="inlineStr">
        <is>
          <t>Sigay</t>
        </is>
      </c>
      <c r="C650" t="inlineStr">
        <is>
          <t>2719</t>
        </is>
      </c>
      <c r="D650" t="inlineStr">
        <is>
          <t>BarangayDirectory</t>
        </is>
      </c>
    </row>
    <row r="651" spans="1:4">
      <c r="A651" t="inlineStr">
        <is>
          <t>Ilocos Sur</t>
        </is>
      </c>
      <c r="B651" t="inlineStr">
        <is>
          <t>Sinait</t>
        </is>
      </c>
      <c r="C651" t="inlineStr">
        <is>
          <t>2733</t>
        </is>
      </c>
      <c r="D651" t="inlineStr">
        <is>
          <t>BarangayDirectory</t>
        </is>
      </c>
    </row>
    <row r="652" spans="1:4">
      <c r="A652" t="inlineStr">
        <is>
          <t>Ilocos Sur</t>
        </is>
      </c>
      <c r="B652" t="inlineStr">
        <is>
          <t>Sugpon</t>
        </is>
      </c>
      <c r="C652" t="inlineStr">
        <is>
          <t>2717</t>
        </is>
      </c>
      <c r="D652" t="inlineStr">
        <is>
          <t>BarangayDirectory</t>
        </is>
      </c>
    </row>
    <row r="653" spans="1:4">
      <c r="A653" t="inlineStr">
        <is>
          <t>Ilocos Sur</t>
        </is>
      </c>
      <c r="B653" t="inlineStr">
        <is>
          <t>Suyo</t>
        </is>
      </c>
      <c r="C653" t="inlineStr">
        <is>
          <t>2715</t>
        </is>
      </c>
      <c r="D653" t="inlineStr">
        <is>
          <t>BarangayDirectory</t>
        </is>
      </c>
    </row>
    <row r="654" spans="1:4">
      <c r="A654" t="inlineStr">
        <is>
          <t>Ilocos Sur</t>
        </is>
      </c>
      <c r="B654" t="inlineStr">
        <is>
          <t>Tagudin</t>
        </is>
      </c>
      <c r="C654" t="inlineStr">
        <is>
          <t>2714</t>
        </is>
      </c>
      <c r="D654" t="inlineStr">
        <is>
          <t>BarangayDirectory</t>
        </is>
      </c>
    </row>
    <row r="655" spans="1:4">
      <c r="A655" t="inlineStr">
        <is>
          <t>Iloilo</t>
        </is>
      </c>
      <c r="B655" t="inlineStr">
        <is>
          <t>Ajuy</t>
        </is>
      </c>
      <c r="C655" t="inlineStr">
        <is>
          <t>5012</t>
        </is>
      </c>
      <c r="D655" t="inlineStr">
        <is>
          <t>BarangayDirectory</t>
        </is>
      </c>
    </row>
    <row r="656" spans="1:4">
      <c r="A656" t="inlineStr">
        <is>
          <t>Iloilo</t>
        </is>
      </c>
      <c r="B656" t="inlineStr">
        <is>
          <t>Alimodian</t>
        </is>
      </c>
      <c r="C656" t="inlineStr">
        <is>
          <t>5028</t>
        </is>
      </c>
      <c r="D656" t="inlineStr">
        <is>
          <t>BarangayDirectory</t>
        </is>
      </c>
    </row>
    <row r="657" spans="1:4">
      <c r="A657" t="inlineStr">
        <is>
          <t>Iloilo</t>
        </is>
      </c>
      <c r="B657" t="inlineStr">
        <is>
          <t>Anilao</t>
        </is>
      </c>
      <c r="C657" t="inlineStr">
        <is>
          <t>5009</t>
        </is>
      </c>
      <c r="D657" t="inlineStr">
        <is>
          <t>BarangayDirectory</t>
        </is>
      </c>
    </row>
    <row r="658" spans="1:4">
      <c r="A658" t="inlineStr">
        <is>
          <t>Iloilo</t>
        </is>
      </c>
      <c r="B658" t="inlineStr">
        <is>
          <t>Badiangan</t>
        </is>
      </c>
      <c r="C658" t="inlineStr">
        <is>
          <t>5033</t>
        </is>
      </c>
      <c r="D658" t="inlineStr">
        <is>
          <t>BarangayDirectory</t>
        </is>
      </c>
    </row>
    <row r="659" spans="1:4">
      <c r="A659" t="inlineStr">
        <is>
          <t>Iloilo</t>
        </is>
      </c>
      <c r="B659" t="inlineStr">
        <is>
          <t>Balasan</t>
        </is>
      </c>
      <c r="C659" t="inlineStr">
        <is>
          <t>5018</t>
        </is>
      </c>
      <c r="D659" t="inlineStr">
        <is>
          <t>BarangayDirectory</t>
        </is>
      </c>
    </row>
    <row r="660" spans="1:4">
      <c r="A660" t="inlineStr">
        <is>
          <t>Iloilo</t>
        </is>
      </c>
      <c r="B660" t="inlineStr">
        <is>
          <t>Banate</t>
        </is>
      </c>
      <c r="C660" t="inlineStr">
        <is>
          <t>5010</t>
        </is>
      </c>
      <c r="D660" t="inlineStr">
        <is>
          <t>BarangayDirectory</t>
        </is>
      </c>
    </row>
    <row r="661" spans="1:4">
      <c r="A661" t="inlineStr">
        <is>
          <t>Iloilo</t>
        </is>
      </c>
      <c r="B661" t="inlineStr">
        <is>
          <t>Barotac Nuevo</t>
        </is>
      </c>
      <c r="C661" t="inlineStr">
        <is>
          <t>5007</t>
        </is>
      </c>
      <c r="D661" t="inlineStr">
        <is>
          <t>BarangayDirectory</t>
        </is>
      </c>
    </row>
    <row r="662" spans="1:4">
      <c r="A662" t="inlineStr">
        <is>
          <t>Iloilo</t>
        </is>
      </c>
      <c r="B662" t="inlineStr">
        <is>
          <t>Barotac Viejo</t>
        </is>
      </c>
      <c r="C662" t="inlineStr">
        <is>
          <t>5011</t>
        </is>
      </c>
      <c r="D662" t="inlineStr">
        <is>
          <t>BarangayDirectory</t>
        </is>
      </c>
    </row>
    <row r="663" spans="1:4">
      <c r="A663" t="inlineStr">
        <is>
          <t>Iloilo</t>
        </is>
      </c>
      <c r="B663" t="inlineStr">
        <is>
          <t>Batad</t>
        </is>
      </c>
      <c r="C663" t="inlineStr">
        <is>
          <t>5016</t>
        </is>
      </c>
      <c r="D663" t="inlineStr">
        <is>
          <t>BarangayDirectory</t>
        </is>
      </c>
    </row>
    <row r="664" spans="1:4">
      <c r="A664" t="inlineStr">
        <is>
          <t>Iloilo</t>
        </is>
      </c>
      <c r="B664" t="inlineStr">
        <is>
          <t>Bingawan</t>
        </is>
      </c>
      <c r="C664" t="inlineStr">
        <is>
          <t>5041</t>
        </is>
      </c>
      <c r="D664" t="inlineStr">
        <is>
          <t>BarangayDirectory</t>
        </is>
      </c>
    </row>
    <row r="665" spans="1:4">
      <c r="A665" t="inlineStr">
        <is>
          <t>Iloilo</t>
        </is>
      </c>
      <c r="B665" t="inlineStr">
        <is>
          <t>Cabatuan</t>
        </is>
      </c>
      <c r="C665" t="inlineStr">
        <is>
          <t>5031</t>
        </is>
      </c>
      <c r="D665" t="inlineStr">
        <is>
          <t>BarangayDirectory</t>
        </is>
      </c>
    </row>
    <row r="666" spans="1:4">
      <c r="A666" t="inlineStr">
        <is>
          <t>Iloilo</t>
        </is>
      </c>
      <c r="B666" t="inlineStr">
        <is>
          <t>Calinog</t>
        </is>
      </c>
      <c r="C666" t="inlineStr">
        <is>
          <t>5040</t>
        </is>
      </c>
      <c r="D666" t="inlineStr">
        <is>
          <t>BarangayDirectory</t>
        </is>
      </c>
    </row>
    <row r="667" spans="1:4">
      <c r="A667" t="inlineStr">
        <is>
          <t>Iloilo</t>
        </is>
      </c>
      <c r="B667" t="inlineStr">
        <is>
          <t>Carles</t>
        </is>
      </c>
      <c r="C667" t="inlineStr">
        <is>
          <t>5019</t>
        </is>
      </c>
      <c r="D667" t="inlineStr">
        <is>
          <t>BarangayDirectory</t>
        </is>
      </c>
    </row>
    <row r="668" spans="1:4">
      <c r="A668" t="inlineStr">
        <is>
          <t>Iloilo</t>
        </is>
      </c>
      <c r="B668" t="inlineStr">
        <is>
          <t>City of Passi</t>
        </is>
      </c>
      <c r="C668" t="inlineStr">
        <is>
          <t>5037</t>
        </is>
      </c>
      <c r="D668" t="inlineStr">
        <is>
          <t>BarangayDirectory</t>
        </is>
      </c>
    </row>
    <row r="669" spans="1:4">
      <c r="A669" t="inlineStr">
        <is>
          <t>Iloilo</t>
        </is>
      </c>
      <c r="B669" t="inlineStr">
        <is>
          <t>Concepcion</t>
        </is>
      </c>
      <c r="C669" t="inlineStr">
        <is>
          <t>5013</t>
        </is>
      </c>
      <c r="D669" t="inlineStr">
        <is>
          <t>BarangayDirectory</t>
        </is>
      </c>
    </row>
    <row r="670" spans="1:4">
      <c r="A670" t="inlineStr">
        <is>
          <t>Iloilo</t>
        </is>
      </c>
      <c r="B670" t="inlineStr">
        <is>
          <t>Dingle</t>
        </is>
      </c>
      <c r="C670" t="inlineStr">
        <is>
          <t>5035</t>
        </is>
      </c>
      <c r="D670" t="inlineStr">
        <is>
          <t>BarangayDirectory</t>
        </is>
      </c>
    </row>
    <row r="671" spans="1:4">
      <c r="A671" t="inlineStr">
        <is>
          <t>Iloilo</t>
        </is>
      </c>
      <c r="B671" t="inlineStr">
        <is>
          <t>Dueñas</t>
        </is>
      </c>
      <c r="C671" t="inlineStr">
        <is>
          <t>5038</t>
        </is>
      </c>
      <c r="D671" t="inlineStr">
        <is>
          <t>BarangayDirectory</t>
        </is>
      </c>
    </row>
    <row r="672" spans="1:4">
      <c r="A672" t="inlineStr">
        <is>
          <t>Iloilo</t>
        </is>
      </c>
      <c r="B672" t="inlineStr">
        <is>
          <t>Dumangas</t>
        </is>
      </c>
      <c r="C672" t="inlineStr">
        <is>
          <t>5006</t>
        </is>
      </c>
      <c r="D672" t="inlineStr">
        <is>
          <t>BarangayDirectory</t>
        </is>
      </c>
    </row>
    <row r="673" spans="1:4">
      <c r="A673" t="inlineStr">
        <is>
          <t>Iloilo</t>
        </is>
      </c>
      <c r="B673" t="inlineStr">
        <is>
          <t>Estancia</t>
        </is>
      </c>
      <c r="C673" t="inlineStr">
        <is>
          <t>5017</t>
        </is>
      </c>
      <c r="D673" t="inlineStr">
        <is>
          <t>BarangayDirectory</t>
        </is>
      </c>
    </row>
    <row r="674" spans="1:4">
      <c r="A674" t="inlineStr">
        <is>
          <t>Iloilo</t>
        </is>
      </c>
      <c r="B674" t="inlineStr">
        <is>
          <t>Guimbal</t>
        </is>
      </c>
      <c r="C674" t="inlineStr">
        <is>
          <t>5022</t>
        </is>
      </c>
      <c r="D674" t="inlineStr">
        <is>
          <t>BarangayDirectory</t>
        </is>
      </c>
    </row>
    <row r="675" spans="1:4">
      <c r="A675" t="inlineStr">
        <is>
          <t>Iloilo</t>
        </is>
      </c>
      <c r="B675" t="inlineStr">
        <is>
          <t>Igbaras</t>
        </is>
      </c>
      <c r="C675" t="inlineStr">
        <is>
          <t>5029</t>
        </is>
      </c>
      <c r="D675" t="inlineStr">
        <is>
          <t>BarangayDirectory</t>
        </is>
      </c>
    </row>
    <row r="676" spans="1:4">
      <c r="A676" t="inlineStr">
        <is>
          <t>Iloilo</t>
        </is>
      </c>
      <c r="B676" t="inlineStr">
        <is>
          <t>Janiuay</t>
        </is>
      </c>
      <c r="C676" t="inlineStr">
        <is>
          <t>5034</t>
        </is>
      </c>
      <c r="D676" t="inlineStr">
        <is>
          <t>BarangayDirectory</t>
        </is>
      </c>
    </row>
    <row r="677" spans="1:4">
      <c r="A677" t="inlineStr">
        <is>
          <t>Iloilo</t>
        </is>
      </c>
      <c r="B677" t="inlineStr">
        <is>
          <t>Lambunao</t>
        </is>
      </c>
      <c r="C677" t="inlineStr">
        <is>
          <t>5042</t>
        </is>
      </c>
      <c r="D677" t="inlineStr">
        <is>
          <t>BarangayDirectory</t>
        </is>
      </c>
    </row>
    <row r="678" spans="1:4">
      <c r="A678" t="inlineStr">
        <is>
          <t>Iloilo</t>
        </is>
      </c>
      <c r="B678" t="inlineStr">
        <is>
          <t>Leganes</t>
        </is>
      </c>
      <c r="C678" t="inlineStr">
        <is>
          <t>5003</t>
        </is>
      </c>
      <c r="D678" t="inlineStr">
        <is>
          <t>BarangayDirectory</t>
        </is>
      </c>
    </row>
    <row r="679" spans="1:4">
      <c r="A679" t="inlineStr">
        <is>
          <t>Iloilo</t>
        </is>
      </c>
      <c r="B679" t="inlineStr">
        <is>
          <t>Lemery</t>
        </is>
      </c>
      <c r="C679" t="inlineStr">
        <is>
          <t>5043</t>
        </is>
      </c>
      <c r="D679" t="inlineStr">
        <is>
          <t>BarangayDirectory</t>
        </is>
      </c>
    </row>
    <row r="680" spans="1:4">
      <c r="A680" t="inlineStr">
        <is>
          <t>Iloilo</t>
        </is>
      </c>
      <c r="B680" t="inlineStr">
        <is>
          <t>Leon</t>
        </is>
      </c>
      <c r="C680" t="inlineStr">
        <is>
          <t>5026</t>
        </is>
      </c>
      <c r="D680" t="inlineStr">
        <is>
          <t>BarangayDirectory</t>
        </is>
      </c>
    </row>
    <row r="681" spans="1:4">
      <c r="A681" t="inlineStr">
        <is>
          <t>Iloilo</t>
        </is>
      </c>
      <c r="B681" t="inlineStr">
        <is>
          <t>Maasin</t>
        </is>
      </c>
      <c r="C681" t="inlineStr">
        <is>
          <t>5030</t>
        </is>
      </c>
      <c r="D681" t="inlineStr">
        <is>
          <t>BarangayDirectory</t>
        </is>
      </c>
    </row>
    <row r="682" spans="1:4">
      <c r="A682" t="inlineStr">
        <is>
          <t>Iloilo</t>
        </is>
      </c>
      <c r="B682" t="inlineStr">
        <is>
          <t>Miagao</t>
        </is>
      </c>
      <c r="C682" t="inlineStr">
        <is>
          <t>5023</t>
        </is>
      </c>
      <c r="D682" t="inlineStr">
        <is>
          <t>BarangayDirectory</t>
        </is>
      </c>
    </row>
    <row r="683" spans="1:4">
      <c r="A683" t="inlineStr">
        <is>
          <t>Iloilo</t>
        </is>
      </c>
      <c r="B683" t="inlineStr">
        <is>
          <t>Mina</t>
        </is>
      </c>
      <c r="C683" t="inlineStr">
        <is>
          <t>5032</t>
        </is>
      </c>
      <c r="D683" t="inlineStr">
        <is>
          <t>BarangayDirectory</t>
        </is>
      </c>
    </row>
    <row r="684" spans="1:4">
      <c r="A684" t="inlineStr">
        <is>
          <t>Iloilo</t>
        </is>
      </c>
      <c r="B684" t="inlineStr">
        <is>
          <t>New Lucena</t>
        </is>
      </c>
      <c r="C684" t="inlineStr">
        <is>
          <t>5005</t>
        </is>
      </c>
      <c r="D684" t="inlineStr">
        <is>
          <t>BarangayDirectory</t>
        </is>
      </c>
    </row>
    <row r="685" spans="1:4">
      <c r="A685" t="inlineStr">
        <is>
          <t>Iloilo</t>
        </is>
      </c>
      <c r="B685" t="inlineStr">
        <is>
          <t>Oton</t>
        </is>
      </c>
      <c r="C685" t="inlineStr">
        <is>
          <t>5020</t>
        </is>
      </c>
      <c r="D685" t="inlineStr">
        <is>
          <t>BarangayDirectory</t>
        </is>
      </c>
    </row>
    <row r="686" spans="1:4">
      <c r="A686" t="inlineStr">
        <is>
          <t>Iloilo</t>
        </is>
      </c>
      <c r="B686" t="inlineStr">
        <is>
          <t>Pavia</t>
        </is>
      </c>
      <c r="C686" t="inlineStr">
        <is>
          <t>5001</t>
        </is>
      </c>
      <c r="D686" t="inlineStr">
        <is>
          <t>BarangayDirectory</t>
        </is>
      </c>
    </row>
    <row r="687" spans="1:4">
      <c r="A687" t="inlineStr">
        <is>
          <t>Iloilo</t>
        </is>
      </c>
      <c r="B687" t="inlineStr">
        <is>
          <t>Pototan</t>
        </is>
      </c>
      <c r="C687" t="inlineStr">
        <is>
          <t>5008</t>
        </is>
      </c>
      <c r="D687" t="inlineStr">
        <is>
          <t>BarangayDirectory</t>
        </is>
      </c>
    </row>
    <row r="688" spans="1:4">
      <c r="A688" t="inlineStr">
        <is>
          <t>Iloilo</t>
        </is>
      </c>
      <c r="B688" t="inlineStr">
        <is>
          <t>San Dionisio</t>
        </is>
      </c>
      <c r="C688" t="inlineStr">
        <is>
          <t>5015</t>
        </is>
      </c>
      <c r="D688" t="inlineStr">
        <is>
          <t>BarangayDirectory</t>
        </is>
      </c>
    </row>
    <row r="689" spans="1:4">
      <c r="A689" t="inlineStr">
        <is>
          <t>Iloilo</t>
        </is>
      </c>
      <c r="B689" t="inlineStr">
        <is>
          <t>San Enrique</t>
        </is>
      </c>
      <c r="C689" t="inlineStr">
        <is>
          <t>5036</t>
        </is>
      </c>
      <c r="D689" t="inlineStr">
        <is>
          <t>BarangayDirectory</t>
        </is>
      </c>
    </row>
    <row r="690" spans="1:4">
      <c r="A690" t="inlineStr">
        <is>
          <t>Iloilo</t>
        </is>
      </c>
      <c r="B690" t="inlineStr">
        <is>
          <t>San Joaquin</t>
        </is>
      </c>
      <c r="C690" t="inlineStr">
        <is>
          <t>5024</t>
        </is>
      </c>
      <c r="D690" t="inlineStr">
        <is>
          <t>BarangayDirectory</t>
        </is>
      </c>
    </row>
    <row r="691" spans="1:4">
      <c r="A691" t="inlineStr">
        <is>
          <t>Iloilo</t>
        </is>
      </c>
      <c r="B691" t="inlineStr">
        <is>
          <t>San Miguel</t>
        </is>
      </c>
      <c r="C691" t="inlineStr">
        <is>
          <t>5025</t>
        </is>
      </c>
      <c r="D691" t="inlineStr">
        <is>
          <t>BarangayDirectory</t>
        </is>
      </c>
    </row>
    <row r="692" spans="1:4">
      <c r="A692" t="inlineStr">
        <is>
          <t>Iloilo</t>
        </is>
      </c>
      <c r="B692" t="inlineStr">
        <is>
          <t>San Rafael</t>
        </is>
      </c>
      <c r="C692" t="inlineStr">
        <is>
          <t>5039</t>
        </is>
      </c>
      <c r="D692" t="inlineStr">
        <is>
          <t>BarangayDirectory</t>
        </is>
      </c>
    </row>
    <row r="693" spans="1:4">
      <c r="A693" t="inlineStr">
        <is>
          <t>Iloilo</t>
        </is>
      </c>
      <c r="B693" t="inlineStr">
        <is>
          <t>Santa Barbara</t>
        </is>
      </c>
      <c r="C693" t="inlineStr">
        <is>
          <t>5002</t>
        </is>
      </c>
      <c r="D693" t="inlineStr">
        <is>
          <t>BarangayDirectory</t>
        </is>
      </c>
    </row>
    <row r="694" spans="1:4">
      <c r="A694" t="inlineStr">
        <is>
          <t>Iloilo</t>
        </is>
      </c>
      <c r="B694" t="inlineStr">
        <is>
          <t>Sara</t>
        </is>
      </c>
      <c r="C694" t="inlineStr">
        <is>
          <t>5014</t>
        </is>
      </c>
      <c r="D694" t="inlineStr">
        <is>
          <t>BarangayDirectory</t>
        </is>
      </c>
    </row>
    <row r="695" spans="1:4">
      <c r="A695" t="inlineStr">
        <is>
          <t>Iloilo</t>
        </is>
      </c>
      <c r="B695" t="inlineStr">
        <is>
          <t>Tigbauan</t>
        </is>
      </c>
      <c r="C695" t="inlineStr">
        <is>
          <t>5021</t>
        </is>
      </c>
      <c r="D695" t="inlineStr">
        <is>
          <t>BarangayDirectory</t>
        </is>
      </c>
    </row>
    <row r="696" spans="1:4">
      <c r="A696" t="inlineStr">
        <is>
          <t>Iloilo</t>
        </is>
      </c>
      <c r="B696" t="inlineStr">
        <is>
          <t>Tubungan</t>
        </is>
      </c>
      <c r="C696" t="inlineStr">
        <is>
          <t>5027</t>
        </is>
      </c>
      <c r="D696" t="inlineStr">
        <is>
          <t>BarangayDirectory</t>
        </is>
      </c>
    </row>
    <row r="697" spans="1:4">
      <c r="A697" t="inlineStr">
        <is>
          <t>Iloilo</t>
        </is>
      </c>
      <c r="B697" t="inlineStr">
        <is>
          <t>Zarraga</t>
        </is>
      </c>
      <c r="C697" t="inlineStr">
        <is>
          <t>5004</t>
        </is>
      </c>
      <c r="D697" t="inlineStr">
        <is>
          <t>BarangayDirectory</t>
        </is>
      </c>
    </row>
    <row r="698" spans="1:4">
      <c r="A698" t="inlineStr">
        <is>
          <t>Independent Cities — Cordillera Administrative Region (CAR)</t>
        </is>
      </c>
      <c r="B698" t="inlineStr">
        <is>
          <t>City of Baguio</t>
        </is>
      </c>
      <c r="D698" t="inlineStr">
        <is>
          <t>Needs verification</t>
        </is>
      </c>
    </row>
    <row r="699" spans="1:4">
      <c r="A699" t="inlineStr">
        <is>
          <t>Independent Cities — MIMAROPA Region</t>
        </is>
      </c>
      <c r="B699" t="inlineStr">
        <is>
          <t>City of Puerto Princesa</t>
        </is>
      </c>
      <c r="D699" t="inlineStr">
        <is>
          <t>Needs verification</t>
        </is>
      </c>
    </row>
    <row r="700" spans="1:4">
      <c r="A700" t="inlineStr">
        <is>
          <t>Independent Cities — Negros Island Region (NIR)</t>
        </is>
      </c>
      <c r="B700" t="inlineStr">
        <is>
          <t>City of Bacolod</t>
        </is>
      </c>
      <c r="D700" t="inlineStr">
        <is>
          <t>Needs verification</t>
        </is>
      </c>
    </row>
    <row r="701" spans="1:4">
      <c r="A701" t="inlineStr">
        <is>
          <t>Independent Cities — Region III (Central Luzon)</t>
        </is>
      </c>
      <c r="B701" t="inlineStr">
        <is>
          <t>City of Angeles</t>
        </is>
      </c>
      <c r="D701" t="inlineStr">
        <is>
          <t>Needs verification</t>
        </is>
      </c>
    </row>
    <row r="702" spans="1:4">
      <c r="A702" t="inlineStr">
        <is>
          <t>Independent Cities — Region III (Central Luzon)</t>
        </is>
      </c>
      <c r="B702" t="inlineStr">
        <is>
          <t>City of Olongapo</t>
        </is>
      </c>
      <c r="D702" t="inlineStr">
        <is>
          <t>Needs verification</t>
        </is>
      </c>
    </row>
    <row r="703" spans="1:4">
      <c r="A703" t="inlineStr">
        <is>
          <t>Independent Cities — Region IV-A (CALABARZON)</t>
        </is>
      </c>
      <c r="B703" t="inlineStr">
        <is>
          <t>City of Lucena</t>
        </is>
      </c>
      <c r="D703" t="inlineStr">
        <is>
          <t>Needs verification</t>
        </is>
      </c>
    </row>
    <row r="704" spans="1:4">
      <c r="A704" t="inlineStr">
        <is>
          <t>Independent Cities — Region IX (Zamboanga Peninsula)</t>
        </is>
      </c>
      <c r="B704" t="inlineStr">
        <is>
          <t>City of Zamboanga</t>
        </is>
      </c>
      <c r="D704" t="inlineStr">
        <is>
          <t>Needs verification</t>
        </is>
      </c>
    </row>
    <row r="705" spans="1:4">
      <c r="A705" t="inlineStr">
        <is>
          <t>Independent Cities — Region VI (Western Visayas)</t>
        </is>
      </c>
      <c r="B705" t="inlineStr">
        <is>
          <t>City of Iloilo</t>
        </is>
      </c>
      <c r="D705" t="inlineStr">
        <is>
          <t>Needs verification</t>
        </is>
      </c>
    </row>
    <row r="706" spans="1:4">
      <c r="A706" t="inlineStr">
        <is>
          <t>Independent Cities — Region VII (Central Visayas)</t>
        </is>
      </c>
      <c r="B706" t="inlineStr">
        <is>
          <t>City of Cebu</t>
        </is>
      </c>
      <c r="D706" t="inlineStr">
        <is>
          <t>Needs verification</t>
        </is>
      </c>
    </row>
    <row r="707" spans="1:4">
      <c r="A707" t="inlineStr">
        <is>
          <t>Independent Cities — Region VII (Central Visayas)</t>
        </is>
      </c>
      <c r="B707" t="inlineStr">
        <is>
          <t>City of Lapu-Lapu</t>
        </is>
      </c>
      <c r="D707" t="inlineStr">
        <is>
          <t>Needs verification</t>
        </is>
      </c>
    </row>
    <row r="708" spans="1:4">
      <c r="A708" t="inlineStr">
        <is>
          <t>Independent Cities — Region VII (Central Visayas)</t>
        </is>
      </c>
      <c r="B708" t="inlineStr">
        <is>
          <t>City of Mandaue</t>
        </is>
      </c>
      <c r="D708" t="inlineStr">
        <is>
          <t>Needs verification</t>
        </is>
      </c>
    </row>
    <row r="709" spans="1:4">
      <c r="A709" t="inlineStr">
        <is>
          <t>Independent Cities — Region VIII (Eastern Visayas)</t>
        </is>
      </c>
      <c r="B709" t="inlineStr">
        <is>
          <t>City of Tacloban</t>
        </is>
      </c>
      <c r="D709" t="inlineStr">
        <is>
          <t>Needs verification</t>
        </is>
      </c>
    </row>
    <row r="710" spans="1:4">
      <c r="A710" t="inlineStr">
        <is>
          <t>Independent Cities — Region X (Northern Mindanao)</t>
        </is>
      </c>
      <c r="B710" t="inlineStr">
        <is>
          <t>City of Cagayan De Oro</t>
        </is>
      </c>
      <c r="D710" t="inlineStr">
        <is>
          <t>Needs verification</t>
        </is>
      </c>
    </row>
    <row r="711" spans="1:4">
      <c r="A711" t="inlineStr">
        <is>
          <t>Independent Cities — Region X (Northern Mindanao)</t>
        </is>
      </c>
      <c r="B711" t="inlineStr">
        <is>
          <t>City of Iligan</t>
        </is>
      </c>
      <c r="D711" t="inlineStr">
        <is>
          <t>Needs verification</t>
        </is>
      </c>
    </row>
    <row r="712" spans="1:4">
      <c r="A712" t="inlineStr">
        <is>
          <t>Independent Cities — Region XI (Davao Region)</t>
        </is>
      </c>
      <c r="B712" t="inlineStr">
        <is>
          <t>City of Davao</t>
        </is>
      </c>
      <c r="D712" t="inlineStr">
        <is>
          <t>Needs verification</t>
        </is>
      </c>
    </row>
    <row r="713" spans="1:4">
      <c r="A713" t="inlineStr">
        <is>
          <t>Independent Cities — Region XII (SOCCSKSARGEN)</t>
        </is>
      </c>
      <c r="B713" t="inlineStr">
        <is>
          <t>City of General Santos</t>
        </is>
      </c>
      <c r="D713" t="inlineStr">
        <is>
          <t>Needs verification</t>
        </is>
      </c>
    </row>
    <row r="714" spans="1:4">
      <c r="A714" t="inlineStr">
        <is>
          <t>Independent Cities — Region XIII (Caraga)</t>
        </is>
      </c>
      <c r="B714" t="inlineStr">
        <is>
          <t>City of Butuan</t>
        </is>
      </c>
      <c r="D714" t="inlineStr">
        <is>
          <t>Needs verification</t>
        </is>
      </c>
    </row>
    <row r="715" spans="1:4">
      <c r="A715" t="inlineStr">
        <is>
          <t>Isabela</t>
        </is>
      </c>
      <c r="B715" t="inlineStr">
        <is>
          <t>Alicia</t>
        </is>
      </c>
      <c r="C715" t="inlineStr">
        <is>
          <t>3306</t>
        </is>
      </c>
      <c r="D715" t="inlineStr">
        <is>
          <t>PHLPost</t>
        </is>
      </c>
    </row>
    <row r="716" spans="1:4">
      <c r="A716" t="inlineStr">
        <is>
          <t>Isabela</t>
        </is>
      </c>
      <c r="B716" t="inlineStr">
        <is>
          <t>Angadanan</t>
        </is>
      </c>
      <c r="C716" t="inlineStr">
        <is>
          <t>3307</t>
        </is>
      </c>
      <c r="D716" t="inlineStr">
        <is>
          <t>PHLPost</t>
        </is>
      </c>
    </row>
    <row r="717" spans="1:4">
      <c r="A717" t="inlineStr">
        <is>
          <t>Isabela</t>
        </is>
      </c>
      <c r="B717" t="inlineStr">
        <is>
          <t>Aurora</t>
        </is>
      </c>
      <c r="C717" t="inlineStr">
        <is>
          <t>3316</t>
        </is>
      </c>
      <c r="D717" t="inlineStr">
        <is>
          <t>PHLPost</t>
        </is>
      </c>
    </row>
    <row r="718" spans="1:4">
      <c r="A718" t="inlineStr">
        <is>
          <t>Isabela</t>
        </is>
      </c>
      <c r="B718" t="inlineStr">
        <is>
          <t>Benito Soliven</t>
        </is>
      </c>
      <c r="C718" t="inlineStr">
        <is>
          <t>3331</t>
        </is>
      </c>
      <c r="D718" t="inlineStr">
        <is>
          <t>PHLPost</t>
        </is>
      </c>
    </row>
    <row r="719" spans="1:4">
      <c r="A719" t="inlineStr">
        <is>
          <t>Isabela</t>
        </is>
      </c>
      <c r="B719" t="inlineStr">
        <is>
          <t>Burgos</t>
        </is>
      </c>
      <c r="C719" t="inlineStr">
        <is>
          <t>3322</t>
        </is>
      </c>
      <c r="D719" t="inlineStr">
        <is>
          <t>PHLPost</t>
        </is>
      </c>
    </row>
    <row r="720" spans="1:4">
      <c r="A720" t="inlineStr">
        <is>
          <t>Isabela</t>
        </is>
      </c>
      <c r="B720" t="inlineStr">
        <is>
          <t>Cabagan</t>
        </is>
      </c>
      <c r="C720" t="inlineStr">
        <is>
          <t>3328</t>
        </is>
      </c>
      <c r="D720" t="inlineStr">
        <is>
          <t>PHLPost</t>
        </is>
      </c>
    </row>
    <row r="721" spans="1:4">
      <c r="A721" t="inlineStr">
        <is>
          <t>Isabela</t>
        </is>
      </c>
      <c r="B721" t="inlineStr">
        <is>
          <t>Cabatuan</t>
        </is>
      </c>
      <c r="C721" t="inlineStr">
        <is>
          <t>3315</t>
        </is>
      </c>
      <c r="D721" t="inlineStr">
        <is>
          <t>PHLPost</t>
        </is>
      </c>
    </row>
    <row r="722" spans="1:4">
      <c r="A722" t="inlineStr">
        <is>
          <t>Isabela</t>
        </is>
      </c>
      <c r="B722" t="inlineStr">
        <is>
          <t>City of Cauayan</t>
        </is>
      </c>
      <c r="C722" t="inlineStr">
        <is>
          <t>3305</t>
        </is>
      </c>
      <c r="D722" t="inlineStr">
        <is>
          <t>PHLPost</t>
        </is>
      </c>
    </row>
    <row r="723" spans="1:4">
      <c r="A723" t="inlineStr">
        <is>
          <t>Isabela</t>
        </is>
      </c>
      <c r="B723" t="inlineStr">
        <is>
          <t>City of Ilagan</t>
        </is>
      </c>
      <c r="C723" t="inlineStr">
        <is>
          <t>3300</t>
        </is>
      </c>
      <c r="D723" t="inlineStr">
        <is>
          <t>PHLPost</t>
        </is>
      </c>
    </row>
    <row r="724" spans="1:4">
      <c r="A724" t="inlineStr">
        <is>
          <t>Isabela</t>
        </is>
      </c>
      <c r="B724" t="inlineStr">
        <is>
          <t>City of Santiago</t>
        </is>
      </c>
      <c r="C724" t="inlineStr">
        <is>
          <t>3311</t>
        </is>
      </c>
      <c r="D724" t="inlineStr">
        <is>
          <t>PHLPost</t>
        </is>
      </c>
    </row>
    <row r="725" spans="1:4">
      <c r="A725" t="inlineStr">
        <is>
          <t>Isabela</t>
        </is>
      </c>
      <c r="B725" t="inlineStr">
        <is>
          <t>Cordon</t>
        </is>
      </c>
      <c r="C725" t="inlineStr">
        <is>
          <t>3312</t>
        </is>
      </c>
      <c r="D725" t="inlineStr">
        <is>
          <t>PHLPost</t>
        </is>
      </c>
    </row>
    <row r="726" spans="1:4">
      <c r="A726" t="inlineStr">
        <is>
          <t>Isabela</t>
        </is>
      </c>
      <c r="B726" t="inlineStr">
        <is>
          <t>Delfin Albano</t>
        </is>
      </c>
      <c r="C726" t="inlineStr">
        <is>
          <t>3326</t>
        </is>
      </c>
      <c r="D726" t="inlineStr">
        <is>
          <t>PHLPost</t>
        </is>
      </c>
    </row>
    <row r="727" spans="1:4">
      <c r="A727" t="inlineStr">
        <is>
          <t>Isabela</t>
        </is>
      </c>
      <c r="B727" t="inlineStr">
        <is>
          <t>Dinapigue</t>
        </is>
      </c>
      <c r="C727" t="inlineStr">
        <is>
          <t>3336</t>
        </is>
      </c>
      <c r="D727" t="inlineStr">
        <is>
          <t>PHLPost</t>
        </is>
      </c>
    </row>
    <row r="728" spans="1:4">
      <c r="A728" t="inlineStr">
        <is>
          <t>Isabela</t>
        </is>
      </c>
      <c r="B728" t="inlineStr">
        <is>
          <t>Divilacan</t>
        </is>
      </c>
      <c r="C728" t="inlineStr">
        <is>
          <t>3335</t>
        </is>
      </c>
      <c r="D728" t="inlineStr">
        <is>
          <t>PHLPost</t>
        </is>
      </c>
    </row>
    <row r="729" spans="1:4">
      <c r="A729" t="inlineStr">
        <is>
          <t>Isabela</t>
        </is>
      </c>
      <c r="B729" t="inlineStr">
        <is>
          <t>Echague</t>
        </is>
      </c>
      <c r="C729" t="inlineStr">
        <is>
          <t>3309</t>
        </is>
      </c>
      <c r="D729" t="inlineStr">
        <is>
          <t>PHLPost</t>
        </is>
      </c>
    </row>
    <row r="730" spans="1:4">
      <c r="A730" t="inlineStr">
        <is>
          <t>Isabela</t>
        </is>
      </c>
      <c r="B730" t="inlineStr">
        <is>
          <t>Gamu</t>
        </is>
      </c>
      <c r="C730" t="inlineStr">
        <is>
          <t>3301</t>
        </is>
      </c>
      <c r="D730" t="inlineStr">
        <is>
          <t>PHLPost</t>
        </is>
      </c>
    </row>
    <row r="731" spans="1:4">
      <c r="A731" t="inlineStr">
        <is>
          <t>Isabela</t>
        </is>
      </c>
      <c r="B731" t="inlineStr">
        <is>
          <t>Jones</t>
        </is>
      </c>
      <c r="C731" t="inlineStr">
        <is>
          <t>3313</t>
        </is>
      </c>
      <c r="D731" t="inlineStr">
        <is>
          <t>PHLPost</t>
        </is>
      </c>
    </row>
    <row r="732" spans="1:4">
      <c r="A732" t="inlineStr">
        <is>
          <t>Isabela</t>
        </is>
      </c>
      <c r="B732" t="inlineStr">
        <is>
          <t>Luna</t>
        </is>
      </c>
      <c r="C732" t="inlineStr">
        <is>
          <t>3304</t>
        </is>
      </c>
      <c r="D732" t="inlineStr">
        <is>
          <t>PHLPost</t>
        </is>
      </c>
    </row>
    <row r="733" spans="1:4">
      <c r="A733" t="inlineStr">
        <is>
          <t>Isabela</t>
        </is>
      </c>
      <c r="B733" t="inlineStr">
        <is>
          <t>Maconacon</t>
        </is>
      </c>
      <c r="C733" t="inlineStr">
        <is>
          <t>3333</t>
        </is>
      </c>
      <c r="D733" t="inlineStr">
        <is>
          <t>PHLPost</t>
        </is>
      </c>
    </row>
    <row r="734" spans="1:4">
      <c r="A734" t="inlineStr">
        <is>
          <t>Isabela</t>
        </is>
      </c>
      <c r="B734" t="inlineStr">
        <is>
          <t>Mallig</t>
        </is>
      </c>
      <c r="C734" t="inlineStr">
        <is>
          <t>3323</t>
        </is>
      </c>
      <c r="D734" t="inlineStr">
        <is>
          <t>PHLPost</t>
        </is>
      </c>
    </row>
    <row r="735" spans="1:4">
      <c r="A735" t="inlineStr">
        <is>
          <t>Isabela</t>
        </is>
      </c>
      <c r="B735" t="inlineStr">
        <is>
          <t>Naguilian</t>
        </is>
      </c>
      <c r="C735" t="inlineStr">
        <is>
          <t>2511</t>
        </is>
      </c>
      <c r="D735" t="inlineStr">
        <is>
          <t>BarangayDirectory</t>
        </is>
      </c>
    </row>
    <row r="736" spans="1:4">
      <c r="A736" t="inlineStr">
        <is>
          <t>Isabela</t>
        </is>
      </c>
      <c r="B736" t="inlineStr">
        <is>
          <t>Palanan</t>
        </is>
      </c>
      <c r="C736" t="inlineStr">
        <is>
          <t>3334</t>
        </is>
      </c>
      <c r="D736" t="inlineStr">
        <is>
          <t>PHLPost</t>
        </is>
      </c>
    </row>
    <row r="737" spans="1:4">
      <c r="A737" t="inlineStr">
        <is>
          <t>Isabela</t>
        </is>
      </c>
      <c r="B737" t="inlineStr">
        <is>
          <t>Quezon</t>
        </is>
      </c>
      <c r="C737" t="inlineStr">
        <is>
          <t>3324</t>
        </is>
      </c>
      <c r="D737" t="inlineStr">
        <is>
          <t>PHLPost</t>
        </is>
      </c>
    </row>
    <row r="738" spans="1:4">
      <c r="A738" t="inlineStr">
        <is>
          <t>Isabela</t>
        </is>
      </c>
      <c r="B738" t="inlineStr">
        <is>
          <t>Quirino</t>
        </is>
      </c>
      <c r="C738" t="inlineStr">
        <is>
          <t>3321</t>
        </is>
      </c>
      <c r="D738" t="inlineStr">
        <is>
          <t>PHLPost</t>
        </is>
      </c>
    </row>
    <row r="739" spans="1:4">
      <c r="A739" t="inlineStr">
        <is>
          <t>Isabela</t>
        </is>
      </c>
      <c r="B739" t="inlineStr">
        <is>
          <t>Ramon</t>
        </is>
      </c>
      <c r="C739" t="inlineStr">
        <is>
          <t>3319</t>
        </is>
      </c>
      <c r="D739" t="inlineStr">
        <is>
          <t>PHLPost</t>
        </is>
      </c>
    </row>
    <row r="740" spans="1:4">
      <c r="A740" t="inlineStr">
        <is>
          <t>Isabela</t>
        </is>
      </c>
      <c r="B740" t="inlineStr">
        <is>
          <t>Reina Mercedes</t>
        </is>
      </c>
      <c r="C740" t="inlineStr">
        <is>
          <t>3303</t>
        </is>
      </c>
      <c r="D740" t="inlineStr">
        <is>
          <t>PHLPost</t>
        </is>
      </c>
    </row>
    <row r="741" spans="1:4">
      <c r="A741" t="inlineStr">
        <is>
          <t>Isabela</t>
        </is>
      </c>
      <c r="B741" t="inlineStr">
        <is>
          <t>Roxas</t>
        </is>
      </c>
      <c r="C741" t="inlineStr">
        <is>
          <t>3320</t>
        </is>
      </c>
      <c r="D741" t="inlineStr">
        <is>
          <t>PHLPost</t>
        </is>
      </c>
    </row>
    <row r="742" spans="1:4">
      <c r="A742" t="inlineStr">
        <is>
          <t>Isabela</t>
        </is>
      </c>
      <c r="B742" t="inlineStr">
        <is>
          <t>San Agustin</t>
        </is>
      </c>
      <c r="C742" t="inlineStr">
        <is>
          <t>3314</t>
        </is>
      </c>
      <c r="D742" t="inlineStr">
        <is>
          <t>PHLPost</t>
        </is>
      </c>
    </row>
    <row r="743" spans="1:4">
      <c r="A743" t="inlineStr">
        <is>
          <t>Isabela</t>
        </is>
      </c>
      <c r="B743" t="inlineStr">
        <is>
          <t>San Guillermo</t>
        </is>
      </c>
      <c r="C743" t="inlineStr">
        <is>
          <t>3308</t>
        </is>
      </c>
      <c r="D743" t="inlineStr">
        <is>
          <t>PHLPost</t>
        </is>
      </c>
    </row>
    <row r="744" spans="1:4">
      <c r="A744" t="inlineStr">
        <is>
          <t>Isabela</t>
        </is>
      </c>
      <c r="B744" t="inlineStr">
        <is>
          <t>San Isidro</t>
        </is>
      </c>
      <c r="C744" t="inlineStr">
        <is>
          <t>3310</t>
        </is>
      </c>
      <c r="D744" t="inlineStr">
        <is>
          <t>PHLPost</t>
        </is>
      </c>
    </row>
    <row r="745" spans="1:4">
      <c r="A745" t="inlineStr">
        <is>
          <t>Isabela</t>
        </is>
      </c>
      <c r="B745" t="inlineStr">
        <is>
          <t>San Manuel</t>
        </is>
      </c>
      <c r="C745" t="inlineStr">
        <is>
          <t>3317</t>
        </is>
      </c>
      <c r="D745" t="inlineStr">
        <is>
          <t>PHLPost</t>
        </is>
      </c>
    </row>
    <row r="746" spans="1:4">
      <c r="A746" t="inlineStr">
        <is>
          <t>Isabela</t>
        </is>
      </c>
      <c r="B746" t="inlineStr">
        <is>
          <t>San Mariano</t>
        </is>
      </c>
      <c r="C746" t="inlineStr">
        <is>
          <t>3332</t>
        </is>
      </c>
      <c r="D746" t="inlineStr">
        <is>
          <t>PHLPost</t>
        </is>
      </c>
    </row>
    <row r="747" spans="1:4">
      <c r="A747" t="inlineStr">
        <is>
          <t>Isabela</t>
        </is>
      </c>
      <c r="B747" t="inlineStr">
        <is>
          <t>San Mateo</t>
        </is>
      </c>
      <c r="C747" t="inlineStr">
        <is>
          <t>3318</t>
        </is>
      </c>
      <c r="D747" t="inlineStr">
        <is>
          <t>PHLPost</t>
        </is>
      </c>
    </row>
    <row r="748" spans="1:4">
      <c r="A748" t="inlineStr">
        <is>
          <t>Isabela</t>
        </is>
      </c>
      <c r="B748" t="inlineStr">
        <is>
          <t>San Pablo</t>
        </is>
      </c>
      <c r="C748" t="inlineStr">
        <is>
          <t>3329</t>
        </is>
      </c>
      <c r="D748" t="inlineStr">
        <is>
          <t>PHLPost</t>
        </is>
      </c>
    </row>
    <row r="749" spans="1:4">
      <c r="A749" t="inlineStr">
        <is>
          <t>Isabela</t>
        </is>
      </c>
      <c r="B749" t="inlineStr">
        <is>
          <t>Santa Maria</t>
        </is>
      </c>
      <c r="C749" t="inlineStr">
        <is>
          <t>3330</t>
        </is>
      </c>
      <c r="D749" t="inlineStr">
        <is>
          <t>PHLPost</t>
        </is>
      </c>
    </row>
    <row r="750" spans="1:4">
      <c r="A750" t="inlineStr">
        <is>
          <t>Isabela</t>
        </is>
      </c>
      <c r="B750" t="inlineStr">
        <is>
          <t>Santo Tomas</t>
        </is>
      </c>
      <c r="C750" t="inlineStr">
        <is>
          <t>3327</t>
        </is>
      </c>
      <c r="D750" t="inlineStr">
        <is>
          <t>PHLPost</t>
        </is>
      </c>
    </row>
    <row r="751" spans="1:4">
      <c r="A751" t="inlineStr">
        <is>
          <t>Isabela</t>
        </is>
      </c>
      <c r="B751" t="inlineStr">
        <is>
          <t>Tumauini</t>
        </is>
      </c>
      <c r="C751" t="inlineStr">
        <is>
          <t>3325</t>
        </is>
      </c>
      <c r="D751" t="inlineStr">
        <is>
          <t>PHLPost</t>
        </is>
      </c>
    </row>
    <row r="752" spans="1:4">
      <c r="A752" t="inlineStr">
        <is>
          <t>Kalinga</t>
        </is>
      </c>
      <c r="B752" t="inlineStr">
        <is>
          <t>Balbalan</t>
        </is>
      </c>
      <c r="C752" t="inlineStr">
        <is>
          <t>3801</t>
        </is>
      </c>
      <c r="D752" t="inlineStr">
        <is>
          <t>PHLPost</t>
        </is>
      </c>
    </row>
    <row r="753" spans="1:4">
      <c r="A753" t="inlineStr">
        <is>
          <t>Kalinga</t>
        </is>
      </c>
      <c r="B753" t="inlineStr">
        <is>
          <t>City of Tabuk</t>
        </is>
      </c>
      <c r="C753" t="inlineStr">
        <is>
          <t>3800</t>
        </is>
      </c>
      <c r="D753" t="inlineStr">
        <is>
          <t>PHLPost</t>
        </is>
      </c>
    </row>
    <row r="754" spans="1:4">
      <c r="A754" t="inlineStr">
        <is>
          <t>Kalinga</t>
        </is>
      </c>
      <c r="B754" t="inlineStr">
        <is>
          <t>Lubuagan</t>
        </is>
      </c>
      <c r="C754" t="inlineStr">
        <is>
          <t>3802</t>
        </is>
      </c>
      <c r="D754" t="inlineStr">
        <is>
          <t>PHLPost</t>
        </is>
      </c>
    </row>
    <row r="755" spans="1:4">
      <c r="A755" t="inlineStr">
        <is>
          <t>Kalinga</t>
        </is>
      </c>
      <c r="B755" t="inlineStr">
        <is>
          <t>Pasil</t>
        </is>
      </c>
      <c r="C755" t="inlineStr">
        <is>
          <t>3803</t>
        </is>
      </c>
      <c r="D755" t="inlineStr">
        <is>
          <t>PHLPost</t>
        </is>
      </c>
    </row>
    <row r="756" spans="1:4">
      <c r="A756" t="inlineStr">
        <is>
          <t>Kalinga</t>
        </is>
      </c>
      <c r="B756" t="inlineStr">
        <is>
          <t>Pinukpuk</t>
        </is>
      </c>
      <c r="C756" t="inlineStr">
        <is>
          <t>3806</t>
        </is>
      </c>
      <c r="D756" t="inlineStr">
        <is>
          <t>BarangayDirectory</t>
        </is>
      </c>
    </row>
    <row r="757" spans="1:4">
      <c r="A757" t="inlineStr">
        <is>
          <t>Kalinga</t>
        </is>
      </c>
      <c r="B757" t="inlineStr">
        <is>
          <t>Rizal</t>
        </is>
      </c>
      <c r="C757" t="inlineStr">
        <is>
          <t>3808</t>
        </is>
      </c>
      <c r="D757" t="inlineStr">
        <is>
          <t>PHLPost</t>
        </is>
      </c>
    </row>
    <row r="758" spans="1:4">
      <c r="A758" t="inlineStr">
        <is>
          <t>Kalinga</t>
        </is>
      </c>
      <c r="B758" t="inlineStr">
        <is>
          <t>Tanudan</t>
        </is>
      </c>
      <c r="C758" t="inlineStr">
        <is>
          <t>3805</t>
        </is>
      </c>
      <c r="D758" t="inlineStr">
        <is>
          <t>PHLPost</t>
        </is>
      </c>
    </row>
    <row r="759" spans="1:4">
      <c r="A759" t="inlineStr">
        <is>
          <t>Kalinga</t>
        </is>
      </c>
      <c r="B759" t="inlineStr">
        <is>
          <t>Tinglayan</t>
        </is>
      </c>
      <c r="C759" t="inlineStr">
        <is>
          <t>3804</t>
        </is>
      </c>
      <c r="D759" t="inlineStr">
        <is>
          <t>PHLPost</t>
        </is>
      </c>
    </row>
    <row r="760" spans="1:4">
      <c r="A760" t="inlineStr">
        <is>
          <t>La Union</t>
        </is>
      </c>
      <c r="B760" t="inlineStr">
        <is>
          <t>Agoo</t>
        </is>
      </c>
      <c r="C760" t="inlineStr">
        <is>
          <t>2504</t>
        </is>
      </c>
      <c r="D760" t="inlineStr">
        <is>
          <t>BarangayDirectory</t>
        </is>
      </c>
    </row>
    <row r="761" spans="1:4">
      <c r="A761" t="inlineStr">
        <is>
          <t>La Union</t>
        </is>
      </c>
      <c r="B761" t="inlineStr">
        <is>
          <t>Aringay</t>
        </is>
      </c>
      <c r="C761" t="inlineStr">
        <is>
          <t>2503</t>
        </is>
      </c>
      <c r="D761" t="inlineStr">
        <is>
          <t>BarangayDirectory</t>
        </is>
      </c>
    </row>
    <row r="762" spans="1:4">
      <c r="A762" t="inlineStr">
        <is>
          <t>La Union</t>
        </is>
      </c>
      <c r="B762" t="inlineStr">
        <is>
          <t>Bacnotan</t>
        </is>
      </c>
      <c r="C762" t="inlineStr">
        <is>
          <t>2515</t>
        </is>
      </c>
      <c r="D762" t="inlineStr">
        <is>
          <t>BarangayDirectory</t>
        </is>
      </c>
    </row>
    <row r="763" spans="1:4">
      <c r="A763" t="inlineStr">
        <is>
          <t>La Union</t>
        </is>
      </c>
      <c r="B763" t="inlineStr">
        <is>
          <t>Bagulin</t>
        </is>
      </c>
      <c r="C763" t="inlineStr">
        <is>
          <t>2512</t>
        </is>
      </c>
      <c r="D763" t="inlineStr">
        <is>
          <t>BarangayDirectory</t>
        </is>
      </c>
    </row>
    <row r="764" spans="1:4">
      <c r="A764" t="inlineStr">
        <is>
          <t>La Union</t>
        </is>
      </c>
      <c r="B764" t="inlineStr">
        <is>
          <t>Balaoan</t>
        </is>
      </c>
      <c r="C764" t="inlineStr">
        <is>
          <t>2517</t>
        </is>
      </c>
      <c r="D764" t="inlineStr">
        <is>
          <t>BarangayDirectory</t>
        </is>
      </c>
    </row>
    <row r="765" spans="1:4">
      <c r="A765" t="inlineStr">
        <is>
          <t>La Union</t>
        </is>
      </c>
      <c r="B765" t="inlineStr">
        <is>
          <t>Bangar</t>
        </is>
      </c>
      <c r="C765" t="inlineStr">
        <is>
          <t>2519</t>
        </is>
      </c>
      <c r="D765" t="inlineStr">
        <is>
          <t>BarangayDirectory</t>
        </is>
      </c>
    </row>
    <row r="766" spans="1:4">
      <c r="A766" t="inlineStr">
        <is>
          <t>La Union</t>
        </is>
      </c>
      <c r="B766" t="inlineStr">
        <is>
          <t>Bauang</t>
        </is>
      </c>
      <c r="C766" t="inlineStr">
        <is>
          <t>2501</t>
        </is>
      </c>
      <c r="D766" t="inlineStr">
        <is>
          <t>BarangayDirectory</t>
        </is>
      </c>
    </row>
    <row r="767" spans="1:4">
      <c r="A767" t="inlineStr">
        <is>
          <t>La Union</t>
        </is>
      </c>
      <c r="B767" t="inlineStr">
        <is>
          <t>Burgos</t>
        </is>
      </c>
      <c r="C767" t="inlineStr">
        <is>
          <t>2510</t>
        </is>
      </c>
      <c r="D767" t="inlineStr">
        <is>
          <t>BarangayDirectory</t>
        </is>
      </c>
    </row>
    <row r="768" spans="1:4">
      <c r="A768" t="inlineStr">
        <is>
          <t>La Union</t>
        </is>
      </c>
      <c r="B768" t="inlineStr">
        <is>
          <t>Caba</t>
        </is>
      </c>
      <c r="C768" t="inlineStr">
        <is>
          <t>2502</t>
        </is>
      </c>
      <c r="D768" t="inlineStr">
        <is>
          <t>BarangayDirectory</t>
        </is>
      </c>
    </row>
    <row r="769" spans="1:4">
      <c r="A769" t="inlineStr">
        <is>
          <t>La Union</t>
        </is>
      </c>
      <c r="B769" t="inlineStr">
        <is>
          <t>City of San Fernando</t>
        </is>
      </c>
      <c r="C769" t="inlineStr">
        <is>
          <t>2500</t>
        </is>
      </c>
      <c r="D769" t="inlineStr">
        <is>
          <t>BarangayDirectory</t>
        </is>
      </c>
    </row>
    <row r="770" spans="1:4">
      <c r="A770" t="inlineStr">
        <is>
          <t>La Union</t>
        </is>
      </c>
      <c r="B770" t="inlineStr">
        <is>
          <t>Luna</t>
        </is>
      </c>
      <c r="C770" t="inlineStr">
        <is>
          <t>2518</t>
        </is>
      </c>
      <c r="D770" t="inlineStr">
        <is>
          <t>BarangayDirectory</t>
        </is>
      </c>
    </row>
    <row r="771" spans="1:4">
      <c r="A771" t="inlineStr">
        <is>
          <t>La Union</t>
        </is>
      </c>
      <c r="B771" t="inlineStr">
        <is>
          <t>Naguilian</t>
        </is>
      </c>
      <c r="C771" t="inlineStr">
        <is>
          <t>2511</t>
        </is>
      </c>
      <c r="D771" t="inlineStr">
        <is>
          <t>BarangayDirectory</t>
        </is>
      </c>
    </row>
    <row r="772" spans="1:4">
      <c r="A772" t="inlineStr">
        <is>
          <t>La Union</t>
        </is>
      </c>
      <c r="B772" t="inlineStr">
        <is>
          <t>Pugo</t>
        </is>
      </c>
      <c r="C772" t="inlineStr">
        <is>
          <t>2508</t>
        </is>
      </c>
      <c r="D772" t="inlineStr">
        <is>
          <t>BarangayDirectory</t>
        </is>
      </c>
    </row>
    <row r="773" spans="1:4">
      <c r="A773" t="inlineStr">
        <is>
          <t>La Union</t>
        </is>
      </c>
      <c r="B773" t="inlineStr">
        <is>
          <t>Rosario</t>
        </is>
      </c>
      <c r="C773" t="inlineStr">
        <is>
          <t>2506</t>
        </is>
      </c>
      <c r="D773" t="inlineStr">
        <is>
          <t>BarangayDirectory</t>
        </is>
      </c>
    </row>
    <row r="774" spans="1:4">
      <c r="A774" t="inlineStr">
        <is>
          <t>La Union</t>
        </is>
      </c>
      <c r="B774" t="inlineStr">
        <is>
          <t>San Gabriel</t>
        </is>
      </c>
      <c r="C774" t="inlineStr">
        <is>
          <t>2513</t>
        </is>
      </c>
      <c r="D774" t="inlineStr">
        <is>
          <t>BarangayDirectory</t>
        </is>
      </c>
    </row>
    <row r="775" spans="1:4">
      <c r="A775" t="inlineStr">
        <is>
          <t>La Union</t>
        </is>
      </c>
      <c r="B775" t="inlineStr">
        <is>
          <t>San Juan</t>
        </is>
      </c>
      <c r="C775" t="inlineStr">
        <is>
          <t>2514</t>
        </is>
      </c>
      <c r="D775" t="inlineStr">
        <is>
          <t>BarangayDirectory</t>
        </is>
      </c>
    </row>
    <row r="776" spans="1:4">
      <c r="A776" t="inlineStr">
        <is>
          <t>La Union</t>
        </is>
      </c>
      <c r="B776" t="inlineStr">
        <is>
          <t>Santo Tomas</t>
        </is>
      </c>
      <c r="C776" t="inlineStr">
        <is>
          <t>2505</t>
        </is>
      </c>
      <c r="D776" t="inlineStr">
        <is>
          <t>BarangayDirectory</t>
        </is>
      </c>
    </row>
    <row r="777" spans="1:4">
      <c r="A777" t="inlineStr">
        <is>
          <t>La Union</t>
        </is>
      </c>
      <c r="B777" t="inlineStr">
        <is>
          <t>Santol</t>
        </is>
      </c>
      <c r="C777" t="inlineStr">
        <is>
          <t>2516</t>
        </is>
      </c>
      <c r="D777" t="inlineStr">
        <is>
          <t>BarangayDirectory</t>
        </is>
      </c>
    </row>
    <row r="778" spans="1:4">
      <c r="A778" t="inlineStr">
        <is>
          <t>La Union</t>
        </is>
      </c>
      <c r="B778" t="inlineStr">
        <is>
          <t>Sudipen</t>
        </is>
      </c>
      <c r="C778" t="inlineStr">
        <is>
          <t>2520</t>
        </is>
      </c>
      <c r="D778" t="inlineStr">
        <is>
          <t>BarangayDirectory</t>
        </is>
      </c>
    </row>
    <row r="779" spans="1:4">
      <c r="A779" t="inlineStr">
        <is>
          <t>La Union</t>
        </is>
      </c>
      <c r="B779" t="inlineStr">
        <is>
          <t>Tubao</t>
        </is>
      </c>
      <c r="C779" t="inlineStr">
        <is>
          <t>2509</t>
        </is>
      </c>
      <c r="D779" t="inlineStr">
        <is>
          <t>BarangayDirectory</t>
        </is>
      </c>
    </row>
    <row r="780" spans="1:4">
      <c r="A780" t="inlineStr">
        <is>
          <t>Laguna</t>
        </is>
      </c>
      <c r="B780" t="inlineStr">
        <is>
          <t>Alaminos</t>
        </is>
      </c>
      <c r="C780" t="inlineStr">
        <is>
          <t>4001</t>
        </is>
      </c>
      <c r="D780" t="inlineStr">
        <is>
          <t>PHLPost</t>
        </is>
      </c>
    </row>
    <row r="781" spans="1:4">
      <c r="A781" t="inlineStr">
        <is>
          <t>Laguna</t>
        </is>
      </c>
      <c r="B781" t="inlineStr">
        <is>
          <t>Bay</t>
        </is>
      </c>
      <c r="C781" t="inlineStr">
        <is>
          <t>4033</t>
        </is>
      </c>
      <c r="D781" t="inlineStr">
        <is>
          <t>PHLPost</t>
        </is>
      </c>
    </row>
    <row r="782" spans="1:4">
      <c r="A782" t="inlineStr">
        <is>
          <t>Laguna</t>
        </is>
      </c>
      <c r="B782" t="inlineStr">
        <is>
          <t>Calauan</t>
        </is>
      </c>
      <c r="C782" t="inlineStr">
        <is>
          <t>4012</t>
        </is>
      </c>
      <c r="D782" t="inlineStr">
        <is>
          <t>PHLPost</t>
        </is>
      </c>
    </row>
    <row r="783" spans="1:4">
      <c r="A783" t="inlineStr">
        <is>
          <t>Laguna</t>
        </is>
      </c>
      <c r="B783" t="inlineStr">
        <is>
          <t>Cavinti</t>
        </is>
      </c>
      <c r="C783" t="inlineStr">
        <is>
          <t>4013</t>
        </is>
      </c>
      <c r="D783" t="inlineStr">
        <is>
          <t>PHLPost</t>
        </is>
      </c>
    </row>
    <row r="784" spans="1:4">
      <c r="A784" t="inlineStr">
        <is>
          <t>Laguna</t>
        </is>
      </c>
      <c r="B784" t="inlineStr">
        <is>
          <t>City of Biñan</t>
        </is>
      </c>
      <c r="C784" t="inlineStr">
        <is>
          <t>4024</t>
        </is>
      </c>
      <c r="D784" t="inlineStr">
        <is>
          <t>PHLPost</t>
        </is>
      </c>
    </row>
    <row r="785" spans="1:4">
      <c r="A785" t="inlineStr">
        <is>
          <t>Laguna</t>
        </is>
      </c>
      <c r="B785" t="inlineStr">
        <is>
          <t>City of Cabuyao</t>
        </is>
      </c>
      <c r="C785" t="inlineStr">
        <is>
          <t>4025</t>
        </is>
      </c>
      <c r="D785" t="inlineStr">
        <is>
          <t>PHLPost</t>
        </is>
      </c>
    </row>
    <row r="786" spans="1:4">
      <c r="A786" t="inlineStr">
        <is>
          <t>Laguna</t>
        </is>
      </c>
      <c r="B786" t="inlineStr">
        <is>
          <t>City of Calamba</t>
        </is>
      </c>
      <c r="C786" t="inlineStr">
        <is>
          <t>4027</t>
        </is>
      </c>
      <c r="D786" t="inlineStr">
        <is>
          <t>PHLPost</t>
        </is>
      </c>
    </row>
    <row r="787" spans="1:4">
      <c r="A787" t="inlineStr">
        <is>
          <t>Laguna</t>
        </is>
      </c>
      <c r="B787" t="inlineStr">
        <is>
          <t>City of San Pablo</t>
        </is>
      </c>
      <c r="C787" t="inlineStr">
        <is>
          <t>4000</t>
        </is>
      </c>
      <c r="D787" t="inlineStr">
        <is>
          <t>PHLPost</t>
        </is>
      </c>
    </row>
    <row r="788" spans="1:4">
      <c r="A788" t="inlineStr">
        <is>
          <t>Laguna</t>
        </is>
      </c>
      <c r="B788" t="inlineStr">
        <is>
          <t>City of San Pedro</t>
        </is>
      </c>
      <c r="C788" t="inlineStr">
        <is>
          <t>4023</t>
        </is>
      </c>
      <c r="D788" t="inlineStr">
        <is>
          <t>PHLPost</t>
        </is>
      </c>
    </row>
    <row r="789" spans="1:4">
      <c r="A789" t="inlineStr">
        <is>
          <t>Laguna</t>
        </is>
      </c>
      <c r="B789" t="inlineStr">
        <is>
          <t>City of Santa Rosa</t>
        </is>
      </c>
      <c r="C789" t="inlineStr">
        <is>
          <t>4026</t>
        </is>
      </c>
      <c r="D789" t="inlineStr">
        <is>
          <t>PHLPost</t>
        </is>
      </c>
    </row>
    <row r="790" spans="1:4">
      <c r="A790" t="inlineStr">
        <is>
          <t>Laguna</t>
        </is>
      </c>
      <c r="B790" t="inlineStr">
        <is>
          <t>Famy</t>
        </is>
      </c>
      <c r="C790" t="inlineStr">
        <is>
          <t>4021</t>
        </is>
      </c>
      <c r="D790" t="inlineStr">
        <is>
          <t>PHLPost</t>
        </is>
      </c>
    </row>
    <row r="791" spans="1:4">
      <c r="A791" t="inlineStr">
        <is>
          <t>Laguna</t>
        </is>
      </c>
      <c r="B791" t="inlineStr">
        <is>
          <t>Kalayaan</t>
        </is>
      </c>
      <c r="C791" t="inlineStr">
        <is>
          <t>4015</t>
        </is>
      </c>
      <c r="D791" t="inlineStr">
        <is>
          <t>PHLPost</t>
        </is>
      </c>
    </row>
    <row r="792" spans="1:4">
      <c r="A792" t="inlineStr">
        <is>
          <t>Laguna</t>
        </is>
      </c>
      <c r="B792" t="inlineStr">
        <is>
          <t>Liliw</t>
        </is>
      </c>
      <c r="C792" t="inlineStr">
        <is>
          <t>4004</t>
        </is>
      </c>
      <c r="D792" t="inlineStr">
        <is>
          <t>PHLPost</t>
        </is>
      </c>
    </row>
    <row r="793" spans="1:4">
      <c r="A793" t="inlineStr">
        <is>
          <t>Laguna</t>
        </is>
      </c>
      <c r="B793" t="inlineStr">
        <is>
          <t>Los Baños</t>
        </is>
      </c>
      <c r="C793" t="inlineStr">
        <is>
          <t>4030</t>
        </is>
      </c>
      <c r="D793" t="inlineStr">
        <is>
          <t>PHLPost</t>
        </is>
      </c>
    </row>
    <row r="794" spans="1:4">
      <c r="A794" t="inlineStr">
        <is>
          <t>Laguna</t>
        </is>
      </c>
      <c r="B794" t="inlineStr">
        <is>
          <t>Luisiana</t>
        </is>
      </c>
      <c r="C794" t="inlineStr">
        <is>
          <t>4032</t>
        </is>
      </c>
      <c r="D794" t="inlineStr">
        <is>
          <t>PHLPost</t>
        </is>
      </c>
    </row>
    <row r="795" spans="1:4">
      <c r="A795" t="inlineStr">
        <is>
          <t>Laguna</t>
        </is>
      </c>
      <c r="B795" t="inlineStr">
        <is>
          <t>Lumban</t>
        </is>
      </c>
      <c r="C795" t="inlineStr">
        <is>
          <t>4014</t>
        </is>
      </c>
      <c r="D795" t="inlineStr">
        <is>
          <t>PHLPost</t>
        </is>
      </c>
    </row>
    <row r="796" spans="1:4">
      <c r="A796" t="inlineStr">
        <is>
          <t>Laguna</t>
        </is>
      </c>
      <c r="B796" t="inlineStr">
        <is>
          <t>Mabitac</t>
        </is>
      </c>
      <c r="C796" t="inlineStr">
        <is>
          <t>4020</t>
        </is>
      </c>
      <c r="D796" t="inlineStr">
        <is>
          <t>PHLPost</t>
        </is>
      </c>
    </row>
    <row r="797" spans="1:4">
      <c r="A797" t="inlineStr">
        <is>
          <t>Laguna</t>
        </is>
      </c>
      <c r="B797" t="inlineStr">
        <is>
          <t>Magdalena</t>
        </is>
      </c>
      <c r="C797" t="inlineStr">
        <is>
          <t>4007</t>
        </is>
      </c>
      <c r="D797" t="inlineStr">
        <is>
          <t>PHLPost</t>
        </is>
      </c>
    </row>
    <row r="798" spans="1:4">
      <c r="A798" t="inlineStr">
        <is>
          <t>Laguna</t>
        </is>
      </c>
      <c r="B798" t="inlineStr">
        <is>
          <t>Majayjay</t>
        </is>
      </c>
      <c r="C798" t="inlineStr">
        <is>
          <t>4005</t>
        </is>
      </c>
      <c r="D798" t="inlineStr">
        <is>
          <t>PHLPost</t>
        </is>
      </c>
    </row>
    <row r="799" spans="1:4">
      <c r="A799" t="inlineStr">
        <is>
          <t>Laguna</t>
        </is>
      </c>
      <c r="B799" t="inlineStr">
        <is>
          <t>Nagcarlan</t>
        </is>
      </c>
      <c r="C799" t="inlineStr">
        <is>
          <t>4002</t>
        </is>
      </c>
      <c r="D799" t="inlineStr">
        <is>
          <t>PHLPost</t>
        </is>
      </c>
    </row>
    <row r="800" spans="1:4">
      <c r="A800" t="inlineStr">
        <is>
          <t>Laguna</t>
        </is>
      </c>
      <c r="B800" t="inlineStr">
        <is>
          <t>Paete</t>
        </is>
      </c>
      <c r="C800" t="inlineStr">
        <is>
          <t>4016</t>
        </is>
      </c>
      <c r="D800" t="inlineStr">
        <is>
          <t>PHLPost</t>
        </is>
      </c>
    </row>
    <row r="801" spans="1:4">
      <c r="A801" t="inlineStr">
        <is>
          <t>Laguna</t>
        </is>
      </c>
      <c r="B801" t="inlineStr">
        <is>
          <t>Pagsanjan</t>
        </is>
      </c>
      <c r="C801" t="inlineStr">
        <is>
          <t>4008</t>
        </is>
      </c>
      <c r="D801" t="inlineStr">
        <is>
          <t>PHLPost</t>
        </is>
      </c>
    </row>
    <row r="802" spans="1:4">
      <c r="A802" t="inlineStr">
        <is>
          <t>Laguna</t>
        </is>
      </c>
      <c r="B802" t="inlineStr">
        <is>
          <t>Pakil</t>
        </is>
      </c>
      <c r="C802" t="inlineStr">
        <is>
          <t>4017</t>
        </is>
      </c>
      <c r="D802" t="inlineStr">
        <is>
          <t>PHLPost</t>
        </is>
      </c>
    </row>
    <row r="803" spans="1:4">
      <c r="A803" t="inlineStr">
        <is>
          <t>Laguna</t>
        </is>
      </c>
      <c r="B803" t="inlineStr">
        <is>
          <t>Pangil</t>
        </is>
      </c>
      <c r="C803" t="inlineStr">
        <is>
          <t>4018</t>
        </is>
      </c>
      <c r="D803" t="inlineStr">
        <is>
          <t>PHLPost</t>
        </is>
      </c>
    </row>
    <row r="804" spans="1:4">
      <c r="A804" t="inlineStr">
        <is>
          <t>Laguna</t>
        </is>
      </c>
      <c r="B804" t="inlineStr">
        <is>
          <t>Pila</t>
        </is>
      </c>
      <c r="C804" t="inlineStr">
        <is>
          <t>4010</t>
        </is>
      </c>
      <c r="D804" t="inlineStr">
        <is>
          <t>PHLPost</t>
        </is>
      </c>
    </row>
    <row r="805" spans="1:4">
      <c r="A805" t="inlineStr">
        <is>
          <t>Laguna</t>
        </is>
      </c>
      <c r="B805" t="inlineStr">
        <is>
          <t>Rizal</t>
        </is>
      </c>
      <c r="C805" t="inlineStr">
        <is>
          <t>4003</t>
        </is>
      </c>
      <c r="D805" t="inlineStr">
        <is>
          <t>PHLPost</t>
        </is>
      </c>
    </row>
    <row r="806" spans="1:4">
      <c r="A806" t="inlineStr">
        <is>
          <t>Laguna</t>
        </is>
      </c>
      <c r="B806" t="inlineStr">
        <is>
          <t>Santa Cruz</t>
        </is>
      </c>
      <c r="C806" t="inlineStr">
        <is>
          <t>4009</t>
        </is>
      </c>
      <c r="D806" t="inlineStr">
        <is>
          <t>PHLPost</t>
        </is>
      </c>
    </row>
    <row r="807" spans="1:4">
      <c r="A807" t="inlineStr">
        <is>
          <t>Laguna</t>
        </is>
      </c>
      <c r="B807" t="inlineStr">
        <is>
          <t>Santa Maria</t>
        </is>
      </c>
      <c r="C807" t="inlineStr">
        <is>
          <t>4022</t>
        </is>
      </c>
      <c r="D807" t="inlineStr">
        <is>
          <t>PHLPost</t>
        </is>
      </c>
    </row>
    <row r="808" spans="1:4">
      <c r="A808" t="inlineStr">
        <is>
          <t>Laguna</t>
        </is>
      </c>
      <c r="B808" t="inlineStr">
        <is>
          <t>Siniloan</t>
        </is>
      </c>
      <c r="C808" t="inlineStr">
        <is>
          <t>4019</t>
        </is>
      </c>
      <c r="D808" t="inlineStr">
        <is>
          <t>PHLPost</t>
        </is>
      </c>
    </row>
    <row r="809" spans="1:4">
      <c r="A809" t="inlineStr">
        <is>
          <t>Laguna</t>
        </is>
      </c>
      <c r="B809" t="inlineStr">
        <is>
          <t>Victoria</t>
        </is>
      </c>
      <c r="C809" t="inlineStr">
        <is>
          <t>4011</t>
        </is>
      </c>
      <c r="D809" t="inlineStr">
        <is>
          <t>PHLPost</t>
        </is>
      </c>
    </row>
    <row r="810" spans="1:4">
      <c r="A810" t="inlineStr">
        <is>
          <t>Lanao del Norte</t>
        </is>
      </c>
      <c r="B810" t="inlineStr">
        <is>
          <t>Bacolod</t>
        </is>
      </c>
      <c r="C810" t="inlineStr">
        <is>
          <t>9205</t>
        </is>
      </c>
      <c r="D810" t="inlineStr">
        <is>
          <t>PHLPost</t>
        </is>
      </c>
    </row>
    <row r="811" spans="1:4">
      <c r="A811" t="inlineStr">
        <is>
          <t>Lanao del Norte</t>
        </is>
      </c>
      <c r="B811" t="inlineStr">
        <is>
          <t>Baloi</t>
        </is>
      </c>
      <c r="C811" t="inlineStr">
        <is>
          <t>9217</t>
        </is>
      </c>
      <c r="D811" t="inlineStr">
        <is>
          <t>PHLPost</t>
        </is>
      </c>
    </row>
    <row r="812" spans="1:4">
      <c r="A812" t="inlineStr">
        <is>
          <t>Lanao del Norte</t>
        </is>
      </c>
      <c r="B812" t="inlineStr">
        <is>
          <t>Baroy</t>
        </is>
      </c>
      <c r="C812" t="inlineStr">
        <is>
          <t>9210</t>
        </is>
      </c>
      <c r="D812" t="inlineStr">
        <is>
          <t>PHLPost</t>
        </is>
      </c>
    </row>
    <row r="813" spans="1:4">
      <c r="A813" t="inlineStr">
        <is>
          <t>Lanao del Norte</t>
        </is>
      </c>
      <c r="B813" t="inlineStr">
        <is>
          <t>Kapatagan</t>
        </is>
      </c>
      <c r="C813" t="inlineStr">
        <is>
          <t>9214</t>
        </is>
      </c>
      <c r="D813" t="inlineStr">
        <is>
          <t>PHLPost</t>
        </is>
      </c>
    </row>
    <row r="814" spans="1:4">
      <c r="A814" t="inlineStr">
        <is>
          <t>Lanao del Norte</t>
        </is>
      </c>
      <c r="B814" t="inlineStr">
        <is>
          <t>Kauswagan</t>
        </is>
      </c>
      <c r="C814" t="inlineStr">
        <is>
          <t>9202</t>
        </is>
      </c>
      <c r="D814" t="inlineStr">
        <is>
          <t>PHLPost</t>
        </is>
      </c>
    </row>
    <row r="815" spans="1:4">
      <c r="A815" t="inlineStr">
        <is>
          <t>Lanao del Norte</t>
        </is>
      </c>
      <c r="B815" t="inlineStr">
        <is>
          <t>Kolambugan</t>
        </is>
      </c>
      <c r="C815" t="inlineStr">
        <is>
          <t>9207</t>
        </is>
      </c>
      <c r="D815" t="inlineStr">
        <is>
          <t>PHLPost</t>
        </is>
      </c>
    </row>
    <row r="816" spans="1:4">
      <c r="A816" t="inlineStr">
        <is>
          <t>Lanao del Norte</t>
        </is>
      </c>
      <c r="B816" t="inlineStr">
        <is>
          <t>Lala</t>
        </is>
      </c>
      <c r="C816" t="inlineStr">
        <is>
          <t>9211</t>
        </is>
      </c>
      <c r="D816" t="inlineStr">
        <is>
          <t>PHLPost</t>
        </is>
      </c>
    </row>
    <row r="817" spans="1:4">
      <c r="A817" t="inlineStr">
        <is>
          <t>Lanao del Norte</t>
        </is>
      </c>
      <c r="B817" t="inlineStr">
        <is>
          <t>Linamon</t>
        </is>
      </c>
      <c r="C817" t="inlineStr">
        <is>
          <t>9201</t>
        </is>
      </c>
      <c r="D817" t="inlineStr">
        <is>
          <t>PHLPost</t>
        </is>
      </c>
    </row>
    <row r="818" spans="1:4">
      <c r="A818" t="inlineStr">
        <is>
          <t>Lanao del Norte</t>
        </is>
      </c>
      <c r="B818" t="inlineStr">
        <is>
          <t>Magsaysay</t>
        </is>
      </c>
      <c r="C818" t="inlineStr">
        <is>
          <t>9221</t>
        </is>
      </c>
      <c r="D818" t="inlineStr">
        <is>
          <t>PHLPost</t>
        </is>
      </c>
    </row>
    <row r="819" spans="1:4">
      <c r="A819" t="inlineStr">
        <is>
          <t>Lanao del Norte</t>
        </is>
      </c>
      <c r="B819" t="inlineStr">
        <is>
          <t>Maigo</t>
        </is>
      </c>
      <c r="C819" t="inlineStr">
        <is>
          <t>9206</t>
        </is>
      </c>
      <c r="D819" t="inlineStr">
        <is>
          <t>PHLPost</t>
        </is>
      </c>
    </row>
    <row r="820" spans="1:4">
      <c r="A820" t="inlineStr">
        <is>
          <t>Lanao del Norte</t>
        </is>
      </c>
      <c r="B820" t="inlineStr">
        <is>
          <t>Matungao</t>
        </is>
      </c>
      <c r="C820" t="inlineStr">
        <is>
          <t>9203</t>
        </is>
      </c>
      <c r="D820" t="inlineStr">
        <is>
          <t>PHLPost</t>
        </is>
      </c>
    </row>
    <row r="821" spans="1:4">
      <c r="A821" t="inlineStr">
        <is>
          <t>Lanao del Norte</t>
        </is>
      </c>
      <c r="B821" t="inlineStr">
        <is>
          <t>Munai</t>
        </is>
      </c>
      <c r="C821" t="inlineStr">
        <is>
          <t>9219</t>
        </is>
      </c>
      <c r="D821" t="inlineStr">
        <is>
          <t>PHLPost</t>
        </is>
      </c>
    </row>
    <row r="822" spans="1:4">
      <c r="A822" t="inlineStr">
        <is>
          <t>Lanao del Norte</t>
        </is>
      </c>
      <c r="B822" t="inlineStr">
        <is>
          <t>Nunungan</t>
        </is>
      </c>
      <c r="C822" t="inlineStr">
        <is>
          <t>9216</t>
        </is>
      </c>
      <c r="D822" t="inlineStr">
        <is>
          <t>PHLPost</t>
        </is>
      </c>
    </row>
    <row r="823" spans="1:4">
      <c r="A823" t="inlineStr">
        <is>
          <t>Lanao del Norte</t>
        </is>
      </c>
      <c r="B823" t="inlineStr">
        <is>
          <t>Pantao Ragat</t>
        </is>
      </c>
      <c r="C823" t="inlineStr">
        <is>
          <t>9208</t>
        </is>
      </c>
      <c r="D823" t="inlineStr">
        <is>
          <t>PHLPost</t>
        </is>
      </c>
    </row>
    <row r="824" spans="1:4">
      <c r="A824" t="inlineStr">
        <is>
          <t>Lanao del Norte</t>
        </is>
      </c>
      <c r="B824" t="inlineStr">
        <is>
          <t>Pantar</t>
        </is>
      </c>
      <c r="C824" t="inlineStr">
        <is>
          <t>9218</t>
        </is>
      </c>
      <c r="D824" t="inlineStr">
        <is>
          <t>PHLPost</t>
        </is>
      </c>
    </row>
    <row r="825" spans="1:4">
      <c r="A825" t="inlineStr">
        <is>
          <t>Lanao del Norte</t>
        </is>
      </c>
      <c r="B825" t="inlineStr">
        <is>
          <t>Poona Piagapo</t>
        </is>
      </c>
      <c r="C825" t="inlineStr">
        <is>
          <t>9204</t>
        </is>
      </c>
      <c r="D825" t="inlineStr">
        <is>
          <t>PHLPost</t>
        </is>
      </c>
    </row>
    <row r="826" spans="1:4">
      <c r="A826" t="inlineStr">
        <is>
          <t>Lanao del Norte</t>
        </is>
      </c>
      <c r="B826" t="inlineStr">
        <is>
          <t>Salvador</t>
        </is>
      </c>
      <c r="C826" t="inlineStr">
        <is>
          <t>9212</t>
        </is>
      </c>
      <c r="D826" t="inlineStr">
        <is>
          <t>PHLPost</t>
        </is>
      </c>
    </row>
    <row r="827" spans="1:4">
      <c r="A827" t="inlineStr">
        <is>
          <t>Lanao del Norte</t>
        </is>
      </c>
      <c r="B827" t="inlineStr">
        <is>
          <t>Sapad</t>
        </is>
      </c>
      <c r="C827" t="inlineStr">
        <is>
          <t>9213</t>
        </is>
      </c>
      <c r="D827" t="inlineStr">
        <is>
          <t>PHLPost</t>
        </is>
      </c>
    </row>
    <row r="828" spans="1:4">
      <c r="A828" t="inlineStr">
        <is>
          <t>Lanao del Norte</t>
        </is>
      </c>
      <c r="B828" t="inlineStr">
        <is>
          <t>Sultan Naga Dimaporo</t>
        </is>
      </c>
      <c r="D828" t="inlineStr">
        <is>
          <t>Needs verification</t>
        </is>
      </c>
    </row>
    <row r="829" spans="1:4">
      <c r="A829" t="inlineStr">
        <is>
          <t>Lanao del Norte</t>
        </is>
      </c>
      <c r="B829" t="inlineStr">
        <is>
          <t>Tagoloan</t>
        </is>
      </c>
      <c r="C829" t="inlineStr">
        <is>
          <t>9222</t>
        </is>
      </c>
      <c r="D829" t="inlineStr">
        <is>
          <t>PHLPost</t>
        </is>
      </c>
    </row>
    <row r="830" spans="1:4">
      <c r="A830" t="inlineStr">
        <is>
          <t>Lanao del Norte</t>
        </is>
      </c>
      <c r="B830" t="inlineStr">
        <is>
          <t>Tangcal</t>
        </is>
      </c>
      <c r="C830" t="inlineStr">
        <is>
          <t>9220</t>
        </is>
      </c>
      <c r="D830" t="inlineStr">
        <is>
          <t>PHLPost</t>
        </is>
      </c>
    </row>
    <row r="831" spans="1:4">
      <c r="A831" t="inlineStr">
        <is>
          <t>Lanao del Norte</t>
        </is>
      </c>
      <c r="B831" t="inlineStr">
        <is>
          <t>Tubod</t>
        </is>
      </c>
      <c r="C831" t="inlineStr">
        <is>
          <t>9209</t>
        </is>
      </c>
      <c r="D831" t="inlineStr">
        <is>
          <t>PHLPost</t>
        </is>
      </c>
    </row>
    <row r="832" spans="1:4">
      <c r="A832" t="inlineStr">
        <is>
          <t>Lanao del Sur</t>
        </is>
      </c>
      <c r="B832" t="inlineStr">
        <is>
          <t>Amai Manabilang</t>
        </is>
      </c>
      <c r="D832" t="inlineStr">
        <is>
          <t>Needs verification</t>
        </is>
      </c>
    </row>
    <row r="833" spans="1:4">
      <c r="A833" t="inlineStr">
        <is>
          <t>Lanao del Sur</t>
        </is>
      </c>
      <c r="B833" t="inlineStr">
        <is>
          <t>Bacolod-Kalawi</t>
        </is>
      </c>
      <c r="D833" t="inlineStr">
        <is>
          <t>Needs verification</t>
        </is>
      </c>
    </row>
    <row r="834" spans="1:4">
      <c r="A834" t="inlineStr">
        <is>
          <t>Lanao del Sur</t>
        </is>
      </c>
      <c r="B834" t="inlineStr">
        <is>
          <t>Balabagan</t>
        </is>
      </c>
      <c r="D834" t="inlineStr">
        <is>
          <t>Needs verification</t>
        </is>
      </c>
    </row>
    <row r="835" spans="1:4">
      <c r="A835" t="inlineStr">
        <is>
          <t>Lanao del Sur</t>
        </is>
      </c>
      <c r="B835" t="inlineStr">
        <is>
          <t>Balindong</t>
        </is>
      </c>
      <c r="D835" t="inlineStr">
        <is>
          <t>Needs verification</t>
        </is>
      </c>
    </row>
    <row r="836" spans="1:4">
      <c r="A836" t="inlineStr">
        <is>
          <t>Lanao del Sur</t>
        </is>
      </c>
      <c r="B836" t="inlineStr">
        <is>
          <t>Bayang</t>
        </is>
      </c>
      <c r="D836" t="inlineStr">
        <is>
          <t>Needs verification</t>
        </is>
      </c>
    </row>
    <row r="837" spans="1:4">
      <c r="A837" t="inlineStr">
        <is>
          <t>Lanao del Sur</t>
        </is>
      </c>
      <c r="B837" t="inlineStr">
        <is>
          <t>Binidayan</t>
        </is>
      </c>
      <c r="D837" t="inlineStr">
        <is>
          <t>Needs verification</t>
        </is>
      </c>
    </row>
    <row r="838" spans="1:4">
      <c r="A838" t="inlineStr">
        <is>
          <t>Lanao del Sur</t>
        </is>
      </c>
      <c r="B838" t="inlineStr">
        <is>
          <t>Buadiposo-Buntong</t>
        </is>
      </c>
      <c r="D838" t="inlineStr">
        <is>
          <t>Needs verification</t>
        </is>
      </c>
    </row>
    <row r="839" spans="1:4">
      <c r="A839" t="inlineStr">
        <is>
          <t>Lanao del Sur</t>
        </is>
      </c>
      <c r="B839" t="inlineStr">
        <is>
          <t>Bubong</t>
        </is>
      </c>
      <c r="D839" t="inlineStr">
        <is>
          <t>Needs verification</t>
        </is>
      </c>
    </row>
    <row r="840" spans="1:4">
      <c r="A840" t="inlineStr">
        <is>
          <t>Lanao del Sur</t>
        </is>
      </c>
      <c r="B840" t="inlineStr">
        <is>
          <t>Butig</t>
        </is>
      </c>
      <c r="D840" t="inlineStr">
        <is>
          <t>Needs verification</t>
        </is>
      </c>
    </row>
    <row r="841" spans="1:4">
      <c r="A841" t="inlineStr">
        <is>
          <t>Lanao del Sur</t>
        </is>
      </c>
      <c r="B841" t="inlineStr">
        <is>
          <t>Calanogas</t>
        </is>
      </c>
      <c r="D841" t="inlineStr">
        <is>
          <t>Needs verification</t>
        </is>
      </c>
    </row>
    <row r="842" spans="1:4">
      <c r="A842" t="inlineStr">
        <is>
          <t>Lanao del Sur</t>
        </is>
      </c>
      <c r="B842" t="inlineStr">
        <is>
          <t>City of Marawi</t>
        </is>
      </c>
      <c r="D842" t="inlineStr">
        <is>
          <t>Needs verification</t>
        </is>
      </c>
    </row>
    <row r="843" spans="1:4">
      <c r="A843" t="inlineStr">
        <is>
          <t>Lanao del Sur</t>
        </is>
      </c>
      <c r="B843" t="inlineStr">
        <is>
          <t>Ditsaan-Ramain</t>
        </is>
      </c>
      <c r="D843" t="inlineStr">
        <is>
          <t>Needs verification</t>
        </is>
      </c>
    </row>
    <row r="844" spans="1:4">
      <c r="A844" t="inlineStr">
        <is>
          <t>Lanao del Sur</t>
        </is>
      </c>
      <c r="B844" t="inlineStr">
        <is>
          <t>Ganassi</t>
        </is>
      </c>
      <c r="D844" t="inlineStr">
        <is>
          <t>Needs verification</t>
        </is>
      </c>
    </row>
    <row r="845" spans="1:4">
      <c r="A845" t="inlineStr">
        <is>
          <t>Lanao del Sur</t>
        </is>
      </c>
      <c r="B845" t="inlineStr">
        <is>
          <t>Kapai</t>
        </is>
      </c>
      <c r="D845" t="inlineStr">
        <is>
          <t>Needs verification</t>
        </is>
      </c>
    </row>
    <row r="846" spans="1:4">
      <c r="A846" t="inlineStr">
        <is>
          <t>Lanao del Sur</t>
        </is>
      </c>
      <c r="B846" t="inlineStr">
        <is>
          <t>Kapatagan</t>
        </is>
      </c>
      <c r="D846" t="inlineStr">
        <is>
          <t>Needs verification</t>
        </is>
      </c>
    </row>
    <row r="847" spans="1:4">
      <c r="A847" t="inlineStr">
        <is>
          <t>Lanao del Sur</t>
        </is>
      </c>
      <c r="B847" t="inlineStr">
        <is>
          <t>Lumba-Bayabao</t>
        </is>
      </c>
      <c r="D847" t="inlineStr">
        <is>
          <t>Needs verification</t>
        </is>
      </c>
    </row>
    <row r="848" spans="1:4">
      <c r="A848" t="inlineStr">
        <is>
          <t>Lanao del Sur</t>
        </is>
      </c>
      <c r="B848" t="inlineStr">
        <is>
          <t>Lumbaca-Unayan</t>
        </is>
      </c>
      <c r="D848" t="inlineStr">
        <is>
          <t>Needs verification</t>
        </is>
      </c>
    </row>
    <row r="849" spans="1:4">
      <c r="A849" t="inlineStr">
        <is>
          <t>Lanao del Sur</t>
        </is>
      </c>
      <c r="B849" t="inlineStr">
        <is>
          <t>Lumbatan</t>
        </is>
      </c>
      <c r="D849" t="inlineStr">
        <is>
          <t>Needs verification</t>
        </is>
      </c>
    </row>
    <row r="850" spans="1:4">
      <c r="A850" t="inlineStr">
        <is>
          <t>Lanao del Sur</t>
        </is>
      </c>
      <c r="B850" t="inlineStr">
        <is>
          <t>Lumbayanague</t>
        </is>
      </c>
      <c r="D850" t="inlineStr">
        <is>
          <t>Needs verification</t>
        </is>
      </c>
    </row>
    <row r="851" spans="1:4">
      <c r="A851" t="inlineStr">
        <is>
          <t>Lanao del Sur</t>
        </is>
      </c>
      <c r="B851" t="inlineStr">
        <is>
          <t>Madalum</t>
        </is>
      </c>
      <c r="D851" t="inlineStr">
        <is>
          <t>Needs verification</t>
        </is>
      </c>
    </row>
    <row r="852" spans="1:4">
      <c r="A852" t="inlineStr">
        <is>
          <t>Lanao del Sur</t>
        </is>
      </c>
      <c r="B852" t="inlineStr">
        <is>
          <t>Madamba</t>
        </is>
      </c>
      <c r="D852" t="inlineStr">
        <is>
          <t>Needs verification</t>
        </is>
      </c>
    </row>
    <row r="853" spans="1:4">
      <c r="A853" t="inlineStr">
        <is>
          <t>Lanao del Sur</t>
        </is>
      </c>
      <c r="B853" t="inlineStr">
        <is>
          <t>Maguing</t>
        </is>
      </c>
      <c r="D853" t="inlineStr">
        <is>
          <t>Needs verification</t>
        </is>
      </c>
    </row>
    <row r="854" spans="1:4">
      <c r="A854" t="inlineStr">
        <is>
          <t>Lanao del Sur</t>
        </is>
      </c>
      <c r="B854" t="inlineStr">
        <is>
          <t>Malabang</t>
        </is>
      </c>
      <c r="D854" t="inlineStr">
        <is>
          <t>Needs verification</t>
        </is>
      </c>
    </row>
    <row r="855" spans="1:4">
      <c r="A855" t="inlineStr">
        <is>
          <t>Lanao del Sur</t>
        </is>
      </c>
      <c r="B855" t="inlineStr">
        <is>
          <t>Marantao</t>
        </is>
      </c>
      <c r="D855" t="inlineStr">
        <is>
          <t>Needs verification</t>
        </is>
      </c>
    </row>
    <row r="856" spans="1:4">
      <c r="A856" t="inlineStr">
        <is>
          <t>Lanao del Sur</t>
        </is>
      </c>
      <c r="B856" t="inlineStr">
        <is>
          <t>Marogong</t>
        </is>
      </c>
      <c r="D856" t="inlineStr">
        <is>
          <t>Needs verification</t>
        </is>
      </c>
    </row>
    <row r="857" spans="1:4">
      <c r="A857" t="inlineStr">
        <is>
          <t>Lanao del Sur</t>
        </is>
      </c>
      <c r="B857" t="inlineStr">
        <is>
          <t>Masiu</t>
        </is>
      </c>
      <c r="D857" t="inlineStr">
        <is>
          <t>Needs verification</t>
        </is>
      </c>
    </row>
    <row r="858" spans="1:4">
      <c r="A858" t="inlineStr">
        <is>
          <t>Lanao del Sur</t>
        </is>
      </c>
      <c r="B858" t="inlineStr">
        <is>
          <t>Mulondo</t>
        </is>
      </c>
      <c r="D858" t="inlineStr">
        <is>
          <t>Needs verification</t>
        </is>
      </c>
    </row>
    <row r="859" spans="1:4">
      <c r="A859" t="inlineStr">
        <is>
          <t>Lanao del Sur</t>
        </is>
      </c>
      <c r="B859" t="inlineStr">
        <is>
          <t>Pagayawan</t>
        </is>
      </c>
      <c r="D859" t="inlineStr">
        <is>
          <t>Needs verification</t>
        </is>
      </c>
    </row>
    <row r="860" spans="1:4">
      <c r="A860" t="inlineStr">
        <is>
          <t>Lanao del Sur</t>
        </is>
      </c>
      <c r="B860" t="inlineStr">
        <is>
          <t>Piagapo</t>
        </is>
      </c>
      <c r="D860" t="inlineStr">
        <is>
          <t>Needs verification</t>
        </is>
      </c>
    </row>
    <row r="861" spans="1:4">
      <c r="A861" t="inlineStr">
        <is>
          <t>Lanao del Sur</t>
        </is>
      </c>
      <c r="B861" t="inlineStr">
        <is>
          <t>Picong</t>
        </is>
      </c>
      <c r="D861" t="inlineStr">
        <is>
          <t>Needs verification</t>
        </is>
      </c>
    </row>
    <row r="862" spans="1:4">
      <c r="A862" t="inlineStr">
        <is>
          <t>Lanao del Sur</t>
        </is>
      </c>
      <c r="B862" t="inlineStr">
        <is>
          <t>Poona Bayabao</t>
        </is>
      </c>
      <c r="D862" t="inlineStr">
        <is>
          <t>Needs verification</t>
        </is>
      </c>
    </row>
    <row r="863" spans="1:4">
      <c r="A863" t="inlineStr">
        <is>
          <t>Lanao del Sur</t>
        </is>
      </c>
      <c r="B863" t="inlineStr">
        <is>
          <t>Pualas</t>
        </is>
      </c>
      <c r="D863" t="inlineStr">
        <is>
          <t>Needs verification</t>
        </is>
      </c>
    </row>
    <row r="864" spans="1:4">
      <c r="A864" t="inlineStr">
        <is>
          <t>Lanao del Sur</t>
        </is>
      </c>
      <c r="B864" t="inlineStr">
        <is>
          <t>Saguiaran</t>
        </is>
      </c>
      <c r="D864" t="inlineStr">
        <is>
          <t>Needs verification</t>
        </is>
      </c>
    </row>
    <row r="865" spans="1:4">
      <c r="A865" t="inlineStr">
        <is>
          <t>Lanao del Sur</t>
        </is>
      </c>
      <c r="B865" t="inlineStr">
        <is>
          <t>Sultan Dumalondong</t>
        </is>
      </c>
      <c r="D865" t="inlineStr">
        <is>
          <t>Needs verification</t>
        </is>
      </c>
    </row>
    <row r="866" spans="1:4">
      <c r="A866" t="inlineStr">
        <is>
          <t>Lanao del Sur</t>
        </is>
      </c>
      <c r="B866" t="inlineStr">
        <is>
          <t>Tagoloan II</t>
        </is>
      </c>
      <c r="D866" t="inlineStr">
        <is>
          <t>Needs verification</t>
        </is>
      </c>
    </row>
    <row r="867" spans="1:4">
      <c r="A867" t="inlineStr">
        <is>
          <t>Lanao del Sur</t>
        </is>
      </c>
      <c r="B867" t="inlineStr">
        <is>
          <t>Tamparan</t>
        </is>
      </c>
      <c r="D867" t="inlineStr">
        <is>
          <t>Needs verification</t>
        </is>
      </c>
    </row>
    <row r="868" spans="1:4">
      <c r="A868" t="inlineStr">
        <is>
          <t>Lanao del Sur</t>
        </is>
      </c>
      <c r="B868" t="inlineStr">
        <is>
          <t>Taraka</t>
        </is>
      </c>
      <c r="D868" t="inlineStr">
        <is>
          <t>Needs verification</t>
        </is>
      </c>
    </row>
    <row r="869" spans="1:4">
      <c r="A869" t="inlineStr">
        <is>
          <t>Lanao del Sur</t>
        </is>
      </c>
      <c r="B869" t="inlineStr">
        <is>
          <t>Tubaran</t>
        </is>
      </c>
      <c r="D869" t="inlineStr">
        <is>
          <t>Needs verification</t>
        </is>
      </c>
    </row>
    <row r="870" spans="1:4">
      <c r="A870" t="inlineStr">
        <is>
          <t>Lanao del Sur</t>
        </is>
      </c>
      <c r="B870" t="inlineStr">
        <is>
          <t>Tugaya</t>
        </is>
      </c>
      <c r="D870" t="inlineStr">
        <is>
          <t>Needs verification</t>
        </is>
      </c>
    </row>
    <row r="871" spans="1:4">
      <c r="A871" t="inlineStr">
        <is>
          <t>Lanao del Sur</t>
        </is>
      </c>
      <c r="B871" t="inlineStr">
        <is>
          <t>Wao</t>
        </is>
      </c>
      <c r="D871" t="inlineStr">
        <is>
          <t>Needs verification</t>
        </is>
      </c>
    </row>
    <row r="872" spans="1:4">
      <c r="A872" t="inlineStr">
        <is>
          <t>Leyte</t>
        </is>
      </c>
      <c r="B872" t="inlineStr">
        <is>
          <t>Abuyog</t>
        </is>
      </c>
      <c r="C872" t="inlineStr">
        <is>
          <t>6510</t>
        </is>
      </c>
      <c r="D872" t="inlineStr">
        <is>
          <t>BarangayDirectory</t>
        </is>
      </c>
    </row>
    <row r="873" spans="1:4">
      <c r="A873" t="inlineStr">
        <is>
          <t>Leyte</t>
        </is>
      </c>
      <c r="B873" t="inlineStr">
        <is>
          <t>Alangalang</t>
        </is>
      </c>
      <c r="C873" t="inlineStr">
        <is>
          <t>6517</t>
        </is>
      </c>
      <c r="D873" t="inlineStr">
        <is>
          <t>BarangayDirectory</t>
        </is>
      </c>
    </row>
    <row r="874" spans="1:4">
      <c r="A874" t="inlineStr">
        <is>
          <t>Leyte</t>
        </is>
      </c>
      <c r="B874" t="inlineStr">
        <is>
          <t>Albuera</t>
        </is>
      </c>
      <c r="C874" t="inlineStr">
        <is>
          <t>6542</t>
        </is>
      </c>
      <c r="D874" t="inlineStr">
        <is>
          <t>BarangayDirectory</t>
        </is>
      </c>
    </row>
    <row r="875" spans="1:4">
      <c r="A875" t="inlineStr">
        <is>
          <t>Leyte</t>
        </is>
      </c>
      <c r="B875" t="inlineStr">
        <is>
          <t>Babatngon</t>
        </is>
      </c>
      <c r="C875" t="inlineStr">
        <is>
          <t>6520</t>
        </is>
      </c>
      <c r="D875" t="inlineStr">
        <is>
          <t>BarangayDirectory</t>
        </is>
      </c>
    </row>
    <row r="876" spans="1:4">
      <c r="A876" t="inlineStr">
        <is>
          <t>Leyte</t>
        </is>
      </c>
      <c r="B876" t="inlineStr">
        <is>
          <t>Barugo</t>
        </is>
      </c>
      <c r="C876" t="inlineStr">
        <is>
          <t>6519</t>
        </is>
      </c>
      <c r="D876" t="inlineStr">
        <is>
          <t>BarangayDirectory</t>
        </is>
      </c>
    </row>
    <row r="877" spans="1:4">
      <c r="A877" t="inlineStr">
        <is>
          <t>Leyte</t>
        </is>
      </c>
      <c r="B877" t="inlineStr">
        <is>
          <t>Bato</t>
        </is>
      </c>
      <c r="C877" t="inlineStr">
        <is>
          <t>6525</t>
        </is>
      </c>
      <c r="D877" t="inlineStr">
        <is>
          <t>BarangayDirectory</t>
        </is>
      </c>
    </row>
    <row r="878" spans="1:4">
      <c r="A878" t="inlineStr">
        <is>
          <t>Leyte</t>
        </is>
      </c>
      <c r="B878" t="inlineStr">
        <is>
          <t>Burauen</t>
        </is>
      </c>
      <c r="C878" t="inlineStr">
        <is>
          <t>6516</t>
        </is>
      </c>
      <c r="D878" t="inlineStr">
        <is>
          <t>BarangayDirectory</t>
        </is>
      </c>
    </row>
    <row r="879" spans="1:4">
      <c r="A879" t="inlineStr">
        <is>
          <t>Leyte</t>
        </is>
      </c>
      <c r="B879" t="inlineStr">
        <is>
          <t>Calubian</t>
        </is>
      </c>
      <c r="C879" t="inlineStr">
        <is>
          <t>6534</t>
        </is>
      </c>
      <c r="D879" t="inlineStr">
        <is>
          <t>BarangayDirectory</t>
        </is>
      </c>
    </row>
    <row r="880" spans="1:4">
      <c r="A880" t="inlineStr">
        <is>
          <t>Leyte</t>
        </is>
      </c>
      <c r="B880" t="inlineStr">
        <is>
          <t>Capoocan</t>
        </is>
      </c>
      <c r="C880" t="inlineStr">
        <is>
          <t>6530</t>
        </is>
      </c>
      <c r="D880" t="inlineStr">
        <is>
          <t>BarangayDirectory</t>
        </is>
      </c>
    </row>
    <row r="881" spans="1:4">
      <c r="A881" t="inlineStr">
        <is>
          <t>Leyte</t>
        </is>
      </c>
      <c r="B881" t="inlineStr">
        <is>
          <t>Carigara</t>
        </is>
      </c>
      <c r="C881" t="inlineStr">
        <is>
          <t>6529</t>
        </is>
      </c>
      <c r="D881" t="inlineStr">
        <is>
          <t>BarangayDirectory</t>
        </is>
      </c>
    </row>
    <row r="882" spans="1:4">
      <c r="A882" t="inlineStr">
        <is>
          <t>Leyte</t>
        </is>
      </c>
      <c r="B882" t="inlineStr">
        <is>
          <t>City of Baybay</t>
        </is>
      </c>
      <c r="C882" t="inlineStr">
        <is>
          <t>6521</t>
        </is>
      </c>
      <c r="D882" t="inlineStr">
        <is>
          <t>BarangayDirectory</t>
        </is>
      </c>
    </row>
    <row r="883" spans="1:4">
      <c r="A883" t="inlineStr">
        <is>
          <t>Leyte</t>
        </is>
      </c>
      <c r="B883" t="inlineStr">
        <is>
          <t>Dagami</t>
        </is>
      </c>
      <c r="C883" t="inlineStr">
        <is>
          <t>6515</t>
        </is>
      </c>
      <c r="D883" t="inlineStr">
        <is>
          <t>BarangayDirectory</t>
        </is>
      </c>
    </row>
    <row r="884" spans="1:4">
      <c r="A884" t="inlineStr">
        <is>
          <t>Leyte</t>
        </is>
      </c>
      <c r="B884" t="inlineStr">
        <is>
          <t>Dulag</t>
        </is>
      </c>
      <c r="C884" t="inlineStr">
        <is>
          <t>6505</t>
        </is>
      </c>
      <c r="D884" t="inlineStr">
        <is>
          <t>BarangayDirectory</t>
        </is>
      </c>
    </row>
    <row r="885" spans="1:4">
      <c r="A885" t="inlineStr">
        <is>
          <t>Leyte</t>
        </is>
      </c>
      <c r="B885" t="inlineStr">
        <is>
          <t>Hilongos</t>
        </is>
      </c>
      <c r="C885" t="inlineStr">
        <is>
          <t>6524</t>
        </is>
      </c>
      <c r="D885" t="inlineStr">
        <is>
          <t>BarangayDirectory</t>
        </is>
      </c>
    </row>
    <row r="886" spans="1:4">
      <c r="A886" t="inlineStr">
        <is>
          <t>Leyte</t>
        </is>
      </c>
      <c r="B886" t="inlineStr">
        <is>
          <t>Hindang</t>
        </is>
      </c>
      <c r="C886" t="inlineStr">
        <is>
          <t>6523</t>
        </is>
      </c>
      <c r="D886" t="inlineStr">
        <is>
          <t>BarangayDirectory</t>
        </is>
      </c>
    </row>
    <row r="887" spans="1:4">
      <c r="A887" t="inlineStr">
        <is>
          <t>Leyte</t>
        </is>
      </c>
      <c r="B887" t="inlineStr">
        <is>
          <t>Inopacan</t>
        </is>
      </c>
      <c r="C887" t="inlineStr">
        <is>
          <t>6522</t>
        </is>
      </c>
      <c r="D887" t="inlineStr">
        <is>
          <t>BarangayDirectory</t>
        </is>
      </c>
    </row>
    <row r="888" spans="1:4">
      <c r="A888" t="inlineStr">
        <is>
          <t>Leyte</t>
        </is>
      </c>
      <c r="B888" t="inlineStr">
        <is>
          <t>Isabel</t>
        </is>
      </c>
      <c r="C888" t="inlineStr">
        <is>
          <t>6539</t>
        </is>
      </c>
      <c r="D888" t="inlineStr">
        <is>
          <t>BarangayDirectory</t>
        </is>
      </c>
    </row>
    <row r="889" spans="1:4">
      <c r="A889" t="inlineStr">
        <is>
          <t>Leyte</t>
        </is>
      </c>
      <c r="B889" t="inlineStr">
        <is>
          <t>Jaro</t>
        </is>
      </c>
      <c r="C889" t="inlineStr">
        <is>
          <t>6527</t>
        </is>
      </c>
      <c r="D889" t="inlineStr">
        <is>
          <t>BarangayDirectory</t>
        </is>
      </c>
    </row>
    <row r="890" spans="1:4">
      <c r="A890" t="inlineStr">
        <is>
          <t>Leyte</t>
        </is>
      </c>
      <c r="B890" t="inlineStr">
        <is>
          <t>Javier</t>
        </is>
      </c>
      <c r="C890" t="inlineStr">
        <is>
          <t>6511</t>
        </is>
      </c>
      <c r="D890" t="inlineStr">
        <is>
          <t>BarangayDirectory</t>
        </is>
      </c>
    </row>
    <row r="891" spans="1:4">
      <c r="A891" t="inlineStr">
        <is>
          <t>Leyte</t>
        </is>
      </c>
      <c r="B891" t="inlineStr">
        <is>
          <t>Julita</t>
        </is>
      </c>
      <c r="C891" t="inlineStr">
        <is>
          <t>6506</t>
        </is>
      </c>
      <c r="D891" t="inlineStr">
        <is>
          <t>BarangayDirectory</t>
        </is>
      </c>
    </row>
    <row r="892" spans="1:4">
      <c r="A892" t="inlineStr">
        <is>
          <t>Leyte</t>
        </is>
      </c>
      <c r="B892" t="inlineStr">
        <is>
          <t>Kananga</t>
        </is>
      </c>
      <c r="C892" t="inlineStr">
        <is>
          <t>6531</t>
        </is>
      </c>
      <c r="D892" t="inlineStr">
        <is>
          <t>BarangayDirectory</t>
        </is>
      </c>
    </row>
    <row r="893" spans="1:4">
      <c r="A893" t="inlineStr">
        <is>
          <t>Leyte</t>
        </is>
      </c>
      <c r="B893" t="inlineStr">
        <is>
          <t>La Paz</t>
        </is>
      </c>
      <c r="C893" t="inlineStr">
        <is>
          <t>6508</t>
        </is>
      </c>
      <c r="D893" t="inlineStr">
        <is>
          <t>BarangayDirectory</t>
        </is>
      </c>
    </row>
    <row r="894" spans="1:4">
      <c r="A894" t="inlineStr">
        <is>
          <t>Leyte</t>
        </is>
      </c>
      <c r="B894" t="inlineStr">
        <is>
          <t>Leyte</t>
        </is>
      </c>
      <c r="C894" t="inlineStr">
        <is>
          <t>6533</t>
        </is>
      </c>
      <c r="D894" t="inlineStr">
        <is>
          <t>BarangayDirectory</t>
        </is>
      </c>
    </row>
    <row r="895" spans="1:4">
      <c r="A895" t="inlineStr">
        <is>
          <t>Leyte</t>
        </is>
      </c>
      <c r="B895" t="inlineStr">
        <is>
          <t>Macarthur</t>
        </is>
      </c>
      <c r="C895" t="inlineStr">
        <is>
          <t>6509</t>
        </is>
      </c>
      <c r="D895" t="inlineStr">
        <is>
          <t>BarangayDirectory</t>
        </is>
      </c>
    </row>
    <row r="896" spans="1:4">
      <c r="A896" t="inlineStr">
        <is>
          <t>Leyte</t>
        </is>
      </c>
      <c r="B896" t="inlineStr">
        <is>
          <t>Mahaplag</t>
        </is>
      </c>
      <c r="C896" t="inlineStr">
        <is>
          <t>6512</t>
        </is>
      </c>
      <c r="D896" t="inlineStr">
        <is>
          <t>BarangayDirectory</t>
        </is>
      </c>
    </row>
    <row r="897" spans="1:4">
      <c r="A897" t="inlineStr">
        <is>
          <t>Leyte</t>
        </is>
      </c>
      <c r="B897" t="inlineStr">
        <is>
          <t>Matag-Ob</t>
        </is>
      </c>
      <c r="C897" t="inlineStr">
        <is>
          <t>6532</t>
        </is>
      </c>
      <c r="D897" t="inlineStr">
        <is>
          <t>BarangayDirectory</t>
        </is>
      </c>
    </row>
    <row r="898" spans="1:4">
      <c r="A898" t="inlineStr">
        <is>
          <t>Leyte</t>
        </is>
      </c>
      <c r="B898" t="inlineStr">
        <is>
          <t>Matalom</t>
        </is>
      </c>
      <c r="C898" t="inlineStr">
        <is>
          <t>6526</t>
        </is>
      </c>
      <c r="D898" t="inlineStr">
        <is>
          <t>BarangayDirectory</t>
        </is>
      </c>
    </row>
    <row r="899" spans="1:4">
      <c r="A899" t="inlineStr">
        <is>
          <t>Leyte</t>
        </is>
      </c>
      <c r="B899" t="inlineStr">
        <is>
          <t>Mayorga</t>
        </is>
      </c>
      <c r="C899" t="inlineStr">
        <is>
          <t>6507</t>
        </is>
      </c>
      <c r="D899" t="inlineStr">
        <is>
          <t>BarangayDirectory</t>
        </is>
      </c>
    </row>
    <row r="900" spans="1:4">
      <c r="A900" t="inlineStr">
        <is>
          <t>Leyte</t>
        </is>
      </c>
      <c r="B900" t="inlineStr">
        <is>
          <t>Merida</t>
        </is>
      </c>
      <c r="C900" t="inlineStr">
        <is>
          <t>6540</t>
        </is>
      </c>
      <c r="D900" t="inlineStr">
        <is>
          <t>BarangayDirectory</t>
        </is>
      </c>
    </row>
    <row r="901" spans="1:4">
      <c r="A901" t="inlineStr">
        <is>
          <t>Leyte</t>
        </is>
      </c>
      <c r="B901" t="inlineStr">
        <is>
          <t>Ormoc City</t>
        </is>
      </c>
      <c r="C901" t="inlineStr">
        <is>
          <t>6541</t>
        </is>
      </c>
      <c r="D901" t="inlineStr">
        <is>
          <t>BarangayDirectory</t>
        </is>
      </c>
    </row>
    <row r="902" spans="1:4">
      <c r="A902" t="inlineStr">
        <is>
          <t>Leyte</t>
        </is>
      </c>
      <c r="B902" t="inlineStr">
        <is>
          <t>Palo</t>
        </is>
      </c>
      <c r="C902" t="inlineStr">
        <is>
          <t>6501</t>
        </is>
      </c>
      <c r="D902" t="inlineStr">
        <is>
          <t>BarangayDirectory</t>
        </is>
      </c>
    </row>
    <row r="903" spans="1:4">
      <c r="A903" t="inlineStr">
        <is>
          <t>Leyte</t>
        </is>
      </c>
      <c r="B903" t="inlineStr">
        <is>
          <t>Palompon</t>
        </is>
      </c>
      <c r="C903" t="inlineStr">
        <is>
          <t>6538</t>
        </is>
      </c>
      <c r="D903" t="inlineStr">
        <is>
          <t>BarangayDirectory</t>
        </is>
      </c>
    </row>
    <row r="904" spans="1:4">
      <c r="A904" t="inlineStr">
        <is>
          <t>Leyte</t>
        </is>
      </c>
      <c r="B904" t="inlineStr">
        <is>
          <t>Pastrana</t>
        </is>
      </c>
      <c r="C904" t="inlineStr">
        <is>
          <t>6514</t>
        </is>
      </c>
      <c r="D904" t="inlineStr">
        <is>
          <t>BarangayDirectory</t>
        </is>
      </c>
    </row>
    <row r="905" spans="1:4">
      <c r="A905" t="inlineStr">
        <is>
          <t>Leyte</t>
        </is>
      </c>
      <c r="B905" t="inlineStr">
        <is>
          <t>San Isidro</t>
        </is>
      </c>
      <c r="C905" t="inlineStr">
        <is>
          <t>6535</t>
        </is>
      </c>
      <c r="D905" t="inlineStr">
        <is>
          <t>BarangayDirectory</t>
        </is>
      </c>
    </row>
    <row r="906" spans="1:4">
      <c r="A906" t="inlineStr">
        <is>
          <t>Leyte</t>
        </is>
      </c>
      <c r="B906" t="inlineStr">
        <is>
          <t>San Miguel</t>
        </is>
      </c>
      <c r="C906" t="inlineStr">
        <is>
          <t>6518</t>
        </is>
      </c>
      <c r="D906" t="inlineStr">
        <is>
          <t>BarangayDirectory</t>
        </is>
      </c>
    </row>
    <row r="907" spans="1:4">
      <c r="A907" t="inlineStr">
        <is>
          <t>Leyte</t>
        </is>
      </c>
      <c r="B907" t="inlineStr">
        <is>
          <t>Santa Fe</t>
        </is>
      </c>
      <c r="C907" t="inlineStr">
        <is>
          <t>6513</t>
        </is>
      </c>
      <c r="D907" t="inlineStr">
        <is>
          <t>BarangayDirectory</t>
        </is>
      </c>
    </row>
    <row r="908" spans="1:4">
      <c r="A908" t="inlineStr">
        <is>
          <t>Leyte</t>
        </is>
      </c>
      <c r="B908" t="inlineStr">
        <is>
          <t>Tabango</t>
        </is>
      </c>
      <c r="C908" t="inlineStr">
        <is>
          <t>6536</t>
        </is>
      </c>
      <c r="D908" t="inlineStr">
        <is>
          <t>BarangayDirectory</t>
        </is>
      </c>
    </row>
    <row r="909" spans="1:4">
      <c r="A909" t="inlineStr">
        <is>
          <t>Leyte</t>
        </is>
      </c>
      <c r="B909" t="inlineStr">
        <is>
          <t>Tabontabon</t>
        </is>
      </c>
      <c r="C909" t="inlineStr">
        <is>
          <t>6504</t>
        </is>
      </c>
      <c r="D909" t="inlineStr">
        <is>
          <t>BarangayDirectory</t>
        </is>
      </c>
    </row>
    <row r="910" spans="1:4">
      <c r="A910" t="inlineStr">
        <is>
          <t>Leyte</t>
        </is>
      </c>
      <c r="B910" t="inlineStr">
        <is>
          <t>Tanauan</t>
        </is>
      </c>
      <c r="C910" t="inlineStr">
        <is>
          <t>6502</t>
        </is>
      </c>
      <c r="D910" t="inlineStr">
        <is>
          <t>BarangayDirectory</t>
        </is>
      </c>
    </row>
    <row r="911" spans="1:4">
      <c r="A911" t="inlineStr">
        <is>
          <t>Leyte</t>
        </is>
      </c>
      <c r="B911" t="inlineStr">
        <is>
          <t>Tolosa</t>
        </is>
      </c>
      <c r="C911" t="inlineStr">
        <is>
          <t>6503</t>
        </is>
      </c>
      <c r="D911" t="inlineStr">
        <is>
          <t>BarangayDirectory</t>
        </is>
      </c>
    </row>
    <row r="912" spans="1:4">
      <c r="A912" t="inlineStr">
        <is>
          <t>Leyte</t>
        </is>
      </c>
      <c r="B912" t="inlineStr">
        <is>
          <t>Tunga</t>
        </is>
      </c>
      <c r="C912" t="inlineStr">
        <is>
          <t>6528</t>
        </is>
      </c>
      <c r="D912" t="inlineStr">
        <is>
          <t>BarangayDirectory</t>
        </is>
      </c>
    </row>
    <row r="913" spans="1:4">
      <c r="A913" t="inlineStr">
        <is>
          <t>Leyte</t>
        </is>
      </c>
      <c r="B913" t="inlineStr">
        <is>
          <t>Villaba</t>
        </is>
      </c>
      <c r="C913" t="inlineStr">
        <is>
          <t>6537</t>
        </is>
      </c>
      <c r="D913" t="inlineStr">
        <is>
          <t>BarangayDirectory</t>
        </is>
      </c>
    </row>
    <row r="914" spans="1:4">
      <c r="A914" t="inlineStr">
        <is>
          <t>Maguindanao del Norte</t>
        </is>
      </c>
      <c r="B914" t="inlineStr">
        <is>
          <t>Barira</t>
        </is>
      </c>
      <c r="C914" t="inlineStr">
        <is>
          <t>9614</t>
        </is>
      </c>
      <c r="D914" t="inlineStr">
        <is>
          <t>BarangayDirectory</t>
        </is>
      </c>
    </row>
    <row r="915" spans="1:4">
      <c r="A915" t="inlineStr">
        <is>
          <t>Maguindanao del Norte</t>
        </is>
      </c>
      <c r="B915" t="inlineStr">
        <is>
          <t>Buldon</t>
        </is>
      </c>
      <c r="C915" t="inlineStr">
        <is>
          <t>9615</t>
        </is>
      </c>
      <c r="D915" t="inlineStr">
        <is>
          <t>BarangayDirectory</t>
        </is>
      </c>
    </row>
    <row r="916" spans="1:4">
      <c r="A916" t="inlineStr">
        <is>
          <t>Maguindanao del Norte</t>
        </is>
      </c>
      <c r="B916" t="inlineStr">
        <is>
          <t>City of Cotabato</t>
        </is>
      </c>
      <c r="C916" t="inlineStr">
        <is>
          <t>9600</t>
        </is>
      </c>
      <c r="D916" t="inlineStr">
        <is>
          <t>BarangayDirectory</t>
        </is>
      </c>
    </row>
    <row r="917" spans="1:4">
      <c r="A917" t="inlineStr">
        <is>
          <t>Maguindanao del Norte</t>
        </is>
      </c>
      <c r="B917" t="inlineStr">
        <is>
          <t>Datu Blah T. Sinsuat</t>
        </is>
      </c>
      <c r="D917" t="inlineStr">
        <is>
          <t>Needs verification</t>
        </is>
      </c>
    </row>
    <row r="918" spans="1:4">
      <c r="A918" t="inlineStr">
        <is>
          <t>Maguindanao del Norte</t>
        </is>
      </c>
      <c r="B918" t="inlineStr">
        <is>
          <t>Datu Odin Sinsuat</t>
        </is>
      </c>
      <c r="D918" t="inlineStr">
        <is>
          <t>Needs verification</t>
        </is>
      </c>
    </row>
    <row r="919" spans="1:4">
      <c r="A919" t="inlineStr">
        <is>
          <t>Maguindanao del Norte</t>
        </is>
      </c>
      <c r="B919" t="inlineStr">
        <is>
          <t>Kabuntalan</t>
        </is>
      </c>
      <c r="D919" t="inlineStr">
        <is>
          <t>Needs verification</t>
        </is>
      </c>
    </row>
    <row r="920" spans="1:4">
      <c r="A920" t="inlineStr">
        <is>
          <t>Maguindanao del Norte</t>
        </is>
      </c>
      <c r="B920" t="inlineStr">
        <is>
          <t>Matanog</t>
        </is>
      </c>
      <c r="C920" t="inlineStr">
        <is>
          <t>9613</t>
        </is>
      </c>
      <c r="D920" t="inlineStr">
        <is>
          <t>BarangayDirectory</t>
        </is>
      </c>
    </row>
    <row r="921" spans="1:4">
      <c r="A921" t="inlineStr">
        <is>
          <t>Maguindanao del Norte</t>
        </is>
      </c>
      <c r="B921" t="inlineStr">
        <is>
          <t>Northern Kabuntalan</t>
        </is>
      </c>
      <c r="D921" t="inlineStr">
        <is>
          <t>Needs verification</t>
        </is>
      </c>
    </row>
    <row r="922" spans="1:4">
      <c r="A922" t="inlineStr">
        <is>
          <t>Maguindanao del Norte</t>
        </is>
      </c>
      <c r="B922" t="inlineStr">
        <is>
          <t>Parang</t>
        </is>
      </c>
      <c r="C922" t="inlineStr">
        <is>
          <t>9604</t>
        </is>
      </c>
      <c r="D922" t="inlineStr">
        <is>
          <t>BarangayDirectory</t>
        </is>
      </c>
    </row>
    <row r="923" spans="1:4">
      <c r="A923" t="inlineStr">
        <is>
          <t>Maguindanao del Norte</t>
        </is>
      </c>
      <c r="B923" t="inlineStr">
        <is>
          <t>Sultan Kudarat</t>
        </is>
      </c>
      <c r="D923" t="inlineStr">
        <is>
          <t>Needs verification</t>
        </is>
      </c>
    </row>
    <row r="924" spans="1:4">
      <c r="A924" t="inlineStr">
        <is>
          <t>Maguindanao del Norte</t>
        </is>
      </c>
      <c r="B924" t="inlineStr">
        <is>
          <t>Sultan Mastura</t>
        </is>
      </c>
      <c r="D924" t="inlineStr">
        <is>
          <t>Needs verification</t>
        </is>
      </c>
    </row>
    <row r="925" spans="1:4">
      <c r="A925" t="inlineStr">
        <is>
          <t>Maguindanao del Norte</t>
        </is>
      </c>
      <c r="B925" t="inlineStr">
        <is>
          <t>Talitay</t>
        </is>
      </c>
      <c r="D925" t="inlineStr">
        <is>
          <t>Needs verification</t>
        </is>
      </c>
    </row>
    <row r="926" spans="1:4">
      <c r="A926" t="inlineStr">
        <is>
          <t>Maguindanao del Norte</t>
        </is>
      </c>
      <c r="B926" t="inlineStr">
        <is>
          <t>Upi</t>
        </is>
      </c>
      <c r="D926" t="inlineStr">
        <is>
          <t>Needs verification</t>
        </is>
      </c>
    </row>
    <row r="927" spans="1:4">
      <c r="A927" t="inlineStr">
        <is>
          <t>Maguindanao del Sur</t>
        </is>
      </c>
      <c r="B927" t="inlineStr">
        <is>
          <t>Ampatuan</t>
        </is>
      </c>
      <c r="C927" t="inlineStr">
        <is>
          <t>9609</t>
        </is>
      </c>
      <c r="D927" t="inlineStr">
        <is>
          <t>BarangayDirectory</t>
        </is>
      </c>
    </row>
    <row r="928" spans="1:4">
      <c r="A928" t="inlineStr">
        <is>
          <t>Maguindanao del Sur</t>
        </is>
      </c>
      <c r="B928" t="inlineStr">
        <is>
          <t>Buluan</t>
        </is>
      </c>
      <c r="C928" t="inlineStr">
        <is>
          <t>9616</t>
        </is>
      </c>
      <c r="D928" t="inlineStr">
        <is>
          <t>BarangayDirectory</t>
        </is>
      </c>
    </row>
    <row r="929" spans="1:4">
      <c r="A929" t="inlineStr">
        <is>
          <t>Maguindanao del Sur</t>
        </is>
      </c>
      <c r="B929" t="inlineStr">
        <is>
          <t>Datu Abdullah Sangki</t>
        </is>
      </c>
      <c r="D929" t="inlineStr">
        <is>
          <t>Needs verification</t>
        </is>
      </c>
    </row>
    <row r="930" spans="1:4">
      <c r="A930" t="inlineStr">
        <is>
          <t>Maguindanao del Sur</t>
        </is>
      </c>
      <c r="B930" t="inlineStr">
        <is>
          <t>Datu Anggal Midtimbang</t>
        </is>
      </c>
      <c r="D930" t="inlineStr">
        <is>
          <t>Needs verification</t>
        </is>
      </c>
    </row>
    <row r="931" spans="1:4">
      <c r="A931" t="inlineStr">
        <is>
          <t>Maguindanao del Sur</t>
        </is>
      </c>
      <c r="B931" t="inlineStr">
        <is>
          <t>Datu Hoffer Ampatuan</t>
        </is>
      </c>
      <c r="D931" t="inlineStr">
        <is>
          <t>Needs verification</t>
        </is>
      </c>
    </row>
    <row r="932" spans="1:4">
      <c r="A932" t="inlineStr">
        <is>
          <t>Maguindanao del Sur</t>
        </is>
      </c>
      <c r="B932" t="inlineStr">
        <is>
          <t>Datu Paglas</t>
        </is>
      </c>
      <c r="C932" t="inlineStr">
        <is>
          <t>9617</t>
        </is>
      </c>
      <c r="D932" t="inlineStr">
        <is>
          <t>BarangayDirectory</t>
        </is>
      </c>
    </row>
    <row r="933" spans="1:4">
      <c r="A933" t="inlineStr">
        <is>
          <t>Maguindanao del Sur</t>
        </is>
      </c>
      <c r="B933" t="inlineStr">
        <is>
          <t>Datu Piang</t>
        </is>
      </c>
      <c r="C933" t="inlineStr">
        <is>
          <t>9607</t>
        </is>
      </c>
      <c r="D933" t="inlineStr">
        <is>
          <t>BarangayDirectory</t>
        </is>
      </c>
    </row>
    <row r="934" spans="1:4">
      <c r="A934" t="inlineStr">
        <is>
          <t>Maguindanao del Sur</t>
        </is>
      </c>
      <c r="B934" t="inlineStr">
        <is>
          <t>Datu Salibo</t>
        </is>
      </c>
      <c r="D934" t="inlineStr">
        <is>
          <t>Needs verification</t>
        </is>
      </c>
    </row>
    <row r="935" spans="1:4">
      <c r="A935" t="inlineStr">
        <is>
          <t>Maguindanao del Sur</t>
        </is>
      </c>
      <c r="B935" t="inlineStr">
        <is>
          <t>Datu Saudi Ampatuan</t>
        </is>
      </c>
      <c r="D935" t="inlineStr">
        <is>
          <t>Needs verification</t>
        </is>
      </c>
    </row>
    <row r="936" spans="1:4">
      <c r="A936" t="inlineStr">
        <is>
          <t>Maguindanao del Sur</t>
        </is>
      </c>
      <c r="B936" t="inlineStr">
        <is>
          <t>Datu Unsay</t>
        </is>
      </c>
      <c r="D936" t="inlineStr">
        <is>
          <t>Needs verification</t>
        </is>
      </c>
    </row>
    <row r="937" spans="1:4">
      <c r="A937" t="inlineStr">
        <is>
          <t>Maguindanao del Sur</t>
        </is>
      </c>
      <c r="B937" t="inlineStr">
        <is>
          <t>Gen. S.K. Pendatun</t>
        </is>
      </c>
      <c r="C937" t="inlineStr">
        <is>
          <t>9618</t>
        </is>
      </c>
      <c r="D937" t="inlineStr">
        <is>
          <t>BarangayDirectory</t>
        </is>
      </c>
    </row>
    <row r="938" spans="1:4">
      <c r="A938" t="inlineStr">
        <is>
          <t>Maguindanao del Sur</t>
        </is>
      </c>
      <c r="B938" t="inlineStr">
        <is>
          <t>Guindulungan</t>
        </is>
      </c>
      <c r="D938" t="inlineStr">
        <is>
          <t>Needs verification</t>
        </is>
      </c>
    </row>
    <row r="939" spans="1:4">
      <c r="A939" t="inlineStr">
        <is>
          <t>Maguindanao del Sur</t>
        </is>
      </c>
      <c r="B939" t="inlineStr">
        <is>
          <t>Mamasapano</t>
        </is>
      </c>
      <c r="D939" t="inlineStr">
        <is>
          <t>Needs verification</t>
        </is>
      </c>
    </row>
    <row r="940" spans="1:4">
      <c r="A940" t="inlineStr">
        <is>
          <t>Maguindanao del Sur</t>
        </is>
      </c>
      <c r="B940" t="inlineStr">
        <is>
          <t>Mangudadatu</t>
        </is>
      </c>
      <c r="D940" t="inlineStr">
        <is>
          <t>Needs verification</t>
        </is>
      </c>
    </row>
    <row r="941" spans="1:4">
      <c r="A941" t="inlineStr">
        <is>
          <t>Maguindanao del Sur</t>
        </is>
      </c>
      <c r="B941" t="inlineStr">
        <is>
          <t>Pagagawan</t>
        </is>
      </c>
      <c r="D941" t="inlineStr">
        <is>
          <t>Needs verification</t>
        </is>
      </c>
    </row>
    <row r="942" spans="1:4">
      <c r="A942" t="inlineStr">
        <is>
          <t>Maguindanao del Sur</t>
        </is>
      </c>
      <c r="B942" t="inlineStr">
        <is>
          <t>Pagalungan</t>
        </is>
      </c>
      <c r="C942" t="inlineStr">
        <is>
          <t>9610</t>
        </is>
      </c>
      <c r="D942" t="inlineStr">
        <is>
          <t>BarangayDirectory</t>
        </is>
      </c>
    </row>
    <row r="943" spans="1:4">
      <c r="A943" t="inlineStr">
        <is>
          <t>Maguindanao del Sur</t>
        </is>
      </c>
      <c r="B943" t="inlineStr">
        <is>
          <t>Paglat</t>
        </is>
      </c>
      <c r="D943" t="inlineStr">
        <is>
          <t>Needs verification</t>
        </is>
      </c>
    </row>
    <row r="944" spans="1:4">
      <c r="A944" t="inlineStr">
        <is>
          <t>Maguindanao del Sur</t>
        </is>
      </c>
      <c r="B944" t="inlineStr">
        <is>
          <t>Pandag</t>
        </is>
      </c>
      <c r="D944" t="inlineStr">
        <is>
          <t>Needs verification</t>
        </is>
      </c>
    </row>
    <row r="945" spans="1:4">
      <c r="A945" t="inlineStr">
        <is>
          <t>Maguindanao del Sur</t>
        </is>
      </c>
      <c r="B945" t="inlineStr">
        <is>
          <t>Rajah Buayan</t>
        </is>
      </c>
      <c r="D945" t="inlineStr">
        <is>
          <t>Needs verification</t>
        </is>
      </c>
    </row>
    <row r="946" spans="1:4">
      <c r="A946" t="inlineStr">
        <is>
          <t>Maguindanao del Sur</t>
        </is>
      </c>
      <c r="B946" t="inlineStr">
        <is>
          <t>Shariff Aguak</t>
        </is>
      </c>
      <c r="D946" t="inlineStr">
        <is>
          <t>Needs verification</t>
        </is>
      </c>
    </row>
    <row r="947" spans="1:4">
      <c r="A947" t="inlineStr">
        <is>
          <t>Maguindanao del Sur</t>
        </is>
      </c>
      <c r="B947" t="inlineStr">
        <is>
          <t>Shariff Saydona Mustapha</t>
        </is>
      </c>
      <c r="D947" t="inlineStr">
        <is>
          <t>Needs verification</t>
        </is>
      </c>
    </row>
    <row r="948" spans="1:4">
      <c r="A948" t="inlineStr">
        <is>
          <t>Maguindanao del Sur</t>
        </is>
      </c>
      <c r="B948" t="inlineStr">
        <is>
          <t>South Upi</t>
        </is>
      </c>
      <c r="C948" t="inlineStr">
        <is>
          <t>9603</t>
        </is>
      </c>
      <c r="D948" t="inlineStr">
        <is>
          <t>BarangayDirectory</t>
        </is>
      </c>
    </row>
    <row r="949" spans="1:4">
      <c r="A949" t="inlineStr">
        <is>
          <t>Maguindanao del Sur</t>
        </is>
      </c>
      <c r="B949" t="inlineStr">
        <is>
          <t>Sultan Sa Barongis</t>
        </is>
      </c>
      <c r="C949" t="inlineStr">
        <is>
          <t>9611</t>
        </is>
      </c>
      <c r="D949" t="inlineStr">
        <is>
          <t>BarangayDirectory</t>
        </is>
      </c>
    </row>
    <row r="950" spans="1:4">
      <c r="A950" t="inlineStr">
        <is>
          <t>Maguindanao del Sur</t>
        </is>
      </c>
      <c r="B950" t="inlineStr">
        <is>
          <t>Talayan</t>
        </is>
      </c>
      <c r="C950" t="inlineStr">
        <is>
          <t>9612</t>
        </is>
      </c>
      <c r="D950" t="inlineStr">
        <is>
          <t>BarangayDirectory</t>
        </is>
      </c>
    </row>
    <row r="951" spans="1:4">
      <c r="A951" t="inlineStr">
        <is>
          <t>Marinduque</t>
        </is>
      </c>
      <c r="B951" t="inlineStr">
        <is>
          <t>Boac</t>
        </is>
      </c>
      <c r="C951" t="inlineStr">
        <is>
          <t>4900</t>
        </is>
      </c>
      <c r="D951" t="inlineStr">
        <is>
          <t>PHLPost</t>
        </is>
      </c>
    </row>
    <row r="952" spans="1:4">
      <c r="A952" t="inlineStr">
        <is>
          <t>Marinduque</t>
        </is>
      </c>
      <c r="B952" t="inlineStr">
        <is>
          <t>Buenavista</t>
        </is>
      </c>
      <c r="C952" t="inlineStr">
        <is>
          <t>4904</t>
        </is>
      </c>
      <c r="D952" t="inlineStr">
        <is>
          <t>PHLPost</t>
        </is>
      </c>
    </row>
    <row r="953" spans="1:4">
      <c r="A953" t="inlineStr">
        <is>
          <t>Marinduque</t>
        </is>
      </c>
      <c r="B953" t="inlineStr">
        <is>
          <t>Gasan</t>
        </is>
      </c>
      <c r="C953" t="inlineStr">
        <is>
          <t>4905</t>
        </is>
      </c>
      <c r="D953" t="inlineStr">
        <is>
          <t>PHLPost</t>
        </is>
      </c>
    </row>
    <row r="954" spans="1:4">
      <c r="A954" t="inlineStr">
        <is>
          <t>Marinduque</t>
        </is>
      </c>
      <c r="B954" t="inlineStr">
        <is>
          <t>Mogpog</t>
        </is>
      </c>
      <c r="C954" t="inlineStr">
        <is>
          <t>4901</t>
        </is>
      </c>
      <c r="D954" t="inlineStr">
        <is>
          <t>PHLPost</t>
        </is>
      </c>
    </row>
    <row r="955" spans="1:4">
      <c r="A955" t="inlineStr">
        <is>
          <t>Marinduque</t>
        </is>
      </c>
      <c r="B955" t="inlineStr">
        <is>
          <t>Santa Cruz</t>
        </is>
      </c>
      <c r="C955" t="inlineStr">
        <is>
          <t>4902</t>
        </is>
      </c>
      <c r="D955" t="inlineStr">
        <is>
          <t>PHLPost</t>
        </is>
      </c>
    </row>
    <row r="956" spans="1:4">
      <c r="A956" t="inlineStr">
        <is>
          <t>Marinduque</t>
        </is>
      </c>
      <c r="B956" t="inlineStr">
        <is>
          <t>Torrijos</t>
        </is>
      </c>
      <c r="C956" t="inlineStr">
        <is>
          <t>4903</t>
        </is>
      </c>
      <c r="D956" t="inlineStr">
        <is>
          <t>PHLPost</t>
        </is>
      </c>
    </row>
    <row r="957" spans="1:4">
      <c r="A957" t="inlineStr">
        <is>
          <t>Masbate</t>
        </is>
      </c>
      <c r="B957" t="inlineStr">
        <is>
          <t>Aroroy</t>
        </is>
      </c>
      <c r="C957" t="inlineStr">
        <is>
          <t>5414</t>
        </is>
      </c>
      <c r="D957" t="inlineStr">
        <is>
          <t>PHLPost</t>
        </is>
      </c>
    </row>
    <row r="958" spans="1:4">
      <c r="A958" t="inlineStr">
        <is>
          <t>Masbate</t>
        </is>
      </c>
      <c r="B958" t="inlineStr">
        <is>
          <t>Baleno</t>
        </is>
      </c>
      <c r="C958" t="inlineStr">
        <is>
          <t>5413</t>
        </is>
      </c>
      <c r="D958" t="inlineStr">
        <is>
          <t>PHLPost</t>
        </is>
      </c>
    </row>
    <row r="959" spans="1:4">
      <c r="A959" t="inlineStr">
        <is>
          <t>Masbate</t>
        </is>
      </c>
      <c r="B959" t="inlineStr">
        <is>
          <t>Balud</t>
        </is>
      </c>
      <c r="C959" t="inlineStr">
        <is>
          <t>5412</t>
        </is>
      </c>
      <c r="D959" t="inlineStr">
        <is>
          <t>PHLPost</t>
        </is>
      </c>
    </row>
    <row r="960" spans="1:4">
      <c r="A960" t="inlineStr">
        <is>
          <t>Masbate</t>
        </is>
      </c>
      <c r="B960" t="inlineStr">
        <is>
          <t>Batuan</t>
        </is>
      </c>
      <c r="C960" t="inlineStr">
        <is>
          <t>5415</t>
        </is>
      </c>
      <c r="D960" t="inlineStr">
        <is>
          <t>PHLPost</t>
        </is>
      </c>
    </row>
    <row r="961" spans="1:4">
      <c r="A961" t="inlineStr">
        <is>
          <t>Masbate</t>
        </is>
      </c>
      <c r="B961" t="inlineStr">
        <is>
          <t>Cataingan</t>
        </is>
      </c>
      <c r="C961" t="inlineStr">
        <is>
          <t>5405</t>
        </is>
      </c>
      <c r="D961" t="inlineStr">
        <is>
          <t>PHLPost</t>
        </is>
      </c>
    </row>
    <row r="962" spans="1:4">
      <c r="A962" t="inlineStr">
        <is>
          <t>Masbate</t>
        </is>
      </c>
      <c r="B962" t="inlineStr">
        <is>
          <t>Cawayan</t>
        </is>
      </c>
      <c r="C962" t="inlineStr">
        <is>
          <t>5409</t>
        </is>
      </c>
      <c r="D962" t="inlineStr">
        <is>
          <t>PHLPost</t>
        </is>
      </c>
    </row>
    <row r="963" spans="1:4">
      <c r="A963" t="inlineStr">
        <is>
          <t>Masbate</t>
        </is>
      </c>
      <c r="B963" t="inlineStr">
        <is>
          <t>City of Masbate</t>
        </is>
      </c>
      <c r="C963" t="inlineStr">
        <is>
          <t>5400</t>
        </is>
      </c>
      <c r="D963" t="inlineStr">
        <is>
          <t>PHLPost</t>
        </is>
      </c>
    </row>
    <row r="964" spans="1:4">
      <c r="A964" t="inlineStr">
        <is>
          <t>Masbate</t>
        </is>
      </c>
      <c r="B964" t="inlineStr">
        <is>
          <t>Claveria</t>
        </is>
      </c>
      <c r="C964" t="inlineStr">
        <is>
          <t>5419</t>
        </is>
      </c>
      <c r="D964" t="inlineStr">
        <is>
          <t>PHLPost</t>
        </is>
      </c>
    </row>
    <row r="965" spans="1:4">
      <c r="A965" t="inlineStr">
        <is>
          <t>Masbate</t>
        </is>
      </c>
      <c r="B965" t="inlineStr">
        <is>
          <t>Dimasalang</t>
        </is>
      </c>
      <c r="C965" t="inlineStr">
        <is>
          <t>5403</t>
        </is>
      </c>
      <c r="D965" t="inlineStr">
        <is>
          <t>PHLPost</t>
        </is>
      </c>
    </row>
    <row r="966" spans="1:4">
      <c r="A966" t="inlineStr">
        <is>
          <t>Masbate</t>
        </is>
      </c>
      <c r="B966" t="inlineStr">
        <is>
          <t>Esperanza</t>
        </is>
      </c>
      <c r="C966" t="inlineStr">
        <is>
          <t>5407</t>
        </is>
      </c>
      <c r="D966" t="inlineStr">
        <is>
          <t>PHLPost</t>
        </is>
      </c>
    </row>
    <row r="967" spans="1:4">
      <c r="A967" t="inlineStr">
        <is>
          <t>Masbate</t>
        </is>
      </c>
      <c r="B967" t="inlineStr">
        <is>
          <t>Mandaon</t>
        </is>
      </c>
      <c r="C967" t="inlineStr">
        <is>
          <t>5411</t>
        </is>
      </c>
      <c r="D967" t="inlineStr">
        <is>
          <t>PHLPost</t>
        </is>
      </c>
    </row>
    <row r="968" spans="1:4">
      <c r="A968" t="inlineStr">
        <is>
          <t>Masbate</t>
        </is>
      </c>
      <c r="B968" t="inlineStr">
        <is>
          <t>Milagros</t>
        </is>
      </c>
      <c r="C968" t="inlineStr">
        <is>
          <t>5410</t>
        </is>
      </c>
      <c r="D968" t="inlineStr">
        <is>
          <t>PHLPost</t>
        </is>
      </c>
    </row>
    <row r="969" spans="1:4">
      <c r="A969" t="inlineStr">
        <is>
          <t>Masbate</t>
        </is>
      </c>
      <c r="B969" t="inlineStr">
        <is>
          <t>Mobo</t>
        </is>
      </c>
      <c r="C969" t="inlineStr">
        <is>
          <t>5401</t>
        </is>
      </c>
      <c r="D969" t="inlineStr">
        <is>
          <t>PHLPost</t>
        </is>
      </c>
    </row>
    <row r="970" spans="1:4">
      <c r="A970" t="inlineStr">
        <is>
          <t>Masbate</t>
        </is>
      </c>
      <c r="B970" t="inlineStr">
        <is>
          <t>Monreal</t>
        </is>
      </c>
      <c r="C970" t="inlineStr">
        <is>
          <t>5418</t>
        </is>
      </c>
      <c r="D970" t="inlineStr">
        <is>
          <t>PHLPost</t>
        </is>
      </c>
    </row>
    <row r="971" spans="1:4">
      <c r="A971" t="inlineStr">
        <is>
          <t>Masbate</t>
        </is>
      </c>
      <c r="B971" t="inlineStr">
        <is>
          <t>Palanas</t>
        </is>
      </c>
      <c r="C971" t="inlineStr">
        <is>
          <t>5404</t>
        </is>
      </c>
      <c r="D971" t="inlineStr">
        <is>
          <t>PHLPost</t>
        </is>
      </c>
    </row>
    <row r="972" spans="1:4">
      <c r="A972" t="inlineStr">
        <is>
          <t>Masbate</t>
        </is>
      </c>
      <c r="B972" t="inlineStr">
        <is>
          <t>Pio V. Corpus</t>
        </is>
      </c>
      <c r="D972" t="inlineStr">
        <is>
          <t>Needs verification</t>
        </is>
      </c>
    </row>
    <row r="973" spans="1:4">
      <c r="A973" t="inlineStr">
        <is>
          <t>Masbate</t>
        </is>
      </c>
      <c r="B973" t="inlineStr">
        <is>
          <t>Placer</t>
        </is>
      </c>
      <c r="C973" t="inlineStr">
        <is>
          <t>5408</t>
        </is>
      </c>
      <c r="D973" t="inlineStr">
        <is>
          <t>PHLPost</t>
        </is>
      </c>
    </row>
    <row r="974" spans="1:4">
      <c r="A974" t="inlineStr">
        <is>
          <t>Masbate</t>
        </is>
      </c>
      <c r="B974" t="inlineStr">
        <is>
          <t>San Fernando</t>
        </is>
      </c>
      <c r="C974" t="inlineStr">
        <is>
          <t>5416</t>
        </is>
      </c>
      <c r="D974" t="inlineStr">
        <is>
          <t>PHLPost</t>
        </is>
      </c>
    </row>
    <row r="975" spans="1:4">
      <c r="A975" t="inlineStr">
        <is>
          <t>Masbate</t>
        </is>
      </c>
      <c r="B975" t="inlineStr">
        <is>
          <t>San Jacinto</t>
        </is>
      </c>
      <c r="C975" t="inlineStr">
        <is>
          <t>5417</t>
        </is>
      </c>
      <c r="D975" t="inlineStr">
        <is>
          <t>PHLPost</t>
        </is>
      </c>
    </row>
    <row r="976" spans="1:4">
      <c r="A976" t="inlineStr">
        <is>
          <t>Masbate</t>
        </is>
      </c>
      <c r="B976" t="inlineStr">
        <is>
          <t>San Pascual</t>
        </is>
      </c>
      <c r="C976" t="inlineStr">
        <is>
          <t>5420</t>
        </is>
      </c>
      <c r="D976" t="inlineStr">
        <is>
          <t>PHLPost</t>
        </is>
      </c>
    </row>
    <row r="977" spans="1:4">
      <c r="A977" t="inlineStr">
        <is>
          <t>Masbate</t>
        </is>
      </c>
      <c r="B977" t="inlineStr">
        <is>
          <t>Uson</t>
        </is>
      </c>
      <c r="C977" t="inlineStr">
        <is>
          <t>5402</t>
        </is>
      </c>
      <c r="D977" t="inlineStr">
        <is>
          <t>PHLPost</t>
        </is>
      </c>
    </row>
    <row r="978" spans="1:4">
      <c r="A978" t="inlineStr">
        <is>
          <t>Metro Manila (NCR)</t>
        </is>
      </c>
      <c r="B978" t="inlineStr">
        <is>
          <t>City of Caloocan</t>
        </is>
      </c>
      <c r="D978" t="inlineStr">
        <is>
          <t>Needs verification</t>
        </is>
      </c>
    </row>
    <row r="979" spans="1:4">
      <c r="A979" t="inlineStr">
        <is>
          <t>Metro Manila (NCR)</t>
        </is>
      </c>
      <c r="B979" t="inlineStr">
        <is>
          <t>City of Las Piñas</t>
        </is>
      </c>
      <c r="D979" t="inlineStr">
        <is>
          <t>Needs verification</t>
        </is>
      </c>
    </row>
    <row r="980" spans="1:4">
      <c r="A980" t="inlineStr">
        <is>
          <t>Metro Manila (NCR)</t>
        </is>
      </c>
      <c r="B980" t="inlineStr">
        <is>
          <t>City of Makati</t>
        </is>
      </c>
      <c r="D980" t="inlineStr">
        <is>
          <t>Needs verification</t>
        </is>
      </c>
    </row>
    <row r="981" spans="1:4">
      <c r="A981" t="inlineStr">
        <is>
          <t>Metro Manila (NCR)</t>
        </is>
      </c>
      <c r="B981" t="inlineStr">
        <is>
          <t>City of Malabon</t>
        </is>
      </c>
      <c r="D981" t="inlineStr">
        <is>
          <t>Needs verification</t>
        </is>
      </c>
    </row>
    <row r="982" spans="1:4">
      <c r="A982" t="inlineStr">
        <is>
          <t>Metro Manila (NCR)</t>
        </is>
      </c>
      <c r="B982" t="inlineStr">
        <is>
          <t>City of Mandaluyong</t>
        </is>
      </c>
      <c r="D982" t="inlineStr">
        <is>
          <t>Needs verification</t>
        </is>
      </c>
    </row>
    <row r="983" spans="1:4">
      <c r="A983" t="inlineStr">
        <is>
          <t>Metro Manila (NCR)</t>
        </is>
      </c>
      <c r="B983" t="inlineStr">
        <is>
          <t>City of Manila</t>
        </is>
      </c>
      <c r="D983" t="inlineStr">
        <is>
          <t>Needs verification</t>
        </is>
      </c>
    </row>
    <row r="984" spans="1:4">
      <c r="A984" t="inlineStr">
        <is>
          <t>Metro Manila (NCR)</t>
        </is>
      </c>
      <c r="B984" t="inlineStr">
        <is>
          <t>City of Marikina</t>
        </is>
      </c>
      <c r="D984" t="inlineStr">
        <is>
          <t>Needs verification</t>
        </is>
      </c>
    </row>
    <row r="985" spans="1:4">
      <c r="A985" t="inlineStr">
        <is>
          <t>Metro Manila (NCR)</t>
        </is>
      </c>
      <c r="B985" t="inlineStr">
        <is>
          <t>City of Muntinlupa</t>
        </is>
      </c>
      <c r="D985" t="inlineStr">
        <is>
          <t>Needs verification</t>
        </is>
      </c>
    </row>
    <row r="986" spans="1:4">
      <c r="A986" t="inlineStr">
        <is>
          <t>Metro Manila (NCR)</t>
        </is>
      </c>
      <c r="B986" t="inlineStr">
        <is>
          <t>City of Navotas</t>
        </is>
      </c>
      <c r="D986" t="inlineStr">
        <is>
          <t>Needs verification</t>
        </is>
      </c>
    </row>
    <row r="987" spans="1:4">
      <c r="A987" t="inlineStr">
        <is>
          <t>Metro Manila (NCR)</t>
        </is>
      </c>
      <c r="B987" t="inlineStr">
        <is>
          <t>City of Parañaque</t>
        </is>
      </c>
      <c r="D987" t="inlineStr">
        <is>
          <t>Needs verification</t>
        </is>
      </c>
    </row>
    <row r="988" spans="1:4">
      <c r="A988" t="inlineStr">
        <is>
          <t>Metro Manila (NCR)</t>
        </is>
      </c>
      <c r="B988" t="inlineStr">
        <is>
          <t>City of Pasig</t>
        </is>
      </c>
      <c r="D988" t="inlineStr">
        <is>
          <t>Needs verification</t>
        </is>
      </c>
    </row>
    <row r="989" spans="1:4">
      <c r="A989" t="inlineStr">
        <is>
          <t>Metro Manila (NCR)</t>
        </is>
      </c>
      <c r="B989" t="inlineStr">
        <is>
          <t>City of San Juan</t>
        </is>
      </c>
      <c r="D989" t="inlineStr">
        <is>
          <t>Needs verification</t>
        </is>
      </c>
    </row>
    <row r="990" spans="1:4">
      <c r="A990" t="inlineStr">
        <is>
          <t>Metro Manila (NCR)</t>
        </is>
      </c>
      <c r="B990" t="inlineStr">
        <is>
          <t>City of Taguig</t>
        </is>
      </c>
      <c r="D990" t="inlineStr">
        <is>
          <t>Needs verification</t>
        </is>
      </c>
    </row>
    <row r="991" spans="1:4">
      <c r="A991" t="inlineStr">
        <is>
          <t>Metro Manila (NCR)</t>
        </is>
      </c>
      <c r="B991" t="inlineStr">
        <is>
          <t>City of Valenzuela</t>
        </is>
      </c>
      <c r="D991" t="inlineStr">
        <is>
          <t>Needs verification</t>
        </is>
      </c>
    </row>
    <row r="992" spans="1:4">
      <c r="A992" t="inlineStr">
        <is>
          <t>Metro Manila (NCR)</t>
        </is>
      </c>
      <c r="B992" t="inlineStr">
        <is>
          <t>Pasay City</t>
        </is>
      </c>
      <c r="D992" t="inlineStr">
        <is>
          <t>Needs verification</t>
        </is>
      </c>
    </row>
    <row r="993" spans="1:4">
      <c r="A993" t="inlineStr">
        <is>
          <t>Metro Manila (NCR)</t>
        </is>
      </c>
      <c r="B993" t="inlineStr">
        <is>
          <t>Pateros</t>
        </is>
      </c>
      <c r="D993" t="inlineStr">
        <is>
          <t>Needs verification</t>
        </is>
      </c>
    </row>
    <row r="994" spans="1:4">
      <c r="A994" t="inlineStr">
        <is>
          <t>Metro Manila (NCR)</t>
        </is>
      </c>
      <c r="B994" t="inlineStr">
        <is>
          <t>Quezon City</t>
        </is>
      </c>
      <c r="D994" t="inlineStr">
        <is>
          <t>Needs verification</t>
        </is>
      </c>
    </row>
    <row r="995" spans="1:4">
      <c r="A995" t="inlineStr">
        <is>
          <t>Misamis Occidental</t>
        </is>
      </c>
      <c r="B995" t="inlineStr">
        <is>
          <t>Aloran</t>
        </is>
      </c>
      <c r="C995" t="inlineStr">
        <is>
          <t>7206</t>
        </is>
      </c>
      <c r="D995" t="inlineStr">
        <is>
          <t>PHLPost</t>
        </is>
      </c>
    </row>
    <row r="996" spans="1:4">
      <c r="A996" t="inlineStr">
        <is>
          <t>Misamis Occidental</t>
        </is>
      </c>
      <c r="B996" t="inlineStr">
        <is>
          <t>Baliangao</t>
        </is>
      </c>
      <c r="C996" t="inlineStr">
        <is>
          <t>7211</t>
        </is>
      </c>
      <c r="D996" t="inlineStr">
        <is>
          <t>PHLPost</t>
        </is>
      </c>
    </row>
    <row r="997" spans="1:4">
      <c r="A997" t="inlineStr">
        <is>
          <t>Misamis Occidental</t>
        </is>
      </c>
      <c r="B997" t="inlineStr">
        <is>
          <t>Bonifacio</t>
        </is>
      </c>
      <c r="C997" t="inlineStr">
        <is>
          <t>7215</t>
        </is>
      </c>
      <c r="D997" t="inlineStr">
        <is>
          <t>PHLPost</t>
        </is>
      </c>
    </row>
    <row r="998" spans="1:4">
      <c r="A998" t="inlineStr">
        <is>
          <t>Misamis Occidental</t>
        </is>
      </c>
      <c r="B998" t="inlineStr">
        <is>
          <t>Calamba</t>
        </is>
      </c>
      <c r="C998" t="inlineStr">
        <is>
          <t>7210</t>
        </is>
      </c>
      <c r="D998" t="inlineStr">
        <is>
          <t>PHLPost</t>
        </is>
      </c>
    </row>
    <row r="999" spans="1:4">
      <c r="A999" t="inlineStr">
        <is>
          <t>Misamis Occidental</t>
        </is>
      </c>
      <c r="B999" t="inlineStr">
        <is>
          <t>City of Oroquieta</t>
        </is>
      </c>
      <c r="C999" t="inlineStr">
        <is>
          <t>7207</t>
        </is>
      </c>
      <c r="D999" t="inlineStr">
        <is>
          <t>PHLPost</t>
        </is>
      </c>
    </row>
    <row r="1000" spans="1:4">
      <c r="A1000" t="inlineStr">
        <is>
          <t>Misamis Occidental</t>
        </is>
      </c>
      <c r="B1000" t="inlineStr">
        <is>
          <t>City of Ozamiz</t>
        </is>
      </c>
      <c r="C1000" t="inlineStr">
        <is>
          <t>7200</t>
        </is>
      </c>
      <c r="D1000" t="inlineStr">
        <is>
          <t>BarangayDirectory</t>
        </is>
      </c>
    </row>
    <row r="1001" spans="1:4">
      <c r="A1001" t="inlineStr">
        <is>
          <t>Misamis Occidental</t>
        </is>
      </c>
      <c r="B1001" t="inlineStr">
        <is>
          <t>City of Tangub</t>
        </is>
      </c>
      <c r="C1001" t="inlineStr">
        <is>
          <t>7214</t>
        </is>
      </c>
      <c r="D1001" t="inlineStr">
        <is>
          <t>PHLPost</t>
        </is>
      </c>
    </row>
    <row r="1002" spans="1:4">
      <c r="A1002" t="inlineStr">
        <is>
          <t>Misamis Occidental</t>
        </is>
      </c>
      <c r="B1002" t="inlineStr">
        <is>
          <t>Clarin</t>
        </is>
      </c>
      <c r="C1002" t="inlineStr">
        <is>
          <t>7201</t>
        </is>
      </c>
      <c r="D1002" t="inlineStr">
        <is>
          <t>PHLPost</t>
        </is>
      </c>
    </row>
    <row r="1003" spans="1:4">
      <c r="A1003" t="inlineStr">
        <is>
          <t>Misamis Occidental</t>
        </is>
      </c>
      <c r="B1003" t="inlineStr">
        <is>
          <t>Concepcion</t>
        </is>
      </c>
      <c r="C1003" t="inlineStr">
        <is>
          <t>7213</t>
        </is>
      </c>
      <c r="D1003" t="inlineStr">
        <is>
          <t>PHLPost</t>
        </is>
      </c>
    </row>
    <row r="1004" spans="1:4">
      <c r="A1004" t="inlineStr">
        <is>
          <t>Misamis Occidental</t>
        </is>
      </c>
      <c r="B1004" t="inlineStr">
        <is>
          <t>Don Victoriano</t>
        </is>
      </c>
      <c r="D1004" t="inlineStr">
        <is>
          <t>Needs verification</t>
        </is>
      </c>
    </row>
    <row r="1005" spans="1:4">
      <c r="A1005" t="inlineStr">
        <is>
          <t>Misamis Occidental</t>
        </is>
      </c>
      <c r="B1005" t="inlineStr">
        <is>
          <t>Jimenez</t>
        </is>
      </c>
      <c r="C1005" t="inlineStr">
        <is>
          <t>7204</t>
        </is>
      </c>
      <c r="D1005" t="inlineStr">
        <is>
          <t>PHLPost</t>
        </is>
      </c>
    </row>
    <row r="1006" spans="1:4">
      <c r="A1006" t="inlineStr">
        <is>
          <t>Misamis Occidental</t>
        </is>
      </c>
      <c r="B1006" t="inlineStr">
        <is>
          <t>Lopez Jaena</t>
        </is>
      </c>
      <c r="C1006" t="inlineStr">
        <is>
          <t>7208</t>
        </is>
      </c>
      <c r="D1006" t="inlineStr">
        <is>
          <t>PHLPost</t>
        </is>
      </c>
    </row>
    <row r="1007" spans="1:4">
      <c r="A1007" t="inlineStr">
        <is>
          <t>Misamis Occidental</t>
        </is>
      </c>
      <c r="B1007" t="inlineStr">
        <is>
          <t>Panaon</t>
        </is>
      </c>
      <c r="C1007" t="inlineStr">
        <is>
          <t>7205</t>
        </is>
      </c>
      <c r="D1007" t="inlineStr">
        <is>
          <t>PHLPost</t>
        </is>
      </c>
    </row>
    <row r="1008" spans="1:4">
      <c r="A1008" t="inlineStr">
        <is>
          <t>Misamis Occidental</t>
        </is>
      </c>
      <c r="B1008" t="inlineStr">
        <is>
          <t>Plaridel</t>
        </is>
      </c>
      <c r="C1008" t="inlineStr">
        <is>
          <t>7209</t>
        </is>
      </c>
      <c r="D1008" t="inlineStr">
        <is>
          <t>PHLPost</t>
        </is>
      </c>
    </row>
    <row r="1009" spans="1:4">
      <c r="A1009" t="inlineStr">
        <is>
          <t>Misamis Occidental</t>
        </is>
      </c>
      <c r="B1009" t="inlineStr">
        <is>
          <t>Sapang Dalaga</t>
        </is>
      </c>
      <c r="C1009" t="inlineStr">
        <is>
          <t>7212</t>
        </is>
      </c>
      <c r="D1009" t="inlineStr">
        <is>
          <t>BarangayDirectory</t>
        </is>
      </c>
    </row>
    <row r="1010" spans="1:4">
      <c r="A1010" t="inlineStr">
        <is>
          <t>Misamis Occidental</t>
        </is>
      </c>
      <c r="B1010" t="inlineStr">
        <is>
          <t>Sinacaban</t>
        </is>
      </c>
      <c r="C1010" t="inlineStr">
        <is>
          <t>7203</t>
        </is>
      </c>
      <c r="D1010" t="inlineStr">
        <is>
          <t>PHLPost</t>
        </is>
      </c>
    </row>
    <row r="1011" spans="1:4">
      <c r="A1011" t="inlineStr">
        <is>
          <t>Misamis Occidental</t>
        </is>
      </c>
      <c r="B1011" t="inlineStr">
        <is>
          <t>Tudela</t>
        </is>
      </c>
      <c r="C1011" t="inlineStr">
        <is>
          <t>7202</t>
        </is>
      </c>
      <c r="D1011" t="inlineStr">
        <is>
          <t>PHLPost</t>
        </is>
      </c>
    </row>
    <row r="1012" spans="1:4">
      <c r="A1012" t="inlineStr">
        <is>
          <t>Misamis Oriental</t>
        </is>
      </c>
      <c r="B1012" t="inlineStr">
        <is>
          <t>Alubijid</t>
        </is>
      </c>
      <c r="C1012" t="inlineStr">
        <is>
          <t>9018</t>
        </is>
      </c>
      <c r="D1012" t="inlineStr">
        <is>
          <t>PHLPost</t>
        </is>
      </c>
    </row>
    <row r="1013" spans="1:4">
      <c r="A1013" t="inlineStr">
        <is>
          <t>Misamis Oriental</t>
        </is>
      </c>
      <c r="B1013" t="inlineStr">
        <is>
          <t>Balingasag</t>
        </is>
      </c>
      <c r="C1013" t="inlineStr">
        <is>
          <t>9005</t>
        </is>
      </c>
      <c r="D1013" t="inlineStr">
        <is>
          <t>PHLPost</t>
        </is>
      </c>
    </row>
    <row r="1014" spans="1:4">
      <c r="A1014" t="inlineStr">
        <is>
          <t>Misamis Oriental</t>
        </is>
      </c>
      <c r="B1014" t="inlineStr">
        <is>
          <t>Balingoan</t>
        </is>
      </c>
      <c r="C1014" t="inlineStr">
        <is>
          <t>9011</t>
        </is>
      </c>
      <c r="D1014" t="inlineStr">
        <is>
          <t>PHLPost</t>
        </is>
      </c>
    </row>
    <row r="1015" spans="1:4">
      <c r="A1015" t="inlineStr">
        <is>
          <t>Misamis Oriental</t>
        </is>
      </c>
      <c r="B1015" t="inlineStr">
        <is>
          <t>Binuangan</t>
        </is>
      </c>
      <c r="C1015" t="inlineStr">
        <is>
          <t>9008</t>
        </is>
      </c>
      <c r="D1015" t="inlineStr">
        <is>
          <t>PHLPost</t>
        </is>
      </c>
    </row>
    <row r="1016" spans="1:4">
      <c r="A1016" t="inlineStr">
        <is>
          <t>Misamis Oriental</t>
        </is>
      </c>
      <c r="B1016" t="inlineStr">
        <is>
          <t>City of El Salvador</t>
        </is>
      </c>
      <c r="C1016" t="inlineStr">
        <is>
          <t>9017</t>
        </is>
      </c>
      <c r="D1016" t="inlineStr">
        <is>
          <t>PHLPost</t>
        </is>
      </c>
    </row>
    <row r="1017" spans="1:4">
      <c r="A1017" t="inlineStr">
        <is>
          <t>Misamis Oriental</t>
        </is>
      </c>
      <c r="B1017" t="inlineStr">
        <is>
          <t>City of Gingoog</t>
        </is>
      </c>
      <c r="C1017" t="inlineStr">
        <is>
          <t>9014</t>
        </is>
      </c>
      <c r="D1017" t="inlineStr">
        <is>
          <t>PHLPost</t>
        </is>
      </c>
    </row>
    <row r="1018" spans="1:4">
      <c r="A1018" t="inlineStr">
        <is>
          <t>Misamis Oriental</t>
        </is>
      </c>
      <c r="B1018" t="inlineStr">
        <is>
          <t>Claveria</t>
        </is>
      </c>
      <c r="C1018" t="inlineStr">
        <is>
          <t>9004</t>
        </is>
      </c>
      <c r="D1018" t="inlineStr">
        <is>
          <t>PHLPost</t>
        </is>
      </c>
    </row>
    <row r="1019" spans="1:4">
      <c r="A1019" t="inlineStr">
        <is>
          <t>Misamis Oriental</t>
        </is>
      </c>
      <c r="B1019" t="inlineStr">
        <is>
          <t>Gitagum</t>
        </is>
      </c>
      <c r="C1019" t="inlineStr">
        <is>
          <t>9020</t>
        </is>
      </c>
      <c r="D1019" t="inlineStr">
        <is>
          <t>PHLPost</t>
        </is>
      </c>
    </row>
    <row r="1020" spans="1:4">
      <c r="A1020" t="inlineStr">
        <is>
          <t>Misamis Oriental</t>
        </is>
      </c>
      <c r="B1020" t="inlineStr">
        <is>
          <t>Initao</t>
        </is>
      </c>
      <c r="C1020" t="inlineStr">
        <is>
          <t>9022</t>
        </is>
      </c>
      <c r="D1020" t="inlineStr">
        <is>
          <t>PHLPost</t>
        </is>
      </c>
    </row>
    <row r="1021" spans="1:4">
      <c r="A1021" t="inlineStr">
        <is>
          <t>Misamis Oriental</t>
        </is>
      </c>
      <c r="B1021" t="inlineStr">
        <is>
          <t>Jasaan</t>
        </is>
      </c>
      <c r="C1021" t="inlineStr">
        <is>
          <t>9003</t>
        </is>
      </c>
      <c r="D1021" t="inlineStr">
        <is>
          <t>PHLPost</t>
        </is>
      </c>
    </row>
    <row r="1022" spans="1:4">
      <c r="A1022" t="inlineStr">
        <is>
          <t>Misamis Oriental</t>
        </is>
      </c>
      <c r="B1022" t="inlineStr">
        <is>
          <t>Kinoguitan</t>
        </is>
      </c>
      <c r="C1022" t="inlineStr">
        <is>
          <t>9010</t>
        </is>
      </c>
      <c r="D1022" t="inlineStr">
        <is>
          <t>PHLPost</t>
        </is>
      </c>
    </row>
    <row r="1023" spans="1:4">
      <c r="A1023" t="inlineStr">
        <is>
          <t>Misamis Oriental</t>
        </is>
      </c>
      <c r="B1023" t="inlineStr">
        <is>
          <t>Lagonglong</t>
        </is>
      </c>
      <c r="C1023" t="inlineStr">
        <is>
          <t>9006</t>
        </is>
      </c>
      <c r="D1023" t="inlineStr">
        <is>
          <t>PHLPost</t>
        </is>
      </c>
    </row>
    <row r="1024" spans="1:4">
      <c r="A1024" t="inlineStr">
        <is>
          <t>Misamis Oriental</t>
        </is>
      </c>
      <c r="B1024" t="inlineStr">
        <is>
          <t>Laguindingan</t>
        </is>
      </c>
      <c r="C1024" t="inlineStr">
        <is>
          <t>9019</t>
        </is>
      </c>
      <c r="D1024" t="inlineStr">
        <is>
          <t>PHLPost</t>
        </is>
      </c>
    </row>
    <row r="1025" spans="1:4">
      <c r="A1025" t="inlineStr">
        <is>
          <t>Misamis Oriental</t>
        </is>
      </c>
      <c r="B1025" t="inlineStr">
        <is>
          <t>Libertad</t>
        </is>
      </c>
      <c r="C1025" t="inlineStr">
        <is>
          <t>9021</t>
        </is>
      </c>
      <c r="D1025" t="inlineStr">
        <is>
          <t>PHLPost</t>
        </is>
      </c>
    </row>
    <row r="1026" spans="1:4">
      <c r="A1026" t="inlineStr">
        <is>
          <t>Misamis Oriental</t>
        </is>
      </c>
      <c r="B1026" t="inlineStr">
        <is>
          <t>Lugait</t>
        </is>
      </c>
      <c r="C1026" t="inlineStr">
        <is>
          <t>9025</t>
        </is>
      </c>
      <c r="D1026" t="inlineStr">
        <is>
          <t>PHLPost</t>
        </is>
      </c>
    </row>
    <row r="1027" spans="1:4">
      <c r="A1027" t="inlineStr">
        <is>
          <t>Misamis Oriental</t>
        </is>
      </c>
      <c r="B1027" t="inlineStr">
        <is>
          <t>Magsaysay</t>
        </is>
      </c>
      <c r="C1027" t="inlineStr">
        <is>
          <t>9015</t>
        </is>
      </c>
      <c r="D1027" t="inlineStr">
        <is>
          <t>PHLPost</t>
        </is>
      </c>
    </row>
    <row r="1028" spans="1:4">
      <c r="A1028" t="inlineStr">
        <is>
          <t>Misamis Oriental</t>
        </is>
      </c>
      <c r="B1028" t="inlineStr">
        <is>
          <t>Manticao</t>
        </is>
      </c>
      <c r="C1028" t="inlineStr">
        <is>
          <t>9024</t>
        </is>
      </c>
      <c r="D1028" t="inlineStr">
        <is>
          <t>PHLPost</t>
        </is>
      </c>
    </row>
    <row r="1029" spans="1:4">
      <c r="A1029" t="inlineStr">
        <is>
          <t>Misamis Oriental</t>
        </is>
      </c>
      <c r="B1029" t="inlineStr">
        <is>
          <t>Medina</t>
        </is>
      </c>
      <c r="C1029" t="inlineStr">
        <is>
          <t>9013</t>
        </is>
      </c>
      <c r="D1029" t="inlineStr">
        <is>
          <t>PHLPost</t>
        </is>
      </c>
    </row>
    <row r="1030" spans="1:4">
      <c r="A1030" t="inlineStr">
        <is>
          <t>Misamis Oriental</t>
        </is>
      </c>
      <c r="B1030" t="inlineStr">
        <is>
          <t>Naawan</t>
        </is>
      </c>
      <c r="C1030" t="inlineStr">
        <is>
          <t>9023</t>
        </is>
      </c>
      <c r="D1030" t="inlineStr">
        <is>
          <t>PHLPost</t>
        </is>
      </c>
    </row>
    <row r="1031" spans="1:4">
      <c r="A1031" t="inlineStr">
        <is>
          <t>Misamis Oriental</t>
        </is>
      </c>
      <c r="B1031" t="inlineStr">
        <is>
          <t>Opol</t>
        </is>
      </c>
      <c r="C1031" t="inlineStr">
        <is>
          <t>9016</t>
        </is>
      </c>
      <c r="D1031" t="inlineStr">
        <is>
          <t>PHLPost</t>
        </is>
      </c>
    </row>
    <row r="1032" spans="1:4">
      <c r="A1032" t="inlineStr">
        <is>
          <t>Misamis Oriental</t>
        </is>
      </c>
      <c r="B1032" t="inlineStr">
        <is>
          <t>Salay</t>
        </is>
      </c>
      <c r="C1032" t="inlineStr">
        <is>
          <t>9007</t>
        </is>
      </c>
      <c r="D1032" t="inlineStr">
        <is>
          <t>PHLPost</t>
        </is>
      </c>
    </row>
    <row r="1033" spans="1:4">
      <c r="A1033" t="inlineStr">
        <is>
          <t>Misamis Oriental</t>
        </is>
      </c>
      <c r="B1033" t="inlineStr">
        <is>
          <t>Sugbongcogon</t>
        </is>
      </c>
      <c r="C1033" t="inlineStr">
        <is>
          <t>9009</t>
        </is>
      </c>
      <c r="D1033" t="inlineStr">
        <is>
          <t>PHLPost</t>
        </is>
      </c>
    </row>
    <row r="1034" spans="1:4">
      <c r="A1034" t="inlineStr">
        <is>
          <t>Misamis Oriental</t>
        </is>
      </c>
      <c r="B1034" t="inlineStr">
        <is>
          <t>Tagoloan</t>
        </is>
      </c>
      <c r="C1034" t="inlineStr">
        <is>
          <t>9001</t>
        </is>
      </c>
      <c r="D1034" t="inlineStr">
        <is>
          <t>BarangayDirectory</t>
        </is>
      </c>
    </row>
    <row r="1035" spans="1:4">
      <c r="A1035" t="inlineStr">
        <is>
          <t>Misamis Oriental</t>
        </is>
      </c>
      <c r="B1035" t="inlineStr">
        <is>
          <t>Talisayan</t>
        </is>
      </c>
      <c r="C1035" t="inlineStr">
        <is>
          <t>9012</t>
        </is>
      </c>
      <c r="D1035" t="inlineStr">
        <is>
          <t>PHLPost</t>
        </is>
      </c>
    </row>
    <row r="1036" spans="1:4">
      <c r="A1036" t="inlineStr">
        <is>
          <t>Misamis Oriental</t>
        </is>
      </c>
      <c r="B1036" t="inlineStr">
        <is>
          <t>Villanueva</t>
        </is>
      </c>
      <c r="C1036" t="inlineStr">
        <is>
          <t>9002</t>
        </is>
      </c>
      <c r="D1036" t="inlineStr">
        <is>
          <t>PHLPost</t>
        </is>
      </c>
    </row>
    <row r="1037" spans="1:4">
      <c r="A1037" t="inlineStr">
        <is>
          <t>Mountain Province</t>
        </is>
      </c>
      <c r="B1037" t="inlineStr">
        <is>
          <t>Barlig</t>
        </is>
      </c>
      <c r="C1037" t="inlineStr">
        <is>
          <t>2623</t>
        </is>
      </c>
      <c r="D1037" t="inlineStr">
        <is>
          <t>BarangayDirectory</t>
        </is>
      </c>
    </row>
    <row r="1038" spans="1:4">
      <c r="A1038" t="inlineStr">
        <is>
          <t>Mountain Province</t>
        </is>
      </c>
      <c r="B1038" t="inlineStr">
        <is>
          <t>Bauko</t>
        </is>
      </c>
      <c r="C1038" t="inlineStr">
        <is>
          <t>2621</t>
        </is>
      </c>
      <c r="D1038" t="inlineStr">
        <is>
          <t>BarangayDirectory</t>
        </is>
      </c>
    </row>
    <row r="1039" spans="1:4">
      <c r="A1039" t="inlineStr">
        <is>
          <t>Mountain Province</t>
        </is>
      </c>
      <c r="B1039" t="inlineStr">
        <is>
          <t>Besao</t>
        </is>
      </c>
      <c r="C1039" t="inlineStr">
        <is>
          <t>2618</t>
        </is>
      </c>
      <c r="D1039" t="inlineStr">
        <is>
          <t>BarangayDirectory</t>
        </is>
      </c>
    </row>
    <row r="1040" spans="1:4">
      <c r="A1040" t="inlineStr">
        <is>
          <t>Mountain Province</t>
        </is>
      </c>
      <c r="B1040" t="inlineStr">
        <is>
          <t>Bontoc</t>
        </is>
      </c>
      <c r="C1040" t="inlineStr">
        <is>
          <t>2616</t>
        </is>
      </c>
      <c r="D1040" t="inlineStr">
        <is>
          <t>BarangayDirectory</t>
        </is>
      </c>
    </row>
    <row r="1041" spans="1:4">
      <c r="A1041" t="inlineStr">
        <is>
          <t>Mountain Province</t>
        </is>
      </c>
      <c r="B1041" t="inlineStr">
        <is>
          <t>Natonin</t>
        </is>
      </c>
      <c r="C1041" t="inlineStr">
        <is>
          <t>2624</t>
        </is>
      </c>
      <c r="D1041" t="inlineStr">
        <is>
          <t>BarangayDirectory</t>
        </is>
      </c>
    </row>
    <row r="1042" spans="1:4">
      <c r="A1042" t="inlineStr">
        <is>
          <t>Mountain Province</t>
        </is>
      </c>
      <c r="B1042" t="inlineStr">
        <is>
          <t>Paracelis</t>
        </is>
      </c>
      <c r="C1042" t="inlineStr">
        <is>
          <t>2625</t>
        </is>
      </c>
      <c r="D1042" t="inlineStr">
        <is>
          <t>BarangayDirectory</t>
        </is>
      </c>
    </row>
    <row r="1043" spans="1:4">
      <c r="A1043" t="inlineStr">
        <is>
          <t>Mountain Province</t>
        </is>
      </c>
      <c r="B1043" t="inlineStr">
        <is>
          <t>Sabangan</t>
        </is>
      </c>
      <c r="C1043" t="inlineStr">
        <is>
          <t>2622</t>
        </is>
      </c>
      <c r="D1043" t="inlineStr">
        <is>
          <t>BarangayDirectory</t>
        </is>
      </c>
    </row>
    <row r="1044" spans="1:4">
      <c r="A1044" t="inlineStr">
        <is>
          <t>Mountain Province</t>
        </is>
      </c>
      <c r="B1044" t="inlineStr">
        <is>
          <t>Sadanga</t>
        </is>
      </c>
      <c r="C1044" t="inlineStr">
        <is>
          <t>2617</t>
        </is>
      </c>
      <c r="D1044" t="inlineStr">
        <is>
          <t>BarangayDirectory</t>
        </is>
      </c>
    </row>
    <row r="1045" spans="1:4">
      <c r="A1045" t="inlineStr">
        <is>
          <t>Mountain Province</t>
        </is>
      </c>
      <c r="B1045" t="inlineStr">
        <is>
          <t>Sagada</t>
        </is>
      </c>
      <c r="C1045" t="inlineStr">
        <is>
          <t>2619</t>
        </is>
      </c>
      <c r="D1045" t="inlineStr">
        <is>
          <t>BarangayDirectory</t>
        </is>
      </c>
    </row>
    <row r="1046" spans="1:4">
      <c r="A1046" t="inlineStr">
        <is>
          <t>Mountain Province</t>
        </is>
      </c>
      <c r="B1046" t="inlineStr">
        <is>
          <t>Tadian</t>
        </is>
      </c>
      <c r="C1046" t="inlineStr">
        <is>
          <t>2620</t>
        </is>
      </c>
      <c r="D1046" t="inlineStr">
        <is>
          <t>BarangayDirectory</t>
        </is>
      </c>
    </row>
    <row r="1047" spans="1:4">
      <c r="A1047" t="inlineStr">
        <is>
          <t>Negros Occidental</t>
        </is>
      </c>
      <c r="B1047" t="inlineStr">
        <is>
          <t>Binalbagan</t>
        </is>
      </c>
      <c r="C1047" t="inlineStr">
        <is>
          <t>6107</t>
        </is>
      </c>
      <c r="D1047" t="inlineStr">
        <is>
          <t>BarangayDirectory</t>
        </is>
      </c>
    </row>
    <row r="1048" spans="1:4">
      <c r="A1048" t="inlineStr">
        <is>
          <t>Negros Occidental</t>
        </is>
      </c>
      <c r="B1048" t="inlineStr">
        <is>
          <t>Calatrava</t>
        </is>
      </c>
      <c r="C1048" t="inlineStr">
        <is>
          <t>6126</t>
        </is>
      </c>
      <c r="D1048" t="inlineStr">
        <is>
          <t>BarangayDirectory</t>
        </is>
      </c>
    </row>
    <row r="1049" spans="1:4">
      <c r="A1049" t="inlineStr">
        <is>
          <t>Negros Occidental</t>
        </is>
      </c>
      <c r="B1049" t="inlineStr">
        <is>
          <t>Candoni</t>
        </is>
      </c>
      <c r="C1049" t="inlineStr">
        <is>
          <t>6110</t>
        </is>
      </c>
      <c r="D1049" t="inlineStr">
        <is>
          <t>BarangayDirectory</t>
        </is>
      </c>
    </row>
    <row r="1050" spans="1:4">
      <c r="A1050" t="inlineStr">
        <is>
          <t>Negros Occidental</t>
        </is>
      </c>
      <c r="B1050" t="inlineStr">
        <is>
          <t>Cauayan</t>
        </is>
      </c>
      <c r="C1050" t="inlineStr">
        <is>
          <t>6112</t>
        </is>
      </c>
      <c r="D1050" t="inlineStr">
        <is>
          <t>BarangayDirectory</t>
        </is>
      </c>
    </row>
    <row r="1051" spans="1:4">
      <c r="A1051" t="inlineStr">
        <is>
          <t>Negros Occidental</t>
        </is>
      </c>
      <c r="B1051" t="inlineStr">
        <is>
          <t>City of Bago</t>
        </is>
      </c>
      <c r="C1051" t="inlineStr">
        <is>
          <t>6101</t>
        </is>
      </c>
      <c r="D1051" t="inlineStr">
        <is>
          <t>BarangayDirectory</t>
        </is>
      </c>
    </row>
    <row r="1052" spans="1:4">
      <c r="A1052" t="inlineStr">
        <is>
          <t>Negros Occidental</t>
        </is>
      </c>
      <c r="B1052" t="inlineStr">
        <is>
          <t>City of Cadiz</t>
        </is>
      </c>
      <c r="C1052" t="inlineStr">
        <is>
          <t>6121</t>
        </is>
      </c>
      <c r="D1052" t="inlineStr">
        <is>
          <t>BarangayDirectory</t>
        </is>
      </c>
    </row>
    <row r="1053" spans="1:4">
      <c r="A1053" t="inlineStr">
        <is>
          <t>Negros Occidental</t>
        </is>
      </c>
      <c r="B1053" t="inlineStr">
        <is>
          <t>City of Escalante</t>
        </is>
      </c>
      <c r="C1053" t="inlineStr">
        <is>
          <t>6124</t>
        </is>
      </c>
      <c r="D1053" t="inlineStr">
        <is>
          <t>BarangayDirectory</t>
        </is>
      </c>
    </row>
    <row r="1054" spans="1:4">
      <c r="A1054" t="inlineStr">
        <is>
          <t>Negros Occidental</t>
        </is>
      </c>
      <c r="B1054" t="inlineStr">
        <is>
          <t>City of Himamaylan</t>
        </is>
      </c>
      <c r="C1054" t="inlineStr">
        <is>
          <t>6108</t>
        </is>
      </c>
      <c r="D1054" t="inlineStr">
        <is>
          <t>BarangayDirectory</t>
        </is>
      </c>
    </row>
    <row r="1055" spans="1:4">
      <c r="A1055" t="inlineStr">
        <is>
          <t>Negros Occidental</t>
        </is>
      </c>
      <c r="B1055" t="inlineStr">
        <is>
          <t>City of Kabankalan</t>
        </is>
      </c>
      <c r="C1055" t="inlineStr">
        <is>
          <t>6111</t>
        </is>
      </c>
      <c r="D1055" t="inlineStr">
        <is>
          <t>BarangayDirectory</t>
        </is>
      </c>
    </row>
    <row r="1056" spans="1:4">
      <c r="A1056" t="inlineStr">
        <is>
          <t>Negros Occidental</t>
        </is>
      </c>
      <c r="B1056" t="inlineStr">
        <is>
          <t>City of La Carlota</t>
        </is>
      </c>
      <c r="C1056" t="inlineStr">
        <is>
          <t>6130</t>
        </is>
      </c>
      <c r="D1056" t="inlineStr">
        <is>
          <t>BarangayDirectory</t>
        </is>
      </c>
    </row>
    <row r="1057" spans="1:4">
      <c r="A1057" t="inlineStr">
        <is>
          <t>Negros Occidental</t>
        </is>
      </c>
      <c r="B1057" t="inlineStr">
        <is>
          <t>City of Sagay</t>
        </is>
      </c>
      <c r="C1057" t="inlineStr">
        <is>
          <t>6122</t>
        </is>
      </c>
      <c r="D1057" t="inlineStr">
        <is>
          <t>BarangayDirectory</t>
        </is>
      </c>
    </row>
    <row r="1058" spans="1:4">
      <c r="A1058" t="inlineStr">
        <is>
          <t>Negros Occidental</t>
        </is>
      </c>
      <c r="B1058" t="inlineStr">
        <is>
          <t>City of San Carlos</t>
        </is>
      </c>
      <c r="C1058" t="inlineStr">
        <is>
          <t>6127</t>
        </is>
      </c>
      <c r="D1058" t="inlineStr">
        <is>
          <t>BarangayDirectory</t>
        </is>
      </c>
    </row>
    <row r="1059" spans="1:4">
      <c r="A1059" t="inlineStr">
        <is>
          <t>Negros Occidental</t>
        </is>
      </c>
      <c r="B1059" t="inlineStr">
        <is>
          <t>City of Silay</t>
        </is>
      </c>
      <c r="C1059" t="inlineStr">
        <is>
          <t>6116</t>
        </is>
      </c>
      <c r="D1059" t="inlineStr">
        <is>
          <t>BarangayDirectory</t>
        </is>
      </c>
    </row>
    <row r="1060" spans="1:4">
      <c r="A1060" t="inlineStr">
        <is>
          <t>Negros Occidental</t>
        </is>
      </c>
      <c r="B1060" t="inlineStr">
        <is>
          <t>City of Sipalay</t>
        </is>
      </c>
      <c r="C1060" t="inlineStr">
        <is>
          <t>6113</t>
        </is>
      </c>
      <c r="D1060" t="inlineStr">
        <is>
          <t>BarangayDirectory</t>
        </is>
      </c>
    </row>
    <row r="1061" spans="1:4">
      <c r="A1061" t="inlineStr">
        <is>
          <t>Negros Occidental</t>
        </is>
      </c>
      <c r="B1061" t="inlineStr">
        <is>
          <t>City of Talisay</t>
        </is>
      </c>
      <c r="C1061" t="inlineStr">
        <is>
          <t>6115</t>
        </is>
      </c>
      <c r="D1061" t="inlineStr">
        <is>
          <t>BarangayDirectory</t>
        </is>
      </c>
    </row>
    <row r="1062" spans="1:4">
      <c r="A1062" t="inlineStr">
        <is>
          <t>Negros Occidental</t>
        </is>
      </c>
      <c r="B1062" t="inlineStr">
        <is>
          <t>City of Victorias</t>
        </is>
      </c>
      <c r="C1062" t="inlineStr">
        <is>
          <t>6119</t>
        </is>
      </c>
      <c r="D1062" t="inlineStr">
        <is>
          <t>BarangayDirectory</t>
        </is>
      </c>
    </row>
    <row r="1063" spans="1:4">
      <c r="A1063" t="inlineStr">
        <is>
          <t>Negros Occidental</t>
        </is>
      </c>
      <c r="B1063" t="inlineStr">
        <is>
          <t>Enrique B. Magalona</t>
        </is>
      </c>
      <c r="C1063" t="inlineStr">
        <is>
          <t>6118</t>
        </is>
      </c>
      <c r="D1063" t="inlineStr">
        <is>
          <t>BarangayDirectory</t>
        </is>
      </c>
    </row>
    <row r="1064" spans="1:4">
      <c r="A1064" t="inlineStr">
        <is>
          <t>Negros Occidental</t>
        </is>
      </c>
      <c r="B1064" t="inlineStr">
        <is>
          <t>Hinigaran</t>
        </is>
      </c>
      <c r="C1064" t="inlineStr">
        <is>
          <t>6106</t>
        </is>
      </c>
      <c r="D1064" t="inlineStr">
        <is>
          <t>BarangayDirectory</t>
        </is>
      </c>
    </row>
    <row r="1065" spans="1:4">
      <c r="A1065" t="inlineStr">
        <is>
          <t>Negros Occidental</t>
        </is>
      </c>
      <c r="B1065" t="inlineStr">
        <is>
          <t>Hinoba-an</t>
        </is>
      </c>
      <c r="C1065" t="inlineStr">
        <is>
          <t>6114</t>
        </is>
      </c>
      <c r="D1065" t="inlineStr">
        <is>
          <t>BarangayDirectory</t>
        </is>
      </c>
    </row>
    <row r="1066" spans="1:4">
      <c r="A1066" t="inlineStr">
        <is>
          <t>Negros Occidental</t>
        </is>
      </c>
      <c r="B1066" t="inlineStr">
        <is>
          <t>Ilog</t>
        </is>
      </c>
      <c r="C1066" t="inlineStr">
        <is>
          <t>6109</t>
        </is>
      </c>
      <c r="D1066" t="inlineStr">
        <is>
          <t>BarangayDirectory</t>
        </is>
      </c>
    </row>
    <row r="1067" spans="1:4">
      <c r="A1067" t="inlineStr">
        <is>
          <t>Negros Occidental</t>
        </is>
      </c>
      <c r="B1067" t="inlineStr">
        <is>
          <t>Isabela</t>
        </is>
      </c>
      <c r="C1067" t="inlineStr">
        <is>
          <t>6128</t>
        </is>
      </c>
      <c r="D1067" t="inlineStr">
        <is>
          <t>BarangayDirectory</t>
        </is>
      </c>
    </row>
    <row r="1068" spans="1:4">
      <c r="A1068" t="inlineStr">
        <is>
          <t>Negros Occidental</t>
        </is>
      </c>
      <c r="B1068" t="inlineStr">
        <is>
          <t>La Castellana</t>
        </is>
      </c>
      <c r="C1068" t="inlineStr">
        <is>
          <t>6131</t>
        </is>
      </c>
      <c r="D1068" t="inlineStr">
        <is>
          <t>BarangayDirectory</t>
        </is>
      </c>
    </row>
    <row r="1069" spans="1:4">
      <c r="A1069" t="inlineStr">
        <is>
          <t>Negros Occidental</t>
        </is>
      </c>
      <c r="B1069" t="inlineStr">
        <is>
          <t>Manapla</t>
        </is>
      </c>
      <c r="C1069" t="inlineStr">
        <is>
          <t>6120</t>
        </is>
      </c>
      <c r="D1069" t="inlineStr">
        <is>
          <t>BarangayDirectory</t>
        </is>
      </c>
    </row>
    <row r="1070" spans="1:4">
      <c r="A1070" t="inlineStr">
        <is>
          <t>Negros Occidental</t>
        </is>
      </c>
      <c r="B1070" t="inlineStr">
        <is>
          <t>Moises Padilla</t>
        </is>
      </c>
      <c r="C1070" t="inlineStr">
        <is>
          <t>6132</t>
        </is>
      </c>
      <c r="D1070" t="inlineStr">
        <is>
          <t>BarangayDirectory</t>
        </is>
      </c>
    </row>
    <row r="1071" spans="1:4">
      <c r="A1071" t="inlineStr">
        <is>
          <t>Negros Occidental</t>
        </is>
      </c>
      <c r="B1071" t="inlineStr">
        <is>
          <t>Murcia</t>
        </is>
      </c>
      <c r="C1071" t="inlineStr">
        <is>
          <t>6129</t>
        </is>
      </c>
      <c r="D1071" t="inlineStr">
        <is>
          <t>BarangayDirectory</t>
        </is>
      </c>
    </row>
    <row r="1072" spans="1:4">
      <c r="A1072" t="inlineStr">
        <is>
          <t>Negros Occidental</t>
        </is>
      </c>
      <c r="B1072" t="inlineStr">
        <is>
          <t>Pontevedra</t>
        </is>
      </c>
      <c r="C1072" t="inlineStr">
        <is>
          <t>6105</t>
        </is>
      </c>
      <c r="D1072" t="inlineStr">
        <is>
          <t>BarangayDirectory</t>
        </is>
      </c>
    </row>
    <row r="1073" spans="1:4">
      <c r="A1073" t="inlineStr">
        <is>
          <t>Negros Occidental</t>
        </is>
      </c>
      <c r="B1073" t="inlineStr">
        <is>
          <t>Pulupandan</t>
        </is>
      </c>
      <c r="C1073" t="inlineStr">
        <is>
          <t>6102</t>
        </is>
      </c>
      <c r="D1073" t="inlineStr">
        <is>
          <t>BarangayDirectory</t>
        </is>
      </c>
    </row>
    <row r="1074" spans="1:4">
      <c r="A1074" t="inlineStr">
        <is>
          <t>Negros Occidental</t>
        </is>
      </c>
      <c r="B1074" t="inlineStr">
        <is>
          <t>Salvador Benedicto</t>
        </is>
      </c>
      <c r="D1074" t="inlineStr">
        <is>
          <t>Needs verification</t>
        </is>
      </c>
    </row>
    <row r="1075" spans="1:4">
      <c r="A1075" t="inlineStr">
        <is>
          <t>Negros Occidental</t>
        </is>
      </c>
      <c r="B1075" t="inlineStr">
        <is>
          <t>San Enrique</t>
        </is>
      </c>
      <c r="C1075" t="inlineStr">
        <is>
          <t>6104</t>
        </is>
      </c>
      <c r="D1075" t="inlineStr">
        <is>
          <t>BarangayDirectory</t>
        </is>
      </c>
    </row>
    <row r="1076" spans="1:4">
      <c r="A1076" t="inlineStr">
        <is>
          <t>Negros Occidental</t>
        </is>
      </c>
      <c r="B1076" t="inlineStr">
        <is>
          <t>Toboso</t>
        </is>
      </c>
      <c r="C1076" t="inlineStr">
        <is>
          <t>6125</t>
        </is>
      </c>
      <c r="D1076" t="inlineStr">
        <is>
          <t>BarangayDirectory</t>
        </is>
      </c>
    </row>
    <row r="1077" spans="1:4">
      <c r="A1077" t="inlineStr">
        <is>
          <t>Negros Occidental</t>
        </is>
      </c>
      <c r="B1077" t="inlineStr">
        <is>
          <t>Valladolid</t>
        </is>
      </c>
      <c r="C1077" t="inlineStr">
        <is>
          <t>6103</t>
        </is>
      </c>
      <c r="D1077" t="inlineStr">
        <is>
          <t>BarangayDirectory</t>
        </is>
      </c>
    </row>
    <row r="1078" spans="1:4">
      <c r="A1078" t="inlineStr">
        <is>
          <t>Negros Oriental</t>
        </is>
      </c>
      <c r="B1078" t="inlineStr">
        <is>
          <t>Amlan</t>
        </is>
      </c>
      <c r="C1078" t="inlineStr">
        <is>
          <t>6203</t>
        </is>
      </c>
      <c r="D1078" t="inlineStr">
        <is>
          <t>BarangayDirectory</t>
        </is>
      </c>
    </row>
    <row r="1079" spans="1:4">
      <c r="A1079" t="inlineStr">
        <is>
          <t>Negros Oriental</t>
        </is>
      </c>
      <c r="B1079" t="inlineStr">
        <is>
          <t>Ayungon</t>
        </is>
      </c>
      <c r="C1079" t="inlineStr">
        <is>
          <t>6210</t>
        </is>
      </c>
      <c r="D1079" t="inlineStr">
        <is>
          <t>BarangayDirectory</t>
        </is>
      </c>
    </row>
    <row r="1080" spans="1:4">
      <c r="A1080" t="inlineStr">
        <is>
          <t>Negros Oriental</t>
        </is>
      </c>
      <c r="B1080" t="inlineStr">
        <is>
          <t>Bacong</t>
        </is>
      </c>
      <c r="C1080" t="inlineStr">
        <is>
          <t>6216</t>
        </is>
      </c>
      <c r="D1080" t="inlineStr">
        <is>
          <t>BarangayDirectory</t>
        </is>
      </c>
    </row>
    <row r="1081" spans="1:4">
      <c r="A1081" t="inlineStr">
        <is>
          <t>Negros Oriental</t>
        </is>
      </c>
      <c r="B1081" t="inlineStr">
        <is>
          <t>Basay</t>
        </is>
      </c>
      <c r="C1081" t="inlineStr">
        <is>
          <t>6222</t>
        </is>
      </c>
      <c r="D1081" t="inlineStr">
        <is>
          <t>BarangayDirectory</t>
        </is>
      </c>
    </row>
    <row r="1082" spans="1:4">
      <c r="A1082" t="inlineStr">
        <is>
          <t>Negros Oriental</t>
        </is>
      </c>
      <c r="B1082" t="inlineStr">
        <is>
          <t>Bindoy</t>
        </is>
      </c>
      <c r="C1082" t="inlineStr">
        <is>
          <t>6209</t>
        </is>
      </c>
      <c r="D1082" t="inlineStr">
        <is>
          <t>BarangayDirectory</t>
        </is>
      </c>
    </row>
    <row r="1083" spans="1:4">
      <c r="A1083" t="inlineStr">
        <is>
          <t>Negros Oriental</t>
        </is>
      </c>
      <c r="B1083" t="inlineStr">
        <is>
          <t>City of Bais</t>
        </is>
      </c>
      <c r="C1083" t="inlineStr">
        <is>
          <t>6217</t>
        </is>
      </c>
      <c r="D1083" t="inlineStr">
        <is>
          <t>BarangayDirectory</t>
        </is>
      </c>
    </row>
    <row r="1084" spans="1:4">
      <c r="A1084" t="inlineStr">
        <is>
          <t>Negros Oriental</t>
        </is>
      </c>
      <c r="B1084" t="inlineStr">
        <is>
          <t>City of Bayawan</t>
        </is>
      </c>
      <c r="C1084" t="inlineStr">
        <is>
          <t>6221</t>
        </is>
      </c>
      <c r="D1084" t="inlineStr">
        <is>
          <t>BarangayDirectory</t>
        </is>
      </c>
    </row>
    <row r="1085" spans="1:4">
      <c r="A1085" t="inlineStr">
        <is>
          <t>Negros Oriental</t>
        </is>
      </c>
      <c r="B1085" t="inlineStr">
        <is>
          <t>City of Canlaon</t>
        </is>
      </c>
      <c r="C1085" t="inlineStr">
        <is>
          <t>6223</t>
        </is>
      </c>
      <c r="D1085" t="inlineStr">
        <is>
          <t>BarangayDirectory</t>
        </is>
      </c>
    </row>
    <row r="1086" spans="1:4">
      <c r="A1086" t="inlineStr">
        <is>
          <t>Negros Oriental</t>
        </is>
      </c>
      <c r="B1086" t="inlineStr">
        <is>
          <t>City of Dumaguete</t>
        </is>
      </c>
      <c r="C1086" t="inlineStr">
        <is>
          <t>6200</t>
        </is>
      </c>
      <c r="D1086" t="inlineStr">
        <is>
          <t>BarangayDirectory</t>
        </is>
      </c>
    </row>
    <row r="1087" spans="1:4">
      <c r="A1087" t="inlineStr">
        <is>
          <t>Negros Oriental</t>
        </is>
      </c>
      <c r="B1087" t="inlineStr">
        <is>
          <t>City of Guihulngan</t>
        </is>
      </c>
      <c r="C1087" t="inlineStr">
        <is>
          <t>6214</t>
        </is>
      </c>
      <c r="D1087" t="inlineStr">
        <is>
          <t>BarangayDirectory</t>
        </is>
      </c>
    </row>
    <row r="1088" spans="1:4">
      <c r="A1088" t="inlineStr">
        <is>
          <t>Negros Oriental</t>
        </is>
      </c>
      <c r="B1088" t="inlineStr">
        <is>
          <t>City of Tanjay</t>
        </is>
      </c>
      <c r="C1088" t="inlineStr">
        <is>
          <t>6204</t>
        </is>
      </c>
      <c r="D1088" t="inlineStr">
        <is>
          <t>BarangayDirectory</t>
        </is>
      </c>
    </row>
    <row r="1089" spans="1:4">
      <c r="A1089" t="inlineStr">
        <is>
          <t>Negros Oriental</t>
        </is>
      </c>
      <c r="B1089" t="inlineStr">
        <is>
          <t>Dauin</t>
        </is>
      </c>
      <c r="C1089" t="inlineStr">
        <is>
          <t>6217</t>
        </is>
      </c>
      <c r="D1089" t="inlineStr">
        <is>
          <t>BarangayDirectory</t>
        </is>
      </c>
    </row>
    <row r="1090" spans="1:4">
      <c r="A1090" t="inlineStr">
        <is>
          <t>Negros Oriental</t>
        </is>
      </c>
      <c r="B1090" t="inlineStr">
        <is>
          <t>Jimalalud</t>
        </is>
      </c>
      <c r="C1090" t="inlineStr">
        <is>
          <t>6212</t>
        </is>
      </c>
      <c r="D1090" t="inlineStr">
        <is>
          <t>BarangayDirectory</t>
        </is>
      </c>
    </row>
    <row r="1091" spans="1:4">
      <c r="A1091" t="inlineStr">
        <is>
          <t>Negros Oriental</t>
        </is>
      </c>
      <c r="B1091" t="inlineStr">
        <is>
          <t>La Libertad</t>
        </is>
      </c>
      <c r="C1091" t="inlineStr">
        <is>
          <t>6213</t>
        </is>
      </c>
      <c r="D1091" t="inlineStr">
        <is>
          <t>BarangayDirectory</t>
        </is>
      </c>
    </row>
    <row r="1092" spans="1:4">
      <c r="A1092" t="inlineStr">
        <is>
          <t>Negros Oriental</t>
        </is>
      </c>
      <c r="B1092" t="inlineStr">
        <is>
          <t>Mabinay</t>
        </is>
      </c>
      <c r="C1092" t="inlineStr">
        <is>
          <t>6207</t>
        </is>
      </c>
      <c r="D1092" t="inlineStr">
        <is>
          <t>BarangayDirectory</t>
        </is>
      </c>
    </row>
    <row r="1093" spans="1:4">
      <c r="A1093" t="inlineStr">
        <is>
          <t>Negros Oriental</t>
        </is>
      </c>
      <c r="B1093" t="inlineStr">
        <is>
          <t>Manjuyod</t>
        </is>
      </c>
      <c r="C1093" t="inlineStr">
        <is>
          <t>6208</t>
        </is>
      </c>
      <c r="D1093" t="inlineStr">
        <is>
          <t>BarangayDirectory</t>
        </is>
      </c>
    </row>
    <row r="1094" spans="1:4">
      <c r="A1094" t="inlineStr">
        <is>
          <t>Negros Oriental</t>
        </is>
      </c>
      <c r="B1094" t="inlineStr">
        <is>
          <t>Pamplona</t>
        </is>
      </c>
      <c r="C1094" t="inlineStr">
        <is>
          <t>6205</t>
        </is>
      </c>
      <c r="D1094" t="inlineStr">
        <is>
          <t>BarangayDirectory</t>
        </is>
      </c>
    </row>
    <row r="1095" spans="1:4">
      <c r="A1095" t="inlineStr">
        <is>
          <t>Negros Oriental</t>
        </is>
      </c>
      <c r="B1095" t="inlineStr">
        <is>
          <t>San Jose</t>
        </is>
      </c>
      <c r="C1095" t="inlineStr">
        <is>
          <t>6202</t>
        </is>
      </c>
      <c r="D1095" t="inlineStr">
        <is>
          <t>BarangayDirectory</t>
        </is>
      </c>
    </row>
    <row r="1096" spans="1:4">
      <c r="A1096" t="inlineStr">
        <is>
          <t>Negros Oriental</t>
        </is>
      </c>
      <c r="B1096" t="inlineStr">
        <is>
          <t>Santa Catalina</t>
        </is>
      </c>
      <c r="C1096" t="inlineStr">
        <is>
          <t>6220</t>
        </is>
      </c>
      <c r="D1096" t="inlineStr">
        <is>
          <t>BarangayDirectory</t>
        </is>
      </c>
    </row>
    <row r="1097" spans="1:4">
      <c r="A1097" t="inlineStr">
        <is>
          <t>Negros Oriental</t>
        </is>
      </c>
      <c r="B1097" t="inlineStr">
        <is>
          <t>Siaton</t>
        </is>
      </c>
      <c r="C1097" t="inlineStr">
        <is>
          <t>6219</t>
        </is>
      </c>
      <c r="D1097" t="inlineStr">
        <is>
          <t>BarangayDirectory</t>
        </is>
      </c>
    </row>
    <row r="1098" spans="1:4">
      <c r="A1098" t="inlineStr">
        <is>
          <t>Negros Oriental</t>
        </is>
      </c>
      <c r="B1098" t="inlineStr">
        <is>
          <t>Sibulan</t>
        </is>
      </c>
      <c r="C1098" t="inlineStr">
        <is>
          <t>6201</t>
        </is>
      </c>
      <c r="D1098" t="inlineStr">
        <is>
          <t>BarangayDirectory</t>
        </is>
      </c>
    </row>
    <row r="1099" spans="1:4">
      <c r="A1099" t="inlineStr">
        <is>
          <t>Negros Oriental</t>
        </is>
      </c>
      <c r="B1099" t="inlineStr">
        <is>
          <t>Tayasan</t>
        </is>
      </c>
      <c r="C1099" t="inlineStr">
        <is>
          <t>6211</t>
        </is>
      </c>
      <c r="D1099" t="inlineStr">
        <is>
          <t>BarangayDirectory</t>
        </is>
      </c>
    </row>
    <row r="1100" spans="1:4">
      <c r="A1100" t="inlineStr">
        <is>
          <t>Negros Oriental</t>
        </is>
      </c>
      <c r="B1100" t="inlineStr">
        <is>
          <t>Valencia</t>
        </is>
      </c>
      <c r="C1100" t="inlineStr">
        <is>
          <t>6215</t>
        </is>
      </c>
      <c r="D1100" t="inlineStr">
        <is>
          <t>BarangayDirectory</t>
        </is>
      </c>
    </row>
    <row r="1101" spans="1:4">
      <c r="A1101" t="inlineStr">
        <is>
          <t>Negros Oriental</t>
        </is>
      </c>
      <c r="B1101" t="inlineStr">
        <is>
          <t>Vallehermoso</t>
        </is>
      </c>
      <c r="D1101" t="inlineStr">
        <is>
          <t>Needs verification</t>
        </is>
      </c>
    </row>
    <row r="1102" spans="1:4">
      <c r="A1102" t="inlineStr">
        <is>
          <t>Negros Oriental</t>
        </is>
      </c>
      <c r="B1102" t="inlineStr">
        <is>
          <t>Zamboanguita</t>
        </is>
      </c>
      <c r="C1102" t="inlineStr">
        <is>
          <t>6218</t>
        </is>
      </c>
      <c r="D1102" t="inlineStr">
        <is>
          <t>BarangayDirectory</t>
        </is>
      </c>
    </row>
    <row r="1103" spans="1:4">
      <c r="A1103" t="inlineStr">
        <is>
          <t>Northern Samar</t>
        </is>
      </c>
      <c r="B1103" t="inlineStr">
        <is>
          <t>Allen</t>
        </is>
      </c>
      <c r="C1103" t="inlineStr">
        <is>
          <t>6405</t>
        </is>
      </c>
      <c r="D1103" t="inlineStr">
        <is>
          <t>BarangayDirectory</t>
        </is>
      </c>
    </row>
    <row r="1104" spans="1:4">
      <c r="A1104" t="inlineStr">
        <is>
          <t>Northern Samar</t>
        </is>
      </c>
      <c r="B1104" t="inlineStr">
        <is>
          <t>Biri</t>
        </is>
      </c>
      <c r="C1104" t="inlineStr">
        <is>
          <t>6410</t>
        </is>
      </c>
      <c r="D1104" t="inlineStr">
        <is>
          <t>BarangayDirectory</t>
        </is>
      </c>
    </row>
    <row r="1105" spans="1:4">
      <c r="A1105" t="inlineStr">
        <is>
          <t>Northern Samar</t>
        </is>
      </c>
      <c r="B1105" t="inlineStr">
        <is>
          <t>Bobon</t>
        </is>
      </c>
      <c r="C1105" t="inlineStr">
        <is>
          <t>6401</t>
        </is>
      </c>
      <c r="D1105" t="inlineStr">
        <is>
          <t>BarangayDirectory</t>
        </is>
      </c>
    </row>
    <row r="1106" spans="1:4">
      <c r="A1106" t="inlineStr">
        <is>
          <t>Northern Samar</t>
        </is>
      </c>
      <c r="B1106" t="inlineStr">
        <is>
          <t>Capul</t>
        </is>
      </c>
      <c r="C1106" t="inlineStr">
        <is>
          <t>6408</t>
        </is>
      </c>
      <c r="D1106" t="inlineStr">
        <is>
          <t>BarangayDirectory</t>
        </is>
      </c>
    </row>
    <row r="1107" spans="1:4">
      <c r="A1107" t="inlineStr">
        <is>
          <t>Northern Samar</t>
        </is>
      </c>
      <c r="B1107" t="inlineStr">
        <is>
          <t>Catarman</t>
        </is>
      </c>
      <c r="C1107" t="inlineStr">
        <is>
          <t>6400</t>
        </is>
      </c>
      <c r="D1107" t="inlineStr">
        <is>
          <t>BarangayDirectory</t>
        </is>
      </c>
    </row>
    <row r="1108" spans="1:4">
      <c r="A1108" t="inlineStr">
        <is>
          <t>Northern Samar</t>
        </is>
      </c>
      <c r="B1108" t="inlineStr">
        <is>
          <t>Catubig</t>
        </is>
      </c>
      <c r="C1108" t="inlineStr">
        <is>
          <t>6418</t>
        </is>
      </c>
      <c r="D1108" t="inlineStr">
        <is>
          <t>BarangayDirectory</t>
        </is>
      </c>
    </row>
    <row r="1109" spans="1:4">
      <c r="A1109" t="inlineStr">
        <is>
          <t>Northern Samar</t>
        </is>
      </c>
      <c r="B1109" t="inlineStr">
        <is>
          <t>Gamay</t>
        </is>
      </c>
      <c r="C1109" t="inlineStr">
        <is>
          <t>6422</t>
        </is>
      </c>
      <c r="D1109" t="inlineStr">
        <is>
          <t>BarangayDirectory</t>
        </is>
      </c>
    </row>
    <row r="1110" spans="1:4">
      <c r="A1110" t="inlineStr">
        <is>
          <t>Northern Samar</t>
        </is>
      </c>
      <c r="B1110" t="inlineStr">
        <is>
          <t>Laoang</t>
        </is>
      </c>
      <c r="C1110" t="inlineStr">
        <is>
          <t>6411</t>
        </is>
      </c>
      <c r="D1110" t="inlineStr">
        <is>
          <t>BarangayDirectory</t>
        </is>
      </c>
    </row>
    <row r="1111" spans="1:4">
      <c r="A1111" t="inlineStr">
        <is>
          <t>Northern Samar</t>
        </is>
      </c>
      <c r="B1111" t="inlineStr">
        <is>
          <t>Lapinig</t>
        </is>
      </c>
      <c r="C1111" t="inlineStr">
        <is>
          <t>6423</t>
        </is>
      </c>
      <c r="D1111" t="inlineStr">
        <is>
          <t>BarangayDirectory</t>
        </is>
      </c>
    </row>
    <row r="1112" spans="1:4">
      <c r="A1112" t="inlineStr">
        <is>
          <t>Northern Samar</t>
        </is>
      </c>
      <c r="B1112" t="inlineStr">
        <is>
          <t>Las Navas</t>
        </is>
      </c>
      <c r="C1112" t="inlineStr">
        <is>
          <t>6420</t>
        </is>
      </c>
      <c r="D1112" t="inlineStr">
        <is>
          <t>BarangayDirectory</t>
        </is>
      </c>
    </row>
    <row r="1113" spans="1:4">
      <c r="A1113" t="inlineStr">
        <is>
          <t>Northern Samar</t>
        </is>
      </c>
      <c r="B1113" t="inlineStr">
        <is>
          <t>Lavezares</t>
        </is>
      </c>
      <c r="C1113" t="inlineStr">
        <is>
          <t>6404</t>
        </is>
      </c>
      <c r="D1113" t="inlineStr">
        <is>
          <t>BarangayDirectory</t>
        </is>
      </c>
    </row>
    <row r="1114" spans="1:4">
      <c r="A1114" t="inlineStr">
        <is>
          <t>Northern Samar</t>
        </is>
      </c>
      <c r="B1114" t="inlineStr">
        <is>
          <t>Lope De Vega</t>
        </is>
      </c>
      <c r="C1114" t="inlineStr">
        <is>
          <t>6403</t>
        </is>
      </c>
      <c r="D1114" t="inlineStr">
        <is>
          <t>BarangayDirectory</t>
        </is>
      </c>
    </row>
    <row r="1115" spans="1:4">
      <c r="A1115" t="inlineStr">
        <is>
          <t>Northern Samar</t>
        </is>
      </c>
      <c r="B1115" t="inlineStr">
        <is>
          <t>Mapanas</t>
        </is>
      </c>
      <c r="C1115" t="inlineStr">
        <is>
          <t>6412</t>
        </is>
      </c>
      <c r="D1115" t="inlineStr">
        <is>
          <t>BarangayDirectory</t>
        </is>
      </c>
    </row>
    <row r="1116" spans="1:4">
      <c r="A1116" t="inlineStr">
        <is>
          <t>Northern Samar</t>
        </is>
      </c>
      <c r="B1116" t="inlineStr">
        <is>
          <t>Mondragon</t>
        </is>
      </c>
      <c r="C1116" t="inlineStr">
        <is>
          <t>6417</t>
        </is>
      </c>
      <c r="D1116" t="inlineStr">
        <is>
          <t>BarangayDirectory</t>
        </is>
      </c>
    </row>
    <row r="1117" spans="1:4">
      <c r="A1117" t="inlineStr">
        <is>
          <t>Northern Samar</t>
        </is>
      </c>
      <c r="B1117" t="inlineStr">
        <is>
          <t>Palapag</t>
        </is>
      </c>
      <c r="C1117" t="inlineStr">
        <is>
          <t>6421</t>
        </is>
      </c>
      <c r="D1117" t="inlineStr">
        <is>
          <t>BarangayDirectory</t>
        </is>
      </c>
    </row>
    <row r="1118" spans="1:4">
      <c r="A1118" t="inlineStr">
        <is>
          <t>Northern Samar</t>
        </is>
      </c>
      <c r="B1118" t="inlineStr">
        <is>
          <t>Pambujan</t>
        </is>
      </c>
      <c r="C1118" t="inlineStr">
        <is>
          <t>6413</t>
        </is>
      </c>
      <c r="D1118" t="inlineStr">
        <is>
          <t>BarangayDirectory</t>
        </is>
      </c>
    </row>
    <row r="1119" spans="1:4">
      <c r="A1119" t="inlineStr">
        <is>
          <t>Northern Samar</t>
        </is>
      </c>
      <c r="B1119" t="inlineStr">
        <is>
          <t>Rosario</t>
        </is>
      </c>
      <c r="C1119" t="inlineStr">
        <is>
          <t>6416</t>
        </is>
      </c>
      <c r="D1119" t="inlineStr">
        <is>
          <t>BarangayDirectory</t>
        </is>
      </c>
    </row>
    <row r="1120" spans="1:4">
      <c r="A1120" t="inlineStr">
        <is>
          <t>Northern Samar</t>
        </is>
      </c>
      <c r="B1120" t="inlineStr">
        <is>
          <t>San Antonio</t>
        </is>
      </c>
      <c r="D1120" t="inlineStr">
        <is>
          <t>Needs verification</t>
        </is>
      </c>
    </row>
    <row r="1121" spans="1:4">
      <c r="A1121" t="inlineStr">
        <is>
          <t>Northern Samar</t>
        </is>
      </c>
      <c r="B1121" t="inlineStr">
        <is>
          <t>San Isidro</t>
        </is>
      </c>
      <c r="D1121" t="inlineStr">
        <is>
          <t>Needs verification</t>
        </is>
      </c>
    </row>
    <row r="1122" spans="1:4">
      <c r="A1122" t="inlineStr">
        <is>
          <t>Northern Samar</t>
        </is>
      </c>
      <c r="B1122" t="inlineStr">
        <is>
          <t>San Jose</t>
        </is>
      </c>
      <c r="D1122" t="inlineStr">
        <is>
          <t>Needs verification</t>
        </is>
      </c>
    </row>
    <row r="1123" spans="1:4">
      <c r="A1123" t="inlineStr">
        <is>
          <t>Northern Samar</t>
        </is>
      </c>
      <c r="B1123" t="inlineStr">
        <is>
          <t>San Roque</t>
        </is>
      </c>
      <c r="C1123" t="inlineStr">
        <is>
          <t>6415</t>
        </is>
      </c>
      <c r="D1123" t="inlineStr">
        <is>
          <t>BarangayDirectory</t>
        </is>
      </c>
    </row>
    <row r="1124" spans="1:4">
      <c r="A1124" t="inlineStr">
        <is>
          <t>Northern Samar</t>
        </is>
      </c>
      <c r="B1124" t="inlineStr">
        <is>
          <t>San Vicente</t>
        </is>
      </c>
      <c r="C1124" t="inlineStr">
        <is>
          <t>6419</t>
        </is>
      </c>
      <c r="D1124" t="inlineStr">
        <is>
          <t>BarangayDirectory</t>
        </is>
      </c>
    </row>
    <row r="1125" spans="1:4">
      <c r="A1125" t="inlineStr">
        <is>
          <t>Northern Samar</t>
        </is>
      </c>
      <c r="B1125" t="inlineStr">
        <is>
          <t>Silvino Lobos</t>
        </is>
      </c>
      <c r="C1125" t="inlineStr">
        <is>
          <t>6414</t>
        </is>
      </c>
      <c r="D1125" t="inlineStr">
        <is>
          <t>BarangayDirectory</t>
        </is>
      </c>
    </row>
    <row r="1126" spans="1:4">
      <c r="A1126" t="inlineStr">
        <is>
          <t>Northern Samar</t>
        </is>
      </c>
      <c r="B1126" t="inlineStr">
        <is>
          <t>Victoria</t>
        </is>
      </c>
      <c r="C1126" t="inlineStr">
        <is>
          <t>6406</t>
        </is>
      </c>
      <c r="D1126" t="inlineStr">
        <is>
          <t>BarangayDirectory</t>
        </is>
      </c>
    </row>
    <row r="1127" spans="1:4">
      <c r="A1127" t="inlineStr">
        <is>
          <t>Nueva Ecija</t>
        </is>
      </c>
      <c r="B1127" t="inlineStr">
        <is>
          <t>Aliaga</t>
        </is>
      </c>
      <c r="C1127" t="inlineStr">
        <is>
          <t>3111</t>
        </is>
      </c>
      <c r="D1127" t="inlineStr">
        <is>
          <t>PHLPost</t>
        </is>
      </c>
    </row>
    <row r="1128" spans="1:4">
      <c r="A1128" t="inlineStr">
        <is>
          <t>Nueva Ecija</t>
        </is>
      </c>
      <c r="B1128" t="inlineStr">
        <is>
          <t>Bongabon</t>
        </is>
      </c>
      <c r="C1128" t="inlineStr">
        <is>
          <t>3128</t>
        </is>
      </c>
      <c r="D1128" t="inlineStr">
        <is>
          <t>PHLPost</t>
        </is>
      </c>
    </row>
    <row r="1129" spans="1:4">
      <c r="A1129" t="inlineStr">
        <is>
          <t>Nueva Ecija</t>
        </is>
      </c>
      <c r="B1129" t="inlineStr">
        <is>
          <t>Cabiao</t>
        </is>
      </c>
      <c r="C1129" t="inlineStr">
        <is>
          <t>3107</t>
        </is>
      </c>
      <c r="D1129" t="inlineStr">
        <is>
          <t>PHLPost</t>
        </is>
      </c>
    </row>
    <row r="1130" spans="1:4">
      <c r="A1130" t="inlineStr">
        <is>
          <t>Nueva Ecija</t>
        </is>
      </c>
      <c r="B1130" t="inlineStr">
        <is>
          <t>Carranglan</t>
        </is>
      </c>
      <c r="D1130" t="inlineStr">
        <is>
          <t>Needs verification</t>
        </is>
      </c>
    </row>
    <row r="1131" spans="1:4">
      <c r="A1131" t="inlineStr">
        <is>
          <t>Nueva Ecija</t>
        </is>
      </c>
      <c r="B1131" t="inlineStr">
        <is>
          <t>City of Cabanatuan</t>
        </is>
      </c>
      <c r="C1131" t="inlineStr">
        <is>
          <t>3100</t>
        </is>
      </c>
      <c r="D1131" t="inlineStr">
        <is>
          <t>PHLPost</t>
        </is>
      </c>
    </row>
    <row r="1132" spans="1:4">
      <c r="A1132" t="inlineStr">
        <is>
          <t>Nueva Ecija</t>
        </is>
      </c>
      <c r="B1132" t="inlineStr">
        <is>
          <t>City of Gapan</t>
        </is>
      </c>
      <c r="C1132" t="inlineStr">
        <is>
          <t>3105</t>
        </is>
      </c>
      <c r="D1132" t="inlineStr">
        <is>
          <t>PHLPost</t>
        </is>
      </c>
    </row>
    <row r="1133" spans="1:4">
      <c r="A1133" t="inlineStr">
        <is>
          <t>Nueva Ecija</t>
        </is>
      </c>
      <c r="B1133" t="inlineStr">
        <is>
          <t>City of Palayan</t>
        </is>
      </c>
      <c r="C1133" t="inlineStr">
        <is>
          <t>3132</t>
        </is>
      </c>
      <c r="D1133" t="inlineStr">
        <is>
          <t>PHLPost</t>
        </is>
      </c>
    </row>
    <row r="1134" spans="1:4">
      <c r="A1134" t="inlineStr">
        <is>
          <t>Nueva Ecija</t>
        </is>
      </c>
      <c r="B1134" t="inlineStr">
        <is>
          <t>Cuyapo</t>
        </is>
      </c>
      <c r="C1134" t="inlineStr">
        <is>
          <t>3117</t>
        </is>
      </c>
      <c r="D1134" t="inlineStr">
        <is>
          <t>PHLPost</t>
        </is>
      </c>
    </row>
    <row r="1135" spans="1:4">
      <c r="A1135" t="inlineStr">
        <is>
          <t>Nueva Ecija</t>
        </is>
      </c>
      <c r="B1135" t="inlineStr">
        <is>
          <t>Gabaldon</t>
        </is>
      </c>
      <c r="C1135" t="inlineStr">
        <is>
          <t>3131</t>
        </is>
      </c>
      <c r="D1135" t="inlineStr">
        <is>
          <t>PHLPost</t>
        </is>
      </c>
    </row>
    <row r="1136" spans="1:4">
      <c r="A1136" t="inlineStr">
        <is>
          <t>Nueva Ecija</t>
        </is>
      </c>
      <c r="B1136" t="inlineStr">
        <is>
          <t>General Mamerto Natividad</t>
        </is>
      </c>
      <c r="D1136" t="inlineStr">
        <is>
          <t>Needs verification</t>
        </is>
      </c>
    </row>
    <row r="1137" spans="1:4">
      <c r="A1137" t="inlineStr">
        <is>
          <t>Nueva Ecija</t>
        </is>
      </c>
      <c r="B1137" t="inlineStr">
        <is>
          <t>General Tinio</t>
        </is>
      </c>
      <c r="D1137" t="inlineStr">
        <is>
          <t>Needs verification</t>
        </is>
      </c>
    </row>
    <row r="1138" spans="1:4">
      <c r="A1138" t="inlineStr">
        <is>
          <t>Nueva Ecija</t>
        </is>
      </c>
      <c r="B1138" t="inlineStr">
        <is>
          <t>Guimba</t>
        </is>
      </c>
      <c r="C1138" t="inlineStr">
        <is>
          <t>3115</t>
        </is>
      </c>
      <c r="D1138" t="inlineStr">
        <is>
          <t>PHLPost</t>
        </is>
      </c>
    </row>
    <row r="1139" spans="1:4">
      <c r="A1139" t="inlineStr">
        <is>
          <t>Nueva Ecija</t>
        </is>
      </c>
      <c r="B1139" t="inlineStr">
        <is>
          <t>Jaen</t>
        </is>
      </c>
      <c r="C1139" t="inlineStr">
        <is>
          <t>3109</t>
        </is>
      </c>
      <c r="D1139" t="inlineStr">
        <is>
          <t>PHLPost</t>
        </is>
      </c>
    </row>
    <row r="1140" spans="1:4">
      <c r="A1140" t="inlineStr">
        <is>
          <t>Nueva Ecija</t>
        </is>
      </c>
      <c r="B1140" t="inlineStr">
        <is>
          <t>Laur</t>
        </is>
      </c>
      <c r="C1140" t="inlineStr">
        <is>
          <t>3129</t>
        </is>
      </c>
      <c r="D1140" t="inlineStr">
        <is>
          <t>PHLPost</t>
        </is>
      </c>
    </row>
    <row r="1141" spans="1:4">
      <c r="A1141" t="inlineStr">
        <is>
          <t>Nueva Ecija</t>
        </is>
      </c>
      <c r="B1141" t="inlineStr">
        <is>
          <t>Licab</t>
        </is>
      </c>
      <c r="C1141" t="inlineStr">
        <is>
          <t>3112</t>
        </is>
      </c>
      <c r="D1141" t="inlineStr">
        <is>
          <t>PHLPost</t>
        </is>
      </c>
    </row>
    <row r="1142" spans="1:4">
      <c r="A1142" t="inlineStr">
        <is>
          <t>Nueva Ecija</t>
        </is>
      </c>
      <c r="B1142" t="inlineStr">
        <is>
          <t>Llanera</t>
        </is>
      </c>
      <c r="C1142" t="inlineStr">
        <is>
          <t>3126</t>
        </is>
      </c>
      <c r="D1142" t="inlineStr">
        <is>
          <t>PHLPost</t>
        </is>
      </c>
    </row>
    <row r="1143" spans="1:4">
      <c r="A1143" t="inlineStr">
        <is>
          <t>Nueva Ecija</t>
        </is>
      </c>
      <c r="B1143" t="inlineStr">
        <is>
          <t>Lupao</t>
        </is>
      </c>
      <c r="C1143" t="inlineStr">
        <is>
          <t>3122</t>
        </is>
      </c>
      <c r="D1143" t="inlineStr">
        <is>
          <t>PHLPost</t>
        </is>
      </c>
    </row>
    <row r="1144" spans="1:4">
      <c r="A1144" t="inlineStr">
        <is>
          <t>Nueva Ecija</t>
        </is>
      </c>
      <c r="B1144" t="inlineStr">
        <is>
          <t>Nampicuan</t>
        </is>
      </c>
      <c r="C1144" t="inlineStr">
        <is>
          <t>3116</t>
        </is>
      </c>
      <c r="D1144" t="inlineStr">
        <is>
          <t>PHLPost</t>
        </is>
      </c>
    </row>
    <row r="1145" spans="1:4">
      <c r="A1145" t="inlineStr">
        <is>
          <t>Nueva Ecija</t>
        </is>
      </c>
      <c r="B1145" t="inlineStr">
        <is>
          <t>Pantabangan</t>
        </is>
      </c>
      <c r="C1145" t="inlineStr">
        <is>
          <t>3124</t>
        </is>
      </c>
      <c r="D1145" t="inlineStr">
        <is>
          <t>PHLPost</t>
        </is>
      </c>
    </row>
    <row r="1146" spans="1:4">
      <c r="A1146" t="inlineStr">
        <is>
          <t>Nueva Ecija</t>
        </is>
      </c>
      <c r="B1146" t="inlineStr">
        <is>
          <t>Peñaranda</t>
        </is>
      </c>
      <c r="C1146" t="inlineStr">
        <is>
          <t>3103</t>
        </is>
      </c>
      <c r="D1146" t="inlineStr">
        <is>
          <t>PHLPost</t>
        </is>
      </c>
    </row>
    <row r="1147" spans="1:4">
      <c r="A1147" t="inlineStr">
        <is>
          <t>Nueva Ecija</t>
        </is>
      </c>
      <c r="B1147" t="inlineStr">
        <is>
          <t>Quezon</t>
        </is>
      </c>
      <c r="C1147" t="inlineStr">
        <is>
          <t>3113</t>
        </is>
      </c>
      <c r="D1147" t="inlineStr">
        <is>
          <t>PHLPost</t>
        </is>
      </c>
    </row>
    <row r="1148" spans="1:4">
      <c r="A1148" t="inlineStr">
        <is>
          <t>Nueva Ecija</t>
        </is>
      </c>
      <c r="B1148" t="inlineStr">
        <is>
          <t>Rizal</t>
        </is>
      </c>
      <c r="C1148" t="inlineStr">
        <is>
          <t>3127</t>
        </is>
      </c>
      <c r="D1148" t="inlineStr">
        <is>
          <t>PHLPost</t>
        </is>
      </c>
    </row>
    <row r="1149" spans="1:4">
      <c r="A1149" t="inlineStr">
        <is>
          <t>Nueva Ecija</t>
        </is>
      </c>
      <c r="B1149" t="inlineStr">
        <is>
          <t>San Antonio</t>
        </is>
      </c>
      <c r="C1149" t="inlineStr">
        <is>
          <t>3108</t>
        </is>
      </c>
      <c r="D1149" t="inlineStr">
        <is>
          <t>PHLPost</t>
        </is>
      </c>
    </row>
    <row r="1150" spans="1:4">
      <c r="A1150" t="inlineStr">
        <is>
          <t>Nueva Ecija</t>
        </is>
      </c>
      <c r="B1150" t="inlineStr">
        <is>
          <t>San Isidro</t>
        </is>
      </c>
      <c r="C1150" t="inlineStr">
        <is>
          <t>3106</t>
        </is>
      </c>
      <c r="D1150" t="inlineStr">
        <is>
          <t>PHLPost</t>
        </is>
      </c>
    </row>
    <row r="1151" spans="1:4">
      <c r="A1151" t="inlineStr">
        <is>
          <t>Nueva Ecija</t>
        </is>
      </c>
      <c r="B1151" t="inlineStr">
        <is>
          <t>San Jose City</t>
        </is>
      </c>
      <c r="C1151" t="inlineStr">
        <is>
          <t>3121</t>
        </is>
      </c>
      <c r="D1151" t="inlineStr">
        <is>
          <t>PHLPost</t>
        </is>
      </c>
    </row>
    <row r="1152" spans="1:4">
      <c r="A1152" t="inlineStr">
        <is>
          <t>Nueva Ecija</t>
        </is>
      </c>
      <c r="B1152" t="inlineStr">
        <is>
          <t>San Leonardo</t>
        </is>
      </c>
      <c r="C1152" t="inlineStr">
        <is>
          <t>3102</t>
        </is>
      </c>
      <c r="D1152" t="inlineStr">
        <is>
          <t>PHLPost</t>
        </is>
      </c>
    </row>
    <row r="1153" spans="1:4">
      <c r="A1153" t="inlineStr">
        <is>
          <t>Nueva Ecija</t>
        </is>
      </c>
      <c r="B1153" t="inlineStr">
        <is>
          <t>Santa Rosa</t>
        </is>
      </c>
      <c r="C1153" t="inlineStr">
        <is>
          <t>3101</t>
        </is>
      </c>
      <c r="D1153" t="inlineStr">
        <is>
          <t>PHLPost</t>
        </is>
      </c>
    </row>
    <row r="1154" spans="1:4">
      <c r="A1154" t="inlineStr">
        <is>
          <t>Nueva Ecija</t>
        </is>
      </c>
      <c r="B1154" t="inlineStr">
        <is>
          <t>Santo Domingo</t>
        </is>
      </c>
      <c r="C1154" t="inlineStr">
        <is>
          <t>3133</t>
        </is>
      </c>
      <c r="D1154" t="inlineStr">
        <is>
          <t>PHLPost</t>
        </is>
      </c>
    </row>
    <row r="1155" spans="1:4">
      <c r="A1155" t="inlineStr">
        <is>
          <t>Nueva Ecija</t>
        </is>
      </c>
      <c r="B1155" t="inlineStr">
        <is>
          <t>Science City of Muñoz</t>
        </is>
      </c>
      <c r="D1155" t="inlineStr">
        <is>
          <t>Needs verification</t>
        </is>
      </c>
    </row>
    <row r="1156" spans="1:4">
      <c r="A1156" t="inlineStr">
        <is>
          <t>Nueva Ecija</t>
        </is>
      </c>
      <c r="B1156" t="inlineStr">
        <is>
          <t>Talavera</t>
        </is>
      </c>
      <c r="C1156" t="inlineStr">
        <is>
          <t>3114</t>
        </is>
      </c>
      <c r="D1156" t="inlineStr">
        <is>
          <t>PHLPost</t>
        </is>
      </c>
    </row>
    <row r="1157" spans="1:4">
      <c r="A1157" t="inlineStr">
        <is>
          <t>Nueva Ecija</t>
        </is>
      </c>
      <c r="B1157" t="inlineStr">
        <is>
          <t>Talugtug</t>
        </is>
      </c>
      <c r="D1157" t="inlineStr">
        <is>
          <t>Needs verification</t>
        </is>
      </c>
    </row>
    <row r="1158" spans="1:4">
      <c r="A1158" t="inlineStr">
        <is>
          <t>Nueva Ecija</t>
        </is>
      </c>
      <c r="B1158" t="inlineStr">
        <is>
          <t>Zaragoza</t>
        </is>
      </c>
      <c r="C1158" t="inlineStr">
        <is>
          <t>3110</t>
        </is>
      </c>
      <c r="D1158" t="inlineStr">
        <is>
          <t>PHLPost</t>
        </is>
      </c>
    </row>
    <row r="1159" spans="1:4">
      <c r="A1159" t="inlineStr">
        <is>
          <t>Nueva Vizcaya</t>
        </is>
      </c>
      <c r="B1159" t="inlineStr">
        <is>
          <t>Alfonso Castaneda</t>
        </is>
      </c>
      <c r="C1159" t="inlineStr">
        <is>
          <t>3714</t>
        </is>
      </c>
      <c r="D1159" t="inlineStr">
        <is>
          <t>PHLPost</t>
        </is>
      </c>
    </row>
    <row r="1160" spans="1:4">
      <c r="A1160" t="inlineStr">
        <is>
          <t>Nueva Vizcaya</t>
        </is>
      </c>
      <c r="B1160" t="inlineStr">
        <is>
          <t>Ambaguio</t>
        </is>
      </c>
      <c r="C1160" t="inlineStr">
        <is>
          <t>3701</t>
        </is>
      </c>
      <c r="D1160" t="inlineStr">
        <is>
          <t>PHLPost</t>
        </is>
      </c>
    </row>
    <row r="1161" spans="1:4">
      <c r="A1161" t="inlineStr">
        <is>
          <t>Nueva Vizcaya</t>
        </is>
      </c>
      <c r="B1161" t="inlineStr">
        <is>
          <t>Aritao</t>
        </is>
      </c>
      <c r="C1161" t="inlineStr">
        <is>
          <t>3704</t>
        </is>
      </c>
      <c r="D1161" t="inlineStr">
        <is>
          <t>PHLPost</t>
        </is>
      </c>
    </row>
    <row r="1162" spans="1:4">
      <c r="A1162" t="inlineStr">
        <is>
          <t>Nueva Vizcaya</t>
        </is>
      </c>
      <c r="B1162" t="inlineStr">
        <is>
          <t>Bagabag</t>
        </is>
      </c>
      <c r="C1162" t="inlineStr">
        <is>
          <t>3711</t>
        </is>
      </c>
      <c r="D1162" t="inlineStr">
        <is>
          <t>PHLPost</t>
        </is>
      </c>
    </row>
    <row r="1163" spans="1:4">
      <c r="A1163" t="inlineStr">
        <is>
          <t>Nueva Vizcaya</t>
        </is>
      </c>
      <c r="B1163" t="inlineStr">
        <is>
          <t>Bambang</t>
        </is>
      </c>
      <c r="C1163" t="inlineStr">
        <is>
          <t>3702</t>
        </is>
      </c>
      <c r="D1163" t="inlineStr">
        <is>
          <t>PHLPost</t>
        </is>
      </c>
    </row>
    <row r="1164" spans="1:4">
      <c r="A1164" t="inlineStr">
        <is>
          <t>Nueva Vizcaya</t>
        </is>
      </c>
      <c r="B1164" t="inlineStr">
        <is>
          <t>Bayombong</t>
        </is>
      </c>
      <c r="C1164" t="inlineStr">
        <is>
          <t>3700</t>
        </is>
      </c>
      <c r="D1164" t="inlineStr">
        <is>
          <t>PHLPost</t>
        </is>
      </c>
    </row>
    <row r="1165" spans="1:4">
      <c r="A1165" t="inlineStr">
        <is>
          <t>Nueva Vizcaya</t>
        </is>
      </c>
      <c r="B1165" t="inlineStr">
        <is>
          <t>Diadi</t>
        </is>
      </c>
      <c r="C1165" t="inlineStr">
        <is>
          <t>3712</t>
        </is>
      </c>
      <c r="D1165" t="inlineStr">
        <is>
          <t>PHLPost</t>
        </is>
      </c>
    </row>
    <row r="1166" spans="1:4">
      <c r="A1166" t="inlineStr">
        <is>
          <t>Nueva Vizcaya</t>
        </is>
      </c>
      <c r="B1166" t="inlineStr">
        <is>
          <t>Dupax del Norte</t>
        </is>
      </c>
      <c r="C1166" t="inlineStr">
        <is>
          <t>3706</t>
        </is>
      </c>
      <c r="D1166" t="inlineStr">
        <is>
          <t>PHLPost</t>
        </is>
      </c>
    </row>
    <row r="1167" spans="1:4">
      <c r="A1167" t="inlineStr">
        <is>
          <t>Nueva Vizcaya</t>
        </is>
      </c>
      <c r="B1167" t="inlineStr">
        <is>
          <t>Dupax del Sur</t>
        </is>
      </c>
      <c r="C1167" t="inlineStr">
        <is>
          <t>3707</t>
        </is>
      </c>
      <c r="D1167" t="inlineStr">
        <is>
          <t>PHLPost</t>
        </is>
      </c>
    </row>
    <row r="1168" spans="1:4">
      <c r="A1168" t="inlineStr">
        <is>
          <t>Nueva Vizcaya</t>
        </is>
      </c>
      <c r="B1168" t="inlineStr">
        <is>
          <t>Kasibu</t>
        </is>
      </c>
      <c r="C1168" t="inlineStr">
        <is>
          <t>3703</t>
        </is>
      </c>
      <c r="D1168" t="inlineStr">
        <is>
          <t>PHLPost</t>
        </is>
      </c>
    </row>
    <row r="1169" spans="1:4">
      <c r="A1169" t="inlineStr">
        <is>
          <t>Nueva Vizcaya</t>
        </is>
      </c>
      <c r="B1169" t="inlineStr">
        <is>
          <t>Kayapa</t>
        </is>
      </c>
      <c r="C1169" t="inlineStr">
        <is>
          <t>3708</t>
        </is>
      </c>
      <c r="D1169" t="inlineStr">
        <is>
          <t>PHLPost</t>
        </is>
      </c>
    </row>
    <row r="1170" spans="1:4">
      <c r="A1170" t="inlineStr">
        <is>
          <t>Nueva Vizcaya</t>
        </is>
      </c>
      <c r="B1170" t="inlineStr">
        <is>
          <t>Quezon</t>
        </is>
      </c>
      <c r="C1170" t="inlineStr">
        <is>
          <t>3713</t>
        </is>
      </c>
      <c r="D1170" t="inlineStr">
        <is>
          <t>PHLPost</t>
        </is>
      </c>
    </row>
    <row r="1171" spans="1:4">
      <c r="A1171" t="inlineStr">
        <is>
          <t>Nueva Vizcaya</t>
        </is>
      </c>
      <c r="B1171" t="inlineStr">
        <is>
          <t>Santa Fe</t>
        </is>
      </c>
      <c r="C1171" t="inlineStr">
        <is>
          <t>3705</t>
        </is>
      </c>
      <c r="D1171" t="inlineStr">
        <is>
          <t>PHLPost</t>
        </is>
      </c>
    </row>
    <row r="1172" spans="1:4">
      <c r="A1172" t="inlineStr">
        <is>
          <t>Nueva Vizcaya</t>
        </is>
      </c>
      <c r="B1172" t="inlineStr">
        <is>
          <t>Solano</t>
        </is>
      </c>
      <c r="C1172" t="inlineStr">
        <is>
          <t>3709</t>
        </is>
      </c>
      <c r="D1172" t="inlineStr">
        <is>
          <t>PHLPost</t>
        </is>
      </c>
    </row>
    <row r="1173" spans="1:4">
      <c r="A1173" t="inlineStr">
        <is>
          <t>Nueva Vizcaya</t>
        </is>
      </c>
      <c r="B1173" t="inlineStr">
        <is>
          <t>Villaverde</t>
        </is>
      </c>
      <c r="C1173" t="inlineStr">
        <is>
          <t>3703</t>
        </is>
      </c>
      <c r="D1173" t="inlineStr">
        <is>
          <t>BarangayDirectory</t>
        </is>
      </c>
    </row>
    <row r="1174" spans="1:4">
      <c r="A1174" t="inlineStr">
        <is>
          <t>Occidental Mindoro</t>
        </is>
      </c>
      <c r="B1174" t="inlineStr">
        <is>
          <t>Abra De Ilog</t>
        </is>
      </c>
      <c r="C1174" t="inlineStr">
        <is>
          <t>5108</t>
        </is>
      </c>
      <c r="D1174" t="inlineStr">
        <is>
          <t>PHLPost</t>
        </is>
      </c>
    </row>
    <row r="1175" spans="1:4">
      <c r="A1175" t="inlineStr">
        <is>
          <t>Occidental Mindoro</t>
        </is>
      </c>
      <c r="B1175" t="inlineStr">
        <is>
          <t>Calintaan</t>
        </is>
      </c>
      <c r="C1175" t="inlineStr">
        <is>
          <t>5102</t>
        </is>
      </c>
      <c r="D1175" t="inlineStr">
        <is>
          <t>PHLPost</t>
        </is>
      </c>
    </row>
    <row r="1176" spans="1:4">
      <c r="A1176" t="inlineStr">
        <is>
          <t>Occidental Mindoro</t>
        </is>
      </c>
      <c r="B1176" t="inlineStr">
        <is>
          <t>Looc</t>
        </is>
      </c>
      <c r="C1176" t="inlineStr">
        <is>
          <t>5111</t>
        </is>
      </c>
      <c r="D1176" t="inlineStr">
        <is>
          <t>PHLPost</t>
        </is>
      </c>
    </row>
    <row r="1177" spans="1:4">
      <c r="A1177" t="inlineStr">
        <is>
          <t>Occidental Mindoro</t>
        </is>
      </c>
      <c r="B1177" t="inlineStr">
        <is>
          <t>Lubang</t>
        </is>
      </c>
      <c r="C1177" t="inlineStr">
        <is>
          <t>5109</t>
        </is>
      </c>
      <c r="D1177" t="inlineStr">
        <is>
          <t>PHLPost</t>
        </is>
      </c>
    </row>
    <row r="1178" spans="1:4">
      <c r="A1178" t="inlineStr">
        <is>
          <t>Occidental Mindoro</t>
        </is>
      </c>
      <c r="B1178" t="inlineStr">
        <is>
          <t>Magsaysay</t>
        </is>
      </c>
      <c r="C1178" t="inlineStr">
        <is>
          <t>5101</t>
        </is>
      </c>
      <c r="D1178" t="inlineStr">
        <is>
          <t>PHLPost</t>
        </is>
      </c>
    </row>
    <row r="1179" spans="1:4">
      <c r="A1179" t="inlineStr">
        <is>
          <t>Occidental Mindoro</t>
        </is>
      </c>
      <c r="B1179" t="inlineStr">
        <is>
          <t>Mamburao</t>
        </is>
      </c>
      <c r="C1179" t="inlineStr">
        <is>
          <t>5106</t>
        </is>
      </c>
      <c r="D1179" t="inlineStr">
        <is>
          <t>PHLPost</t>
        </is>
      </c>
    </row>
    <row r="1180" spans="1:4">
      <c r="A1180" t="inlineStr">
        <is>
          <t>Occidental Mindoro</t>
        </is>
      </c>
      <c r="B1180" t="inlineStr">
        <is>
          <t>Paluan</t>
        </is>
      </c>
      <c r="C1180" t="inlineStr">
        <is>
          <t>5107</t>
        </is>
      </c>
      <c r="D1180" t="inlineStr">
        <is>
          <t>BarangayDirectory</t>
        </is>
      </c>
    </row>
    <row r="1181" spans="1:4">
      <c r="A1181" t="inlineStr">
        <is>
          <t>Occidental Mindoro</t>
        </is>
      </c>
      <c r="B1181" t="inlineStr">
        <is>
          <t>Rizal</t>
        </is>
      </c>
      <c r="C1181" t="inlineStr">
        <is>
          <t>5103</t>
        </is>
      </c>
      <c r="D1181" t="inlineStr">
        <is>
          <t>PHLPost</t>
        </is>
      </c>
    </row>
    <row r="1182" spans="1:4">
      <c r="A1182" t="inlineStr">
        <is>
          <t>Occidental Mindoro</t>
        </is>
      </c>
      <c r="B1182" t="inlineStr">
        <is>
          <t>Sablayan</t>
        </is>
      </c>
      <c r="C1182" t="inlineStr">
        <is>
          <t>5104</t>
        </is>
      </c>
      <c r="D1182" t="inlineStr">
        <is>
          <t>PHLPost</t>
        </is>
      </c>
    </row>
    <row r="1183" spans="1:4">
      <c r="A1183" t="inlineStr">
        <is>
          <t>Occidental Mindoro</t>
        </is>
      </c>
      <c r="B1183" t="inlineStr">
        <is>
          <t>San Jose</t>
        </is>
      </c>
      <c r="C1183" t="inlineStr">
        <is>
          <t>5100</t>
        </is>
      </c>
      <c r="D1183" t="inlineStr">
        <is>
          <t>PHLPost</t>
        </is>
      </c>
    </row>
    <row r="1184" spans="1:4">
      <c r="A1184" t="inlineStr">
        <is>
          <t>Occidental Mindoro</t>
        </is>
      </c>
      <c r="B1184" t="inlineStr">
        <is>
          <t>Santa Cruz</t>
        </is>
      </c>
      <c r="C1184" t="inlineStr">
        <is>
          <t>5105</t>
        </is>
      </c>
      <c r="D1184" t="inlineStr">
        <is>
          <t>PHLPost</t>
        </is>
      </c>
    </row>
    <row r="1185" spans="1:4">
      <c r="A1185" t="inlineStr">
        <is>
          <t>Oriental Mindoro</t>
        </is>
      </c>
      <c r="B1185" t="inlineStr">
        <is>
          <t>Baco</t>
        </is>
      </c>
      <c r="C1185" t="inlineStr">
        <is>
          <t>5201</t>
        </is>
      </c>
      <c r="D1185" t="inlineStr">
        <is>
          <t>PHLPost</t>
        </is>
      </c>
    </row>
    <row r="1186" spans="1:4">
      <c r="A1186" t="inlineStr">
        <is>
          <t>Oriental Mindoro</t>
        </is>
      </c>
      <c r="B1186" t="inlineStr">
        <is>
          <t>Bansud</t>
        </is>
      </c>
      <c r="C1186" t="inlineStr">
        <is>
          <t>5210</t>
        </is>
      </c>
      <c r="D1186" t="inlineStr">
        <is>
          <t>PHLPost</t>
        </is>
      </c>
    </row>
    <row r="1187" spans="1:4">
      <c r="A1187" t="inlineStr">
        <is>
          <t>Oriental Mindoro</t>
        </is>
      </c>
      <c r="B1187" t="inlineStr">
        <is>
          <t>Bongabong</t>
        </is>
      </c>
      <c r="C1187" t="inlineStr">
        <is>
          <t>5211</t>
        </is>
      </c>
      <c r="D1187" t="inlineStr">
        <is>
          <t>PHLPost</t>
        </is>
      </c>
    </row>
    <row r="1188" spans="1:4">
      <c r="A1188" t="inlineStr">
        <is>
          <t>Oriental Mindoro</t>
        </is>
      </c>
      <c r="B1188" t="inlineStr">
        <is>
          <t>Bulalacao</t>
        </is>
      </c>
      <c r="C1188" t="inlineStr">
        <is>
          <t>5214</t>
        </is>
      </c>
      <c r="D1188" t="inlineStr">
        <is>
          <t>PHLPost</t>
        </is>
      </c>
    </row>
    <row r="1189" spans="1:4">
      <c r="A1189" t="inlineStr">
        <is>
          <t>Oriental Mindoro</t>
        </is>
      </c>
      <c r="B1189" t="inlineStr">
        <is>
          <t>City of Calapan</t>
        </is>
      </c>
      <c r="C1189" t="inlineStr">
        <is>
          <t>5200</t>
        </is>
      </c>
      <c r="D1189" t="inlineStr">
        <is>
          <t>PHLPost</t>
        </is>
      </c>
    </row>
    <row r="1190" spans="1:4">
      <c r="A1190" t="inlineStr">
        <is>
          <t>Oriental Mindoro</t>
        </is>
      </c>
      <c r="B1190" t="inlineStr">
        <is>
          <t>Gloria</t>
        </is>
      </c>
      <c r="C1190" t="inlineStr">
        <is>
          <t>5209</t>
        </is>
      </c>
      <c r="D1190" t="inlineStr">
        <is>
          <t>PHLPost</t>
        </is>
      </c>
    </row>
    <row r="1191" spans="1:4">
      <c r="A1191" t="inlineStr">
        <is>
          <t>Oriental Mindoro</t>
        </is>
      </c>
      <c r="B1191" t="inlineStr">
        <is>
          <t>Mansalay</t>
        </is>
      </c>
      <c r="C1191" t="inlineStr">
        <is>
          <t>5213</t>
        </is>
      </c>
      <c r="D1191" t="inlineStr">
        <is>
          <t>PHLPost</t>
        </is>
      </c>
    </row>
    <row r="1192" spans="1:4">
      <c r="A1192" t="inlineStr">
        <is>
          <t>Oriental Mindoro</t>
        </is>
      </c>
      <c r="B1192" t="inlineStr">
        <is>
          <t>Naujan</t>
        </is>
      </c>
      <c r="C1192" t="inlineStr">
        <is>
          <t>5204</t>
        </is>
      </c>
      <c r="D1192" t="inlineStr">
        <is>
          <t>PHLPost</t>
        </is>
      </c>
    </row>
    <row r="1193" spans="1:4">
      <c r="A1193" t="inlineStr">
        <is>
          <t>Oriental Mindoro</t>
        </is>
      </c>
      <c r="B1193" t="inlineStr">
        <is>
          <t>Pinamalayan</t>
        </is>
      </c>
      <c r="C1193" t="inlineStr">
        <is>
          <t>5208</t>
        </is>
      </c>
      <c r="D1193" t="inlineStr">
        <is>
          <t>PHLPost</t>
        </is>
      </c>
    </row>
    <row r="1194" spans="1:4">
      <c r="A1194" t="inlineStr">
        <is>
          <t>Oriental Mindoro</t>
        </is>
      </c>
      <c r="B1194" t="inlineStr">
        <is>
          <t>Pola</t>
        </is>
      </c>
      <c r="C1194" t="inlineStr">
        <is>
          <t>5206</t>
        </is>
      </c>
      <c r="D1194" t="inlineStr">
        <is>
          <t>PHLPost</t>
        </is>
      </c>
    </row>
    <row r="1195" spans="1:4">
      <c r="A1195" t="inlineStr">
        <is>
          <t>Oriental Mindoro</t>
        </is>
      </c>
      <c r="B1195" t="inlineStr">
        <is>
          <t>Puerto Galera</t>
        </is>
      </c>
      <c r="C1195" t="inlineStr">
        <is>
          <t>5203</t>
        </is>
      </c>
      <c r="D1195" t="inlineStr">
        <is>
          <t>PHLPost</t>
        </is>
      </c>
    </row>
    <row r="1196" spans="1:4">
      <c r="A1196" t="inlineStr">
        <is>
          <t>Oriental Mindoro</t>
        </is>
      </c>
      <c r="B1196" t="inlineStr">
        <is>
          <t>Roxas</t>
        </is>
      </c>
      <c r="C1196" t="inlineStr">
        <is>
          <t>5212</t>
        </is>
      </c>
      <c r="D1196" t="inlineStr">
        <is>
          <t>PHLPost</t>
        </is>
      </c>
    </row>
    <row r="1197" spans="1:4">
      <c r="A1197" t="inlineStr">
        <is>
          <t>Oriental Mindoro</t>
        </is>
      </c>
      <c r="B1197" t="inlineStr">
        <is>
          <t>San Teodoro</t>
        </is>
      </c>
      <c r="C1197" t="inlineStr">
        <is>
          <t>5202</t>
        </is>
      </c>
      <c r="D1197" t="inlineStr">
        <is>
          <t>PHLPost</t>
        </is>
      </c>
    </row>
    <row r="1198" spans="1:4">
      <c r="A1198" t="inlineStr">
        <is>
          <t>Oriental Mindoro</t>
        </is>
      </c>
      <c r="B1198" t="inlineStr">
        <is>
          <t>Socorro</t>
        </is>
      </c>
      <c r="C1198" t="inlineStr">
        <is>
          <t>5207</t>
        </is>
      </c>
      <c r="D1198" t="inlineStr">
        <is>
          <t>PHLPost</t>
        </is>
      </c>
    </row>
    <row r="1199" spans="1:4">
      <c r="A1199" t="inlineStr">
        <is>
          <t>Oriental Mindoro</t>
        </is>
      </c>
      <c r="B1199" t="inlineStr">
        <is>
          <t>Victoria</t>
        </is>
      </c>
      <c r="C1199" t="inlineStr">
        <is>
          <t>5205</t>
        </is>
      </c>
      <c r="D1199" t="inlineStr">
        <is>
          <t>PHLPost</t>
        </is>
      </c>
    </row>
    <row r="1200" spans="1:4">
      <c r="A1200" t="inlineStr">
        <is>
          <t>Palawan</t>
        </is>
      </c>
      <c r="B1200" t="inlineStr">
        <is>
          <t>Aborlan</t>
        </is>
      </c>
      <c r="C1200" t="inlineStr">
        <is>
          <t>5302</t>
        </is>
      </c>
      <c r="D1200" t="inlineStr">
        <is>
          <t>PHLPost</t>
        </is>
      </c>
    </row>
    <row r="1201" spans="1:4">
      <c r="A1201" t="inlineStr">
        <is>
          <t>Palawan</t>
        </is>
      </c>
      <c r="B1201" t="inlineStr">
        <is>
          <t>Agutaya</t>
        </is>
      </c>
      <c r="C1201" t="inlineStr">
        <is>
          <t>5320</t>
        </is>
      </c>
      <c r="D1201" t="inlineStr">
        <is>
          <t>PHLPost</t>
        </is>
      </c>
    </row>
    <row r="1202" spans="1:4">
      <c r="A1202" t="inlineStr">
        <is>
          <t>Palawan</t>
        </is>
      </c>
      <c r="B1202" t="inlineStr">
        <is>
          <t>Araceli</t>
        </is>
      </c>
      <c r="C1202" t="inlineStr">
        <is>
          <t>5311</t>
        </is>
      </c>
      <c r="D1202" t="inlineStr">
        <is>
          <t>PHLPost</t>
        </is>
      </c>
    </row>
    <row r="1203" spans="1:4">
      <c r="A1203" t="inlineStr">
        <is>
          <t>Palawan</t>
        </is>
      </c>
      <c r="B1203" t="inlineStr">
        <is>
          <t>Balabac</t>
        </is>
      </c>
      <c r="C1203" t="inlineStr">
        <is>
          <t>5307</t>
        </is>
      </c>
      <c r="D1203" t="inlineStr">
        <is>
          <t>PHLPost</t>
        </is>
      </c>
    </row>
    <row r="1204" spans="1:4">
      <c r="A1204" t="inlineStr">
        <is>
          <t>Palawan</t>
        </is>
      </c>
      <c r="B1204" t="inlineStr">
        <is>
          <t>Bataraza</t>
        </is>
      </c>
      <c r="C1204" t="inlineStr">
        <is>
          <t>5306</t>
        </is>
      </c>
      <c r="D1204" t="inlineStr">
        <is>
          <t>BarangayDirectory</t>
        </is>
      </c>
    </row>
    <row r="1205" spans="1:4">
      <c r="A1205" t="inlineStr">
        <is>
          <t>Palawan</t>
        </is>
      </c>
      <c r="B1205" t="inlineStr">
        <is>
          <t>Brooke's Point</t>
        </is>
      </c>
      <c r="C1205" t="inlineStr">
        <is>
          <t>5305</t>
        </is>
      </c>
      <c r="D1205" t="inlineStr">
        <is>
          <t>PHLPost</t>
        </is>
      </c>
    </row>
    <row r="1206" spans="1:4">
      <c r="A1206" t="inlineStr">
        <is>
          <t>Palawan</t>
        </is>
      </c>
      <c r="B1206" t="inlineStr">
        <is>
          <t>Busuanga</t>
        </is>
      </c>
      <c r="C1206" t="inlineStr">
        <is>
          <t>5317</t>
        </is>
      </c>
      <c r="D1206" t="inlineStr">
        <is>
          <t>PHLPost</t>
        </is>
      </c>
    </row>
    <row r="1207" spans="1:4">
      <c r="A1207" t="inlineStr">
        <is>
          <t>Palawan</t>
        </is>
      </c>
      <c r="B1207" t="inlineStr">
        <is>
          <t>Cagayancillo</t>
        </is>
      </c>
      <c r="C1207" t="inlineStr">
        <is>
          <t>5321</t>
        </is>
      </c>
      <c r="D1207" t="inlineStr">
        <is>
          <t>PHLPost</t>
        </is>
      </c>
    </row>
    <row r="1208" spans="1:4">
      <c r="A1208" t="inlineStr">
        <is>
          <t>Palawan</t>
        </is>
      </c>
      <c r="B1208" t="inlineStr">
        <is>
          <t>Coron</t>
        </is>
      </c>
      <c r="C1208" t="inlineStr">
        <is>
          <t>5316</t>
        </is>
      </c>
      <c r="D1208" t="inlineStr">
        <is>
          <t>PHLPost</t>
        </is>
      </c>
    </row>
    <row r="1209" spans="1:4">
      <c r="A1209" t="inlineStr">
        <is>
          <t>Palawan</t>
        </is>
      </c>
      <c r="B1209" t="inlineStr">
        <is>
          <t>Culion</t>
        </is>
      </c>
      <c r="C1209" t="inlineStr">
        <is>
          <t>5315</t>
        </is>
      </c>
      <c r="D1209" t="inlineStr">
        <is>
          <t>PHLPost</t>
        </is>
      </c>
    </row>
    <row r="1210" spans="1:4">
      <c r="A1210" t="inlineStr">
        <is>
          <t>Palawan</t>
        </is>
      </c>
      <c r="B1210" t="inlineStr">
        <is>
          <t>Cuyo</t>
        </is>
      </c>
      <c r="C1210" t="inlineStr">
        <is>
          <t>5318</t>
        </is>
      </c>
      <c r="D1210" t="inlineStr">
        <is>
          <t>PHLPost</t>
        </is>
      </c>
    </row>
    <row r="1211" spans="1:4">
      <c r="A1211" t="inlineStr">
        <is>
          <t>Palawan</t>
        </is>
      </c>
      <c r="B1211" t="inlineStr">
        <is>
          <t>Dr. Jose P. Rizal</t>
        </is>
      </c>
      <c r="D1211" t="inlineStr">
        <is>
          <t>Needs verification</t>
        </is>
      </c>
    </row>
    <row r="1212" spans="1:4">
      <c r="A1212" t="inlineStr">
        <is>
          <t>Palawan</t>
        </is>
      </c>
      <c r="B1212" t="inlineStr">
        <is>
          <t>Dumaran</t>
        </is>
      </c>
      <c r="C1212" t="inlineStr">
        <is>
          <t>5310</t>
        </is>
      </c>
      <c r="D1212" t="inlineStr">
        <is>
          <t>PHLPost</t>
        </is>
      </c>
    </row>
    <row r="1213" spans="1:4">
      <c r="A1213" t="inlineStr">
        <is>
          <t>Palawan</t>
        </is>
      </c>
      <c r="B1213" t="inlineStr">
        <is>
          <t>El Nido</t>
        </is>
      </c>
      <c r="C1213" t="inlineStr">
        <is>
          <t>5313</t>
        </is>
      </c>
      <c r="D1213" t="inlineStr">
        <is>
          <t>BarangayDirectory</t>
        </is>
      </c>
    </row>
    <row r="1214" spans="1:4">
      <c r="A1214" t="inlineStr">
        <is>
          <t>Palawan</t>
        </is>
      </c>
      <c r="B1214" t="inlineStr">
        <is>
          <t>Kalayaan</t>
        </is>
      </c>
      <c r="C1214" t="inlineStr">
        <is>
          <t>5322</t>
        </is>
      </c>
      <c r="D1214" t="inlineStr">
        <is>
          <t>PHLPost</t>
        </is>
      </c>
    </row>
    <row r="1215" spans="1:4">
      <c r="A1215" t="inlineStr">
        <is>
          <t>Palawan</t>
        </is>
      </c>
      <c r="B1215" t="inlineStr">
        <is>
          <t>Linapacan</t>
        </is>
      </c>
      <c r="C1215" t="inlineStr">
        <is>
          <t>5314</t>
        </is>
      </c>
      <c r="D1215" t="inlineStr">
        <is>
          <t>PHLPost</t>
        </is>
      </c>
    </row>
    <row r="1216" spans="1:4">
      <c r="A1216" t="inlineStr">
        <is>
          <t>Palawan</t>
        </is>
      </c>
      <c r="B1216" t="inlineStr">
        <is>
          <t>Magsaysay</t>
        </is>
      </c>
      <c r="C1216" t="inlineStr">
        <is>
          <t>5319</t>
        </is>
      </c>
      <c r="D1216" t="inlineStr">
        <is>
          <t>PHLPost</t>
        </is>
      </c>
    </row>
    <row r="1217" spans="1:4">
      <c r="A1217" t="inlineStr">
        <is>
          <t>Palawan</t>
        </is>
      </c>
      <c r="B1217" t="inlineStr">
        <is>
          <t>Narra</t>
        </is>
      </c>
      <c r="C1217" t="inlineStr">
        <is>
          <t>5303</t>
        </is>
      </c>
      <c r="D1217" t="inlineStr">
        <is>
          <t>BarangayDirectory</t>
        </is>
      </c>
    </row>
    <row r="1218" spans="1:4">
      <c r="A1218" t="inlineStr">
        <is>
          <t>Palawan</t>
        </is>
      </c>
      <c r="B1218" t="inlineStr">
        <is>
          <t>Quezon</t>
        </is>
      </c>
      <c r="C1218" t="inlineStr">
        <is>
          <t>5304</t>
        </is>
      </c>
      <c r="D1218" t="inlineStr">
        <is>
          <t>PHLPost</t>
        </is>
      </c>
    </row>
    <row r="1219" spans="1:4">
      <c r="A1219" t="inlineStr">
        <is>
          <t>Palawan</t>
        </is>
      </c>
      <c r="B1219" t="inlineStr">
        <is>
          <t>Roxas</t>
        </is>
      </c>
      <c r="C1219" t="inlineStr">
        <is>
          <t>5308</t>
        </is>
      </c>
      <c r="D1219" t="inlineStr">
        <is>
          <t>PHLPost</t>
        </is>
      </c>
    </row>
    <row r="1220" spans="1:4">
      <c r="A1220" t="inlineStr">
        <is>
          <t>Palawan</t>
        </is>
      </c>
      <c r="B1220" t="inlineStr">
        <is>
          <t>San Vicente</t>
        </is>
      </c>
      <c r="C1220" t="inlineStr">
        <is>
          <t>5309</t>
        </is>
      </c>
      <c r="D1220" t="inlineStr">
        <is>
          <t>PHLPost</t>
        </is>
      </c>
    </row>
    <row r="1221" spans="1:4">
      <c r="A1221" t="inlineStr">
        <is>
          <t>Palawan</t>
        </is>
      </c>
      <c r="B1221" t="inlineStr">
        <is>
          <t>Sofronio Española</t>
        </is>
      </c>
      <c r="C1221" t="inlineStr">
        <is>
          <t>5324</t>
        </is>
      </c>
      <c r="D1221" t="inlineStr">
        <is>
          <t>PHLPost</t>
        </is>
      </c>
    </row>
    <row r="1222" spans="1:4">
      <c r="A1222" t="inlineStr">
        <is>
          <t>Palawan</t>
        </is>
      </c>
      <c r="B1222" t="inlineStr">
        <is>
          <t>Taytay</t>
        </is>
      </c>
      <c r="C1222" t="inlineStr">
        <is>
          <t>5312</t>
        </is>
      </c>
      <c r="D1222" t="inlineStr">
        <is>
          <t>PHLPost</t>
        </is>
      </c>
    </row>
    <row r="1223" spans="1:4">
      <c r="A1223" t="inlineStr">
        <is>
          <t>Pampanga</t>
        </is>
      </c>
      <c r="B1223" t="inlineStr">
        <is>
          <t>Apalit</t>
        </is>
      </c>
      <c r="C1223" t="inlineStr">
        <is>
          <t>2016</t>
        </is>
      </c>
      <c r="D1223" t="inlineStr">
        <is>
          <t>PHLPost</t>
        </is>
      </c>
    </row>
    <row r="1224" spans="1:4">
      <c r="A1224" t="inlineStr">
        <is>
          <t>Pampanga</t>
        </is>
      </c>
      <c r="B1224" t="inlineStr">
        <is>
          <t>Arayat</t>
        </is>
      </c>
      <c r="C1224" t="inlineStr">
        <is>
          <t>2012</t>
        </is>
      </c>
      <c r="D1224" t="inlineStr">
        <is>
          <t>PHLPost</t>
        </is>
      </c>
    </row>
    <row r="1225" spans="1:4">
      <c r="A1225" t="inlineStr">
        <is>
          <t>Pampanga</t>
        </is>
      </c>
      <c r="B1225" t="inlineStr">
        <is>
          <t>Bacolor</t>
        </is>
      </c>
      <c r="C1225" t="inlineStr">
        <is>
          <t>2001</t>
        </is>
      </c>
      <c r="D1225" t="inlineStr">
        <is>
          <t>PHLPost</t>
        </is>
      </c>
    </row>
    <row r="1226" spans="1:4">
      <c r="A1226" t="inlineStr">
        <is>
          <t>Pampanga</t>
        </is>
      </c>
      <c r="B1226" t="inlineStr">
        <is>
          <t>Candaba</t>
        </is>
      </c>
      <c r="C1226" t="inlineStr">
        <is>
          <t>2013</t>
        </is>
      </c>
      <c r="D1226" t="inlineStr">
        <is>
          <t>PHLPost</t>
        </is>
      </c>
    </row>
    <row r="1227" spans="1:4">
      <c r="A1227" t="inlineStr">
        <is>
          <t>Pampanga</t>
        </is>
      </c>
      <c r="B1227" t="inlineStr">
        <is>
          <t>City of San Fernando</t>
        </is>
      </c>
      <c r="C1227" t="inlineStr">
        <is>
          <t>2000</t>
        </is>
      </c>
      <c r="D1227" t="inlineStr">
        <is>
          <t>PHLPost</t>
        </is>
      </c>
    </row>
    <row r="1228" spans="1:4">
      <c r="A1228" t="inlineStr">
        <is>
          <t>Pampanga</t>
        </is>
      </c>
      <c r="B1228" t="inlineStr">
        <is>
          <t>Floridablanca</t>
        </is>
      </c>
      <c r="C1228" t="inlineStr">
        <is>
          <t>2006</t>
        </is>
      </c>
      <c r="D1228" t="inlineStr">
        <is>
          <t>PHLPost</t>
        </is>
      </c>
    </row>
    <row r="1229" spans="1:4">
      <c r="A1229" t="inlineStr">
        <is>
          <t>Pampanga</t>
        </is>
      </c>
      <c r="B1229" t="inlineStr">
        <is>
          <t>Guagua</t>
        </is>
      </c>
      <c r="C1229" t="inlineStr">
        <is>
          <t>2003</t>
        </is>
      </c>
      <c r="D1229" t="inlineStr">
        <is>
          <t>PHLPost</t>
        </is>
      </c>
    </row>
    <row r="1230" spans="1:4">
      <c r="A1230" t="inlineStr">
        <is>
          <t>Pampanga</t>
        </is>
      </c>
      <c r="B1230" t="inlineStr">
        <is>
          <t>Lubao</t>
        </is>
      </c>
      <c r="C1230" t="inlineStr">
        <is>
          <t>2005</t>
        </is>
      </c>
      <c r="D1230" t="inlineStr">
        <is>
          <t>PHLPost</t>
        </is>
      </c>
    </row>
    <row r="1231" spans="1:4">
      <c r="A1231" t="inlineStr">
        <is>
          <t>Pampanga</t>
        </is>
      </c>
      <c r="B1231" t="inlineStr">
        <is>
          <t>Mabalacat City</t>
        </is>
      </c>
      <c r="C1231" t="inlineStr">
        <is>
          <t>2010</t>
        </is>
      </c>
      <c r="D1231" t="inlineStr">
        <is>
          <t>PHLPost</t>
        </is>
      </c>
    </row>
    <row r="1232" spans="1:4">
      <c r="A1232" t="inlineStr">
        <is>
          <t>Pampanga</t>
        </is>
      </c>
      <c r="B1232" t="inlineStr">
        <is>
          <t>Macabebe</t>
        </is>
      </c>
      <c r="C1232" t="inlineStr">
        <is>
          <t>2018</t>
        </is>
      </c>
      <c r="D1232" t="inlineStr">
        <is>
          <t>PHLPost</t>
        </is>
      </c>
    </row>
    <row r="1233" spans="1:4">
      <c r="A1233" t="inlineStr">
        <is>
          <t>Pampanga</t>
        </is>
      </c>
      <c r="B1233" t="inlineStr">
        <is>
          <t>Magalang</t>
        </is>
      </c>
      <c r="C1233" t="inlineStr">
        <is>
          <t>2011</t>
        </is>
      </c>
      <c r="D1233" t="inlineStr">
        <is>
          <t>PHLPost</t>
        </is>
      </c>
    </row>
    <row r="1234" spans="1:4">
      <c r="A1234" t="inlineStr">
        <is>
          <t>Pampanga</t>
        </is>
      </c>
      <c r="B1234" t="inlineStr">
        <is>
          <t>Masantol</t>
        </is>
      </c>
      <c r="C1234" t="inlineStr">
        <is>
          <t>2017</t>
        </is>
      </c>
      <c r="D1234" t="inlineStr">
        <is>
          <t>PHLPost</t>
        </is>
      </c>
    </row>
    <row r="1235" spans="1:4">
      <c r="A1235" t="inlineStr">
        <is>
          <t>Pampanga</t>
        </is>
      </c>
      <c r="B1235" t="inlineStr">
        <is>
          <t>Mexico</t>
        </is>
      </c>
      <c r="C1235" t="inlineStr">
        <is>
          <t>2021</t>
        </is>
      </c>
      <c r="D1235" t="inlineStr">
        <is>
          <t>PHLPost</t>
        </is>
      </c>
    </row>
    <row r="1236" spans="1:4">
      <c r="A1236" t="inlineStr">
        <is>
          <t>Pampanga</t>
        </is>
      </c>
      <c r="B1236" t="inlineStr">
        <is>
          <t>Minalin</t>
        </is>
      </c>
      <c r="C1236" t="inlineStr">
        <is>
          <t>2019</t>
        </is>
      </c>
      <c r="D1236" t="inlineStr">
        <is>
          <t>PHLPost</t>
        </is>
      </c>
    </row>
    <row r="1237" spans="1:4">
      <c r="A1237" t="inlineStr">
        <is>
          <t>Pampanga</t>
        </is>
      </c>
      <c r="B1237" t="inlineStr">
        <is>
          <t>Porac</t>
        </is>
      </c>
      <c r="C1237" t="inlineStr">
        <is>
          <t>2008</t>
        </is>
      </c>
      <c r="D1237" t="inlineStr">
        <is>
          <t>PHLPost</t>
        </is>
      </c>
    </row>
    <row r="1238" spans="1:4">
      <c r="A1238" t="inlineStr">
        <is>
          <t>Pampanga</t>
        </is>
      </c>
      <c r="B1238" t="inlineStr">
        <is>
          <t>San Luis</t>
        </is>
      </c>
      <c r="C1238" t="inlineStr">
        <is>
          <t>2014</t>
        </is>
      </c>
      <c r="D1238" t="inlineStr">
        <is>
          <t>PHLPost</t>
        </is>
      </c>
    </row>
    <row r="1239" spans="1:4">
      <c r="A1239" t="inlineStr">
        <is>
          <t>Pampanga</t>
        </is>
      </c>
      <c r="B1239" t="inlineStr">
        <is>
          <t>San Simon</t>
        </is>
      </c>
      <c r="C1239" t="inlineStr">
        <is>
          <t>2015</t>
        </is>
      </c>
      <c r="D1239" t="inlineStr">
        <is>
          <t>PHLPost</t>
        </is>
      </c>
    </row>
    <row r="1240" spans="1:4">
      <c r="A1240" t="inlineStr">
        <is>
          <t>Pampanga</t>
        </is>
      </c>
      <c r="B1240" t="inlineStr">
        <is>
          <t>Santa Ana</t>
        </is>
      </c>
      <c r="C1240" t="inlineStr">
        <is>
          <t>2022</t>
        </is>
      </c>
      <c r="D1240" t="inlineStr">
        <is>
          <t>PHLPost</t>
        </is>
      </c>
    </row>
    <row r="1241" spans="1:4">
      <c r="A1241" t="inlineStr">
        <is>
          <t>Pampanga</t>
        </is>
      </c>
      <c r="B1241" t="inlineStr">
        <is>
          <t>Santa Rita</t>
        </is>
      </c>
      <c r="C1241" t="inlineStr">
        <is>
          <t>2002</t>
        </is>
      </c>
      <c r="D1241" t="inlineStr">
        <is>
          <t>PHLPost</t>
        </is>
      </c>
    </row>
    <row r="1242" spans="1:4">
      <c r="A1242" t="inlineStr">
        <is>
          <t>Pampanga</t>
        </is>
      </c>
      <c r="B1242" t="inlineStr">
        <is>
          <t>Sasmuan</t>
        </is>
      </c>
      <c r="C1242" t="inlineStr">
        <is>
          <t>2004</t>
        </is>
      </c>
      <c r="D1242" t="inlineStr">
        <is>
          <t>PHLPost</t>
        </is>
      </c>
    </row>
    <row r="1243" spans="1:4">
      <c r="A1243" t="inlineStr">
        <is>
          <t>Pampanga</t>
        </is>
      </c>
      <c r="B1243" t="inlineStr">
        <is>
          <t>Sto. Tomas</t>
        </is>
      </c>
      <c r="C1243" t="inlineStr">
        <is>
          <t>2020</t>
        </is>
      </c>
      <c r="D1243" t="inlineStr">
        <is>
          <t>PHLPost</t>
        </is>
      </c>
    </row>
    <row r="1244" spans="1:4">
      <c r="A1244" t="inlineStr">
        <is>
          <t>Pangasinan</t>
        </is>
      </c>
      <c r="B1244" t="inlineStr">
        <is>
          <t>Agno</t>
        </is>
      </c>
      <c r="C1244" t="inlineStr">
        <is>
          <t>2408</t>
        </is>
      </c>
      <c r="D1244" t="inlineStr">
        <is>
          <t>BarangayDirectory</t>
        </is>
      </c>
    </row>
    <row r="1245" spans="1:4">
      <c r="A1245" t="inlineStr">
        <is>
          <t>Pangasinan</t>
        </is>
      </c>
      <c r="B1245" t="inlineStr">
        <is>
          <t>Aguilar</t>
        </is>
      </c>
      <c r="C1245" t="inlineStr">
        <is>
          <t>2415</t>
        </is>
      </c>
      <c r="D1245" t="inlineStr">
        <is>
          <t>BarangayDirectory</t>
        </is>
      </c>
    </row>
    <row r="1246" spans="1:4">
      <c r="A1246" t="inlineStr">
        <is>
          <t>Pangasinan</t>
        </is>
      </c>
      <c r="B1246" t="inlineStr">
        <is>
          <t>Alcala</t>
        </is>
      </c>
      <c r="C1246" t="inlineStr">
        <is>
          <t>2425</t>
        </is>
      </c>
      <c r="D1246" t="inlineStr">
        <is>
          <t>BarangayDirectory</t>
        </is>
      </c>
    </row>
    <row r="1247" spans="1:4">
      <c r="A1247" t="inlineStr">
        <is>
          <t>Pangasinan</t>
        </is>
      </c>
      <c r="B1247" t="inlineStr">
        <is>
          <t>Anda</t>
        </is>
      </c>
      <c r="C1247" t="inlineStr">
        <is>
          <t>2405</t>
        </is>
      </c>
      <c r="D1247" t="inlineStr">
        <is>
          <t>BarangayDirectory</t>
        </is>
      </c>
    </row>
    <row r="1248" spans="1:4">
      <c r="A1248" t="inlineStr">
        <is>
          <t>Pangasinan</t>
        </is>
      </c>
      <c r="B1248" t="inlineStr">
        <is>
          <t>Asingan</t>
        </is>
      </c>
      <c r="C1248" t="inlineStr">
        <is>
          <t>2439</t>
        </is>
      </c>
      <c r="D1248" t="inlineStr">
        <is>
          <t>BarangayDirectory</t>
        </is>
      </c>
    </row>
    <row r="1249" spans="1:4">
      <c r="A1249" t="inlineStr">
        <is>
          <t>Pangasinan</t>
        </is>
      </c>
      <c r="B1249" t="inlineStr">
        <is>
          <t>Balungao</t>
        </is>
      </c>
      <c r="C1249" t="inlineStr">
        <is>
          <t>2442</t>
        </is>
      </c>
      <c r="D1249" t="inlineStr">
        <is>
          <t>BarangayDirectory</t>
        </is>
      </c>
    </row>
    <row r="1250" spans="1:4">
      <c r="A1250" t="inlineStr">
        <is>
          <t>Pangasinan</t>
        </is>
      </c>
      <c r="B1250" t="inlineStr">
        <is>
          <t>Bani</t>
        </is>
      </c>
      <c r="C1250" t="inlineStr">
        <is>
          <t>2407</t>
        </is>
      </c>
      <c r="D1250" t="inlineStr">
        <is>
          <t>BarangayDirectory</t>
        </is>
      </c>
    </row>
    <row r="1251" spans="1:4">
      <c r="A1251" t="inlineStr">
        <is>
          <t>Pangasinan</t>
        </is>
      </c>
      <c r="B1251" t="inlineStr">
        <is>
          <t>Basista</t>
        </is>
      </c>
      <c r="C1251" t="inlineStr">
        <is>
          <t>2422</t>
        </is>
      </c>
      <c r="D1251" t="inlineStr">
        <is>
          <t>BarangayDirectory</t>
        </is>
      </c>
    </row>
    <row r="1252" spans="1:4">
      <c r="A1252" t="inlineStr">
        <is>
          <t>Pangasinan</t>
        </is>
      </c>
      <c r="B1252" t="inlineStr">
        <is>
          <t>Bautista</t>
        </is>
      </c>
      <c r="C1252" t="inlineStr">
        <is>
          <t>2424</t>
        </is>
      </c>
      <c r="D1252" t="inlineStr">
        <is>
          <t>BarangayDirectory</t>
        </is>
      </c>
    </row>
    <row r="1253" spans="1:4">
      <c r="A1253" t="inlineStr">
        <is>
          <t>Pangasinan</t>
        </is>
      </c>
      <c r="B1253" t="inlineStr">
        <is>
          <t>Bayambang</t>
        </is>
      </c>
      <c r="C1253" t="inlineStr">
        <is>
          <t>2423</t>
        </is>
      </c>
      <c r="D1253" t="inlineStr">
        <is>
          <t>BarangayDirectory</t>
        </is>
      </c>
    </row>
    <row r="1254" spans="1:4">
      <c r="A1254" t="inlineStr">
        <is>
          <t>Pangasinan</t>
        </is>
      </c>
      <c r="B1254" t="inlineStr">
        <is>
          <t>Binalonan</t>
        </is>
      </c>
      <c r="C1254" t="inlineStr">
        <is>
          <t>2436</t>
        </is>
      </c>
      <c r="D1254" t="inlineStr">
        <is>
          <t>BarangayDirectory</t>
        </is>
      </c>
    </row>
    <row r="1255" spans="1:4">
      <c r="A1255" t="inlineStr">
        <is>
          <t>Pangasinan</t>
        </is>
      </c>
      <c r="B1255" t="inlineStr">
        <is>
          <t>Binmaley</t>
        </is>
      </c>
      <c r="C1255" t="inlineStr">
        <is>
          <t>2417</t>
        </is>
      </c>
      <c r="D1255" t="inlineStr">
        <is>
          <t>BarangayDirectory</t>
        </is>
      </c>
    </row>
    <row r="1256" spans="1:4">
      <c r="A1256" t="inlineStr">
        <is>
          <t>Pangasinan</t>
        </is>
      </c>
      <c r="B1256" t="inlineStr">
        <is>
          <t>Bolinao</t>
        </is>
      </c>
      <c r="C1256" t="inlineStr">
        <is>
          <t>2406</t>
        </is>
      </c>
      <c r="D1256" t="inlineStr">
        <is>
          <t>BarangayDirectory</t>
        </is>
      </c>
    </row>
    <row r="1257" spans="1:4">
      <c r="A1257" t="inlineStr">
        <is>
          <t>Pangasinan</t>
        </is>
      </c>
      <c r="B1257" t="inlineStr">
        <is>
          <t>Bugallon</t>
        </is>
      </c>
      <c r="C1257" t="inlineStr">
        <is>
          <t>2416</t>
        </is>
      </c>
      <c r="D1257" t="inlineStr">
        <is>
          <t>BarangayDirectory</t>
        </is>
      </c>
    </row>
    <row r="1258" spans="1:4">
      <c r="A1258" t="inlineStr">
        <is>
          <t>Pangasinan</t>
        </is>
      </c>
      <c r="B1258" t="inlineStr">
        <is>
          <t>Burgos</t>
        </is>
      </c>
      <c r="C1258" t="inlineStr">
        <is>
          <t>2410</t>
        </is>
      </c>
      <c r="D1258" t="inlineStr">
        <is>
          <t>BarangayDirectory</t>
        </is>
      </c>
    </row>
    <row r="1259" spans="1:4">
      <c r="A1259" t="inlineStr">
        <is>
          <t>Pangasinan</t>
        </is>
      </c>
      <c r="B1259" t="inlineStr">
        <is>
          <t>Calasiao</t>
        </is>
      </c>
      <c r="C1259" t="inlineStr">
        <is>
          <t>2418</t>
        </is>
      </c>
      <c r="D1259" t="inlineStr">
        <is>
          <t>BarangayDirectory</t>
        </is>
      </c>
    </row>
    <row r="1260" spans="1:4">
      <c r="A1260" t="inlineStr">
        <is>
          <t>Pangasinan</t>
        </is>
      </c>
      <c r="B1260" t="inlineStr">
        <is>
          <t>City of Alaminos</t>
        </is>
      </c>
      <c r="C1260" t="inlineStr">
        <is>
          <t>2404</t>
        </is>
      </c>
      <c r="D1260" t="inlineStr">
        <is>
          <t>BarangayDirectory</t>
        </is>
      </c>
    </row>
    <row r="1261" spans="1:4">
      <c r="A1261" t="inlineStr">
        <is>
          <t>Pangasinan</t>
        </is>
      </c>
      <c r="B1261" t="inlineStr">
        <is>
          <t>City of Dagupan</t>
        </is>
      </c>
      <c r="C1261" t="inlineStr">
        <is>
          <t>2400</t>
        </is>
      </c>
      <c r="D1261" t="inlineStr">
        <is>
          <t>BarangayDirectory</t>
        </is>
      </c>
    </row>
    <row r="1262" spans="1:4">
      <c r="A1262" t="inlineStr">
        <is>
          <t>Pangasinan</t>
        </is>
      </c>
      <c r="B1262" t="inlineStr">
        <is>
          <t>City of San Carlos</t>
        </is>
      </c>
      <c r="C1262" t="inlineStr">
        <is>
          <t>2420</t>
        </is>
      </c>
      <c r="D1262" t="inlineStr">
        <is>
          <t>PHLPost</t>
        </is>
      </c>
    </row>
    <row r="1263" spans="1:4">
      <c r="A1263" t="inlineStr">
        <is>
          <t>Pangasinan</t>
        </is>
      </c>
      <c r="B1263" t="inlineStr">
        <is>
          <t>City of Urdaneta</t>
        </is>
      </c>
      <c r="C1263" t="inlineStr">
        <is>
          <t>2428</t>
        </is>
      </c>
      <c r="D1263" t="inlineStr">
        <is>
          <t>PHLPost</t>
        </is>
      </c>
    </row>
    <row r="1264" spans="1:4">
      <c r="A1264" t="inlineStr">
        <is>
          <t>Pangasinan</t>
        </is>
      </c>
      <c r="B1264" t="inlineStr">
        <is>
          <t>Dasol</t>
        </is>
      </c>
      <c r="C1264" t="inlineStr">
        <is>
          <t>2411</t>
        </is>
      </c>
      <c r="D1264" t="inlineStr">
        <is>
          <t>BarangayDirectory</t>
        </is>
      </c>
    </row>
    <row r="1265" spans="1:4">
      <c r="A1265" t="inlineStr">
        <is>
          <t>Pangasinan</t>
        </is>
      </c>
      <c r="B1265" t="inlineStr">
        <is>
          <t>Infanta</t>
        </is>
      </c>
      <c r="C1265" t="inlineStr">
        <is>
          <t>2412</t>
        </is>
      </c>
      <c r="D1265" t="inlineStr">
        <is>
          <t>BarangayDirectory</t>
        </is>
      </c>
    </row>
    <row r="1266" spans="1:4">
      <c r="A1266" t="inlineStr">
        <is>
          <t>Pangasinan</t>
        </is>
      </c>
      <c r="B1266" t="inlineStr">
        <is>
          <t>Labrador</t>
        </is>
      </c>
      <c r="C1266" t="inlineStr">
        <is>
          <t>2402</t>
        </is>
      </c>
      <c r="D1266" t="inlineStr">
        <is>
          <t>BarangayDirectory</t>
        </is>
      </c>
    </row>
    <row r="1267" spans="1:4">
      <c r="A1267" t="inlineStr">
        <is>
          <t>Pangasinan</t>
        </is>
      </c>
      <c r="B1267" t="inlineStr">
        <is>
          <t>Laoac</t>
        </is>
      </c>
      <c r="C1267" t="inlineStr">
        <is>
          <t>2437</t>
        </is>
      </c>
      <c r="D1267" t="inlineStr">
        <is>
          <t>BarangayDirectory</t>
        </is>
      </c>
    </row>
    <row r="1268" spans="1:4">
      <c r="A1268" t="inlineStr">
        <is>
          <t>Pangasinan</t>
        </is>
      </c>
      <c r="B1268" t="inlineStr">
        <is>
          <t>Lingayen</t>
        </is>
      </c>
      <c r="C1268" t="inlineStr">
        <is>
          <t>2401</t>
        </is>
      </c>
      <c r="D1268" t="inlineStr">
        <is>
          <t>BarangayDirectory</t>
        </is>
      </c>
    </row>
    <row r="1269" spans="1:4">
      <c r="A1269" t="inlineStr">
        <is>
          <t>Pangasinan</t>
        </is>
      </c>
      <c r="B1269" t="inlineStr">
        <is>
          <t>Mabini</t>
        </is>
      </c>
      <c r="C1269" t="inlineStr">
        <is>
          <t>2409</t>
        </is>
      </c>
      <c r="D1269" t="inlineStr">
        <is>
          <t>BarangayDirectory</t>
        </is>
      </c>
    </row>
    <row r="1270" spans="1:4">
      <c r="A1270" t="inlineStr">
        <is>
          <t>Pangasinan</t>
        </is>
      </c>
      <c r="B1270" t="inlineStr">
        <is>
          <t>Malasiqui</t>
        </is>
      </c>
      <c r="C1270" t="inlineStr">
        <is>
          <t>2421</t>
        </is>
      </c>
      <c r="D1270" t="inlineStr">
        <is>
          <t>BarangayDirectory</t>
        </is>
      </c>
    </row>
    <row r="1271" spans="1:4">
      <c r="A1271" t="inlineStr">
        <is>
          <t>Pangasinan</t>
        </is>
      </c>
      <c r="B1271" t="inlineStr">
        <is>
          <t>Manaoag</t>
        </is>
      </c>
      <c r="C1271" t="inlineStr">
        <is>
          <t>2430</t>
        </is>
      </c>
      <c r="D1271" t="inlineStr">
        <is>
          <t>BarangayDirectory</t>
        </is>
      </c>
    </row>
    <row r="1272" spans="1:4">
      <c r="A1272" t="inlineStr">
        <is>
          <t>Pangasinan</t>
        </is>
      </c>
      <c r="B1272" t="inlineStr">
        <is>
          <t>Mangaldan</t>
        </is>
      </c>
      <c r="C1272" t="inlineStr">
        <is>
          <t>2432</t>
        </is>
      </c>
      <c r="D1272" t="inlineStr">
        <is>
          <t>PHLPost</t>
        </is>
      </c>
    </row>
    <row r="1273" spans="1:4">
      <c r="A1273" t="inlineStr">
        <is>
          <t>Pangasinan</t>
        </is>
      </c>
      <c r="B1273" t="inlineStr">
        <is>
          <t>Mangatarem</t>
        </is>
      </c>
      <c r="C1273" t="inlineStr">
        <is>
          <t>2413</t>
        </is>
      </c>
      <c r="D1273" t="inlineStr">
        <is>
          <t>PHLPost</t>
        </is>
      </c>
    </row>
    <row r="1274" spans="1:4">
      <c r="A1274" t="inlineStr">
        <is>
          <t>Pangasinan</t>
        </is>
      </c>
      <c r="B1274" t="inlineStr">
        <is>
          <t>Mapandan</t>
        </is>
      </c>
      <c r="C1274" t="inlineStr">
        <is>
          <t>2429</t>
        </is>
      </c>
      <c r="D1274" t="inlineStr">
        <is>
          <t>PHLPost</t>
        </is>
      </c>
    </row>
    <row r="1275" spans="1:4">
      <c r="A1275" t="inlineStr">
        <is>
          <t>Pangasinan</t>
        </is>
      </c>
      <c r="B1275" t="inlineStr">
        <is>
          <t>Natividad</t>
        </is>
      </c>
      <c r="C1275" t="inlineStr">
        <is>
          <t>2446</t>
        </is>
      </c>
      <c r="D1275" t="inlineStr">
        <is>
          <t>PHLPost</t>
        </is>
      </c>
    </row>
    <row r="1276" spans="1:4">
      <c r="A1276" t="inlineStr">
        <is>
          <t>Pangasinan</t>
        </is>
      </c>
      <c r="B1276" t="inlineStr">
        <is>
          <t>Pozorrubio</t>
        </is>
      </c>
      <c r="C1276" t="inlineStr">
        <is>
          <t>2435</t>
        </is>
      </c>
      <c r="D1276" t="inlineStr">
        <is>
          <t>PHLPost</t>
        </is>
      </c>
    </row>
    <row r="1277" spans="1:4">
      <c r="A1277" t="inlineStr">
        <is>
          <t>Pangasinan</t>
        </is>
      </c>
      <c r="B1277" t="inlineStr">
        <is>
          <t>Rosales</t>
        </is>
      </c>
      <c r="C1277" t="inlineStr">
        <is>
          <t>2441</t>
        </is>
      </c>
      <c r="D1277" t="inlineStr">
        <is>
          <t>PHLPost</t>
        </is>
      </c>
    </row>
    <row r="1278" spans="1:4">
      <c r="A1278" t="inlineStr">
        <is>
          <t>Pangasinan</t>
        </is>
      </c>
      <c r="B1278" t="inlineStr">
        <is>
          <t>San Fabian</t>
        </is>
      </c>
      <c r="C1278" t="inlineStr">
        <is>
          <t>2433</t>
        </is>
      </c>
      <c r="D1278" t="inlineStr">
        <is>
          <t>PHLPost</t>
        </is>
      </c>
    </row>
    <row r="1279" spans="1:4">
      <c r="A1279" t="inlineStr">
        <is>
          <t>Pangasinan</t>
        </is>
      </c>
      <c r="B1279" t="inlineStr">
        <is>
          <t>San Jacinto</t>
        </is>
      </c>
      <c r="C1279" t="inlineStr">
        <is>
          <t>2431</t>
        </is>
      </c>
      <c r="D1279" t="inlineStr">
        <is>
          <t>PHLPost</t>
        </is>
      </c>
    </row>
    <row r="1280" spans="1:4">
      <c r="A1280" t="inlineStr">
        <is>
          <t>Pangasinan</t>
        </is>
      </c>
      <c r="B1280" t="inlineStr">
        <is>
          <t>San Manuel</t>
        </is>
      </c>
      <c r="C1280" t="inlineStr">
        <is>
          <t>2438</t>
        </is>
      </c>
      <c r="D1280" t="inlineStr">
        <is>
          <t>PHLPost</t>
        </is>
      </c>
    </row>
    <row r="1281" spans="1:4">
      <c r="A1281" t="inlineStr">
        <is>
          <t>Pangasinan</t>
        </is>
      </c>
      <c r="B1281" t="inlineStr">
        <is>
          <t>San Nicolas</t>
        </is>
      </c>
      <c r="C1281" t="inlineStr">
        <is>
          <t>2447</t>
        </is>
      </c>
      <c r="D1281" t="inlineStr">
        <is>
          <t>PHLPost</t>
        </is>
      </c>
    </row>
    <row r="1282" spans="1:4">
      <c r="A1282" t="inlineStr">
        <is>
          <t>Pangasinan</t>
        </is>
      </c>
      <c r="B1282" t="inlineStr">
        <is>
          <t>San Quintin</t>
        </is>
      </c>
      <c r="C1282" t="inlineStr">
        <is>
          <t>2444</t>
        </is>
      </c>
      <c r="D1282" t="inlineStr">
        <is>
          <t>PHLPost</t>
        </is>
      </c>
    </row>
    <row r="1283" spans="1:4">
      <c r="A1283" t="inlineStr">
        <is>
          <t>Pangasinan</t>
        </is>
      </c>
      <c r="B1283" t="inlineStr">
        <is>
          <t>Santa Barbara</t>
        </is>
      </c>
      <c r="C1283" t="inlineStr">
        <is>
          <t>2419</t>
        </is>
      </c>
      <c r="D1283" t="inlineStr">
        <is>
          <t>PHLPost</t>
        </is>
      </c>
    </row>
    <row r="1284" spans="1:4">
      <c r="A1284" t="inlineStr">
        <is>
          <t>Pangasinan</t>
        </is>
      </c>
      <c r="B1284" t="inlineStr">
        <is>
          <t>Santa Maria</t>
        </is>
      </c>
      <c r="C1284" t="inlineStr">
        <is>
          <t>2440</t>
        </is>
      </c>
      <c r="D1284" t="inlineStr">
        <is>
          <t>PHLPost</t>
        </is>
      </c>
    </row>
    <row r="1285" spans="1:4">
      <c r="A1285" t="inlineStr">
        <is>
          <t>Pangasinan</t>
        </is>
      </c>
      <c r="B1285" t="inlineStr">
        <is>
          <t>Santo Tomas</t>
        </is>
      </c>
      <c r="C1285" t="inlineStr">
        <is>
          <t>2426</t>
        </is>
      </c>
      <c r="D1285" t="inlineStr">
        <is>
          <t>PHLPost</t>
        </is>
      </c>
    </row>
    <row r="1286" spans="1:4">
      <c r="A1286" t="inlineStr">
        <is>
          <t>Pangasinan</t>
        </is>
      </c>
      <c r="B1286" t="inlineStr">
        <is>
          <t>Sison</t>
        </is>
      </c>
      <c r="C1286" t="inlineStr">
        <is>
          <t>2434</t>
        </is>
      </c>
      <c r="D1286" t="inlineStr">
        <is>
          <t>PHLPost</t>
        </is>
      </c>
    </row>
    <row r="1287" spans="1:4">
      <c r="A1287" t="inlineStr">
        <is>
          <t>Pangasinan</t>
        </is>
      </c>
      <c r="B1287" t="inlineStr">
        <is>
          <t>Sual</t>
        </is>
      </c>
      <c r="C1287" t="inlineStr">
        <is>
          <t>2403</t>
        </is>
      </c>
      <c r="D1287" t="inlineStr">
        <is>
          <t>PHLPost</t>
        </is>
      </c>
    </row>
    <row r="1288" spans="1:4">
      <c r="A1288" t="inlineStr">
        <is>
          <t>Pangasinan</t>
        </is>
      </c>
      <c r="B1288" t="inlineStr">
        <is>
          <t>Tayug</t>
        </is>
      </c>
      <c r="C1288" t="inlineStr">
        <is>
          <t>2445</t>
        </is>
      </c>
      <c r="D1288" t="inlineStr">
        <is>
          <t>PHLPost</t>
        </is>
      </c>
    </row>
    <row r="1289" spans="1:4">
      <c r="A1289" t="inlineStr">
        <is>
          <t>Pangasinan</t>
        </is>
      </c>
      <c r="B1289" t="inlineStr">
        <is>
          <t>Umingan</t>
        </is>
      </c>
      <c r="C1289" t="inlineStr">
        <is>
          <t>2443</t>
        </is>
      </c>
      <c r="D1289" t="inlineStr">
        <is>
          <t>PHLPost</t>
        </is>
      </c>
    </row>
    <row r="1290" spans="1:4">
      <c r="A1290" t="inlineStr">
        <is>
          <t>Pangasinan</t>
        </is>
      </c>
      <c r="B1290" t="inlineStr">
        <is>
          <t>Urbiztondo</t>
        </is>
      </c>
      <c r="C1290" t="inlineStr">
        <is>
          <t>2414</t>
        </is>
      </c>
      <c r="D1290" t="inlineStr">
        <is>
          <t>PHLPost</t>
        </is>
      </c>
    </row>
    <row r="1291" spans="1:4">
      <c r="A1291" t="inlineStr">
        <is>
          <t>Pangasinan</t>
        </is>
      </c>
      <c r="B1291" t="inlineStr">
        <is>
          <t>Villasis</t>
        </is>
      </c>
      <c r="C1291" t="inlineStr">
        <is>
          <t>2427</t>
        </is>
      </c>
      <c r="D1291" t="inlineStr">
        <is>
          <t>PHLPost</t>
        </is>
      </c>
    </row>
    <row r="1292" spans="1:4">
      <c r="A1292" t="inlineStr">
        <is>
          <t>Quezon</t>
        </is>
      </c>
      <c r="B1292" t="inlineStr">
        <is>
          <t>Agdangan</t>
        </is>
      </c>
      <c r="C1292" t="inlineStr">
        <is>
          <t>4304</t>
        </is>
      </c>
      <c r="D1292" t="inlineStr">
        <is>
          <t>PHLPost</t>
        </is>
      </c>
    </row>
    <row r="1293" spans="1:4">
      <c r="A1293" t="inlineStr">
        <is>
          <t>Quezon</t>
        </is>
      </c>
      <c r="B1293" t="inlineStr">
        <is>
          <t>Alabat</t>
        </is>
      </c>
      <c r="C1293" t="inlineStr">
        <is>
          <t>4333</t>
        </is>
      </c>
      <c r="D1293" t="inlineStr">
        <is>
          <t>PHLPost</t>
        </is>
      </c>
    </row>
    <row r="1294" spans="1:4">
      <c r="A1294" t="inlineStr">
        <is>
          <t>Quezon</t>
        </is>
      </c>
      <c r="B1294" t="inlineStr">
        <is>
          <t>Atimonan</t>
        </is>
      </c>
      <c r="C1294" t="inlineStr">
        <is>
          <t>4331</t>
        </is>
      </c>
      <c r="D1294" t="inlineStr">
        <is>
          <t>PHLPost</t>
        </is>
      </c>
    </row>
    <row r="1295" spans="1:4">
      <c r="A1295" t="inlineStr">
        <is>
          <t>Quezon</t>
        </is>
      </c>
      <c r="B1295" t="inlineStr">
        <is>
          <t>Buenavista</t>
        </is>
      </c>
      <c r="C1295" t="inlineStr">
        <is>
          <t>4320</t>
        </is>
      </c>
      <c r="D1295" t="inlineStr">
        <is>
          <t>PHLPost</t>
        </is>
      </c>
    </row>
    <row r="1296" spans="1:4">
      <c r="A1296" t="inlineStr">
        <is>
          <t>Quezon</t>
        </is>
      </c>
      <c r="B1296" t="inlineStr">
        <is>
          <t>Burdeos</t>
        </is>
      </c>
      <c r="C1296" t="inlineStr">
        <is>
          <t>4340</t>
        </is>
      </c>
      <c r="D1296" t="inlineStr">
        <is>
          <t>PHLPost</t>
        </is>
      </c>
    </row>
    <row r="1297" spans="1:4">
      <c r="A1297" t="inlineStr">
        <is>
          <t>Quezon</t>
        </is>
      </c>
      <c r="B1297" t="inlineStr">
        <is>
          <t>Calauag</t>
        </is>
      </c>
      <c r="C1297" t="inlineStr">
        <is>
          <t>4318</t>
        </is>
      </c>
      <c r="D1297" t="inlineStr">
        <is>
          <t>PHLPost</t>
        </is>
      </c>
    </row>
    <row r="1298" spans="1:4">
      <c r="A1298" t="inlineStr">
        <is>
          <t>Quezon</t>
        </is>
      </c>
      <c r="B1298" t="inlineStr">
        <is>
          <t>Candelaria</t>
        </is>
      </c>
      <c r="C1298" t="inlineStr">
        <is>
          <t>4323</t>
        </is>
      </c>
      <c r="D1298" t="inlineStr">
        <is>
          <t>PHLPost</t>
        </is>
      </c>
    </row>
    <row r="1299" spans="1:4">
      <c r="A1299" t="inlineStr">
        <is>
          <t>Quezon</t>
        </is>
      </c>
      <c r="B1299" t="inlineStr">
        <is>
          <t>Catanauan</t>
        </is>
      </c>
      <c r="C1299" t="inlineStr">
        <is>
          <t>4311</t>
        </is>
      </c>
      <c r="D1299" t="inlineStr">
        <is>
          <t>PHLPost</t>
        </is>
      </c>
    </row>
    <row r="1300" spans="1:4">
      <c r="A1300" t="inlineStr">
        <is>
          <t>Quezon</t>
        </is>
      </c>
      <c r="B1300" t="inlineStr">
        <is>
          <t>City of Tayabas</t>
        </is>
      </c>
      <c r="C1300" t="inlineStr">
        <is>
          <t>4327</t>
        </is>
      </c>
      <c r="D1300" t="inlineStr">
        <is>
          <t>PHLPost</t>
        </is>
      </c>
    </row>
    <row r="1301" spans="1:4">
      <c r="A1301" t="inlineStr">
        <is>
          <t>Quezon</t>
        </is>
      </c>
      <c r="B1301" t="inlineStr">
        <is>
          <t>Dolores</t>
        </is>
      </c>
      <c r="C1301" t="inlineStr">
        <is>
          <t>4326</t>
        </is>
      </c>
      <c r="D1301" t="inlineStr">
        <is>
          <t>PHLPost</t>
        </is>
      </c>
    </row>
    <row r="1302" spans="1:4">
      <c r="A1302" t="inlineStr">
        <is>
          <t>Quezon</t>
        </is>
      </c>
      <c r="B1302" t="inlineStr">
        <is>
          <t>General Luna</t>
        </is>
      </c>
      <c r="C1302" t="inlineStr">
        <is>
          <t>4310</t>
        </is>
      </c>
      <c r="D1302" t="inlineStr">
        <is>
          <t>PHLPost</t>
        </is>
      </c>
    </row>
    <row r="1303" spans="1:4">
      <c r="A1303" t="inlineStr">
        <is>
          <t>Quezon</t>
        </is>
      </c>
      <c r="B1303" t="inlineStr">
        <is>
          <t>General Nakar</t>
        </is>
      </c>
      <c r="C1303" t="inlineStr">
        <is>
          <t>4338</t>
        </is>
      </c>
      <c r="D1303" t="inlineStr">
        <is>
          <t>PHLPost</t>
        </is>
      </c>
    </row>
    <row r="1304" spans="1:4">
      <c r="A1304" t="inlineStr">
        <is>
          <t>Quezon</t>
        </is>
      </c>
      <c r="B1304" t="inlineStr">
        <is>
          <t>Guinayangan</t>
        </is>
      </c>
      <c r="C1304" t="inlineStr">
        <is>
          <t>4319</t>
        </is>
      </c>
      <c r="D1304" t="inlineStr">
        <is>
          <t>PHLPost</t>
        </is>
      </c>
    </row>
    <row r="1305" spans="1:4">
      <c r="A1305" t="inlineStr">
        <is>
          <t>Quezon</t>
        </is>
      </c>
      <c r="B1305" t="inlineStr">
        <is>
          <t>Gumaca</t>
        </is>
      </c>
      <c r="C1305" t="inlineStr">
        <is>
          <t>4307</t>
        </is>
      </c>
      <c r="D1305" t="inlineStr">
        <is>
          <t>PHLPost</t>
        </is>
      </c>
    </row>
    <row r="1306" spans="1:4">
      <c r="A1306" t="inlineStr">
        <is>
          <t>Quezon</t>
        </is>
      </c>
      <c r="B1306" t="inlineStr">
        <is>
          <t>Infanta</t>
        </is>
      </c>
      <c r="C1306" t="inlineStr">
        <is>
          <t>4336</t>
        </is>
      </c>
      <c r="D1306" t="inlineStr">
        <is>
          <t>PHLPost</t>
        </is>
      </c>
    </row>
    <row r="1307" spans="1:4">
      <c r="A1307" t="inlineStr">
        <is>
          <t>Quezon</t>
        </is>
      </c>
      <c r="B1307" t="inlineStr">
        <is>
          <t>Jomalig</t>
        </is>
      </c>
      <c r="C1307" t="inlineStr">
        <is>
          <t>4342</t>
        </is>
      </c>
      <c r="D1307" t="inlineStr">
        <is>
          <t>PHLPost</t>
        </is>
      </c>
    </row>
    <row r="1308" spans="1:4">
      <c r="A1308" t="inlineStr">
        <is>
          <t>Quezon</t>
        </is>
      </c>
      <c r="B1308" t="inlineStr">
        <is>
          <t>Lopez</t>
        </is>
      </c>
      <c r="C1308" t="inlineStr">
        <is>
          <t>4316</t>
        </is>
      </c>
      <c r="D1308" t="inlineStr">
        <is>
          <t>PHLPost</t>
        </is>
      </c>
    </row>
    <row r="1309" spans="1:4">
      <c r="A1309" t="inlineStr">
        <is>
          <t>Quezon</t>
        </is>
      </c>
      <c r="B1309" t="inlineStr">
        <is>
          <t>Lucban</t>
        </is>
      </c>
      <c r="C1309" t="inlineStr">
        <is>
          <t>4328</t>
        </is>
      </c>
      <c r="D1309" t="inlineStr">
        <is>
          <t>PHLPost</t>
        </is>
      </c>
    </row>
    <row r="1310" spans="1:4">
      <c r="A1310" t="inlineStr">
        <is>
          <t>Quezon</t>
        </is>
      </c>
      <c r="B1310" t="inlineStr">
        <is>
          <t>Macalelon</t>
        </is>
      </c>
      <c r="C1310" t="inlineStr">
        <is>
          <t>4309</t>
        </is>
      </c>
      <c r="D1310" t="inlineStr">
        <is>
          <t>PHLPost</t>
        </is>
      </c>
    </row>
    <row r="1311" spans="1:4">
      <c r="A1311" t="inlineStr">
        <is>
          <t>Quezon</t>
        </is>
      </c>
      <c r="B1311" t="inlineStr">
        <is>
          <t>Mauban</t>
        </is>
      </c>
      <c r="C1311" t="inlineStr">
        <is>
          <t>4330</t>
        </is>
      </c>
      <c r="D1311" t="inlineStr">
        <is>
          <t>PHLPost</t>
        </is>
      </c>
    </row>
    <row r="1312" spans="1:4">
      <c r="A1312" t="inlineStr">
        <is>
          <t>Quezon</t>
        </is>
      </c>
      <c r="B1312" t="inlineStr">
        <is>
          <t>Mulanay</t>
        </is>
      </c>
      <c r="C1312" t="inlineStr">
        <is>
          <t>4312</t>
        </is>
      </c>
      <c r="D1312" t="inlineStr">
        <is>
          <t>PHLPost</t>
        </is>
      </c>
    </row>
    <row r="1313" spans="1:4">
      <c r="A1313" t="inlineStr">
        <is>
          <t>Quezon</t>
        </is>
      </c>
      <c r="B1313" t="inlineStr">
        <is>
          <t>Padre Burgos</t>
        </is>
      </c>
      <c r="C1313" t="inlineStr">
        <is>
          <t>4303</t>
        </is>
      </c>
      <c r="D1313" t="inlineStr">
        <is>
          <t>PHLPost</t>
        </is>
      </c>
    </row>
    <row r="1314" spans="1:4">
      <c r="A1314" t="inlineStr">
        <is>
          <t>Quezon</t>
        </is>
      </c>
      <c r="B1314" t="inlineStr">
        <is>
          <t>Pagbilao</t>
        </is>
      </c>
      <c r="C1314" t="inlineStr">
        <is>
          <t>4302</t>
        </is>
      </c>
      <c r="D1314" t="inlineStr">
        <is>
          <t>PHLPost</t>
        </is>
      </c>
    </row>
    <row r="1315" spans="1:4">
      <c r="A1315" t="inlineStr">
        <is>
          <t>Quezon</t>
        </is>
      </c>
      <c r="B1315" t="inlineStr">
        <is>
          <t>Panukulan</t>
        </is>
      </c>
      <c r="C1315" t="inlineStr">
        <is>
          <t>4337</t>
        </is>
      </c>
      <c r="D1315" t="inlineStr">
        <is>
          <t>PHLPost</t>
        </is>
      </c>
    </row>
    <row r="1316" spans="1:4">
      <c r="A1316" t="inlineStr">
        <is>
          <t>Quezon</t>
        </is>
      </c>
      <c r="B1316" t="inlineStr">
        <is>
          <t>Patnanungan</t>
        </is>
      </c>
      <c r="C1316" t="inlineStr">
        <is>
          <t>4341</t>
        </is>
      </c>
      <c r="D1316" t="inlineStr">
        <is>
          <t>PHLPost</t>
        </is>
      </c>
    </row>
    <row r="1317" spans="1:4">
      <c r="A1317" t="inlineStr">
        <is>
          <t>Quezon</t>
        </is>
      </c>
      <c r="B1317" t="inlineStr">
        <is>
          <t>Perez</t>
        </is>
      </c>
      <c r="C1317" t="inlineStr">
        <is>
          <t>4334</t>
        </is>
      </c>
      <c r="D1317" t="inlineStr">
        <is>
          <t>PHLPost</t>
        </is>
      </c>
    </row>
    <row r="1318" spans="1:4">
      <c r="A1318" t="inlineStr">
        <is>
          <t>Quezon</t>
        </is>
      </c>
      <c r="B1318" t="inlineStr">
        <is>
          <t>Pitogo</t>
        </is>
      </c>
      <c r="C1318" t="inlineStr">
        <is>
          <t>4308</t>
        </is>
      </c>
      <c r="D1318" t="inlineStr">
        <is>
          <t>PHLPost</t>
        </is>
      </c>
    </row>
    <row r="1319" spans="1:4">
      <c r="A1319" t="inlineStr">
        <is>
          <t>Quezon</t>
        </is>
      </c>
      <c r="B1319" t="inlineStr">
        <is>
          <t>Plaridel</t>
        </is>
      </c>
      <c r="C1319" t="inlineStr">
        <is>
          <t>4306</t>
        </is>
      </c>
      <c r="D1319" t="inlineStr">
        <is>
          <t>PHLPost</t>
        </is>
      </c>
    </row>
    <row r="1320" spans="1:4">
      <c r="A1320" t="inlineStr">
        <is>
          <t>Quezon</t>
        </is>
      </c>
      <c r="B1320" t="inlineStr">
        <is>
          <t>Polillo</t>
        </is>
      </c>
      <c r="C1320" t="inlineStr">
        <is>
          <t>4339</t>
        </is>
      </c>
      <c r="D1320" t="inlineStr">
        <is>
          <t>BarangayDirectory</t>
        </is>
      </c>
    </row>
    <row r="1321" spans="1:4">
      <c r="A1321" t="inlineStr">
        <is>
          <t>Quezon</t>
        </is>
      </c>
      <c r="B1321" t="inlineStr">
        <is>
          <t>Quezon</t>
        </is>
      </c>
      <c r="C1321" t="inlineStr">
        <is>
          <t>4332</t>
        </is>
      </c>
      <c r="D1321" t="inlineStr">
        <is>
          <t>PHLPost</t>
        </is>
      </c>
    </row>
    <row r="1322" spans="1:4">
      <c r="A1322" t="inlineStr">
        <is>
          <t>Quezon</t>
        </is>
      </c>
      <c r="B1322" t="inlineStr">
        <is>
          <t>Real</t>
        </is>
      </c>
      <c r="C1322" t="inlineStr">
        <is>
          <t>4335</t>
        </is>
      </c>
      <c r="D1322" t="inlineStr">
        <is>
          <t>PHLPost</t>
        </is>
      </c>
    </row>
    <row r="1323" spans="1:4">
      <c r="A1323" t="inlineStr">
        <is>
          <t>Quezon</t>
        </is>
      </c>
      <c r="B1323" t="inlineStr">
        <is>
          <t>Sampaloc</t>
        </is>
      </c>
      <c r="C1323" t="inlineStr">
        <is>
          <t>4329</t>
        </is>
      </c>
      <c r="D1323" t="inlineStr">
        <is>
          <t>PHLPost</t>
        </is>
      </c>
    </row>
    <row r="1324" spans="1:4">
      <c r="A1324" t="inlineStr">
        <is>
          <t>Quezon</t>
        </is>
      </c>
      <c r="B1324" t="inlineStr">
        <is>
          <t>San Andres</t>
        </is>
      </c>
      <c r="C1324" t="inlineStr">
        <is>
          <t>4314</t>
        </is>
      </c>
      <c r="D1324" t="inlineStr">
        <is>
          <t>PHLPost</t>
        </is>
      </c>
    </row>
    <row r="1325" spans="1:4">
      <c r="A1325" t="inlineStr">
        <is>
          <t>Quezon</t>
        </is>
      </c>
      <c r="B1325" t="inlineStr">
        <is>
          <t>San Antonio</t>
        </is>
      </c>
      <c r="C1325" t="inlineStr">
        <is>
          <t>4324</t>
        </is>
      </c>
      <c r="D1325" t="inlineStr">
        <is>
          <t>PHLPost</t>
        </is>
      </c>
    </row>
    <row r="1326" spans="1:4">
      <c r="A1326" t="inlineStr">
        <is>
          <t>Quezon</t>
        </is>
      </c>
      <c r="B1326" t="inlineStr">
        <is>
          <t>San Francisco</t>
        </is>
      </c>
      <c r="C1326" t="inlineStr">
        <is>
          <t>4315</t>
        </is>
      </c>
      <c r="D1326" t="inlineStr">
        <is>
          <t>PHLPost</t>
        </is>
      </c>
    </row>
    <row r="1327" spans="1:4">
      <c r="A1327" t="inlineStr">
        <is>
          <t>Quezon</t>
        </is>
      </c>
      <c r="B1327" t="inlineStr">
        <is>
          <t>San Narciso</t>
        </is>
      </c>
      <c r="C1327" t="inlineStr">
        <is>
          <t>4313</t>
        </is>
      </c>
      <c r="D1327" t="inlineStr">
        <is>
          <t>PHLPost</t>
        </is>
      </c>
    </row>
    <row r="1328" spans="1:4">
      <c r="A1328" t="inlineStr">
        <is>
          <t>Quezon</t>
        </is>
      </c>
      <c r="B1328" t="inlineStr">
        <is>
          <t>Sariaya</t>
        </is>
      </c>
      <c r="C1328" t="inlineStr">
        <is>
          <t>4322</t>
        </is>
      </c>
      <c r="D1328" t="inlineStr">
        <is>
          <t>PHLPost</t>
        </is>
      </c>
    </row>
    <row r="1329" spans="1:4">
      <c r="A1329" t="inlineStr">
        <is>
          <t>Quezon</t>
        </is>
      </c>
      <c r="B1329" t="inlineStr">
        <is>
          <t>Tagkawayan</t>
        </is>
      </c>
      <c r="C1329" t="inlineStr">
        <is>
          <t>4321</t>
        </is>
      </c>
      <c r="D1329" t="inlineStr">
        <is>
          <t>PHLPost</t>
        </is>
      </c>
    </row>
    <row r="1330" spans="1:4">
      <c r="A1330" t="inlineStr">
        <is>
          <t>Quezon</t>
        </is>
      </c>
      <c r="B1330" t="inlineStr">
        <is>
          <t>Tiaong</t>
        </is>
      </c>
      <c r="C1330" t="inlineStr">
        <is>
          <t>4325</t>
        </is>
      </c>
      <c r="D1330" t="inlineStr">
        <is>
          <t>PHLPost</t>
        </is>
      </c>
    </row>
    <row r="1331" spans="1:4">
      <c r="A1331" t="inlineStr">
        <is>
          <t>Quezon</t>
        </is>
      </c>
      <c r="B1331" t="inlineStr">
        <is>
          <t>Unisan</t>
        </is>
      </c>
      <c r="C1331" t="inlineStr">
        <is>
          <t>4305</t>
        </is>
      </c>
      <c r="D1331" t="inlineStr">
        <is>
          <t>PHLPost</t>
        </is>
      </c>
    </row>
    <row r="1332" spans="1:4">
      <c r="A1332" t="inlineStr">
        <is>
          <t>Quirino</t>
        </is>
      </c>
      <c r="B1332" t="inlineStr">
        <is>
          <t>Aglipay</t>
        </is>
      </c>
      <c r="C1332" t="inlineStr">
        <is>
          <t>3403</t>
        </is>
      </c>
      <c r="D1332" t="inlineStr">
        <is>
          <t>PHLPost</t>
        </is>
      </c>
    </row>
    <row r="1333" spans="1:4">
      <c r="A1333" t="inlineStr">
        <is>
          <t>Quirino</t>
        </is>
      </c>
      <c r="B1333" t="inlineStr">
        <is>
          <t>Cabarroguis</t>
        </is>
      </c>
      <c r="C1333" t="inlineStr">
        <is>
          <t>3400</t>
        </is>
      </c>
      <c r="D1333" t="inlineStr">
        <is>
          <t>PHLPost</t>
        </is>
      </c>
    </row>
    <row r="1334" spans="1:4">
      <c r="A1334" t="inlineStr">
        <is>
          <t>Quirino</t>
        </is>
      </c>
      <c r="B1334" t="inlineStr">
        <is>
          <t>Diffun</t>
        </is>
      </c>
      <c r="C1334" t="inlineStr">
        <is>
          <t>3401</t>
        </is>
      </c>
      <c r="D1334" t="inlineStr">
        <is>
          <t>PHLPost</t>
        </is>
      </c>
    </row>
    <row r="1335" spans="1:4">
      <c r="A1335" t="inlineStr">
        <is>
          <t>Quirino</t>
        </is>
      </c>
      <c r="B1335" t="inlineStr">
        <is>
          <t>Maddela</t>
        </is>
      </c>
      <c r="C1335" t="inlineStr">
        <is>
          <t>3404</t>
        </is>
      </c>
      <c r="D1335" t="inlineStr">
        <is>
          <t>PHLPost</t>
        </is>
      </c>
    </row>
    <row r="1336" spans="1:4">
      <c r="A1336" t="inlineStr">
        <is>
          <t>Quirino</t>
        </is>
      </c>
      <c r="B1336" t="inlineStr">
        <is>
          <t>Nagtipunan</t>
        </is>
      </c>
      <c r="C1336" t="inlineStr">
        <is>
          <t>3405</t>
        </is>
      </c>
      <c r="D1336" t="inlineStr">
        <is>
          <t>PHLPost</t>
        </is>
      </c>
    </row>
    <row r="1337" spans="1:4">
      <c r="A1337" t="inlineStr">
        <is>
          <t>Quirino</t>
        </is>
      </c>
      <c r="B1337" t="inlineStr">
        <is>
          <t>Saguday</t>
        </is>
      </c>
      <c r="C1337" t="inlineStr">
        <is>
          <t>3402</t>
        </is>
      </c>
      <c r="D1337" t="inlineStr">
        <is>
          <t>PHLPost</t>
        </is>
      </c>
    </row>
    <row r="1338" spans="1:4">
      <c r="A1338" t="inlineStr">
        <is>
          <t>Rizal</t>
        </is>
      </c>
      <c r="B1338" t="inlineStr">
        <is>
          <t>Angono</t>
        </is>
      </c>
      <c r="C1338" t="inlineStr">
        <is>
          <t>1930</t>
        </is>
      </c>
      <c r="D1338" t="inlineStr">
        <is>
          <t>PHLPost</t>
        </is>
      </c>
    </row>
    <row r="1339" spans="1:4">
      <c r="A1339" t="inlineStr">
        <is>
          <t>Rizal</t>
        </is>
      </c>
      <c r="B1339" t="inlineStr">
        <is>
          <t>Baras</t>
        </is>
      </c>
      <c r="C1339" t="inlineStr">
        <is>
          <t>1970</t>
        </is>
      </c>
      <c r="D1339" t="inlineStr">
        <is>
          <t>PHLPost</t>
        </is>
      </c>
    </row>
    <row r="1340" spans="1:4">
      <c r="A1340" t="inlineStr">
        <is>
          <t>Rizal</t>
        </is>
      </c>
      <c r="B1340" t="inlineStr">
        <is>
          <t>Binangonan</t>
        </is>
      </c>
      <c r="C1340" t="inlineStr">
        <is>
          <t>1940</t>
        </is>
      </c>
      <c r="D1340" t="inlineStr">
        <is>
          <t>PHLPost</t>
        </is>
      </c>
    </row>
    <row r="1341" spans="1:4">
      <c r="A1341" t="inlineStr">
        <is>
          <t>Rizal</t>
        </is>
      </c>
      <c r="B1341" t="inlineStr">
        <is>
          <t>Cainta</t>
        </is>
      </c>
      <c r="C1341" t="inlineStr">
        <is>
          <t>1900</t>
        </is>
      </c>
      <c r="D1341" t="inlineStr">
        <is>
          <t>PHLPost</t>
        </is>
      </c>
    </row>
    <row r="1342" spans="1:4">
      <c r="A1342" t="inlineStr">
        <is>
          <t>Rizal</t>
        </is>
      </c>
      <c r="B1342" t="inlineStr">
        <is>
          <t>Cardona</t>
        </is>
      </c>
      <c r="C1342" t="inlineStr">
        <is>
          <t>1950</t>
        </is>
      </c>
      <c r="D1342" t="inlineStr">
        <is>
          <t>PHLPost</t>
        </is>
      </c>
    </row>
    <row r="1343" spans="1:4">
      <c r="A1343" t="inlineStr">
        <is>
          <t>Rizal</t>
        </is>
      </c>
      <c r="B1343" t="inlineStr">
        <is>
          <t>City of Antipolo</t>
        </is>
      </c>
      <c r="C1343" t="inlineStr">
        <is>
          <t>1870</t>
        </is>
      </c>
      <c r="D1343" t="inlineStr">
        <is>
          <t>PHLPost</t>
        </is>
      </c>
    </row>
    <row r="1344" spans="1:4">
      <c r="A1344" t="inlineStr">
        <is>
          <t>Rizal</t>
        </is>
      </c>
      <c r="B1344" t="inlineStr">
        <is>
          <t>Jala-Jala</t>
        </is>
      </c>
      <c r="C1344" t="inlineStr">
        <is>
          <t>1990</t>
        </is>
      </c>
      <c r="D1344" t="inlineStr">
        <is>
          <t>BarangayDirectory</t>
        </is>
      </c>
    </row>
    <row r="1345" spans="1:4">
      <c r="A1345" t="inlineStr">
        <is>
          <t>Rizal</t>
        </is>
      </c>
      <c r="B1345" t="inlineStr">
        <is>
          <t>Morong</t>
        </is>
      </c>
      <c r="C1345" t="inlineStr">
        <is>
          <t>1960</t>
        </is>
      </c>
      <c r="D1345" t="inlineStr">
        <is>
          <t>PHLPost</t>
        </is>
      </c>
    </row>
    <row r="1346" spans="1:4">
      <c r="A1346" t="inlineStr">
        <is>
          <t>Rizal</t>
        </is>
      </c>
      <c r="B1346" t="inlineStr">
        <is>
          <t>Pililla</t>
        </is>
      </c>
      <c r="C1346" t="inlineStr">
        <is>
          <t>1910</t>
        </is>
      </c>
      <c r="D1346" t="inlineStr">
        <is>
          <t>PHLPost</t>
        </is>
      </c>
    </row>
    <row r="1347" spans="1:4">
      <c r="A1347" t="inlineStr">
        <is>
          <t>Rizal</t>
        </is>
      </c>
      <c r="B1347" t="inlineStr">
        <is>
          <t>Rodriguez</t>
        </is>
      </c>
      <c r="C1347" t="inlineStr">
        <is>
          <t>1860</t>
        </is>
      </c>
      <c r="D1347" t="inlineStr">
        <is>
          <t>BarangayDirectory</t>
        </is>
      </c>
    </row>
    <row r="1348" spans="1:4">
      <c r="A1348" t="inlineStr">
        <is>
          <t>Rizal</t>
        </is>
      </c>
      <c r="B1348" t="inlineStr">
        <is>
          <t>San Mateo</t>
        </is>
      </c>
      <c r="C1348" t="inlineStr">
        <is>
          <t>1850</t>
        </is>
      </c>
      <c r="D1348" t="inlineStr">
        <is>
          <t>PHLPost</t>
        </is>
      </c>
    </row>
    <row r="1349" spans="1:4">
      <c r="A1349" t="inlineStr">
        <is>
          <t>Rizal</t>
        </is>
      </c>
      <c r="B1349" t="inlineStr">
        <is>
          <t>Tanay</t>
        </is>
      </c>
      <c r="C1349" t="inlineStr">
        <is>
          <t>1980</t>
        </is>
      </c>
      <c r="D1349" t="inlineStr">
        <is>
          <t>PHLPost</t>
        </is>
      </c>
    </row>
    <row r="1350" spans="1:4">
      <c r="A1350" t="inlineStr">
        <is>
          <t>Rizal</t>
        </is>
      </c>
      <c r="B1350" t="inlineStr">
        <is>
          <t>Taytay</t>
        </is>
      </c>
      <c r="C1350" t="inlineStr">
        <is>
          <t>1920</t>
        </is>
      </c>
      <c r="D1350" t="inlineStr">
        <is>
          <t>PHLPost</t>
        </is>
      </c>
    </row>
    <row r="1351" spans="1:4">
      <c r="A1351" t="inlineStr">
        <is>
          <t>Rizal</t>
        </is>
      </c>
      <c r="B1351" t="inlineStr">
        <is>
          <t>Teresa</t>
        </is>
      </c>
      <c r="C1351" t="inlineStr">
        <is>
          <t>1880</t>
        </is>
      </c>
      <c r="D1351" t="inlineStr">
        <is>
          <t>PHLPost</t>
        </is>
      </c>
    </row>
    <row r="1352" spans="1:4">
      <c r="A1352" t="inlineStr">
        <is>
          <t>Romblon</t>
        </is>
      </c>
      <c r="B1352" t="inlineStr">
        <is>
          <t>Alcantara</t>
        </is>
      </c>
      <c r="C1352" t="inlineStr">
        <is>
          <t>5509</t>
        </is>
      </c>
      <c r="D1352" t="inlineStr">
        <is>
          <t>PHLPost</t>
        </is>
      </c>
    </row>
    <row r="1353" spans="1:4">
      <c r="A1353" t="inlineStr">
        <is>
          <t>Romblon</t>
        </is>
      </c>
      <c r="B1353" t="inlineStr">
        <is>
          <t>Banton</t>
        </is>
      </c>
      <c r="C1353" t="inlineStr">
        <is>
          <t>5515</t>
        </is>
      </c>
      <c r="D1353" t="inlineStr">
        <is>
          <t>BarangayDirectory</t>
        </is>
      </c>
    </row>
    <row r="1354" spans="1:4">
      <c r="A1354" t="inlineStr">
        <is>
          <t>Romblon</t>
        </is>
      </c>
      <c r="B1354" t="inlineStr">
        <is>
          <t>Cajidiocan</t>
        </is>
      </c>
      <c r="C1354" t="inlineStr">
        <is>
          <t>5512</t>
        </is>
      </c>
      <c r="D1354" t="inlineStr">
        <is>
          <t>BarangayDirectory</t>
        </is>
      </c>
    </row>
    <row r="1355" spans="1:4">
      <c r="A1355" t="inlineStr">
        <is>
          <t>Romblon</t>
        </is>
      </c>
      <c r="B1355" t="inlineStr">
        <is>
          <t>Calatrava</t>
        </is>
      </c>
      <c r="C1355" t="inlineStr">
        <is>
          <t>5503</t>
        </is>
      </c>
      <c r="D1355" t="inlineStr">
        <is>
          <t>PHLPost</t>
        </is>
      </c>
    </row>
    <row r="1356" spans="1:4">
      <c r="A1356" t="inlineStr">
        <is>
          <t>Romblon</t>
        </is>
      </c>
      <c r="B1356" t="inlineStr">
        <is>
          <t>Concepcion</t>
        </is>
      </c>
      <c r="C1356" t="inlineStr">
        <is>
          <t>5516</t>
        </is>
      </c>
      <c r="D1356" t="inlineStr">
        <is>
          <t>PHLPost</t>
        </is>
      </c>
    </row>
    <row r="1357" spans="1:4">
      <c r="A1357" t="inlineStr">
        <is>
          <t>Romblon</t>
        </is>
      </c>
      <c r="B1357" t="inlineStr">
        <is>
          <t>Corcuera</t>
        </is>
      </c>
      <c r="C1357" t="inlineStr">
        <is>
          <t>5514</t>
        </is>
      </c>
      <c r="D1357" t="inlineStr">
        <is>
          <t>PHLPost</t>
        </is>
      </c>
    </row>
    <row r="1358" spans="1:4">
      <c r="A1358" t="inlineStr">
        <is>
          <t>Romblon</t>
        </is>
      </c>
      <c r="B1358" t="inlineStr">
        <is>
          <t>Ferrol</t>
        </is>
      </c>
      <c r="C1358" t="inlineStr">
        <is>
          <t>5506</t>
        </is>
      </c>
      <c r="D1358" t="inlineStr">
        <is>
          <t>PHLPost</t>
        </is>
      </c>
    </row>
    <row r="1359" spans="1:4">
      <c r="A1359" t="inlineStr">
        <is>
          <t>Romblon</t>
        </is>
      </c>
      <c r="B1359" t="inlineStr">
        <is>
          <t>Looc</t>
        </is>
      </c>
      <c r="C1359" t="inlineStr">
        <is>
          <t>5507</t>
        </is>
      </c>
      <c r="D1359" t="inlineStr">
        <is>
          <t>PHLPost</t>
        </is>
      </c>
    </row>
    <row r="1360" spans="1:4">
      <c r="A1360" t="inlineStr">
        <is>
          <t>Romblon</t>
        </is>
      </c>
      <c r="B1360" t="inlineStr">
        <is>
          <t>Magdiwang</t>
        </is>
      </c>
      <c r="C1360" t="inlineStr">
        <is>
          <t>5511</t>
        </is>
      </c>
      <c r="D1360" t="inlineStr">
        <is>
          <t>PHLPost</t>
        </is>
      </c>
    </row>
    <row r="1361" spans="1:4">
      <c r="A1361" t="inlineStr">
        <is>
          <t>Romblon</t>
        </is>
      </c>
      <c r="B1361" t="inlineStr">
        <is>
          <t>Odiongan</t>
        </is>
      </c>
      <c r="C1361" t="inlineStr">
        <is>
          <t>5505</t>
        </is>
      </c>
      <c r="D1361" t="inlineStr">
        <is>
          <t>PHLPost</t>
        </is>
      </c>
    </row>
    <row r="1362" spans="1:4">
      <c r="A1362" t="inlineStr">
        <is>
          <t>Romblon</t>
        </is>
      </c>
      <c r="B1362" t="inlineStr">
        <is>
          <t>Romblon</t>
        </is>
      </c>
      <c r="C1362" t="inlineStr">
        <is>
          <t>5500</t>
        </is>
      </c>
      <c r="D1362" t="inlineStr">
        <is>
          <t>PHLPost</t>
        </is>
      </c>
    </row>
    <row r="1363" spans="1:4">
      <c r="A1363" t="inlineStr">
        <is>
          <t>Romblon</t>
        </is>
      </c>
      <c r="B1363" t="inlineStr">
        <is>
          <t>San Agustin</t>
        </is>
      </c>
      <c r="C1363" t="inlineStr">
        <is>
          <t>5501</t>
        </is>
      </c>
      <c r="D1363" t="inlineStr">
        <is>
          <t>PHLPost</t>
        </is>
      </c>
    </row>
    <row r="1364" spans="1:4">
      <c r="A1364" t="inlineStr">
        <is>
          <t>Romblon</t>
        </is>
      </c>
      <c r="B1364" t="inlineStr">
        <is>
          <t>San Andres</t>
        </is>
      </c>
      <c r="C1364" t="inlineStr">
        <is>
          <t>5504</t>
        </is>
      </c>
      <c r="D1364" t="inlineStr">
        <is>
          <t>PHLPost</t>
        </is>
      </c>
    </row>
    <row r="1365" spans="1:4">
      <c r="A1365" t="inlineStr">
        <is>
          <t>Romblon</t>
        </is>
      </c>
      <c r="B1365" t="inlineStr">
        <is>
          <t>San Fernando</t>
        </is>
      </c>
      <c r="C1365" t="inlineStr">
        <is>
          <t>5513</t>
        </is>
      </c>
      <c r="D1365" t="inlineStr">
        <is>
          <t>PHLPost</t>
        </is>
      </c>
    </row>
    <row r="1366" spans="1:4">
      <c r="A1366" t="inlineStr">
        <is>
          <t>Romblon</t>
        </is>
      </c>
      <c r="B1366" t="inlineStr">
        <is>
          <t>San Jose</t>
        </is>
      </c>
      <c r="C1366" t="inlineStr">
        <is>
          <t>5510</t>
        </is>
      </c>
      <c r="D1366" t="inlineStr">
        <is>
          <t>PHLPost</t>
        </is>
      </c>
    </row>
    <row r="1367" spans="1:4">
      <c r="A1367" t="inlineStr">
        <is>
          <t>Romblon</t>
        </is>
      </c>
      <c r="B1367" t="inlineStr">
        <is>
          <t>Santa Fe</t>
        </is>
      </c>
      <c r="C1367" t="inlineStr">
        <is>
          <t>5508</t>
        </is>
      </c>
      <c r="D1367" t="inlineStr">
        <is>
          <t>PHLPost</t>
        </is>
      </c>
    </row>
    <row r="1368" spans="1:4">
      <c r="A1368" t="inlineStr">
        <is>
          <t>Romblon</t>
        </is>
      </c>
      <c r="B1368" t="inlineStr">
        <is>
          <t>Santa Maria</t>
        </is>
      </c>
      <c r="C1368" t="inlineStr">
        <is>
          <t>5502</t>
        </is>
      </c>
      <c r="D1368" t="inlineStr">
        <is>
          <t>BarangayDirectory</t>
        </is>
      </c>
    </row>
    <row r="1369" spans="1:4">
      <c r="A1369" t="inlineStr">
        <is>
          <t>Samar</t>
        </is>
      </c>
      <c r="B1369" t="inlineStr">
        <is>
          <t>Almagro</t>
        </is>
      </c>
      <c r="C1369" t="inlineStr">
        <is>
          <t>6724</t>
        </is>
      </c>
      <c r="D1369" t="inlineStr">
        <is>
          <t>PHLPost</t>
        </is>
      </c>
    </row>
    <row r="1370" spans="1:4">
      <c r="A1370" t="inlineStr">
        <is>
          <t>Samar</t>
        </is>
      </c>
      <c r="B1370" t="inlineStr">
        <is>
          <t>Basey</t>
        </is>
      </c>
      <c r="C1370" t="inlineStr">
        <is>
          <t>6720</t>
        </is>
      </c>
      <c r="D1370" t="inlineStr">
        <is>
          <t>PHLPost</t>
        </is>
      </c>
    </row>
    <row r="1371" spans="1:4">
      <c r="A1371" t="inlineStr">
        <is>
          <t>Samar</t>
        </is>
      </c>
      <c r="B1371" t="inlineStr">
        <is>
          <t>Calbiga</t>
        </is>
      </c>
      <c r="C1371" t="inlineStr">
        <is>
          <t>6715</t>
        </is>
      </c>
      <c r="D1371" t="inlineStr">
        <is>
          <t>PHLPost</t>
        </is>
      </c>
    </row>
    <row r="1372" spans="1:4">
      <c r="A1372" t="inlineStr">
        <is>
          <t>Samar</t>
        </is>
      </c>
      <c r="B1372" t="inlineStr">
        <is>
          <t>City of Calbayog</t>
        </is>
      </c>
      <c r="C1372" t="inlineStr">
        <is>
          <t>6710</t>
        </is>
      </c>
      <c r="D1372" t="inlineStr">
        <is>
          <t>PHLPost</t>
        </is>
      </c>
    </row>
    <row r="1373" spans="1:4">
      <c r="A1373" t="inlineStr">
        <is>
          <t>Samar</t>
        </is>
      </c>
      <c r="B1373" t="inlineStr">
        <is>
          <t>City of Catbalogan</t>
        </is>
      </c>
      <c r="C1373" t="inlineStr">
        <is>
          <t>6700</t>
        </is>
      </c>
      <c r="D1373" t="inlineStr">
        <is>
          <t>PHLPost</t>
        </is>
      </c>
    </row>
    <row r="1374" spans="1:4">
      <c r="A1374" t="inlineStr">
        <is>
          <t>Samar</t>
        </is>
      </c>
      <c r="B1374" t="inlineStr">
        <is>
          <t>Daram</t>
        </is>
      </c>
      <c r="C1374" t="inlineStr">
        <is>
          <t>6722</t>
        </is>
      </c>
      <c r="D1374" t="inlineStr">
        <is>
          <t>PHLPost</t>
        </is>
      </c>
    </row>
    <row r="1375" spans="1:4">
      <c r="A1375" t="inlineStr">
        <is>
          <t>Samar</t>
        </is>
      </c>
      <c r="B1375" t="inlineStr">
        <is>
          <t>Gandara</t>
        </is>
      </c>
      <c r="C1375" t="inlineStr">
        <is>
          <t>6706</t>
        </is>
      </c>
      <c r="D1375" t="inlineStr">
        <is>
          <t>PHLPost</t>
        </is>
      </c>
    </row>
    <row r="1376" spans="1:4">
      <c r="A1376" t="inlineStr">
        <is>
          <t>Samar</t>
        </is>
      </c>
      <c r="B1376" t="inlineStr">
        <is>
          <t>Hinabangan</t>
        </is>
      </c>
      <c r="C1376" t="inlineStr">
        <is>
          <t>6713</t>
        </is>
      </c>
      <c r="D1376" t="inlineStr">
        <is>
          <t>PHLPost</t>
        </is>
      </c>
    </row>
    <row r="1377" spans="1:4">
      <c r="A1377" t="inlineStr">
        <is>
          <t>Samar</t>
        </is>
      </c>
      <c r="B1377" t="inlineStr">
        <is>
          <t>Jiabong</t>
        </is>
      </c>
      <c r="C1377" t="inlineStr">
        <is>
          <t>6701</t>
        </is>
      </c>
      <c r="D1377" t="inlineStr">
        <is>
          <t>PHLPost</t>
        </is>
      </c>
    </row>
    <row r="1378" spans="1:4">
      <c r="A1378" t="inlineStr">
        <is>
          <t>Samar</t>
        </is>
      </c>
      <c r="B1378" t="inlineStr">
        <is>
          <t>Marabut</t>
        </is>
      </c>
      <c r="C1378" t="inlineStr">
        <is>
          <t>6721</t>
        </is>
      </c>
      <c r="D1378" t="inlineStr">
        <is>
          <t>PHLPost</t>
        </is>
      </c>
    </row>
    <row r="1379" spans="1:4">
      <c r="A1379" t="inlineStr">
        <is>
          <t>Samar</t>
        </is>
      </c>
      <c r="B1379" t="inlineStr">
        <is>
          <t>Matuguinao</t>
        </is>
      </c>
      <c r="C1379" t="inlineStr">
        <is>
          <t>6708</t>
        </is>
      </c>
      <c r="D1379" t="inlineStr">
        <is>
          <t>PHLPost</t>
        </is>
      </c>
    </row>
    <row r="1380" spans="1:4">
      <c r="A1380" t="inlineStr">
        <is>
          <t>Samar</t>
        </is>
      </c>
      <c r="B1380" t="inlineStr">
        <is>
          <t>Motiong</t>
        </is>
      </c>
      <c r="C1380" t="inlineStr">
        <is>
          <t>6702</t>
        </is>
      </c>
      <c r="D1380" t="inlineStr">
        <is>
          <t>PHLPost</t>
        </is>
      </c>
    </row>
    <row r="1381" spans="1:4">
      <c r="A1381" t="inlineStr">
        <is>
          <t>Samar</t>
        </is>
      </c>
      <c r="B1381" t="inlineStr">
        <is>
          <t>Pagsanghan</t>
        </is>
      </c>
      <c r="C1381" t="inlineStr">
        <is>
          <t>6705</t>
        </is>
      </c>
      <c r="D1381" t="inlineStr">
        <is>
          <t>PHLPost</t>
        </is>
      </c>
    </row>
    <row r="1382" spans="1:4">
      <c r="A1382" t="inlineStr">
        <is>
          <t>Samar</t>
        </is>
      </c>
      <c r="B1382" t="inlineStr">
        <is>
          <t>Paranas</t>
        </is>
      </c>
      <c r="D1382" t="inlineStr">
        <is>
          <t>Needs verification</t>
        </is>
      </c>
    </row>
    <row r="1383" spans="1:4">
      <c r="A1383" t="inlineStr">
        <is>
          <t>Samar</t>
        </is>
      </c>
      <c r="B1383" t="inlineStr">
        <is>
          <t>Pinabacdao</t>
        </is>
      </c>
      <c r="C1383" t="inlineStr">
        <is>
          <t>6716</t>
        </is>
      </c>
      <c r="D1383" t="inlineStr">
        <is>
          <t>PHLPost</t>
        </is>
      </c>
    </row>
    <row r="1384" spans="1:4">
      <c r="A1384" t="inlineStr">
        <is>
          <t>Samar</t>
        </is>
      </c>
      <c r="B1384" t="inlineStr">
        <is>
          <t>San Jorge</t>
        </is>
      </c>
      <c r="C1384" t="inlineStr">
        <is>
          <t>6707</t>
        </is>
      </c>
      <c r="D1384" t="inlineStr">
        <is>
          <t>PHLPost</t>
        </is>
      </c>
    </row>
    <row r="1385" spans="1:4">
      <c r="A1385" t="inlineStr">
        <is>
          <t>Samar</t>
        </is>
      </c>
      <c r="B1385" t="inlineStr">
        <is>
          <t>San Jose De Buan</t>
        </is>
      </c>
      <c r="C1385" t="inlineStr">
        <is>
          <t>6723</t>
        </is>
      </c>
      <c r="D1385" t="inlineStr">
        <is>
          <t>PHLPost</t>
        </is>
      </c>
    </row>
    <row r="1386" spans="1:4">
      <c r="A1386" t="inlineStr">
        <is>
          <t>Samar</t>
        </is>
      </c>
      <c r="B1386" t="inlineStr">
        <is>
          <t>San Sebastian</t>
        </is>
      </c>
      <c r="C1386" t="inlineStr">
        <is>
          <t>6714</t>
        </is>
      </c>
      <c r="D1386" t="inlineStr">
        <is>
          <t>PHLPost</t>
        </is>
      </c>
    </row>
    <row r="1387" spans="1:4">
      <c r="A1387" t="inlineStr">
        <is>
          <t>Samar</t>
        </is>
      </c>
      <c r="B1387" t="inlineStr">
        <is>
          <t>Santa Margarita</t>
        </is>
      </c>
      <c r="C1387" t="inlineStr">
        <is>
          <t>6709</t>
        </is>
      </c>
      <c r="D1387" t="inlineStr">
        <is>
          <t>PHLPost</t>
        </is>
      </c>
    </row>
    <row r="1388" spans="1:4">
      <c r="A1388" t="inlineStr">
        <is>
          <t>Samar</t>
        </is>
      </c>
      <c r="B1388" t="inlineStr">
        <is>
          <t>Santa Rita</t>
        </is>
      </c>
      <c r="C1388" t="inlineStr">
        <is>
          <t>6718</t>
        </is>
      </c>
      <c r="D1388" t="inlineStr">
        <is>
          <t>PHLPost</t>
        </is>
      </c>
    </row>
    <row r="1389" spans="1:4">
      <c r="A1389" t="inlineStr">
        <is>
          <t>Samar</t>
        </is>
      </c>
      <c r="B1389" t="inlineStr">
        <is>
          <t>Santo Niño</t>
        </is>
      </c>
      <c r="C1389" t="inlineStr">
        <is>
          <t>6711</t>
        </is>
      </c>
      <c r="D1389" t="inlineStr">
        <is>
          <t>PHLPost</t>
        </is>
      </c>
    </row>
    <row r="1390" spans="1:4">
      <c r="A1390" t="inlineStr">
        <is>
          <t>Samar</t>
        </is>
      </c>
      <c r="B1390" t="inlineStr">
        <is>
          <t>Tagapul-An</t>
        </is>
      </c>
      <c r="C1390" t="inlineStr">
        <is>
          <t>6712</t>
        </is>
      </c>
      <c r="D1390" t="inlineStr">
        <is>
          <t>PHLPost</t>
        </is>
      </c>
    </row>
    <row r="1391" spans="1:4">
      <c r="A1391" t="inlineStr">
        <is>
          <t>Samar</t>
        </is>
      </c>
      <c r="B1391" t="inlineStr">
        <is>
          <t>Talalora</t>
        </is>
      </c>
      <c r="C1391" t="inlineStr">
        <is>
          <t>6719</t>
        </is>
      </c>
      <c r="D1391" t="inlineStr">
        <is>
          <t>PHLPost</t>
        </is>
      </c>
    </row>
    <row r="1392" spans="1:4">
      <c r="A1392" t="inlineStr">
        <is>
          <t>Samar</t>
        </is>
      </c>
      <c r="B1392" t="inlineStr">
        <is>
          <t>Tarangnan</t>
        </is>
      </c>
      <c r="C1392" t="inlineStr">
        <is>
          <t>6704</t>
        </is>
      </c>
      <c r="D1392" t="inlineStr">
        <is>
          <t>PHLPost</t>
        </is>
      </c>
    </row>
    <row r="1393" spans="1:4">
      <c r="A1393" t="inlineStr">
        <is>
          <t>Samar</t>
        </is>
      </c>
      <c r="B1393" t="inlineStr">
        <is>
          <t>Villareal</t>
        </is>
      </c>
      <c r="C1393" t="inlineStr">
        <is>
          <t>6717</t>
        </is>
      </c>
      <c r="D1393" t="inlineStr">
        <is>
          <t>PHLPost</t>
        </is>
      </c>
    </row>
    <row r="1394" spans="1:4">
      <c r="A1394" t="inlineStr">
        <is>
          <t>Samar</t>
        </is>
      </c>
      <c r="B1394" t="inlineStr">
        <is>
          <t>Zumarraga</t>
        </is>
      </c>
      <c r="C1394" t="inlineStr">
        <is>
          <t>6725</t>
        </is>
      </c>
      <c r="D1394" t="inlineStr">
        <is>
          <t>PHLPost</t>
        </is>
      </c>
    </row>
    <row r="1395" spans="1:4">
      <c r="A1395" t="inlineStr">
        <is>
          <t>Sarangani</t>
        </is>
      </c>
      <c r="B1395" t="inlineStr">
        <is>
          <t>Alabel</t>
        </is>
      </c>
      <c r="C1395" t="inlineStr">
        <is>
          <t>9501</t>
        </is>
      </c>
      <c r="D1395" t="inlineStr">
        <is>
          <t>PHLPost</t>
        </is>
      </c>
    </row>
    <row r="1396" spans="1:4">
      <c r="A1396" t="inlineStr">
        <is>
          <t>Sarangani</t>
        </is>
      </c>
      <c r="B1396" t="inlineStr">
        <is>
          <t>Glan</t>
        </is>
      </c>
      <c r="C1396" t="inlineStr">
        <is>
          <t>9517</t>
        </is>
      </c>
      <c r="D1396" t="inlineStr">
        <is>
          <t>PHLPost</t>
        </is>
      </c>
    </row>
    <row r="1397" spans="1:4">
      <c r="A1397" t="inlineStr">
        <is>
          <t>Sarangani</t>
        </is>
      </c>
      <c r="B1397" t="inlineStr">
        <is>
          <t>Kiamba</t>
        </is>
      </c>
      <c r="C1397" t="inlineStr">
        <is>
          <t>9514</t>
        </is>
      </c>
      <c r="D1397" t="inlineStr">
        <is>
          <t>BarangayDirectory</t>
        </is>
      </c>
    </row>
    <row r="1398" spans="1:4">
      <c r="A1398" t="inlineStr">
        <is>
          <t>Sarangani</t>
        </is>
      </c>
      <c r="B1398" t="inlineStr">
        <is>
          <t>Maasim</t>
        </is>
      </c>
      <c r="C1398" t="inlineStr">
        <is>
          <t>9502</t>
        </is>
      </c>
      <c r="D1398" t="inlineStr">
        <is>
          <t>PHLPost</t>
        </is>
      </c>
    </row>
    <row r="1399" spans="1:4">
      <c r="A1399" t="inlineStr">
        <is>
          <t>Sarangani</t>
        </is>
      </c>
      <c r="B1399" t="inlineStr">
        <is>
          <t>Maitum</t>
        </is>
      </c>
      <c r="C1399" t="inlineStr">
        <is>
          <t>9515</t>
        </is>
      </c>
      <c r="D1399" t="inlineStr">
        <is>
          <t>PHLPost</t>
        </is>
      </c>
    </row>
    <row r="1400" spans="1:4">
      <c r="A1400" t="inlineStr">
        <is>
          <t>Sarangani</t>
        </is>
      </c>
      <c r="B1400" t="inlineStr">
        <is>
          <t>Malapatan</t>
        </is>
      </c>
      <c r="C1400" t="inlineStr">
        <is>
          <t>9516</t>
        </is>
      </c>
      <c r="D1400" t="inlineStr">
        <is>
          <t>PHLPost</t>
        </is>
      </c>
    </row>
    <row r="1401" spans="1:4">
      <c r="A1401" t="inlineStr">
        <is>
          <t>Sarangani</t>
        </is>
      </c>
      <c r="B1401" t="inlineStr">
        <is>
          <t>Malungon</t>
        </is>
      </c>
      <c r="C1401" t="inlineStr">
        <is>
          <t>9503</t>
        </is>
      </c>
      <c r="D1401" t="inlineStr">
        <is>
          <t>PHLPost</t>
        </is>
      </c>
    </row>
    <row r="1402" spans="1:4">
      <c r="A1402" t="inlineStr">
        <is>
          <t>Siquijor</t>
        </is>
      </c>
      <c r="B1402" t="inlineStr">
        <is>
          <t>Enrique Villanueva</t>
        </is>
      </c>
      <c r="C1402" t="inlineStr">
        <is>
          <t>6230</t>
        </is>
      </c>
      <c r="D1402" t="inlineStr">
        <is>
          <t>BarangayDirectory</t>
        </is>
      </c>
    </row>
    <row r="1403" spans="1:4">
      <c r="A1403" t="inlineStr">
        <is>
          <t>Siquijor</t>
        </is>
      </c>
      <c r="B1403" t="inlineStr">
        <is>
          <t>Larena</t>
        </is>
      </c>
      <c r="C1403" t="inlineStr">
        <is>
          <t>6226</t>
        </is>
      </c>
      <c r="D1403" t="inlineStr">
        <is>
          <t>BarangayDirectory</t>
        </is>
      </c>
    </row>
    <row r="1404" spans="1:4">
      <c r="A1404" t="inlineStr">
        <is>
          <t>Siquijor</t>
        </is>
      </c>
      <c r="B1404" t="inlineStr">
        <is>
          <t>Lazi</t>
        </is>
      </c>
      <c r="C1404" t="inlineStr">
        <is>
          <t>6228</t>
        </is>
      </c>
      <c r="D1404" t="inlineStr">
        <is>
          <t>BarangayDirectory</t>
        </is>
      </c>
    </row>
    <row r="1405" spans="1:4">
      <c r="A1405" t="inlineStr">
        <is>
          <t>Siquijor</t>
        </is>
      </c>
      <c r="B1405" t="inlineStr">
        <is>
          <t>Maria</t>
        </is>
      </c>
      <c r="C1405" t="inlineStr">
        <is>
          <t>6229</t>
        </is>
      </c>
      <c r="D1405" t="inlineStr">
        <is>
          <t>BarangayDirectory</t>
        </is>
      </c>
    </row>
    <row r="1406" spans="1:4">
      <c r="A1406" t="inlineStr">
        <is>
          <t>Siquijor</t>
        </is>
      </c>
      <c r="B1406" t="inlineStr">
        <is>
          <t>San Juan</t>
        </is>
      </c>
      <c r="C1406" t="inlineStr">
        <is>
          <t>6227</t>
        </is>
      </c>
      <c r="D1406" t="inlineStr">
        <is>
          <t>BarangayDirectory</t>
        </is>
      </c>
    </row>
    <row r="1407" spans="1:4">
      <c r="A1407" t="inlineStr">
        <is>
          <t>Siquijor</t>
        </is>
      </c>
      <c r="B1407" t="inlineStr">
        <is>
          <t>Siquijor</t>
        </is>
      </c>
      <c r="C1407" t="inlineStr">
        <is>
          <t>6225</t>
        </is>
      </c>
      <c r="D1407" t="inlineStr">
        <is>
          <t>BarangayDirectory</t>
        </is>
      </c>
    </row>
    <row r="1408" spans="1:4">
      <c r="A1408" t="inlineStr">
        <is>
          <t>Sorsogon</t>
        </is>
      </c>
      <c r="B1408" t="inlineStr">
        <is>
          <t>Barcelona</t>
        </is>
      </c>
      <c r="C1408" t="inlineStr">
        <is>
          <t>4712</t>
        </is>
      </c>
      <c r="D1408" t="inlineStr">
        <is>
          <t>PHLPost</t>
        </is>
      </c>
    </row>
    <row r="1409" spans="1:4">
      <c r="A1409" t="inlineStr">
        <is>
          <t>Sorsogon</t>
        </is>
      </c>
      <c r="B1409" t="inlineStr">
        <is>
          <t>Bulan</t>
        </is>
      </c>
      <c r="C1409" t="inlineStr">
        <is>
          <t>4706</t>
        </is>
      </c>
      <c r="D1409" t="inlineStr">
        <is>
          <t>PHLPost</t>
        </is>
      </c>
    </row>
    <row r="1410" spans="1:4">
      <c r="A1410" t="inlineStr">
        <is>
          <t>Sorsogon</t>
        </is>
      </c>
      <c r="B1410" t="inlineStr">
        <is>
          <t>Bulusan</t>
        </is>
      </c>
      <c r="C1410" t="inlineStr">
        <is>
          <t>4704</t>
        </is>
      </c>
      <c r="D1410" t="inlineStr">
        <is>
          <t>PHLPost</t>
        </is>
      </c>
    </row>
    <row r="1411" spans="1:4">
      <c r="A1411" t="inlineStr">
        <is>
          <t>Sorsogon</t>
        </is>
      </c>
      <c r="B1411" t="inlineStr">
        <is>
          <t>Casiguran</t>
        </is>
      </c>
      <c r="C1411" t="inlineStr">
        <is>
          <t>4702</t>
        </is>
      </c>
      <c r="D1411" t="inlineStr">
        <is>
          <t>PHLPost</t>
        </is>
      </c>
    </row>
    <row r="1412" spans="1:4">
      <c r="A1412" t="inlineStr">
        <is>
          <t>Sorsogon</t>
        </is>
      </c>
      <c r="B1412" t="inlineStr">
        <is>
          <t>Castilla</t>
        </is>
      </c>
      <c r="C1412" t="inlineStr">
        <is>
          <t>4713</t>
        </is>
      </c>
      <c r="D1412" t="inlineStr">
        <is>
          <t>PHLPost</t>
        </is>
      </c>
    </row>
    <row r="1413" spans="1:4">
      <c r="A1413" t="inlineStr">
        <is>
          <t>Sorsogon</t>
        </is>
      </c>
      <c r="B1413" t="inlineStr">
        <is>
          <t>City of Sorsogon</t>
        </is>
      </c>
      <c r="C1413" t="inlineStr">
        <is>
          <t>4700</t>
        </is>
      </c>
      <c r="D1413" t="inlineStr">
        <is>
          <t>PHLPost</t>
        </is>
      </c>
    </row>
    <row r="1414" spans="1:4">
      <c r="A1414" t="inlineStr">
        <is>
          <t>Sorsogon</t>
        </is>
      </c>
      <c r="B1414" t="inlineStr">
        <is>
          <t>Donsol</t>
        </is>
      </c>
      <c r="C1414" t="inlineStr">
        <is>
          <t>4715</t>
        </is>
      </c>
      <c r="D1414" t="inlineStr">
        <is>
          <t>PHLPost</t>
        </is>
      </c>
    </row>
    <row r="1415" spans="1:4">
      <c r="A1415" t="inlineStr">
        <is>
          <t>Sorsogon</t>
        </is>
      </c>
      <c r="B1415" t="inlineStr">
        <is>
          <t>Gubat</t>
        </is>
      </c>
      <c r="C1415" t="inlineStr">
        <is>
          <t>4710</t>
        </is>
      </c>
      <c r="D1415" t="inlineStr">
        <is>
          <t>PHLPost</t>
        </is>
      </c>
    </row>
    <row r="1416" spans="1:4">
      <c r="A1416" t="inlineStr">
        <is>
          <t>Sorsogon</t>
        </is>
      </c>
      <c r="B1416" t="inlineStr">
        <is>
          <t>Irosin</t>
        </is>
      </c>
      <c r="C1416" t="inlineStr">
        <is>
          <t>4707</t>
        </is>
      </c>
      <c r="D1416" t="inlineStr">
        <is>
          <t>PHLPost</t>
        </is>
      </c>
    </row>
    <row r="1417" spans="1:4">
      <c r="A1417" t="inlineStr">
        <is>
          <t>Sorsogon</t>
        </is>
      </c>
      <c r="B1417" t="inlineStr">
        <is>
          <t>Juban</t>
        </is>
      </c>
      <c r="C1417" t="inlineStr">
        <is>
          <t>4703</t>
        </is>
      </c>
      <c r="D1417" t="inlineStr">
        <is>
          <t>PHLPost</t>
        </is>
      </c>
    </row>
    <row r="1418" spans="1:4">
      <c r="A1418" t="inlineStr">
        <is>
          <t>Sorsogon</t>
        </is>
      </c>
      <c r="B1418" t="inlineStr">
        <is>
          <t>Magallanes</t>
        </is>
      </c>
      <c r="C1418" t="inlineStr">
        <is>
          <t>4705</t>
        </is>
      </c>
      <c r="D1418" t="inlineStr">
        <is>
          <t>PHLPost</t>
        </is>
      </c>
    </row>
    <row r="1419" spans="1:4">
      <c r="A1419" t="inlineStr">
        <is>
          <t>Sorsogon</t>
        </is>
      </c>
      <c r="B1419" t="inlineStr">
        <is>
          <t>Matnog</t>
        </is>
      </c>
      <c r="C1419" t="inlineStr">
        <is>
          <t>4708</t>
        </is>
      </c>
      <c r="D1419" t="inlineStr">
        <is>
          <t>PHLPost</t>
        </is>
      </c>
    </row>
    <row r="1420" spans="1:4">
      <c r="A1420" t="inlineStr">
        <is>
          <t>Sorsogon</t>
        </is>
      </c>
      <c r="B1420" t="inlineStr">
        <is>
          <t>Pilar</t>
        </is>
      </c>
      <c r="C1420" t="inlineStr">
        <is>
          <t>4714</t>
        </is>
      </c>
      <c r="D1420" t="inlineStr">
        <is>
          <t>PHLPost</t>
        </is>
      </c>
    </row>
    <row r="1421" spans="1:4">
      <c r="A1421" t="inlineStr">
        <is>
          <t>Sorsogon</t>
        </is>
      </c>
      <c r="B1421" t="inlineStr">
        <is>
          <t>Prieto Diaz</t>
        </is>
      </c>
      <c r="C1421" t="inlineStr">
        <is>
          <t>4711</t>
        </is>
      </c>
      <c r="D1421" t="inlineStr">
        <is>
          <t>PHLPost</t>
        </is>
      </c>
    </row>
    <row r="1422" spans="1:4">
      <c r="A1422" t="inlineStr">
        <is>
          <t>Sorsogon</t>
        </is>
      </c>
      <c r="B1422" t="inlineStr">
        <is>
          <t>Santa Magdalena</t>
        </is>
      </c>
      <c r="C1422" t="inlineStr">
        <is>
          <t>4709</t>
        </is>
      </c>
      <c r="D1422" t="inlineStr">
        <is>
          <t>PHLPost</t>
        </is>
      </c>
    </row>
    <row r="1423" spans="1:4">
      <c r="A1423" t="inlineStr">
        <is>
          <t>South Cotabato</t>
        </is>
      </c>
      <c r="B1423" t="inlineStr">
        <is>
          <t>Banga</t>
        </is>
      </c>
      <c r="C1423" t="inlineStr">
        <is>
          <t>9511</t>
        </is>
      </c>
      <c r="D1423" t="inlineStr">
        <is>
          <t>PHLPost</t>
        </is>
      </c>
    </row>
    <row r="1424" spans="1:4">
      <c r="A1424" t="inlineStr">
        <is>
          <t>South Cotabato</t>
        </is>
      </c>
      <c r="B1424" t="inlineStr">
        <is>
          <t>City of Koronadal</t>
        </is>
      </c>
      <c r="C1424" t="inlineStr">
        <is>
          <t>9506</t>
        </is>
      </c>
      <c r="D1424" t="inlineStr">
        <is>
          <t>PHLPost</t>
        </is>
      </c>
    </row>
    <row r="1425" spans="1:4">
      <c r="A1425" t="inlineStr">
        <is>
          <t>South Cotabato</t>
        </is>
      </c>
      <c r="B1425" t="inlineStr">
        <is>
          <t>Lake Sebu</t>
        </is>
      </c>
      <c r="C1425" t="inlineStr">
        <is>
          <t>9518</t>
        </is>
      </c>
      <c r="D1425" t="inlineStr">
        <is>
          <t>PHLPost</t>
        </is>
      </c>
    </row>
    <row r="1426" spans="1:4">
      <c r="A1426" t="inlineStr">
        <is>
          <t>South Cotabato</t>
        </is>
      </c>
      <c r="B1426" t="inlineStr">
        <is>
          <t>Norala</t>
        </is>
      </c>
      <c r="C1426" t="inlineStr">
        <is>
          <t>9508</t>
        </is>
      </c>
      <c r="D1426" t="inlineStr">
        <is>
          <t>PHLPost</t>
        </is>
      </c>
    </row>
    <row r="1427" spans="1:4">
      <c r="A1427" t="inlineStr">
        <is>
          <t>South Cotabato</t>
        </is>
      </c>
      <c r="B1427" t="inlineStr">
        <is>
          <t>Polomolok</t>
        </is>
      </c>
      <c r="C1427" t="inlineStr">
        <is>
          <t>9504</t>
        </is>
      </c>
      <c r="D1427" t="inlineStr">
        <is>
          <t>PHLPost</t>
        </is>
      </c>
    </row>
    <row r="1428" spans="1:4">
      <c r="A1428" t="inlineStr">
        <is>
          <t>South Cotabato</t>
        </is>
      </c>
      <c r="B1428" t="inlineStr">
        <is>
          <t>Santo Niño</t>
        </is>
      </c>
      <c r="C1428" t="inlineStr">
        <is>
          <t>9509</t>
        </is>
      </c>
      <c r="D1428" t="inlineStr">
        <is>
          <t>PHLPost</t>
        </is>
      </c>
    </row>
    <row r="1429" spans="1:4">
      <c r="A1429" t="inlineStr">
        <is>
          <t>South Cotabato</t>
        </is>
      </c>
      <c r="B1429" t="inlineStr">
        <is>
          <t>Surallah</t>
        </is>
      </c>
      <c r="C1429" t="inlineStr">
        <is>
          <t>9512</t>
        </is>
      </c>
      <c r="D1429" t="inlineStr">
        <is>
          <t>PHLPost</t>
        </is>
      </c>
    </row>
    <row r="1430" spans="1:4">
      <c r="A1430" t="inlineStr">
        <is>
          <t>South Cotabato</t>
        </is>
      </c>
      <c r="B1430" t="inlineStr">
        <is>
          <t>T'Boli</t>
        </is>
      </c>
      <c r="C1430" t="inlineStr">
        <is>
          <t>9513</t>
        </is>
      </c>
      <c r="D1430" t="inlineStr">
        <is>
          <t>BarangayDirectory</t>
        </is>
      </c>
    </row>
    <row r="1431" spans="1:4">
      <c r="A1431" t="inlineStr">
        <is>
          <t>South Cotabato</t>
        </is>
      </c>
      <c r="B1431" t="inlineStr">
        <is>
          <t>Tampakan</t>
        </is>
      </c>
      <c r="C1431" t="inlineStr">
        <is>
          <t>9507</t>
        </is>
      </c>
      <c r="D1431" t="inlineStr">
        <is>
          <t>PHLPost</t>
        </is>
      </c>
    </row>
    <row r="1432" spans="1:4">
      <c r="A1432" t="inlineStr">
        <is>
          <t>South Cotabato</t>
        </is>
      </c>
      <c r="B1432" t="inlineStr">
        <is>
          <t>Tantangan</t>
        </is>
      </c>
      <c r="C1432" t="inlineStr">
        <is>
          <t>9510</t>
        </is>
      </c>
      <c r="D1432" t="inlineStr">
        <is>
          <t>PHLPost</t>
        </is>
      </c>
    </row>
    <row r="1433" spans="1:4">
      <c r="A1433" t="inlineStr">
        <is>
          <t>South Cotabato</t>
        </is>
      </c>
      <c r="B1433" t="inlineStr">
        <is>
          <t>Tupi</t>
        </is>
      </c>
      <c r="C1433" t="inlineStr">
        <is>
          <t>9505</t>
        </is>
      </c>
      <c r="D1433" t="inlineStr">
        <is>
          <t>PHLPost</t>
        </is>
      </c>
    </row>
    <row r="1434" spans="1:4">
      <c r="A1434" t="inlineStr">
        <is>
          <t>Southern Leyte</t>
        </is>
      </c>
      <c r="B1434" t="inlineStr">
        <is>
          <t>Anahawan</t>
        </is>
      </c>
      <c r="C1434" t="inlineStr">
        <is>
          <t>6610</t>
        </is>
      </c>
      <c r="D1434" t="inlineStr">
        <is>
          <t>BarangayDirectory</t>
        </is>
      </c>
    </row>
    <row r="1435" spans="1:4">
      <c r="A1435" t="inlineStr">
        <is>
          <t>Southern Leyte</t>
        </is>
      </c>
      <c r="B1435" t="inlineStr">
        <is>
          <t>Bontoc</t>
        </is>
      </c>
      <c r="C1435" t="inlineStr">
        <is>
          <t>6604</t>
        </is>
      </c>
      <c r="D1435" t="inlineStr">
        <is>
          <t>BarangayDirectory</t>
        </is>
      </c>
    </row>
    <row r="1436" spans="1:4">
      <c r="A1436" t="inlineStr">
        <is>
          <t>Southern Leyte</t>
        </is>
      </c>
      <c r="B1436" t="inlineStr">
        <is>
          <t>City of Maasin</t>
        </is>
      </c>
      <c r="C1436" t="inlineStr">
        <is>
          <t>6600</t>
        </is>
      </c>
      <c r="D1436" t="inlineStr">
        <is>
          <t>BarangayDirectory</t>
        </is>
      </c>
    </row>
    <row r="1437" spans="1:4">
      <c r="A1437" t="inlineStr">
        <is>
          <t>Southern Leyte</t>
        </is>
      </c>
      <c r="B1437" t="inlineStr">
        <is>
          <t>Hinunangan</t>
        </is>
      </c>
      <c r="C1437" t="inlineStr">
        <is>
          <t>6608</t>
        </is>
      </c>
      <c r="D1437" t="inlineStr">
        <is>
          <t>BarangayDirectory</t>
        </is>
      </c>
    </row>
    <row r="1438" spans="1:4">
      <c r="A1438" t="inlineStr">
        <is>
          <t>Southern Leyte</t>
        </is>
      </c>
      <c r="B1438" t="inlineStr">
        <is>
          <t>Hinundayan</t>
        </is>
      </c>
      <c r="C1438" t="inlineStr">
        <is>
          <t>6609</t>
        </is>
      </c>
      <c r="D1438" t="inlineStr">
        <is>
          <t>BarangayDirectory</t>
        </is>
      </c>
    </row>
    <row r="1439" spans="1:4">
      <c r="A1439" t="inlineStr">
        <is>
          <t>Southern Leyte</t>
        </is>
      </c>
      <c r="B1439" t="inlineStr">
        <is>
          <t>Libagon</t>
        </is>
      </c>
      <c r="C1439" t="inlineStr">
        <is>
          <t>6615</t>
        </is>
      </c>
      <c r="D1439" t="inlineStr">
        <is>
          <t>BarangayDirectory</t>
        </is>
      </c>
    </row>
    <row r="1440" spans="1:4">
      <c r="A1440" t="inlineStr">
        <is>
          <t>Southern Leyte</t>
        </is>
      </c>
      <c r="B1440" t="inlineStr">
        <is>
          <t>Liloan</t>
        </is>
      </c>
      <c r="C1440" t="inlineStr">
        <is>
          <t>6612</t>
        </is>
      </c>
      <c r="D1440" t="inlineStr">
        <is>
          <t>BarangayDirectory</t>
        </is>
      </c>
    </row>
    <row r="1441" spans="1:4">
      <c r="A1441" t="inlineStr">
        <is>
          <t>Southern Leyte</t>
        </is>
      </c>
      <c r="B1441" t="inlineStr">
        <is>
          <t>Limasawa</t>
        </is>
      </c>
      <c r="D1441" t="inlineStr">
        <is>
          <t>Needs verification</t>
        </is>
      </c>
    </row>
    <row r="1442" spans="1:4">
      <c r="A1442" t="inlineStr">
        <is>
          <t>Southern Leyte</t>
        </is>
      </c>
      <c r="B1442" t="inlineStr">
        <is>
          <t>Macrohon</t>
        </is>
      </c>
      <c r="C1442" t="inlineStr">
        <is>
          <t>6601</t>
        </is>
      </c>
      <c r="D1442" t="inlineStr">
        <is>
          <t>BarangayDirectory</t>
        </is>
      </c>
    </row>
    <row r="1443" spans="1:4">
      <c r="A1443" t="inlineStr">
        <is>
          <t>Southern Leyte</t>
        </is>
      </c>
      <c r="B1443" t="inlineStr">
        <is>
          <t>Malitbog</t>
        </is>
      </c>
      <c r="C1443" t="inlineStr">
        <is>
          <t>6603</t>
        </is>
      </c>
      <c r="D1443" t="inlineStr">
        <is>
          <t>BarangayDirectory</t>
        </is>
      </c>
    </row>
    <row r="1444" spans="1:4">
      <c r="A1444" t="inlineStr">
        <is>
          <t>Southern Leyte</t>
        </is>
      </c>
      <c r="B1444" t="inlineStr">
        <is>
          <t>Padre Burgos</t>
        </is>
      </c>
      <c r="C1444" t="inlineStr">
        <is>
          <t>6602</t>
        </is>
      </c>
      <c r="D1444" t="inlineStr">
        <is>
          <t>BarangayDirectory</t>
        </is>
      </c>
    </row>
    <row r="1445" spans="1:4">
      <c r="A1445" t="inlineStr">
        <is>
          <t>Southern Leyte</t>
        </is>
      </c>
      <c r="B1445" t="inlineStr">
        <is>
          <t>Pintuyan</t>
        </is>
      </c>
      <c r="C1445" t="inlineStr">
        <is>
          <t>6614</t>
        </is>
      </c>
      <c r="D1445" t="inlineStr">
        <is>
          <t>BarangayDirectory</t>
        </is>
      </c>
    </row>
    <row r="1446" spans="1:4">
      <c r="A1446" t="inlineStr">
        <is>
          <t>Southern Leyte</t>
        </is>
      </c>
      <c r="B1446" t="inlineStr">
        <is>
          <t>Saint Bernard</t>
        </is>
      </c>
      <c r="C1446" t="inlineStr">
        <is>
          <t>6616</t>
        </is>
      </c>
      <c r="D1446" t="inlineStr">
        <is>
          <t>BarangayDirectory</t>
        </is>
      </c>
    </row>
    <row r="1447" spans="1:4">
      <c r="A1447" t="inlineStr">
        <is>
          <t>Southern Leyte</t>
        </is>
      </c>
      <c r="B1447" t="inlineStr">
        <is>
          <t>San Francisco</t>
        </is>
      </c>
      <c r="C1447" t="inlineStr">
        <is>
          <t>6613</t>
        </is>
      </c>
      <c r="D1447" t="inlineStr">
        <is>
          <t>BarangayDirectory</t>
        </is>
      </c>
    </row>
    <row r="1448" spans="1:4">
      <c r="A1448" t="inlineStr">
        <is>
          <t>Southern Leyte</t>
        </is>
      </c>
      <c r="B1448" t="inlineStr">
        <is>
          <t>San Juan</t>
        </is>
      </c>
      <c r="C1448" t="inlineStr">
        <is>
          <t>2823</t>
        </is>
      </c>
      <c r="D1448" t="inlineStr">
        <is>
          <t>BarangayDirectory</t>
        </is>
      </c>
    </row>
    <row r="1449" spans="1:4">
      <c r="A1449" t="inlineStr">
        <is>
          <t>Southern Leyte</t>
        </is>
      </c>
      <c r="B1449" t="inlineStr">
        <is>
          <t>San Ricardo</t>
        </is>
      </c>
      <c r="C1449" t="inlineStr">
        <is>
          <t>6617</t>
        </is>
      </c>
      <c r="D1449" t="inlineStr">
        <is>
          <t>BarangayDirectory</t>
        </is>
      </c>
    </row>
    <row r="1450" spans="1:4">
      <c r="A1450" t="inlineStr">
        <is>
          <t>Southern Leyte</t>
        </is>
      </c>
      <c r="B1450" t="inlineStr">
        <is>
          <t>Silago</t>
        </is>
      </c>
      <c r="C1450" t="inlineStr">
        <is>
          <t>6607</t>
        </is>
      </c>
      <c r="D1450" t="inlineStr">
        <is>
          <t>BarangayDirectory</t>
        </is>
      </c>
    </row>
    <row r="1451" spans="1:4">
      <c r="A1451" t="inlineStr">
        <is>
          <t>Southern Leyte</t>
        </is>
      </c>
      <c r="B1451" t="inlineStr">
        <is>
          <t>Sogod</t>
        </is>
      </c>
      <c r="C1451" t="inlineStr">
        <is>
          <t>6606</t>
        </is>
      </c>
      <c r="D1451" t="inlineStr">
        <is>
          <t>BarangayDirectory</t>
        </is>
      </c>
    </row>
    <row r="1452" spans="1:4">
      <c r="A1452" t="inlineStr">
        <is>
          <t>Southern Leyte</t>
        </is>
      </c>
      <c r="B1452" t="inlineStr">
        <is>
          <t>Tomas Oppus</t>
        </is>
      </c>
      <c r="D1452" t="inlineStr">
        <is>
          <t>Needs verification</t>
        </is>
      </c>
    </row>
    <row r="1453" spans="1:4">
      <c r="A1453" t="inlineStr">
        <is>
          <t>Special Geographic Area</t>
        </is>
      </c>
      <c r="B1453" t="inlineStr">
        <is>
          <t>Kadayangan</t>
        </is>
      </c>
      <c r="D1453" t="inlineStr">
        <is>
          <t>Needs verification</t>
        </is>
      </c>
    </row>
    <row r="1454" spans="1:4">
      <c r="A1454" t="inlineStr">
        <is>
          <t>Special Geographic Area</t>
        </is>
      </c>
      <c r="B1454" t="inlineStr">
        <is>
          <t>Kapalawan</t>
        </is>
      </c>
      <c r="D1454" t="inlineStr">
        <is>
          <t>Needs verification</t>
        </is>
      </c>
    </row>
    <row r="1455" spans="1:4">
      <c r="A1455" t="inlineStr">
        <is>
          <t>Special Geographic Area</t>
        </is>
      </c>
      <c r="B1455" t="inlineStr">
        <is>
          <t>Ligawasan</t>
        </is>
      </c>
      <c r="D1455" t="inlineStr">
        <is>
          <t>Needs verification</t>
        </is>
      </c>
    </row>
    <row r="1456" spans="1:4">
      <c r="A1456" t="inlineStr">
        <is>
          <t>Special Geographic Area</t>
        </is>
      </c>
      <c r="B1456" t="inlineStr">
        <is>
          <t>Malidegao</t>
        </is>
      </c>
      <c r="D1456" t="inlineStr">
        <is>
          <t>Needs verification</t>
        </is>
      </c>
    </row>
    <row r="1457" spans="1:4">
      <c r="A1457" t="inlineStr">
        <is>
          <t>Special Geographic Area</t>
        </is>
      </c>
      <c r="B1457" t="inlineStr">
        <is>
          <t>Nabalawag</t>
        </is>
      </c>
      <c r="D1457" t="inlineStr">
        <is>
          <t>Needs verification</t>
        </is>
      </c>
    </row>
    <row r="1458" spans="1:4">
      <c r="A1458" t="inlineStr">
        <is>
          <t>Special Geographic Area</t>
        </is>
      </c>
      <c r="B1458" t="inlineStr">
        <is>
          <t>Old Kaabakan</t>
        </is>
      </c>
      <c r="D1458" t="inlineStr">
        <is>
          <t>Needs verification</t>
        </is>
      </c>
    </row>
    <row r="1459" spans="1:4">
      <c r="A1459" t="inlineStr">
        <is>
          <t>Special Geographic Area</t>
        </is>
      </c>
      <c r="B1459" t="inlineStr">
        <is>
          <t>Pahamuddin</t>
        </is>
      </c>
      <c r="D1459" t="inlineStr">
        <is>
          <t>Needs verification</t>
        </is>
      </c>
    </row>
    <row r="1460" spans="1:4">
      <c r="A1460" t="inlineStr">
        <is>
          <t>Special Geographic Area</t>
        </is>
      </c>
      <c r="B1460" t="inlineStr">
        <is>
          <t>Tugunan</t>
        </is>
      </c>
      <c r="D1460" t="inlineStr">
        <is>
          <t>Needs verification</t>
        </is>
      </c>
    </row>
    <row r="1461" spans="1:4">
      <c r="A1461" t="inlineStr">
        <is>
          <t>Sultan Kudarat</t>
        </is>
      </c>
      <c r="B1461" t="inlineStr">
        <is>
          <t>Bagumbayan</t>
        </is>
      </c>
      <c r="C1461" t="inlineStr">
        <is>
          <t>9810</t>
        </is>
      </c>
      <c r="D1461" t="inlineStr">
        <is>
          <t>PHLPost</t>
        </is>
      </c>
    </row>
    <row r="1462" spans="1:4">
      <c r="A1462" t="inlineStr">
        <is>
          <t>Sultan Kudarat</t>
        </is>
      </c>
      <c r="B1462" t="inlineStr">
        <is>
          <t>City of Tacurong</t>
        </is>
      </c>
      <c r="C1462" t="inlineStr">
        <is>
          <t>9800</t>
        </is>
      </c>
      <c r="D1462" t="inlineStr">
        <is>
          <t>PHLPost</t>
        </is>
      </c>
    </row>
    <row r="1463" spans="1:4">
      <c r="A1463" t="inlineStr">
        <is>
          <t>Sultan Kudarat</t>
        </is>
      </c>
      <c r="B1463" t="inlineStr">
        <is>
          <t>Columbio</t>
        </is>
      </c>
      <c r="C1463" t="inlineStr">
        <is>
          <t>9801</t>
        </is>
      </c>
      <c r="D1463" t="inlineStr">
        <is>
          <t>PHLPost</t>
        </is>
      </c>
    </row>
    <row r="1464" spans="1:4">
      <c r="A1464" t="inlineStr">
        <is>
          <t>Sultan Kudarat</t>
        </is>
      </c>
      <c r="B1464" t="inlineStr">
        <is>
          <t>Esperanza</t>
        </is>
      </c>
      <c r="C1464" t="inlineStr">
        <is>
          <t>9806</t>
        </is>
      </c>
      <c r="D1464" t="inlineStr">
        <is>
          <t>BarangayDirectory</t>
        </is>
      </c>
    </row>
    <row r="1465" spans="1:4">
      <c r="A1465" t="inlineStr">
        <is>
          <t>Sultan Kudarat</t>
        </is>
      </c>
      <c r="B1465" t="inlineStr">
        <is>
          <t>Isulan</t>
        </is>
      </c>
      <c r="C1465" t="inlineStr">
        <is>
          <t>9805</t>
        </is>
      </c>
      <c r="D1465" t="inlineStr">
        <is>
          <t>PHLPost</t>
        </is>
      </c>
    </row>
    <row r="1466" spans="1:4">
      <c r="A1466" t="inlineStr">
        <is>
          <t>Sultan Kudarat</t>
        </is>
      </c>
      <c r="B1466" t="inlineStr">
        <is>
          <t>Kalamansig</t>
        </is>
      </c>
      <c r="C1466" t="inlineStr">
        <is>
          <t>9808</t>
        </is>
      </c>
      <c r="D1466" t="inlineStr">
        <is>
          <t>PHLPost</t>
        </is>
      </c>
    </row>
    <row r="1467" spans="1:4">
      <c r="A1467" t="inlineStr">
        <is>
          <t>Sultan Kudarat</t>
        </is>
      </c>
      <c r="B1467" t="inlineStr">
        <is>
          <t>Lambayong</t>
        </is>
      </c>
      <c r="C1467" t="inlineStr">
        <is>
          <t>9802</t>
        </is>
      </c>
      <c r="D1467" t="inlineStr">
        <is>
          <t>BarangayDirectory</t>
        </is>
      </c>
    </row>
    <row r="1468" spans="1:4">
      <c r="A1468" t="inlineStr">
        <is>
          <t>Sultan Kudarat</t>
        </is>
      </c>
      <c r="B1468" t="inlineStr">
        <is>
          <t>Lebak</t>
        </is>
      </c>
      <c r="C1468" t="inlineStr">
        <is>
          <t>9807</t>
        </is>
      </c>
      <c r="D1468" t="inlineStr">
        <is>
          <t>BarangayDirectory</t>
        </is>
      </c>
    </row>
    <row r="1469" spans="1:4">
      <c r="A1469" t="inlineStr">
        <is>
          <t>Sultan Kudarat</t>
        </is>
      </c>
      <c r="B1469" t="inlineStr">
        <is>
          <t>Lutayan</t>
        </is>
      </c>
      <c r="C1469" t="inlineStr">
        <is>
          <t>9803</t>
        </is>
      </c>
      <c r="D1469" t="inlineStr">
        <is>
          <t>PHLPost</t>
        </is>
      </c>
    </row>
    <row r="1470" spans="1:4">
      <c r="A1470" t="inlineStr">
        <is>
          <t>Sultan Kudarat</t>
        </is>
      </c>
      <c r="B1470" t="inlineStr">
        <is>
          <t>Palimbang</t>
        </is>
      </c>
      <c r="C1470" t="inlineStr">
        <is>
          <t>9809</t>
        </is>
      </c>
      <c r="D1470" t="inlineStr">
        <is>
          <t>PHLPost</t>
        </is>
      </c>
    </row>
    <row r="1471" spans="1:4">
      <c r="A1471" t="inlineStr">
        <is>
          <t>Sultan Kudarat</t>
        </is>
      </c>
      <c r="B1471" t="inlineStr">
        <is>
          <t>President Quirino</t>
        </is>
      </c>
      <c r="D1471" t="inlineStr">
        <is>
          <t>Needs verification</t>
        </is>
      </c>
    </row>
    <row r="1472" spans="1:4">
      <c r="A1472" t="inlineStr">
        <is>
          <t>Sultan Kudarat</t>
        </is>
      </c>
      <c r="B1472" t="inlineStr">
        <is>
          <t>Sen. Ninoy Aquino</t>
        </is>
      </c>
      <c r="C1472" t="inlineStr">
        <is>
          <t>9811</t>
        </is>
      </c>
      <c r="D1472" t="inlineStr">
        <is>
          <t>PHLPost</t>
        </is>
      </c>
    </row>
    <row r="1473" spans="1:4">
      <c r="A1473" t="inlineStr">
        <is>
          <t>Sulu</t>
        </is>
      </c>
      <c r="B1473" t="inlineStr">
        <is>
          <t>Hadji Panglima Tahil</t>
        </is>
      </c>
      <c r="C1473" t="inlineStr">
        <is>
          <t>7413</t>
        </is>
      </c>
      <c r="D1473" t="inlineStr">
        <is>
          <t>BarangayDirectory</t>
        </is>
      </c>
    </row>
    <row r="1474" spans="1:4">
      <c r="A1474" t="inlineStr">
        <is>
          <t>Sulu</t>
        </is>
      </c>
      <c r="B1474" t="inlineStr">
        <is>
          <t>Indanan</t>
        </is>
      </c>
      <c r="C1474" t="inlineStr">
        <is>
          <t>7407</t>
        </is>
      </c>
      <c r="D1474" t="inlineStr">
        <is>
          <t>BarangayDirectory</t>
        </is>
      </c>
    </row>
    <row r="1475" spans="1:4">
      <c r="A1475" t="inlineStr">
        <is>
          <t>Sulu</t>
        </is>
      </c>
      <c r="B1475" t="inlineStr">
        <is>
          <t>Jolo</t>
        </is>
      </c>
      <c r="C1475" t="inlineStr">
        <is>
          <t>7400</t>
        </is>
      </c>
      <c r="D1475" t="inlineStr">
        <is>
          <t>BarangayDirectory</t>
        </is>
      </c>
    </row>
    <row r="1476" spans="1:4">
      <c r="A1476" t="inlineStr">
        <is>
          <t>Sulu</t>
        </is>
      </c>
      <c r="B1476" t="inlineStr">
        <is>
          <t>Kalingalan Caluang</t>
        </is>
      </c>
      <c r="D1476" t="inlineStr">
        <is>
          <t>Needs verification</t>
        </is>
      </c>
    </row>
    <row r="1477" spans="1:4">
      <c r="A1477" t="inlineStr">
        <is>
          <t>Sulu</t>
        </is>
      </c>
      <c r="B1477" t="inlineStr">
        <is>
          <t>Lugus</t>
        </is>
      </c>
      <c r="C1477" t="inlineStr">
        <is>
          <t>7411</t>
        </is>
      </c>
      <c r="D1477" t="inlineStr">
        <is>
          <t>BarangayDirectory</t>
        </is>
      </c>
    </row>
    <row r="1478" spans="1:4">
      <c r="A1478" t="inlineStr">
        <is>
          <t>Sulu</t>
        </is>
      </c>
      <c r="B1478" t="inlineStr">
        <is>
          <t>Luuk</t>
        </is>
      </c>
      <c r="C1478" t="inlineStr">
        <is>
          <t>7404</t>
        </is>
      </c>
      <c r="D1478" t="inlineStr">
        <is>
          <t>BarangayDirectory</t>
        </is>
      </c>
    </row>
    <row r="1479" spans="1:4">
      <c r="A1479" t="inlineStr">
        <is>
          <t>Sulu</t>
        </is>
      </c>
      <c r="B1479" t="inlineStr">
        <is>
          <t>Maimbung</t>
        </is>
      </c>
      <c r="C1479" t="inlineStr">
        <is>
          <t>7409</t>
        </is>
      </c>
      <c r="D1479" t="inlineStr">
        <is>
          <t>BarangayDirectory</t>
        </is>
      </c>
    </row>
    <row r="1480" spans="1:4">
      <c r="A1480" t="inlineStr">
        <is>
          <t>Sulu</t>
        </is>
      </c>
      <c r="B1480" t="inlineStr">
        <is>
          <t>Old Panamao</t>
        </is>
      </c>
      <c r="C1480" t="inlineStr">
        <is>
          <t>7402</t>
        </is>
      </c>
      <c r="D1480" t="inlineStr">
        <is>
          <t>BarangayDirectory</t>
        </is>
      </c>
    </row>
    <row r="1481" spans="1:4">
      <c r="A1481" t="inlineStr">
        <is>
          <t>Sulu</t>
        </is>
      </c>
      <c r="B1481" t="inlineStr">
        <is>
          <t>Omar</t>
        </is>
      </c>
      <c r="D1481" t="inlineStr">
        <is>
          <t>Needs verification</t>
        </is>
      </c>
    </row>
    <row r="1482" spans="1:4">
      <c r="A1482" t="inlineStr">
        <is>
          <t>Sulu</t>
        </is>
      </c>
      <c r="B1482" t="inlineStr">
        <is>
          <t>Pandami</t>
        </is>
      </c>
      <c r="D1482" t="inlineStr">
        <is>
          <t>Needs verification</t>
        </is>
      </c>
    </row>
    <row r="1483" spans="1:4">
      <c r="A1483" t="inlineStr">
        <is>
          <t>Sulu</t>
        </is>
      </c>
      <c r="B1483" t="inlineStr">
        <is>
          <t>Panglima Estino</t>
        </is>
      </c>
      <c r="D1483" t="inlineStr">
        <is>
          <t>Needs verification</t>
        </is>
      </c>
    </row>
    <row r="1484" spans="1:4">
      <c r="A1484" t="inlineStr">
        <is>
          <t>Sulu</t>
        </is>
      </c>
      <c r="B1484" t="inlineStr">
        <is>
          <t>Pangutaran</t>
        </is>
      </c>
      <c r="C1484" t="inlineStr">
        <is>
          <t>7414</t>
        </is>
      </c>
      <c r="D1484" t="inlineStr">
        <is>
          <t>BarangayDirectory</t>
        </is>
      </c>
    </row>
    <row r="1485" spans="1:4">
      <c r="A1485" t="inlineStr">
        <is>
          <t>Sulu</t>
        </is>
      </c>
      <c r="B1485" t="inlineStr">
        <is>
          <t>Parang</t>
        </is>
      </c>
      <c r="C1485" t="inlineStr">
        <is>
          <t>7408</t>
        </is>
      </c>
      <c r="D1485" t="inlineStr">
        <is>
          <t>BarangayDirectory</t>
        </is>
      </c>
    </row>
    <row r="1486" spans="1:4">
      <c r="A1486" t="inlineStr">
        <is>
          <t>Sulu</t>
        </is>
      </c>
      <c r="B1486" t="inlineStr">
        <is>
          <t>Pata</t>
        </is>
      </c>
      <c r="C1486" t="inlineStr">
        <is>
          <t>7405</t>
        </is>
      </c>
      <c r="D1486" t="inlineStr">
        <is>
          <t>BarangayDirectory</t>
        </is>
      </c>
    </row>
    <row r="1487" spans="1:4">
      <c r="A1487" t="inlineStr">
        <is>
          <t>Sulu</t>
        </is>
      </c>
      <c r="B1487" t="inlineStr">
        <is>
          <t>Patikul</t>
        </is>
      </c>
      <c r="C1487" t="inlineStr">
        <is>
          <t>7401</t>
        </is>
      </c>
      <c r="D1487" t="inlineStr">
        <is>
          <t>BarangayDirectory</t>
        </is>
      </c>
    </row>
    <row r="1488" spans="1:4">
      <c r="A1488" t="inlineStr">
        <is>
          <t>Sulu</t>
        </is>
      </c>
      <c r="B1488" t="inlineStr">
        <is>
          <t>Siasi</t>
        </is>
      </c>
      <c r="C1488" t="inlineStr">
        <is>
          <t>7412</t>
        </is>
      </c>
      <c r="D1488" t="inlineStr">
        <is>
          <t>BarangayDirectory</t>
        </is>
      </c>
    </row>
    <row r="1489" spans="1:4">
      <c r="A1489" t="inlineStr">
        <is>
          <t>Sulu</t>
        </is>
      </c>
      <c r="B1489" t="inlineStr">
        <is>
          <t>Talipao</t>
        </is>
      </c>
      <c r="C1489" t="inlineStr">
        <is>
          <t>7403</t>
        </is>
      </c>
      <c r="D1489" t="inlineStr">
        <is>
          <t>BarangayDirectory</t>
        </is>
      </c>
    </row>
    <row r="1490" spans="1:4">
      <c r="A1490" t="inlineStr">
        <is>
          <t>Sulu</t>
        </is>
      </c>
      <c r="B1490" t="inlineStr">
        <is>
          <t>Tapul</t>
        </is>
      </c>
      <c r="C1490" t="inlineStr">
        <is>
          <t>7410</t>
        </is>
      </c>
      <c r="D1490" t="inlineStr">
        <is>
          <t>BarangayDirectory</t>
        </is>
      </c>
    </row>
    <row r="1491" spans="1:4">
      <c r="A1491" t="inlineStr">
        <is>
          <t>Sulu</t>
        </is>
      </c>
      <c r="B1491" t="inlineStr">
        <is>
          <t>Tongkil</t>
        </is>
      </c>
      <c r="C1491" t="inlineStr">
        <is>
          <t>7406</t>
        </is>
      </c>
      <c r="D1491" t="inlineStr">
        <is>
          <t>BarangayDirectory</t>
        </is>
      </c>
    </row>
    <row r="1492" spans="1:4">
      <c r="A1492" t="inlineStr">
        <is>
          <t>Surigao del Norte</t>
        </is>
      </c>
      <c r="B1492" t="inlineStr">
        <is>
          <t>Alegria</t>
        </is>
      </c>
      <c r="C1492" t="inlineStr">
        <is>
          <t>8425</t>
        </is>
      </c>
      <c r="D1492" t="inlineStr">
        <is>
          <t>PHLPost</t>
        </is>
      </c>
    </row>
    <row r="1493" spans="1:4">
      <c r="A1493" t="inlineStr">
        <is>
          <t>Surigao del Norte</t>
        </is>
      </c>
      <c r="B1493" t="inlineStr">
        <is>
          <t>Bacuag</t>
        </is>
      </c>
      <c r="C1493" t="inlineStr">
        <is>
          <t>8408</t>
        </is>
      </c>
      <c r="D1493" t="inlineStr">
        <is>
          <t>PHLPost</t>
        </is>
      </c>
    </row>
    <row r="1494" spans="1:4">
      <c r="A1494" t="inlineStr">
        <is>
          <t>Surigao del Norte</t>
        </is>
      </c>
      <c r="B1494" t="inlineStr">
        <is>
          <t>Burgos</t>
        </is>
      </c>
      <c r="C1494" t="inlineStr">
        <is>
          <t>8424</t>
        </is>
      </c>
      <c r="D1494" t="inlineStr">
        <is>
          <t>PHLPost</t>
        </is>
      </c>
    </row>
    <row r="1495" spans="1:4">
      <c r="A1495" t="inlineStr">
        <is>
          <t>Surigao del Norte</t>
        </is>
      </c>
      <c r="B1495" t="inlineStr">
        <is>
          <t>City of Surigao</t>
        </is>
      </c>
      <c r="C1495" t="inlineStr">
        <is>
          <t>8400</t>
        </is>
      </c>
      <c r="D1495" t="inlineStr">
        <is>
          <t>PHLPost</t>
        </is>
      </c>
    </row>
    <row r="1496" spans="1:4">
      <c r="A1496" t="inlineStr">
        <is>
          <t>Surigao del Norte</t>
        </is>
      </c>
      <c r="B1496" t="inlineStr">
        <is>
          <t>Claver</t>
        </is>
      </c>
      <c r="C1496" t="inlineStr">
        <is>
          <t>8410</t>
        </is>
      </c>
      <c r="D1496" t="inlineStr">
        <is>
          <t>PHLPost</t>
        </is>
      </c>
    </row>
    <row r="1497" spans="1:4">
      <c r="A1497" t="inlineStr">
        <is>
          <t>Surigao del Norte</t>
        </is>
      </c>
      <c r="B1497" t="inlineStr">
        <is>
          <t>Dapa</t>
        </is>
      </c>
      <c r="C1497" t="inlineStr">
        <is>
          <t>8417</t>
        </is>
      </c>
      <c r="D1497" t="inlineStr">
        <is>
          <t>PHLPost</t>
        </is>
      </c>
    </row>
    <row r="1498" spans="1:4">
      <c r="A1498" t="inlineStr">
        <is>
          <t>Surigao del Norte</t>
        </is>
      </c>
      <c r="B1498" t="inlineStr">
        <is>
          <t>Del Carmen</t>
        </is>
      </c>
      <c r="C1498" t="inlineStr">
        <is>
          <t>8418</t>
        </is>
      </c>
      <c r="D1498" t="inlineStr">
        <is>
          <t>PHLPost</t>
        </is>
      </c>
    </row>
    <row r="1499" spans="1:4">
      <c r="A1499" t="inlineStr">
        <is>
          <t>Surigao del Norte</t>
        </is>
      </c>
      <c r="B1499" t="inlineStr">
        <is>
          <t>General Luna</t>
        </is>
      </c>
      <c r="C1499" t="inlineStr">
        <is>
          <t>8419</t>
        </is>
      </c>
      <c r="D1499" t="inlineStr">
        <is>
          <t>BarangayDirectory</t>
        </is>
      </c>
    </row>
    <row r="1500" spans="1:4">
      <c r="A1500" t="inlineStr">
        <is>
          <t>Surigao del Norte</t>
        </is>
      </c>
      <c r="B1500" t="inlineStr">
        <is>
          <t>Gigaquit</t>
        </is>
      </c>
      <c r="C1500" t="inlineStr">
        <is>
          <t>8409</t>
        </is>
      </c>
      <c r="D1500" t="inlineStr">
        <is>
          <t>PHLPost</t>
        </is>
      </c>
    </row>
    <row r="1501" spans="1:4">
      <c r="A1501" t="inlineStr">
        <is>
          <t>Surigao del Norte</t>
        </is>
      </c>
      <c r="B1501" t="inlineStr">
        <is>
          <t>Mainit</t>
        </is>
      </c>
      <c r="C1501" t="inlineStr">
        <is>
          <t>8407</t>
        </is>
      </c>
      <c r="D1501" t="inlineStr">
        <is>
          <t>PHLPost</t>
        </is>
      </c>
    </row>
    <row r="1502" spans="1:4">
      <c r="A1502" t="inlineStr">
        <is>
          <t>Surigao del Norte</t>
        </is>
      </c>
      <c r="B1502" t="inlineStr">
        <is>
          <t>Malimono</t>
        </is>
      </c>
      <c r="C1502" t="inlineStr">
        <is>
          <t>8402</t>
        </is>
      </c>
      <c r="D1502" t="inlineStr">
        <is>
          <t>PHLPost</t>
        </is>
      </c>
    </row>
    <row r="1503" spans="1:4">
      <c r="A1503" t="inlineStr">
        <is>
          <t>Surigao del Norte</t>
        </is>
      </c>
      <c r="B1503" t="inlineStr">
        <is>
          <t>Pilar</t>
        </is>
      </c>
      <c r="C1503" t="inlineStr">
        <is>
          <t>8420</t>
        </is>
      </c>
      <c r="D1503" t="inlineStr">
        <is>
          <t>PHLPost</t>
        </is>
      </c>
    </row>
    <row r="1504" spans="1:4">
      <c r="A1504" t="inlineStr">
        <is>
          <t>Surigao del Norte</t>
        </is>
      </c>
      <c r="B1504" t="inlineStr">
        <is>
          <t>Placer</t>
        </is>
      </c>
      <c r="C1504" t="inlineStr">
        <is>
          <t>8405</t>
        </is>
      </c>
      <c r="D1504" t="inlineStr">
        <is>
          <t>PHLPost</t>
        </is>
      </c>
    </row>
    <row r="1505" spans="1:4">
      <c r="A1505" t="inlineStr">
        <is>
          <t>Surigao del Norte</t>
        </is>
      </c>
      <c r="B1505" t="inlineStr">
        <is>
          <t>San Benito</t>
        </is>
      </c>
      <c r="C1505" t="inlineStr">
        <is>
          <t>8423</t>
        </is>
      </c>
      <c r="D1505" t="inlineStr">
        <is>
          <t>PHLPost</t>
        </is>
      </c>
    </row>
    <row r="1506" spans="1:4">
      <c r="A1506" t="inlineStr">
        <is>
          <t>Surigao del Norte</t>
        </is>
      </c>
      <c r="B1506" t="inlineStr">
        <is>
          <t>San Francisco</t>
        </is>
      </c>
      <c r="C1506" t="inlineStr">
        <is>
          <t>8401</t>
        </is>
      </c>
      <c r="D1506" t="inlineStr">
        <is>
          <t>PHLPost</t>
        </is>
      </c>
    </row>
    <row r="1507" spans="1:4">
      <c r="A1507" t="inlineStr">
        <is>
          <t>Surigao del Norte</t>
        </is>
      </c>
      <c r="B1507" t="inlineStr">
        <is>
          <t>San Isidro</t>
        </is>
      </c>
      <c r="C1507" t="inlineStr">
        <is>
          <t>8421</t>
        </is>
      </c>
      <c r="D1507" t="inlineStr">
        <is>
          <t>PHLPost</t>
        </is>
      </c>
    </row>
    <row r="1508" spans="1:4">
      <c r="A1508" t="inlineStr">
        <is>
          <t>Surigao del Norte</t>
        </is>
      </c>
      <c r="B1508" t="inlineStr">
        <is>
          <t>Santa Monica</t>
        </is>
      </c>
      <c r="C1508" t="inlineStr">
        <is>
          <t>8422</t>
        </is>
      </c>
      <c r="D1508" t="inlineStr">
        <is>
          <t>PHLPost</t>
        </is>
      </c>
    </row>
    <row r="1509" spans="1:4">
      <c r="A1509" t="inlineStr">
        <is>
          <t>Surigao del Norte</t>
        </is>
      </c>
      <c r="B1509" t="inlineStr">
        <is>
          <t>Sison</t>
        </is>
      </c>
      <c r="C1509" t="inlineStr">
        <is>
          <t>8404</t>
        </is>
      </c>
      <c r="D1509" t="inlineStr">
        <is>
          <t>PHLPost</t>
        </is>
      </c>
    </row>
    <row r="1510" spans="1:4">
      <c r="A1510" t="inlineStr">
        <is>
          <t>Surigao del Norte</t>
        </is>
      </c>
      <c r="B1510" t="inlineStr">
        <is>
          <t>Socorro</t>
        </is>
      </c>
      <c r="C1510" t="inlineStr">
        <is>
          <t>8416</t>
        </is>
      </c>
      <c r="D1510" t="inlineStr">
        <is>
          <t>PHLPost</t>
        </is>
      </c>
    </row>
    <row r="1511" spans="1:4">
      <c r="A1511" t="inlineStr">
        <is>
          <t>Surigao del Norte</t>
        </is>
      </c>
      <c r="B1511" t="inlineStr">
        <is>
          <t>Tagana-An</t>
        </is>
      </c>
      <c r="C1511" t="inlineStr">
        <is>
          <t>8403</t>
        </is>
      </c>
      <c r="D1511" t="inlineStr">
        <is>
          <t>PHLPost</t>
        </is>
      </c>
    </row>
    <row r="1512" spans="1:4">
      <c r="A1512" t="inlineStr">
        <is>
          <t>Surigao del Norte</t>
        </is>
      </c>
      <c r="B1512" t="inlineStr">
        <is>
          <t>Tubod</t>
        </is>
      </c>
      <c r="C1512" t="inlineStr">
        <is>
          <t>8406</t>
        </is>
      </c>
      <c r="D1512" t="inlineStr">
        <is>
          <t>PHLPost</t>
        </is>
      </c>
    </row>
    <row r="1513" spans="1:4">
      <c r="A1513" t="inlineStr">
        <is>
          <t>Surigao del Sur</t>
        </is>
      </c>
      <c r="B1513" t="inlineStr">
        <is>
          <t>Barobo</t>
        </is>
      </c>
      <c r="C1513" t="inlineStr">
        <is>
          <t>8309</t>
        </is>
      </c>
      <c r="D1513" t="inlineStr">
        <is>
          <t>PHLPost</t>
        </is>
      </c>
    </row>
    <row r="1514" spans="1:4">
      <c r="A1514" t="inlineStr">
        <is>
          <t>Surigao del Sur</t>
        </is>
      </c>
      <c r="B1514" t="inlineStr">
        <is>
          <t>Bayabas</t>
        </is>
      </c>
      <c r="C1514" t="inlineStr">
        <is>
          <t>8303</t>
        </is>
      </c>
      <c r="D1514" t="inlineStr">
        <is>
          <t>PHLPost</t>
        </is>
      </c>
    </row>
    <row r="1515" spans="1:4">
      <c r="A1515" t="inlineStr">
        <is>
          <t>Surigao del Sur</t>
        </is>
      </c>
      <c r="B1515" t="inlineStr">
        <is>
          <t>Cagwait</t>
        </is>
      </c>
      <c r="C1515" t="inlineStr">
        <is>
          <t>8304</t>
        </is>
      </c>
      <c r="D1515" t="inlineStr">
        <is>
          <t>PHLPost</t>
        </is>
      </c>
    </row>
    <row r="1516" spans="1:4">
      <c r="A1516" t="inlineStr">
        <is>
          <t>Surigao del Sur</t>
        </is>
      </c>
      <c r="B1516" t="inlineStr">
        <is>
          <t>Cantilan</t>
        </is>
      </c>
      <c r="C1516" t="inlineStr">
        <is>
          <t>8317</t>
        </is>
      </c>
      <c r="D1516" t="inlineStr">
        <is>
          <t>PHLPost</t>
        </is>
      </c>
    </row>
    <row r="1517" spans="1:4">
      <c r="A1517" t="inlineStr">
        <is>
          <t>Surigao del Sur</t>
        </is>
      </c>
      <c r="B1517" t="inlineStr">
        <is>
          <t>Carmen</t>
        </is>
      </c>
      <c r="C1517" t="inlineStr">
        <is>
          <t>8603</t>
        </is>
      </c>
      <c r="D1517" t="inlineStr">
        <is>
          <t>BarangayDirectory</t>
        </is>
      </c>
    </row>
    <row r="1518" spans="1:4">
      <c r="A1518" t="inlineStr">
        <is>
          <t>Surigao del Sur</t>
        </is>
      </c>
      <c r="B1518" t="inlineStr">
        <is>
          <t>Carrascal</t>
        </is>
      </c>
      <c r="C1518" t="inlineStr">
        <is>
          <t>8318</t>
        </is>
      </c>
      <c r="D1518" t="inlineStr">
        <is>
          <t>PHLPost</t>
        </is>
      </c>
    </row>
    <row r="1519" spans="1:4">
      <c r="A1519" t="inlineStr">
        <is>
          <t>Surigao del Sur</t>
        </is>
      </c>
      <c r="B1519" t="inlineStr">
        <is>
          <t>City of Bislig</t>
        </is>
      </c>
      <c r="C1519" t="inlineStr">
        <is>
          <t>8311</t>
        </is>
      </c>
      <c r="D1519" t="inlineStr">
        <is>
          <t>PHLPost</t>
        </is>
      </c>
    </row>
    <row r="1520" spans="1:4">
      <c r="A1520" t="inlineStr">
        <is>
          <t>Surigao del Sur</t>
        </is>
      </c>
      <c r="B1520" t="inlineStr">
        <is>
          <t>City of Tandag</t>
        </is>
      </c>
      <c r="C1520" t="inlineStr">
        <is>
          <t>8300</t>
        </is>
      </c>
      <c r="D1520" t="inlineStr">
        <is>
          <t>PHLPost</t>
        </is>
      </c>
    </row>
    <row r="1521" spans="1:4">
      <c r="A1521" t="inlineStr">
        <is>
          <t>Surigao del Sur</t>
        </is>
      </c>
      <c r="B1521" t="inlineStr">
        <is>
          <t>Cortes</t>
        </is>
      </c>
      <c r="C1521" t="inlineStr">
        <is>
          <t>6341</t>
        </is>
      </c>
      <c r="D1521" t="inlineStr">
        <is>
          <t>BarangayDirectory</t>
        </is>
      </c>
    </row>
    <row r="1522" spans="1:4">
      <c r="A1522" t="inlineStr">
        <is>
          <t>Surigao del Sur</t>
        </is>
      </c>
      <c r="B1522" t="inlineStr">
        <is>
          <t>Hinatuan</t>
        </is>
      </c>
      <c r="C1522" t="inlineStr">
        <is>
          <t>8310</t>
        </is>
      </c>
      <c r="D1522" t="inlineStr">
        <is>
          <t>PHLPost</t>
        </is>
      </c>
    </row>
    <row r="1523" spans="1:4">
      <c r="A1523" t="inlineStr">
        <is>
          <t>Surigao del Sur</t>
        </is>
      </c>
      <c r="B1523" t="inlineStr">
        <is>
          <t>Lanuza</t>
        </is>
      </c>
      <c r="C1523" t="inlineStr">
        <is>
          <t>8314</t>
        </is>
      </c>
      <c r="D1523" t="inlineStr">
        <is>
          <t>PHLPost</t>
        </is>
      </c>
    </row>
    <row r="1524" spans="1:4">
      <c r="A1524" t="inlineStr">
        <is>
          <t>Surigao del Sur</t>
        </is>
      </c>
      <c r="B1524" t="inlineStr">
        <is>
          <t>Lianga</t>
        </is>
      </c>
      <c r="C1524" t="inlineStr">
        <is>
          <t>8307</t>
        </is>
      </c>
      <c r="D1524" t="inlineStr">
        <is>
          <t>PHLPost</t>
        </is>
      </c>
    </row>
    <row r="1525" spans="1:4">
      <c r="A1525" t="inlineStr">
        <is>
          <t>Surigao del Sur</t>
        </is>
      </c>
      <c r="B1525" t="inlineStr">
        <is>
          <t>Lingig</t>
        </is>
      </c>
      <c r="C1525" t="inlineStr">
        <is>
          <t>8312</t>
        </is>
      </c>
      <c r="D1525" t="inlineStr">
        <is>
          <t>PHLPost</t>
        </is>
      </c>
    </row>
    <row r="1526" spans="1:4">
      <c r="A1526" t="inlineStr">
        <is>
          <t>Surigao del Sur</t>
        </is>
      </c>
      <c r="B1526" t="inlineStr">
        <is>
          <t>Madrid</t>
        </is>
      </c>
      <c r="C1526" t="inlineStr">
        <is>
          <t>8316</t>
        </is>
      </c>
      <c r="D1526" t="inlineStr">
        <is>
          <t>PHLPost</t>
        </is>
      </c>
    </row>
    <row r="1527" spans="1:4">
      <c r="A1527" t="inlineStr">
        <is>
          <t>Surigao del Sur</t>
        </is>
      </c>
      <c r="B1527" t="inlineStr">
        <is>
          <t>Marihatag</t>
        </is>
      </c>
      <c r="C1527" t="inlineStr">
        <is>
          <t>8306</t>
        </is>
      </c>
      <c r="D1527" t="inlineStr">
        <is>
          <t>PHLPost</t>
        </is>
      </c>
    </row>
    <row r="1528" spans="1:4">
      <c r="A1528" t="inlineStr">
        <is>
          <t>Surigao del Sur</t>
        </is>
      </c>
      <c r="B1528" t="inlineStr">
        <is>
          <t>San Agustin</t>
        </is>
      </c>
      <c r="C1528" t="inlineStr">
        <is>
          <t>8305</t>
        </is>
      </c>
      <c r="D1528" t="inlineStr">
        <is>
          <t>PHLPost</t>
        </is>
      </c>
    </row>
    <row r="1529" spans="1:4">
      <c r="A1529" t="inlineStr">
        <is>
          <t>Surigao del Sur</t>
        </is>
      </c>
      <c r="B1529" t="inlineStr">
        <is>
          <t>San Miguel</t>
        </is>
      </c>
      <c r="C1529" t="inlineStr">
        <is>
          <t>8301</t>
        </is>
      </c>
      <c r="D1529" t="inlineStr">
        <is>
          <t>PHLPost</t>
        </is>
      </c>
    </row>
    <row r="1530" spans="1:4">
      <c r="A1530" t="inlineStr">
        <is>
          <t>Surigao del Sur</t>
        </is>
      </c>
      <c r="B1530" t="inlineStr">
        <is>
          <t>Tagbina</t>
        </is>
      </c>
      <c r="C1530" t="inlineStr">
        <is>
          <t>8308</t>
        </is>
      </c>
      <c r="D1530" t="inlineStr">
        <is>
          <t>PHLPost</t>
        </is>
      </c>
    </row>
    <row r="1531" spans="1:4">
      <c r="A1531" t="inlineStr">
        <is>
          <t>Surigao del Sur</t>
        </is>
      </c>
      <c r="B1531" t="inlineStr">
        <is>
          <t>Tago</t>
        </is>
      </c>
      <c r="C1531" t="inlineStr">
        <is>
          <t>8302</t>
        </is>
      </c>
      <c r="D1531" t="inlineStr">
        <is>
          <t>PHLPost</t>
        </is>
      </c>
    </row>
    <row r="1532" spans="1:4">
      <c r="A1532" t="inlineStr">
        <is>
          <t>Tarlac</t>
        </is>
      </c>
      <c r="B1532" t="inlineStr">
        <is>
          <t>Anao</t>
        </is>
      </c>
      <c r="C1532" t="inlineStr">
        <is>
          <t>2310</t>
        </is>
      </c>
      <c r="D1532" t="inlineStr">
        <is>
          <t>PHLPost</t>
        </is>
      </c>
    </row>
    <row r="1533" spans="1:4">
      <c r="A1533" t="inlineStr">
        <is>
          <t>Tarlac</t>
        </is>
      </c>
      <c r="B1533" t="inlineStr">
        <is>
          <t>Bamban</t>
        </is>
      </c>
      <c r="C1533" t="inlineStr">
        <is>
          <t>2317</t>
        </is>
      </c>
      <c r="D1533" t="inlineStr">
        <is>
          <t>PHLPost</t>
        </is>
      </c>
    </row>
    <row r="1534" spans="1:4">
      <c r="A1534" t="inlineStr">
        <is>
          <t>Tarlac</t>
        </is>
      </c>
      <c r="B1534" t="inlineStr">
        <is>
          <t>Camiling</t>
        </is>
      </c>
      <c r="C1534" t="inlineStr">
        <is>
          <t>2306</t>
        </is>
      </c>
      <c r="D1534" t="inlineStr">
        <is>
          <t>PHLPost</t>
        </is>
      </c>
    </row>
    <row r="1535" spans="1:4">
      <c r="A1535" t="inlineStr">
        <is>
          <t>Tarlac</t>
        </is>
      </c>
      <c r="B1535" t="inlineStr">
        <is>
          <t>Capas</t>
        </is>
      </c>
      <c r="C1535" t="inlineStr">
        <is>
          <t>2315</t>
        </is>
      </c>
      <c r="D1535" t="inlineStr">
        <is>
          <t>PHLPost</t>
        </is>
      </c>
    </row>
    <row r="1536" spans="1:4">
      <c r="A1536" t="inlineStr">
        <is>
          <t>Tarlac</t>
        </is>
      </c>
      <c r="B1536" t="inlineStr">
        <is>
          <t>City of Tarlac</t>
        </is>
      </c>
      <c r="C1536" t="inlineStr">
        <is>
          <t>2300</t>
        </is>
      </c>
      <c r="D1536" t="inlineStr">
        <is>
          <t>PHLPost</t>
        </is>
      </c>
    </row>
    <row r="1537" spans="1:4">
      <c r="A1537" t="inlineStr">
        <is>
          <t>Tarlac</t>
        </is>
      </c>
      <c r="B1537" t="inlineStr">
        <is>
          <t>Concepcion</t>
        </is>
      </c>
      <c r="C1537" t="inlineStr">
        <is>
          <t>2316</t>
        </is>
      </c>
      <c r="D1537" t="inlineStr">
        <is>
          <t>PHLPost</t>
        </is>
      </c>
    </row>
    <row r="1538" spans="1:4">
      <c r="A1538" t="inlineStr">
        <is>
          <t>Tarlac</t>
        </is>
      </c>
      <c r="B1538" t="inlineStr">
        <is>
          <t>Gerona</t>
        </is>
      </c>
      <c r="C1538" t="inlineStr">
        <is>
          <t>2302</t>
        </is>
      </c>
      <c r="D1538" t="inlineStr">
        <is>
          <t>PHLPost</t>
        </is>
      </c>
    </row>
    <row r="1539" spans="1:4">
      <c r="A1539" t="inlineStr">
        <is>
          <t>Tarlac</t>
        </is>
      </c>
      <c r="B1539" t="inlineStr">
        <is>
          <t>La Paz</t>
        </is>
      </c>
      <c r="C1539" t="inlineStr">
        <is>
          <t>2314</t>
        </is>
      </c>
      <c r="D1539" t="inlineStr">
        <is>
          <t>PHLPost</t>
        </is>
      </c>
    </row>
    <row r="1540" spans="1:4">
      <c r="A1540" t="inlineStr">
        <is>
          <t>Tarlac</t>
        </is>
      </c>
      <c r="B1540" t="inlineStr">
        <is>
          <t>Mayantoc</t>
        </is>
      </c>
      <c r="C1540" t="inlineStr">
        <is>
          <t>2304</t>
        </is>
      </c>
      <c r="D1540" t="inlineStr">
        <is>
          <t>PHLPost</t>
        </is>
      </c>
    </row>
    <row r="1541" spans="1:4">
      <c r="A1541" t="inlineStr">
        <is>
          <t>Tarlac</t>
        </is>
      </c>
      <c r="B1541" t="inlineStr">
        <is>
          <t>Moncada</t>
        </is>
      </c>
      <c r="C1541" t="inlineStr">
        <is>
          <t>2308</t>
        </is>
      </c>
      <c r="D1541" t="inlineStr">
        <is>
          <t>PHLPost</t>
        </is>
      </c>
    </row>
    <row r="1542" spans="1:4">
      <c r="A1542" t="inlineStr">
        <is>
          <t>Tarlac</t>
        </is>
      </c>
      <c r="B1542" t="inlineStr">
        <is>
          <t>Paniqui</t>
        </is>
      </c>
      <c r="C1542" t="inlineStr">
        <is>
          <t>2307</t>
        </is>
      </c>
      <c r="D1542" t="inlineStr">
        <is>
          <t>PHLPost</t>
        </is>
      </c>
    </row>
    <row r="1543" spans="1:4">
      <c r="A1543" t="inlineStr">
        <is>
          <t>Tarlac</t>
        </is>
      </c>
      <c r="B1543" t="inlineStr">
        <is>
          <t>Pura</t>
        </is>
      </c>
      <c r="C1543" t="inlineStr">
        <is>
          <t>2312</t>
        </is>
      </c>
      <c r="D1543" t="inlineStr">
        <is>
          <t>PHLPost</t>
        </is>
      </c>
    </row>
    <row r="1544" spans="1:4">
      <c r="A1544" t="inlineStr">
        <is>
          <t>Tarlac</t>
        </is>
      </c>
      <c r="B1544" t="inlineStr">
        <is>
          <t>Ramos</t>
        </is>
      </c>
      <c r="C1544" t="inlineStr">
        <is>
          <t>2311</t>
        </is>
      </c>
      <c r="D1544" t="inlineStr">
        <is>
          <t>PHLPost</t>
        </is>
      </c>
    </row>
    <row r="1545" spans="1:4">
      <c r="A1545" t="inlineStr">
        <is>
          <t>Tarlac</t>
        </is>
      </c>
      <c r="B1545" t="inlineStr">
        <is>
          <t>San Clemente</t>
        </is>
      </c>
      <c r="C1545" t="inlineStr">
        <is>
          <t>2305</t>
        </is>
      </c>
      <c r="D1545" t="inlineStr">
        <is>
          <t>PHLPost</t>
        </is>
      </c>
    </row>
    <row r="1546" spans="1:4">
      <c r="A1546" t="inlineStr">
        <is>
          <t>Tarlac</t>
        </is>
      </c>
      <c r="B1546" t="inlineStr">
        <is>
          <t>San Jose</t>
        </is>
      </c>
      <c r="C1546" t="inlineStr">
        <is>
          <t>2318</t>
        </is>
      </c>
      <c r="D1546" t="inlineStr">
        <is>
          <t>PHLPost</t>
        </is>
      </c>
    </row>
    <row r="1547" spans="1:4">
      <c r="A1547" t="inlineStr">
        <is>
          <t>Tarlac</t>
        </is>
      </c>
      <c r="B1547" t="inlineStr">
        <is>
          <t>San Manuel</t>
        </is>
      </c>
      <c r="C1547" t="inlineStr">
        <is>
          <t>2309</t>
        </is>
      </c>
      <c r="D1547" t="inlineStr">
        <is>
          <t>PHLPost</t>
        </is>
      </c>
    </row>
    <row r="1548" spans="1:4">
      <c r="A1548" t="inlineStr">
        <is>
          <t>Tarlac</t>
        </is>
      </c>
      <c r="B1548" t="inlineStr">
        <is>
          <t>Santa Ignacia</t>
        </is>
      </c>
      <c r="C1548" t="inlineStr">
        <is>
          <t>2303</t>
        </is>
      </c>
      <c r="D1548" t="inlineStr">
        <is>
          <t>PHLPost</t>
        </is>
      </c>
    </row>
    <row r="1549" spans="1:4">
      <c r="A1549" t="inlineStr">
        <is>
          <t>Tarlac</t>
        </is>
      </c>
      <c r="B1549" t="inlineStr">
        <is>
          <t>Victoria</t>
        </is>
      </c>
      <c r="C1549" t="inlineStr">
        <is>
          <t>2313</t>
        </is>
      </c>
      <c r="D1549" t="inlineStr">
        <is>
          <t>PHLPost</t>
        </is>
      </c>
    </row>
    <row r="1550" spans="1:4">
      <c r="A1550" t="inlineStr">
        <is>
          <t>Tawi-Tawi</t>
        </is>
      </c>
      <c r="B1550" t="inlineStr">
        <is>
          <t>Bongao</t>
        </is>
      </c>
      <c r="C1550" t="inlineStr">
        <is>
          <t>7500</t>
        </is>
      </c>
      <c r="D1550" t="inlineStr">
        <is>
          <t>BarangayDirectory</t>
        </is>
      </c>
    </row>
    <row r="1551" spans="1:4">
      <c r="A1551" t="inlineStr">
        <is>
          <t>Tawi-Tawi</t>
        </is>
      </c>
      <c r="B1551" t="inlineStr">
        <is>
          <t>Languyan</t>
        </is>
      </c>
      <c r="C1551" t="inlineStr">
        <is>
          <t>7509</t>
        </is>
      </c>
      <c r="D1551" t="inlineStr">
        <is>
          <t>BarangayDirectory</t>
        </is>
      </c>
    </row>
    <row r="1552" spans="1:4">
      <c r="A1552" t="inlineStr">
        <is>
          <t>Tawi-Tawi</t>
        </is>
      </c>
      <c r="B1552" t="inlineStr">
        <is>
          <t>Mapun</t>
        </is>
      </c>
      <c r="D1552" t="inlineStr">
        <is>
          <t>Needs verification</t>
        </is>
      </c>
    </row>
    <row r="1553" spans="1:4">
      <c r="A1553" t="inlineStr">
        <is>
          <t>Tawi-Tawi</t>
        </is>
      </c>
      <c r="B1553" t="inlineStr">
        <is>
          <t>Panglima Sugala</t>
        </is>
      </c>
      <c r="D1553" t="inlineStr">
        <is>
          <t>Needs verification</t>
        </is>
      </c>
    </row>
    <row r="1554" spans="1:4">
      <c r="A1554" t="inlineStr">
        <is>
          <t>Tawi-Tawi</t>
        </is>
      </c>
      <c r="B1554" t="inlineStr">
        <is>
          <t>Sapa-Sapa</t>
        </is>
      </c>
      <c r="C1554" t="inlineStr">
        <is>
          <t>7503</t>
        </is>
      </c>
      <c r="D1554" t="inlineStr">
        <is>
          <t>BarangayDirectory</t>
        </is>
      </c>
    </row>
    <row r="1555" spans="1:4">
      <c r="A1555" t="inlineStr">
        <is>
          <t>Tawi-Tawi</t>
        </is>
      </c>
      <c r="B1555" t="inlineStr">
        <is>
          <t>Sibutu</t>
        </is>
      </c>
      <c r="D1555" t="inlineStr">
        <is>
          <t>Needs verification</t>
        </is>
      </c>
    </row>
    <row r="1556" spans="1:4">
      <c r="A1556" t="inlineStr">
        <is>
          <t>Tawi-Tawi</t>
        </is>
      </c>
      <c r="B1556" t="inlineStr">
        <is>
          <t>Simunul</t>
        </is>
      </c>
      <c r="C1556" t="inlineStr">
        <is>
          <t>7505</t>
        </is>
      </c>
      <c r="D1556" t="inlineStr">
        <is>
          <t>BarangayDirectory</t>
        </is>
      </c>
    </row>
    <row r="1557" spans="1:4">
      <c r="A1557" t="inlineStr">
        <is>
          <t>Tawi-Tawi</t>
        </is>
      </c>
      <c r="B1557" t="inlineStr">
        <is>
          <t>Sitangkai</t>
        </is>
      </c>
      <c r="C1557" t="inlineStr">
        <is>
          <t>7506</t>
        </is>
      </c>
      <c r="D1557" t="inlineStr">
        <is>
          <t>BarangayDirectory</t>
        </is>
      </c>
    </row>
    <row r="1558" spans="1:4">
      <c r="A1558" t="inlineStr">
        <is>
          <t>Tawi-Tawi</t>
        </is>
      </c>
      <c r="B1558" t="inlineStr">
        <is>
          <t>South Ubian</t>
        </is>
      </c>
      <c r="C1558" t="inlineStr">
        <is>
          <t>7504</t>
        </is>
      </c>
      <c r="D1558" t="inlineStr">
        <is>
          <t>BarangayDirectory</t>
        </is>
      </c>
    </row>
    <row r="1559" spans="1:4">
      <c r="A1559" t="inlineStr">
        <is>
          <t>Tawi-Tawi</t>
        </is>
      </c>
      <c r="B1559" t="inlineStr">
        <is>
          <t>Tandubas</t>
        </is>
      </c>
      <c r="C1559" t="inlineStr">
        <is>
          <t>7502</t>
        </is>
      </c>
      <c r="D1559" t="inlineStr">
        <is>
          <t>BarangayDirectory</t>
        </is>
      </c>
    </row>
    <row r="1560" spans="1:4">
      <c r="A1560" t="inlineStr">
        <is>
          <t>Tawi-Tawi</t>
        </is>
      </c>
      <c r="B1560" t="inlineStr">
        <is>
          <t>Turtle Islands</t>
        </is>
      </c>
      <c r="D1560" t="inlineStr">
        <is>
          <t>Needs verification</t>
        </is>
      </c>
    </row>
    <row r="1561" spans="1:4">
      <c r="A1561" t="inlineStr">
        <is>
          <t>Zambales</t>
        </is>
      </c>
      <c r="B1561" t="inlineStr">
        <is>
          <t>Botolan</t>
        </is>
      </c>
      <c r="C1561" t="inlineStr">
        <is>
          <t>2202</t>
        </is>
      </c>
      <c r="D1561" t="inlineStr">
        <is>
          <t>PHLPost</t>
        </is>
      </c>
    </row>
    <row r="1562" spans="1:4">
      <c r="A1562" t="inlineStr">
        <is>
          <t>Zambales</t>
        </is>
      </c>
      <c r="B1562" t="inlineStr">
        <is>
          <t>Cabangan</t>
        </is>
      </c>
      <c r="C1562" t="inlineStr">
        <is>
          <t>2203</t>
        </is>
      </c>
      <c r="D1562" t="inlineStr">
        <is>
          <t>PHLPost</t>
        </is>
      </c>
    </row>
    <row r="1563" spans="1:4">
      <c r="A1563" t="inlineStr">
        <is>
          <t>Zambales</t>
        </is>
      </c>
      <c r="B1563" t="inlineStr">
        <is>
          <t>Candelaria</t>
        </is>
      </c>
      <c r="C1563" t="inlineStr">
        <is>
          <t>2212</t>
        </is>
      </c>
      <c r="D1563" t="inlineStr">
        <is>
          <t>PHLPost</t>
        </is>
      </c>
    </row>
    <row r="1564" spans="1:4">
      <c r="A1564" t="inlineStr">
        <is>
          <t>Zambales</t>
        </is>
      </c>
      <c r="B1564" t="inlineStr">
        <is>
          <t>Castillejos</t>
        </is>
      </c>
      <c r="C1564" t="inlineStr">
        <is>
          <t>2208</t>
        </is>
      </c>
      <c r="D1564" t="inlineStr">
        <is>
          <t>PHLPost</t>
        </is>
      </c>
    </row>
    <row r="1565" spans="1:4">
      <c r="A1565" t="inlineStr">
        <is>
          <t>Zambales</t>
        </is>
      </c>
      <c r="B1565" t="inlineStr">
        <is>
          <t>Iba</t>
        </is>
      </c>
      <c r="C1565" t="inlineStr">
        <is>
          <t>2201</t>
        </is>
      </c>
      <c r="D1565" t="inlineStr">
        <is>
          <t>PHLPost</t>
        </is>
      </c>
    </row>
    <row r="1566" spans="1:4">
      <c r="A1566" t="inlineStr">
        <is>
          <t>Zambales</t>
        </is>
      </c>
      <c r="B1566" t="inlineStr">
        <is>
          <t>Masinloc</t>
        </is>
      </c>
      <c r="C1566" t="inlineStr">
        <is>
          <t>2211</t>
        </is>
      </c>
      <c r="D1566" t="inlineStr">
        <is>
          <t>BarangayDirectory</t>
        </is>
      </c>
    </row>
    <row r="1567" spans="1:4">
      <c r="A1567" t="inlineStr">
        <is>
          <t>Zambales</t>
        </is>
      </c>
      <c r="B1567" t="inlineStr">
        <is>
          <t>Palauig</t>
        </is>
      </c>
      <c r="C1567" t="inlineStr">
        <is>
          <t>2210</t>
        </is>
      </c>
      <c r="D1567" t="inlineStr">
        <is>
          <t>PHLPost</t>
        </is>
      </c>
    </row>
    <row r="1568" spans="1:4">
      <c r="A1568" t="inlineStr">
        <is>
          <t>Zambales</t>
        </is>
      </c>
      <c r="B1568" t="inlineStr">
        <is>
          <t>San Antonio</t>
        </is>
      </c>
      <c r="C1568" t="inlineStr">
        <is>
          <t>2206</t>
        </is>
      </c>
      <c r="D1568" t="inlineStr">
        <is>
          <t>PHLPost</t>
        </is>
      </c>
    </row>
    <row r="1569" spans="1:4">
      <c r="A1569" t="inlineStr">
        <is>
          <t>Zambales</t>
        </is>
      </c>
      <c r="B1569" t="inlineStr">
        <is>
          <t>San Felipe</t>
        </is>
      </c>
      <c r="C1569" t="inlineStr">
        <is>
          <t>2204</t>
        </is>
      </c>
      <c r="D1569" t="inlineStr">
        <is>
          <t>PHLPost</t>
        </is>
      </c>
    </row>
    <row r="1570" spans="1:4">
      <c r="A1570" t="inlineStr">
        <is>
          <t>Zambales</t>
        </is>
      </c>
      <c r="B1570" t="inlineStr">
        <is>
          <t>San Marcelino</t>
        </is>
      </c>
      <c r="C1570" t="inlineStr">
        <is>
          <t>2207</t>
        </is>
      </c>
      <c r="D1570" t="inlineStr">
        <is>
          <t>PHLPost</t>
        </is>
      </c>
    </row>
    <row r="1571" spans="1:4">
      <c r="A1571" t="inlineStr">
        <is>
          <t>Zambales</t>
        </is>
      </c>
      <c r="B1571" t="inlineStr">
        <is>
          <t>San Narciso</t>
        </is>
      </c>
      <c r="C1571" t="inlineStr">
        <is>
          <t>2205</t>
        </is>
      </c>
      <c r="D1571" t="inlineStr">
        <is>
          <t>PHLPost</t>
        </is>
      </c>
    </row>
    <row r="1572" spans="1:4">
      <c r="A1572" t="inlineStr">
        <is>
          <t>Zambales</t>
        </is>
      </c>
      <c r="B1572" t="inlineStr">
        <is>
          <t>Santa Cruz</t>
        </is>
      </c>
      <c r="C1572" t="inlineStr">
        <is>
          <t>2213</t>
        </is>
      </c>
      <c r="D1572" t="inlineStr">
        <is>
          <t>PHLPost</t>
        </is>
      </c>
    </row>
    <row r="1573" spans="1:4">
      <c r="A1573" t="inlineStr">
        <is>
          <t>Zambales</t>
        </is>
      </c>
      <c r="B1573" t="inlineStr">
        <is>
          <t>Subic</t>
        </is>
      </c>
      <c r="C1573" t="inlineStr">
        <is>
          <t>2209</t>
        </is>
      </c>
      <c r="D1573" t="inlineStr">
        <is>
          <t>PHLPost</t>
        </is>
      </c>
    </row>
    <row r="1574" spans="1:4">
      <c r="A1574" t="inlineStr">
        <is>
          <t>Zamboanga del Norte</t>
        </is>
      </c>
      <c r="B1574" t="inlineStr">
        <is>
          <t>Baliguian</t>
        </is>
      </c>
      <c r="C1574" t="inlineStr">
        <is>
          <t>7123</t>
        </is>
      </c>
      <c r="D1574" t="inlineStr">
        <is>
          <t>BarangayDirectory</t>
        </is>
      </c>
    </row>
    <row r="1575" spans="1:4">
      <c r="A1575" t="inlineStr">
        <is>
          <t>Zamboanga del Norte</t>
        </is>
      </c>
      <c r="B1575" t="inlineStr">
        <is>
          <t>City of Dapitan</t>
        </is>
      </c>
      <c r="C1575" t="inlineStr">
        <is>
          <t>7101</t>
        </is>
      </c>
      <c r="D1575" t="inlineStr">
        <is>
          <t>BarangayDirectory</t>
        </is>
      </c>
    </row>
    <row r="1576" spans="1:4">
      <c r="A1576" t="inlineStr">
        <is>
          <t>Zamboanga del Norte</t>
        </is>
      </c>
      <c r="B1576" t="inlineStr">
        <is>
          <t>City of Dipolog</t>
        </is>
      </c>
      <c r="C1576" t="inlineStr">
        <is>
          <t>7100</t>
        </is>
      </c>
      <c r="D1576" t="inlineStr">
        <is>
          <t>BarangayDirectory</t>
        </is>
      </c>
    </row>
    <row r="1577" spans="1:4">
      <c r="A1577" t="inlineStr">
        <is>
          <t>Zamboanga del Norte</t>
        </is>
      </c>
      <c r="B1577" t="inlineStr">
        <is>
          <t>Godod</t>
        </is>
      </c>
      <c r="D1577" t="inlineStr">
        <is>
          <t>Needs verification</t>
        </is>
      </c>
    </row>
    <row r="1578" spans="1:4">
      <c r="A1578" t="inlineStr">
        <is>
          <t>Zamboanga del Norte</t>
        </is>
      </c>
      <c r="B1578" t="inlineStr">
        <is>
          <t>Gutalac</t>
        </is>
      </c>
      <c r="C1578" t="inlineStr">
        <is>
          <t>7118</t>
        </is>
      </c>
      <c r="D1578" t="inlineStr">
        <is>
          <t>BarangayDirectory</t>
        </is>
      </c>
    </row>
    <row r="1579" spans="1:4">
      <c r="A1579" t="inlineStr">
        <is>
          <t>Zamboanga del Norte</t>
        </is>
      </c>
      <c r="B1579" t="inlineStr">
        <is>
          <t>Jose Dalman</t>
        </is>
      </c>
      <c r="D1579" t="inlineStr">
        <is>
          <t>Needs verification</t>
        </is>
      </c>
    </row>
    <row r="1580" spans="1:4">
      <c r="A1580" t="inlineStr">
        <is>
          <t>Zamboanga del Norte</t>
        </is>
      </c>
      <c r="B1580" t="inlineStr">
        <is>
          <t>Kalawit</t>
        </is>
      </c>
      <c r="C1580" t="inlineStr">
        <is>
          <t>7124</t>
        </is>
      </c>
      <c r="D1580" t="inlineStr">
        <is>
          <t>BarangayDirectory</t>
        </is>
      </c>
    </row>
    <row r="1581" spans="1:4">
      <c r="A1581" t="inlineStr">
        <is>
          <t>Zamboanga del Norte</t>
        </is>
      </c>
      <c r="B1581" t="inlineStr">
        <is>
          <t>Katipunan</t>
        </is>
      </c>
      <c r="C1581" t="inlineStr">
        <is>
          <t>7109</t>
        </is>
      </c>
      <c r="D1581" t="inlineStr">
        <is>
          <t>BarangayDirectory</t>
        </is>
      </c>
    </row>
    <row r="1582" spans="1:4">
      <c r="A1582" t="inlineStr">
        <is>
          <t>Zamboanga del Norte</t>
        </is>
      </c>
      <c r="B1582" t="inlineStr">
        <is>
          <t>La Libertad</t>
        </is>
      </c>
      <c r="C1582" t="inlineStr">
        <is>
          <t>7119</t>
        </is>
      </c>
      <c r="D1582" t="inlineStr">
        <is>
          <t>BarangayDirectory</t>
        </is>
      </c>
    </row>
    <row r="1583" spans="1:4">
      <c r="A1583" t="inlineStr">
        <is>
          <t>Zamboanga del Norte</t>
        </is>
      </c>
      <c r="B1583" t="inlineStr">
        <is>
          <t>Labason</t>
        </is>
      </c>
      <c r="C1583" t="inlineStr">
        <is>
          <t>7117</t>
        </is>
      </c>
      <c r="D1583" t="inlineStr">
        <is>
          <t>BarangayDirectory</t>
        </is>
      </c>
    </row>
    <row r="1584" spans="1:4">
      <c r="A1584" t="inlineStr">
        <is>
          <t>Zamboanga del Norte</t>
        </is>
      </c>
      <c r="B1584" t="inlineStr">
        <is>
          <t>Leon T. Postigo</t>
        </is>
      </c>
      <c r="D1584" t="inlineStr">
        <is>
          <t>Needs verification</t>
        </is>
      </c>
    </row>
    <row r="1585" spans="1:4">
      <c r="A1585" t="inlineStr">
        <is>
          <t>Zamboanga del Norte</t>
        </is>
      </c>
      <c r="B1585" t="inlineStr">
        <is>
          <t>Liloy</t>
        </is>
      </c>
      <c r="C1585" t="inlineStr">
        <is>
          <t>7115</t>
        </is>
      </c>
      <c r="D1585" t="inlineStr">
        <is>
          <t>BarangayDirectory</t>
        </is>
      </c>
    </row>
    <row r="1586" spans="1:4">
      <c r="A1586" t="inlineStr">
        <is>
          <t>Zamboanga del Norte</t>
        </is>
      </c>
      <c r="B1586" t="inlineStr">
        <is>
          <t>Manukan</t>
        </is>
      </c>
      <c r="C1586" t="inlineStr">
        <is>
          <t>7110</t>
        </is>
      </c>
      <c r="D1586" t="inlineStr">
        <is>
          <t>BarangayDirectory</t>
        </is>
      </c>
    </row>
    <row r="1587" spans="1:4">
      <c r="A1587" t="inlineStr">
        <is>
          <t>Zamboanga del Norte</t>
        </is>
      </c>
      <c r="B1587" t="inlineStr">
        <is>
          <t>Mutia</t>
        </is>
      </c>
      <c r="C1587" t="inlineStr">
        <is>
          <t>7107</t>
        </is>
      </c>
      <c r="D1587" t="inlineStr">
        <is>
          <t>BarangayDirectory</t>
        </is>
      </c>
    </row>
    <row r="1588" spans="1:4">
      <c r="A1588" t="inlineStr">
        <is>
          <t>Zamboanga del Norte</t>
        </is>
      </c>
      <c r="B1588" t="inlineStr">
        <is>
          <t>Piñan</t>
        </is>
      </c>
      <c r="C1588" t="inlineStr">
        <is>
          <t>7105</t>
        </is>
      </c>
      <c r="D1588" t="inlineStr">
        <is>
          <t>BarangayDirectory</t>
        </is>
      </c>
    </row>
    <row r="1589" spans="1:4">
      <c r="A1589" t="inlineStr">
        <is>
          <t>Zamboanga del Norte</t>
        </is>
      </c>
      <c r="B1589" t="inlineStr">
        <is>
          <t>Polanco</t>
        </is>
      </c>
      <c r="C1589" t="inlineStr">
        <is>
          <t>7106</t>
        </is>
      </c>
      <c r="D1589" t="inlineStr">
        <is>
          <t>BarangayDirectory</t>
        </is>
      </c>
    </row>
    <row r="1590" spans="1:4">
      <c r="A1590" t="inlineStr">
        <is>
          <t>Zamboanga del Norte</t>
        </is>
      </c>
      <c r="B1590" t="inlineStr">
        <is>
          <t>Pres. Manuel A. Roxas</t>
        </is>
      </c>
      <c r="D1590" t="inlineStr">
        <is>
          <t>Needs verification</t>
        </is>
      </c>
    </row>
    <row r="1591" spans="1:4">
      <c r="A1591" t="inlineStr">
        <is>
          <t>Zamboanga del Norte</t>
        </is>
      </c>
      <c r="B1591" t="inlineStr">
        <is>
          <t>Rizal</t>
        </is>
      </c>
      <c r="C1591" t="inlineStr">
        <is>
          <t>7104</t>
        </is>
      </c>
      <c r="D1591" t="inlineStr">
        <is>
          <t>BarangayDirectory</t>
        </is>
      </c>
    </row>
    <row r="1592" spans="1:4">
      <c r="A1592" t="inlineStr">
        <is>
          <t>Zamboanga del Norte</t>
        </is>
      </c>
      <c r="B1592" t="inlineStr">
        <is>
          <t>Salug</t>
        </is>
      </c>
      <c r="C1592" t="inlineStr">
        <is>
          <t>7114</t>
        </is>
      </c>
      <c r="D1592" t="inlineStr">
        <is>
          <t>BarangayDirectory</t>
        </is>
      </c>
    </row>
    <row r="1593" spans="1:4">
      <c r="A1593" t="inlineStr">
        <is>
          <t>Zamboanga del Norte</t>
        </is>
      </c>
      <c r="B1593" t="inlineStr">
        <is>
          <t>Sergio Osmeña Sr.</t>
        </is>
      </c>
      <c r="D1593" t="inlineStr">
        <is>
          <t>Needs verification</t>
        </is>
      </c>
    </row>
    <row r="1594" spans="1:4">
      <c r="A1594" t="inlineStr">
        <is>
          <t>Zamboanga del Norte</t>
        </is>
      </c>
      <c r="B1594" t="inlineStr">
        <is>
          <t>Siayan</t>
        </is>
      </c>
      <c r="C1594" t="inlineStr">
        <is>
          <t>7113</t>
        </is>
      </c>
      <c r="D1594" t="inlineStr">
        <is>
          <t>BarangayDirectory</t>
        </is>
      </c>
    </row>
    <row r="1595" spans="1:4">
      <c r="A1595" t="inlineStr">
        <is>
          <t>Zamboanga del Norte</t>
        </is>
      </c>
      <c r="B1595" t="inlineStr">
        <is>
          <t>Sibuco</t>
        </is>
      </c>
      <c r="C1595" t="inlineStr">
        <is>
          <t>7122</t>
        </is>
      </c>
      <c r="D1595" t="inlineStr">
        <is>
          <t>BarangayDirectory</t>
        </is>
      </c>
    </row>
    <row r="1596" spans="1:4">
      <c r="A1596" t="inlineStr">
        <is>
          <t>Zamboanga del Norte</t>
        </is>
      </c>
      <c r="B1596" t="inlineStr">
        <is>
          <t>Sibutad</t>
        </is>
      </c>
      <c r="C1596" t="inlineStr">
        <is>
          <t>7103</t>
        </is>
      </c>
      <c r="D1596" t="inlineStr">
        <is>
          <t>BarangayDirectory</t>
        </is>
      </c>
    </row>
    <row r="1597" spans="1:4">
      <c r="A1597" t="inlineStr">
        <is>
          <t>Zamboanga del Norte</t>
        </is>
      </c>
      <c r="B1597" t="inlineStr">
        <is>
          <t>Sindangan</t>
        </is>
      </c>
      <c r="D1597" t="inlineStr">
        <is>
          <t>Needs verification</t>
        </is>
      </c>
    </row>
    <row r="1598" spans="1:4">
      <c r="A1598" t="inlineStr">
        <is>
          <t>Zamboanga del Norte</t>
        </is>
      </c>
      <c r="B1598" t="inlineStr">
        <is>
          <t>Siocon</t>
        </is>
      </c>
      <c r="C1598" t="inlineStr">
        <is>
          <t>7120</t>
        </is>
      </c>
      <c r="D1598" t="inlineStr">
        <is>
          <t>BarangayDirectory</t>
        </is>
      </c>
    </row>
    <row r="1599" spans="1:4">
      <c r="A1599" t="inlineStr">
        <is>
          <t>Zamboanga del Norte</t>
        </is>
      </c>
      <c r="B1599" t="inlineStr">
        <is>
          <t>Sirawai</t>
        </is>
      </c>
      <c r="C1599" t="inlineStr">
        <is>
          <t>7121</t>
        </is>
      </c>
      <c r="D1599" t="inlineStr">
        <is>
          <t>BarangayDirectory</t>
        </is>
      </c>
    </row>
    <row r="1600" spans="1:4">
      <c r="A1600" t="inlineStr">
        <is>
          <t>Zamboanga del Norte</t>
        </is>
      </c>
      <c r="B1600" t="inlineStr">
        <is>
          <t>Tampilisan</t>
        </is>
      </c>
      <c r="C1600" t="inlineStr">
        <is>
          <t>7116</t>
        </is>
      </c>
      <c r="D1600" t="inlineStr">
        <is>
          <t>BarangayDirectory</t>
        </is>
      </c>
    </row>
    <row r="1601" spans="1:4">
      <c r="A1601" t="inlineStr">
        <is>
          <t>Zamboanga del Sur</t>
        </is>
      </c>
      <c r="B1601" t="inlineStr">
        <is>
          <t>Aurora</t>
        </is>
      </c>
      <c r="C1601" t="inlineStr">
        <is>
          <t>3316</t>
        </is>
      </c>
      <c r="D1601" t="inlineStr">
        <is>
          <t>BarangayDirectory</t>
        </is>
      </c>
    </row>
    <row r="1602" spans="1:4">
      <c r="A1602" t="inlineStr">
        <is>
          <t>Zamboanga del Sur</t>
        </is>
      </c>
      <c r="B1602" t="inlineStr">
        <is>
          <t>Bayog</t>
        </is>
      </c>
      <c r="C1602" t="inlineStr">
        <is>
          <t>7011</t>
        </is>
      </c>
      <c r="D1602" t="inlineStr">
        <is>
          <t>BarangayDirectory</t>
        </is>
      </c>
    </row>
    <row r="1603" spans="1:4">
      <c r="A1603" t="inlineStr">
        <is>
          <t>Zamboanga del Sur</t>
        </is>
      </c>
      <c r="B1603" t="inlineStr">
        <is>
          <t>City of Pagadian</t>
        </is>
      </c>
      <c r="C1603" t="inlineStr">
        <is>
          <t>7016</t>
        </is>
      </c>
      <c r="D1603" t="inlineStr">
        <is>
          <t>BarangayDirectory</t>
        </is>
      </c>
    </row>
    <row r="1604" spans="1:4">
      <c r="A1604" t="inlineStr">
        <is>
          <t>Zamboanga del Sur</t>
        </is>
      </c>
      <c r="B1604" t="inlineStr">
        <is>
          <t>Dimataling</t>
        </is>
      </c>
      <c r="C1604" t="inlineStr">
        <is>
          <t>7032</t>
        </is>
      </c>
      <c r="D1604" t="inlineStr">
        <is>
          <t>BarangayDirectory</t>
        </is>
      </c>
    </row>
    <row r="1605" spans="1:4">
      <c r="A1605" t="inlineStr">
        <is>
          <t>Zamboanga del Sur</t>
        </is>
      </c>
      <c r="B1605" t="inlineStr">
        <is>
          <t>Dinas</t>
        </is>
      </c>
      <c r="C1605" t="inlineStr">
        <is>
          <t>7030</t>
        </is>
      </c>
      <c r="D1605" t="inlineStr">
        <is>
          <t>BarangayDirectory</t>
        </is>
      </c>
    </row>
    <row r="1606" spans="1:4">
      <c r="A1606" t="inlineStr">
        <is>
          <t>Zamboanga del Sur</t>
        </is>
      </c>
      <c r="B1606" t="inlineStr">
        <is>
          <t>Dumalinao</t>
        </is>
      </c>
      <c r="C1606" t="inlineStr">
        <is>
          <t>7015</t>
        </is>
      </c>
      <c r="D1606" t="inlineStr">
        <is>
          <t>BarangayDirectory</t>
        </is>
      </c>
    </row>
    <row r="1607" spans="1:4">
      <c r="A1607" t="inlineStr">
        <is>
          <t>Zamboanga del Sur</t>
        </is>
      </c>
      <c r="B1607" t="inlineStr">
        <is>
          <t>Dumingag</t>
        </is>
      </c>
      <c r="C1607" t="inlineStr">
        <is>
          <t>7028</t>
        </is>
      </c>
      <c r="D1607" t="inlineStr">
        <is>
          <t>BarangayDirectory</t>
        </is>
      </c>
    </row>
    <row r="1608" spans="1:4">
      <c r="A1608" t="inlineStr">
        <is>
          <t>Zamboanga del Sur</t>
        </is>
      </c>
      <c r="B1608" t="inlineStr">
        <is>
          <t>Guipos</t>
        </is>
      </c>
      <c r="C1608" t="inlineStr">
        <is>
          <t>7042</t>
        </is>
      </c>
      <c r="D1608" t="inlineStr">
        <is>
          <t>BarangayDirectory</t>
        </is>
      </c>
    </row>
    <row r="1609" spans="1:4">
      <c r="A1609" t="inlineStr">
        <is>
          <t>Zamboanga del Sur</t>
        </is>
      </c>
      <c r="B1609" t="inlineStr">
        <is>
          <t>Josefina</t>
        </is>
      </c>
      <c r="C1609" t="inlineStr">
        <is>
          <t>7027</t>
        </is>
      </c>
      <c r="D1609" t="inlineStr">
        <is>
          <t>BarangayDirectory</t>
        </is>
      </c>
    </row>
    <row r="1610" spans="1:4">
      <c r="A1610" t="inlineStr">
        <is>
          <t>Zamboanga del Sur</t>
        </is>
      </c>
      <c r="B1610" t="inlineStr">
        <is>
          <t>Kumalarang</t>
        </is>
      </c>
      <c r="C1610" t="inlineStr">
        <is>
          <t>7013</t>
        </is>
      </c>
      <c r="D1610" t="inlineStr">
        <is>
          <t>BarangayDirectory</t>
        </is>
      </c>
    </row>
    <row r="1611" spans="1:4">
      <c r="A1611" t="inlineStr">
        <is>
          <t>Zamboanga del Sur</t>
        </is>
      </c>
      <c r="B1611" t="inlineStr">
        <is>
          <t>Labangan</t>
        </is>
      </c>
      <c r="C1611" t="inlineStr">
        <is>
          <t>7017</t>
        </is>
      </c>
      <c r="D1611" t="inlineStr">
        <is>
          <t>BarangayDirectory</t>
        </is>
      </c>
    </row>
    <row r="1612" spans="1:4">
      <c r="A1612" t="inlineStr">
        <is>
          <t>Zamboanga del Sur</t>
        </is>
      </c>
      <c r="B1612" t="inlineStr">
        <is>
          <t>Lakewood</t>
        </is>
      </c>
      <c r="C1612" t="inlineStr">
        <is>
          <t>7014</t>
        </is>
      </c>
      <c r="D1612" t="inlineStr">
        <is>
          <t>BarangayDirectory</t>
        </is>
      </c>
    </row>
    <row r="1613" spans="1:4">
      <c r="A1613" t="inlineStr">
        <is>
          <t>Zamboanga del Sur</t>
        </is>
      </c>
      <c r="B1613" t="inlineStr">
        <is>
          <t>Lapuyan</t>
        </is>
      </c>
      <c r="C1613" t="inlineStr">
        <is>
          <t>7037</t>
        </is>
      </c>
      <c r="D1613" t="inlineStr">
        <is>
          <t>BarangayDirectory</t>
        </is>
      </c>
    </row>
    <row r="1614" spans="1:4">
      <c r="A1614" t="inlineStr">
        <is>
          <t>Zamboanga del Sur</t>
        </is>
      </c>
      <c r="B1614" t="inlineStr">
        <is>
          <t>Mahayag</t>
        </is>
      </c>
      <c r="C1614" t="inlineStr">
        <is>
          <t>7026</t>
        </is>
      </c>
      <c r="D1614" t="inlineStr">
        <is>
          <t>BarangayDirectory</t>
        </is>
      </c>
    </row>
    <row r="1615" spans="1:4">
      <c r="A1615" t="inlineStr">
        <is>
          <t>Zamboanga del Sur</t>
        </is>
      </c>
      <c r="B1615" t="inlineStr">
        <is>
          <t>Margosatubig</t>
        </is>
      </c>
      <c r="C1615" t="inlineStr">
        <is>
          <t>7035</t>
        </is>
      </c>
      <c r="D1615" t="inlineStr">
        <is>
          <t>BarangayDirectory</t>
        </is>
      </c>
    </row>
    <row r="1616" spans="1:4">
      <c r="A1616" t="inlineStr">
        <is>
          <t>Zamboanga del Sur</t>
        </is>
      </c>
      <c r="B1616" t="inlineStr">
        <is>
          <t>Midsalip</t>
        </is>
      </c>
      <c r="C1616" t="inlineStr">
        <is>
          <t>7021</t>
        </is>
      </c>
      <c r="D1616" t="inlineStr">
        <is>
          <t>BarangayDirectory</t>
        </is>
      </c>
    </row>
    <row r="1617" spans="1:4">
      <c r="A1617" t="inlineStr">
        <is>
          <t>Zamboanga del Sur</t>
        </is>
      </c>
      <c r="B1617" t="inlineStr">
        <is>
          <t>Molave</t>
        </is>
      </c>
      <c r="C1617" t="inlineStr">
        <is>
          <t>7023</t>
        </is>
      </c>
      <c r="D1617" t="inlineStr">
        <is>
          <t>BarangayDirectory</t>
        </is>
      </c>
    </row>
    <row r="1618" spans="1:4">
      <c r="A1618" t="inlineStr">
        <is>
          <t>Zamboanga del Sur</t>
        </is>
      </c>
      <c r="B1618" t="inlineStr">
        <is>
          <t>Pitogo</t>
        </is>
      </c>
      <c r="C1618" t="inlineStr">
        <is>
          <t>4308</t>
        </is>
      </c>
      <c r="D1618" t="inlineStr">
        <is>
          <t>BarangayDirectory</t>
        </is>
      </c>
    </row>
    <row r="1619" spans="1:4">
      <c r="A1619" t="inlineStr">
        <is>
          <t>Zamboanga del Sur</t>
        </is>
      </c>
      <c r="B1619" t="inlineStr">
        <is>
          <t>Ramon Magsaysay</t>
        </is>
      </c>
      <c r="D1619" t="inlineStr">
        <is>
          <t>Needs verification</t>
        </is>
      </c>
    </row>
    <row r="1620" spans="1:4">
      <c r="A1620" t="inlineStr">
        <is>
          <t>Zamboanga del Sur</t>
        </is>
      </c>
      <c r="B1620" t="inlineStr">
        <is>
          <t>San Miguel</t>
        </is>
      </c>
      <c r="C1620" t="inlineStr">
        <is>
          <t>6323</t>
        </is>
      </c>
      <c r="D1620" t="inlineStr">
        <is>
          <t>BarangayDirectory</t>
        </is>
      </c>
    </row>
    <row r="1621" spans="1:4">
      <c r="A1621" t="inlineStr">
        <is>
          <t>Zamboanga del Sur</t>
        </is>
      </c>
      <c r="B1621" t="inlineStr">
        <is>
          <t>San Pablo</t>
        </is>
      </c>
      <c r="C1621" t="inlineStr">
        <is>
          <t>3329</t>
        </is>
      </c>
      <c r="D1621" t="inlineStr">
        <is>
          <t>BarangayDirectory</t>
        </is>
      </c>
    </row>
    <row r="1622" spans="1:4">
      <c r="A1622" t="inlineStr">
        <is>
          <t>Zamboanga del Sur</t>
        </is>
      </c>
      <c r="B1622" t="inlineStr">
        <is>
          <t>Sominot</t>
        </is>
      </c>
      <c r="D1622" t="inlineStr">
        <is>
          <t>Needs verification</t>
        </is>
      </c>
    </row>
    <row r="1623" spans="1:4">
      <c r="A1623" t="inlineStr">
        <is>
          <t>Zamboanga del Sur</t>
        </is>
      </c>
      <c r="B1623" t="inlineStr">
        <is>
          <t>Tabina</t>
        </is>
      </c>
      <c r="C1623" t="inlineStr">
        <is>
          <t>7034</t>
        </is>
      </c>
      <c r="D1623" t="inlineStr">
        <is>
          <t>BarangayDirectory</t>
        </is>
      </c>
    </row>
    <row r="1624" spans="1:4">
      <c r="A1624" t="inlineStr">
        <is>
          <t>Zamboanga del Sur</t>
        </is>
      </c>
      <c r="B1624" t="inlineStr">
        <is>
          <t>Tambulig</t>
        </is>
      </c>
      <c r="C1624" t="inlineStr">
        <is>
          <t>7025</t>
        </is>
      </c>
      <c r="D1624" t="inlineStr">
        <is>
          <t>BarangayDirectory</t>
        </is>
      </c>
    </row>
    <row r="1625" spans="1:4">
      <c r="A1625" t="inlineStr">
        <is>
          <t>Zamboanga del Sur</t>
        </is>
      </c>
      <c r="B1625" t="inlineStr">
        <is>
          <t>Tigbao</t>
        </is>
      </c>
      <c r="C1625" t="inlineStr">
        <is>
          <t>7043</t>
        </is>
      </c>
      <c r="D1625" t="inlineStr">
        <is>
          <t>BarangayDirectory</t>
        </is>
      </c>
    </row>
    <row r="1626" spans="1:4">
      <c r="A1626" t="inlineStr">
        <is>
          <t>Zamboanga del Sur</t>
        </is>
      </c>
      <c r="B1626" t="inlineStr">
        <is>
          <t>Tukuran</t>
        </is>
      </c>
      <c r="C1626" t="inlineStr">
        <is>
          <t>7019</t>
        </is>
      </c>
      <c r="D1626" t="inlineStr">
        <is>
          <t>BarangayDirectory</t>
        </is>
      </c>
    </row>
    <row r="1627" spans="1:4">
      <c r="A1627" t="inlineStr">
        <is>
          <t>Zamboanga del Sur</t>
        </is>
      </c>
      <c r="B1627" t="inlineStr">
        <is>
          <t>Vincenzo A. Sagun</t>
        </is>
      </c>
      <c r="C1627" t="inlineStr">
        <is>
          <t>7036</t>
        </is>
      </c>
      <c r="D1627" t="inlineStr">
        <is>
          <t>BarangayDirectory</t>
        </is>
      </c>
    </row>
    <row r="1628" spans="1:4">
      <c r="A1628" t="inlineStr">
        <is>
          <t>Zamboanga Sibugay</t>
        </is>
      </c>
      <c r="B1628" t="inlineStr">
        <is>
          <t>Alicia</t>
        </is>
      </c>
      <c r="C1628" t="inlineStr">
        <is>
          <t>7040</t>
        </is>
      </c>
      <c r="D1628" t="inlineStr">
        <is>
          <t>BarangayDirectory</t>
        </is>
      </c>
    </row>
    <row r="1629" spans="1:4">
      <c r="A1629" t="inlineStr">
        <is>
          <t>Zamboanga Sibugay</t>
        </is>
      </c>
      <c r="B1629" t="inlineStr">
        <is>
          <t>Buug</t>
        </is>
      </c>
      <c r="C1629" t="inlineStr">
        <is>
          <t>7009</t>
        </is>
      </c>
      <c r="D1629" t="inlineStr">
        <is>
          <t>BarangayDirectory</t>
        </is>
      </c>
    </row>
    <row r="1630" spans="1:4">
      <c r="A1630" t="inlineStr">
        <is>
          <t>Zamboanga Sibugay</t>
        </is>
      </c>
      <c r="B1630" t="inlineStr">
        <is>
          <t>Diplahan</t>
        </is>
      </c>
      <c r="C1630" t="inlineStr">
        <is>
          <t>7039</t>
        </is>
      </c>
      <c r="D1630" t="inlineStr">
        <is>
          <t>BarangayDirectory</t>
        </is>
      </c>
    </row>
    <row r="1631" spans="1:4">
      <c r="A1631" t="inlineStr">
        <is>
          <t>Zamboanga Sibugay</t>
        </is>
      </c>
      <c r="B1631" t="inlineStr">
        <is>
          <t>Imelda</t>
        </is>
      </c>
      <c r="C1631" t="inlineStr">
        <is>
          <t>7007</t>
        </is>
      </c>
      <c r="D1631" t="inlineStr">
        <is>
          <t>BarangayDirectory</t>
        </is>
      </c>
    </row>
    <row r="1632" spans="1:4">
      <c r="A1632" t="inlineStr">
        <is>
          <t>Zamboanga Sibugay</t>
        </is>
      </c>
      <c r="B1632" t="inlineStr">
        <is>
          <t>Ipil</t>
        </is>
      </c>
      <c r="C1632" t="inlineStr">
        <is>
          <t>7001</t>
        </is>
      </c>
      <c r="D1632" t="inlineStr">
        <is>
          <t>BarangayDirectory</t>
        </is>
      </c>
    </row>
    <row r="1633" spans="1:4">
      <c r="A1633" t="inlineStr">
        <is>
          <t>Zamboanga Sibugay</t>
        </is>
      </c>
      <c r="B1633" t="inlineStr">
        <is>
          <t>Kabasalan</t>
        </is>
      </c>
      <c r="C1633" t="inlineStr">
        <is>
          <t>7005</t>
        </is>
      </c>
      <c r="D1633" t="inlineStr">
        <is>
          <t>BarangayDirectory</t>
        </is>
      </c>
    </row>
    <row r="1634" spans="1:4">
      <c r="A1634" t="inlineStr">
        <is>
          <t>Zamboanga Sibugay</t>
        </is>
      </c>
      <c r="B1634" t="inlineStr">
        <is>
          <t>Mabuhay</t>
        </is>
      </c>
      <c r="C1634" t="inlineStr">
        <is>
          <t>7010</t>
        </is>
      </c>
      <c r="D1634" t="inlineStr">
        <is>
          <t>BarangayDirectory</t>
        </is>
      </c>
    </row>
    <row r="1635" spans="1:4">
      <c r="A1635" t="inlineStr">
        <is>
          <t>Zamboanga Sibugay</t>
        </is>
      </c>
      <c r="B1635" t="inlineStr">
        <is>
          <t>Malangas</t>
        </is>
      </c>
      <c r="C1635" t="inlineStr">
        <is>
          <t>7038</t>
        </is>
      </c>
      <c r="D1635" t="inlineStr">
        <is>
          <t>BarangayDirectory</t>
        </is>
      </c>
    </row>
    <row r="1636" spans="1:4">
      <c r="A1636" t="inlineStr">
        <is>
          <t>Zamboanga Sibugay</t>
        </is>
      </c>
      <c r="B1636" t="inlineStr">
        <is>
          <t>Naga</t>
        </is>
      </c>
      <c r="C1636" t="inlineStr">
        <is>
          <t>7004</t>
        </is>
      </c>
      <c r="D1636" t="inlineStr">
        <is>
          <t>BarangayDirectory</t>
        </is>
      </c>
    </row>
    <row r="1637" spans="1:4">
      <c r="A1637" t="inlineStr">
        <is>
          <t>Zamboanga Sibugay</t>
        </is>
      </c>
      <c r="B1637" t="inlineStr">
        <is>
          <t>Olutanga</t>
        </is>
      </c>
      <c r="C1637" t="inlineStr">
        <is>
          <t>7041</t>
        </is>
      </c>
      <c r="D1637" t="inlineStr">
        <is>
          <t>BarangayDirectory</t>
        </is>
      </c>
    </row>
    <row r="1638" spans="1:4">
      <c r="A1638" t="inlineStr">
        <is>
          <t>Zamboanga Sibugay</t>
        </is>
      </c>
      <c r="B1638" t="inlineStr">
        <is>
          <t>Payao</t>
        </is>
      </c>
      <c r="C1638" t="inlineStr">
        <is>
          <t>7008</t>
        </is>
      </c>
      <c r="D1638" t="inlineStr">
        <is>
          <t>BarangayDirectory</t>
        </is>
      </c>
    </row>
    <row r="1639" spans="1:4">
      <c r="A1639" t="inlineStr">
        <is>
          <t>Zamboanga Sibugay</t>
        </is>
      </c>
      <c r="B1639" t="inlineStr">
        <is>
          <t>Roseller Lim</t>
        </is>
      </c>
      <c r="D1639" t="inlineStr">
        <is>
          <t>Needs verification</t>
        </is>
      </c>
    </row>
    <row r="1640" spans="1:4">
      <c r="A1640" t="inlineStr">
        <is>
          <t>Zamboanga Sibugay</t>
        </is>
      </c>
      <c r="B1640" t="inlineStr">
        <is>
          <t>Siay</t>
        </is>
      </c>
      <c r="C1640" t="inlineStr">
        <is>
          <t>7006</t>
        </is>
      </c>
      <c r="D1640" t="inlineStr">
        <is>
          <t>BarangayDirectory</t>
        </is>
      </c>
    </row>
    <row r="1641" spans="1:4">
      <c r="A1641" t="inlineStr">
        <is>
          <t>Zamboanga Sibugay</t>
        </is>
      </c>
      <c r="B1641" t="inlineStr">
        <is>
          <t>Talusan</t>
        </is>
      </c>
      <c r="C1641" t="inlineStr">
        <is>
          <t>7012</t>
        </is>
      </c>
      <c r="D1641" t="inlineStr">
        <is>
          <t>BarangayDirectory</t>
        </is>
      </c>
    </row>
    <row r="1642" spans="1:4">
      <c r="A1642" t="inlineStr">
        <is>
          <t>Zamboanga Sibugay</t>
        </is>
      </c>
      <c r="B1642" t="inlineStr">
        <is>
          <t>Titay</t>
        </is>
      </c>
      <c r="C1642" t="inlineStr">
        <is>
          <t>7003</t>
        </is>
      </c>
      <c r="D1642" t="inlineStr">
        <is>
          <t>BarangayDirectory</t>
        </is>
      </c>
    </row>
    <row r="1643" spans="1:4">
      <c r="A1643" t="inlineStr">
        <is>
          <t>Zamboanga Sibugay</t>
        </is>
      </c>
      <c r="B1643" t="inlineStr">
        <is>
          <t>Tungawan</t>
        </is>
      </c>
      <c r="C1643" t="inlineStr">
        <is>
          <t>7018</t>
        </is>
      </c>
      <c r="D1643" t="inlineStr">
        <is>
          <t>BarangayDirectory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B6C3CF"/>
  </sheetPr>
  <dimension ref="A1:C4201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6" customWidth="1"/>
  </cols>
  <sheetData>
    <row r="1" spans="1:3">
      <c r="A1" t="inlineStr">
        <is>
          <t>Barangay</t>
        </is>
      </c>
      <c r="B1"/>
      <c r="C1"/>
    </row>
    <row r="2" spans="1:3">
      <c r="A2" t="inlineStr">
        <is>
          <t>Agtangao</t>
        </is>
      </c>
    </row>
    <row r="3" spans="1:3">
      <c r="A3" t="inlineStr">
        <is>
          <t>Angad</t>
        </is>
      </c>
    </row>
    <row r="4" spans="1:3">
      <c r="A4" t="inlineStr">
        <is>
          <t>Bangbangar</t>
        </is>
      </c>
    </row>
    <row r="5" spans="1:3">
      <c r="A5" t="inlineStr">
        <is>
          <t>Bañacao</t>
        </is>
      </c>
    </row>
    <row r="6" spans="1:3">
      <c r="A6" t="inlineStr">
        <is>
          <t>Cabuloan</t>
        </is>
      </c>
    </row>
    <row r="7" spans="1:3">
      <c r="A7" t="inlineStr">
        <is>
          <t>Calaba</t>
        </is>
      </c>
    </row>
    <row r="8" spans="1:3">
      <c r="A8" t="inlineStr">
        <is>
          <t>Cosili East</t>
        </is>
      </c>
    </row>
    <row r="9" spans="1:3">
      <c r="A9" t="inlineStr">
        <is>
          <t>Cosili West</t>
        </is>
      </c>
    </row>
    <row r="10" spans="1:3">
      <c r="A10" t="inlineStr">
        <is>
          <t>Dangdangla</t>
        </is>
      </c>
    </row>
    <row r="11" spans="1:3">
      <c r="A11" t="inlineStr">
        <is>
          <t>Lingtan</t>
        </is>
      </c>
    </row>
    <row r="12" spans="1:3">
      <c r="A12" t="inlineStr">
        <is>
          <t>Lipcan</t>
        </is>
      </c>
    </row>
    <row r="13" spans="1:3">
      <c r="A13" t="inlineStr">
        <is>
          <t>Lubong</t>
        </is>
      </c>
    </row>
    <row r="14" spans="1:3">
      <c r="A14" t="inlineStr">
        <is>
          <t>Macarcarmay</t>
        </is>
      </c>
    </row>
    <row r="15" spans="1:3">
      <c r="A15" t="inlineStr">
        <is>
          <t>Macray</t>
        </is>
      </c>
    </row>
    <row r="16" spans="1:3">
      <c r="A16" t="inlineStr">
        <is>
          <t>Malita</t>
        </is>
      </c>
    </row>
    <row r="17" spans="1:1">
      <c r="A17" t="inlineStr">
        <is>
          <t>Maoay</t>
        </is>
      </c>
    </row>
    <row r="18" spans="1:1">
      <c r="A18" t="inlineStr">
        <is>
          <t>Palao</t>
        </is>
      </c>
    </row>
    <row r="19" spans="1:1">
      <c r="A19" t="inlineStr">
        <is>
          <t>Patucannay</t>
        </is>
      </c>
    </row>
    <row r="20" spans="1:1">
      <c r="A20" t="inlineStr">
        <is>
          <t>Sagap</t>
        </is>
      </c>
    </row>
    <row r="21" spans="1:1">
      <c r="A21" t="inlineStr">
        <is>
          <t>San Antonio</t>
        </is>
      </c>
    </row>
    <row r="22" spans="1:1">
      <c r="A22" t="inlineStr">
        <is>
          <t>Santa Rosa</t>
        </is>
      </c>
    </row>
    <row r="23" spans="1:1">
      <c r="A23" t="inlineStr">
        <is>
          <t>Sao-atan</t>
        </is>
      </c>
    </row>
    <row r="24" spans="1:1">
      <c r="A24" t="inlineStr">
        <is>
          <t>Sappaac</t>
        </is>
      </c>
    </row>
    <row r="25" spans="1:1">
      <c r="A25" t="inlineStr">
        <is>
          <t>Tablac</t>
        </is>
      </c>
    </row>
    <row r="26" spans="1:1">
      <c r="A26" t="inlineStr">
        <is>
          <t>Zone 1 Pob.</t>
        </is>
      </c>
    </row>
    <row r="27" spans="1:1">
      <c r="A27" t="inlineStr">
        <is>
          <t>Zone 2 Pob.</t>
        </is>
      </c>
    </row>
    <row r="28" spans="1:1">
      <c r="A28" t="inlineStr">
        <is>
          <t>Zone 3 Pob.</t>
        </is>
      </c>
    </row>
    <row r="29" spans="1:1">
      <c r="A29" t="inlineStr">
        <is>
          <t>Zone 4 Pob.</t>
        </is>
      </c>
    </row>
    <row r="30" spans="1:1">
      <c r="A30" t="inlineStr">
        <is>
          <t>Zone 5 Pob.</t>
        </is>
      </c>
    </row>
    <row r="31" spans="1:1">
      <c r="A31" t="inlineStr">
        <is>
          <t>Zone 6 Pob.</t>
        </is>
      </c>
    </row>
    <row r="32" spans="1:1">
      <c r="A32" t="inlineStr">
        <is>
          <t>Zone 7 Pob.</t>
        </is>
      </c>
    </row>
    <row r="33" spans="1:1">
      <c r="A33" t="inlineStr">
        <is>
          <t>Amti</t>
        </is>
      </c>
    </row>
    <row r="34" spans="1:1">
      <c r="A34" t="inlineStr">
        <is>
          <t>Bao-yan</t>
        </is>
      </c>
    </row>
    <row r="35" spans="1:1">
      <c r="A35" t="inlineStr">
        <is>
          <t>Danac East</t>
        </is>
      </c>
    </row>
    <row r="36" spans="1:1">
      <c r="A36" t="inlineStr">
        <is>
          <t>Danac West</t>
        </is>
      </c>
    </row>
    <row r="37" spans="1:1">
      <c r="A37" t="inlineStr">
        <is>
          <t>Dao-angan</t>
        </is>
      </c>
    </row>
    <row r="38" spans="1:1">
      <c r="A38" t="inlineStr">
        <is>
          <t>Dumagas</t>
        </is>
      </c>
    </row>
    <row r="39" spans="1:1">
      <c r="A39" t="inlineStr">
        <is>
          <t>Kilong-Olao</t>
        </is>
      </c>
    </row>
    <row r="40" spans="1:1">
      <c r="A40" t="inlineStr">
        <is>
          <t>Poblacion</t>
        </is>
      </c>
    </row>
    <row r="41" spans="1:1">
      <c r="A41" t="inlineStr">
        <is>
          <t>Abang</t>
        </is>
      </c>
    </row>
    <row r="42" spans="1:1">
      <c r="A42" t="inlineStr">
        <is>
          <t>Bangbangcag</t>
        </is>
      </c>
    </row>
    <row r="43" spans="1:1">
      <c r="A43" t="inlineStr">
        <is>
          <t>Bangcagan</t>
        </is>
      </c>
    </row>
    <row r="44" spans="1:1">
      <c r="A44" t="inlineStr">
        <is>
          <t>Banglolao</t>
        </is>
      </c>
    </row>
    <row r="45" spans="1:1">
      <c r="A45" t="inlineStr">
        <is>
          <t>Bugbog</t>
        </is>
      </c>
    </row>
    <row r="46" spans="1:1">
      <c r="A46" t="inlineStr">
        <is>
          <t>Calao</t>
        </is>
      </c>
    </row>
    <row r="47" spans="1:1">
      <c r="A47" t="inlineStr">
        <is>
          <t>Dugong</t>
        </is>
      </c>
    </row>
    <row r="48" spans="1:1">
      <c r="A48" t="inlineStr">
        <is>
          <t>Labon</t>
        </is>
      </c>
    </row>
    <row r="49" spans="1:1">
      <c r="A49" t="inlineStr">
        <is>
          <t>Layugan</t>
        </is>
      </c>
    </row>
    <row r="50" spans="1:1">
      <c r="A50" t="inlineStr">
        <is>
          <t>Madalipay</t>
        </is>
      </c>
    </row>
    <row r="51" spans="1:1">
      <c r="A51" t="inlineStr">
        <is>
          <t>North Poblacion</t>
        </is>
      </c>
    </row>
    <row r="52" spans="1:1">
      <c r="A52" t="inlineStr">
        <is>
          <t>Pagala</t>
        </is>
      </c>
    </row>
    <row r="53" spans="1:1">
      <c r="A53" t="inlineStr">
        <is>
          <t>Pakiling</t>
        </is>
      </c>
    </row>
    <row r="54" spans="1:1">
      <c r="A54" t="inlineStr">
        <is>
          <t>Palaquio</t>
        </is>
      </c>
    </row>
    <row r="55" spans="1:1">
      <c r="A55" t="inlineStr">
        <is>
          <t>Patoc</t>
        </is>
      </c>
    </row>
    <row r="56" spans="1:1">
      <c r="A56" t="inlineStr">
        <is>
          <t>Quimloong</t>
        </is>
      </c>
    </row>
    <row r="57" spans="1:1">
      <c r="A57" t="inlineStr">
        <is>
          <t>Salnec</t>
        </is>
      </c>
    </row>
    <row r="58" spans="1:1">
      <c r="A58" t="inlineStr">
        <is>
          <t>San Miguel</t>
        </is>
      </c>
    </row>
    <row r="59" spans="1:1">
      <c r="A59" t="inlineStr">
        <is>
          <t>Siblong</t>
        </is>
      </c>
    </row>
    <row r="60" spans="1:1">
      <c r="A60" t="inlineStr">
        <is>
          <t>South Poblacion</t>
        </is>
      </c>
    </row>
    <row r="61" spans="1:1">
      <c r="A61" t="inlineStr">
        <is>
          <t>Tabiog</t>
        </is>
      </c>
    </row>
    <row r="62" spans="1:1">
      <c r="A62" t="inlineStr">
        <is>
          <t>Ducligan</t>
        </is>
      </c>
    </row>
    <row r="63" spans="1:1">
      <c r="A63" t="inlineStr">
        <is>
          <t>Labaan</t>
        </is>
      </c>
    </row>
    <row r="64" spans="1:1">
      <c r="A64" t="inlineStr">
        <is>
          <t>Lamao</t>
        </is>
      </c>
    </row>
    <row r="65" spans="1:1">
      <c r="A65" t="inlineStr">
        <is>
          <t>Lingey</t>
        </is>
      </c>
    </row>
    <row r="66" spans="1:1">
      <c r="A66" t="inlineStr">
        <is>
          <t>Ableg</t>
        </is>
      </c>
    </row>
    <row r="67" spans="1:1">
      <c r="A67" t="inlineStr">
        <is>
          <t>Cabaruyan</t>
        </is>
      </c>
    </row>
    <row r="68" spans="1:1">
      <c r="A68" t="inlineStr">
        <is>
          <t>Pikek</t>
        </is>
      </c>
    </row>
    <row r="69" spans="1:1">
      <c r="A69" t="inlineStr">
        <is>
          <t>Tui</t>
        </is>
      </c>
    </row>
    <row r="70" spans="1:1">
      <c r="A70" t="inlineStr">
        <is>
          <t>Abaquid</t>
        </is>
      </c>
    </row>
    <row r="71" spans="1:1">
      <c r="A71" t="inlineStr">
        <is>
          <t>Cabaruan</t>
        </is>
      </c>
    </row>
    <row r="72" spans="1:1">
      <c r="A72" t="inlineStr">
        <is>
          <t>Caupasan</t>
        </is>
      </c>
    </row>
    <row r="73" spans="1:1">
      <c r="A73" t="inlineStr">
        <is>
          <t>Danglas</t>
        </is>
      </c>
    </row>
    <row r="74" spans="1:1">
      <c r="A74" t="inlineStr">
        <is>
          <t>Nagaparan</t>
        </is>
      </c>
    </row>
    <row r="75" spans="1:1">
      <c r="A75" t="inlineStr">
        <is>
          <t>Padangitan</t>
        </is>
      </c>
    </row>
    <row r="76" spans="1:1">
      <c r="A76" t="inlineStr">
        <is>
          <t>Pangal</t>
        </is>
      </c>
    </row>
    <row r="77" spans="1:1">
      <c r="A77" t="inlineStr">
        <is>
          <t>Bayaan</t>
        </is>
      </c>
    </row>
    <row r="78" spans="1:1">
      <c r="A78" t="inlineStr">
        <is>
          <t>Cabaroan</t>
        </is>
      </c>
    </row>
    <row r="79" spans="1:1">
      <c r="A79" t="inlineStr">
        <is>
          <t>Calumbaya</t>
        </is>
      </c>
    </row>
    <row r="80" spans="1:1">
      <c r="A80" t="inlineStr">
        <is>
          <t>Cardona</t>
        </is>
      </c>
    </row>
    <row r="81" spans="1:1">
      <c r="A81" t="inlineStr">
        <is>
          <t>Isit</t>
        </is>
      </c>
    </row>
    <row r="82" spans="1:1">
      <c r="A82" t="inlineStr">
        <is>
          <t>Kimmalaba</t>
        </is>
      </c>
    </row>
    <row r="83" spans="1:1">
      <c r="A83" t="inlineStr">
        <is>
          <t>Libtec</t>
        </is>
      </c>
    </row>
    <row r="84" spans="1:1">
      <c r="A84" t="inlineStr">
        <is>
          <t>Lub-lubba</t>
        </is>
      </c>
    </row>
    <row r="85" spans="1:1">
      <c r="A85" t="inlineStr">
        <is>
          <t>Mudiit</t>
        </is>
      </c>
    </row>
    <row r="86" spans="1:1">
      <c r="A86" t="inlineStr">
        <is>
          <t>Namit-ingan</t>
        </is>
      </c>
    </row>
    <row r="87" spans="1:1">
      <c r="A87" t="inlineStr">
        <is>
          <t>Pacac</t>
        </is>
      </c>
    </row>
    <row r="88" spans="1:1">
      <c r="A88" t="inlineStr">
        <is>
          <t>Poblacion</t>
        </is>
      </c>
    </row>
    <row r="89" spans="1:1">
      <c r="A89" t="inlineStr">
        <is>
          <t>Salucag</t>
        </is>
      </c>
    </row>
    <row r="90" spans="1:1">
      <c r="A90" t="inlineStr">
        <is>
          <t>Talogtog</t>
        </is>
      </c>
    </row>
    <row r="91" spans="1:1">
      <c r="A91" t="inlineStr">
        <is>
          <t>Taping</t>
        </is>
      </c>
    </row>
    <row r="92" spans="1:1">
      <c r="A92" t="inlineStr">
        <is>
          <t>Benben</t>
        </is>
      </c>
    </row>
    <row r="93" spans="1:1">
      <c r="A93" t="inlineStr">
        <is>
          <t>Bulbulala</t>
        </is>
      </c>
    </row>
    <row r="94" spans="1:1">
      <c r="A94" t="inlineStr">
        <is>
          <t>Buli</t>
        </is>
      </c>
    </row>
    <row r="95" spans="1:1">
      <c r="A95" t="inlineStr">
        <is>
          <t>Canan</t>
        </is>
      </c>
    </row>
    <row r="96" spans="1:1">
      <c r="A96" t="inlineStr">
        <is>
          <t>Liguis</t>
        </is>
      </c>
    </row>
    <row r="97" spans="1:1">
      <c r="A97" t="inlineStr">
        <is>
          <t>Malabbaga</t>
        </is>
      </c>
    </row>
    <row r="98" spans="1:1">
      <c r="A98" t="inlineStr">
        <is>
          <t>Mudeng</t>
        </is>
      </c>
    </row>
    <row r="99" spans="1:1">
      <c r="A99" t="inlineStr">
        <is>
          <t>Pidipid</t>
        </is>
      </c>
    </row>
    <row r="100" spans="1:1">
      <c r="A100" t="inlineStr">
        <is>
          <t>Poblacion</t>
        </is>
      </c>
    </row>
    <row r="101" spans="1:1">
      <c r="A101" t="inlineStr">
        <is>
          <t>San Gregorio</t>
        </is>
      </c>
    </row>
    <row r="102" spans="1:1">
      <c r="A102" t="inlineStr">
        <is>
          <t>Toon</t>
        </is>
      </c>
    </row>
    <row r="103" spans="1:1">
      <c r="A103" t="inlineStr">
        <is>
          <t>Udangan</t>
        </is>
      </c>
    </row>
    <row r="104" spans="1:1">
      <c r="A104" t="inlineStr">
        <is>
          <t>Bacag</t>
        </is>
      </c>
    </row>
    <row r="105" spans="1:1">
      <c r="A105" t="inlineStr">
        <is>
          <t>Buneg</t>
        </is>
      </c>
    </row>
    <row r="106" spans="1:1">
      <c r="A106" t="inlineStr">
        <is>
          <t>Guinguinabang</t>
        </is>
      </c>
    </row>
    <row r="107" spans="1:1">
      <c r="A107" t="inlineStr">
        <is>
          <t>Lan-ag</t>
        </is>
      </c>
    </row>
    <row r="108" spans="1:1">
      <c r="A108" t="inlineStr">
        <is>
          <t>Pacoc</t>
        </is>
      </c>
    </row>
    <row r="109" spans="1:1">
      <c r="A109" t="inlineStr">
        <is>
          <t>Poblacion</t>
        </is>
      </c>
    </row>
    <row r="110" spans="1:1">
      <c r="A110" t="inlineStr">
        <is>
          <t>Aguet</t>
        </is>
      </c>
    </row>
    <row r="111" spans="1:1">
      <c r="A111" t="inlineStr">
        <is>
          <t>Bacooc</t>
        </is>
      </c>
    </row>
    <row r="112" spans="1:1">
      <c r="A112" t="inlineStr">
        <is>
          <t>Balais</t>
        </is>
      </c>
    </row>
    <row r="113" spans="1:1">
      <c r="A113" t="inlineStr">
        <is>
          <t>Cayapa</t>
        </is>
      </c>
    </row>
    <row r="114" spans="1:1">
      <c r="A114" t="inlineStr">
        <is>
          <t>Dalaguisen</t>
        </is>
      </c>
    </row>
    <row r="115" spans="1:1">
      <c r="A115" t="inlineStr">
        <is>
          <t>Laang</t>
        </is>
      </c>
    </row>
    <row r="116" spans="1:1">
      <c r="A116" t="inlineStr">
        <is>
          <t>Lagben</t>
        </is>
      </c>
    </row>
    <row r="117" spans="1:1">
      <c r="A117" t="inlineStr">
        <is>
          <t>Laguiben</t>
        </is>
      </c>
    </row>
    <row r="118" spans="1:1">
      <c r="A118" t="inlineStr">
        <is>
          <t>Nagtipulan</t>
        </is>
      </c>
    </row>
    <row r="119" spans="1:1">
      <c r="A119" t="inlineStr">
        <is>
          <t>Nagtupacan</t>
        </is>
      </c>
    </row>
    <row r="120" spans="1:1">
      <c r="A120" t="inlineStr">
        <is>
          <t>Paganao</t>
        </is>
      </c>
    </row>
    <row r="121" spans="1:1">
      <c r="A121" t="inlineStr">
        <is>
          <t>Pawa</t>
        </is>
      </c>
    </row>
    <row r="122" spans="1:1">
      <c r="A122" t="inlineStr">
        <is>
          <t>Poblacion</t>
        </is>
      </c>
    </row>
    <row r="123" spans="1:1">
      <c r="A123" t="inlineStr">
        <is>
          <t>Presentar</t>
        </is>
      </c>
    </row>
    <row r="124" spans="1:1">
      <c r="A124" t="inlineStr">
        <is>
          <t>San Isidro</t>
        </is>
      </c>
    </row>
    <row r="125" spans="1:1">
      <c r="A125" t="inlineStr">
        <is>
          <t>Tagodtod</t>
        </is>
      </c>
    </row>
    <row r="126" spans="1:1">
      <c r="A126" t="inlineStr">
        <is>
          <t>Taping</t>
        </is>
      </c>
    </row>
    <row r="127" spans="1:1">
      <c r="A127" t="inlineStr">
        <is>
          <t>Ba-i</t>
        </is>
      </c>
    </row>
    <row r="128" spans="1:1">
      <c r="A128" t="inlineStr">
        <is>
          <t>Collago</t>
        </is>
      </c>
    </row>
    <row r="129" spans="1:1">
      <c r="A129" t="inlineStr">
        <is>
          <t>Pang-ot</t>
        </is>
      </c>
    </row>
    <row r="130" spans="1:1">
      <c r="A130" t="inlineStr">
        <is>
          <t>Poblacion</t>
        </is>
      </c>
    </row>
    <row r="131" spans="1:1">
      <c r="A131" t="inlineStr">
        <is>
          <t>Pulot</t>
        </is>
      </c>
    </row>
    <row r="132" spans="1:1">
      <c r="A132" t="inlineStr">
        <is>
          <t>Baac</t>
        </is>
      </c>
    </row>
    <row r="133" spans="1:1">
      <c r="A133" t="inlineStr">
        <is>
          <t>Dalayap</t>
        </is>
      </c>
    </row>
    <row r="134" spans="1:1">
      <c r="A134" t="inlineStr">
        <is>
          <t>Mabungtot</t>
        </is>
      </c>
    </row>
    <row r="135" spans="1:1">
      <c r="A135" t="inlineStr">
        <is>
          <t>Malapaao</t>
        </is>
      </c>
    </row>
    <row r="136" spans="1:1">
      <c r="A136" t="inlineStr">
        <is>
          <t>Poblacion</t>
        </is>
      </c>
    </row>
    <row r="137" spans="1:1">
      <c r="A137" t="inlineStr">
        <is>
          <t>Quillat</t>
        </is>
      </c>
    </row>
    <row r="138" spans="1:1">
      <c r="A138" t="inlineStr">
        <is>
          <t>Bonglo</t>
        </is>
      </c>
    </row>
    <row r="139" spans="1:1">
      <c r="A139" t="inlineStr">
        <is>
          <t>Bulbulala</t>
        </is>
      </c>
    </row>
    <row r="140" spans="1:1">
      <c r="A140" t="inlineStr">
        <is>
          <t>Cawayan</t>
        </is>
      </c>
    </row>
    <row r="141" spans="1:1">
      <c r="A141" t="inlineStr">
        <is>
          <t>Domenglay</t>
        </is>
      </c>
    </row>
    <row r="142" spans="1:1">
      <c r="A142" t="inlineStr">
        <is>
          <t>Lenneng</t>
        </is>
      </c>
    </row>
    <row r="143" spans="1:1">
      <c r="A143" t="inlineStr">
        <is>
          <t>Mapisla</t>
        </is>
      </c>
    </row>
    <row r="144" spans="1:1">
      <c r="A144" t="inlineStr">
        <is>
          <t>Mogao</t>
        </is>
      </c>
    </row>
    <row r="145" spans="1:1">
      <c r="A145" t="inlineStr">
        <is>
          <t>Nalbuan</t>
        </is>
      </c>
    </row>
    <row r="146" spans="1:1">
      <c r="A146" t="inlineStr">
        <is>
          <t>Poblacion</t>
        </is>
      </c>
    </row>
    <row r="147" spans="1:1">
      <c r="A147" t="inlineStr">
        <is>
          <t>Subagan</t>
        </is>
      </c>
    </row>
    <row r="148" spans="1:1">
      <c r="A148" t="inlineStr">
        <is>
          <t>Tumalip</t>
        </is>
      </c>
    </row>
    <row r="149" spans="1:1">
      <c r="A149" t="inlineStr">
        <is>
          <t>Ampalioc</t>
        </is>
      </c>
    </row>
    <row r="150" spans="1:1">
      <c r="A150" t="inlineStr">
        <is>
          <t>Barit</t>
        </is>
      </c>
    </row>
    <row r="151" spans="1:1">
      <c r="A151" t="inlineStr">
        <is>
          <t>Gayaman</t>
        </is>
      </c>
    </row>
    <row r="152" spans="1:1">
      <c r="A152" t="inlineStr">
        <is>
          <t>Lul-luno</t>
        </is>
      </c>
    </row>
    <row r="153" spans="1:1">
      <c r="A153" t="inlineStr">
        <is>
          <t>Luzong</t>
        </is>
      </c>
    </row>
    <row r="154" spans="1:1">
      <c r="A154" t="inlineStr">
        <is>
          <t>Nagbukel-Tuquipa</t>
        </is>
      </c>
    </row>
    <row r="155" spans="1:1">
      <c r="A155" t="inlineStr">
        <is>
          <t>Poblacion</t>
        </is>
      </c>
    </row>
    <row r="156" spans="1:1">
      <c r="A156" t="inlineStr">
        <is>
          <t>Sabnangan</t>
        </is>
      </c>
    </row>
    <row r="157" spans="1:1">
      <c r="A157" t="inlineStr">
        <is>
          <t>Bayabas</t>
        </is>
      </c>
    </row>
    <row r="158" spans="1:1">
      <c r="A158" t="inlineStr">
        <is>
          <t>Binasaran</t>
        </is>
      </c>
    </row>
    <row r="159" spans="1:1">
      <c r="A159" t="inlineStr">
        <is>
          <t>Buanao</t>
        </is>
      </c>
    </row>
    <row r="160" spans="1:1">
      <c r="A160" t="inlineStr">
        <is>
          <t>Dulao</t>
        </is>
      </c>
    </row>
    <row r="161" spans="1:1">
      <c r="A161" t="inlineStr">
        <is>
          <t>Duldulao</t>
        </is>
      </c>
    </row>
    <row r="162" spans="1:1">
      <c r="A162" t="inlineStr">
        <is>
          <t>Gacab</t>
        </is>
      </c>
    </row>
    <row r="163" spans="1:1">
      <c r="A163" t="inlineStr">
        <is>
          <t>Lat-ey</t>
        </is>
      </c>
    </row>
    <row r="164" spans="1:1">
      <c r="A164" t="inlineStr">
        <is>
          <t>Malibcong</t>
        </is>
      </c>
    </row>
    <row r="165" spans="1:1">
      <c r="A165" t="inlineStr">
        <is>
          <t>Mataragan</t>
        </is>
      </c>
    </row>
    <row r="166" spans="1:1">
      <c r="A166" t="inlineStr">
        <is>
          <t>Pacgued</t>
        </is>
      </c>
    </row>
    <row r="167" spans="1:1">
      <c r="A167" t="inlineStr">
        <is>
          <t>Taripan</t>
        </is>
      </c>
    </row>
    <row r="168" spans="1:1">
      <c r="A168" t="inlineStr">
        <is>
          <t>Umnap</t>
        </is>
      </c>
    </row>
    <row r="169" spans="1:1">
      <c r="A169" t="inlineStr">
        <is>
          <t>Ayyeng</t>
        </is>
      </c>
    </row>
    <row r="170" spans="1:1">
      <c r="A170" t="inlineStr">
        <is>
          <t>Catacdegan Nuevo</t>
        </is>
      </c>
    </row>
    <row r="171" spans="1:1">
      <c r="A171" t="inlineStr">
        <is>
          <t>Catacdegan Viejo</t>
        </is>
      </c>
    </row>
    <row r="172" spans="1:1">
      <c r="A172" t="inlineStr">
        <is>
          <t>Luzong</t>
        </is>
      </c>
    </row>
    <row r="173" spans="1:1">
      <c r="A173" t="inlineStr">
        <is>
          <t>San Jose Norte</t>
        </is>
      </c>
    </row>
    <row r="174" spans="1:1">
      <c r="A174" t="inlineStr">
        <is>
          <t>San Jose Sur</t>
        </is>
      </c>
    </row>
    <row r="175" spans="1:1">
      <c r="A175" t="inlineStr">
        <is>
          <t>San Juan Norte</t>
        </is>
      </c>
    </row>
    <row r="176" spans="1:1">
      <c r="A176" t="inlineStr">
        <is>
          <t>San Juan Sur</t>
        </is>
      </c>
    </row>
    <row r="177" spans="1:1">
      <c r="A177" t="inlineStr">
        <is>
          <t>San Ramon East</t>
        </is>
      </c>
    </row>
    <row r="178" spans="1:1">
      <c r="A178" t="inlineStr">
        <is>
          <t>San Ramon West</t>
        </is>
      </c>
    </row>
    <row r="179" spans="1:1">
      <c r="A179" t="inlineStr">
        <is>
          <t>Santo Tomas</t>
        </is>
      </c>
    </row>
    <row r="180" spans="1:1">
      <c r="A180" t="inlineStr">
        <is>
          <t>Dumayco</t>
        </is>
      </c>
    </row>
    <row r="181" spans="1:1">
      <c r="A181" t="inlineStr">
        <is>
          <t>Lusuac</t>
        </is>
      </c>
    </row>
    <row r="182" spans="1:1">
      <c r="A182" t="inlineStr">
        <is>
          <t>Malamsit</t>
        </is>
      </c>
    </row>
    <row r="183" spans="1:1">
      <c r="A183" t="inlineStr">
        <is>
          <t>Namarabar</t>
        </is>
      </c>
    </row>
    <row r="184" spans="1:1">
      <c r="A184" t="inlineStr">
        <is>
          <t>Patiao</t>
        </is>
      </c>
    </row>
    <row r="185" spans="1:1">
      <c r="A185" t="inlineStr">
        <is>
          <t>Poblacion</t>
        </is>
      </c>
    </row>
    <row r="186" spans="1:1">
      <c r="A186" t="inlineStr">
        <is>
          <t>Riang</t>
        </is>
      </c>
    </row>
    <row r="187" spans="1:1">
      <c r="A187" t="inlineStr">
        <is>
          <t>Santa Rosa</t>
        </is>
      </c>
    </row>
    <row r="188" spans="1:1">
      <c r="A188" t="inlineStr">
        <is>
          <t>Tattawa</t>
        </is>
      </c>
    </row>
    <row r="189" spans="1:1">
      <c r="A189" t="inlineStr">
        <is>
          <t>Alinaya</t>
        </is>
      </c>
    </row>
    <row r="190" spans="1:1">
      <c r="A190" t="inlineStr">
        <is>
          <t>Arab</t>
        </is>
      </c>
    </row>
    <row r="191" spans="1:1">
      <c r="A191" t="inlineStr">
        <is>
          <t>Garreta</t>
        </is>
      </c>
    </row>
    <row r="192" spans="1:1">
      <c r="A192" t="inlineStr">
        <is>
          <t>Immuli</t>
        </is>
      </c>
    </row>
    <row r="193" spans="1:1">
      <c r="A193" t="inlineStr">
        <is>
          <t>Laskig</t>
        </is>
      </c>
    </row>
    <row r="194" spans="1:1">
      <c r="A194" t="inlineStr">
        <is>
          <t>Monggoc</t>
        </is>
      </c>
    </row>
    <row r="195" spans="1:1">
      <c r="A195" t="inlineStr">
        <is>
          <t>Naguirayan</t>
        </is>
      </c>
    </row>
    <row r="196" spans="1:1">
      <c r="A196" t="inlineStr">
        <is>
          <t>Pamutic</t>
        </is>
      </c>
    </row>
    <row r="197" spans="1:1">
      <c r="A197" t="inlineStr">
        <is>
          <t>Pangtud</t>
        </is>
      </c>
    </row>
    <row r="198" spans="1:1">
      <c r="A198" t="inlineStr">
        <is>
          <t>Poblacion East</t>
        </is>
      </c>
    </row>
    <row r="199" spans="1:1">
      <c r="A199" t="inlineStr">
        <is>
          <t>Poblacion West</t>
        </is>
      </c>
    </row>
    <row r="200" spans="1:1">
      <c r="A200" t="inlineStr">
        <is>
          <t>San Diego</t>
        </is>
      </c>
    </row>
    <row r="201" spans="1:1">
      <c r="A201" t="inlineStr">
        <is>
          <t>Sulbec</t>
        </is>
      </c>
    </row>
    <row r="202" spans="1:1">
      <c r="A202" t="inlineStr">
        <is>
          <t>Suyo</t>
        </is>
      </c>
    </row>
    <row r="203" spans="1:1">
      <c r="A203" t="inlineStr">
        <is>
          <t>Yuyeng</t>
        </is>
      </c>
    </row>
    <row r="204" spans="1:1">
      <c r="A204" t="inlineStr">
        <is>
          <t>Bolbolo</t>
        </is>
      </c>
    </row>
    <row r="205" spans="1:1">
      <c r="A205" t="inlineStr">
        <is>
          <t>Brookside</t>
        </is>
      </c>
    </row>
    <row r="206" spans="1:1">
      <c r="A206" t="inlineStr">
        <is>
          <t>Dalit</t>
        </is>
      </c>
    </row>
    <row r="207" spans="1:1">
      <c r="A207" t="inlineStr">
        <is>
          <t>Dintan</t>
        </is>
      </c>
    </row>
    <row r="208" spans="1:1">
      <c r="A208" t="inlineStr">
        <is>
          <t>Gapang</t>
        </is>
      </c>
    </row>
    <row r="209" spans="1:1">
      <c r="A209" t="inlineStr">
        <is>
          <t>Kinabiti</t>
        </is>
      </c>
    </row>
    <row r="210" spans="1:1">
      <c r="A210" t="inlineStr">
        <is>
          <t>Maliplipit</t>
        </is>
      </c>
    </row>
    <row r="211" spans="1:1">
      <c r="A211" t="inlineStr">
        <is>
          <t>Nagcanasan</t>
        </is>
      </c>
    </row>
    <row r="212" spans="1:1">
      <c r="A212" t="inlineStr">
        <is>
          <t>Nanangduan</t>
        </is>
      </c>
    </row>
    <row r="213" spans="1:1">
      <c r="A213" t="inlineStr">
        <is>
          <t>Narnara</t>
        </is>
      </c>
    </row>
    <row r="214" spans="1:1">
      <c r="A214" t="inlineStr">
        <is>
          <t>Ocup</t>
        </is>
      </c>
    </row>
    <row r="215" spans="1:1">
      <c r="A215" t="inlineStr">
        <is>
          <t>Pang-ot</t>
        </is>
      </c>
    </row>
    <row r="216" spans="1:1">
      <c r="A216" t="inlineStr">
        <is>
          <t>Patad</t>
        </is>
      </c>
    </row>
    <row r="217" spans="1:1">
      <c r="A217" t="inlineStr">
        <is>
          <t>Poblacion</t>
        </is>
      </c>
    </row>
    <row r="218" spans="1:1">
      <c r="A218" t="inlineStr">
        <is>
          <t>San Juan East</t>
        </is>
      </c>
    </row>
    <row r="219" spans="1:1">
      <c r="A219" t="inlineStr">
        <is>
          <t>San Juan West</t>
        </is>
      </c>
    </row>
    <row r="220" spans="1:1">
      <c r="A220" t="inlineStr">
        <is>
          <t>South Balioag</t>
        </is>
      </c>
    </row>
    <row r="221" spans="1:1">
      <c r="A221" t="inlineStr">
        <is>
          <t>Tikitik</t>
        </is>
      </c>
    </row>
    <row r="222" spans="1:1">
      <c r="A222" t="inlineStr">
        <is>
          <t>Villavieja</t>
        </is>
      </c>
    </row>
    <row r="223" spans="1:1">
      <c r="A223" t="inlineStr">
        <is>
          <t>Bazar</t>
        </is>
      </c>
    </row>
    <row r="224" spans="1:1">
      <c r="A224" t="inlineStr">
        <is>
          <t>Bilabila</t>
        </is>
      </c>
    </row>
    <row r="225" spans="1:1">
      <c r="A225" t="inlineStr">
        <is>
          <t>Gangal</t>
        </is>
      </c>
    </row>
    <row r="226" spans="1:1">
      <c r="A226" t="inlineStr">
        <is>
          <t>Maguyepyep</t>
        </is>
      </c>
    </row>
    <row r="227" spans="1:1">
      <c r="A227" t="inlineStr">
        <is>
          <t>Naguilian</t>
        </is>
      </c>
    </row>
    <row r="228" spans="1:1">
      <c r="A228" t="inlineStr">
        <is>
          <t>Saccaang</t>
        </is>
      </c>
    </row>
    <row r="229" spans="1:1">
      <c r="A229" t="inlineStr">
        <is>
          <t>Sallapadan</t>
        </is>
      </c>
    </row>
    <row r="230" spans="1:1">
      <c r="A230" t="inlineStr">
        <is>
          <t>Subusob</t>
        </is>
      </c>
    </row>
    <row r="231" spans="1:1">
      <c r="A231" t="inlineStr">
        <is>
          <t>Ud-udiao</t>
        </is>
      </c>
    </row>
    <row r="232" spans="1:1">
      <c r="A232" t="inlineStr">
        <is>
          <t>Cabayogan</t>
        </is>
      </c>
    </row>
    <row r="233" spans="1:1">
      <c r="A233" t="inlineStr">
        <is>
          <t>Dalimag</t>
        </is>
      </c>
    </row>
    <row r="234" spans="1:1">
      <c r="A234" t="inlineStr">
        <is>
          <t>Langbaban</t>
        </is>
      </c>
    </row>
    <row r="235" spans="1:1">
      <c r="A235" t="inlineStr">
        <is>
          <t>Manayday</t>
        </is>
      </c>
    </row>
    <row r="236" spans="1:1">
      <c r="A236" t="inlineStr">
        <is>
          <t>Pantoc</t>
        </is>
      </c>
    </row>
    <row r="237" spans="1:1">
      <c r="A237" t="inlineStr">
        <is>
          <t>Poblacion</t>
        </is>
      </c>
    </row>
    <row r="238" spans="1:1">
      <c r="A238" t="inlineStr">
        <is>
          <t>Sabtan-olo</t>
        </is>
      </c>
    </row>
    <row r="239" spans="1:1">
      <c r="A239" t="inlineStr">
        <is>
          <t>San Marcial</t>
        </is>
      </c>
    </row>
    <row r="240" spans="1:1">
      <c r="A240" t="inlineStr">
        <is>
          <t>Tangbao</t>
        </is>
      </c>
    </row>
    <row r="241" spans="1:1">
      <c r="A241" t="inlineStr">
        <is>
          <t>Abualan</t>
        </is>
      </c>
    </row>
    <row r="242" spans="1:1">
      <c r="A242" t="inlineStr">
        <is>
          <t>Ba-ug</t>
        </is>
      </c>
    </row>
    <row r="243" spans="1:1">
      <c r="A243" t="inlineStr">
        <is>
          <t>Badas</t>
        </is>
      </c>
    </row>
    <row r="244" spans="1:1">
      <c r="A244" t="inlineStr">
        <is>
          <t>Cabcaborao</t>
        </is>
      </c>
    </row>
    <row r="245" spans="1:1">
      <c r="A245" t="inlineStr">
        <is>
          <t>Colabaoan</t>
        </is>
      </c>
    </row>
    <row r="246" spans="1:1">
      <c r="A246" t="inlineStr">
        <is>
          <t>Culiong</t>
        </is>
      </c>
    </row>
    <row r="247" spans="1:1">
      <c r="A247" t="inlineStr">
        <is>
          <t>Daoidao</t>
        </is>
      </c>
    </row>
    <row r="248" spans="1:1">
      <c r="A248" t="inlineStr">
        <is>
          <t>Guimba</t>
        </is>
      </c>
    </row>
    <row r="249" spans="1:1">
      <c r="A249" t="inlineStr">
        <is>
          <t>Lam-ag</t>
        </is>
      </c>
    </row>
    <row r="250" spans="1:1">
      <c r="A250" t="inlineStr">
        <is>
          <t>Lumobang</t>
        </is>
      </c>
    </row>
    <row r="251" spans="1:1">
      <c r="A251" t="inlineStr">
        <is>
          <t>Nangobongan</t>
        </is>
      </c>
    </row>
    <row r="252" spans="1:1">
      <c r="A252" t="inlineStr">
        <is>
          <t>Pattaoig</t>
        </is>
      </c>
    </row>
    <row r="253" spans="1:1">
      <c r="A253" t="inlineStr">
        <is>
          <t>Poblacion North</t>
        </is>
      </c>
    </row>
    <row r="254" spans="1:1">
      <c r="A254" t="inlineStr">
        <is>
          <t>Poblacion South</t>
        </is>
      </c>
    </row>
    <row r="255" spans="1:1">
      <c r="A255" t="inlineStr">
        <is>
          <t>Quidaoen</t>
        </is>
      </c>
    </row>
    <row r="256" spans="1:1">
      <c r="A256" t="inlineStr">
        <is>
          <t>Sabangan</t>
        </is>
      </c>
    </row>
    <row r="257" spans="1:1">
      <c r="A257" t="inlineStr">
        <is>
          <t>Silet</t>
        </is>
      </c>
    </row>
    <row r="258" spans="1:1">
      <c r="A258" t="inlineStr">
        <is>
          <t>Supi-il</t>
        </is>
      </c>
    </row>
    <row r="259" spans="1:1">
      <c r="A259" t="inlineStr">
        <is>
          <t>Tagaytay</t>
        </is>
      </c>
    </row>
    <row r="260" spans="1:1">
      <c r="A260" t="inlineStr">
        <is>
          <t>Labaan</t>
        </is>
      </c>
    </row>
    <row r="261" spans="1:1">
      <c r="A261" t="inlineStr">
        <is>
          <t>Palang</t>
        </is>
      </c>
    </row>
    <row r="262" spans="1:1">
      <c r="A262" t="inlineStr">
        <is>
          <t>Pantoc</t>
        </is>
      </c>
    </row>
    <row r="263" spans="1:1">
      <c r="A263" t="inlineStr">
        <is>
          <t>Poblacion</t>
        </is>
      </c>
    </row>
    <row r="264" spans="1:1">
      <c r="A264" t="inlineStr">
        <is>
          <t>Tangadan</t>
        </is>
      </c>
    </row>
    <row r="265" spans="1:1">
      <c r="A265" t="inlineStr">
        <is>
          <t>Villa Mercedes</t>
        </is>
      </c>
    </row>
    <row r="266" spans="1:1">
      <c r="A266" t="inlineStr">
        <is>
          <t>Bagalay</t>
        </is>
      </c>
    </row>
    <row r="267" spans="1:1">
      <c r="A267" t="inlineStr">
        <is>
          <t>Basbasa</t>
        </is>
      </c>
    </row>
    <row r="268" spans="1:1">
      <c r="A268" t="inlineStr">
        <is>
          <t>Budac</t>
        </is>
      </c>
    </row>
    <row r="269" spans="1:1">
      <c r="A269" t="inlineStr">
        <is>
          <t>Bumagcat</t>
        </is>
      </c>
    </row>
    <row r="270" spans="1:1">
      <c r="A270" t="inlineStr">
        <is>
          <t>Cabaroan</t>
        </is>
      </c>
    </row>
    <row r="271" spans="1:1">
      <c r="A271" t="inlineStr">
        <is>
          <t>Deet</t>
        </is>
      </c>
    </row>
    <row r="272" spans="1:1">
      <c r="A272" t="inlineStr">
        <is>
          <t>Gaddani</t>
        </is>
      </c>
    </row>
    <row r="273" spans="1:1">
      <c r="A273" t="inlineStr">
        <is>
          <t>Patucannay</t>
        </is>
      </c>
    </row>
    <row r="274" spans="1:1">
      <c r="A274" t="inlineStr">
        <is>
          <t>Pias</t>
        </is>
      </c>
    </row>
    <row r="275" spans="1:1">
      <c r="A275" t="inlineStr">
        <is>
          <t>Poblacion</t>
        </is>
      </c>
    </row>
    <row r="276" spans="1:1">
      <c r="A276" t="inlineStr">
        <is>
          <t>Velasco</t>
        </is>
      </c>
    </row>
    <row r="277" spans="1:1">
      <c r="A277" t="inlineStr">
        <is>
          <t>Alaoa</t>
        </is>
      </c>
    </row>
    <row r="278" spans="1:1">
      <c r="A278" t="inlineStr">
        <is>
          <t>Anayan</t>
        </is>
      </c>
    </row>
    <row r="279" spans="1:1">
      <c r="A279" t="inlineStr">
        <is>
          <t>Apao</t>
        </is>
      </c>
    </row>
    <row r="280" spans="1:1">
      <c r="A280" t="inlineStr">
        <is>
          <t>Belaat</t>
        </is>
      </c>
    </row>
    <row r="281" spans="1:1">
      <c r="A281" t="inlineStr">
        <is>
          <t>Caganayan</t>
        </is>
      </c>
    </row>
    <row r="282" spans="1:1">
      <c r="A282" t="inlineStr">
        <is>
          <t>Cogon</t>
        </is>
      </c>
    </row>
    <row r="283" spans="1:1">
      <c r="A283" t="inlineStr">
        <is>
          <t>Lanec</t>
        </is>
      </c>
    </row>
    <row r="284" spans="1:1">
      <c r="A284" t="inlineStr">
        <is>
          <t>Lapat-Balantay</t>
        </is>
      </c>
    </row>
    <row r="285" spans="1:1">
      <c r="A285" t="inlineStr">
        <is>
          <t>Naglibacan</t>
        </is>
      </c>
    </row>
    <row r="286" spans="1:1">
      <c r="A286" t="inlineStr">
        <is>
          <t>Poblacion</t>
        </is>
      </c>
    </row>
    <row r="287" spans="1:1">
      <c r="A287" t="inlineStr">
        <is>
          <t>Alangtin</t>
        </is>
      </c>
    </row>
    <row r="288" spans="1:1">
      <c r="A288" t="inlineStr">
        <is>
          <t>Amtuagan</t>
        </is>
      </c>
    </row>
    <row r="289" spans="1:1">
      <c r="A289" t="inlineStr">
        <is>
          <t>Dilong</t>
        </is>
      </c>
    </row>
    <row r="290" spans="1:1">
      <c r="A290" t="inlineStr">
        <is>
          <t>Kili</t>
        </is>
      </c>
    </row>
    <row r="291" spans="1:1">
      <c r="A291" t="inlineStr">
        <is>
          <t>Poblacion</t>
        </is>
      </c>
    </row>
    <row r="292" spans="1:1">
      <c r="A292" t="inlineStr">
        <is>
          <t>Supo</t>
        </is>
      </c>
    </row>
    <row r="293" spans="1:1">
      <c r="A293" t="inlineStr">
        <is>
          <t>Tabacda</t>
        </is>
      </c>
    </row>
    <row r="294" spans="1:1">
      <c r="A294" t="inlineStr">
        <is>
          <t>Tiempo</t>
        </is>
      </c>
    </row>
    <row r="295" spans="1:1">
      <c r="A295" t="inlineStr">
        <is>
          <t>Tubtuba</t>
        </is>
      </c>
    </row>
    <row r="296" spans="1:1">
      <c r="A296" t="inlineStr">
        <is>
          <t>Wayangan</t>
        </is>
      </c>
    </row>
    <row r="297" spans="1:1">
      <c r="A297" t="inlineStr">
        <is>
          <t>Ap-apaya</t>
        </is>
      </c>
    </row>
    <row r="298" spans="1:1">
      <c r="A298" t="inlineStr">
        <is>
          <t>Bol-lilising</t>
        </is>
      </c>
    </row>
    <row r="299" spans="1:1">
      <c r="A299" t="inlineStr">
        <is>
          <t>Cal-lao</t>
        </is>
      </c>
    </row>
    <row r="300" spans="1:1">
      <c r="A300" t="inlineStr">
        <is>
          <t>Lap-lapog</t>
        </is>
      </c>
    </row>
    <row r="301" spans="1:1">
      <c r="A301" t="inlineStr">
        <is>
          <t>Lumaba</t>
        </is>
      </c>
    </row>
    <row r="302" spans="1:1">
      <c r="A302" t="inlineStr">
        <is>
          <t>Poblacion</t>
        </is>
      </c>
    </row>
    <row r="303" spans="1:1">
      <c r="A303" t="inlineStr">
        <is>
          <t>Tamac</t>
        </is>
      </c>
    </row>
    <row r="304" spans="1:1">
      <c r="A304" t="inlineStr">
        <is>
          <t>Tuquib</t>
        </is>
      </c>
    </row>
    <row r="305" spans="1:1">
      <c r="A305" t="inlineStr">
        <is>
          <t>Abilan</t>
        </is>
      </c>
    </row>
    <row r="306" spans="1:1">
      <c r="A306" t="inlineStr">
        <is>
          <t>Agong-ong</t>
        </is>
      </c>
    </row>
    <row r="307" spans="1:1">
      <c r="A307" t="inlineStr">
        <is>
          <t>Alubijid</t>
        </is>
      </c>
    </row>
    <row r="308" spans="1:1">
      <c r="A308" t="inlineStr">
        <is>
          <t>Guinabsan</t>
        </is>
      </c>
    </row>
    <row r="309" spans="1:1">
      <c r="A309" t="inlineStr">
        <is>
          <t>Lower Olave</t>
        </is>
      </c>
    </row>
    <row r="310" spans="1:1">
      <c r="A310" t="inlineStr">
        <is>
          <t>Macalang</t>
        </is>
      </c>
    </row>
    <row r="311" spans="1:1">
      <c r="A311" t="inlineStr">
        <is>
          <t>Malapong</t>
        </is>
      </c>
    </row>
    <row r="312" spans="1:1">
      <c r="A312" t="inlineStr">
        <is>
          <t>Malpoc</t>
        </is>
      </c>
    </row>
    <row r="313" spans="1:1">
      <c r="A313" t="inlineStr">
        <is>
          <t>Manapa</t>
        </is>
      </c>
    </row>
    <row r="314" spans="1:1">
      <c r="A314" t="inlineStr">
        <is>
          <t>Matabao</t>
        </is>
      </c>
    </row>
    <row r="315" spans="1:1">
      <c r="A315" t="inlineStr">
        <is>
          <t>Poblacion 1</t>
        </is>
      </c>
    </row>
    <row r="316" spans="1:1">
      <c r="A316" t="inlineStr">
        <is>
          <t>Poblacion 10</t>
        </is>
      </c>
    </row>
    <row r="317" spans="1:1">
      <c r="A317" t="inlineStr">
        <is>
          <t>Poblacion 2</t>
        </is>
      </c>
    </row>
    <row r="318" spans="1:1">
      <c r="A318" t="inlineStr">
        <is>
          <t>Poblacion 3</t>
        </is>
      </c>
    </row>
    <row r="319" spans="1:1">
      <c r="A319" t="inlineStr">
        <is>
          <t>Poblacion 4</t>
        </is>
      </c>
    </row>
    <row r="320" spans="1:1">
      <c r="A320" t="inlineStr">
        <is>
          <t>Poblacion 5</t>
        </is>
      </c>
    </row>
    <row r="321" spans="1:1">
      <c r="A321" t="inlineStr">
        <is>
          <t>Poblacion 6</t>
        </is>
      </c>
    </row>
    <row r="322" spans="1:1">
      <c r="A322" t="inlineStr">
        <is>
          <t>Poblacion 7</t>
        </is>
      </c>
    </row>
    <row r="323" spans="1:1">
      <c r="A323" t="inlineStr">
        <is>
          <t>Poblacion 8</t>
        </is>
      </c>
    </row>
    <row r="324" spans="1:1">
      <c r="A324" t="inlineStr">
        <is>
          <t>Poblacion 9</t>
        </is>
      </c>
    </row>
    <row r="325" spans="1:1">
      <c r="A325" t="inlineStr">
        <is>
          <t>Rizal</t>
        </is>
      </c>
    </row>
    <row r="326" spans="1:1">
      <c r="A326" t="inlineStr">
        <is>
          <t>Sacol</t>
        </is>
      </c>
    </row>
    <row r="327" spans="1:1">
      <c r="A327" t="inlineStr">
        <is>
          <t>Sangay</t>
        </is>
      </c>
    </row>
    <row r="328" spans="1:1">
      <c r="A328" t="inlineStr">
        <is>
          <t>Simbalan</t>
        </is>
      </c>
    </row>
    <row r="329" spans="1:1">
      <c r="A329" t="inlineStr">
        <is>
          <t>Talo-ao</t>
        </is>
      </c>
    </row>
    <row r="330" spans="1:1">
      <c r="A330" t="inlineStr">
        <is>
          <t>Cahayagan</t>
        </is>
      </c>
    </row>
    <row r="331" spans="1:1">
      <c r="A331" t="inlineStr">
        <is>
          <t>Gosoon</t>
        </is>
      </c>
    </row>
    <row r="332" spans="1:1">
      <c r="A332" t="inlineStr">
        <is>
          <t>Manoligao</t>
        </is>
      </c>
    </row>
    <row r="333" spans="1:1">
      <c r="A333" t="inlineStr">
        <is>
          <t>Poblacion</t>
        </is>
      </c>
    </row>
    <row r="334" spans="1:1">
      <c r="A334" t="inlineStr">
        <is>
          <t>Rojales</t>
        </is>
      </c>
    </row>
    <row r="335" spans="1:1">
      <c r="A335" t="inlineStr">
        <is>
          <t>San Agustin</t>
        </is>
      </c>
    </row>
    <row r="336" spans="1:1">
      <c r="A336" t="inlineStr">
        <is>
          <t>Tagcatong</t>
        </is>
      </c>
    </row>
    <row r="337" spans="1:1">
      <c r="A337" t="inlineStr">
        <is>
          <t>Vinapor</t>
        </is>
      </c>
    </row>
    <row r="338" spans="1:1">
      <c r="A338" t="inlineStr">
        <is>
          <t>Antonio Luna</t>
        </is>
      </c>
    </row>
    <row r="339" spans="1:1">
      <c r="A339" t="inlineStr">
        <is>
          <t>Bay-ang</t>
        </is>
      </c>
    </row>
    <row r="340" spans="1:1">
      <c r="A340" t="inlineStr">
        <is>
          <t>Bayabas</t>
        </is>
      </c>
    </row>
    <row r="341" spans="1:1">
      <c r="A341" t="inlineStr">
        <is>
          <t>Caasinan</t>
        </is>
      </c>
    </row>
    <row r="342" spans="1:1">
      <c r="A342" t="inlineStr">
        <is>
          <t>Cabinet</t>
        </is>
      </c>
    </row>
    <row r="343" spans="1:1">
      <c r="A343" t="inlineStr">
        <is>
          <t>Calamba</t>
        </is>
      </c>
    </row>
    <row r="344" spans="1:1">
      <c r="A344" t="inlineStr">
        <is>
          <t>Calibunan</t>
        </is>
      </c>
    </row>
    <row r="345" spans="1:1">
      <c r="A345" t="inlineStr">
        <is>
          <t>Comagascas</t>
        </is>
      </c>
    </row>
    <row r="346" spans="1:1">
      <c r="A346" t="inlineStr">
        <is>
          <t>Concepcion</t>
        </is>
      </c>
    </row>
    <row r="347" spans="1:1">
      <c r="A347" t="inlineStr">
        <is>
          <t>Del Pilar</t>
        </is>
      </c>
    </row>
    <row r="348" spans="1:1">
      <c r="A348" t="inlineStr">
        <is>
          <t>Katugasan</t>
        </is>
      </c>
    </row>
    <row r="349" spans="1:1">
      <c r="A349" t="inlineStr">
        <is>
          <t>Kauswagan</t>
        </is>
      </c>
    </row>
    <row r="350" spans="1:1">
      <c r="A350" t="inlineStr">
        <is>
          <t>La Union</t>
        </is>
      </c>
    </row>
    <row r="351" spans="1:1">
      <c r="A351" t="inlineStr">
        <is>
          <t>Mabini</t>
        </is>
      </c>
    </row>
    <row r="352" spans="1:1">
      <c r="A352" t="inlineStr">
        <is>
          <t>Mahaba</t>
        </is>
      </c>
    </row>
    <row r="353" spans="1:1">
      <c r="A353" t="inlineStr">
        <is>
          <t>Poblacion 1</t>
        </is>
      </c>
    </row>
    <row r="354" spans="1:1">
      <c r="A354" t="inlineStr">
        <is>
          <t>Poblacion 10</t>
        </is>
      </c>
    </row>
    <row r="355" spans="1:1">
      <c r="A355" t="inlineStr">
        <is>
          <t>Poblacion 11</t>
        </is>
      </c>
    </row>
    <row r="356" spans="1:1">
      <c r="A356" t="inlineStr">
        <is>
          <t>Poblacion 12</t>
        </is>
      </c>
    </row>
    <row r="357" spans="1:1">
      <c r="A357" t="inlineStr">
        <is>
          <t>Poblacion 2</t>
        </is>
      </c>
    </row>
    <row r="358" spans="1:1">
      <c r="A358" t="inlineStr">
        <is>
          <t>Poblacion 3</t>
        </is>
      </c>
    </row>
    <row r="359" spans="1:1">
      <c r="A359" t="inlineStr">
        <is>
          <t>Poblacion 4</t>
        </is>
      </c>
    </row>
    <row r="360" spans="1:1">
      <c r="A360" t="inlineStr">
        <is>
          <t>Poblacion 5</t>
        </is>
      </c>
    </row>
    <row r="361" spans="1:1">
      <c r="A361" t="inlineStr">
        <is>
          <t>Poblacion 6</t>
        </is>
      </c>
    </row>
    <row r="362" spans="1:1">
      <c r="A362" t="inlineStr">
        <is>
          <t>Poblacion 7</t>
        </is>
      </c>
    </row>
    <row r="363" spans="1:1">
      <c r="A363" t="inlineStr">
        <is>
          <t>Poblacion 8</t>
        </is>
      </c>
    </row>
    <row r="364" spans="1:1">
      <c r="A364" t="inlineStr">
        <is>
          <t>Poblacion 9</t>
        </is>
      </c>
    </row>
    <row r="365" spans="1:1">
      <c r="A365" t="inlineStr">
        <is>
          <t>Puting Bato</t>
        </is>
      </c>
    </row>
    <row r="366" spans="1:1">
      <c r="A366" t="inlineStr">
        <is>
          <t>Sanghan</t>
        </is>
      </c>
    </row>
    <row r="367" spans="1:1">
      <c r="A367" t="inlineStr">
        <is>
          <t>Soriano</t>
        </is>
      </c>
    </row>
    <row r="368" spans="1:1">
      <c r="A368" t="inlineStr">
        <is>
          <t>Tolosa</t>
        </is>
      </c>
    </row>
    <row r="369" spans="1:1">
      <c r="A369" t="inlineStr">
        <is>
          <t>A. Beltran</t>
        </is>
      </c>
    </row>
    <row r="370" spans="1:1">
      <c r="A370" t="inlineStr">
        <is>
          <t>Baleguian</t>
        </is>
      </c>
    </row>
    <row r="371" spans="1:1">
      <c r="A371" t="inlineStr">
        <is>
          <t>Bangonay</t>
        </is>
      </c>
    </row>
    <row r="372" spans="1:1">
      <c r="A372" t="inlineStr">
        <is>
          <t>Bunga</t>
        </is>
      </c>
    </row>
    <row r="373" spans="1:1">
      <c r="A373" t="inlineStr">
        <is>
          <t>Colorado</t>
        </is>
      </c>
    </row>
    <row r="374" spans="1:1">
      <c r="A374" t="inlineStr">
        <is>
          <t>Cuyago</t>
        </is>
      </c>
    </row>
    <row r="375" spans="1:1">
      <c r="A375" t="inlineStr">
        <is>
          <t>Libas</t>
        </is>
      </c>
    </row>
    <row r="376" spans="1:1">
      <c r="A376" t="inlineStr">
        <is>
          <t>Magdagooc</t>
        </is>
      </c>
    </row>
    <row r="377" spans="1:1">
      <c r="A377" t="inlineStr">
        <is>
          <t>Magsaysay</t>
        </is>
      </c>
    </row>
    <row r="378" spans="1:1">
      <c r="A378" t="inlineStr">
        <is>
          <t>Maraiging</t>
        </is>
      </c>
    </row>
    <row r="379" spans="1:1">
      <c r="A379" t="inlineStr">
        <is>
          <t>Poblacion</t>
        </is>
      </c>
    </row>
    <row r="380" spans="1:1">
      <c r="A380" t="inlineStr">
        <is>
          <t>San Jose</t>
        </is>
      </c>
    </row>
    <row r="381" spans="1:1">
      <c r="A381" t="inlineStr">
        <is>
          <t>San Pablo</t>
        </is>
      </c>
    </row>
    <row r="382" spans="1:1">
      <c r="A382" t="inlineStr">
        <is>
          <t>San Vicente</t>
        </is>
      </c>
    </row>
    <row r="383" spans="1:1">
      <c r="A383" t="inlineStr">
        <is>
          <t>Santo Niño</t>
        </is>
      </c>
    </row>
    <row r="384" spans="1:1">
      <c r="A384" t="inlineStr">
        <is>
          <t>Bangayan</t>
        </is>
      </c>
    </row>
    <row r="385" spans="1:1">
      <c r="A385" t="inlineStr">
        <is>
          <t>Canaway</t>
        </is>
      </c>
    </row>
    <row r="386" spans="1:1">
      <c r="A386" t="inlineStr">
        <is>
          <t>Crossing</t>
        </is>
      </c>
    </row>
    <row r="387" spans="1:1">
      <c r="A387" t="inlineStr">
        <is>
          <t>Hinimbangan</t>
        </is>
      </c>
    </row>
    <row r="388" spans="1:1">
      <c r="A388" t="inlineStr">
        <is>
          <t>Jaliobong</t>
        </is>
      </c>
    </row>
    <row r="389" spans="1:1">
      <c r="A389" t="inlineStr">
        <is>
          <t>Mahayahay</t>
        </is>
      </c>
    </row>
    <row r="390" spans="1:1">
      <c r="A390" t="inlineStr">
        <is>
          <t>Poblacion</t>
        </is>
      </c>
    </row>
    <row r="391" spans="1:1">
      <c r="A391" t="inlineStr">
        <is>
          <t>San Isidro</t>
        </is>
      </c>
    </row>
    <row r="392" spans="1:1">
      <c r="A392" t="inlineStr">
        <is>
          <t>San Roque</t>
        </is>
      </c>
    </row>
    <row r="393" spans="1:1">
      <c r="A393" t="inlineStr">
        <is>
          <t>Sangay</t>
        </is>
      </c>
    </row>
    <row r="394" spans="1:1">
      <c r="A394" t="inlineStr">
        <is>
          <t>Songkoy</t>
        </is>
      </c>
    </row>
    <row r="395" spans="1:1">
      <c r="A395" t="inlineStr">
        <is>
          <t>Ambacon</t>
        </is>
      </c>
    </row>
    <row r="396" spans="1:1">
      <c r="A396" t="inlineStr">
        <is>
          <t>Balungagan</t>
        </is>
      </c>
    </row>
    <row r="397" spans="1:1">
      <c r="A397" t="inlineStr">
        <is>
          <t>Bonifacio</t>
        </is>
      </c>
    </row>
    <row r="398" spans="1:1">
      <c r="A398" t="inlineStr">
        <is>
          <t>Casiklan</t>
        </is>
      </c>
    </row>
    <row r="399" spans="1:1">
      <c r="A399" t="inlineStr">
        <is>
          <t>Consorcia</t>
        </is>
      </c>
    </row>
    <row r="400" spans="1:1">
      <c r="A400" t="inlineStr">
        <is>
          <t>Durian</t>
        </is>
      </c>
    </row>
    <row r="401" spans="1:1">
      <c r="A401" t="inlineStr">
        <is>
          <t>Eduardo G. Montilla</t>
        </is>
      </c>
    </row>
    <row r="402" spans="1:1">
      <c r="A402" t="inlineStr">
        <is>
          <t>Ibuan</t>
        </is>
      </c>
    </row>
    <row r="403" spans="1:1">
      <c r="A403" t="inlineStr">
        <is>
          <t>Katipunan</t>
        </is>
      </c>
    </row>
    <row r="404" spans="1:1">
      <c r="A404" t="inlineStr">
        <is>
          <t>Lingayao</t>
        </is>
      </c>
    </row>
    <row r="405" spans="1:1">
      <c r="A405" t="inlineStr">
        <is>
          <t>Malicato</t>
        </is>
      </c>
    </row>
    <row r="406" spans="1:1">
      <c r="A406" t="inlineStr">
        <is>
          <t>Maningalao</t>
        </is>
      </c>
    </row>
    <row r="407" spans="1:1">
      <c r="A407" t="inlineStr">
        <is>
          <t>Marcos Calo</t>
        </is>
      </c>
    </row>
    <row r="408" spans="1:1">
      <c r="A408" t="inlineStr">
        <is>
          <t>Mat-i</t>
        </is>
      </c>
    </row>
    <row r="409" spans="1:1">
      <c r="A409" t="inlineStr">
        <is>
          <t>Pinana-an</t>
        </is>
      </c>
    </row>
    <row r="410" spans="1:1">
      <c r="A410" t="inlineStr">
        <is>
          <t>Poblacion</t>
        </is>
      </c>
    </row>
    <row r="411" spans="1:1">
      <c r="A411" t="inlineStr">
        <is>
          <t>Rosario</t>
        </is>
      </c>
    </row>
    <row r="412" spans="1:1">
      <c r="A412" t="inlineStr">
        <is>
          <t>San Isidro</t>
        </is>
      </c>
    </row>
    <row r="413" spans="1:1">
      <c r="A413" t="inlineStr">
        <is>
          <t>San Roque</t>
        </is>
      </c>
    </row>
    <row r="414" spans="1:1">
      <c r="A414" t="inlineStr">
        <is>
          <t>Tinucoran</t>
        </is>
      </c>
    </row>
    <row r="415" spans="1:1">
      <c r="A415" t="inlineStr">
        <is>
          <t>Buhang</t>
        </is>
      </c>
    </row>
    <row r="416" spans="1:1">
      <c r="A416" t="inlineStr">
        <is>
          <t>Caloc-an</t>
        </is>
      </c>
    </row>
    <row r="417" spans="1:1">
      <c r="A417" t="inlineStr">
        <is>
          <t>Guiasan</t>
        </is>
      </c>
    </row>
    <row r="418" spans="1:1">
      <c r="A418" t="inlineStr">
        <is>
          <t>Marcos</t>
        </is>
      </c>
    </row>
    <row r="419" spans="1:1">
      <c r="A419" t="inlineStr">
        <is>
          <t>Poblacion</t>
        </is>
      </c>
    </row>
    <row r="420" spans="1:1">
      <c r="A420" t="inlineStr">
        <is>
          <t>Sto. Niño</t>
        </is>
      </c>
    </row>
    <row r="421" spans="1:1">
      <c r="A421" t="inlineStr">
        <is>
          <t>Sto. Rosario</t>
        </is>
      </c>
    </row>
    <row r="422" spans="1:1">
      <c r="A422" t="inlineStr">
        <is>
          <t>Taod-oy</t>
        </is>
      </c>
    </row>
    <row r="423" spans="1:1">
      <c r="A423" t="inlineStr">
        <is>
          <t>Aclan</t>
        </is>
      </c>
    </row>
    <row r="424" spans="1:1">
      <c r="A424" t="inlineStr">
        <is>
          <t>Amontay</t>
        </is>
      </c>
    </row>
    <row r="425" spans="1:1">
      <c r="A425" t="inlineStr">
        <is>
          <t>Ata-atahon</t>
        </is>
      </c>
    </row>
    <row r="426" spans="1:1">
      <c r="A426" t="inlineStr">
        <is>
          <t>Barangay 1</t>
        </is>
      </c>
    </row>
    <row r="427" spans="1:1">
      <c r="A427" t="inlineStr">
        <is>
          <t>Barangay 2</t>
        </is>
      </c>
    </row>
    <row r="428" spans="1:1">
      <c r="A428" t="inlineStr">
        <is>
          <t>Barangay 3</t>
        </is>
      </c>
    </row>
    <row r="429" spans="1:1">
      <c r="A429" t="inlineStr">
        <is>
          <t>Barangay 4</t>
        </is>
      </c>
    </row>
    <row r="430" spans="1:1">
      <c r="A430" t="inlineStr">
        <is>
          <t>Barangay 5</t>
        </is>
      </c>
    </row>
    <row r="431" spans="1:1">
      <c r="A431" t="inlineStr">
        <is>
          <t>Barangay 6</t>
        </is>
      </c>
    </row>
    <row r="432" spans="1:1">
      <c r="A432" t="inlineStr">
        <is>
          <t>Barangay 7</t>
        </is>
      </c>
    </row>
    <row r="433" spans="1:1">
      <c r="A433" t="inlineStr">
        <is>
          <t>Camagong</t>
        </is>
      </c>
    </row>
    <row r="434" spans="1:1">
      <c r="A434" t="inlineStr">
        <is>
          <t>Cubi-cubi</t>
        </is>
      </c>
    </row>
    <row r="435" spans="1:1">
      <c r="A435" t="inlineStr">
        <is>
          <t>Culit</t>
        </is>
      </c>
    </row>
    <row r="436" spans="1:1">
      <c r="A436" t="inlineStr">
        <is>
          <t>Jaguimitan</t>
        </is>
      </c>
    </row>
    <row r="437" spans="1:1">
      <c r="A437" t="inlineStr">
        <is>
          <t>Kinabjangan</t>
        </is>
      </c>
    </row>
    <row r="438" spans="1:1">
      <c r="A438" t="inlineStr">
        <is>
          <t>Punta</t>
        </is>
      </c>
    </row>
    <row r="439" spans="1:1">
      <c r="A439" t="inlineStr">
        <is>
          <t>Santa Ana</t>
        </is>
      </c>
    </row>
    <row r="440" spans="1:1">
      <c r="A440" t="inlineStr">
        <is>
          <t>Talisay</t>
        </is>
      </c>
    </row>
    <row r="441" spans="1:1">
      <c r="A441" t="inlineStr">
        <is>
          <t>Triangulo</t>
        </is>
      </c>
    </row>
    <row r="442" spans="1:1">
      <c r="A442" t="inlineStr">
        <is>
          <t>Balangbalang</t>
        </is>
      </c>
    </row>
    <row r="443" spans="1:1">
      <c r="A443" t="inlineStr">
        <is>
          <t>Basilisa</t>
        </is>
      </c>
    </row>
    <row r="444" spans="1:1">
      <c r="A444" t="inlineStr">
        <is>
          <t>Humilog</t>
        </is>
      </c>
    </row>
    <row r="445" spans="1:1">
      <c r="A445" t="inlineStr">
        <is>
          <t>Panaytayon</t>
        </is>
      </c>
    </row>
    <row r="446" spans="1:1">
      <c r="A446" t="inlineStr">
        <is>
          <t>Poblacion I</t>
        </is>
      </c>
    </row>
    <row r="447" spans="1:1">
      <c r="A447" t="inlineStr">
        <is>
          <t>Poblacion II</t>
        </is>
      </c>
    </row>
    <row r="448" spans="1:1">
      <c r="A448" t="inlineStr">
        <is>
          <t>San Antonio</t>
        </is>
      </c>
    </row>
    <row r="449" spans="1:1">
      <c r="A449" t="inlineStr">
        <is>
          <t>Tagbongabong</t>
        </is>
      </c>
    </row>
    <row r="450" spans="1:1">
      <c r="A450" t="inlineStr">
        <is>
          <t>Curva</t>
        </is>
      </c>
    </row>
    <row r="451" spans="1:1">
      <c r="A451" t="inlineStr">
        <is>
          <t>Estanislao Morgado</t>
        </is>
      </c>
    </row>
    <row r="452" spans="1:1">
      <c r="A452" t="inlineStr">
        <is>
          <t>Jagupit</t>
        </is>
      </c>
    </row>
    <row r="453" spans="1:1">
      <c r="A453" t="inlineStr">
        <is>
          <t>La Paz</t>
        </is>
      </c>
    </row>
    <row r="454" spans="1:1">
      <c r="A454" t="inlineStr">
        <is>
          <t>Pangaylan-IP</t>
        </is>
      </c>
    </row>
    <row r="455" spans="1:1">
      <c r="A455" t="inlineStr">
        <is>
          <t>Poblacion I</t>
        </is>
      </c>
    </row>
    <row r="456" spans="1:1">
      <c r="A456" t="inlineStr">
        <is>
          <t>Poblacion II</t>
        </is>
      </c>
    </row>
    <row r="457" spans="1:1">
      <c r="A457" t="inlineStr">
        <is>
          <t>San Isidro</t>
        </is>
      </c>
    </row>
    <row r="458" spans="1:1">
      <c r="A458" t="inlineStr">
        <is>
          <t>Tagbuyacan</t>
        </is>
      </c>
    </row>
    <row r="459" spans="1:1">
      <c r="A459" t="inlineStr">
        <is>
          <t>Binuangan</t>
        </is>
      </c>
    </row>
    <row r="460" spans="1:1">
      <c r="A460" t="inlineStr">
        <is>
          <t>Cabayawa</t>
        </is>
      </c>
    </row>
    <row r="461" spans="1:1">
      <c r="A461" t="inlineStr">
        <is>
          <t>Doña Rosario</t>
        </is>
      </c>
    </row>
    <row r="462" spans="1:1">
      <c r="A462" t="inlineStr">
        <is>
          <t>Doña Telesfora</t>
        </is>
      </c>
    </row>
    <row r="463" spans="1:1">
      <c r="A463" t="inlineStr">
        <is>
          <t>La Fraternidad</t>
        </is>
      </c>
    </row>
    <row r="464" spans="1:1">
      <c r="A464" t="inlineStr">
        <is>
          <t>Lawigan</t>
        </is>
      </c>
    </row>
    <row r="465" spans="1:1">
      <c r="A465" t="inlineStr">
        <is>
          <t>Poblacion 1</t>
        </is>
      </c>
    </row>
    <row r="466" spans="1:1">
      <c r="A466" t="inlineStr">
        <is>
          <t>Poblacion 2</t>
        </is>
      </c>
    </row>
    <row r="467" spans="1:1">
      <c r="A467" t="inlineStr">
        <is>
          <t>Santa Ana</t>
        </is>
      </c>
    </row>
    <row r="468" spans="1:1">
      <c r="A468" t="inlineStr">
        <is>
          <t>Tagmamarkay</t>
        </is>
      </c>
    </row>
    <row r="469" spans="1:1">
      <c r="A469" t="inlineStr">
        <is>
          <t>Tagpangahoy</t>
        </is>
      </c>
    </row>
    <row r="470" spans="1:1">
      <c r="A470" t="inlineStr">
        <is>
          <t>Tinigbasan</t>
        </is>
      </c>
    </row>
    <row r="471" spans="1:1">
      <c r="A471" t="inlineStr">
        <is>
          <t>Victory</t>
        </is>
      </c>
    </row>
    <row r="472" spans="1:1">
      <c r="A472" t="inlineStr">
        <is>
          <t>Bunawan Brook</t>
        </is>
      </c>
    </row>
    <row r="473" spans="1:1">
      <c r="A473" t="inlineStr">
        <is>
          <t>Consuelo</t>
        </is>
      </c>
    </row>
    <row r="474" spans="1:1">
      <c r="A474" t="inlineStr">
        <is>
          <t>Imelda</t>
        </is>
      </c>
    </row>
    <row r="475" spans="1:1">
      <c r="A475" t="inlineStr">
        <is>
          <t>Libertad</t>
        </is>
      </c>
    </row>
    <row r="476" spans="1:1">
      <c r="A476" t="inlineStr">
        <is>
          <t>Mambalili</t>
        </is>
      </c>
    </row>
    <row r="477" spans="1:1">
      <c r="A477" t="inlineStr">
        <is>
          <t>Nueva Era</t>
        </is>
      </c>
    </row>
    <row r="478" spans="1:1">
      <c r="A478" t="inlineStr">
        <is>
          <t>Poblacion</t>
        </is>
      </c>
    </row>
    <row r="479" spans="1:1">
      <c r="A479" t="inlineStr">
        <is>
          <t>San Andres</t>
        </is>
      </c>
    </row>
    <row r="480" spans="1:1">
      <c r="A480" t="inlineStr">
        <is>
          <t>San Marcos</t>
        </is>
      </c>
    </row>
    <row r="481" spans="1:1">
      <c r="A481" t="inlineStr">
        <is>
          <t>San Teodoro</t>
        </is>
      </c>
    </row>
    <row r="482" spans="1:1">
      <c r="A482" t="inlineStr">
        <is>
          <t>Berseba</t>
        </is>
      </c>
    </row>
    <row r="483" spans="1:1">
      <c r="A483" t="inlineStr">
        <is>
          <t>Bucac</t>
        </is>
      </c>
    </row>
    <row r="484" spans="1:1">
      <c r="A484" t="inlineStr">
        <is>
          <t>Cagbas</t>
        </is>
      </c>
    </row>
    <row r="485" spans="1:1">
      <c r="A485" t="inlineStr">
        <is>
          <t>Calaitan</t>
        </is>
      </c>
    </row>
    <row r="486" spans="1:1">
      <c r="A486" t="inlineStr">
        <is>
          <t>Canayugan</t>
        </is>
      </c>
    </row>
    <row r="487" spans="1:1">
      <c r="A487" t="inlineStr">
        <is>
          <t>Charito</t>
        </is>
      </c>
    </row>
    <row r="488" spans="1:1">
      <c r="A488" t="inlineStr">
        <is>
          <t>Claro Cortez</t>
        </is>
      </c>
    </row>
    <row r="489" spans="1:1">
      <c r="A489" t="inlineStr">
        <is>
          <t>Fili</t>
        </is>
      </c>
    </row>
    <row r="490" spans="1:1">
      <c r="A490" t="inlineStr">
        <is>
          <t>Gamao</t>
        </is>
      </c>
    </row>
    <row r="491" spans="1:1">
      <c r="A491" t="inlineStr">
        <is>
          <t>Getsemane</t>
        </is>
      </c>
    </row>
    <row r="492" spans="1:1">
      <c r="A492" t="inlineStr">
        <is>
          <t>Grace Estate</t>
        </is>
      </c>
    </row>
    <row r="493" spans="1:1">
      <c r="A493" t="inlineStr">
        <is>
          <t>Hamogaway</t>
        </is>
      </c>
    </row>
    <row r="494" spans="1:1">
      <c r="A494" t="inlineStr">
        <is>
          <t>Katipunan</t>
        </is>
      </c>
    </row>
    <row r="495" spans="1:1">
      <c r="A495" t="inlineStr">
        <is>
          <t>Mabuhay</t>
        </is>
      </c>
    </row>
    <row r="496" spans="1:1">
      <c r="A496" t="inlineStr">
        <is>
          <t>Magkiangkang</t>
        </is>
      </c>
    </row>
    <row r="497" spans="1:1">
      <c r="A497" t="inlineStr">
        <is>
          <t>Mahayag</t>
        </is>
      </c>
    </row>
    <row r="498" spans="1:1">
      <c r="A498" t="inlineStr">
        <is>
          <t>Marcelina</t>
        </is>
      </c>
    </row>
    <row r="499" spans="1:1">
      <c r="A499" t="inlineStr">
        <is>
          <t>Maygatasan</t>
        </is>
      </c>
    </row>
    <row r="500" spans="1:1">
      <c r="A500" t="inlineStr">
        <is>
          <t>Montivesta</t>
        </is>
      </c>
    </row>
    <row r="501" spans="1:1">
      <c r="A501" t="inlineStr">
        <is>
          <t>Mt. Ararat</t>
        </is>
      </c>
    </row>
    <row r="502" spans="1:1">
      <c r="A502" t="inlineStr">
        <is>
          <t>Mt. Carmel</t>
        </is>
      </c>
    </row>
    <row r="503" spans="1:1">
      <c r="A503" t="inlineStr">
        <is>
          <t>Mt. Olive</t>
        </is>
      </c>
    </row>
    <row r="504" spans="1:1">
      <c r="A504" t="inlineStr">
        <is>
          <t>New Salem</t>
        </is>
      </c>
    </row>
    <row r="505" spans="1:1">
      <c r="A505" t="inlineStr">
        <is>
          <t>Noli</t>
        </is>
      </c>
    </row>
    <row r="506" spans="1:1">
      <c r="A506" t="inlineStr">
        <is>
          <t>Osmeña</t>
        </is>
      </c>
    </row>
    <row r="507" spans="1:1">
      <c r="A507" t="inlineStr">
        <is>
          <t>Panaytay</t>
        </is>
      </c>
    </row>
    <row r="508" spans="1:1">
      <c r="A508" t="inlineStr">
        <is>
          <t>Pinagalaan</t>
        </is>
      </c>
    </row>
    <row r="509" spans="1:1">
      <c r="A509" t="inlineStr">
        <is>
          <t>Poblacion</t>
        </is>
      </c>
    </row>
    <row r="510" spans="1:1">
      <c r="A510" t="inlineStr">
        <is>
          <t>Sagmone</t>
        </is>
      </c>
    </row>
    <row r="511" spans="1:1">
      <c r="A511" t="inlineStr">
        <is>
          <t>Saguma</t>
        </is>
      </c>
    </row>
    <row r="512" spans="1:1">
      <c r="A512" t="inlineStr">
        <is>
          <t>Salvacion</t>
        </is>
      </c>
    </row>
    <row r="513" spans="1:1">
      <c r="A513" t="inlineStr">
        <is>
          <t>San Agustin</t>
        </is>
      </c>
    </row>
    <row r="514" spans="1:1">
      <c r="A514" t="inlineStr">
        <is>
          <t>San Isidro</t>
        </is>
      </c>
    </row>
    <row r="515" spans="1:1">
      <c r="A515" t="inlineStr">
        <is>
          <t>San Juan</t>
        </is>
      </c>
    </row>
    <row r="516" spans="1:1">
      <c r="A516" t="inlineStr">
        <is>
          <t>Santa Irene</t>
        </is>
      </c>
    </row>
    <row r="517" spans="1:1">
      <c r="A517" t="inlineStr">
        <is>
          <t>Santa Teresita</t>
        </is>
      </c>
    </row>
    <row r="518" spans="1:1">
      <c r="A518" t="inlineStr">
        <is>
          <t>Santo Niño</t>
        </is>
      </c>
    </row>
    <row r="519" spans="1:1">
      <c r="A519" t="inlineStr">
        <is>
          <t>Taglatawan</t>
        </is>
      </c>
    </row>
    <row r="520" spans="1:1">
      <c r="A520" t="inlineStr">
        <is>
          <t>Taglibas</t>
        </is>
      </c>
    </row>
    <row r="521" spans="1:1">
      <c r="A521" t="inlineStr">
        <is>
          <t>Tagubay</t>
        </is>
      </c>
    </row>
    <row r="522" spans="1:1">
      <c r="A522" t="inlineStr">
        <is>
          <t>Verdu</t>
        </is>
      </c>
    </row>
    <row r="523" spans="1:1">
      <c r="A523" t="inlineStr">
        <is>
          <t>Villa Undayon</t>
        </is>
      </c>
    </row>
    <row r="524" spans="1:1">
      <c r="A524" t="inlineStr">
        <is>
          <t>Wawa</t>
        </is>
      </c>
    </row>
    <row r="525" spans="1:1">
      <c r="A525" t="inlineStr">
        <is>
          <t>Agsabu</t>
        </is>
      </c>
    </row>
    <row r="526" spans="1:1">
      <c r="A526" t="inlineStr">
        <is>
          <t>Aguinaldo</t>
        </is>
      </c>
    </row>
    <row r="527" spans="1:1">
      <c r="A527" t="inlineStr">
        <is>
          <t>Anolingan</t>
        </is>
      </c>
    </row>
    <row r="528" spans="1:1">
      <c r="A528" t="inlineStr">
        <is>
          <t>Bakingking</t>
        </is>
      </c>
    </row>
    <row r="529" spans="1:1">
      <c r="A529" t="inlineStr">
        <is>
          <t>Balubo</t>
        </is>
      </c>
    </row>
    <row r="530" spans="1:1">
      <c r="A530" t="inlineStr">
        <is>
          <t>Bentahon</t>
        </is>
      </c>
    </row>
    <row r="531" spans="1:1">
      <c r="A531" t="inlineStr">
        <is>
          <t>Bunaguit</t>
        </is>
      </c>
    </row>
    <row r="532" spans="1:1">
      <c r="A532" t="inlineStr">
        <is>
          <t>Catmonon</t>
        </is>
      </c>
    </row>
    <row r="533" spans="1:1">
      <c r="A533" t="inlineStr">
        <is>
          <t>Cebulan</t>
        </is>
      </c>
    </row>
    <row r="534" spans="1:1">
      <c r="A534" t="inlineStr">
        <is>
          <t>Concordia</t>
        </is>
      </c>
    </row>
    <row r="535" spans="1:1">
      <c r="A535" t="inlineStr">
        <is>
          <t>Crossing Luna</t>
        </is>
      </c>
    </row>
    <row r="536" spans="1:1">
      <c r="A536" t="inlineStr">
        <is>
          <t>Cubo</t>
        </is>
      </c>
    </row>
    <row r="537" spans="1:1">
      <c r="A537" t="inlineStr">
        <is>
          <t>Dakutan</t>
        </is>
      </c>
    </row>
    <row r="538" spans="1:1">
      <c r="A538" t="inlineStr">
        <is>
          <t>Duangan</t>
        </is>
      </c>
    </row>
    <row r="539" spans="1:1">
      <c r="A539" t="inlineStr">
        <is>
          <t>Guadalupe</t>
        </is>
      </c>
    </row>
    <row r="540" spans="1:1">
      <c r="A540" t="inlineStr">
        <is>
          <t>Guibonon</t>
        </is>
      </c>
    </row>
    <row r="541" spans="1:1">
      <c r="A541" t="inlineStr">
        <is>
          <t>Hawilian</t>
        </is>
      </c>
    </row>
    <row r="542" spans="1:1">
      <c r="A542" t="inlineStr">
        <is>
          <t>Kalabuan</t>
        </is>
      </c>
    </row>
    <row r="543" spans="1:1">
      <c r="A543" t="inlineStr">
        <is>
          <t>Kinamaybay</t>
        </is>
      </c>
    </row>
    <row r="544" spans="1:1">
      <c r="A544" t="inlineStr">
        <is>
          <t>Labao</t>
        </is>
      </c>
    </row>
    <row r="545" spans="1:1">
      <c r="A545" t="inlineStr">
        <is>
          <t>Langag</t>
        </is>
      </c>
    </row>
    <row r="546" spans="1:1">
      <c r="A546" t="inlineStr">
        <is>
          <t>Maasin</t>
        </is>
      </c>
    </row>
    <row r="547" spans="1:1">
      <c r="A547" t="inlineStr">
        <is>
          <t>Mac-Arthur</t>
        </is>
      </c>
    </row>
    <row r="548" spans="1:1">
      <c r="A548" t="inlineStr">
        <is>
          <t>Mahagcot</t>
        </is>
      </c>
    </row>
    <row r="549" spans="1:1">
      <c r="A549" t="inlineStr">
        <is>
          <t>Maliwanag</t>
        </is>
      </c>
    </row>
    <row r="550" spans="1:1">
      <c r="A550" t="inlineStr">
        <is>
          <t>Milagros</t>
        </is>
      </c>
    </row>
    <row r="551" spans="1:1">
      <c r="A551" t="inlineStr">
        <is>
          <t>Nato</t>
        </is>
      </c>
    </row>
    <row r="552" spans="1:1">
      <c r="A552" t="inlineStr">
        <is>
          <t>New Gingoog</t>
        </is>
      </c>
    </row>
    <row r="553" spans="1:1">
      <c r="A553" t="inlineStr">
        <is>
          <t>Odiong</t>
        </is>
      </c>
    </row>
    <row r="554" spans="1:1">
      <c r="A554" t="inlineStr">
        <is>
          <t>Oro</t>
        </is>
      </c>
    </row>
    <row r="555" spans="1:1">
      <c r="A555" t="inlineStr">
        <is>
          <t>Piglawigan</t>
        </is>
      </c>
    </row>
    <row r="556" spans="1:1">
      <c r="A556" t="inlineStr">
        <is>
          <t>Poblacion</t>
        </is>
      </c>
    </row>
    <row r="557" spans="1:1">
      <c r="A557" t="inlineStr">
        <is>
          <t>Remedios</t>
        </is>
      </c>
    </row>
    <row r="558" spans="1:1">
      <c r="A558" t="inlineStr">
        <is>
          <t>Salug</t>
        </is>
      </c>
    </row>
    <row r="559" spans="1:1">
      <c r="A559" t="inlineStr">
        <is>
          <t>San Isidro</t>
        </is>
      </c>
    </row>
    <row r="560" spans="1:1">
      <c r="A560" t="inlineStr">
        <is>
          <t>San Jose</t>
        </is>
      </c>
    </row>
    <row r="561" spans="1:1">
      <c r="A561" t="inlineStr">
        <is>
          <t>San Toribio</t>
        </is>
      </c>
    </row>
    <row r="562" spans="1:1">
      <c r="A562" t="inlineStr">
        <is>
          <t>San Vicente</t>
        </is>
      </c>
    </row>
    <row r="563" spans="1:1">
      <c r="A563" t="inlineStr">
        <is>
          <t>Santa Fe</t>
        </is>
      </c>
    </row>
    <row r="564" spans="1:1">
      <c r="A564" t="inlineStr">
        <is>
          <t>Segunda</t>
        </is>
      </c>
    </row>
    <row r="565" spans="1:1">
      <c r="A565" t="inlineStr">
        <is>
          <t>Sinakungan</t>
        </is>
      </c>
    </row>
    <row r="566" spans="1:1">
      <c r="A566" t="inlineStr">
        <is>
          <t>Tagabase</t>
        </is>
      </c>
    </row>
    <row r="567" spans="1:1">
      <c r="A567" t="inlineStr">
        <is>
          <t>Taganahaw</t>
        </is>
      </c>
    </row>
    <row r="568" spans="1:1">
      <c r="A568" t="inlineStr">
        <is>
          <t>Tagbalili</t>
        </is>
      </c>
    </row>
    <row r="569" spans="1:1">
      <c r="A569" t="inlineStr">
        <is>
          <t>Tahina</t>
        </is>
      </c>
    </row>
    <row r="570" spans="1:1">
      <c r="A570" t="inlineStr">
        <is>
          <t>Tandang Sora</t>
        </is>
      </c>
    </row>
    <row r="571" spans="1:1">
      <c r="A571" t="inlineStr">
        <is>
          <t>Valentina</t>
        </is>
      </c>
    </row>
    <row r="572" spans="1:1">
      <c r="A572" t="inlineStr">
        <is>
          <t>Angeles</t>
        </is>
      </c>
    </row>
    <row r="573" spans="1:1">
      <c r="A573" t="inlineStr">
        <is>
          <t>Bataan</t>
        </is>
      </c>
    </row>
    <row r="574" spans="1:1">
      <c r="A574" t="inlineStr">
        <is>
          <t>Comota</t>
        </is>
      </c>
    </row>
    <row r="575" spans="1:1">
      <c r="A575" t="inlineStr">
        <is>
          <t>Halapitan</t>
        </is>
      </c>
    </row>
    <row r="576" spans="1:1">
      <c r="A576" t="inlineStr">
        <is>
          <t>Kasapa II</t>
        </is>
      </c>
    </row>
    <row r="577" spans="1:1">
      <c r="A577" t="inlineStr">
        <is>
          <t>Langasian</t>
        </is>
      </c>
    </row>
    <row r="578" spans="1:1">
      <c r="A578" t="inlineStr">
        <is>
          <t>Lydia</t>
        </is>
      </c>
    </row>
    <row r="579" spans="1:1">
      <c r="A579" t="inlineStr">
        <is>
          <t>Osmeña, Sr.</t>
        </is>
      </c>
    </row>
    <row r="580" spans="1:1">
      <c r="A580" t="inlineStr">
        <is>
          <t>Panagangan</t>
        </is>
      </c>
    </row>
    <row r="581" spans="1:1">
      <c r="A581" t="inlineStr">
        <is>
          <t>Poblacion</t>
        </is>
      </c>
    </row>
    <row r="582" spans="1:1">
      <c r="A582" t="inlineStr">
        <is>
          <t>Sabang Adgawan</t>
        </is>
      </c>
    </row>
    <row r="583" spans="1:1">
      <c r="A583" t="inlineStr">
        <is>
          <t>Sagunto</t>
        </is>
      </c>
    </row>
    <row r="584" spans="1:1">
      <c r="A584" t="inlineStr">
        <is>
          <t>San Patricio</t>
        </is>
      </c>
    </row>
    <row r="585" spans="1:1">
      <c r="A585" t="inlineStr">
        <is>
          <t>Valentina</t>
        </is>
      </c>
    </row>
    <row r="586" spans="1:1">
      <c r="A586" t="inlineStr">
        <is>
          <t>Villa Paz</t>
        </is>
      </c>
    </row>
    <row r="587" spans="1:1">
      <c r="A587" t="inlineStr">
        <is>
          <t>Binucayan</t>
        </is>
      </c>
    </row>
    <row r="588" spans="1:1">
      <c r="A588" t="inlineStr">
        <is>
          <t>Johnson</t>
        </is>
      </c>
    </row>
    <row r="589" spans="1:1">
      <c r="A589" t="inlineStr">
        <is>
          <t>Kasapa</t>
        </is>
      </c>
    </row>
    <row r="590" spans="1:1">
      <c r="A590" t="inlineStr">
        <is>
          <t>Katipunan</t>
        </is>
      </c>
    </row>
    <row r="591" spans="1:1">
      <c r="A591" t="inlineStr">
        <is>
          <t>Kauswagan</t>
        </is>
      </c>
    </row>
    <row r="592" spans="1:1">
      <c r="A592" t="inlineStr">
        <is>
          <t>Magaud</t>
        </is>
      </c>
    </row>
    <row r="593" spans="1:1">
      <c r="A593" t="inlineStr">
        <is>
          <t>Nueva Gracia</t>
        </is>
      </c>
    </row>
    <row r="594" spans="1:1">
      <c r="A594" t="inlineStr">
        <is>
          <t>Poblacion</t>
        </is>
      </c>
    </row>
    <row r="595" spans="1:1">
      <c r="A595" t="inlineStr">
        <is>
          <t>Sabud</t>
        </is>
      </c>
    </row>
    <row r="596" spans="1:1">
      <c r="A596" t="inlineStr">
        <is>
          <t>San Isidro</t>
        </is>
      </c>
    </row>
    <row r="597" spans="1:1">
      <c r="A597" t="inlineStr">
        <is>
          <t>San Mariano</t>
        </is>
      </c>
    </row>
    <row r="598" spans="1:1">
      <c r="A598" t="inlineStr">
        <is>
          <t>San Vicente</t>
        </is>
      </c>
    </row>
    <row r="599" spans="1:1">
      <c r="A599" t="inlineStr">
        <is>
          <t>Santa Teresa</t>
        </is>
      </c>
    </row>
    <row r="600" spans="1:1">
      <c r="A600" t="inlineStr">
        <is>
          <t>Santo Niño</t>
        </is>
      </c>
    </row>
    <row r="601" spans="1:1">
      <c r="A601" t="inlineStr">
        <is>
          <t>Santo Tomas</t>
        </is>
      </c>
    </row>
    <row r="602" spans="1:1">
      <c r="A602" t="inlineStr">
        <is>
          <t>Violanta</t>
        </is>
      </c>
    </row>
    <row r="603" spans="1:1">
      <c r="A603" t="inlineStr">
        <is>
          <t>Waloe</t>
        </is>
      </c>
    </row>
    <row r="604" spans="1:1">
      <c r="A604" t="inlineStr">
        <is>
          <t>Aurora</t>
        </is>
      </c>
    </row>
    <row r="605" spans="1:1">
      <c r="A605" t="inlineStr">
        <is>
          <t>Awa</t>
        </is>
      </c>
    </row>
    <row r="606" spans="1:1">
      <c r="A606" t="inlineStr">
        <is>
          <t>Azpetia</t>
        </is>
      </c>
    </row>
    <row r="607" spans="1:1">
      <c r="A607" t="inlineStr">
        <is>
          <t>La Caridad</t>
        </is>
      </c>
    </row>
    <row r="608" spans="1:1">
      <c r="A608" t="inlineStr">
        <is>
          <t>La Perian</t>
        </is>
      </c>
    </row>
    <row r="609" spans="1:1">
      <c r="A609" t="inlineStr">
        <is>
          <t>La Purisima</t>
        </is>
      </c>
    </row>
    <row r="610" spans="1:1">
      <c r="A610" t="inlineStr">
        <is>
          <t>La Suerte</t>
        </is>
      </c>
    </row>
    <row r="611" spans="1:1">
      <c r="A611" t="inlineStr">
        <is>
          <t>La Union</t>
        </is>
      </c>
    </row>
    <row r="612" spans="1:1">
      <c r="A612" t="inlineStr">
        <is>
          <t>Las Navas</t>
        </is>
      </c>
    </row>
    <row r="613" spans="1:1">
      <c r="A613" t="inlineStr">
        <is>
          <t>Libertad</t>
        </is>
      </c>
    </row>
    <row r="614" spans="1:1">
      <c r="A614" t="inlineStr">
        <is>
          <t>Los Arcos</t>
        </is>
      </c>
    </row>
    <row r="615" spans="1:1">
      <c r="A615" t="inlineStr">
        <is>
          <t>Lucena</t>
        </is>
      </c>
    </row>
    <row r="616" spans="1:1">
      <c r="A616" t="inlineStr">
        <is>
          <t>Mabuhay</t>
        </is>
      </c>
    </row>
    <row r="617" spans="1:1">
      <c r="A617" t="inlineStr">
        <is>
          <t>Magsaysay</t>
        </is>
      </c>
    </row>
    <row r="618" spans="1:1">
      <c r="A618" t="inlineStr">
        <is>
          <t>Mapaga</t>
        </is>
      </c>
    </row>
    <row r="619" spans="1:1">
      <c r="A619" t="inlineStr">
        <is>
          <t>Napo</t>
        </is>
      </c>
    </row>
    <row r="620" spans="1:1">
      <c r="A620" t="inlineStr">
        <is>
          <t>New Maug</t>
        </is>
      </c>
    </row>
    <row r="621" spans="1:1">
      <c r="A621" t="inlineStr">
        <is>
          <t>Patin-ay</t>
        </is>
      </c>
    </row>
    <row r="622" spans="1:1">
      <c r="A622" t="inlineStr">
        <is>
          <t>Poblacion</t>
        </is>
      </c>
    </row>
    <row r="623" spans="1:1">
      <c r="A623" t="inlineStr">
        <is>
          <t>Salimbogaon</t>
        </is>
      </c>
    </row>
    <row r="624" spans="1:1">
      <c r="A624" t="inlineStr">
        <is>
          <t>Salvacion</t>
        </is>
      </c>
    </row>
    <row r="625" spans="1:1">
      <c r="A625" t="inlineStr">
        <is>
          <t>San Joaquin</t>
        </is>
      </c>
    </row>
    <row r="626" spans="1:1">
      <c r="A626" t="inlineStr">
        <is>
          <t>San Jose</t>
        </is>
      </c>
    </row>
    <row r="627" spans="1:1">
      <c r="A627" t="inlineStr">
        <is>
          <t>San Lorenzo</t>
        </is>
      </c>
    </row>
    <row r="628" spans="1:1">
      <c r="A628" t="inlineStr">
        <is>
          <t>San Martin</t>
        </is>
      </c>
    </row>
    <row r="629" spans="1:1">
      <c r="A629" t="inlineStr">
        <is>
          <t>San Pedro</t>
        </is>
      </c>
    </row>
    <row r="630" spans="1:1">
      <c r="A630" t="inlineStr">
        <is>
          <t>San Rafael</t>
        </is>
      </c>
    </row>
    <row r="631" spans="1:1">
      <c r="A631" t="inlineStr">
        <is>
          <t>San Roque</t>
        </is>
      </c>
    </row>
    <row r="632" spans="1:1">
      <c r="A632" t="inlineStr">
        <is>
          <t>San Salvador</t>
        </is>
      </c>
    </row>
    <row r="633" spans="1:1">
      <c r="A633" t="inlineStr">
        <is>
          <t>San Vicente</t>
        </is>
      </c>
    </row>
    <row r="634" spans="1:1">
      <c r="A634" t="inlineStr">
        <is>
          <t>Santa Irene</t>
        </is>
      </c>
    </row>
    <row r="635" spans="1:1">
      <c r="A635" t="inlineStr">
        <is>
          <t>Santa Maria</t>
        </is>
      </c>
    </row>
    <row r="636" spans="1:1">
      <c r="A636" t="inlineStr">
        <is>
          <t>Bayugan 3</t>
        </is>
      </c>
    </row>
    <row r="637" spans="1:1">
      <c r="A637" t="inlineStr">
        <is>
          <t>Cabantao</t>
        </is>
      </c>
    </row>
    <row r="638" spans="1:1">
      <c r="A638" t="inlineStr">
        <is>
          <t>Cabawan</t>
        </is>
      </c>
    </row>
    <row r="639" spans="1:1">
      <c r="A639" t="inlineStr">
        <is>
          <t>Libuac</t>
        </is>
      </c>
    </row>
    <row r="640" spans="1:1">
      <c r="A640" t="inlineStr">
        <is>
          <t>Maligaya</t>
        </is>
      </c>
    </row>
    <row r="641" spans="1:1">
      <c r="A641" t="inlineStr">
        <is>
          <t>Marfil</t>
        </is>
      </c>
    </row>
    <row r="642" spans="1:1">
      <c r="A642" t="inlineStr">
        <is>
          <t>Novele</t>
        </is>
      </c>
    </row>
    <row r="643" spans="1:1">
      <c r="A643" t="inlineStr">
        <is>
          <t>Poblacion</t>
        </is>
      </c>
    </row>
    <row r="644" spans="1:1">
      <c r="A644" t="inlineStr">
        <is>
          <t>Santa Cruz</t>
        </is>
      </c>
    </row>
    <row r="645" spans="1:1">
      <c r="A645" t="inlineStr">
        <is>
          <t>Tagbayagan</t>
        </is>
      </c>
    </row>
    <row r="646" spans="1:1">
      <c r="A646" t="inlineStr">
        <is>
          <t>Wasi-an</t>
        </is>
      </c>
    </row>
    <row r="647" spans="1:1">
      <c r="A647" t="inlineStr">
        <is>
          <t>Alegria</t>
        </is>
      </c>
    </row>
    <row r="648" spans="1:1">
      <c r="A648" t="inlineStr">
        <is>
          <t>Barangay 1</t>
        </is>
      </c>
    </row>
    <row r="649" spans="1:1">
      <c r="A649" t="inlineStr">
        <is>
          <t>Barangay 2</t>
        </is>
      </c>
    </row>
    <row r="650" spans="1:1">
      <c r="A650" t="inlineStr">
        <is>
          <t>Barangay 3</t>
        </is>
      </c>
    </row>
    <row r="651" spans="1:1">
      <c r="A651" t="inlineStr">
        <is>
          <t>Barangay 4</t>
        </is>
      </c>
    </row>
    <row r="652" spans="1:1">
      <c r="A652" t="inlineStr">
        <is>
          <t>Barangay 5</t>
        </is>
      </c>
    </row>
    <row r="653" spans="1:1">
      <c r="A653" t="inlineStr">
        <is>
          <t>Bayugan 2</t>
        </is>
      </c>
    </row>
    <row r="654" spans="1:1">
      <c r="A654" t="inlineStr">
        <is>
          <t>Bitan-agan</t>
        </is>
      </c>
    </row>
    <row r="655" spans="1:1">
      <c r="A655" t="inlineStr">
        <is>
          <t>Borbon</t>
        </is>
      </c>
    </row>
    <row r="656" spans="1:1">
      <c r="A656" t="inlineStr">
        <is>
          <t>Buenasuerte</t>
        </is>
      </c>
    </row>
    <row r="657" spans="1:1">
      <c r="A657" t="inlineStr">
        <is>
          <t>Caimpugan</t>
        </is>
      </c>
    </row>
    <row r="658" spans="1:1">
      <c r="A658" t="inlineStr">
        <is>
          <t>Das-agan</t>
        </is>
      </c>
    </row>
    <row r="659" spans="1:1">
      <c r="A659" t="inlineStr">
        <is>
          <t>Ebro</t>
        </is>
      </c>
    </row>
    <row r="660" spans="1:1">
      <c r="A660" t="inlineStr">
        <is>
          <t>Hubang</t>
        </is>
      </c>
    </row>
    <row r="661" spans="1:1">
      <c r="A661" t="inlineStr">
        <is>
          <t>Karaus</t>
        </is>
      </c>
    </row>
    <row r="662" spans="1:1">
      <c r="A662" t="inlineStr">
        <is>
          <t>Ladgadan</t>
        </is>
      </c>
    </row>
    <row r="663" spans="1:1">
      <c r="A663" t="inlineStr">
        <is>
          <t>Lapinigan</t>
        </is>
      </c>
    </row>
    <row r="664" spans="1:1">
      <c r="A664" t="inlineStr">
        <is>
          <t>Lucac</t>
        </is>
      </c>
    </row>
    <row r="665" spans="1:1">
      <c r="A665" t="inlineStr">
        <is>
          <t>Mate</t>
        </is>
      </c>
    </row>
    <row r="666" spans="1:1">
      <c r="A666" t="inlineStr">
        <is>
          <t>New Visayas</t>
        </is>
      </c>
    </row>
    <row r="667" spans="1:1">
      <c r="A667" t="inlineStr">
        <is>
          <t>Ormaca</t>
        </is>
      </c>
    </row>
    <row r="668" spans="1:1">
      <c r="A668" t="inlineStr">
        <is>
          <t>Pasta</t>
        </is>
      </c>
    </row>
    <row r="669" spans="1:1">
      <c r="A669" t="inlineStr">
        <is>
          <t>Pisa-an</t>
        </is>
      </c>
    </row>
    <row r="670" spans="1:1">
      <c r="A670" t="inlineStr">
        <is>
          <t>Rizal</t>
        </is>
      </c>
    </row>
    <row r="671" spans="1:1">
      <c r="A671" t="inlineStr">
        <is>
          <t>San Isidro</t>
        </is>
      </c>
    </row>
    <row r="672" spans="1:1">
      <c r="A672" t="inlineStr">
        <is>
          <t>Santa Ana</t>
        </is>
      </c>
    </row>
    <row r="673" spans="1:1">
      <c r="A673" t="inlineStr">
        <is>
          <t>Tagapua</t>
        </is>
      </c>
    </row>
    <row r="674" spans="1:1">
      <c r="A674" t="inlineStr">
        <is>
          <t>Anislagan</t>
        </is>
      </c>
    </row>
    <row r="675" spans="1:1">
      <c r="A675" t="inlineStr">
        <is>
          <t>Balit</t>
        </is>
      </c>
    </row>
    <row r="676" spans="1:1">
      <c r="A676" t="inlineStr">
        <is>
          <t>Baylo</t>
        </is>
      </c>
    </row>
    <row r="677" spans="1:1">
      <c r="A677" t="inlineStr">
        <is>
          <t>Binicalan</t>
        </is>
      </c>
    </row>
    <row r="678" spans="1:1">
      <c r="A678" t="inlineStr">
        <is>
          <t>Cecilia</t>
        </is>
      </c>
    </row>
    <row r="679" spans="1:1">
      <c r="A679" t="inlineStr">
        <is>
          <t>Coalicion</t>
        </is>
      </c>
    </row>
    <row r="680" spans="1:1">
      <c r="A680" t="inlineStr">
        <is>
          <t>Culi</t>
        </is>
      </c>
    </row>
    <row r="681" spans="1:1">
      <c r="A681" t="inlineStr">
        <is>
          <t>Dimasalang</t>
        </is>
      </c>
    </row>
    <row r="682" spans="1:1">
      <c r="A682" t="inlineStr">
        <is>
          <t>Don Alejandro</t>
        </is>
      </c>
    </row>
    <row r="683" spans="1:1">
      <c r="A683" t="inlineStr">
        <is>
          <t>Don Pedro</t>
        </is>
      </c>
    </row>
    <row r="684" spans="1:1">
      <c r="A684" t="inlineStr">
        <is>
          <t>Doña Flavia</t>
        </is>
      </c>
    </row>
    <row r="685" spans="1:1">
      <c r="A685" t="inlineStr">
        <is>
          <t>Doña Maxima</t>
        </is>
      </c>
    </row>
    <row r="686" spans="1:1">
      <c r="A686" t="inlineStr">
        <is>
          <t>Mahagsay</t>
        </is>
      </c>
    </row>
    <row r="687" spans="1:1">
      <c r="A687" t="inlineStr">
        <is>
          <t>Mahapag</t>
        </is>
      </c>
    </row>
    <row r="688" spans="1:1">
      <c r="A688" t="inlineStr">
        <is>
          <t>Mahayahay</t>
        </is>
      </c>
    </row>
    <row r="689" spans="1:1">
      <c r="A689" t="inlineStr">
        <is>
          <t>Muritula</t>
        </is>
      </c>
    </row>
    <row r="690" spans="1:1">
      <c r="A690" t="inlineStr">
        <is>
          <t>Nuevo Trabajo</t>
        </is>
      </c>
    </row>
    <row r="691" spans="1:1">
      <c r="A691" t="inlineStr">
        <is>
          <t>Poblacion</t>
        </is>
      </c>
    </row>
    <row r="692" spans="1:1">
      <c r="A692" t="inlineStr">
        <is>
          <t>Policarpo</t>
        </is>
      </c>
    </row>
    <row r="693" spans="1:1">
      <c r="A693" t="inlineStr">
        <is>
          <t>San Isidro</t>
        </is>
      </c>
    </row>
    <row r="694" spans="1:1">
      <c r="A694" t="inlineStr">
        <is>
          <t>San Pedro</t>
        </is>
      </c>
    </row>
    <row r="695" spans="1:1">
      <c r="A695" t="inlineStr">
        <is>
          <t>Santa Ines</t>
        </is>
      </c>
    </row>
    <row r="696" spans="1:1">
      <c r="A696" t="inlineStr">
        <is>
          <t>Santa Rita</t>
        </is>
      </c>
    </row>
    <row r="697" spans="1:1">
      <c r="A697" t="inlineStr">
        <is>
          <t>Santiago</t>
        </is>
      </c>
    </row>
    <row r="698" spans="1:1">
      <c r="A698" t="inlineStr">
        <is>
          <t>Wegguam</t>
        </is>
      </c>
    </row>
    <row r="699" spans="1:1">
      <c r="A699" t="inlineStr">
        <is>
          <t>Angas</t>
        </is>
      </c>
    </row>
    <row r="700" spans="1:1">
      <c r="A700" t="inlineStr">
        <is>
          <t>Aurora</t>
        </is>
      </c>
    </row>
    <row r="701" spans="1:1">
      <c r="A701" t="inlineStr">
        <is>
          <t>Awao</t>
        </is>
      </c>
    </row>
    <row r="702" spans="1:1">
      <c r="A702" t="inlineStr">
        <is>
          <t>Concepcion</t>
        </is>
      </c>
    </row>
    <row r="703" spans="1:1">
      <c r="A703" t="inlineStr">
        <is>
          <t>Pag-asa</t>
        </is>
      </c>
    </row>
    <row r="704" spans="1:1">
      <c r="A704" t="inlineStr">
        <is>
          <t>Patrocinio</t>
        </is>
      </c>
    </row>
    <row r="705" spans="1:1">
      <c r="A705" t="inlineStr">
        <is>
          <t>Poblacion</t>
        </is>
      </c>
    </row>
    <row r="706" spans="1:1">
      <c r="A706" t="inlineStr">
        <is>
          <t>San Jose</t>
        </is>
      </c>
    </row>
    <row r="707" spans="1:1">
      <c r="A707" t="inlineStr">
        <is>
          <t>Santa Isabel</t>
        </is>
      </c>
    </row>
    <row r="708" spans="1:1">
      <c r="A708" t="inlineStr">
        <is>
          <t>Sayon</t>
        </is>
      </c>
    </row>
    <row r="709" spans="1:1">
      <c r="A709" t="inlineStr">
        <is>
          <t>Tapaz</t>
        </is>
      </c>
    </row>
    <row r="710" spans="1:1">
      <c r="A710" t="inlineStr">
        <is>
          <t>Afga</t>
        </is>
      </c>
    </row>
    <row r="711" spans="1:1">
      <c r="A711" t="inlineStr">
        <is>
          <t>Anahawan</t>
        </is>
      </c>
    </row>
    <row r="712" spans="1:1">
      <c r="A712" t="inlineStr">
        <is>
          <t>Banagbanag</t>
        </is>
      </c>
    </row>
    <row r="713" spans="1:1">
      <c r="A713" t="inlineStr">
        <is>
          <t>Del Rosario</t>
        </is>
      </c>
    </row>
    <row r="714" spans="1:1">
      <c r="A714" t="inlineStr">
        <is>
          <t>El Rio</t>
        </is>
      </c>
    </row>
    <row r="715" spans="1:1">
      <c r="A715" t="inlineStr">
        <is>
          <t>Ilihan</t>
        </is>
      </c>
    </row>
    <row r="716" spans="1:1">
      <c r="A716" t="inlineStr">
        <is>
          <t>Kauswagan</t>
        </is>
      </c>
    </row>
    <row r="717" spans="1:1">
      <c r="A717" t="inlineStr">
        <is>
          <t>Kioya</t>
        </is>
      </c>
    </row>
    <row r="718" spans="1:1">
      <c r="A718" t="inlineStr">
        <is>
          <t>Kolambugan</t>
        </is>
      </c>
    </row>
    <row r="719" spans="1:1">
      <c r="A719" t="inlineStr">
        <is>
          <t>Magkalape</t>
        </is>
      </c>
    </row>
    <row r="720" spans="1:1">
      <c r="A720" t="inlineStr">
        <is>
          <t>Magsaysay</t>
        </is>
      </c>
    </row>
    <row r="721" spans="1:1">
      <c r="A721" t="inlineStr">
        <is>
          <t>Mahayahay</t>
        </is>
      </c>
    </row>
    <row r="722" spans="1:1">
      <c r="A722" t="inlineStr">
        <is>
          <t>New Tubigon</t>
        </is>
      </c>
    </row>
    <row r="723" spans="1:1">
      <c r="A723" t="inlineStr">
        <is>
          <t>Padiay</t>
        </is>
      </c>
    </row>
    <row r="724" spans="1:1">
      <c r="A724" t="inlineStr">
        <is>
          <t>Perez</t>
        </is>
      </c>
    </row>
    <row r="725" spans="1:1">
      <c r="A725" t="inlineStr">
        <is>
          <t>Poblacion</t>
        </is>
      </c>
    </row>
    <row r="726" spans="1:1">
      <c r="A726" t="inlineStr">
        <is>
          <t>San Isidro</t>
        </is>
      </c>
    </row>
    <row r="727" spans="1:1">
      <c r="A727" t="inlineStr">
        <is>
          <t>San Vicente</t>
        </is>
      </c>
    </row>
    <row r="728" spans="1:1">
      <c r="A728" t="inlineStr">
        <is>
          <t>Santa Cruz</t>
        </is>
      </c>
    </row>
    <row r="729" spans="1:1">
      <c r="A729" t="inlineStr">
        <is>
          <t>Santa Maria</t>
        </is>
      </c>
    </row>
    <row r="730" spans="1:1">
      <c r="A730" t="inlineStr">
        <is>
          <t>Sinai</t>
        </is>
      </c>
    </row>
    <row r="731" spans="1:1">
      <c r="A731" t="inlineStr">
        <is>
          <t>Tabon-tabon</t>
        </is>
      </c>
    </row>
    <row r="732" spans="1:1">
      <c r="A732" t="inlineStr">
        <is>
          <t>Tag-uyango</t>
        </is>
      </c>
    </row>
    <row r="733" spans="1:1">
      <c r="A733" t="inlineStr">
        <is>
          <t>Villangit</t>
        </is>
      </c>
    </row>
    <row r="734" spans="1:1">
      <c r="A734" t="inlineStr">
        <is>
          <t>Batucan</t>
        </is>
      </c>
    </row>
    <row r="735" spans="1:1">
      <c r="A735" t="inlineStr">
        <is>
          <t>BuenaGracia</t>
        </is>
      </c>
    </row>
    <row r="736" spans="1:1">
      <c r="A736" t="inlineStr">
        <is>
          <t>Causwagan</t>
        </is>
      </c>
    </row>
    <row r="737" spans="1:1">
      <c r="A737" t="inlineStr">
        <is>
          <t>Culi</t>
        </is>
      </c>
    </row>
    <row r="738" spans="1:1">
      <c r="A738" t="inlineStr">
        <is>
          <t>Del Monte</t>
        </is>
      </c>
    </row>
    <row r="739" spans="1:1">
      <c r="A739" t="inlineStr">
        <is>
          <t>Desamparados</t>
        </is>
      </c>
    </row>
    <row r="740" spans="1:1">
      <c r="A740" t="inlineStr">
        <is>
          <t>La Flora</t>
        </is>
      </c>
    </row>
    <row r="741" spans="1:1">
      <c r="A741" t="inlineStr">
        <is>
          <t>Labnig</t>
        </is>
      </c>
    </row>
    <row r="742" spans="1:1">
      <c r="A742" t="inlineStr">
        <is>
          <t>Maharlika</t>
        </is>
      </c>
    </row>
    <row r="743" spans="1:1">
      <c r="A743" t="inlineStr">
        <is>
          <t>Marbon</t>
        </is>
      </c>
    </row>
    <row r="744" spans="1:1">
      <c r="A744" t="inlineStr">
        <is>
          <t>Sabang Gibung</t>
        </is>
      </c>
    </row>
    <row r="745" spans="1:1">
      <c r="A745" t="inlineStr">
        <is>
          <t>San Agustin</t>
        </is>
      </c>
    </row>
    <row r="746" spans="1:1">
      <c r="A746" t="inlineStr">
        <is>
          <t>San Isidro</t>
        </is>
      </c>
    </row>
    <row r="747" spans="1:1">
      <c r="A747" t="inlineStr">
        <is>
          <t>San Nicolas</t>
        </is>
      </c>
    </row>
    <row r="748" spans="1:1">
      <c r="A748" t="inlineStr">
        <is>
          <t>Zamora</t>
        </is>
      </c>
    </row>
    <row r="749" spans="1:1">
      <c r="A749" t="inlineStr">
        <is>
          <t>Zillovia</t>
        </is>
      </c>
    </row>
    <row r="750" spans="1:1">
      <c r="A750" t="inlineStr">
        <is>
          <t>Basa</t>
        </is>
      </c>
    </row>
    <row r="751" spans="1:1">
      <c r="A751" t="inlineStr">
        <is>
          <t>Cebolin</t>
        </is>
      </c>
    </row>
    <row r="752" spans="1:1">
      <c r="A752" t="inlineStr">
        <is>
          <t>Cuevas</t>
        </is>
      </c>
    </row>
    <row r="753" spans="1:1">
      <c r="A753" t="inlineStr">
        <is>
          <t>Kapatungan</t>
        </is>
      </c>
    </row>
    <row r="754" spans="1:1">
      <c r="A754" t="inlineStr">
        <is>
          <t>Langkila-an</t>
        </is>
      </c>
    </row>
    <row r="755" spans="1:1">
      <c r="A755" t="inlineStr">
        <is>
          <t>Manat</t>
        </is>
      </c>
    </row>
    <row r="756" spans="1:1">
      <c r="A756" t="inlineStr">
        <is>
          <t>New Visayas</t>
        </is>
      </c>
    </row>
    <row r="757" spans="1:1">
      <c r="A757" t="inlineStr">
        <is>
          <t>Pangyan</t>
        </is>
      </c>
    </row>
    <row r="758" spans="1:1">
      <c r="A758" t="inlineStr">
        <is>
          <t>Poblacion</t>
        </is>
      </c>
    </row>
    <row r="759" spans="1:1">
      <c r="A759" t="inlineStr">
        <is>
          <t>Pulang-lupa</t>
        </is>
      </c>
    </row>
    <row r="760" spans="1:1">
      <c r="A760" t="inlineStr">
        <is>
          <t>Salvacion</t>
        </is>
      </c>
    </row>
    <row r="761" spans="1:1">
      <c r="A761" t="inlineStr">
        <is>
          <t>San Ignacio</t>
        </is>
      </c>
    </row>
    <row r="762" spans="1:1">
      <c r="A762" t="inlineStr">
        <is>
          <t>San Isidro</t>
        </is>
      </c>
    </row>
    <row r="763" spans="1:1">
      <c r="A763" t="inlineStr">
        <is>
          <t>San Roque</t>
        </is>
      </c>
    </row>
    <row r="764" spans="1:1">
      <c r="A764" t="inlineStr">
        <is>
          <t>Santa Maria</t>
        </is>
      </c>
    </row>
    <row r="765" spans="1:1">
      <c r="A765" t="inlineStr">
        <is>
          <t>Tudela</t>
        </is>
      </c>
    </row>
    <row r="766" spans="1:1">
      <c r="A766" t="inlineStr">
        <is>
          <t>Anitap</t>
        </is>
      </c>
    </row>
    <row r="767" spans="1:1">
      <c r="A767" t="inlineStr">
        <is>
          <t>Bacay II</t>
        </is>
      </c>
    </row>
    <row r="768" spans="1:1">
      <c r="A768" t="inlineStr">
        <is>
          <t>Binongan</t>
        </is>
      </c>
    </row>
    <row r="769" spans="1:1">
      <c r="A769" t="inlineStr">
        <is>
          <t>Caigangan</t>
        </is>
      </c>
    </row>
    <row r="770" spans="1:1">
      <c r="A770" t="inlineStr">
        <is>
          <t>Candiis</t>
        </is>
      </c>
    </row>
    <row r="771" spans="1:1">
      <c r="A771" t="inlineStr">
        <is>
          <t>Del Monte</t>
        </is>
      </c>
    </row>
    <row r="772" spans="1:1">
      <c r="A772" t="inlineStr">
        <is>
          <t>Don Mateo</t>
        </is>
      </c>
    </row>
    <row r="773" spans="1:1">
      <c r="A773" t="inlineStr">
        <is>
          <t>Katipunan</t>
        </is>
      </c>
    </row>
    <row r="774" spans="1:1">
      <c r="A774" t="inlineStr">
        <is>
          <t>La Fortuna</t>
        </is>
      </c>
    </row>
    <row r="775" spans="1:1">
      <c r="A775" t="inlineStr">
        <is>
          <t>Limot</t>
        </is>
      </c>
    </row>
    <row r="776" spans="1:1">
      <c r="A776" t="inlineStr">
        <is>
          <t>Magsaysay</t>
        </is>
      </c>
    </row>
    <row r="777" spans="1:1">
      <c r="A777" t="inlineStr">
        <is>
          <t>Masayan</t>
        </is>
      </c>
    </row>
    <row r="778" spans="1:1">
      <c r="A778" t="inlineStr">
        <is>
          <t>Poblacion</t>
        </is>
      </c>
    </row>
    <row r="779" spans="1:1">
      <c r="A779" t="inlineStr">
        <is>
          <t>Sampaguita</t>
        </is>
      </c>
    </row>
    <row r="780" spans="1:1">
      <c r="A780" t="inlineStr">
        <is>
          <t>San Gabriel</t>
        </is>
      </c>
    </row>
    <row r="781" spans="1:1">
      <c r="A781" t="inlineStr">
        <is>
          <t>Santa Cruz</t>
        </is>
      </c>
    </row>
    <row r="782" spans="1:1">
      <c r="A782" t="inlineStr">
        <is>
          <t>Santa Emelia</t>
        </is>
      </c>
    </row>
    <row r="783" spans="1:1">
      <c r="A783" t="inlineStr">
        <is>
          <t>Sawagan</t>
        </is>
      </c>
    </row>
    <row r="784" spans="1:1">
      <c r="A784" t="inlineStr">
        <is>
          <t>Sinobong</t>
        </is>
      </c>
    </row>
    <row r="785" spans="1:1">
      <c r="A785" t="inlineStr">
        <is>
          <t>Sisimon</t>
        </is>
      </c>
    </row>
    <row r="786" spans="1:1">
      <c r="A786" t="inlineStr">
        <is>
          <t>Cabangila</t>
        </is>
      </c>
    </row>
    <row r="787" spans="1:1">
      <c r="A787" t="inlineStr">
        <is>
          <t>Cabugao</t>
        </is>
      </c>
    </row>
    <row r="788" spans="1:1">
      <c r="A788" t="inlineStr">
        <is>
          <t>Catmon</t>
        </is>
      </c>
    </row>
    <row r="789" spans="1:1">
      <c r="A789" t="inlineStr">
        <is>
          <t>Dalipdip</t>
        </is>
      </c>
    </row>
    <row r="790" spans="1:1">
      <c r="A790" t="inlineStr">
        <is>
          <t>Ginictan</t>
        </is>
      </c>
    </row>
    <row r="791" spans="1:1">
      <c r="A791" t="inlineStr">
        <is>
          <t>Linayasan</t>
        </is>
      </c>
    </row>
    <row r="792" spans="1:1">
      <c r="A792" t="inlineStr">
        <is>
          <t>Lumaynay</t>
        </is>
      </c>
    </row>
    <row r="793" spans="1:1">
      <c r="A793" t="inlineStr">
        <is>
          <t>Lupo</t>
        </is>
      </c>
    </row>
    <row r="794" spans="1:1">
      <c r="A794" t="inlineStr">
        <is>
          <t>Man-up</t>
        </is>
      </c>
    </row>
    <row r="795" spans="1:1">
      <c r="A795" t="inlineStr">
        <is>
          <t>Odiong</t>
        </is>
      </c>
    </row>
    <row r="796" spans="1:1">
      <c r="A796" t="inlineStr">
        <is>
          <t>Poblacion</t>
        </is>
      </c>
    </row>
    <row r="797" spans="1:1">
      <c r="A797" t="inlineStr">
        <is>
          <t>Quinasay-an</t>
        </is>
      </c>
    </row>
    <row r="798" spans="1:1">
      <c r="A798" t="inlineStr">
        <is>
          <t>Talon</t>
        </is>
      </c>
    </row>
    <row r="799" spans="1:1">
      <c r="A799" t="inlineStr">
        <is>
          <t>Tibiao</t>
        </is>
      </c>
    </row>
    <row r="800" spans="1:1">
      <c r="A800" t="inlineStr">
        <is>
          <t>Aranas</t>
        </is>
      </c>
    </row>
    <row r="801" spans="1:1">
      <c r="A801" t="inlineStr">
        <is>
          <t>Arcangel</t>
        </is>
      </c>
    </row>
    <row r="802" spans="1:1">
      <c r="A802" t="inlineStr">
        <is>
          <t>Calizo</t>
        </is>
      </c>
    </row>
    <row r="803" spans="1:1">
      <c r="A803" t="inlineStr">
        <is>
          <t>Cortes</t>
        </is>
      </c>
    </row>
    <row r="804" spans="1:1">
      <c r="A804" t="inlineStr">
        <is>
          <t>Feliciano</t>
        </is>
      </c>
    </row>
    <row r="805" spans="1:1">
      <c r="A805" t="inlineStr">
        <is>
          <t>Fulgencio</t>
        </is>
      </c>
    </row>
    <row r="806" spans="1:1">
      <c r="A806" t="inlineStr">
        <is>
          <t>Guanko</t>
        </is>
      </c>
    </row>
    <row r="807" spans="1:1">
      <c r="A807" t="inlineStr">
        <is>
          <t>Morales</t>
        </is>
      </c>
    </row>
    <row r="808" spans="1:1">
      <c r="A808" t="inlineStr">
        <is>
          <t>Oquendo</t>
        </is>
      </c>
    </row>
    <row r="809" spans="1:1">
      <c r="A809" t="inlineStr">
        <is>
          <t>Poblacion</t>
        </is>
      </c>
    </row>
    <row r="810" spans="1:1">
      <c r="A810" t="inlineStr">
        <is>
          <t>Agbanawan</t>
        </is>
      </c>
    </row>
    <row r="811" spans="1:1">
      <c r="A811" t="inlineStr">
        <is>
          <t>Bacan</t>
        </is>
      </c>
    </row>
    <row r="812" spans="1:1">
      <c r="A812" t="inlineStr">
        <is>
          <t>Badiangan</t>
        </is>
      </c>
    </row>
    <row r="813" spans="1:1">
      <c r="A813" t="inlineStr">
        <is>
          <t>Cerrudo</t>
        </is>
      </c>
    </row>
    <row r="814" spans="1:1">
      <c r="A814" t="inlineStr">
        <is>
          <t>Cupang</t>
        </is>
      </c>
    </row>
    <row r="815" spans="1:1">
      <c r="A815" t="inlineStr">
        <is>
          <t>Daguitan</t>
        </is>
      </c>
    </row>
    <row r="816" spans="1:1">
      <c r="A816" t="inlineStr">
        <is>
          <t>Daja Norte</t>
        </is>
      </c>
    </row>
    <row r="817" spans="1:1">
      <c r="A817" t="inlineStr">
        <is>
          <t>Daja Sur</t>
        </is>
      </c>
    </row>
    <row r="818" spans="1:1">
      <c r="A818" t="inlineStr">
        <is>
          <t>Dingle</t>
        </is>
      </c>
    </row>
    <row r="819" spans="1:1">
      <c r="A819" t="inlineStr">
        <is>
          <t>Jumarap</t>
        </is>
      </c>
    </row>
    <row r="820" spans="1:1">
      <c r="A820" t="inlineStr">
        <is>
          <t>Lapnag</t>
        </is>
      </c>
    </row>
    <row r="821" spans="1:1">
      <c r="A821" t="inlineStr">
        <is>
          <t>Libas</t>
        </is>
      </c>
    </row>
    <row r="822" spans="1:1">
      <c r="A822" t="inlineStr">
        <is>
          <t>Linabuan Sur</t>
        </is>
      </c>
    </row>
    <row r="823" spans="1:1">
      <c r="A823" t="inlineStr">
        <is>
          <t>Mambog</t>
        </is>
      </c>
    </row>
    <row r="824" spans="1:1">
      <c r="A824" t="inlineStr">
        <is>
          <t>Mangan</t>
        </is>
      </c>
    </row>
    <row r="825" spans="1:1">
      <c r="A825" t="inlineStr">
        <is>
          <t>Muguing</t>
        </is>
      </c>
    </row>
    <row r="826" spans="1:1">
      <c r="A826" t="inlineStr">
        <is>
          <t>Pagsanghan</t>
        </is>
      </c>
    </row>
    <row r="827" spans="1:1">
      <c r="A827" t="inlineStr">
        <is>
          <t>Palale</t>
        </is>
      </c>
    </row>
    <row r="828" spans="1:1">
      <c r="A828" t="inlineStr">
        <is>
          <t>Poblacion</t>
        </is>
      </c>
    </row>
    <row r="829" spans="1:1">
      <c r="A829" t="inlineStr">
        <is>
          <t>Polo</t>
        </is>
      </c>
    </row>
    <row r="830" spans="1:1">
      <c r="A830" t="inlineStr">
        <is>
          <t>Polocate</t>
        </is>
      </c>
    </row>
    <row r="831" spans="1:1">
      <c r="A831" t="inlineStr">
        <is>
          <t>San Isidro</t>
        </is>
      </c>
    </row>
    <row r="832" spans="1:1">
      <c r="A832" t="inlineStr">
        <is>
          <t>Sibalew</t>
        </is>
      </c>
    </row>
    <row r="833" spans="1:1">
      <c r="A833" t="inlineStr">
        <is>
          <t>Sigcay</t>
        </is>
      </c>
    </row>
    <row r="834" spans="1:1">
      <c r="A834" t="inlineStr">
        <is>
          <t>Taba-ao</t>
        </is>
      </c>
    </row>
    <row r="835" spans="1:1">
      <c r="A835" t="inlineStr">
        <is>
          <t>Tabayon</t>
        </is>
      </c>
    </row>
    <row r="836" spans="1:1">
      <c r="A836" t="inlineStr">
        <is>
          <t>Tinapuay</t>
        </is>
      </c>
    </row>
    <row r="837" spans="1:1">
      <c r="A837" t="inlineStr">
        <is>
          <t>Torralba</t>
        </is>
      </c>
    </row>
    <row r="838" spans="1:1">
      <c r="A838" t="inlineStr">
        <is>
          <t>Ugsod</t>
        </is>
      </c>
    </row>
    <row r="839" spans="1:1">
      <c r="A839" t="inlineStr">
        <is>
          <t>Venturanza</t>
        </is>
      </c>
    </row>
    <row r="840" spans="1:1">
      <c r="A840" t="inlineStr">
        <is>
          <t>Ambolong</t>
        </is>
      </c>
    </row>
    <row r="841" spans="1:1">
      <c r="A841" t="inlineStr">
        <is>
          <t>Angas</t>
        </is>
      </c>
    </row>
    <row r="842" spans="1:1">
      <c r="A842" t="inlineStr">
        <is>
          <t>Bay-ang</t>
        </is>
      </c>
    </row>
    <row r="843" spans="1:1">
      <c r="A843" t="inlineStr">
        <is>
          <t>Cabugao</t>
        </is>
      </c>
    </row>
    <row r="844" spans="1:1">
      <c r="A844" t="inlineStr">
        <is>
          <t>Caiyang</t>
        </is>
      </c>
    </row>
    <row r="845" spans="1:1">
      <c r="A845" t="inlineStr">
        <is>
          <t>Camaligan</t>
        </is>
      </c>
    </row>
    <row r="846" spans="1:1">
      <c r="A846" t="inlineStr">
        <is>
          <t>Camanci</t>
        </is>
      </c>
    </row>
    <row r="847" spans="1:1">
      <c r="A847" t="inlineStr">
        <is>
          <t>Ipil</t>
        </is>
      </c>
    </row>
    <row r="848" spans="1:1">
      <c r="A848" t="inlineStr">
        <is>
          <t>Lalab</t>
        </is>
      </c>
    </row>
    <row r="849" spans="1:1">
      <c r="A849" t="inlineStr">
        <is>
          <t>Lupit</t>
        </is>
      </c>
    </row>
    <row r="850" spans="1:1">
      <c r="A850" t="inlineStr">
        <is>
          <t>Magpag-ong</t>
        </is>
      </c>
    </row>
    <row r="851" spans="1:1">
      <c r="A851" t="inlineStr">
        <is>
          <t>Magubahay</t>
        </is>
      </c>
    </row>
    <row r="852" spans="1:1">
      <c r="A852" t="inlineStr">
        <is>
          <t>Mambuquiao</t>
        </is>
      </c>
    </row>
    <row r="853" spans="1:1">
      <c r="A853" t="inlineStr">
        <is>
          <t>Man-up</t>
        </is>
      </c>
    </row>
    <row r="854" spans="1:1">
      <c r="A854" t="inlineStr">
        <is>
          <t>Mandong</t>
        </is>
      </c>
    </row>
    <row r="855" spans="1:1">
      <c r="A855" t="inlineStr">
        <is>
          <t>Napti</t>
        </is>
      </c>
    </row>
    <row r="856" spans="1:1">
      <c r="A856" t="inlineStr">
        <is>
          <t>Palay</t>
        </is>
      </c>
    </row>
    <row r="857" spans="1:1">
      <c r="A857" t="inlineStr">
        <is>
          <t>Poblacion</t>
        </is>
      </c>
    </row>
    <row r="858" spans="1:1">
      <c r="A858" t="inlineStr">
        <is>
          <t>Songcolan</t>
        </is>
      </c>
    </row>
    <row r="859" spans="1:1">
      <c r="A859" t="inlineStr">
        <is>
          <t>Tabon</t>
        </is>
      </c>
    </row>
    <row r="860" spans="1:1">
      <c r="A860" t="inlineStr">
        <is>
          <t>Alegria</t>
        </is>
      </c>
    </row>
    <row r="861" spans="1:1">
      <c r="A861" t="inlineStr">
        <is>
          <t>Bagongbayan</t>
        </is>
      </c>
    </row>
    <row r="862" spans="1:1">
      <c r="A862" t="inlineStr">
        <is>
          <t>Balusbos</t>
        </is>
      </c>
    </row>
    <row r="863" spans="1:1">
      <c r="A863" t="inlineStr">
        <is>
          <t>Bel-is</t>
        </is>
      </c>
    </row>
    <row r="864" spans="1:1">
      <c r="A864" t="inlineStr">
        <is>
          <t>Cabugan</t>
        </is>
      </c>
    </row>
    <row r="865" spans="1:1">
      <c r="A865" t="inlineStr">
        <is>
          <t>El Progreso</t>
        </is>
      </c>
    </row>
    <row r="866" spans="1:1">
      <c r="A866" t="inlineStr">
        <is>
          <t>Habana</t>
        </is>
      </c>
    </row>
    <row r="867" spans="1:1">
      <c r="A867" t="inlineStr">
        <is>
          <t>Katipunan</t>
        </is>
      </c>
    </row>
    <row r="868" spans="1:1">
      <c r="A868" t="inlineStr">
        <is>
          <t>Mayapay</t>
        </is>
      </c>
    </row>
    <row r="869" spans="1:1">
      <c r="A869" t="inlineStr">
        <is>
          <t>Nazareth</t>
        </is>
      </c>
    </row>
    <row r="870" spans="1:1">
      <c r="A870" t="inlineStr">
        <is>
          <t>Panilongan</t>
        </is>
      </c>
    </row>
    <row r="871" spans="1:1">
      <c r="A871" t="inlineStr">
        <is>
          <t>Poblacion</t>
        </is>
      </c>
    </row>
    <row r="872" spans="1:1">
      <c r="A872" t="inlineStr">
        <is>
          <t>Santander</t>
        </is>
      </c>
    </row>
    <row r="873" spans="1:1">
      <c r="A873" t="inlineStr">
        <is>
          <t>Tag-osip</t>
        </is>
      </c>
    </row>
    <row r="874" spans="1:1">
      <c r="A874" t="inlineStr">
        <is>
          <t>Tigum</t>
        </is>
      </c>
    </row>
    <row r="875" spans="1:1">
      <c r="A875" t="inlineStr">
        <is>
          <t>Agbago</t>
        </is>
      </c>
    </row>
    <row r="876" spans="1:1">
      <c r="A876" t="inlineStr">
        <is>
          <t>Agdugayan</t>
        </is>
      </c>
    </row>
    <row r="877" spans="1:1">
      <c r="A877" t="inlineStr">
        <is>
          <t>Antipolo</t>
        </is>
      </c>
    </row>
    <row r="878" spans="1:1">
      <c r="A878" t="inlineStr">
        <is>
          <t>Aparicio</t>
        </is>
      </c>
    </row>
    <row r="879" spans="1:1">
      <c r="A879" t="inlineStr">
        <is>
          <t>Aquino</t>
        </is>
      </c>
    </row>
    <row r="880" spans="1:1">
      <c r="A880" t="inlineStr">
        <is>
          <t>Aslum</t>
        </is>
      </c>
    </row>
    <row r="881" spans="1:1">
      <c r="A881" t="inlineStr">
        <is>
          <t>Bagacay</t>
        </is>
      </c>
    </row>
    <row r="882" spans="1:1">
      <c r="A882" t="inlineStr">
        <is>
          <t>Batuan</t>
        </is>
      </c>
    </row>
    <row r="883" spans="1:1">
      <c r="A883" t="inlineStr">
        <is>
          <t>Buenavista</t>
        </is>
      </c>
    </row>
    <row r="884" spans="1:1">
      <c r="A884" t="inlineStr">
        <is>
          <t>Bugtongbato</t>
        </is>
      </c>
    </row>
    <row r="885" spans="1:1">
      <c r="A885" t="inlineStr">
        <is>
          <t>Cabugao</t>
        </is>
      </c>
    </row>
    <row r="886" spans="1:1">
      <c r="A886" t="inlineStr">
        <is>
          <t>Capilijan</t>
        </is>
      </c>
    </row>
    <row r="887" spans="1:1">
      <c r="A887" t="inlineStr">
        <is>
          <t>Colongcolong</t>
        </is>
      </c>
    </row>
    <row r="888" spans="1:1">
      <c r="A888" t="inlineStr">
        <is>
          <t>Laguinbanwa</t>
        </is>
      </c>
    </row>
    <row r="889" spans="1:1">
      <c r="A889" t="inlineStr">
        <is>
          <t>Mabusao</t>
        </is>
      </c>
    </row>
    <row r="890" spans="1:1">
      <c r="A890" t="inlineStr">
        <is>
          <t>Malindog</t>
        </is>
      </c>
    </row>
    <row r="891" spans="1:1">
      <c r="A891" t="inlineStr">
        <is>
          <t>Maloco</t>
        </is>
      </c>
    </row>
    <row r="892" spans="1:1">
      <c r="A892" t="inlineStr">
        <is>
          <t>Mina-a</t>
        </is>
      </c>
    </row>
    <row r="893" spans="1:1">
      <c r="A893" t="inlineStr">
        <is>
          <t>Monlaque</t>
        </is>
      </c>
    </row>
    <row r="894" spans="1:1">
      <c r="A894" t="inlineStr">
        <is>
          <t>Naile</t>
        </is>
      </c>
    </row>
    <row r="895" spans="1:1">
      <c r="A895" t="inlineStr">
        <is>
          <t>Naisud</t>
        </is>
      </c>
    </row>
    <row r="896" spans="1:1">
      <c r="A896" t="inlineStr">
        <is>
          <t>Naligusan</t>
        </is>
      </c>
    </row>
    <row r="897" spans="1:1">
      <c r="A897" t="inlineStr">
        <is>
          <t>Ondoy</t>
        </is>
      </c>
    </row>
    <row r="898" spans="1:1">
      <c r="A898" t="inlineStr">
        <is>
          <t>Poblacion</t>
        </is>
      </c>
    </row>
    <row r="899" spans="1:1">
      <c r="A899" t="inlineStr">
        <is>
          <t>Polo</t>
        </is>
      </c>
    </row>
    <row r="900" spans="1:1">
      <c r="A900" t="inlineStr">
        <is>
          <t>Regador</t>
        </is>
      </c>
    </row>
    <row r="901" spans="1:1">
      <c r="A901" t="inlineStr">
        <is>
          <t>Rivera</t>
        </is>
      </c>
    </row>
    <row r="902" spans="1:1">
      <c r="A902" t="inlineStr">
        <is>
          <t>Rizal</t>
        </is>
      </c>
    </row>
    <row r="903" spans="1:1">
      <c r="A903" t="inlineStr">
        <is>
          <t>San Isidro</t>
        </is>
      </c>
    </row>
    <row r="904" spans="1:1">
      <c r="A904" t="inlineStr">
        <is>
          <t>San Jose</t>
        </is>
      </c>
    </row>
    <row r="905" spans="1:1">
      <c r="A905" t="inlineStr">
        <is>
          <t>Sta. Cruz</t>
        </is>
      </c>
    </row>
    <row r="906" spans="1:1">
      <c r="A906" t="inlineStr">
        <is>
          <t>Tagbaya</t>
        </is>
      </c>
    </row>
    <row r="907" spans="1:1">
      <c r="A907" t="inlineStr">
        <is>
          <t>Tul-ang</t>
        </is>
      </c>
    </row>
    <row r="908" spans="1:1">
      <c r="A908" t="inlineStr">
        <is>
          <t>Unat</t>
        </is>
      </c>
    </row>
    <row r="909" spans="1:1">
      <c r="A909" t="inlineStr">
        <is>
          <t>Yawan</t>
        </is>
      </c>
    </row>
    <row r="910" spans="1:1">
      <c r="A910" t="inlineStr">
        <is>
          <t>Andagaw</t>
        </is>
      </c>
    </row>
    <row r="911" spans="1:1">
      <c r="A911" t="inlineStr">
        <is>
          <t>Bachaw Norte</t>
        </is>
      </c>
    </row>
    <row r="912" spans="1:1">
      <c r="A912" t="inlineStr">
        <is>
          <t>Bachaw Sur</t>
        </is>
      </c>
    </row>
    <row r="913" spans="1:1">
      <c r="A913" t="inlineStr">
        <is>
          <t>Briones</t>
        </is>
      </c>
    </row>
    <row r="914" spans="1:1">
      <c r="A914" t="inlineStr">
        <is>
          <t>Buswang New</t>
        </is>
      </c>
    </row>
    <row r="915" spans="1:1">
      <c r="A915" t="inlineStr">
        <is>
          <t>Buswang Old</t>
        </is>
      </c>
    </row>
    <row r="916" spans="1:1">
      <c r="A916" t="inlineStr">
        <is>
          <t>Caano</t>
        </is>
      </c>
    </row>
    <row r="917" spans="1:1">
      <c r="A917" t="inlineStr">
        <is>
          <t>Estancia</t>
        </is>
      </c>
    </row>
    <row r="918" spans="1:1">
      <c r="A918" t="inlineStr">
        <is>
          <t>Linabuan Norte</t>
        </is>
      </c>
    </row>
    <row r="919" spans="1:1">
      <c r="A919" t="inlineStr">
        <is>
          <t>Mabilo</t>
        </is>
      </c>
    </row>
    <row r="920" spans="1:1">
      <c r="A920" t="inlineStr">
        <is>
          <t>Mobo</t>
        </is>
      </c>
    </row>
    <row r="921" spans="1:1">
      <c r="A921" t="inlineStr">
        <is>
          <t>Nalook</t>
        </is>
      </c>
    </row>
    <row r="922" spans="1:1">
      <c r="A922" t="inlineStr">
        <is>
          <t>Poblacion</t>
        </is>
      </c>
    </row>
    <row r="923" spans="1:1">
      <c r="A923" t="inlineStr">
        <is>
          <t>Pook</t>
        </is>
      </c>
    </row>
    <row r="924" spans="1:1">
      <c r="A924" t="inlineStr">
        <is>
          <t>Tigayon</t>
        </is>
      </c>
    </row>
    <row r="925" spans="1:1">
      <c r="A925" t="inlineStr">
        <is>
          <t>Tinigaw</t>
        </is>
      </c>
    </row>
    <row r="926" spans="1:1">
      <c r="A926" t="inlineStr">
        <is>
          <t>Agcawilan</t>
        </is>
      </c>
    </row>
    <row r="927" spans="1:1">
      <c r="A927" t="inlineStr">
        <is>
          <t>Bagto</t>
        </is>
      </c>
    </row>
    <row r="928" spans="1:1">
      <c r="A928" t="inlineStr">
        <is>
          <t>Bugasongan</t>
        </is>
      </c>
    </row>
    <row r="929" spans="1:1">
      <c r="A929" t="inlineStr">
        <is>
          <t>Carugdog</t>
        </is>
      </c>
    </row>
    <row r="930" spans="1:1">
      <c r="A930" t="inlineStr">
        <is>
          <t>Cogon</t>
        </is>
      </c>
    </row>
    <row r="931" spans="1:1">
      <c r="A931" t="inlineStr">
        <is>
          <t>Ibao</t>
        </is>
      </c>
    </row>
    <row r="932" spans="1:1">
      <c r="A932" t="inlineStr">
        <is>
          <t>Mina</t>
        </is>
      </c>
    </row>
    <row r="933" spans="1:1">
      <c r="A933" t="inlineStr">
        <is>
          <t>Poblacion</t>
        </is>
      </c>
    </row>
    <row r="934" spans="1:1">
      <c r="A934" t="inlineStr">
        <is>
          <t>Silakat Nonok</t>
        </is>
      </c>
    </row>
    <row r="935" spans="1:1">
      <c r="A935" t="inlineStr">
        <is>
          <t>Sta. Cruz</t>
        </is>
      </c>
    </row>
    <row r="936" spans="1:1">
      <c r="A936" t="inlineStr">
        <is>
          <t>Sta. Cruz Biga-a</t>
        </is>
      </c>
    </row>
    <row r="937" spans="1:1">
      <c r="A937" t="inlineStr">
        <is>
          <t>Tayhawan</t>
        </is>
      </c>
    </row>
    <row r="938" spans="1:1">
      <c r="A938" t="inlineStr">
        <is>
          <t>Agmailig</t>
        </is>
      </c>
    </row>
    <row r="939" spans="1:1">
      <c r="A939" t="inlineStr">
        <is>
          <t>Alfonso XII</t>
        </is>
      </c>
    </row>
    <row r="940" spans="1:1">
      <c r="A940" t="inlineStr">
        <is>
          <t>Batobato</t>
        </is>
      </c>
    </row>
    <row r="941" spans="1:1">
      <c r="A941" t="inlineStr">
        <is>
          <t>Bonza</t>
        </is>
      </c>
    </row>
    <row r="942" spans="1:1">
      <c r="A942" t="inlineStr">
        <is>
          <t>Calacabian</t>
        </is>
      </c>
    </row>
    <row r="943" spans="1:1">
      <c r="A943" t="inlineStr">
        <is>
          <t>Calamcan</t>
        </is>
      </c>
    </row>
    <row r="944" spans="1:1">
      <c r="A944" t="inlineStr">
        <is>
          <t>Can-awan</t>
        </is>
      </c>
    </row>
    <row r="945" spans="1:1">
      <c r="A945" t="inlineStr">
        <is>
          <t>Casit-an</t>
        </is>
      </c>
    </row>
    <row r="946" spans="1:1">
      <c r="A946" t="inlineStr">
        <is>
          <t>Dalagsaan</t>
        </is>
      </c>
    </row>
    <row r="947" spans="1:1">
      <c r="A947" t="inlineStr">
        <is>
          <t>Guadalupe</t>
        </is>
      </c>
    </row>
    <row r="948" spans="1:1">
      <c r="A948" t="inlineStr">
        <is>
          <t>Janlud</t>
        </is>
      </c>
    </row>
    <row r="949" spans="1:1">
      <c r="A949" t="inlineStr">
        <is>
          <t>Julita</t>
        </is>
      </c>
    </row>
    <row r="950" spans="1:1">
      <c r="A950" t="inlineStr">
        <is>
          <t>Luctoga</t>
        </is>
      </c>
    </row>
    <row r="951" spans="1:1">
      <c r="A951" t="inlineStr">
        <is>
          <t>Magugba</t>
        </is>
      </c>
    </row>
    <row r="952" spans="1:1">
      <c r="A952" t="inlineStr">
        <is>
          <t>Manika</t>
        </is>
      </c>
    </row>
    <row r="953" spans="1:1">
      <c r="A953" t="inlineStr">
        <is>
          <t>Ogsip</t>
        </is>
      </c>
    </row>
    <row r="954" spans="1:1">
      <c r="A954" t="inlineStr">
        <is>
          <t>Ortega</t>
        </is>
      </c>
    </row>
    <row r="955" spans="1:1">
      <c r="A955" t="inlineStr">
        <is>
          <t>Oyang</t>
        </is>
      </c>
    </row>
    <row r="956" spans="1:1">
      <c r="A956" t="inlineStr">
        <is>
          <t>Pampango</t>
        </is>
      </c>
    </row>
    <row r="957" spans="1:1">
      <c r="A957" t="inlineStr">
        <is>
          <t>Pinonoy</t>
        </is>
      </c>
    </row>
    <row r="958" spans="1:1">
      <c r="A958" t="inlineStr">
        <is>
          <t>Poblacion</t>
        </is>
      </c>
    </row>
    <row r="959" spans="1:1">
      <c r="A959" t="inlineStr">
        <is>
          <t>Rivera</t>
        </is>
      </c>
    </row>
    <row r="960" spans="1:1">
      <c r="A960" t="inlineStr">
        <is>
          <t>Rosal</t>
        </is>
      </c>
    </row>
    <row r="961" spans="1:1">
      <c r="A961" t="inlineStr">
        <is>
          <t>Sibalew</t>
        </is>
      </c>
    </row>
    <row r="962" spans="1:1">
      <c r="A962" t="inlineStr">
        <is>
          <t>Alaminos</t>
        </is>
      </c>
    </row>
    <row r="963" spans="1:1">
      <c r="A963" t="inlineStr">
        <is>
          <t>Alas-as</t>
        </is>
      </c>
    </row>
    <row r="964" spans="1:1">
      <c r="A964" t="inlineStr">
        <is>
          <t>Bacyang</t>
        </is>
      </c>
    </row>
    <row r="965" spans="1:1">
      <c r="A965" t="inlineStr">
        <is>
          <t>Balactasan</t>
        </is>
      </c>
    </row>
    <row r="966" spans="1:1">
      <c r="A966" t="inlineStr">
        <is>
          <t>Cabangahan</t>
        </is>
      </c>
    </row>
    <row r="967" spans="1:1">
      <c r="A967" t="inlineStr">
        <is>
          <t>Cabilawan</t>
        </is>
      </c>
    </row>
    <row r="968" spans="1:1">
      <c r="A968" t="inlineStr">
        <is>
          <t>Catabana</t>
        </is>
      </c>
    </row>
    <row r="969" spans="1:1">
      <c r="A969" t="inlineStr">
        <is>
          <t>Dit-Ana</t>
        </is>
      </c>
    </row>
    <row r="970" spans="1:1">
      <c r="A970" t="inlineStr">
        <is>
          <t>Galicia</t>
        </is>
      </c>
    </row>
    <row r="971" spans="1:1">
      <c r="A971" t="inlineStr">
        <is>
          <t>Guinatu-an</t>
        </is>
      </c>
    </row>
    <row r="972" spans="1:1">
      <c r="A972" t="inlineStr">
        <is>
          <t>Logohon</t>
        </is>
      </c>
    </row>
    <row r="973" spans="1:1">
      <c r="A973" t="inlineStr">
        <is>
          <t>Mamba</t>
        </is>
      </c>
    </row>
    <row r="974" spans="1:1">
      <c r="A974" t="inlineStr">
        <is>
          <t>Maria Cristina</t>
        </is>
      </c>
    </row>
    <row r="975" spans="1:1">
      <c r="A975" t="inlineStr">
        <is>
          <t>Medina</t>
        </is>
      </c>
    </row>
    <row r="976" spans="1:1">
      <c r="A976" t="inlineStr">
        <is>
          <t>Mercedes</t>
        </is>
      </c>
    </row>
    <row r="977" spans="1:1">
      <c r="A977" t="inlineStr">
        <is>
          <t>Napnot</t>
        </is>
      </c>
    </row>
    <row r="978" spans="1:1">
      <c r="A978" t="inlineStr">
        <is>
          <t>Pang-Itan</t>
        </is>
      </c>
    </row>
    <row r="979" spans="1:1">
      <c r="A979" t="inlineStr">
        <is>
          <t>Paningayan</t>
        </is>
      </c>
    </row>
    <row r="980" spans="1:1">
      <c r="A980" t="inlineStr">
        <is>
          <t>Panipiason</t>
        </is>
      </c>
    </row>
    <row r="981" spans="1:1">
      <c r="A981" t="inlineStr">
        <is>
          <t>Poblacion</t>
        </is>
      </c>
    </row>
    <row r="982" spans="1:1">
      <c r="A982" t="inlineStr">
        <is>
          <t>San Jose</t>
        </is>
      </c>
    </row>
    <row r="983" spans="1:1">
      <c r="A983" t="inlineStr">
        <is>
          <t>Singay</t>
        </is>
      </c>
    </row>
    <row r="984" spans="1:1">
      <c r="A984" t="inlineStr">
        <is>
          <t>Talangban</t>
        </is>
      </c>
    </row>
    <row r="985" spans="1:1">
      <c r="A985" t="inlineStr">
        <is>
          <t>Talimagao</t>
        </is>
      </c>
    </row>
    <row r="986" spans="1:1">
      <c r="A986" t="inlineStr">
        <is>
          <t>Tigbawan</t>
        </is>
      </c>
    </row>
    <row r="987" spans="1:1">
      <c r="A987" t="inlineStr">
        <is>
          <t>Agbalogo</t>
        </is>
      </c>
    </row>
    <row r="988" spans="1:1">
      <c r="A988" t="inlineStr">
        <is>
          <t>Aglucay</t>
        </is>
      </c>
    </row>
    <row r="989" spans="1:1">
      <c r="A989" t="inlineStr">
        <is>
          <t>Alibagon</t>
        </is>
      </c>
    </row>
    <row r="990" spans="1:1">
      <c r="A990" t="inlineStr">
        <is>
          <t>Bagong Barrio</t>
        </is>
      </c>
    </row>
    <row r="991" spans="1:1">
      <c r="A991" t="inlineStr">
        <is>
          <t>Baybay</t>
        </is>
      </c>
    </row>
    <row r="992" spans="1:1">
      <c r="A992" t="inlineStr">
        <is>
          <t>Cabatanga</t>
        </is>
      </c>
    </row>
    <row r="993" spans="1:1">
      <c r="A993" t="inlineStr">
        <is>
          <t>Cajilo</t>
        </is>
      </c>
    </row>
    <row r="994" spans="1:1">
      <c r="A994" t="inlineStr">
        <is>
          <t>Calangcang</t>
        </is>
      </c>
    </row>
    <row r="995" spans="1:1">
      <c r="A995" t="inlineStr">
        <is>
          <t>Calimbajan</t>
        </is>
      </c>
    </row>
    <row r="996" spans="1:1">
      <c r="A996" t="inlineStr">
        <is>
          <t>Castillo</t>
        </is>
      </c>
    </row>
    <row r="997" spans="1:1">
      <c r="A997" t="inlineStr">
        <is>
          <t>Cayangwan</t>
        </is>
      </c>
    </row>
    <row r="998" spans="1:1">
      <c r="A998" t="inlineStr">
        <is>
          <t>Dumga</t>
        </is>
      </c>
    </row>
    <row r="999" spans="1:1">
      <c r="A999" t="inlineStr">
        <is>
          <t>Libang</t>
        </is>
      </c>
    </row>
    <row r="1000" spans="1:1">
      <c r="A1000" t="inlineStr">
        <is>
          <t>Mantiguib</t>
        </is>
      </c>
    </row>
    <row r="1001" spans="1:1">
      <c r="A1001" t="inlineStr">
        <is>
          <t>Poblacion</t>
        </is>
      </c>
    </row>
    <row r="1002" spans="1:1">
      <c r="A1002" t="inlineStr">
        <is>
          <t>Tibiawan</t>
        </is>
      </c>
    </row>
    <row r="1003" spans="1:1">
      <c r="A1003" t="inlineStr">
        <is>
          <t>Tina</t>
        </is>
      </c>
    </row>
    <row r="1004" spans="1:1">
      <c r="A1004" t="inlineStr">
        <is>
          <t>Tugas</t>
        </is>
      </c>
    </row>
    <row r="1005" spans="1:1">
      <c r="A1005" t="inlineStr">
        <is>
          <t>Argao</t>
        </is>
      </c>
    </row>
    <row r="1006" spans="1:1">
      <c r="A1006" t="inlineStr">
        <is>
          <t>Balabag</t>
        </is>
      </c>
    </row>
    <row r="1007" spans="1:1">
      <c r="A1007" t="inlineStr">
        <is>
          <t>Balusbus</t>
        </is>
      </c>
    </row>
    <row r="1008" spans="1:1">
      <c r="A1008" t="inlineStr">
        <is>
          <t>Cabulihan</t>
        </is>
      </c>
    </row>
    <row r="1009" spans="1:1">
      <c r="A1009" t="inlineStr">
        <is>
          <t>Caticlan</t>
        </is>
      </c>
    </row>
    <row r="1010" spans="1:1">
      <c r="A1010" t="inlineStr">
        <is>
          <t>Cogon</t>
        </is>
      </c>
    </row>
    <row r="1011" spans="1:1">
      <c r="A1011" t="inlineStr">
        <is>
          <t>Cubay Norte</t>
        </is>
      </c>
    </row>
    <row r="1012" spans="1:1">
      <c r="A1012" t="inlineStr">
        <is>
          <t>Cubay Sur</t>
        </is>
      </c>
    </row>
    <row r="1013" spans="1:1">
      <c r="A1013" t="inlineStr">
        <is>
          <t>Dumlog</t>
        </is>
      </c>
    </row>
    <row r="1014" spans="1:1">
      <c r="A1014" t="inlineStr">
        <is>
          <t>Manoc-Manoc</t>
        </is>
      </c>
    </row>
    <row r="1015" spans="1:1">
      <c r="A1015" t="inlineStr">
        <is>
          <t>Motag</t>
        </is>
      </c>
    </row>
    <row r="1016" spans="1:1">
      <c r="A1016" t="inlineStr">
        <is>
          <t>Naasug</t>
        </is>
      </c>
    </row>
    <row r="1017" spans="1:1">
      <c r="A1017" t="inlineStr">
        <is>
          <t>Nabaoy</t>
        </is>
      </c>
    </row>
    <row r="1018" spans="1:1">
      <c r="A1018" t="inlineStr">
        <is>
          <t>Napaan</t>
        </is>
      </c>
    </row>
    <row r="1019" spans="1:1">
      <c r="A1019" t="inlineStr">
        <is>
          <t>Poblacion</t>
        </is>
      </c>
    </row>
    <row r="1020" spans="1:1">
      <c r="A1020" t="inlineStr">
        <is>
          <t>San Viray</t>
        </is>
      </c>
    </row>
    <row r="1021" spans="1:1">
      <c r="A1021" t="inlineStr">
        <is>
          <t>Yapak</t>
        </is>
      </c>
    </row>
    <row r="1022" spans="1:1">
      <c r="A1022" t="inlineStr">
        <is>
          <t>Banaybanay</t>
        </is>
      </c>
    </row>
    <row r="1023" spans="1:1">
      <c r="A1023" t="inlineStr">
        <is>
          <t>Biga-a</t>
        </is>
      </c>
    </row>
    <row r="1024" spans="1:1">
      <c r="A1024" t="inlineStr">
        <is>
          <t>Bulabud</t>
        </is>
      </c>
    </row>
    <row r="1025" spans="1:1">
      <c r="A1025" t="inlineStr">
        <is>
          <t>Cabayugan</t>
        </is>
      </c>
    </row>
    <row r="1026" spans="1:1">
      <c r="A1026" t="inlineStr">
        <is>
          <t>Capataga</t>
        </is>
      </c>
    </row>
    <row r="1027" spans="1:1">
      <c r="A1027" t="inlineStr">
        <is>
          <t>Cogon</t>
        </is>
      </c>
    </row>
    <row r="1028" spans="1:1">
      <c r="A1028" t="inlineStr">
        <is>
          <t>Dangcalan</t>
        </is>
      </c>
    </row>
    <row r="1029" spans="1:1">
      <c r="A1029" t="inlineStr">
        <is>
          <t>Kinalangay Nuevo</t>
        </is>
      </c>
    </row>
    <row r="1030" spans="1:1">
      <c r="A1030" t="inlineStr">
        <is>
          <t>Kinalangay Viejo</t>
        </is>
      </c>
    </row>
    <row r="1031" spans="1:1">
      <c r="A1031" t="inlineStr">
        <is>
          <t>Lilo-an</t>
        </is>
      </c>
    </row>
    <row r="1032" spans="1:1">
      <c r="A1032" t="inlineStr">
        <is>
          <t>Malandayon</t>
        </is>
      </c>
    </row>
    <row r="1033" spans="1:1">
      <c r="A1033" t="inlineStr">
        <is>
          <t>Manhanip</t>
        </is>
      </c>
    </row>
    <row r="1034" spans="1:1">
      <c r="A1034" t="inlineStr">
        <is>
          <t>Navitas</t>
        </is>
      </c>
    </row>
    <row r="1035" spans="1:1">
      <c r="A1035" t="inlineStr">
        <is>
          <t>Osman</t>
        </is>
      </c>
    </row>
    <row r="1036" spans="1:1">
      <c r="A1036" t="inlineStr">
        <is>
          <t>Poblacion</t>
        </is>
      </c>
    </row>
    <row r="1037" spans="1:1">
      <c r="A1037" t="inlineStr">
        <is>
          <t>Rosario</t>
        </is>
      </c>
    </row>
    <row r="1038" spans="1:1">
      <c r="A1038" t="inlineStr">
        <is>
          <t>San Dimas</t>
        </is>
      </c>
    </row>
    <row r="1039" spans="1:1">
      <c r="A1039" t="inlineStr">
        <is>
          <t>San Ramon</t>
        </is>
      </c>
    </row>
    <row r="1040" spans="1:1">
      <c r="A1040" t="inlineStr">
        <is>
          <t>San Roque</t>
        </is>
      </c>
    </row>
    <row r="1041" spans="1:1">
      <c r="A1041" t="inlineStr">
        <is>
          <t>Sipac</t>
        </is>
      </c>
    </row>
    <row r="1042" spans="1:1">
      <c r="A1042" t="inlineStr">
        <is>
          <t>Sugnod</t>
        </is>
      </c>
    </row>
    <row r="1043" spans="1:1">
      <c r="A1043" t="inlineStr">
        <is>
          <t>Tambuan</t>
        </is>
      </c>
    </row>
    <row r="1044" spans="1:1">
      <c r="A1044" t="inlineStr">
        <is>
          <t>Tigpalas</t>
        </is>
      </c>
    </row>
    <row r="1045" spans="1:1">
      <c r="A1045" t="inlineStr">
        <is>
          <t>Alimbo Baybay</t>
        </is>
      </c>
    </row>
    <row r="1046" spans="1:1">
      <c r="A1046" t="inlineStr">
        <is>
          <t>Buenafortuna</t>
        </is>
      </c>
    </row>
    <row r="1047" spans="1:1">
      <c r="A1047" t="inlineStr">
        <is>
          <t>Buenasuerte</t>
        </is>
      </c>
    </row>
    <row r="1048" spans="1:1">
      <c r="A1048" t="inlineStr">
        <is>
          <t>Buenavista</t>
        </is>
      </c>
    </row>
    <row r="1049" spans="1:1">
      <c r="A1049" t="inlineStr">
        <is>
          <t>Gibon</t>
        </is>
      </c>
    </row>
    <row r="1050" spans="1:1">
      <c r="A1050" t="inlineStr">
        <is>
          <t>Habana</t>
        </is>
      </c>
    </row>
    <row r="1051" spans="1:1">
      <c r="A1051" t="inlineStr">
        <is>
          <t>Laserna</t>
        </is>
      </c>
    </row>
    <row r="1052" spans="1:1">
      <c r="A1052" t="inlineStr">
        <is>
          <t>Libertad</t>
        </is>
      </c>
    </row>
    <row r="1053" spans="1:1">
      <c r="A1053" t="inlineStr">
        <is>
          <t>Magallanes</t>
        </is>
      </c>
    </row>
    <row r="1054" spans="1:1">
      <c r="A1054" t="inlineStr">
        <is>
          <t>Matabana</t>
        </is>
      </c>
    </row>
    <row r="1055" spans="1:1">
      <c r="A1055" t="inlineStr">
        <is>
          <t>Nagustan</t>
        </is>
      </c>
    </row>
    <row r="1056" spans="1:1">
      <c r="A1056" t="inlineStr">
        <is>
          <t>Pawa</t>
        </is>
      </c>
    </row>
    <row r="1057" spans="1:1">
      <c r="A1057" t="inlineStr">
        <is>
          <t>Pinatuad</t>
        </is>
      </c>
    </row>
    <row r="1058" spans="1:1">
      <c r="A1058" t="inlineStr">
        <is>
          <t>Poblacion</t>
        </is>
      </c>
    </row>
    <row r="1059" spans="1:1">
      <c r="A1059" t="inlineStr">
        <is>
          <t>Rizal</t>
        </is>
      </c>
    </row>
    <row r="1060" spans="1:1">
      <c r="A1060" t="inlineStr">
        <is>
          <t>Solido</t>
        </is>
      </c>
    </row>
    <row r="1061" spans="1:1">
      <c r="A1061" t="inlineStr">
        <is>
          <t>Tagororoc</t>
        </is>
      </c>
    </row>
    <row r="1062" spans="1:1">
      <c r="A1062" t="inlineStr">
        <is>
          <t>Toledo</t>
        </is>
      </c>
    </row>
    <row r="1063" spans="1:1">
      <c r="A1063" t="inlineStr">
        <is>
          <t>Unidos</t>
        </is>
      </c>
    </row>
    <row r="1064" spans="1:1">
      <c r="A1064" t="inlineStr">
        <is>
          <t>Union</t>
        </is>
      </c>
    </row>
    <row r="1065" spans="1:1">
      <c r="A1065" t="inlineStr">
        <is>
          <t>Candelaria</t>
        </is>
      </c>
    </row>
    <row r="1066" spans="1:1">
      <c r="A1066" t="inlineStr">
        <is>
          <t>Cawayan</t>
        </is>
      </c>
    </row>
    <row r="1067" spans="1:1">
      <c r="A1067" t="inlineStr">
        <is>
          <t>Dumaguit</t>
        </is>
      </c>
    </row>
    <row r="1068" spans="1:1">
      <c r="A1068" t="inlineStr">
        <is>
          <t>Fatima</t>
        </is>
      </c>
    </row>
    <row r="1069" spans="1:1">
      <c r="A1069" t="inlineStr">
        <is>
          <t>Guinbaliwan</t>
        </is>
      </c>
    </row>
    <row r="1070" spans="1:1">
      <c r="A1070" t="inlineStr">
        <is>
          <t>Jalas</t>
        </is>
      </c>
    </row>
    <row r="1071" spans="1:1">
      <c r="A1071" t="inlineStr">
        <is>
          <t>Jugas</t>
        </is>
      </c>
    </row>
    <row r="1072" spans="1:1">
      <c r="A1072" t="inlineStr">
        <is>
          <t>Lawa-an</t>
        </is>
      </c>
    </row>
    <row r="1073" spans="1:1">
      <c r="A1073" t="inlineStr">
        <is>
          <t>Mabilo</t>
        </is>
      </c>
    </row>
    <row r="1074" spans="1:1">
      <c r="A1074" t="inlineStr">
        <is>
          <t>Mataphao</t>
        </is>
      </c>
    </row>
    <row r="1075" spans="1:1">
      <c r="A1075" t="inlineStr">
        <is>
          <t>Ochando</t>
        </is>
      </c>
    </row>
    <row r="1076" spans="1:1">
      <c r="A1076" t="inlineStr">
        <is>
          <t>Pinamuk-an</t>
        </is>
      </c>
    </row>
    <row r="1077" spans="1:1">
      <c r="A1077" t="inlineStr">
        <is>
          <t>Poblacion</t>
        </is>
      </c>
    </row>
    <row r="1078" spans="1:1">
      <c r="A1078" t="inlineStr">
        <is>
          <t>Polo</t>
        </is>
      </c>
    </row>
    <row r="1079" spans="1:1">
      <c r="A1079" t="inlineStr">
        <is>
          <t>Puis</t>
        </is>
      </c>
    </row>
    <row r="1080" spans="1:1">
      <c r="A1080" t="inlineStr">
        <is>
          <t>Tambak</t>
        </is>
      </c>
    </row>
    <row r="1081" spans="1:1">
      <c r="A1081" t="inlineStr">
        <is>
          <t>Albasan</t>
        </is>
      </c>
    </row>
    <row r="1082" spans="1:1">
      <c r="A1082" t="inlineStr">
        <is>
          <t>Aliputos</t>
        </is>
      </c>
    </row>
    <row r="1083" spans="1:1">
      <c r="A1083" t="inlineStr">
        <is>
          <t>Badio</t>
        </is>
      </c>
    </row>
    <row r="1084" spans="1:1">
      <c r="A1084" t="inlineStr">
        <is>
          <t>Bubog</t>
        </is>
      </c>
    </row>
    <row r="1085" spans="1:1">
      <c r="A1085" t="inlineStr">
        <is>
          <t>Bulwang</t>
        </is>
      </c>
    </row>
    <row r="1086" spans="1:1">
      <c r="A1086" t="inlineStr">
        <is>
          <t>Camanci Norte</t>
        </is>
      </c>
    </row>
    <row r="1087" spans="1:1">
      <c r="A1087" t="inlineStr">
        <is>
          <t>Camanci Sur</t>
        </is>
      </c>
    </row>
    <row r="1088" spans="1:1">
      <c r="A1088" t="inlineStr">
        <is>
          <t>Dongon East</t>
        </is>
      </c>
    </row>
    <row r="1089" spans="1:1">
      <c r="A1089" t="inlineStr">
        <is>
          <t>Dongon West</t>
        </is>
      </c>
    </row>
    <row r="1090" spans="1:1">
      <c r="A1090" t="inlineStr">
        <is>
          <t>Joyao-joyao</t>
        </is>
      </c>
    </row>
    <row r="1091" spans="1:1">
      <c r="A1091" t="inlineStr">
        <is>
          <t>Laguinbanua East</t>
        </is>
      </c>
    </row>
    <row r="1092" spans="1:1">
      <c r="A1092" t="inlineStr">
        <is>
          <t>Laguinbanua West</t>
        </is>
      </c>
    </row>
    <row r="1093" spans="1:1">
      <c r="A1093" t="inlineStr">
        <is>
          <t>Marianos</t>
        </is>
      </c>
    </row>
    <row r="1094" spans="1:1">
      <c r="A1094" t="inlineStr">
        <is>
          <t>Navitas</t>
        </is>
      </c>
    </row>
    <row r="1095" spans="1:1">
      <c r="A1095" t="inlineStr">
        <is>
          <t>Poblacion</t>
        </is>
      </c>
    </row>
    <row r="1096" spans="1:1">
      <c r="A1096" t="inlineStr">
        <is>
          <t>Pusiw</t>
        </is>
      </c>
    </row>
    <row r="1097" spans="1:1">
      <c r="A1097" t="inlineStr">
        <is>
          <t>Tabangka</t>
        </is>
      </c>
    </row>
    <row r="1098" spans="1:1">
      <c r="A1098" t="inlineStr">
        <is>
          <t>Afga</t>
        </is>
      </c>
    </row>
    <row r="1099" spans="1:1">
      <c r="A1099" t="inlineStr">
        <is>
          <t>Baybay</t>
        </is>
      </c>
    </row>
    <row r="1100" spans="1:1">
      <c r="A1100" t="inlineStr">
        <is>
          <t>Dapdap</t>
        </is>
      </c>
    </row>
    <row r="1101" spans="1:1">
      <c r="A1101" t="inlineStr">
        <is>
          <t>Dumatad</t>
        </is>
      </c>
    </row>
    <row r="1102" spans="1:1">
      <c r="A1102" t="inlineStr">
        <is>
          <t>Jawili</t>
        </is>
      </c>
    </row>
    <row r="1103" spans="1:1">
      <c r="A1103" t="inlineStr">
        <is>
          <t>Lanipga</t>
        </is>
      </c>
    </row>
    <row r="1104" spans="1:1">
      <c r="A1104" t="inlineStr">
        <is>
          <t>Napatag</t>
        </is>
      </c>
    </row>
    <row r="1105" spans="1:1">
      <c r="A1105" t="inlineStr">
        <is>
          <t>Panayakan</t>
        </is>
      </c>
    </row>
    <row r="1106" spans="1:1">
      <c r="A1106" t="inlineStr">
        <is>
          <t>Poblacion</t>
        </is>
      </c>
    </row>
    <row r="1107" spans="1:1">
      <c r="A1107" t="inlineStr">
        <is>
          <t>Pudiot</t>
        </is>
      </c>
    </row>
    <row r="1108" spans="1:1">
      <c r="A1108" t="inlineStr">
        <is>
          <t>Tagas</t>
        </is>
      </c>
    </row>
    <row r="1109" spans="1:1">
      <c r="A1109" t="inlineStr">
        <is>
          <t>Tamalagon</t>
        </is>
      </c>
    </row>
    <row r="1110" spans="1:1">
      <c r="A1110" t="inlineStr">
        <is>
          <t>Tamokoe</t>
        </is>
      </c>
    </row>
    <row r="1111" spans="1:1">
      <c r="A1111" t="inlineStr">
        <is>
          <t>Tondog</t>
        </is>
      </c>
    </row>
    <row r="1112" spans="1:1">
      <c r="A1112" t="inlineStr">
        <is>
          <t>Vivo</t>
        </is>
      </c>
    </row>
    <row r="1113" spans="1:1">
      <c r="A1113" t="inlineStr">
        <is>
          <t>Baclayon</t>
        </is>
      </c>
    </row>
    <row r="1114" spans="1:1">
      <c r="A1114" t="inlineStr">
        <is>
          <t>Banao</t>
        </is>
      </c>
    </row>
    <row r="1115" spans="1:1">
      <c r="A1115" t="inlineStr">
        <is>
          <t>Barangay 1</t>
        </is>
      </c>
    </row>
    <row r="1116" spans="1:1">
      <c r="A1116" t="inlineStr">
        <is>
          <t>Barangay 10</t>
        </is>
      </c>
    </row>
    <row r="1117" spans="1:1">
      <c r="A1117" t="inlineStr">
        <is>
          <t>Barangay 11</t>
        </is>
      </c>
    </row>
    <row r="1118" spans="1:1">
      <c r="A1118" t="inlineStr">
        <is>
          <t>Barangay 12</t>
        </is>
      </c>
    </row>
    <row r="1119" spans="1:1">
      <c r="A1119" t="inlineStr">
        <is>
          <t>Barangay 13</t>
        </is>
      </c>
    </row>
    <row r="1120" spans="1:1">
      <c r="A1120" t="inlineStr">
        <is>
          <t>Barangay 14</t>
        </is>
      </c>
    </row>
    <row r="1121" spans="1:1">
      <c r="A1121" t="inlineStr">
        <is>
          <t>Barangay 2</t>
        </is>
      </c>
    </row>
    <row r="1122" spans="1:1">
      <c r="A1122" t="inlineStr">
        <is>
          <t>Barangay 3</t>
        </is>
      </c>
    </row>
    <row r="1123" spans="1:1">
      <c r="A1123" t="inlineStr">
        <is>
          <t>Barangay 4</t>
        </is>
      </c>
    </row>
    <row r="1124" spans="1:1">
      <c r="A1124" t="inlineStr">
        <is>
          <t>Barangay 5</t>
        </is>
      </c>
    </row>
    <row r="1125" spans="1:1">
      <c r="A1125" t="inlineStr">
        <is>
          <t>Barangay 6</t>
        </is>
      </c>
    </row>
    <row r="1126" spans="1:1">
      <c r="A1126" t="inlineStr">
        <is>
          <t>Barangay 7</t>
        </is>
      </c>
    </row>
    <row r="1127" spans="1:1">
      <c r="A1127" t="inlineStr">
        <is>
          <t>Barangay 8</t>
        </is>
      </c>
    </row>
    <row r="1128" spans="1:1">
      <c r="A1128" t="inlineStr">
        <is>
          <t>Barangay 9</t>
        </is>
      </c>
    </row>
    <row r="1129" spans="1:1">
      <c r="A1129" t="inlineStr">
        <is>
          <t>Bariw</t>
        </is>
      </c>
    </row>
    <row r="1130" spans="1:1">
      <c r="A1130" t="inlineStr">
        <is>
          <t>Basud</t>
        </is>
      </c>
    </row>
    <row r="1131" spans="1:1">
      <c r="A1131" t="inlineStr">
        <is>
          <t>Bayandong</t>
        </is>
      </c>
    </row>
    <row r="1132" spans="1:1">
      <c r="A1132" t="inlineStr">
        <is>
          <t>Bonga</t>
        </is>
      </c>
    </row>
    <row r="1133" spans="1:1">
      <c r="A1133" t="inlineStr">
        <is>
          <t>Buang</t>
        </is>
      </c>
    </row>
    <row r="1134" spans="1:1">
      <c r="A1134" t="inlineStr">
        <is>
          <t>Busdac</t>
        </is>
      </c>
    </row>
    <row r="1135" spans="1:1">
      <c r="A1135" t="inlineStr">
        <is>
          <t>Cabasan</t>
        </is>
      </c>
    </row>
    <row r="1136" spans="1:1">
      <c r="A1136" t="inlineStr">
        <is>
          <t>Cagbulacao</t>
        </is>
      </c>
    </row>
    <row r="1137" spans="1:1">
      <c r="A1137" t="inlineStr">
        <is>
          <t>Cagraray</t>
        </is>
      </c>
    </row>
    <row r="1138" spans="1:1">
      <c r="A1138" t="inlineStr">
        <is>
          <t>Cajogutan</t>
        </is>
      </c>
    </row>
    <row r="1139" spans="1:1">
      <c r="A1139" t="inlineStr">
        <is>
          <t>Cawayan</t>
        </is>
      </c>
    </row>
    <row r="1140" spans="1:1">
      <c r="A1140" t="inlineStr">
        <is>
          <t>Damacan</t>
        </is>
      </c>
    </row>
    <row r="1141" spans="1:1">
      <c r="A1141" t="inlineStr">
        <is>
          <t>Gubat Ilawod</t>
        </is>
      </c>
    </row>
    <row r="1142" spans="1:1">
      <c r="A1142" t="inlineStr">
        <is>
          <t>Gubat Iraya</t>
        </is>
      </c>
    </row>
    <row r="1143" spans="1:1">
      <c r="A1143" t="inlineStr">
        <is>
          <t>Hindi</t>
        </is>
      </c>
    </row>
    <row r="1144" spans="1:1">
      <c r="A1144" t="inlineStr">
        <is>
          <t>Igang</t>
        </is>
      </c>
    </row>
    <row r="1145" spans="1:1">
      <c r="A1145" t="inlineStr">
        <is>
          <t>Langaton</t>
        </is>
      </c>
    </row>
    <row r="1146" spans="1:1">
      <c r="A1146" t="inlineStr">
        <is>
          <t>Manaet</t>
        </is>
      </c>
    </row>
    <row r="1147" spans="1:1">
      <c r="A1147" t="inlineStr">
        <is>
          <t>Mapulang Daga</t>
        </is>
      </c>
    </row>
    <row r="1148" spans="1:1">
      <c r="A1148" t="inlineStr">
        <is>
          <t>Mataas</t>
        </is>
      </c>
    </row>
    <row r="1149" spans="1:1">
      <c r="A1149" t="inlineStr">
        <is>
          <t>Misibis</t>
        </is>
      </c>
    </row>
    <row r="1150" spans="1:1">
      <c r="A1150" t="inlineStr">
        <is>
          <t>Nahapunan</t>
        </is>
      </c>
    </row>
    <row r="1151" spans="1:1">
      <c r="A1151" t="inlineStr">
        <is>
          <t>Namanday</t>
        </is>
      </c>
    </row>
    <row r="1152" spans="1:1">
      <c r="A1152" t="inlineStr">
        <is>
          <t>Namantao</t>
        </is>
      </c>
    </row>
    <row r="1153" spans="1:1">
      <c r="A1153" t="inlineStr">
        <is>
          <t>Napao</t>
        </is>
      </c>
    </row>
    <row r="1154" spans="1:1">
      <c r="A1154" t="inlineStr">
        <is>
          <t>Panarayon</t>
        </is>
      </c>
    </row>
    <row r="1155" spans="1:1">
      <c r="A1155" t="inlineStr">
        <is>
          <t>Pigcobohan</t>
        </is>
      </c>
    </row>
    <row r="1156" spans="1:1">
      <c r="A1156" t="inlineStr">
        <is>
          <t>Pili Ilawod</t>
        </is>
      </c>
    </row>
    <row r="1157" spans="1:1">
      <c r="A1157" t="inlineStr">
        <is>
          <t>Pili Iraya</t>
        </is>
      </c>
    </row>
    <row r="1158" spans="1:1">
      <c r="A1158" t="inlineStr">
        <is>
          <t>Pongco</t>
        </is>
      </c>
    </row>
    <row r="1159" spans="1:1">
      <c r="A1159" t="inlineStr">
        <is>
          <t>San Pablo</t>
        </is>
      </c>
    </row>
    <row r="1160" spans="1:1">
      <c r="A1160" t="inlineStr">
        <is>
          <t>San Pedro</t>
        </is>
      </c>
    </row>
    <row r="1161" spans="1:1">
      <c r="A1161" t="inlineStr">
        <is>
          <t>Sogod</t>
        </is>
      </c>
    </row>
    <row r="1162" spans="1:1">
      <c r="A1162" t="inlineStr">
        <is>
          <t>Sula</t>
        </is>
      </c>
    </row>
    <row r="1163" spans="1:1">
      <c r="A1163" t="inlineStr">
        <is>
          <t>Tambilagao</t>
        </is>
      </c>
    </row>
    <row r="1164" spans="1:1">
      <c r="A1164" t="inlineStr">
        <is>
          <t>Tambongon</t>
        </is>
      </c>
    </row>
    <row r="1165" spans="1:1">
      <c r="A1165" t="inlineStr">
        <is>
          <t>Tanagan</t>
        </is>
      </c>
    </row>
    <row r="1166" spans="1:1">
      <c r="A1166" t="inlineStr">
        <is>
          <t>Uson</t>
        </is>
      </c>
    </row>
    <row r="1167" spans="1:1">
      <c r="A1167" t="inlineStr">
        <is>
          <t>Vinisitahan-Basud</t>
        </is>
      </c>
    </row>
    <row r="1168" spans="1:1">
      <c r="A1168" t="inlineStr">
        <is>
          <t>Vinisitahan-Napao</t>
        </is>
      </c>
    </row>
    <row r="1169" spans="1:1">
      <c r="A1169" t="inlineStr">
        <is>
          <t>Anoling</t>
        </is>
      </c>
    </row>
    <row r="1170" spans="1:1">
      <c r="A1170" t="inlineStr">
        <is>
          <t>Baligang</t>
        </is>
      </c>
    </row>
    <row r="1171" spans="1:1">
      <c r="A1171" t="inlineStr">
        <is>
          <t>Bantonan</t>
        </is>
      </c>
    </row>
    <row r="1172" spans="1:1">
      <c r="A1172" t="inlineStr">
        <is>
          <t>Barangay 1</t>
        </is>
      </c>
    </row>
    <row r="1173" spans="1:1">
      <c r="A1173" t="inlineStr">
        <is>
          <t>Barangay 2</t>
        </is>
      </c>
    </row>
    <row r="1174" spans="1:1">
      <c r="A1174" t="inlineStr">
        <is>
          <t>Barangay 3</t>
        </is>
      </c>
    </row>
    <row r="1175" spans="1:1">
      <c r="A1175" t="inlineStr">
        <is>
          <t>Barangay 4</t>
        </is>
      </c>
    </row>
    <row r="1176" spans="1:1">
      <c r="A1176" t="inlineStr">
        <is>
          <t>Barangay 5</t>
        </is>
      </c>
    </row>
    <row r="1177" spans="1:1">
      <c r="A1177" t="inlineStr">
        <is>
          <t>Barangay 6</t>
        </is>
      </c>
    </row>
    <row r="1178" spans="1:1">
      <c r="A1178" t="inlineStr">
        <is>
          <t>Barangay 7</t>
        </is>
      </c>
    </row>
    <row r="1179" spans="1:1">
      <c r="A1179" t="inlineStr">
        <is>
          <t>Bariw</t>
        </is>
      </c>
    </row>
    <row r="1180" spans="1:1">
      <c r="A1180" t="inlineStr">
        <is>
          <t>Binanderahan</t>
        </is>
      </c>
    </row>
    <row r="1181" spans="1:1">
      <c r="A1181" t="inlineStr">
        <is>
          <t>Binitayan</t>
        </is>
      </c>
    </row>
    <row r="1182" spans="1:1">
      <c r="A1182" t="inlineStr">
        <is>
          <t>Bongabong</t>
        </is>
      </c>
    </row>
    <row r="1183" spans="1:1">
      <c r="A1183" t="inlineStr">
        <is>
          <t>Cabagñan</t>
        </is>
      </c>
    </row>
    <row r="1184" spans="1:1">
      <c r="A1184" t="inlineStr">
        <is>
          <t>Cabraran Pequeño</t>
        </is>
      </c>
    </row>
    <row r="1185" spans="1:1">
      <c r="A1185" t="inlineStr">
        <is>
          <t>Caguiba</t>
        </is>
      </c>
    </row>
    <row r="1186" spans="1:1">
      <c r="A1186" t="inlineStr">
        <is>
          <t>Calabidongan</t>
        </is>
      </c>
    </row>
    <row r="1187" spans="1:1">
      <c r="A1187" t="inlineStr">
        <is>
          <t>Comun</t>
        </is>
      </c>
    </row>
    <row r="1188" spans="1:1">
      <c r="A1188" t="inlineStr">
        <is>
          <t>Cotmon</t>
        </is>
      </c>
    </row>
    <row r="1189" spans="1:1">
      <c r="A1189" t="inlineStr">
        <is>
          <t>Del Rosario</t>
        </is>
      </c>
    </row>
    <row r="1190" spans="1:1">
      <c r="A1190" t="inlineStr">
        <is>
          <t>Gapo</t>
        </is>
      </c>
    </row>
    <row r="1191" spans="1:1">
      <c r="A1191" t="inlineStr">
        <is>
          <t>Gotob</t>
        </is>
      </c>
    </row>
    <row r="1192" spans="1:1">
      <c r="A1192" t="inlineStr">
        <is>
          <t>Ilawod</t>
        </is>
      </c>
    </row>
    <row r="1193" spans="1:1">
      <c r="A1193" t="inlineStr">
        <is>
          <t>Iluluan</t>
        </is>
      </c>
    </row>
    <row r="1194" spans="1:1">
      <c r="A1194" t="inlineStr">
        <is>
          <t>Libod</t>
        </is>
      </c>
    </row>
    <row r="1195" spans="1:1">
      <c r="A1195" t="inlineStr">
        <is>
          <t>Ligban</t>
        </is>
      </c>
    </row>
    <row r="1196" spans="1:1">
      <c r="A1196" t="inlineStr">
        <is>
          <t>Mabunga</t>
        </is>
      </c>
    </row>
    <row r="1197" spans="1:1">
      <c r="A1197" t="inlineStr">
        <is>
          <t>Magogon</t>
        </is>
      </c>
    </row>
    <row r="1198" spans="1:1">
      <c r="A1198" t="inlineStr">
        <is>
          <t>Manawan</t>
        </is>
      </c>
    </row>
    <row r="1199" spans="1:1">
      <c r="A1199" t="inlineStr">
        <is>
          <t>Maninila</t>
        </is>
      </c>
    </row>
    <row r="1200" spans="1:1">
      <c r="A1200" t="inlineStr">
        <is>
          <t>Mina</t>
        </is>
      </c>
    </row>
    <row r="1201" spans="1:1">
      <c r="A1201" t="inlineStr">
        <is>
          <t>Miti</t>
        </is>
      </c>
    </row>
    <row r="1202" spans="1:1">
      <c r="A1202" t="inlineStr">
        <is>
          <t>Palanog</t>
        </is>
      </c>
    </row>
    <row r="1203" spans="1:1">
      <c r="A1203" t="inlineStr">
        <is>
          <t>Panoypoy</t>
        </is>
      </c>
    </row>
    <row r="1204" spans="1:1">
      <c r="A1204" t="inlineStr">
        <is>
          <t>Pariaan</t>
        </is>
      </c>
    </row>
    <row r="1205" spans="1:1">
      <c r="A1205" t="inlineStr">
        <is>
          <t>Quinartilan</t>
        </is>
      </c>
    </row>
    <row r="1206" spans="1:1">
      <c r="A1206" t="inlineStr">
        <is>
          <t>Quirangay</t>
        </is>
      </c>
    </row>
    <row r="1207" spans="1:1">
      <c r="A1207" t="inlineStr">
        <is>
          <t>Quitinday</t>
        </is>
      </c>
    </row>
    <row r="1208" spans="1:1">
      <c r="A1208" t="inlineStr">
        <is>
          <t>Salugan</t>
        </is>
      </c>
    </row>
    <row r="1209" spans="1:1">
      <c r="A1209" t="inlineStr">
        <is>
          <t>Solong</t>
        </is>
      </c>
    </row>
    <row r="1210" spans="1:1">
      <c r="A1210" t="inlineStr">
        <is>
          <t>Sua</t>
        </is>
      </c>
    </row>
    <row r="1211" spans="1:1">
      <c r="A1211" t="inlineStr">
        <is>
          <t>Sumlang</t>
        </is>
      </c>
    </row>
    <row r="1212" spans="1:1">
      <c r="A1212" t="inlineStr">
        <is>
          <t>Tagaytay</t>
        </is>
      </c>
    </row>
    <row r="1213" spans="1:1">
      <c r="A1213" t="inlineStr">
        <is>
          <t>Tagoytoy</t>
        </is>
      </c>
    </row>
    <row r="1214" spans="1:1">
      <c r="A1214" t="inlineStr">
        <is>
          <t>Taladong</t>
        </is>
      </c>
    </row>
    <row r="1215" spans="1:1">
      <c r="A1215" t="inlineStr">
        <is>
          <t>Taloto</t>
        </is>
      </c>
    </row>
    <row r="1216" spans="1:1">
      <c r="A1216" t="inlineStr">
        <is>
          <t>Taplacon</t>
        </is>
      </c>
    </row>
    <row r="1217" spans="1:1">
      <c r="A1217" t="inlineStr">
        <is>
          <t>Tinago</t>
        </is>
      </c>
    </row>
    <row r="1218" spans="1:1">
      <c r="A1218" t="inlineStr">
        <is>
          <t>Tumpa</t>
        </is>
      </c>
    </row>
    <row r="1219" spans="1:1">
      <c r="A1219" t="inlineStr">
        <is>
          <t>Bgy. 1 - Em's Barrio</t>
        </is>
      </c>
    </row>
    <row r="1220" spans="1:1">
      <c r="A1220" t="inlineStr">
        <is>
          <t>Bgy. 10 - Cabugao</t>
        </is>
      </c>
    </row>
    <row r="1221" spans="1:1">
      <c r="A1221" t="inlineStr">
        <is>
          <t>Bgy. 11 - Maoyod Pob.</t>
        </is>
      </c>
    </row>
    <row r="1222" spans="1:1">
      <c r="A1222" t="inlineStr">
        <is>
          <t>Bgy. 12 - Tula-tula</t>
        </is>
      </c>
    </row>
    <row r="1223" spans="1:1">
      <c r="A1223" t="inlineStr">
        <is>
          <t>Bgy. 13 - Ilawod West Pob.</t>
        </is>
      </c>
    </row>
    <row r="1224" spans="1:1">
      <c r="A1224" t="inlineStr">
        <is>
          <t>Bgy. 14 - Ilawod Pob.</t>
        </is>
      </c>
    </row>
    <row r="1225" spans="1:1">
      <c r="A1225" t="inlineStr">
        <is>
          <t>Bgy. 15 - Ilawod East Pob.</t>
        </is>
      </c>
    </row>
    <row r="1226" spans="1:1">
      <c r="A1226" t="inlineStr">
        <is>
          <t>Bgy. 16 - Kawit-East Washington Drive</t>
        </is>
      </c>
    </row>
    <row r="1227" spans="1:1">
      <c r="A1227" t="inlineStr">
        <is>
          <t>Bgy. 17 - Rizal Street., Ilawod</t>
        </is>
      </c>
    </row>
    <row r="1228" spans="1:1">
      <c r="A1228" t="inlineStr">
        <is>
          <t>Bgy. 18 - Cabagñan West</t>
        </is>
      </c>
    </row>
    <row r="1229" spans="1:1">
      <c r="A1229" t="inlineStr">
        <is>
          <t>Bgy. 19 - Cabagñan</t>
        </is>
      </c>
    </row>
    <row r="1230" spans="1:1">
      <c r="A1230" t="inlineStr">
        <is>
          <t>Bgy. 2 - Em's Barrio South</t>
        </is>
      </c>
    </row>
    <row r="1231" spans="1:1">
      <c r="A1231" t="inlineStr">
        <is>
          <t>Bgy. 20 - Cabagñan East</t>
        </is>
      </c>
    </row>
    <row r="1232" spans="1:1">
      <c r="A1232" t="inlineStr">
        <is>
          <t>Bgy. 21 - Binanuahan West</t>
        </is>
      </c>
    </row>
    <row r="1233" spans="1:1">
      <c r="A1233" t="inlineStr">
        <is>
          <t>Bgy. 22 - Binanuahan East</t>
        </is>
      </c>
    </row>
    <row r="1234" spans="1:1">
      <c r="A1234" t="inlineStr">
        <is>
          <t>Bgy. 23 - Imperial Court Subd.</t>
        </is>
      </c>
    </row>
    <row r="1235" spans="1:1">
      <c r="A1235" t="inlineStr">
        <is>
          <t>Bgy. 24 - Rizal Street</t>
        </is>
      </c>
    </row>
    <row r="1236" spans="1:1">
      <c r="A1236" t="inlineStr">
        <is>
          <t>Bgy. 25 - Lapu-lapu</t>
        </is>
      </c>
    </row>
    <row r="1237" spans="1:1">
      <c r="A1237" t="inlineStr">
        <is>
          <t>Bgy. 26 - Dinagaan</t>
        </is>
      </c>
    </row>
    <row r="1238" spans="1:1">
      <c r="A1238" t="inlineStr">
        <is>
          <t>Bgy. 27 - Victory Village South</t>
        </is>
      </c>
    </row>
    <row r="1239" spans="1:1">
      <c r="A1239" t="inlineStr">
        <is>
          <t>Bgy. 28 - Victory Village North</t>
        </is>
      </c>
    </row>
    <row r="1240" spans="1:1">
      <c r="A1240" t="inlineStr">
        <is>
          <t>Bgy. 29 - Sabang</t>
        </is>
      </c>
    </row>
    <row r="1241" spans="1:1">
      <c r="A1241" t="inlineStr">
        <is>
          <t>Bgy. 3 - Em's Barrio East</t>
        </is>
      </c>
    </row>
    <row r="1242" spans="1:1">
      <c r="A1242" t="inlineStr">
        <is>
          <t>Bgy. 30 - Pigcale</t>
        </is>
      </c>
    </row>
    <row r="1243" spans="1:1">
      <c r="A1243" t="inlineStr">
        <is>
          <t>Bgy. 31 - Centro-Baybay</t>
        </is>
      </c>
    </row>
    <row r="1244" spans="1:1">
      <c r="A1244" t="inlineStr">
        <is>
          <t>Bgy. 32 - San Roque</t>
        </is>
      </c>
    </row>
    <row r="1245" spans="1:1">
      <c r="A1245" t="inlineStr">
        <is>
          <t>Bgy. 33 - PNR-Peñaranda St.-Iraya</t>
        </is>
      </c>
    </row>
    <row r="1246" spans="1:1">
      <c r="A1246" t="inlineStr">
        <is>
          <t>Bgy. 34 - Oro Site-Magallanes St.</t>
        </is>
      </c>
    </row>
    <row r="1247" spans="1:1">
      <c r="A1247" t="inlineStr">
        <is>
          <t>Bgy. 35 - Tinago</t>
        </is>
      </c>
    </row>
    <row r="1248" spans="1:1">
      <c r="A1248" t="inlineStr">
        <is>
          <t>Bgy. 36 - Kapantawan</t>
        </is>
      </c>
    </row>
    <row r="1249" spans="1:1">
      <c r="A1249" t="inlineStr">
        <is>
          <t>Bgy. 37 - Bitano</t>
        </is>
      </c>
    </row>
    <row r="1250" spans="1:1">
      <c r="A1250" t="inlineStr">
        <is>
          <t>Bgy. 38 - Gogon</t>
        </is>
      </c>
    </row>
    <row r="1251" spans="1:1">
      <c r="A1251" t="inlineStr">
        <is>
          <t>Bgy. 39 - Bonot</t>
        </is>
      </c>
    </row>
    <row r="1252" spans="1:1">
      <c r="A1252" t="inlineStr">
        <is>
          <t>Bgy. 4 - Sagpon Pob.</t>
        </is>
      </c>
    </row>
    <row r="1253" spans="1:1">
      <c r="A1253" t="inlineStr">
        <is>
          <t>Bgy. 40 - Cruzada</t>
        </is>
      </c>
    </row>
    <row r="1254" spans="1:1">
      <c r="A1254" t="inlineStr">
        <is>
          <t>Bgy. 41 - Bogtong</t>
        </is>
      </c>
    </row>
    <row r="1255" spans="1:1">
      <c r="A1255" t="inlineStr">
        <is>
          <t>Bgy. 42 - Rawis</t>
        </is>
      </c>
    </row>
    <row r="1256" spans="1:1">
      <c r="A1256" t="inlineStr">
        <is>
          <t>Bgy. 43 - Tamaoyan</t>
        </is>
      </c>
    </row>
    <row r="1257" spans="1:1">
      <c r="A1257" t="inlineStr">
        <is>
          <t>Bgy. 44 - Pawa</t>
        </is>
      </c>
    </row>
    <row r="1258" spans="1:1">
      <c r="A1258" t="inlineStr">
        <is>
          <t>Bgy. 45 - Dita</t>
        </is>
      </c>
    </row>
    <row r="1259" spans="1:1">
      <c r="A1259" t="inlineStr">
        <is>
          <t>Bgy. 46 - San Joaquin</t>
        </is>
      </c>
    </row>
    <row r="1260" spans="1:1">
      <c r="A1260" t="inlineStr">
        <is>
          <t>Bgy. 47 - Arimbay</t>
        </is>
      </c>
    </row>
    <row r="1261" spans="1:1">
      <c r="A1261" t="inlineStr">
        <is>
          <t>Bgy. 48 - Bagong Abre</t>
        </is>
      </c>
    </row>
    <row r="1262" spans="1:1">
      <c r="A1262" t="inlineStr">
        <is>
          <t>Bgy. 49 - Bigaa</t>
        </is>
      </c>
    </row>
    <row r="1263" spans="1:1">
      <c r="A1263" t="inlineStr">
        <is>
          <t>Bgy. 5 - Sagmin Pob.</t>
        </is>
      </c>
    </row>
    <row r="1264" spans="1:1">
      <c r="A1264" t="inlineStr">
        <is>
          <t>Bgy. 50 - Padang</t>
        </is>
      </c>
    </row>
    <row r="1265" spans="1:1">
      <c r="A1265" t="inlineStr">
        <is>
          <t>Bgy. 51 - Buyuan</t>
        </is>
      </c>
    </row>
    <row r="1266" spans="1:1">
      <c r="A1266" t="inlineStr">
        <is>
          <t>Bgy. 52 - Matanag</t>
        </is>
      </c>
    </row>
    <row r="1267" spans="1:1">
      <c r="A1267" t="inlineStr">
        <is>
          <t>Bgy. 53 - Bonga</t>
        </is>
      </c>
    </row>
    <row r="1268" spans="1:1">
      <c r="A1268" t="inlineStr">
        <is>
          <t>Bgy. 54 - Mabinit</t>
        </is>
      </c>
    </row>
    <row r="1269" spans="1:1">
      <c r="A1269" t="inlineStr">
        <is>
          <t>Bgy. 55 - Estanza</t>
        </is>
      </c>
    </row>
    <row r="1270" spans="1:1">
      <c r="A1270" t="inlineStr">
        <is>
          <t>Bgy. 56 - Taysan</t>
        </is>
      </c>
    </row>
    <row r="1271" spans="1:1">
      <c r="A1271" t="inlineStr">
        <is>
          <t>Bgy. 57 - Dap-dap</t>
        </is>
      </c>
    </row>
    <row r="1272" spans="1:1">
      <c r="A1272" t="inlineStr">
        <is>
          <t>Bgy. 58 - Buragwis</t>
        </is>
      </c>
    </row>
    <row r="1273" spans="1:1">
      <c r="A1273" t="inlineStr">
        <is>
          <t>Bgy. 59 - Puro</t>
        </is>
      </c>
    </row>
    <row r="1274" spans="1:1">
      <c r="A1274" t="inlineStr">
        <is>
          <t>Bgy. 6 - Bañadero Pob.</t>
        </is>
      </c>
    </row>
    <row r="1275" spans="1:1">
      <c r="A1275" t="inlineStr">
        <is>
          <t>Bgy. 60 - Lamba</t>
        </is>
      </c>
    </row>
    <row r="1276" spans="1:1">
      <c r="A1276" t="inlineStr">
        <is>
          <t>Bgy. 61 - Maslog</t>
        </is>
      </c>
    </row>
    <row r="1277" spans="1:1">
      <c r="A1277" t="inlineStr">
        <is>
          <t>Bgy. 62 - Homapon</t>
        </is>
      </c>
    </row>
    <row r="1278" spans="1:1">
      <c r="A1278" t="inlineStr">
        <is>
          <t>Bgy. 63 - Mariawa</t>
        </is>
      </c>
    </row>
    <row r="1279" spans="1:1">
      <c r="A1279" t="inlineStr">
        <is>
          <t>Bgy. 64 - Bagacay</t>
        </is>
      </c>
    </row>
    <row r="1280" spans="1:1">
      <c r="A1280" t="inlineStr">
        <is>
          <t>Bgy. 65 - Imalnod</t>
        </is>
      </c>
    </row>
    <row r="1281" spans="1:1">
      <c r="A1281" t="inlineStr">
        <is>
          <t>Bgy. 66 - Banquerohan</t>
        </is>
      </c>
    </row>
    <row r="1282" spans="1:1">
      <c r="A1282" t="inlineStr">
        <is>
          <t>Bgy. 67 - Bariis</t>
        </is>
      </c>
    </row>
    <row r="1283" spans="1:1">
      <c r="A1283" t="inlineStr">
        <is>
          <t>Bgy. 68 - San Francisco</t>
        </is>
      </c>
    </row>
    <row r="1284" spans="1:1">
      <c r="A1284" t="inlineStr">
        <is>
          <t>Bgy. 69 - Buenavista</t>
        </is>
      </c>
    </row>
    <row r="1285" spans="1:1">
      <c r="A1285" t="inlineStr">
        <is>
          <t>Bgy. 7 - Baño</t>
        </is>
      </c>
    </row>
    <row r="1286" spans="1:1">
      <c r="A1286" t="inlineStr">
        <is>
          <t>Bgy. 70 - Cagbacong</t>
        </is>
      </c>
    </row>
    <row r="1287" spans="1:1">
      <c r="A1287" t="inlineStr">
        <is>
          <t>Bgy. 8 - Bagumbayan</t>
        </is>
      </c>
    </row>
    <row r="1288" spans="1:1">
      <c r="A1288" t="inlineStr">
        <is>
          <t>Bgy. 9 - Pinaric</t>
        </is>
      </c>
    </row>
    <row r="1289" spans="1:1">
      <c r="A1289" t="inlineStr">
        <is>
          <t>Abella</t>
        </is>
      </c>
    </row>
    <row r="1290" spans="1:1">
      <c r="A1290" t="inlineStr">
        <is>
          <t>Allang</t>
        </is>
      </c>
    </row>
    <row r="1291" spans="1:1">
      <c r="A1291" t="inlineStr">
        <is>
          <t>Amtic</t>
        </is>
      </c>
    </row>
    <row r="1292" spans="1:1">
      <c r="A1292" t="inlineStr">
        <is>
          <t>Bacong</t>
        </is>
      </c>
    </row>
    <row r="1293" spans="1:1">
      <c r="A1293" t="inlineStr">
        <is>
          <t>Bagumbayan</t>
        </is>
      </c>
    </row>
    <row r="1294" spans="1:1">
      <c r="A1294" t="inlineStr">
        <is>
          <t>Balanac</t>
        </is>
      </c>
    </row>
    <row r="1295" spans="1:1">
      <c r="A1295" t="inlineStr">
        <is>
          <t>Baligang</t>
        </is>
      </c>
    </row>
    <row r="1296" spans="1:1">
      <c r="A1296" t="inlineStr">
        <is>
          <t>Barayong</t>
        </is>
      </c>
    </row>
    <row r="1297" spans="1:1">
      <c r="A1297" t="inlineStr">
        <is>
          <t>Basag</t>
        </is>
      </c>
    </row>
    <row r="1298" spans="1:1">
      <c r="A1298" t="inlineStr">
        <is>
          <t>Batang</t>
        </is>
      </c>
    </row>
    <row r="1299" spans="1:1">
      <c r="A1299" t="inlineStr">
        <is>
          <t>Bay</t>
        </is>
      </c>
    </row>
    <row r="1300" spans="1:1">
      <c r="A1300" t="inlineStr">
        <is>
          <t>Binanowan</t>
        </is>
      </c>
    </row>
    <row r="1301" spans="1:1">
      <c r="A1301" t="inlineStr">
        <is>
          <t>Binatagan</t>
        </is>
      </c>
    </row>
    <row r="1302" spans="1:1">
      <c r="A1302" t="inlineStr">
        <is>
          <t>Bobonsuran</t>
        </is>
      </c>
    </row>
    <row r="1303" spans="1:1">
      <c r="A1303" t="inlineStr">
        <is>
          <t>Bonga</t>
        </is>
      </c>
    </row>
    <row r="1304" spans="1:1">
      <c r="A1304" t="inlineStr">
        <is>
          <t>Busac</t>
        </is>
      </c>
    </row>
    <row r="1305" spans="1:1">
      <c r="A1305" t="inlineStr">
        <is>
          <t>Busay</t>
        </is>
      </c>
    </row>
    <row r="1306" spans="1:1">
      <c r="A1306" t="inlineStr">
        <is>
          <t>Cabarian</t>
        </is>
      </c>
    </row>
    <row r="1307" spans="1:1">
      <c r="A1307" t="inlineStr">
        <is>
          <t>Calzada</t>
        </is>
      </c>
    </row>
    <row r="1308" spans="1:1">
      <c r="A1308" t="inlineStr">
        <is>
          <t>Catburawan</t>
        </is>
      </c>
    </row>
    <row r="1309" spans="1:1">
      <c r="A1309" t="inlineStr">
        <is>
          <t>Cavasi</t>
        </is>
      </c>
    </row>
    <row r="1310" spans="1:1">
      <c r="A1310" t="inlineStr">
        <is>
          <t>Culliat</t>
        </is>
      </c>
    </row>
    <row r="1311" spans="1:1">
      <c r="A1311" t="inlineStr">
        <is>
          <t>Dunao</t>
        </is>
      </c>
    </row>
    <row r="1312" spans="1:1">
      <c r="A1312" t="inlineStr">
        <is>
          <t>Francia</t>
        </is>
      </c>
    </row>
    <row r="1313" spans="1:1">
      <c r="A1313" t="inlineStr">
        <is>
          <t>Guilid</t>
        </is>
      </c>
    </row>
    <row r="1314" spans="1:1">
      <c r="A1314" t="inlineStr">
        <is>
          <t>Herrera</t>
        </is>
      </c>
    </row>
    <row r="1315" spans="1:1">
      <c r="A1315" t="inlineStr">
        <is>
          <t>Layon</t>
        </is>
      </c>
    </row>
    <row r="1316" spans="1:1">
      <c r="A1316" t="inlineStr">
        <is>
          <t>Macalidong</t>
        </is>
      </c>
    </row>
    <row r="1317" spans="1:1">
      <c r="A1317" t="inlineStr">
        <is>
          <t>Mahaba</t>
        </is>
      </c>
    </row>
    <row r="1318" spans="1:1">
      <c r="A1318" t="inlineStr">
        <is>
          <t>Malama</t>
        </is>
      </c>
    </row>
    <row r="1319" spans="1:1">
      <c r="A1319" t="inlineStr">
        <is>
          <t>Maonon</t>
        </is>
      </c>
    </row>
    <row r="1320" spans="1:1">
      <c r="A1320" t="inlineStr">
        <is>
          <t>Nabonton</t>
        </is>
      </c>
    </row>
    <row r="1321" spans="1:1">
      <c r="A1321" t="inlineStr">
        <is>
          <t>Nasisi</t>
        </is>
      </c>
    </row>
    <row r="1322" spans="1:1">
      <c r="A1322" t="inlineStr">
        <is>
          <t>Oma-oma</t>
        </is>
      </c>
    </row>
    <row r="1323" spans="1:1">
      <c r="A1323" t="inlineStr">
        <is>
          <t>Palapas</t>
        </is>
      </c>
    </row>
    <row r="1324" spans="1:1">
      <c r="A1324" t="inlineStr">
        <is>
          <t>Pandan</t>
        </is>
      </c>
    </row>
    <row r="1325" spans="1:1">
      <c r="A1325" t="inlineStr">
        <is>
          <t>Paulba</t>
        </is>
      </c>
    </row>
    <row r="1326" spans="1:1">
      <c r="A1326" t="inlineStr">
        <is>
          <t>Paulog</t>
        </is>
      </c>
    </row>
    <row r="1327" spans="1:1">
      <c r="A1327" t="inlineStr">
        <is>
          <t>Pinamaniquian</t>
        </is>
      </c>
    </row>
    <row r="1328" spans="1:1">
      <c r="A1328" t="inlineStr">
        <is>
          <t>Pinit</t>
        </is>
      </c>
    </row>
    <row r="1329" spans="1:1">
      <c r="A1329" t="inlineStr">
        <is>
          <t>Ranao-ranao</t>
        </is>
      </c>
    </row>
    <row r="1330" spans="1:1">
      <c r="A1330" t="inlineStr">
        <is>
          <t>San Vicente</t>
        </is>
      </c>
    </row>
    <row r="1331" spans="1:1">
      <c r="A1331" t="inlineStr">
        <is>
          <t>Santa Cruz</t>
        </is>
      </c>
    </row>
    <row r="1332" spans="1:1">
      <c r="A1332" t="inlineStr">
        <is>
          <t>Tagpo</t>
        </is>
      </c>
    </row>
    <row r="1333" spans="1:1">
      <c r="A1333" t="inlineStr">
        <is>
          <t>Tambo</t>
        </is>
      </c>
    </row>
    <row r="1334" spans="1:1">
      <c r="A1334" t="inlineStr">
        <is>
          <t>Tandarura</t>
        </is>
      </c>
    </row>
    <row r="1335" spans="1:1">
      <c r="A1335" t="inlineStr">
        <is>
          <t>Tastas</t>
        </is>
      </c>
    </row>
    <row r="1336" spans="1:1">
      <c r="A1336" t="inlineStr">
        <is>
          <t>Tinago</t>
        </is>
      </c>
    </row>
    <row r="1337" spans="1:1">
      <c r="A1337" t="inlineStr">
        <is>
          <t>Tinampo</t>
        </is>
      </c>
    </row>
    <row r="1338" spans="1:1">
      <c r="A1338" t="inlineStr">
        <is>
          <t>Tiongson</t>
        </is>
      </c>
    </row>
    <row r="1339" spans="1:1">
      <c r="A1339" t="inlineStr">
        <is>
          <t>Tomolin</t>
        </is>
      </c>
    </row>
    <row r="1340" spans="1:1">
      <c r="A1340" t="inlineStr">
        <is>
          <t>Tuburan</t>
        </is>
      </c>
    </row>
    <row r="1341" spans="1:1">
      <c r="A1341" t="inlineStr">
        <is>
          <t>Tula-tula Grande</t>
        </is>
      </c>
    </row>
    <row r="1342" spans="1:1">
      <c r="A1342" t="inlineStr">
        <is>
          <t>Tula-tula Pequeño</t>
        </is>
      </c>
    </row>
    <row r="1343" spans="1:1">
      <c r="A1343" t="inlineStr">
        <is>
          <t>Tupas</t>
        </is>
      </c>
    </row>
    <row r="1344" spans="1:1">
      <c r="A1344" t="inlineStr">
        <is>
          <t>Agnas</t>
        </is>
      </c>
    </row>
    <row r="1345" spans="1:1">
      <c r="A1345" t="inlineStr">
        <is>
          <t>Bacolod</t>
        </is>
      </c>
    </row>
    <row r="1346" spans="1:1">
      <c r="A1346" t="inlineStr">
        <is>
          <t>Bangkilingan</t>
        </is>
      </c>
    </row>
    <row r="1347" spans="1:1">
      <c r="A1347" t="inlineStr">
        <is>
          <t>Bantayan</t>
        </is>
      </c>
    </row>
    <row r="1348" spans="1:1">
      <c r="A1348" t="inlineStr">
        <is>
          <t>Baranghawon</t>
        </is>
      </c>
    </row>
    <row r="1349" spans="1:1">
      <c r="A1349" t="inlineStr">
        <is>
          <t>Basagan</t>
        </is>
      </c>
    </row>
    <row r="1350" spans="1:1">
      <c r="A1350" t="inlineStr">
        <is>
          <t>Basud</t>
        </is>
      </c>
    </row>
    <row r="1351" spans="1:1">
      <c r="A1351" t="inlineStr">
        <is>
          <t>Bogñabong</t>
        </is>
      </c>
    </row>
    <row r="1352" spans="1:1">
      <c r="A1352" t="inlineStr">
        <is>
          <t>Bombon</t>
        </is>
      </c>
    </row>
    <row r="1353" spans="1:1">
      <c r="A1353" t="inlineStr">
        <is>
          <t>Bonot</t>
        </is>
      </c>
    </row>
    <row r="1354" spans="1:1">
      <c r="A1354" t="inlineStr">
        <is>
          <t>Buang</t>
        </is>
      </c>
    </row>
    <row r="1355" spans="1:1">
      <c r="A1355" t="inlineStr">
        <is>
          <t>Buhian</t>
        </is>
      </c>
    </row>
    <row r="1356" spans="1:1">
      <c r="A1356" t="inlineStr">
        <is>
          <t>Cabagñan</t>
        </is>
      </c>
    </row>
    <row r="1357" spans="1:1">
      <c r="A1357" t="inlineStr">
        <is>
          <t>Cobo</t>
        </is>
      </c>
    </row>
    <row r="1358" spans="1:1">
      <c r="A1358" t="inlineStr">
        <is>
          <t>Comon</t>
        </is>
      </c>
    </row>
    <row r="1359" spans="1:1">
      <c r="A1359" t="inlineStr">
        <is>
          <t>Cormidal</t>
        </is>
      </c>
    </row>
    <row r="1360" spans="1:1">
      <c r="A1360" t="inlineStr">
        <is>
          <t>Divino Rostro</t>
        </is>
      </c>
    </row>
    <row r="1361" spans="1:1">
      <c r="A1361" t="inlineStr">
        <is>
          <t>Fatima</t>
        </is>
      </c>
    </row>
    <row r="1362" spans="1:1">
      <c r="A1362" t="inlineStr">
        <is>
          <t>Guinobat</t>
        </is>
      </c>
    </row>
    <row r="1363" spans="1:1">
      <c r="A1363" t="inlineStr">
        <is>
          <t>Hacienda</t>
        </is>
      </c>
    </row>
    <row r="1364" spans="1:1">
      <c r="A1364" t="inlineStr">
        <is>
          <t>Magapo</t>
        </is>
      </c>
    </row>
    <row r="1365" spans="1:1">
      <c r="A1365" t="inlineStr">
        <is>
          <t>Mariroc</t>
        </is>
      </c>
    </row>
    <row r="1366" spans="1:1">
      <c r="A1366" t="inlineStr">
        <is>
          <t>Matagbac</t>
        </is>
      </c>
    </row>
    <row r="1367" spans="1:1">
      <c r="A1367" t="inlineStr">
        <is>
          <t>Oras</t>
        </is>
      </c>
    </row>
    <row r="1368" spans="1:1">
      <c r="A1368" t="inlineStr">
        <is>
          <t>Oson</t>
        </is>
      </c>
    </row>
    <row r="1369" spans="1:1">
      <c r="A1369" t="inlineStr">
        <is>
          <t>Panal</t>
        </is>
      </c>
    </row>
    <row r="1370" spans="1:1">
      <c r="A1370" t="inlineStr">
        <is>
          <t>Pawa</t>
        </is>
      </c>
    </row>
    <row r="1371" spans="1:1">
      <c r="A1371" t="inlineStr">
        <is>
          <t>Pinagbobong</t>
        </is>
      </c>
    </row>
    <row r="1372" spans="1:1">
      <c r="A1372" t="inlineStr">
        <is>
          <t>Quinale Cabasan</t>
        </is>
      </c>
    </row>
    <row r="1373" spans="1:1">
      <c r="A1373" t="inlineStr">
        <is>
          <t>Quinastillojan</t>
        </is>
      </c>
    </row>
    <row r="1374" spans="1:1">
      <c r="A1374" t="inlineStr">
        <is>
          <t>Rawis</t>
        </is>
      </c>
    </row>
    <row r="1375" spans="1:1">
      <c r="A1375" t="inlineStr">
        <is>
          <t>Sagurong</t>
        </is>
      </c>
    </row>
    <row r="1376" spans="1:1">
      <c r="A1376" t="inlineStr">
        <is>
          <t>Salvacion</t>
        </is>
      </c>
    </row>
    <row r="1377" spans="1:1">
      <c r="A1377" t="inlineStr">
        <is>
          <t>San Antonio</t>
        </is>
      </c>
    </row>
    <row r="1378" spans="1:1">
      <c r="A1378" t="inlineStr">
        <is>
          <t>San Carlos</t>
        </is>
      </c>
    </row>
    <row r="1379" spans="1:1">
      <c r="A1379" t="inlineStr">
        <is>
          <t>San Isidro</t>
        </is>
      </c>
    </row>
    <row r="1380" spans="1:1">
      <c r="A1380" t="inlineStr">
        <is>
          <t>San Juan</t>
        </is>
      </c>
    </row>
    <row r="1381" spans="1:1">
      <c r="A1381" t="inlineStr">
        <is>
          <t>San Lorenzo</t>
        </is>
      </c>
    </row>
    <row r="1382" spans="1:1">
      <c r="A1382" t="inlineStr">
        <is>
          <t>San Ramon</t>
        </is>
      </c>
    </row>
    <row r="1383" spans="1:1">
      <c r="A1383" t="inlineStr">
        <is>
          <t>San Roque</t>
        </is>
      </c>
    </row>
    <row r="1384" spans="1:1">
      <c r="A1384" t="inlineStr">
        <is>
          <t>San Vicente</t>
        </is>
      </c>
    </row>
    <row r="1385" spans="1:1">
      <c r="A1385" t="inlineStr">
        <is>
          <t>Santo Cristo</t>
        </is>
      </c>
    </row>
    <row r="1386" spans="1:1">
      <c r="A1386" t="inlineStr">
        <is>
          <t>Sua-Igot</t>
        </is>
      </c>
    </row>
    <row r="1387" spans="1:1">
      <c r="A1387" t="inlineStr">
        <is>
          <t>Tabiguian</t>
        </is>
      </c>
    </row>
    <row r="1388" spans="1:1">
      <c r="A1388" t="inlineStr">
        <is>
          <t>Tagas</t>
        </is>
      </c>
    </row>
    <row r="1389" spans="1:1">
      <c r="A1389" t="inlineStr">
        <is>
          <t>Tayhi</t>
        </is>
      </c>
    </row>
    <row r="1390" spans="1:1">
      <c r="A1390" t="inlineStr">
        <is>
          <t>Visita</t>
        </is>
      </c>
    </row>
    <row r="1391" spans="1:1">
      <c r="A1391" t="inlineStr">
        <is>
          <t>Alcala</t>
        </is>
      </c>
    </row>
    <row r="1392" spans="1:1">
      <c r="A1392" t="inlineStr">
        <is>
          <t>Alobo</t>
        </is>
      </c>
    </row>
    <row r="1393" spans="1:1">
      <c r="A1393" t="inlineStr">
        <is>
          <t>Anislag</t>
        </is>
      </c>
    </row>
    <row r="1394" spans="1:1">
      <c r="A1394" t="inlineStr">
        <is>
          <t>Bagumbayan</t>
        </is>
      </c>
    </row>
    <row r="1395" spans="1:1">
      <c r="A1395" t="inlineStr">
        <is>
          <t>Balinad</t>
        </is>
      </c>
    </row>
    <row r="1396" spans="1:1">
      <c r="A1396" t="inlineStr">
        <is>
          <t>Bascaran</t>
        </is>
      </c>
    </row>
    <row r="1397" spans="1:1">
      <c r="A1397" t="inlineStr">
        <is>
          <t>Bañadero</t>
        </is>
      </c>
    </row>
    <row r="1398" spans="1:1">
      <c r="A1398" t="inlineStr">
        <is>
          <t>Bañag</t>
        </is>
      </c>
    </row>
    <row r="1399" spans="1:1">
      <c r="A1399" t="inlineStr">
        <is>
          <t>Bigao</t>
        </is>
      </c>
    </row>
    <row r="1400" spans="1:1">
      <c r="A1400" t="inlineStr">
        <is>
          <t>Binitayan</t>
        </is>
      </c>
    </row>
    <row r="1401" spans="1:1">
      <c r="A1401" t="inlineStr">
        <is>
          <t>Bongalon</t>
        </is>
      </c>
    </row>
    <row r="1402" spans="1:1">
      <c r="A1402" t="inlineStr">
        <is>
          <t>Budiao</t>
        </is>
      </c>
    </row>
    <row r="1403" spans="1:1">
      <c r="A1403" t="inlineStr">
        <is>
          <t>Burgos</t>
        </is>
      </c>
    </row>
    <row r="1404" spans="1:1">
      <c r="A1404" t="inlineStr">
        <is>
          <t>Busay</t>
        </is>
      </c>
    </row>
    <row r="1405" spans="1:1">
      <c r="A1405" t="inlineStr">
        <is>
          <t>Canarom</t>
        </is>
      </c>
    </row>
    <row r="1406" spans="1:1">
      <c r="A1406" t="inlineStr">
        <is>
          <t>Cullat</t>
        </is>
      </c>
    </row>
    <row r="1407" spans="1:1">
      <c r="A1407" t="inlineStr">
        <is>
          <t>Dela Paz</t>
        </is>
      </c>
    </row>
    <row r="1408" spans="1:1">
      <c r="A1408" t="inlineStr">
        <is>
          <t>Dinoronan</t>
        </is>
      </c>
    </row>
    <row r="1409" spans="1:1">
      <c r="A1409" t="inlineStr">
        <is>
          <t>Gabawan</t>
        </is>
      </c>
    </row>
    <row r="1410" spans="1:1">
      <c r="A1410" t="inlineStr">
        <is>
          <t>Gapo</t>
        </is>
      </c>
    </row>
    <row r="1411" spans="1:1">
      <c r="A1411" t="inlineStr">
        <is>
          <t>Ibaugan</t>
        </is>
      </c>
    </row>
    <row r="1412" spans="1:1">
      <c r="A1412" t="inlineStr">
        <is>
          <t>Ilawod Area Pob.</t>
        </is>
      </c>
    </row>
    <row r="1413" spans="1:1">
      <c r="A1413" t="inlineStr">
        <is>
          <t>Inarado</t>
        </is>
      </c>
    </row>
    <row r="1414" spans="1:1">
      <c r="A1414" t="inlineStr">
        <is>
          <t>Kidaco</t>
        </is>
      </c>
    </row>
    <row r="1415" spans="1:1">
      <c r="A1415" t="inlineStr">
        <is>
          <t>Kilicao</t>
        </is>
      </c>
    </row>
    <row r="1416" spans="1:1">
      <c r="A1416" t="inlineStr">
        <is>
          <t>Kimantong</t>
        </is>
      </c>
    </row>
    <row r="1417" spans="1:1">
      <c r="A1417" t="inlineStr">
        <is>
          <t>Kinawitan</t>
        </is>
      </c>
    </row>
    <row r="1418" spans="1:1">
      <c r="A1418" t="inlineStr">
        <is>
          <t>Kiwalo</t>
        </is>
      </c>
    </row>
    <row r="1419" spans="1:1">
      <c r="A1419" t="inlineStr">
        <is>
          <t>Lacag</t>
        </is>
      </c>
    </row>
    <row r="1420" spans="1:1">
      <c r="A1420" t="inlineStr">
        <is>
          <t>Mabini</t>
        </is>
      </c>
    </row>
    <row r="1421" spans="1:1">
      <c r="A1421" t="inlineStr">
        <is>
          <t>Malabog</t>
        </is>
      </c>
    </row>
    <row r="1422" spans="1:1">
      <c r="A1422" t="inlineStr">
        <is>
          <t>Malobago</t>
        </is>
      </c>
    </row>
    <row r="1423" spans="1:1">
      <c r="A1423" t="inlineStr">
        <is>
          <t>Maopi</t>
        </is>
      </c>
    </row>
    <row r="1424" spans="1:1">
      <c r="A1424" t="inlineStr">
        <is>
          <t>Market Area Pob.</t>
        </is>
      </c>
    </row>
    <row r="1425" spans="1:1">
      <c r="A1425" t="inlineStr">
        <is>
          <t>Maroroy</t>
        </is>
      </c>
    </row>
    <row r="1426" spans="1:1">
      <c r="A1426" t="inlineStr">
        <is>
          <t>Matnog</t>
        </is>
      </c>
    </row>
    <row r="1427" spans="1:1">
      <c r="A1427" t="inlineStr">
        <is>
          <t>Mayon</t>
        </is>
      </c>
    </row>
    <row r="1428" spans="1:1">
      <c r="A1428" t="inlineStr">
        <is>
          <t>Mi-isi</t>
        </is>
      </c>
    </row>
    <row r="1429" spans="1:1">
      <c r="A1429" t="inlineStr">
        <is>
          <t>Nabasan</t>
        </is>
      </c>
    </row>
    <row r="1430" spans="1:1">
      <c r="A1430" t="inlineStr">
        <is>
          <t>Namantao</t>
        </is>
      </c>
    </row>
    <row r="1431" spans="1:1">
      <c r="A1431" t="inlineStr">
        <is>
          <t>Pandan</t>
        </is>
      </c>
    </row>
    <row r="1432" spans="1:1">
      <c r="A1432" t="inlineStr">
        <is>
          <t>Peñafrancia</t>
        </is>
      </c>
    </row>
    <row r="1433" spans="1:1">
      <c r="A1433" t="inlineStr">
        <is>
          <t>Sagpon</t>
        </is>
      </c>
    </row>
    <row r="1434" spans="1:1">
      <c r="A1434" t="inlineStr">
        <is>
          <t>Salvacion</t>
        </is>
      </c>
    </row>
    <row r="1435" spans="1:1">
      <c r="A1435" t="inlineStr">
        <is>
          <t>San Rafael</t>
        </is>
      </c>
    </row>
    <row r="1436" spans="1:1">
      <c r="A1436" t="inlineStr">
        <is>
          <t>San Ramon</t>
        </is>
      </c>
    </row>
    <row r="1437" spans="1:1">
      <c r="A1437" t="inlineStr">
        <is>
          <t>San Roque</t>
        </is>
      </c>
    </row>
    <row r="1438" spans="1:1">
      <c r="A1438" t="inlineStr">
        <is>
          <t>San Vicente Grande</t>
        </is>
      </c>
    </row>
    <row r="1439" spans="1:1">
      <c r="A1439" t="inlineStr">
        <is>
          <t>San Vicente Pequeño</t>
        </is>
      </c>
    </row>
    <row r="1440" spans="1:1">
      <c r="A1440" t="inlineStr">
        <is>
          <t>Sipi</t>
        </is>
      </c>
    </row>
    <row r="1441" spans="1:1">
      <c r="A1441" t="inlineStr">
        <is>
          <t>Tabon-tabon</t>
        </is>
      </c>
    </row>
    <row r="1442" spans="1:1">
      <c r="A1442" t="inlineStr">
        <is>
          <t>Tagas</t>
        </is>
      </c>
    </row>
    <row r="1443" spans="1:1">
      <c r="A1443" t="inlineStr">
        <is>
          <t>Talahib</t>
        </is>
      </c>
    </row>
    <row r="1444" spans="1:1">
      <c r="A1444" t="inlineStr">
        <is>
          <t>Villahermosa</t>
        </is>
      </c>
    </row>
    <row r="1445" spans="1:1">
      <c r="A1445" t="inlineStr">
        <is>
          <t>Agpay</t>
        </is>
      </c>
    </row>
    <row r="1446" spans="1:1">
      <c r="A1446" t="inlineStr">
        <is>
          <t>Balite</t>
        </is>
      </c>
    </row>
    <row r="1447" spans="1:1">
      <c r="A1447" t="inlineStr">
        <is>
          <t>Banao</t>
        </is>
      </c>
    </row>
    <row r="1448" spans="1:1">
      <c r="A1448" t="inlineStr">
        <is>
          <t>Batbat</t>
        </is>
      </c>
    </row>
    <row r="1449" spans="1:1">
      <c r="A1449" t="inlineStr">
        <is>
          <t>Binogsacan Lower</t>
        </is>
      </c>
    </row>
    <row r="1450" spans="1:1">
      <c r="A1450" t="inlineStr">
        <is>
          <t>Binogsacan Upper</t>
        </is>
      </c>
    </row>
    <row r="1451" spans="1:1">
      <c r="A1451" t="inlineStr">
        <is>
          <t>Bololo</t>
        </is>
      </c>
    </row>
    <row r="1452" spans="1:1">
      <c r="A1452" t="inlineStr">
        <is>
          <t>Bubulusan</t>
        </is>
      </c>
    </row>
    <row r="1453" spans="1:1">
      <c r="A1453" t="inlineStr">
        <is>
          <t>Calzada</t>
        </is>
      </c>
    </row>
    <row r="1454" spans="1:1">
      <c r="A1454" t="inlineStr">
        <is>
          <t>Catomag</t>
        </is>
      </c>
    </row>
    <row r="1455" spans="1:1">
      <c r="A1455" t="inlineStr">
        <is>
          <t>Doña Mercedes</t>
        </is>
      </c>
    </row>
    <row r="1456" spans="1:1">
      <c r="A1456" t="inlineStr">
        <is>
          <t>Doña Tomasa</t>
        </is>
      </c>
    </row>
    <row r="1457" spans="1:1">
      <c r="A1457" t="inlineStr">
        <is>
          <t>Ilawod</t>
        </is>
      </c>
    </row>
    <row r="1458" spans="1:1">
      <c r="A1458" t="inlineStr">
        <is>
          <t>Inamnan Grande</t>
        </is>
      </c>
    </row>
    <row r="1459" spans="1:1">
      <c r="A1459" t="inlineStr">
        <is>
          <t>Inamnan Pequeño</t>
        </is>
      </c>
    </row>
    <row r="1460" spans="1:1">
      <c r="A1460" t="inlineStr">
        <is>
          <t>Inascan</t>
        </is>
      </c>
    </row>
    <row r="1461" spans="1:1">
      <c r="A1461" t="inlineStr">
        <is>
          <t>Iraya</t>
        </is>
      </c>
    </row>
    <row r="1462" spans="1:1">
      <c r="A1462" t="inlineStr">
        <is>
          <t>Lomacao</t>
        </is>
      </c>
    </row>
    <row r="1463" spans="1:1">
      <c r="A1463" t="inlineStr">
        <is>
          <t>Maguiron</t>
        </is>
      </c>
    </row>
    <row r="1464" spans="1:1">
      <c r="A1464" t="inlineStr">
        <is>
          <t>Maipon</t>
        </is>
      </c>
    </row>
    <row r="1465" spans="1:1">
      <c r="A1465" t="inlineStr">
        <is>
          <t>Malabnig</t>
        </is>
      </c>
    </row>
    <row r="1466" spans="1:1">
      <c r="A1466" t="inlineStr">
        <is>
          <t>Malipo</t>
        </is>
      </c>
    </row>
    <row r="1467" spans="1:1">
      <c r="A1467" t="inlineStr">
        <is>
          <t>Malobago</t>
        </is>
      </c>
    </row>
    <row r="1468" spans="1:1">
      <c r="A1468" t="inlineStr">
        <is>
          <t>Maninila</t>
        </is>
      </c>
    </row>
    <row r="1469" spans="1:1">
      <c r="A1469" t="inlineStr">
        <is>
          <t>Mapaco</t>
        </is>
      </c>
    </row>
    <row r="1470" spans="1:1">
      <c r="A1470" t="inlineStr">
        <is>
          <t>Marcial O. Rañola</t>
        </is>
      </c>
    </row>
    <row r="1471" spans="1:1">
      <c r="A1471" t="inlineStr">
        <is>
          <t>Masarawag</t>
        </is>
      </c>
    </row>
    <row r="1472" spans="1:1">
      <c r="A1472" t="inlineStr">
        <is>
          <t>Mauraro</t>
        </is>
      </c>
    </row>
    <row r="1473" spans="1:1">
      <c r="A1473" t="inlineStr">
        <is>
          <t>Minto</t>
        </is>
      </c>
    </row>
    <row r="1474" spans="1:1">
      <c r="A1474" t="inlineStr">
        <is>
          <t>Morera</t>
        </is>
      </c>
    </row>
    <row r="1475" spans="1:1">
      <c r="A1475" t="inlineStr">
        <is>
          <t>Muladbucad Grande</t>
        </is>
      </c>
    </row>
    <row r="1476" spans="1:1">
      <c r="A1476" t="inlineStr">
        <is>
          <t>Muladbucad Pequeño</t>
        </is>
      </c>
    </row>
    <row r="1477" spans="1:1">
      <c r="A1477" t="inlineStr">
        <is>
          <t>Ongo</t>
        </is>
      </c>
    </row>
    <row r="1478" spans="1:1">
      <c r="A1478" t="inlineStr">
        <is>
          <t>Palanas</t>
        </is>
      </c>
    </row>
    <row r="1479" spans="1:1">
      <c r="A1479" t="inlineStr">
        <is>
          <t>Poblacion</t>
        </is>
      </c>
    </row>
    <row r="1480" spans="1:1">
      <c r="A1480" t="inlineStr">
        <is>
          <t>Pood</t>
        </is>
      </c>
    </row>
    <row r="1481" spans="1:1">
      <c r="A1481" t="inlineStr">
        <is>
          <t>Quibongbongan</t>
        </is>
      </c>
    </row>
    <row r="1482" spans="1:1">
      <c r="A1482" t="inlineStr">
        <is>
          <t>Quitago</t>
        </is>
      </c>
    </row>
    <row r="1483" spans="1:1">
      <c r="A1483" t="inlineStr">
        <is>
          <t>San Francisco</t>
        </is>
      </c>
    </row>
    <row r="1484" spans="1:1">
      <c r="A1484" t="inlineStr">
        <is>
          <t>San Jose</t>
        </is>
      </c>
    </row>
    <row r="1485" spans="1:1">
      <c r="A1485" t="inlineStr">
        <is>
          <t>San Rafael</t>
        </is>
      </c>
    </row>
    <row r="1486" spans="1:1">
      <c r="A1486" t="inlineStr">
        <is>
          <t>Sinungtan</t>
        </is>
      </c>
    </row>
    <row r="1487" spans="1:1">
      <c r="A1487" t="inlineStr">
        <is>
          <t>Tandarora</t>
        </is>
      </c>
    </row>
    <row r="1488" spans="1:1">
      <c r="A1488" t="inlineStr">
        <is>
          <t>Travesia</t>
        </is>
      </c>
    </row>
    <row r="1489" spans="1:1">
      <c r="A1489" t="inlineStr">
        <is>
          <t>Aurora Pob.</t>
        </is>
      </c>
    </row>
    <row r="1490" spans="1:1">
      <c r="A1490" t="inlineStr">
        <is>
          <t>Bagacay</t>
        </is>
      </c>
    </row>
    <row r="1491" spans="1:1">
      <c r="A1491" t="inlineStr">
        <is>
          <t>Bautista</t>
        </is>
      </c>
    </row>
    <row r="1492" spans="1:1">
      <c r="A1492" t="inlineStr">
        <is>
          <t>Cabraran</t>
        </is>
      </c>
    </row>
    <row r="1493" spans="1:1">
      <c r="A1493" t="inlineStr">
        <is>
          <t>Calzada Pob.</t>
        </is>
      </c>
    </row>
    <row r="1494" spans="1:1">
      <c r="A1494" t="inlineStr">
        <is>
          <t>Del Rosario</t>
        </is>
      </c>
    </row>
    <row r="1495" spans="1:1">
      <c r="A1495" t="inlineStr">
        <is>
          <t>Estrella</t>
        </is>
      </c>
    </row>
    <row r="1496" spans="1:1">
      <c r="A1496" t="inlineStr">
        <is>
          <t>Florista</t>
        </is>
      </c>
    </row>
    <row r="1497" spans="1:1">
      <c r="A1497" t="inlineStr">
        <is>
          <t>Mabini Pob.</t>
        </is>
      </c>
    </row>
    <row r="1498" spans="1:1">
      <c r="A1498" t="inlineStr">
        <is>
          <t>Magsaysay Pob</t>
        </is>
      </c>
    </row>
    <row r="1499" spans="1:1">
      <c r="A1499" t="inlineStr">
        <is>
          <t>Mamlad</t>
        </is>
      </c>
    </row>
    <row r="1500" spans="1:1">
      <c r="A1500" t="inlineStr">
        <is>
          <t>Maogog</t>
        </is>
      </c>
    </row>
    <row r="1501" spans="1:1">
      <c r="A1501" t="inlineStr">
        <is>
          <t>Mercado Pob.</t>
        </is>
      </c>
    </row>
    <row r="1502" spans="1:1">
      <c r="A1502" t="inlineStr">
        <is>
          <t>Plaza Pob.</t>
        </is>
      </c>
    </row>
    <row r="1503" spans="1:1">
      <c r="A1503" t="inlineStr">
        <is>
          <t>Quitinday Pob.</t>
        </is>
      </c>
    </row>
    <row r="1504" spans="1:1">
      <c r="A1504" t="inlineStr">
        <is>
          <t>Rizal Pob.</t>
        </is>
      </c>
    </row>
    <row r="1505" spans="1:1">
      <c r="A1505" t="inlineStr">
        <is>
          <t>Salvacion</t>
        </is>
      </c>
    </row>
    <row r="1506" spans="1:1">
      <c r="A1506" t="inlineStr">
        <is>
          <t>San Isidro</t>
        </is>
      </c>
    </row>
    <row r="1507" spans="1:1">
      <c r="A1507" t="inlineStr">
        <is>
          <t>San Roque</t>
        </is>
      </c>
    </row>
    <row r="1508" spans="1:1">
      <c r="A1508" t="inlineStr">
        <is>
          <t>San Vicente</t>
        </is>
      </c>
    </row>
    <row r="1509" spans="1:1">
      <c r="A1509" t="inlineStr">
        <is>
          <t>Sinagaran</t>
        </is>
      </c>
    </row>
    <row r="1510" spans="1:1">
      <c r="A1510" t="inlineStr">
        <is>
          <t>Villa Paz</t>
        </is>
      </c>
    </row>
    <row r="1511" spans="1:1">
      <c r="A1511" t="inlineStr">
        <is>
          <t>White Deer Pob.</t>
        </is>
      </c>
    </row>
    <row r="1512" spans="1:1">
      <c r="A1512" t="inlineStr">
        <is>
          <t>Alongong</t>
        </is>
      </c>
    </row>
    <row r="1513" spans="1:1">
      <c r="A1513" t="inlineStr">
        <is>
          <t>Apud</t>
        </is>
      </c>
    </row>
    <row r="1514" spans="1:1">
      <c r="A1514" t="inlineStr">
        <is>
          <t>Bacolod</t>
        </is>
      </c>
    </row>
    <row r="1515" spans="1:1">
      <c r="A1515" t="inlineStr">
        <is>
          <t>Bariw</t>
        </is>
      </c>
    </row>
    <row r="1516" spans="1:1">
      <c r="A1516" t="inlineStr">
        <is>
          <t>Bonbon</t>
        </is>
      </c>
    </row>
    <row r="1517" spans="1:1">
      <c r="A1517" t="inlineStr">
        <is>
          <t>Buga</t>
        </is>
      </c>
    </row>
    <row r="1518" spans="1:1">
      <c r="A1518" t="inlineStr">
        <is>
          <t>Bulusan</t>
        </is>
      </c>
    </row>
    <row r="1519" spans="1:1">
      <c r="A1519" t="inlineStr">
        <is>
          <t>Burabod</t>
        </is>
      </c>
    </row>
    <row r="1520" spans="1:1">
      <c r="A1520" t="inlineStr">
        <is>
          <t>Caguscos</t>
        </is>
      </c>
    </row>
    <row r="1521" spans="1:1">
      <c r="A1521" t="inlineStr">
        <is>
          <t>East Carisac</t>
        </is>
      </c>
    </row>
    <row r="1522" spans="1:1">
      <c r="A1522" t="inlineStr">
        <is>
          <t>Harigue</t>
        </is>
      </c>
    </row>
    <row r="1523" spans="1:1">
      <c r="A1523" t="inlineStr">
        <is>
          <t>Libtong</t>
        </is>
      </c>
    </row>
    <row r="1524" spans="1:1">
      <c r="A1524" t="inlineStr">
        <is>
          <t>Linao</t>
        </is>
      </c>
    </row>
    <row r="1525" spans="1:1">
      <c r="A1525" t="inlineStr">
        <is>
          <t>Mabayawas</t>
        </is>
      </c>
    </row>
    <row r="1526" spans="1:1">
      <c r="A1526" t="inlineStr">
        <is>
          <t>Macabugos</t>
        </is>
      </c>
    </row>
    <row r="1527" spans="1:1">
      <c r="A1527" t="inlineStr">
        <is>
          <t>Magallang</t>
        </is>
      </c>
    </row>
    <row r="1528" spans="1:1">
      <c r="A1528" t="inlineStr">
        <is>
          <t>Malabiga</t>
        </is>
      </c>
    </row>
    <row r="1529" spans="1:1">
      <c r="A1529" t="inlineStr">
        <is>
          <t>Marayag</t>
        </is>
      </c>
    </row>
    <row r="1530" spans="1:1">
      <c r="A1530" t="inlineStr">
        <is>
          <t>Matara</t>
        </is>
      </c>
    </row>
    <row r="1531" spans="1:1">
      <c r="A1531" t="inlineStr">
        <is>
          <t>Molosbolos</t>
        </is>
      </c>
    </row>
    <row r="1532" spans="1:1">
      <c r="A1532" t="inlineStr">
        <is>
          <t>Natasan</t>
        </is>
      </c>
    </row>
    <row r="1533" spans="1:1">
      <c r="A1533" t="inlineStr">
        <is>
          <t>Niño Jesus</t>
        </is>
      </c>
    </row>
    <row r="1534" spans="1:1">
      <c r="A1534" t="inlineStr">
        <is>
          <t>Nogpo</t>
        </is>
      </c>
    </row>
    <row r="1535" spans="1:1">
      <c r="A1535" t="inlineStr">
        <is>
          <t>Pantao</t>
        </is>
      </c>
    </row>
    <row r="1536" spans="1:1">
      <c r="A1536" t="inlineStr">
        <is>
          <t>Rawis</t>
        </is>
      </c>
    </row>
    <row r="1537" spans="1:1">
      <c r="A1537" t="inlineStr">
        <is>
          <t>Sagrada Familia</t>
        </is>
      </c>
    </row>
    <row r="1538" spans="1:1">
      <c r="A1538" t="inlineStr">
        <is>
          <t>Salvacion</t>
        </is>
      </c>
    </row>
    <row r="1539" spans="1:1">
      <c r="A1539" t="inlineStr">
        <is>
          <t>Sampongan</t>
        </is>
      </c>
    </row>
    <row r="1540" spans="1:1">
      <c r="A1540" t="inlineStr">
        <is>
          <t>San Agustin</t>
        </is>
      </c>
    </row>
    <row r="1541" spans="1:1">
      <c r="A1541" t="inlineStr">
        <is>
          <t>San Antonio</t>
        </is>
      </c>
    </row>
    <row r="1542" spans="1:1">
      <c r="A1542" t="inlineStr">
        <is>
          <t>San Isidro</t>
        </is>
      </c>
    </row>
    <row r="1543" spans="1:1">
      <c r="A1543" t="inlineStr">
        <is>
          <t>San Jose</t>
        </is>
      </c>
    </row>
    <row r="1544" spans="1:1">
      <c r="A1544" t="inlineStr">
        <is>
          <t>San Pascual</t>
        </is>
      </c>
    </row>
    <row r="1545" spans="1:1">
      <c r="A1545" t="inlineStr">
        <is>
          <t>San Ramon</t>
        </is>
      </c>
    </row>
    <row r="1546" spans="1:1">
      <c r="A1546" t="inlineStr">
        <is>
          <t>San Vicente</t>
        </is>
      </c>
    </row>
    <row r="1547" spans="1:1">
      <c r="A1547" t="inlineStr">
        <is>
          <t>Santa Cruz</t>
        </is>
      </c>
    </row>
    <row r="1548" spans="1:1">
      <c r="A1548" t="inlineStr">
        <is>
          <t>Talin-talin</t>
        </is>
      </c>
    </row>
    <row r="1549" spans="1:1">
      <c r="A1549" t="inlineStr">
        <is>
          <t>Tambo</t>
        </is>
      </c>
    </row>
    <row r="1550" spans="1:1">
      <c r="A1550" t="inlineStr">
        <is>
          <t>Villa Petrona</t>
        </is>
      </c>
    </row>
    <row r="1551" spans="1:1">
      <c r="A1551" t="inlineStr">
        <is>
          <t>West Carisac</t>
        </is>
      </c>
    </row>
    <row r="1552" spans="1:1">
      <c r="A1552" t="inlineStr">
        <is>
          <t>Zone I</t>
        </is>
      </c>
    </row>
    <row r="1553" spans="1:1">
      <c r="A1553" t="inlineStr">
        <is>
          <t>Zone II</t>
        </is>
      </c>
    </row>
    <row r="1554" spans="1:1">
      <c r="A1554" t="inlineStr">
        <is>
          <t>Zone III</t>
        </is>
      </c>
    </row>
    <row r="1555" spans="1:1">
      <c r="A1555" t="inlineStr">
        <is>
          <t>Zone IV</t>
        </is>
      </c>
    </row>
    <row r="1556" spans="1:1">
      <c r="A1556" t="inlineStr">
        <is>
          <t>Zone V</t>
        </is>
      </c>
    </row>
    <row r="1557" spans="1:1">
      <c r="A1557" t="inlineStr">
        <is>
          <t>Zone VI</t>
        </is>
      </c>
    </row>
    <row r="1558" spans="1:1">
      <c r="A1558" t="inlineStr">
        <is>
          <t>Zone VII</t>
        </is>
      </c>
    </row>
    <row r="1559" spans="1:1">
      <c r="A1559" t="inlineStr">
        <is>
          <t>Barangay I</t>
        </is>
      </c>
    </row>
    <row r="1560" spans="1:1">
      <c r="A1560" t="inlineStr">
        <is>
          <t>Barangay II</t>
        </is>
      </c>
    </row>
    <row r="1561" spans="1:1">
      <c r="A1561" t="inlineStr">
        <is>
          <t>Barangay III</t>
        </is>
      </c>
    </row>
    <row r="1562" spans="1:1">
      <c r="A1562" t="inlineStr">
        <is>
          <t>Barangay IV</t>
        </is>
      </c>
    </row>
    <row r="1563" spans="1:1">
      <c r="A1563" t="inlineStr">
        <is>
          <t>Barangay V</t>
        </is>
      </c>
    </row>
    <row r="1564" spans="1:1">
      <c r="A1564" t="inlineStr">
        <is>
          <t>Binitayan</t>
        </is>
      </c>
    </row>
    <row r="1565" spans="1:1">
      <c r="A1565" t="inlineStr">
        <is>
          <t>Calbayog</t>
        </is>
      </c>
    </row>
    <row r="1566" spans="1:1">
      <c r="A1566" t="inlineStr">
        <is>
          <t>Canaway</t>
        </is>
      </c>
    </row>
    <row r="1567" spans="1:1">
      <c r="A1567" t="inlineStr">
        <is>
          <t>Salvacion</t>
        </is>
      </c>
    </row>
    <row r="1568" spans="1:1">
      <c r="A1568" t="inlineStr">
        <is>
          <t>San Antonio Santicon</t>
        </is>
      </c>
    </row>
    <row r="1569" spans="1:1">
      <c r="A1569" t="inlineStr">
        <is>
          <t>San Antonio Sulong</t>
        </is>
      </c>
    </row>
    <row r="1570" spans="1:1">
      <c r="A1570" t="inlineStr">
        <is>
          <t>San Francisco</t>
        </is>
      </c>
    </row>
    <row r="1571" spans="1:1">
      <c r="A1571" t="inlineStr">
        <is>
          <t>San Isidro Ilawod</t>
        </is>
      </c>
    </row>
    <row r="1572" spans="1:1">
      <c r="A1572" t="inlineStr">
        <is>
          <t>San Isidro Iraya</t>
        </is>
      </c>
    </row>
    <row r="1573" spans="1:1">
      <c r="A1573" t="inlineStr">
        <is>
          <t>San Jose</t>
        </is>
      </c>
    </row>
    <row r="1574" spans="1:1">
      <c r="A1574" t="inlineStr">
        <is>
          <t>San Roque</t>
        </is>
      </c>
    </row>
    <row r="1575" spans="1:1">
      <c r="A1575" t="inlineStr">
        <is>
          <t>Santa Cruz</t>
        </is>
      </c>
    </row>
    <row r="1576" spans="1:1">
      <c r="A1576" t="inlineStr">
        <is>
          <t>Santa Teresa</t>
        </is>
      </c>
    </row>
    <row r="1577" spans="1:1">
      <c r="A1577" t="inlineStr">
        <is>
          <t>Awang</t>
        </is>
      </c>
    </row>
    <row r="1578" spans="1:1">
      <c r="A1578" t="inlineStr">
        <is>
          <t>Bagatangki</t>
        </is>
      </c>
    </row>
    <row r="1579" spans="1:1">
      <c r="A1579" t="inlineStr">
        <is>
          <t>Bagumbayan</t>
        </is>
      </c>
    </row>
    <row r="1580" spans="1:1">
      <c r="A1580" t="inlineStr">
        <is>
          <t>Balading</t>
        </is>
      </c>
    </row>
    <row r="1581" spans="1:1">
      <c r="A1581" t="inlineStr">
        <is>
          <t>Balza</t>
        </is>
      </c>
    </row>
    <row r="1582" spans="1:1">
      <c r="A1582" t="inlineStr">
        <is>
          <t>Bariw</t>
        </is>
      </c>
    </row>
    <row r="1583" spans="1:1">
      <c r="A1583" t="inlineStr">
        <is>
          <t>Baybay</t>
        </is>
      </c>
    </row>
    <row r="1584" spans="1:1">
      <c r="A1584" t="inlineStr">
        <is>
          <t>Bulang</t>
        </is>
      </c>
    </row>
    <row r="1585" spans="1:1">
      <c r="A1585" t="inlineStr">
        <is>
          <t>Burabod</t>
        </is>
      </c>
    </row>
    <row r="1586" spans="1:1">
      <c r="A1586" t="inlineStr">
        <is>
          <t>Cabunturan</t>
        </is>
      </c>
    </row>
    <row r="1587" spans="1:1">
      <c r="A1587" t="inlineStr">
        <is>
          <t>Comun</t>
        </is>
      </c>
    </row>
    <row r="1588" spans="1:1">
      <c r="A1588" t="inlineStr">
        <is>
          <t>Diaro</t>
        </is>
      </c>
    </row>
    <row r="1589" spans="1:1">
      <c r="A1589" t="inlineStr">
        <is>
          <t>Estancia</t>
        </is>
      </c>
    </row>
    <row r="1590" spans="1:1">
      <c r="A1590" t="inlineStr">
        <is>
          <t>Jonop</t>
        </is>
      </c>
    </row>
    <row r="1591" spans="1:1">
      <c r="A1591" t="inlineStr">
        <is>
          <t>Labnig</t>
        </is>
      </c>
    </row>
    <row r="1592" spans="1:1">
      <c r="A1592" t="inlineStr">
        <is>
          <t>Libod</t>
        </is>
      </c>
    </row>
    <row r="1593" spans="1:1">
      <c r="A1593" t="inlineStr">
        <is>
          <t>Malolos</t>
        </is>
      </c>
    </row>
    <row r="1594" spans="1:1">
      <c r="A1594" t="inlineStr">
        <is>
          <t>Matalipni</t>
        </is>
      </c>
    </row>
    <row r="1595" spans="1:1">
      <c r="A1595" t="inlineStr">
        <is>
          <t>Ogob</t>
        </is>
      </c>
    </row>
    <row r="1596" spans="1:1">
      <c r="A1596" t="inlineStr">
        <is>
          <t>Pawa</t>
        </is>
      </c>
    </row>
    <row r="1597" spans="1:1">
      <c r="A1597" t="inlineStr">
        <is>
          <t>Payahan</t>
        </is>
      </c>
    </row>
    <row r="1598" spans="1:1">
      <c r="A1598" t="inlineStr">
        <is>
          <t>Poblacion</t>
        </is>
      </c>
    </row>
    <row r="1599" spans="1:1">
      <c r="A1599" t="inlineStr">
        <is>
          <t>Quinarabasahan</t>
        </is>
      </c>
    </row>
    <row r="1600" spans="1:1">
      <c r="A1600" t="inlineStr">
        <is>
          <t>Santa Elena</t>
        </is>
      </c>
    </row>
    <row r="1601" spans="1:1">
      <c r="A1601" t="inlineStr">
        <is>
          <t>Soa</t>
        </is>
      </c>
    </row>
    <row r="1602" spans="1:1">
      <c r="A1602" t="inlineStr">
        <is>
          <t>Sugcad</t>
        </is>
      </c>
    </row>
    <row r="1603" spans="1:1">
      <c r="A1603" t="inlineStr">
        <is>
          <t>Tagoytoy</t>
        </is>
      </c>
    </row>
    <row r="1604" spans="1:1">
      <c r="A1604" t="inlineStr">
        <is>
          <t>Tanawan</t>
        </is>
      </c>
    </row>
    <row r="1605" spans="1:1">
      <c r="A1605" t="inlineStr">
        <is>
          <t>Tuliw</t>
        </is>
      </c>
    </row>
    <row r="1606" spans="1:1">
      <c r="A1606" t="inlineStr">
        <is>
          <t>Balabagon</t>
        </is>
      </c>
    </row>
    <row r="1607" spans="1:1">
      <c r="A1607" t="inlineStr">
        <is>
          <t>Balasbas</t>
        </is>
      </c>
    </row>
    <row r="1608" spans="1:1">
      <c r="A1608" t="inlineStr">
        <is>
          <t>Bamban</t>
        </is>
      </c>
    </row>
    <row r="1609" spans="1:1">
      <c r="A1609" t="inlineStr">
        <is>
          <t>Buyo</t>
        </is>
      </c>
    </row>
    <row r="1610" spans="1:1">
      <c r="A1610" t="inlineStr">
        <is>
          <t>Cabacongan</t>
        </is>
      </c>
    </row>
    <row r="1611" spans="1:1">
      <c r="A1611" t="inlineStr">
        <is>
          <t>Cabit</t>
        </is>
      </c>
    </row>
    <row r="1612" spans="1:1">
      <c r="A1612" t="inlineStr">
        <is>
          <t>Cawayan</t>
        </is>
      </c>
    </row>
    <row r="1613" spans="1:1">
      <c r="A1613" t="inlineStr">
        <is>
          <t>Cawit</t>
        </is>
      </c>
    </row>
    <row r="1614" spans="1:1">
      <c r="A1614" t="inlineStr">
        <is>
          <t>Holugan</t>
        </is>
      </c>
    </row>
    <row r="1615" spans="1:1">
      <c r="A1615" t="inlineStr">
        <is>
          <t>It-Ba</t>
        </is>
      </c>
    </row>
    <row r="1616" spans="1:1">
      <c r="A1616" t="inlineStr">
        <is>
          <t>Malobago</t>
        </is>
      </c>
    </row>
    <row r="1617" spans="1:1">
      <c r="A1617" t="inlineStr">
        <is>
          <t>Manumbalay</t>
        </is>
      </c>
    </row>
    <row r="1618" spans="1:1">
      <c r="A1618" t="inlineStr">
        <is>
          <t>Nagotgot</t>
        </is>
      </c>
    </row>
    <row r="1619" spans="1:1">
      <c r="A1619" t="inlineStr">
        <is>
          <t>Pawa</t>
        </is>
      </c>
    </row>
    <row r="1620" spans="1:1">
      <c r="A1620" t="inlineStr">
        <is>
          <t>Tinapian</t>
        </is>
      </c>
    </row>
    <row r="1621" spans="1:1">
      <c r="A1621" t="inlineStr">
        <is>
          <t>Badbad</t>
        </is>
      </c>
    </row>
    <row r="1622" spans="1:1">
      <c r="A1622" t="inlineStr">
        <is>
          <t>Badian</t>
        </is>
      </c>
    </row>
    <row r="1623" spans="1:1">
      <c r="A1623" t="inlineStr">
        <is>
          <t>Bagsa</t>
        </is>
      </c>
    </row>
    <row r="1624" spans="1:1">
      <c r="A1624" t="inlineStr">
        <is>
          <t>Bagumbayan</t>
        </is>
      </c>
    </row>
    <row r="1625" spans="1:1">
      <c r="A1625" t="inlineStr">
        <is>
          <t>Balogo</t>
        </is>
      </c>
    </row>
    <row r="1626" spans="1:1">
      <c r="A1626" t="inlineStr">
        <is>
          <t>Banao</t>
        </is>
      </c>
    </row>
    <row r="1627" spans="1:1">
      <c r="A1627" t="inlineStr">
        <is>
          <t>Bangiawon</t>
        </is>
      </c>
    </row>
    <row r="1628" spans="1:1">
      <c r="A1628" t="inlineStr">
        <is>
          <t>Bogtong</t>
        </is>
      </c>
    </row>
    <row r="1629" spans="1:1">
      <c r="A1629" t="inlineStr">
        <is>
          <t>Bongoran</t>
        </is>
      </c>
    </row>
    <row r="1630" spans="1:1">
      <c r="A1630" t="inlineStr">
        <is>
          <t>Busac</t>
        </is>
      </c>
    </row>
    <row r="1631" spans="1:1">
      <c r="A1631" t="inlineStr">
        <is>
          <t>Cadawag</t>
        </is>
      </c>
    </row>
    <row r="1632" spans="1:1">
      <c r="A1632" t="inlineStr">
        <is>
          <t>Cagmanaba</t>
        </is>
      </c>
    </row>
    <row r="1633" spans="1:1">
      <c r="A1633" t="inlineStr">
        <is>
          <t>Calaguimit</t>
        </is>
      </c>
    </row>
    <row r="1634" spans="1:1">
      <c r="A1634" t="inlineStr">
        <is>
          <t>Calpi</t>
        </is>
      </c>
    </row>
    <row r="1635" spans="1:1">
      <c r="A1635" t="inlineStr">
        <is>
          <t>Calzada</t>
        </is>
      </c>
    </row>
    <row r="1636" spans="1:1">
      <c r="A1636" t="inlineStr">
        <is>
          <t>Camagong</t>
        </is>
      </c>
    </row>
    <row r="1637" spans="1:1">
      <c r="A1637" t="inlineStr">
        <is>
          <t>Casinagan</t>
        </is>
      </c>
    </row>
    <row r="1638" spans="1:1">
      <c r="A1638" t="inlineStr">
        <is>
          <t>Centro Poblacion</t>
        </is>
      </c>
    </row>
    <row r="1639" spans="1:1">
      <c r="A1639" t="inlineStr">
        <is>
          <t>Coliat</t>
        </is>
      </c>
    </row>
    <row r="1640" spans="1:1">
      <c r="A1640" t="inlineStr">
        <is>
          <t>Del Rosario</t>
        </is>
      </c>
    </row>
    <row r="1641" spans="1:1">
      <c r="A1641" t="inlineStr">
        <is>
          <t>Gumabao</t>
        </is>
      </c>
    </row>
    <row r="1642" spans="1:1">
      <c r="A1642" t="inlineStr">
        <is>
          <t>Ilaor Norte</t>
        </is>
      </c>
    </row>
    <row r="1643" spans="1:1">
      <c r="A1643" t="inlineStr">
        <is>
          <t>Ilaor Sur</t>
        </is>
      </c>
    </row>
    <row r="1644" spans="1:1">
      <c r="A1644" t="inlineStr">
        <is>
          <t>Iraya Norte</t>
        </is>
      </c>
    </row>
    <row r="1645" spans="1:1">
      <c r="A1645" t="inlineStr">
        <is>
          <t>Iraya Sur</t>
        </is>
      </c>
    </row>
    <row r="1646" spans="1:1">
      <c r="A1646" t="inlineStr">
        <is>
          <t>Manga</t>
        </is>
      </c>
    </row>
    <row r="1647" spans="1:1">
      <c r="A1647" t="inlineStr">
        <is>
          <t>Maporong</t>
        </is>
      </c>
    </row>
    <row r="1648" spans="1:1">
      <c r="A1648" t="inlineStr">
        <is>
          <t>Maramba</t>
        </is>
      </c>
    </row>
    <row r="1649" spans="1:1">
      <c r="A1649" t="inlineStr">
        <is>
          <t>Matambo</t>
        </is>
      </c>
    </row>
    <row r="1650" spans="1:1">
      <c r="A1650" t="inlineStr">
        <is>
          <t>Mayag</t>
        </is>
      </c>
    </row>
    <row r="1651" spans="1:1">
      <c r="A1651" t="inlineStr">
        <is>
          <t>Mayao</t>
        </is>
      </c>
    </row>
    <row r="1652" spans="1:1">
      <c r="A1652" t="inlineStr">
        <is>
          <t>Moroponros</t>
        </is>
      </c>
    </row>
    <row r="1653" spans="1:1">
      <c r="A1653" t="inlineStr">
        <is>
          <t>Nagas</t>
        </is>
      </c>
    </row>
    <row r="1654" spans="1:1">
      <c r="A1654" t="inlineStr">
        <is>
          <t>Obaliw-Rinas</t>
        </is>
      </c>
    </row>
    <row r="1655" spans="1:1">
      <c r="A1655" t="inlineStr">
        <is>
          <t>Pistola</t>
        </is>
      </c>
    </row>
    <row r="1656" spans="1:1">
      <c r="A1656" t="inlineStr">
        <is>
          <t>Ramay</t>
        </is>
      </c>
    </row>
    <row r="1657" spans="1:1">
      <c r="A1657" t="inlineStr">
        <is>
          <t>Rizal</t>
        </is>
      </c>
    </row>
    <row r="1658" spans="1:1">
      <c r="A1658" t="inlineStr">
        <is>
          <t>Saban</t>
        </is>
      </c>
    </row>
    <row r="1659" spans="1:1">
      <c r="A1659" t="inlineStr">
        <is>
          <t>San Agustin</t>
        </is>
      </c>
    </row>
    <row r="1660" spans="1:1">
      <c r="A1660" t="inlineStr">
        <is>
          <t>San Antonio</t>
        </is>
      </c>
    </row>
    <row r="1661" spans="1:1">
      <c r="A1661" t="inlineStr">
        <is>
          <t>San Isidro</t>
        </is>
      </c>
    </row>
    <row r="1662" spans="1:1">
      <c r="A1662" t="inlineStr">
        <is>
          <t>San Jose</t>
        </is>
      </c>
    </row>
    <row r="1663" spans="1:1">
      <c r="A1663" t="inlineStr">
        <is>
          <t>San Juan</t>
        </is>
      </c>
    </row>
    <row r="1664" spans="1:1">
      <c r="A1664" t="inlineStr">
        <is>
          <t>San Miguel</t>
        </is>
      </c>
    </row>
    <row r="1665" spans="1:1">
      <c r="A1665" t="inlineStr">
        <is>
          <t>San Pascual</t>
        </is>
      </c>
    </row>
    <row r="1666" spans="1:1">
      <c r="A1666" t="inlineStr">
        <is>
          <t>San Ramon</t>
        </is>
      </c>
    </row>
    <row r="1667" spans="1:1">
      <c r="A1667" t="inlineStr">
        <is>
          <t>San Vicente</t>
        </is>
      </c>
    </row>
    <row r="1668" spans="1:1">
      <c r="A1668" t="inlineStr">
        <is>
          <t>Tablon</t>
        </is>
      </c>
    </row>
    <row r="1669" spans="1:1">
      <c r="A1669" t="inlineStr">
        <is>
          <t>Talisay</t>
        </is>
      </c>
    </row>
    <row r="1670" spans="1:1">
      <c r="A1670" t="inlineStr">
        <is>
          <t>Talongog</t>
        </is>
      </c>
    </row>
    <row r="1671" spans="1:1">
      <c r="A1671" t="inlineStr">
        <is>
          <t>Tapel</t>
        </is>
      </c>
    </row>
    <row r="1672" spans="1:1">
      <c r="A1672" t="inlineStr">
        <is>
          <t>Tobgon</t>
        </is>
      </c>
    </row>
    <row r="1673" spans="1:1">
      <c r="A1673" t="inlineStr">
        <is>
          <t>Tobog</t>
        </is>
      </c>
    </row>
    <row r="1674" spans="1:1">
      <c r="A1674" t="inlineStr">
        <is>
          <t>Agol</t>
        </is>
      </c>
    </row>
    <row r="1675" spans="1:1">
      <c r="A1675" t="inlineStr">
        <is>
          <t>Alabangpuro</t>
        </is>
      </c>
    </row>
    <row r="1676" spans="1:1">
      <c r="A1676" t="inlineStr">
        <is>
          <t>Banawan</t>
        </is>
      </c>
    </row>
    <row r="1677" spans="1:1">
      <c r="A1677" t="inlineStr">
        <is>
          <t>Barangay I</t>
        </is>
      </c>
    </row>
    <row r="1678" spans="1:1">
      <c r="A1678" t="inlineStr">
        <is>
          <t>Barangay II</t>
        </is>
      </c>
    </row>
    <row r="1679" spans="1:1">
      <c r="A1679" t="inlineStr">
        <is>
          <t>Barangay III</t>
        </is>
      </c>
    </row>
    <row r="1680" spans="1:1">
      <c r="A1680" t="inlineStr">
        <is>
          <t>Barangay IV</t>
        </is>
      </c>
    </row>
    <row r="1681" spans="1:1">
      <c r="A1681" t="inlineStr">
        <is>
          <t>Barangay V</t>
        </is>
      </c>
    </row>
    <row r="1682" spans="1:1">
      <c r="A1682" t="inlineStr">
        <is>
          <t>Basicao Coastal</t>
        </is>
      </c>
    </row>
    <row r="1683" spans="1:1">
      <c r="A1683" t="inlineStr">
        <is>
          <t>Basicao Interior</t>
        </is>
      </c>
    </row>
    <row r="1684" spans="1:1">
      <c r="A1684" t="inlineStr">
        <is>
          <t>Binodegahan</t>
        </is>
      </c>
    </row>
    <row r="1685" spans="1:1">
      <c r="A1685" t="inlineStr">
        <is>
          <t>Buenavista</t>
        </is>
      </c>
    </row>
    <row r="1686" spans="1:1">
      <c r="A1686" t="inlineStr">
        <is>
          <t>Buyo</t>
        </is>
      </c>
    </row>
    <row r="1687" spans="1:1">
      <c r="A1687" t="inlineStr">
        <is>
          <t>Caratagan</t>
        </is>
      </c>
    </row>
    <row r="1688" spans="1:1">
      <c r="A1688" t="inlineStr">
        <is>
          <t>Cuyaoyao</t>
        </is>
      </c>
    </row>
    <row r="1689" spans="1:1">
      <c r="A1689" t="inlineStr">
        <is>
          <t>Flores</t>
        </is>
      </c>
    </row>
    <row r="1690" spans="1:1">
      <c r="A1690" t="inlineStr">
        <is>
          <t>La Medalla</t>
        </is>
      </c>
    </row>
    <row r="1691" spans="1:1">
      <c r="A1691" t="inlineStr">
        <is>
          <t>Lawinon</t>
        </is>
      </c>
    </row>
    <row r="1692" spans="1:1">
      <c r="A1692" t="inlineStr">
        <is>
          <t>Macasitas</t>
        </is>
      </c>
    </row>
    <row r="1693" spans="1:1">
      <c r="A1693" t="inlineStr">
        <is>
          <t>Malapay</t>
        </is>
      </c>
    </row>
    <row r="1694" spans="1:1">
      <c r="A1694" t="inlineStr">
        <is>
          <t>Malidong</t>
        </is>
      </c>
    </row>
    <row r="1695" spans="1:1">
      <c r="A1695" t="inlineStr">
        <is>
          <t>Mamlad</t>
        </is>
      </c>
    </row>
    <row r="1696" spans="1:1">
      <c r="A1696" t="inlineStr">
        <is>
          <t>Marigondon</t>
        </is>
      </c>
    </row>
    <row r="1697" spans="1:1">
      <c r="A1697" t="inlineStr">
        <is>
          <t>Matanglad</t>
        </is>
      </c>
    </row>
    <row r="1698" spans="1:1">
      <c r="A1698" t="inlineStr">
        <is>
          <t>Nablangbulod</t>
        </is>
      </c>
    </row>
    <row r="1699" spans="1:1">
      <c r="A1699" t="inlineStr">
        <is>
          <t>Oringon</t>
        </is>
      </c>
    </row>
    <row r="1700" spans="1:1">
      <c r="A1700" t="inlineStr">
        <is>
          <t>Palapas</t>
        </is>
      </c>
    </row>
    <row r="1701" spans="1:1">
      <c r="A1701" t="inlineStr">
        <is>
          <t>Panganiran</t>
        </is>
      </c>
    </row>
    <row r="1702" spans="1:1">
      <c r="A1702" t="inlineStr">
        <is>
          <t>Rawis</t>
        </is>
      </c>
    </row>
    <row r="1703" spans="1:1">
      <c r="A1703" t="inlineStr">
        <is>
          <t>Salvacion</t>
        </is>
      </c>
    </row>
    <row r="1704" spans="1:1">
      <c r="A1704" t="inlineStr">
        <is>
          <t>Santo Cristo</t>
        </is>
      </c>
    </row>
    <row r="1705" spans="1:1">
      <c r="A1705" t="inlineStr">
        <is>
          <t>Sukip</t>
        </is>
      </c>
    </row>
    <row r="1706" spans="1:1">
      <c r="A1706" t="inlineStr">
        <is>
          <t>Tibabo</t>
        </is>
      </c>
    </row>
    <row r="1707" spans="1:1">
      <c r="A1707" t="inlineStr">
        <is>
          <t>Agos</t>
        </is>
      </c>
    </row>
    <row r="1708" spans="1:1">
      <c r="A1708" t="inlineStr">
        <is>
          <t>Alnay</t>
        </is>
      </c>
    </row>
    <row r="1709" spans="1:1">
      <c r="A1709" t="inlineStr">
        <is>
          <t>Alomon</t>
        </is>
      </c>
    </row>
    <row r="1710" spans="1:1">
      <c r="A1710" t="inlineStr">
        <is>
          <t>Amoguis</t>
        </is>
      </c>
    </row>
    <row r="1711" spans="1:1">
      <c r="A1711" t="inlineStr">
        <is>
          <t>Anopol</t>
        </is>
      </c>
    </row>
    <row r="1712" spans="1:1">
      <c r="A1712" t="inlineStr">
        <is>
          <t>Apad</t>
        </is>
      </c>
    </row>
    <row r="1713" spans="1:1">
      <c r="A1713" t="inlineStr">
        <is>
          <t>Balaba</t>
        </is>
      </c>
    </row>
    <row r="1714" spans="1:1">
      <c r="A1714" t="inlineStr">
        <is>
          <t>Balangibang</t>
        </is>
      </c>
    </row>
    <row r="1715" spans="1:1">
      <c r="A1715" t="inlineStr">
        <is>
          <t>Balinad</t>
        </is>
      </c>
    </row>
    <row r="1716" spans="1:1">
      <c r="A1716" t="inlineStr">
        <is>
          <t>Basud</t>
        </is>
      </c>
    </row>
    <row r="1717" spans="1:1">
      <c r="A1717" t="inlineStr">
        <is>
          <t>Binagbangan</t>
        </is>
      </c>
    </row>
    <row r="1718" spans="1:1">
      <c r="A1718" t="inlineStr">
        <is>
          <t>Buyo</t>
        </is>
      </c>
    </row>
    <row r="1719" spans="1:1">
      <c r="A1719" t="inlineStr">
        <is>
          <t>Centro Occidental</t>
        </is>
      </c>
    </row>
    <row r="1720" spans="1:1">
      <c r="A1720" t="inlineStr">
        <is>
          <t>Centro Oriental</t>
        </is>
      </c>
    </row>
    <row r="1721" spans="1:1">
      <c r="A1721" t="inlineStr">
        <is>
          <t>Cepres</t>
        </is>
      </c>
    </row>
    <row r="1722" spans="1:1">
      <c r="A1722" t="inlineStr">
        <is>
          <t>Cotmon</t>
        </is>
      </c>
    </row>
    <row r="1723" spans="1:1">
      <c r="A1723" t="inlineStr">
        <is>
          <t>Cotnogan</t>
        </is>
      </c>
    </row>
    <row r="1724" spans="1:1">
      <c r="A1724" t="inlineStr">
        <is>
          <t>Danao</t>
        </is>
      </c>
    </row>
    <row r="1725" spans="1:1">
      <c r="A1725" t="inlineStr">
        <is>
          <t>Gabon</t>
        </is>
      </c>
    </row>
    <row r="1726" spans="1:1">
      <c r="A1726" t="inlineStr">
        <is>
          <t>Gamot</t>
        </is>
      </c>
    </row>
    <row r="1727" spans="1:1">
      <c r="A1727" t="inlineStr">
        <is>
          <t>Itaran</t>
        </is>
      </c>
    </row>
    <row r="1728" spans="1:1">
      <c r="A1728" t="inlineStr">
        <is>
          <t>Kinale</t>
        </is>
      </c>
    </row>
    <row r="1729" spans="1:1">
      <c r="A1729" t="inlineStr">
        <is>
          <t>Kinuartilan</t>
        </is>
      </c>
    </row>
    <row r="1730" spans="1:1">
      <c r="A1730" t="inlineStr">
        <is>
          <t>La Medalla</t>
        </is>
      </c>
    </row>
    <row r="1731" spans="1:1">
      <c r="A1731" t="inlineStr">
        <is>
          <t>La Purisima</t>
        </is>
      </c>
    </row>
    <row r="1732" spans="1:1">
      <c r="A1732" t="inlineStr">
        <is>
          <t>Lanigay</t>
        </is>
      </c>
    </row>
    <row r="1733" spans="1:1">
      <c r="A1733" t="inlineStr">
        <is>
          <t>Lidong</t>
        </is>
      </c>
    </row>
    <row r="1734" spans="1:1">
      <c r="A1734" t="inlineStr">
        <is>
          <t>Lourdes</t>
        </is>
      </c>
    </row>
    <row r="1735" spans="1:1">
      <c r="A1735" t="inlineStr">
        <is>
          <t>Magpanambo</t>
        </is>
      </c>
    </row>
    <row r="1736" spans="1:1">
      <c r="A1736" t="inlineStr">
        <is>
          <t>Magurang</t>
        </is>
      </c>
    </row>
    <row r="1737" spans="1:1">
      <c r="A1737" t="inlineStr">
        <is>
          <t>Matacon</t>
        </is>
      </c>
    </row>
    <row r="1738" spans="1:1">
      <c r="A1738" t="inlineStr">
        <is>
          <t>Maynaga</t>
        </is>
      </c>
    </row>
    <row r="1739" spans="1:1">
      <c r="A1739" t="inlineStr">
        <is>
          <t>Maysua</t>
        </is>
      </c>
    </row>
    <row r="1740" spans="1:1">
      <c r="A1740" t="inlineStr">
        <is>
          <t>Mendez</t>
        </is>
      </c>
    </row>
    <row r="1741" spans="1:1">
      <c r="A1741" t="inlineStr">
        <is>
          <t>Napo</t>
        </is>
      </c>
    </row>
    <row r="1742" spans="1:1">
      <c r="A1742" t="inlineStr">
        <is>
          <t>Pinagdapugan</t>
        </is>
      </c>
    </row>
    <row r="1743" spans="1:1">
      <c r="A1743" t="inlineStr">
        <is>
          <t>Ponso</t>
        </is>
      </c>
    </row>
    <row r="1744" spans="1:1">
      <c r="A1744" t="inlineStr">
        <is>
          <t>Salvacion</t>
        </is>
      </c>
    </row>
    <row r="1745" spans="1:1">
      <c r="A1745" t="inlineStr">
        <is>
          <t>San Roque</t>
        </is>
      </c>
    </row>
    <row r="1746" spans="1:1">
      <c r="A1746" t="inlineStr">
        <is>
          <t>Santa Cruz</t>
        </is>
      </c>
    </row>
    <row r="1747" spans="1:1">
      <c r="A1747" t="inlineStr">
        <is>
          <t>Santa Teresita</t>
        </is>
      </c>
    </row>
    <row r="1748" spans="1:1">
      <c r="A1748" t="inlineStr">
        <is>
          <t>Santicon</t>
        </is>
      </c>
    </row>
    <row r="1749" spans="1:1">
      <c r="A1749" t="inlineStr">
        <is>
          <t>Sugcad</t>
        </is>
      </c>
    </row>
    <row r="1750" spans="1:1">
      <c r="A1750" t="inlineStr">
        <is>
          <t>Ubaliw</t>
        </is>
      </c>
    </row>
    <row r="1751" spans="1:1">
      <c r="A1751" t="inlineStr">
        <is>
          <t>Bagaobawan</t>
        </is>
      </c>
    </row>
    <row r="1752" spans="1:1">
      <c r="A1752" t="inlineStr">
        <is>
          <t>Batan</t>
        </is>
      </c>
    </row>
    <row r="1753" spans="1:1">
      <c r="A1753" t="inlineStr">
        <is>
          <t>Bilbao</t>
        </is>
      </c>
    </row>
    <row r="1754" spans="1:1">
      <c r="A1754" t="inlineStr">
        <is>
          <t>Binosawan</t>
        </is>
      </c>
    </row>
    <row r="1755" spans="1:1">
      <c r="A1755" t="inlineStr">
        <is>
          <t>Bogtong</t>
        </is>
      </c>
    </row>
    <row r="1756" spans="1:1">
      <c r="A1756" t="inlineStr">
        <is>
          <t>Buenavista</t>
        </is>
      </c>
    </row>
    <row r="1757" spans="1:1">
      <c r="A1757" t="inlineStr">
        <is>
          <t>Buhatan</t>
        </is>
      </c>
    </row>
    <row r="1758" spans="1:1">
      <c r="A1758" t="inlineStr">
        <is>
          <t>Calanaga</t>
        </is>
      </c>
    </row>
    <row r="1759" spans="1:1">
      <c r="A1759" t="inlineStr">
        <is>
          <t>Caracaran</t>
        </is>
      </c>
    </row>
    <row r="1760" spans="1:1">
      <c r="A1760" t="inlineStr">
        <is>
          <t>Carogcog</t>
        </is>
      </c>
    </row>
    <row r="1761" spans="1:1">
      <c r="A1761" t="inlineStr">
        <is>
          <t>Dap-dap</t>
        </is>
      </c>
    </row>
    <row r="1762" spans="1:1">
      <c r="A1762" t="inlineStr">
        <is>
          <t>Gaba</t>
        </is>
      </c>
    </row>
    <row r="1763" spans="1:1">
      <c r="A1763" t="inlineStr">
        <is>
          <t>Galicia</t>
        </is>
      </c>
    </row>
    <row r="1764" spans="1:1">
      <c r="A1764" t="inlineStr">
        <is>
          <t>Guadalupe</t>
        </is>
      </c>
    </row>
    <row r="1765" spans="1:1">
      <c r="A1765" t="inlineStr">
        <is>
          <t>Hamorawon</t>
        </is>
      </c>
    </row>
    <row r="1766" spans="1:1">
      <c r="A1766" t="inlineStr">
        <is>
          <t>Lagundi</t>
        </is>
      </c>
    </row>
    <row r="1767" spans="1:1">
      <c r="A1767" t="inlineStr">
        <is>
          <t>Liguan</t>
        </is>
      </c>
    </row>
    <row r="1768" spans="1:1">
      <c r="A1768" t="inlineStr">
        <is>
          <t>Linao</t>
        </is>
      </c>
    </row>
    <row r="1769" spans="1:1">
      <c r="A1769" t="inlineStr">
        <is>
          <t>Malobago</t>
        </is>
      </c>
    </row>
    <row r="1770" spans="1:1">
      <c r="A1770" t="inlineStr">
        <is>
          <t>Mananao</t>
        </is>
      </c>
    </row>
    <row r="1771" spans="1:1">
      <c r="A1771" t="inlineStr">
        <is>
          <t>Mancao</t>
        </is>
      </c>
    </row>
    <row r="1772" spans="1:1">
      <c r="A1772" t="inlineStr">
        <is>
          <t>Manila</t>
        </is>
      </c>
    </row>
    <row r="1773" spans="1:1">
      <c r="A1773" t="inlineStr">
        <is>
          <t>Masaga</t>
        </is>
      </c>
    </row>
    <row r="1774" spans="1:1">
      <c r="A1774" t="inlineStr">
        <is>
          <t>Morocborocan</t>
        </is>
      </c>
    </row>
    <row r="1775" spans="1:1">
      <c r="A1775" t="inlineStr">
        <is>
          <t>Nagcalsot</t>
        </is>
      </c>
    </row>
    <row r="1776" spans="1:1">
      <c r="A1776" t="inlineStr">
        <is>
          <t>Pagcolbon</t>
        </is>
      </c>
    </row>
    <row r="1777" spans="1:1">
      <c r="A1777" t="inlineStr">
        <is>
          <t>Poblacion</t>
        </is>
      </c>
    </row>
    <row r="1778" spans="1:1">
      <c r="A1778" t="inlineStr">
        <is>
          <t>Sagrada</t>
        </is>
      </c>
    </row>
    <row r="1779" spans="1:1">
      <c r="A1779" t="inlineStr">
        <is>
          <t>San Ramon</t>
        </is>
      </c>
    </row>
    <row r="1780" spans="1:1">
      <c r="A1780" t="inlineStr">
        <is>
          <t>Santa Barbara</t>
        </is>
      </c>
    </row>
    <row r="1781" spans="1:1">
      <c r="A1781" t="inlineStr">
        <is>
          <t>Tinocawan</t>
        </is>
      </c>
    </row>
    <row r="1782" spans="1:1">
      <c r="A1782" t="inlineStr">
        <is>
          <t>Tinopan</t>
        </is>
      </c>
    </row>
    <row r="1783" spans="1:1">
      <c r="A1783" t="inlineStr">
        <is>
          <t>Viga</t>
        </is>
      </c>
    </row>
    <row r="1784" spans="1:1">
      <c r="A1784" t="inlineStr">
        <is>
          <t>Villahermosa</t>
        </is>
      </c>
    </row>
    <row r="1785" spans="1:1">
      <c r="A1785" t="inlineStr">
        <is>
          <t>Alimsog</t>
        </is>
      </c>
    </row>
    <row r="1786" spans="1:1">
      <c r="A1786" t="inlineStr">
        <is>
          <t>Bagong San Roque</t>
        </is>
      </c>
    </row>
    <row r="1787" spans="1:1">
      <c r="A1787" t="inlineStr">
        <is>
          <t>Buhatan</t>
        </is>
      </c>
    </row>
    <row r="1788" spans="1:1">
      <c r="A1788" t="inlineStr">
        <is>
          <t>Calayucay</t>
        </is>
      </c>
    </row>
    <row r="1789" spans="1:1">
      <c r="A1789" t="inlineStr">
        <is>
          <t>Del Rosario Pob.</t>
        </is>
      </c>
    </row>
    <row r="1790" spans="1:1">
      <c r="A1790" t="inlineStr">
        <is>
          <t>Fidel Surtida</t>
        </is>
      </c>
    </row>
    <row r="1791" spans="1:1">
      <c r="A1791" t="inlineStr">
        <is>
          <t>Lidong</t>
        </is>
      </c>
    </row>
    <row r="1792" spans="1:1">
      <c r="A1792" t="inlineStr">
        <is>
          <t>Market Site Pob.</t>
        </is>
      </c>
    </row>
    <row r="1793" spans="1:1">
      <c r="A1793" t="inlineStr">
        <is>
          <t>Nagsiya Pob.</t>
        </is>
      </c>
    </row>
    <row r="1794" spans="1:1">
      <c r="A1794" t="inlineStr">
        <is>
          <t>Pandayan Pob.</t>
        </is>
      </c>
    </row>
    <row r="1795" spans="1:1">
      <c r="A1795" t="inlineStr">
        <is>
          <t>Salvacion</t>
        </is>
      </c>
    </row>
    <row r="1796" spans="1:1">
      <c r="A1796" t="inlineStr">
        <is>
          <t>San Andres</t>
        </is>
      </c>
    </row>
    <row r="1797" spans="1:1">
      <c r="A1797" t="inlineStr">
        <is>
          <t>San Fernando</t>
        </is>
      </c>
    </row>
    <row r="1798" spans="1:1">
      <c r="A1798" t="inlineStr">
        <is>
          <t>San Francisco Pob.</t>
        </is>
      </c>
    </row>
    <row r="1799" spans="1:1">
      <c r="A1799" t="inlineStr">
        <is>
          <t>San Isidro</t>
        </is>
      </c>
    </row>
    <row r="1800" spans="1:1">
      <c r="A1800" t="inlineStr">
        <is>
          <t>San Juan Pob.</t>
        </is>
      </c>
    </row>
    <row r="1801" spans="1:1">
      <c r="A1801" t="inlineStr">
        <is>
          <t>San Pedro Pob.</t>
        </is>
      </c>
    </row>
    <row r="1802" spans="1:1">
      <c r="A1802" t="inlineStr">
        <is>
          <t>San Rafael Pob.</t>
        </is>
      </c>
    </row>
    <row r="1803" spans="1:1">
      <c r="A1803" t="inlineStr">
        <is>
          <t>San Roque</t>
        </is>
      </c>
    </row>
    <row r="1804" spans="1:1">
      <c r="A1804" t="inlineStr">
        <is>
          <t>San Vicente Pob.</t>
        </is>
      </c>
    </row>
    <row r="1805" spans="1:1">
      <c r="A1805" t="inlineStr">
        <is>
          <t>Santa Misericordia</t>
        </is>
      </c>
    </row>
    <row r="1806" spans="1:1">
      <c r="A1806" t="inlineStr">
        <is>
          <t>Santo Domingo Pob.</t>
        </is>
      </c>
    </row>
    <row r="1807" spans="1:1">
      <c r="A1807" t="inlineStr">
        <is>
          <t>Santo Niño</t>
        </is>
      </c>
    </row>
    <row r="1808" spans="1:1">
      <c r="A1808" t="inlineStr">
        <is>
          <t>Bagumbayan</t>
        </is>
      </c>
    </row>
    <row r="1809" spans="1:1">
      <c r="A1809" t="inlineStr">
        <is>
          <t>Bariis</t>
        </is>
      </c>
    </row>
    <row r="1810" spans="1:1">
      <c r="A1810" t="inlineStr">
        <is>
          <t>Baybay</t>
        </is>
      </c>
    </row>
    <row r="1811" spans="1:1">
      <c r="A1811" t="inlineStr">
        <is>
          <t>Belen</t>
        </is>
      </c>
    </row>
    <row r="1812" spans="1:1">
      <c r="A1812" t="inlineStr">
        <is>
          <t>Biyong</t>
        </is>
      </c>
    </row>
    <row r="1813" spans="1:1">
      <c r="A1813" t="inlineStr">
        <is>
          <t>Bolo</t>
        </is>
      </c>
    </row>
    <row r="1814" spans="1:1">
      <c r="A1814" t="inlineStr">
        <is>
          <t>Cale</t>
        </is>
      </c>
    </row>
    <row r="1815" spans="1:1">
      <c r="A1815" t="inlineStr">
        <is>
          <t>Cararayan</t>
        </is>
      </c>
    </row>
    <row r="1816" spans="1:1">
      <c r="A1816" t="inlineStr">
        <is>
          <t>Coro-coro</t>
        </is>
      </c>
    </row>
    <row r="1817" spans="1:1">
      <c r="A1817" t="inlineStr">
        <is>
          <t>Dap-dap</t>
        </is>
      </c>
    </row>
    <row r="1818" spans="1:1">
      <c r="A1818" t="inlineStr">
        <is>
          <t>Gajo</t>
        </is>
      </c>
    </row>
    <row r="1819" spans="1:1">
      <c r="A1819" t="inlineStr">
        <is>
          <t>Joroan</t>
        </is>
      </c>
    </row>
    <row r="1820" spans="1:1">
      <c r="A1820" t="inlineStr">
        <is>
          <t>Libjo</t>
        </is>
      </c>
    </row>
    <row r="1821" spans="1:1">
      <c r="A1821" t="inlineStr">
        <is>
          <t>Libtong</t>
        </is>
      </c>
    </row>
    <row r="1822" spans="1:1">
      <c r="A1822" t="inlineStr">
        <is>
          <t>Matalibong</t>
        </is>
      </c>
    </row>
    <row r="1823" spans="1:1">
      <c r="A1823" t="inlineStr">
        <is>
          <t>Maynonong</t>
        </is>
      </c>
    </row>
    <row r="1824" spans="1:1">
      <c r="A1824" t="inlineStr">
        <is>
          <t>Mayong</t>
        </is>
      </c>
    </row>
    <row r="1825" spans="1:1">
      <c r="A1825" t="inlineStr">
        <is>
          <t>Misibis</t>
        </is>
      </c>
    </row>
    <row r="1826" spans="1:1">
      <c r="A1826" t="inlineStr">
        <is>
          <t>Naga</t>
        </is>
      </c>
    </row>
    <row r="1827" spans="1:1">
      <c r="A1827" t="inlineStr">
        <is>
          <t>Nagas</t>
        </is>
      </c>
    </row>
    <row r="1828" spans="1:1">
      <c r="A1828" t="inlineStr">
        <is>
          <t>Oyama</t>
        </is>
      </c>
    </row>
    <row r="1829" spans="1:1">
      <c r="A1829" t="inlineStr">
        <is>
          <t>Putsan</t>
        </is>
      </c>
    </row>
    <row r="1830" spans="1:1">
      <c r="A1830" t="inlineStr">
        <is>
          <t>San Bernardo</t>
        </is>
      </c>
    </row>
    <row r="1831" spans="1:1">
      <c r="A1831" t="inlineStr">
        <is>
          <t>Sogod</t>
        </is>
      </c>
    </row>
    <row r="1832" spans="1:1">
      <c r="A1832" t="inlineStr">
        <is>
          <t>Tigbi</t>
        </is>
      </c>
    </row>
    <row r="1833" spans="1:1">
      <c r="A1833" t="inlineStr">
        <is>
          <t>Bayo Grande</t>
        </is>
      </c>
    </row>
    <row r="1834" spans="1:1">
      <c r="A1834" t="inlineStr">
        <is>
          <t>Bayo Pequeño</t>
        </is>
      </c>
    </row>
    <row r="1835" spans="1:1">
      <c r="A1835" t="inlineStr">
        <is>
          <t>Butuan</t>
        </is>
      </c>
    </row>
    <row r="1836" spans="1:1">
      <c r="A1836" t="inlineStr">
        <is>
          <t>Casay</t>
        </is>
      </c>
    </row>
    <row r="1837" spans="1:1">
      <c r="A1837" t="inlineStr">
        <is>
          <t>Casay Viejo</t>
        </is>
      </c>
    </row>
    <row r="1838" spans="1:1">
      <c r="A1838" t="inlineStr">
        <is>
          <t>Iba</t>
        </is>
      </c>
    </row>
    <row r="1839" spans="1:1">
      <c r="A1839" t="inlineStr">
        <is>
          <t>Igbarabatuan</t>
        </is>
      </c>
    </row>
    <row r="1840" spans="1:1">
      <c r="A1840" t="inlineStr">
        <is>
          <t>Igpalge</t>
        </is>
      </c>
    </row>
    <row r="1841" spans="1:1">
      <c r="A1841" t="inlineStr">
        <is>
          <t>Igtumarom</t>
        </is>
      </c>
    </row>
    <row r="1842" spans="1:1">
      <c r="A1842" t="inlineStr">
        <is>
          <t>Lisub A</t>
        </is>
      </c>
    </row>
    <row r="1843" spans="1:1">
      <c r="A1843" t="inlineStr">
        <is>
          <t>Lisub B</t>
        </is>
      </c>
    </row>
    <row r="1844" spans="1:1">
      <c r="A1844" t="inlineStr">
        <is>
          <t>Mabuyong</t>
        </is>
      </c>
    </row>
    <row r="1845" spans="1:1">
      <c r="A1845" t="inlineStr">
        <is>
          <t>Magdalena</t>
        </is>
      </c>
    </row>
    <row r="1846" spans="1:1">
      <c r="A1846" t="inlineStr">
        <is>
          <t>Nasuli C</t>
        </is>
      </c>
    </row>
    <row r="1847" spans="1:1">
      <c r="A1847" t="inlineStr">
        <is>
          <t>Nato</t>
        </is>
      </c>
    </row>
    <row r="1848" spans="1:1">
      <c r="A1848" t="inlineStr">
        <is>
          <t>Poblacion</t>
        </is>
      </c>
    </row>
    <row r="1849" spans="1:1">
      <c r="A1849" t="inlineStr">
        <is>
          <t>Sagua</t>
        </is>
      </c>
    </row>
    <row r="1850" spans="1:1">
      <c r="A1850" t="inlineStr">
        <is>
          <t>Salvacion</t>
        </is>
      </c>
    </row>
    <row r="1851" spans="1:1">
      <c r="A1851" t="inlineStr">
        <is>
          <t>San Francisco</t>
        </is>
      </c>
    </row>
    <row r="1852" spans="1:1">
      <c r="A1852" t="inlineStr">
        <is>
          <t>San Ramon</t>
        </is>
      </c>
    </row>
    <row r="1853" spans="1:1">
      <c r="A1853" t="inlineStr">
        <is>
          <t>San Roque</t>
        </is>
      </c>
    </row>
    <row r="1854" spans="1:1">
      <c r="A1854" t="inlineStr">
        <is>
          <t>Tagaytay</t>
        </is>
      </c>
    </row>
    <row r="1855" spans="1:1">
      <c r="A1855" t="inlineStr">
        <is>
          <t>Talisayan</t>
        </is>
      </c>
    </row>
    <row r="1856" spans="1:1">
      <c r="A1856" t="inlineStr">
        <is>
          <t>Baghari</t>
        </is>
      </c>
    </row>
    <row r="1857" spans="1:1">
      <c r="A1857" t="inlineStr">
        <is>
          <t>Bahuyan</t>
        </is>
      </c>
    </row>
    <row r="1858" spans="1:1">
      <c r="A1858" t="inlineStr">
        <is>
          <t>Beri</t>
        </is>
      </c>
    </row>
    <row r="1859" spans="1:1">
      <c r="A1859" t="inlineStr">
        <is>
          <t>Biga-a</t>
        </is>
      </c>
    </row>
    <row r="1860" spans="1:1">
      <c r="A1860" t="inlineStr">
        <is>
          <t>Binangbang</t>
        </is>
      </c>
    </row>
    <row r="1861" spans="1:1">
      <c r="A1861" t="inlineStr">
        <is>
          <t>Binangbang Centro</t>
        </is>
      </c>
    </row>
    <row r="1862" spans="1:1">
      <c r="A1862" t="inlineStr">
        <is>
          <t>Binanu-an</t>
        </is>
      </c>
    </row>
    <row r="1863" spans="1:1">
      <c r="A1863" t="inlineStr">
        <is>
          <t>Cadiao</t>
        </is>
      </c>
    </row>
    <row r="1864" spans="1:1">
      <c r="A1864" t="inlineStr">
        <is>
          <t>Calapadan</t>
        </is>
      </c>
    </row>
    <row r="1865" spans="1:1">
      <c r="A1865" t="inlineStr">
        <is>
          <t>Capoyuan</t>
        </is>
      </c>
    </row>
    <row r="1866" spans="1:1">
      <c r="A1866" t="inlineStr">
        <is>
          <t>Cubay</t>
        </is>
      </c>
    </row>
    <row r="1867" spans="1:1">
      <c r="A1867" t="inlineStr">
        <is>
          <t>Embrangga-an</t>
        </is>
      </c>
    </row>
    <row r="1868" spans="1:1">
      <c r="A1868" t="inlineStr">
        <is>
          <t>Esparar</t>
        </is>
      </c>
    </row>
    <row r="1869" spans="1:1">
      <c r="A1869" t="inlineStr">
        <is>
          <t>Gua</t>
        </is>
      </c>
    </row>
    <row r="1870" spans="1:1">
      <c r="A1870" t="inlineStr">
        <is>
          <t>Idao</t>
        </is>
      </c>
    </row>
    <row r="1871" spans="1:1">
      <c r="A1871" t="inlineStr">
        <is>
          <t>Igpalge</t>
        </is>
      </c>
    </row>
    <row r="1872" spans="1:1">
      <c r="A1872" t="inlineStr">
        <is>
          <t>Igtunarum</t>
        </is>
      </c>
    </row>
    <row r="1873" spans="1:1">
      <c r="A1873" t="inlineStr">
        <is>
          <t>Integasan</t>
        </is>
      </c>
    </row>
    <row r="1874" spans="1:1">
      <c r="A1874" t="inlineStr">
        <is>
          <t>Ipil</t>
        </is>
      </c>
    </row>
    <row r="1875" spans="1:1">
      <c r="A1875" t="inlineStr">
        <is>
          <t>Jinalinan</t>
        </is>
      </c>
    </row>
    <row r="1876" spans="1:1">
      <c r="A1876" t="inlineStr">
        <is>
          <t>Lanas</t>
        </is>
      </c>
    </row>
    <row r="1877" spans="1:1">
      <c r="A1877" t="inlineStr">
        <is>
          <t>Langcaon</t>
        </is>
      </c>
    </row>
    <row r="1878" spans="1:1">
      <c r="A1878" t="inlineStr">
        <is>
          <t>Lisub</t>
        </is>
      </c>
    </row>
    <row r="1879" spans="1:1">
      <c r="A1879" t="inlineStr">
        <is>
          <t>Lumboyan</t>
        </is>
      </c>
    </row>
    <row r="1880" spans="1:1">
      <c r="A1880" t="inlineStr">
        <is>
          <t>Mablad</t>
        </is>
      </c>
    </row>
    <row r="1881" spans="1:1">
      <c r="A1881" t="inlineStr">
        <is>
          <t>Magtulis</t>
        </is>
      </c>
    </row>
    <row r="1882" spans="1:1">
      <c r="A1882" t="inlineStr">
        <is>
          <t>Marigne</t>
        </is>
      </c>
    </row>
    <row r="1883" spans="1:1">
      <c r="A1883" t="inlineStr">
        <is>
          <t>Mayabay</t>
        </is>
      </c>
    </row>
    <row r="1884" spans="1:1">
      <c r="A1884" t="inlineStr">
        <is>
          <t>Mayos</t>
        </is>
      </c>
    </row>
    <row r="1885" spans="1:1">
      <c r="A1885" t="inlineStr">
        <is>
          <t>Nalusdan</t>
        </is>
      </c>
    </row>
    <row r="1886" spans="1:1">
      <c r="A1886" t="inlineStr">
        <is>
          <t>Narirong</t>
        </is>
      </c>
    </row>
    <row r="1887" spans="1:1">
      <c r="A1887" t="inlineStr">
        <is>
          <t>Palma</t>
        </is>
      </c>
    </row>
    <row r="1888" spans="1:1">
      <c r="A1888" t="inlineStr">
        <is>
          <t>Poblacion</t>
        </is>
      </c>
    </row>
    <row r="1889" spans="1:1">
      <c r="A1889" t="inlineStr">
        <is>
          <t>San Antonio</t>
        </is>
      </c>
    </row>
    <row r="1890" spans="1:1">
      <c r="A1890" t="inlineStr">
        <is>
          <t>San Ramon</t>
        </is>
      </c>
    </row>
    <row r="1891" spans="1:1">
      <c r="A1891" t="inlineStr">
        <is>
          <t>Soligao</t>
        </is>
      </c>
    </row>
    <row r="1892" spans="1:1">
      <c r="A1892" t="inlineStr">
        <is>
          <t>Tabongtabong</t>
        </is>
      </c>
    </row>
    <row r="1893" spans="1:1">
      <c r="A1893" t="inlineStr">
        <is>
          <t>Tig-Alaran</t>
        </is>
      </c>
    </row>
    <row r="1894" spans="1:1">
      <c r="A1894" t="inlineStr">
        <is>
          <t>Yapo</t>
        </is>
      </c>
    </row>
    <row r="1895" spans="1:1">
      <c r="A1895" t="inlineStr">
        <is>
          <t>Borocboroc</t>
        </is>
      </c>
    </row>
    <row r="1896" spans="1:1">
      <c r="A1896" t="inlineStr">
        <is>
          <t>Buenavista</t>
        </is>
      </c>
    </row>
    <row r="1897" spans="1:1">
      <c r="A1897" t="inlineStr">
        <is>
          <t>Concepcion</t>
        </is>
      </c>
    </row>
    <row r="1898" spans="1:1">
      <c r="A1898" t="inlineStr">
        <is>
          <t>Delima</t>
        </is>
      </c>
    </row>
    <row r="1899" spans="1:1">
      <c r="A1899" t="inlineStr">
        <is>
          <t>Ipil</t>
        </is>
      </c>
    </row>
    <row r="1900" spans="1:1">
      <c r="A1900" t="inlineStr">
        <is>
          <t>Maradiona</t>
        </is>
      </c>
    </row>
    <row r="1901" spans="1:1">
      <c r="A1901" t="inlineStr">
        <is>
          <t>Mojon</t>
        </is>
      </c>
    </row>
    <row r="1902" spans="1:1">
      <c r="A1902" t="inlineStr">
        <is>
          <t>Poblacion</t>
        </is>
      </c>
    </row>
    <row r="1903" spans="1:1">
      <c r="A1903" t="inlineStr">
        <is>
          <t>Rombang</t>
        </is>
      </c>
    </row>
    <row r="1904" spans="1:1">
      <c r="A1904" t="inlineStr">
        <is>
          <t>Salvacion</t>
        </is>
      </c>
    </row>
    <row r="1905" spans="1:1">
      <c r="A1905" t="inlineStr">
        <is>
          <t>Sinaja</t>
        </is>
      </c>
    </row>
    <row r="1906" spans="1:1">
      <c r="A1906" t="inlineStr">
        <is>
          <t>Anilawan</t>
        </is>
      </c>
    </row>
    <row r="1907" spans="1:1">
      <c r="A1907" t="inlineStr">
        <is>
          <t>Arangote</t>
        </is>
      </c>
    </row>
    <row r="1908" spans="1:1">
      <c r="A1908" t="inlineStr">
        <is>
          <t>Bagtason</t>
        </is>
      </c>
    </row>
    <row r="1909" spans="1:1">
      <c r="A1909" t="inlineStr">
        <is>
          <t>Camangahan</t>
        </is>
      </c>
    </row>
    <row r="1910" spans="1:1">
      <c r="A1910" t="inlineStr">
        <is>
          <t>Centro Ilauod</t>
        </is>
      </c>
    </row>
    <row r="1911" spans="1:1">
      <c r="A1911" t="inlineStr">
        <is>
          <t>Centro Ilaya</t>
        </is>
      </c>
    </row>
    <row r="1912" spans="1:1">
      <c r="A1912" t="inlineStr">
        <is>
          <t>Centro Pojo</t>
        </is>
      </c>
    </row>
    <row r="1913" spans="1:1">
      <c r="A1913" t="inlineStr">
        <is>
          <t>Cubay North</t>
        </is>
      </c>
    </row>
    <row r="1914" spans="1:1">
      <c r="A1914" t="inlineStr">
        <is>
          <t>Cubay South</t>
        </is>
      </c>
    </row>
    <row r="1915" spans="1:1">
      <c r="A1915" t="inlineStr">
        <is>
          <t>Guija</t>
        </is>
      </c>
    </row>
    <row r="1916" spans="1:1">
      <c r="A1916" t="inlineStr">
        <is>
          <t>Igbalangao</t>
        </is>
      </c>
    </row>
    <row r="1917" spans="1:1">
      <c r="A1917" t="inlineStr">
        <is>
          <t>Igsoro</t>
        </is>
      </c>
    </row>
    <row r="1918" spans="1:1">
      <c r="A1918" t="inlineStr">
        <is>
          <t>Ilaures</t>
        </is>
      </c>
    </row>
    <row r="1919" spans="1:1">
      <c r="A1919" t="inlineStr">
        <is>
          <t>Jinalinan</t>
        </is>
      </c>
    </row>
    <row r="1920" spans="1:1">
      <c r="A1920" t="inlineStr">
        <is>
          <t>Lacayon</t>
        </is>
      </c>
    </row>
    <row r="1921" spans="1:1">
      <c r="A1921" t="inlineStr">
        <is>
          <t>Maray</t>
        </is>
      </c>
    </row>
    <row r="1922" spans="1:1">
      <c r="A1922" t="inlineStr">
        <is>
          <t>Paliwan</t>
        </is>
      </c>
    </row>
    <row r="1923" spans="1:1">
      <c r="A1923" t="inlineStr">
        <is>
          <t>Pangalcagan</t>
        </is>
      </c>
    </row>
    <row r="1924" spans="1:1">
      <c r="A1924" t="inlineStr">
        <is>
          <t>Sabang East</t>
        </is>
      </c>
    </row>
    <row r="1925" spans="1:1">
      <c r="A1925" t="inlineStr">
        <is>
          <t>Sabang West</t>
        </is>
      </c>
    </row>
    <row r="1926" spans="1:1">
      <c r="A1926" t="inlineStr">
        <is>
          <t>Tagudtud North</t>
        </is>
      </c>
    </row>
    <row r="1927" spans="1:1">
      <c r="A1927" t="inlineStr">
        <is>
          <t>Tagudtud South</t>
        </is>
      </c>
    </row>
    <row r="1928" spans="1:1">
      <c r="A1928" t="inlineStr">
        <is>
          <t>Talisay</t>
        </is>
      </c>
    </row>
    <row r="1929" spans="1:1">
      <c r="A1929" t="inlineStr">
        <is>
          <t>Tica</t>
        </is>
      </c>
    </row>
    <row r="1930" spans="1:1">
      <c r="A1930" t="inlineStr">
        <is>
          <t>Tono-an</t>
        </is>
      </c>
    </row>
    <row r="1931" spans="1:1">
      <c r="A1931" t="inlineStr">
        <is>
          <t>Yapu</t>
        </is>
      </c>
    </row>
    <row r="1932" spans="1:1">
      <c r="A1932" t="inlineStr">
        <is>
          <t>Zaragoza</t>
        </is>
      </c>
    </row>
    <row r="1933" spans="1:1">
      <c r="A1933" t="inlineStr">
        <is>
          <t>Alegria</t>
        </is>
      </c>
    </row>
    <row r="1934" spans="1:1">
      <c r="A1934" t="inlineStr">
        <is>
          <t>Bacong</t>
        </is>
      </c>
    </row>
    <row r="1935" spans="1:1">
      <c r="A1935" t="inlineStr">
        <is>
          <t>Banago</t>
        </is>
      </c>
    </row>
    <row r="1936" spans="1:1">
      <c r="A1936" t="inlineStr">
        <is>
          <t>Bonbon</t>
        </is>
      </c>
    </row>
    <row r="1937" spans="1:1">
      <c r="A1937" t="inlineStr">
        <is>
          <t>Dawis</t>
        </is>
      </c>
    </row>
    <row r="1938" spans="1:1">
      <c r="A1938" t="inlineStr">
        <is>
          <t>Dionela</t>
        </is>
      </c>
    </row>
    <row r="1939" spans="1:1">
      <c r="A1939" t="inlineStr">
        <is>
          <t>Harigue</t>
        </is>
      </c>
    </row>
    <row r="1940" spans="1:1">
      <c r="A1940" t="inlineStr">
        <is>
          <t>Hininga-an</t>
        </is>
      </c>
    </row>
    <row r="1941" spans="1:1">
      <c r="A1941" t="inlineStr">
        <is>
          <t>Imba</t>
        </is>
      </c>
    </row>
    <row r="1942" spans="1:1">
      <c r="A1942" t="inlineStr">
        <is>
          <t>Masanag</t>
        </is>
      </c>
    </row>
    <row r="1943" spans="1:1">
      <c r="A1943" t="inlineStr">
        <is>
          <t>Poblacion</t>
        </is>
      </c>
    </row>
    <row r="1944" spans="1:1">
      <c r="A1944" t="inlineStr">
        <is>
          <t>Sabang</t>
        </is>
      </c>
    </row>
    <row r="1945" spans="1:1">
      <c r="A1945" t="inlineStr">
        <is>
          <t>Salamento</t>
        </is>
      </c>
    </row>
    <row r="1946" spans="1:1">
      <c r="A1946" t="inlineStr">
        <is>
          <t>Semirara</t>
        </is>
      </c>
    </row>
    <row r="1947" spans="1:1">
      <c r="A1947" t="inlineStr">
        <is>
          <t>Sibato</t>
        </is>
      </c>
    </row>
    <row r="1948" spans="1:1">
      <c r="A1948" t="inlineStr">
        <is>
          <t>Sibay</t>
        </is>
      </c>
    </row>
    <row r="1949" spans="1:1">
      <c r="A1949" t="inlineStr">
        <is>
          <t>Sibolo</t>
        </is>
      </c>
    </row>
    <row r="1950" spans="1:1">
      <c r="A1950" t="inlineStr">
        <is>
          <t>Tinogboc</t>
        </is>
      </c>
    </row>
    <row r="1951" spans="1:1">
      <c r="A1951" t="inlineStr">
        <is>
          <t>Alojipan</t>
        </is>
      </c>
    </row>
    <row r="1952" spans="1:1">
      <c r="A1952" t="inlineStr">
        <is>
          <t>Bagacay</t>
        </is>
      </c>
    </row>
    <row r="1953" spans="1:1">
      <c r="A1953" t="inlineStr">
        <is>
          <t>Balac-balac</t>
        </is>
      </c>
    </row>
    <row r="1954" spans="1:1">
      <c r="A1954" t="inlineStr">
        <is>
          <t>Batbatan Island</t>
        </is>
      </c>
    </row>
    <row r="1955" spans="1:1">
      <c r="A1955" t="inlineStr">
        <is>
          <t>Batonan Norte</t>
        </is>
      </c>
    </row>
    <row r="1956" spans="1:1">
      <c r="A1956" t="inlineStr">
        <is>
          <t>Batonan Sur</t>
        </is>
      </c>
    </row>
    <row r="1957" spans="1:1">
      <c r="A1957" t="inlineStr">
        <is>
          <t>Bita</t>
        </is>
      </c>
    </row>
    <row r="1958" spans="1:1">
      <c r="A1958" t="inlineStr">
        <is>
          <t>Bitadton Norte</t>
        </is>
      </c>
    </row>
    <row r="1959" spans="1:1">
      <c r="A1959" t="inlineStr">
        <is>
          <t>Bitadton Sur</t>
        </is>
      </c>
    </row>
    <row r="1960" spans="1:1">
      <c r="A1960" t="inlineStr">
        <is>
          <t>Buenavista</t>
        </is>
      </c>
    </row>
    <row r="1961" spans="1:1">
      <c r="A1961" t="inlineStr">
        <is>
          <t>Buhi</t>
        </is>
      </c>
    </row>
    <row r="1962" spans="1:1">
      <c r="A1962" t="inlineStr">
        <is>
          <t>Camancijan</t>
        </is>
      </c>
    </row>
    <row r="1963" spans="1:1">
      <c r="A1963" t="inlineStr">
        <is>
          <t>Caridad</t>
        </is>
      </c>
    </row>
    <row r="1964" spans="1:1">
      <c r="A1964" t="inlineStr">
        <is>
          <t>Carit-an</t>
        </is>
      </c>
    </row>
    <row r="1965" spans="1:1">
      <c r="A1965" t="inlineStr">
        <is>
          <t>Centro Norte</t>
        </is>
      </c>
    </row>
    <row r="1966" spans="1:1">
      <c r="A1966" t="inlineStr">
        <is>
          <t>Centro Poblacion</t>
        </is>
      </c>
    </row>
    <row r="1967" spans="1:1">
      <c r="A1967" t="inlineStr">
        <is>
          <t>Centro Sur</t>
        </is>
      </c>
    </row>
    <row r="1968" spans="1:1">
      <c r="A1968" t="inlineStr">
        <is>
          <t>Condes</t>
        </is>
      </c>
    </row>
    <row r="1969" spans="1:1">
      <c r="A1969" t="inlineStr">
        <is>
          <t>Esperanza</t>
        </is>
      </c>
    </row>
    <row r="1970" spans="1:1">
      <c r="A1970" t="inlineStr">
        <is>
          <t>Fe</t>
        </is>
      </c>
    </row>
    <row r="1971" spans="1:1">
      <c r="A1971" t="inlineStr">
        <is>
          <t>Flores</t>
        </is>
      </c>
    </row>
    <row r="1972" spans="1:1">
      <c r="A1972" t="inlineStr">
        <is>
          <t>Jalandoni</t>
        </is>
      </c>
    </row>
    <row r="1973" spans="1:1">
      <c r="A1973" t="inlineStr">
        <is>
          <t>Janlagasi</t>
        </is>
      </c>
    </row>
    <row r="1974" spans="1:1">
      <c r="A1974" t="inlineStr">
        <is>
          <t>Lamputong</t>
        </is>
      </c>
    </row>
    <row r="1975" spans="1:1">
      <c r="A1975" t="inlineStr">
        <is>
          <t>Lipata</t>
        </is>
      </c>
    </row>
    <row r="1976" spans="1:1">
      <c r="A1976" t="inlineStr">
        <is>
          <t>Magsaysay</t>
        </is>
      </c>
    </row>
    <row r="1977" spans="1:1">
      <c r="A1977" t="inlineStr">
        <is>
          <t>Malacañang</t>
        </is>
      </c>
    </row>
    <row r="1978" spans="1:1">
      <c r="A1978" t="inlineStr">
        <is>
          <t>Malalison Island</t>
        </is>
      </c>
    </row>
    <row r="1979" spans="1:1">
      <c r="A1979" t="inlineStr">
        <is>
          <t>Maniguin</t>
        </is>
      </c>
    </row>
    <row r="1980" spans="1:1">
      <c r="A1980" t="inlineStr">
        <is>
          <t>Naba</t>
        </is>
      </c>
    </row>
    <row r="1981" spans="1:1">
      <c r="A1981" t="inlineStr">
        <is>
          <t>Osorio</t>
        </is>
      </c>
    </row>
    <row r="1982" spans="1:1">
      <c r="A1982" t="inlineStr">
        <is>
          <t>Paningayan</t>
        </is>
      </c>
    </row>
    <row r="1983" spans="1:1">
      <c r="A1983" t="inlineStr">
        <is>
          <t>Salde</t>
        </is>
      </c>
    </row>
    <row r="1984" spans="1:1">
      <c r="A1984" t="inlineStr">
        <is>
          <t>San Antonio</t>
        </is>
      </c>
    </row>
    <row r="1985" spans="1:1">
      <c r="A1985" t="inlineStr">
        <is>
          <t>San Gregorio</t>
        </is>
      </c>
    </row>
    <row r="1986" spans="1:1">
      <c r="A1986" t="inlineStr">
        <is>
          <t>San Juan</t>
        </is>
      </c>
    </row>
    <row r="1987" spans="1:1">
      <c r="A1987" t="inlineStr">
        <is>
          <t>San Luis</t>
        </is>
      </c>
    </row>
    <row r="1988" spans="1:1">
      <c r="A1988" t="inlineStr">
        <is>
          <t>San Pascual</t>
        </is>
      </c>
    </row>
    <row r="1989" spans="1:1">
      <c r="A1989" t="inlineStr">
        <is>
          <t>San Vicente</t>
        </is>
      </c>
    </row>
    <row r="1990" spans="1:1">
      <c r="A1990" t="inlineStr">
        <is>
          <t>Simbola</t>
        </is>
      </c>
    </row>
    <row r="1991" spans="1:1">
      <c r="A1991" t="inlineStr">
        <is>
          <t>Tigbobolo</t>
        </is>
      </c>
    </row>
    <row r="1992" spans="1:1">
      <c r="A1992" t="inlineStr">
        <is>
          <t>Tinabusan</t>
        </is>
      </c>
    </row>
    <row r="1993" spans="1:1">
      <c r="A1993" t="inlineStr">
        <is>
          <t>Tomao</t>
        </is>
      </c>
    </row>
    <row r="1994" spans="1:1">
      <c r="A1994" t="inlineStr">
        <is>
          <t>Valderama</t>
        </is>
      </c>
    </row>
    <row r="1995" spans="1:1">
      <c r="A1995" t="inlineStr">
        <is>
          <t>Apdo</t>
        </is>
      </c>
    </row>
    <row r="1996" spans="1:1">
      <c r="A1996" t="inlineStr">
        <is>
          <t>Asluman</t>
        </is>
      </c>
    </row>
    <row r="1997" spans="1:1">
      <c r="A1997" t="inlineStr">
        <is>
          <t>Banawon</t>
        </is>
      </c>
    </row>
    <row r="1998" spans="1:1">
      <c r="A1998" t="inlineStr">
        <is>
          <t>Bia-an</t>
        </is>
      </c>
    </row>
    <row r="1999" spans="1:1">
      <c r="A1999" t="inlineStr">
        <is>
          <t>Bongbongan I-II</t>
        </is>
      </c>
    </row>
    <row r="2000" spans="1:1">
      <c r="A2000" t="inlineStr">
        <is>
          <t>Bongbongan III</t>
        </is>
      </c>
    </row>
    <row r="2001" spans="1:1">
      <c r="A2001" t="inlineStr">
        <is>
          <t>Botbot</t>
        </is>
      </c>
    </row>
    <row r="2002" spans="1:1">
      <c r="A2002" t="inlineStr">
        <is>
          <t>Budbudan</t>
        </is>
      </c>
    </row>
    <row r="2003" spans="1:1">
      <c r="A2003" t="inlineStr">
        <is>
          <t>Buhang</t>
        </is>
      </c>
    </row>
    <row r="2004" spans="1:1">
      <c r="A2004" t="inlineStr">
        <is>
          <t>Calacja I</t>
        </is>
      </c>
    </row>
    <row r="2005" spans="1:1">
      <c r="A2005" t="inlineStr">
        <is>
          <t>Calacja II</t>
        </is>
      </c>
    </row>
    <row r="2006" spans="1:1">
      <c r="A2006" t="inlineStr">
        <is>
          <t>Calala</t>
        </is>
      </c>
    </row>
    <row r="2007" spans="1:1">
      <c r="A2007" t="inlineStr">
        <is>
          <t>Cantulan</t>
        </is>
      </c>
    </row>
    <row r="2008" spans="1:1">
      <c r="A2008" t="inlineStr">
        <is>
          <t>Caridad</t>
        </is>
      </c>
    </row>
    <row r="2009" spans="1:1">
      <c r="A2009" t="inlineStr">
        <is>
          <t>Caromangay</t>
        </is>
      </c>
    </row>
    <row r="2010" spans="1:1">
      <c r="A2010" t="inlineStr">
        <is>
          <t>Casalngan</t>
        </is>
      </c>
    </row>
    <row r="2011" spans="1:1">
      <c r="A2011" t="inlineStr">
        <is>
          <t>Dangcalan</t>
        </is>
      </c>
    </row>
    <row r="2012" spans="1:1">
      <c r="A2012" t="inlineStr">
        <is>
          <t>Del Pilar</t>
        </is>
      </c>
    </row>
    <row r="2013" spans="1:1">
      <c r="A2013" t="inlineStr">
        <is>
          <t>Fabrica</t>
        </is>
      </c>
    </row>
    <row r="2014" spans="1:1">
      <c r="A2014" t="inlineStr">
        <is>
          <t>Funda</t>
        </is>
      </c>
    </row>
    <row r="2015" spans="1:1">
      <c r="A2015" t="inlineStr">
        <is>
          <t>General Fullon</t>
        </is>
      </c>
    </row>
    <row r="2016" spans="1:1">
      <c r="A2016" t="inlineStr">
        <is>
          <t>Gov. Evelio B. Javier</t>
        </is>
      </c>
    </row>
    <row r="2017" spans="1:1">
      <c r="A2017" t="inlineStr">
        <is>
          <t>Guintas</t>
        </is>
      </c>
    </row>
    <row r="2018" spans="1:1">
      <c r="A2018" t="inlineStr">
        <is>
          <t>Igbical</t>
        </is>
      </c>
    </row>
    <row r="2019" spans="1:1">
      <c r="A2019" t="inlineStr">
        <is>
          <t>Igbucagay</t>
        </is>
      </c>
    </row>
    <row r="2020" spans="1:1">
      <c r="A2020" t="inlineStr">
        <is>
          <t>Inabasan</t>
        </is>
      </c>
    </row>
    <row r="2021" spans="1:1">
      <c r="A2021" t="inlineStr">
        <is>
          <t>Ingwan-Batangan</t>
        </is>
      </c>
    </row>
    <row r="2022" spans="1:1">
      <c r="A2022" t="inlineStr">
        <is>
          <t>La Paz</t>
        </is>
      </c>
    </row>
    <row r="2023" spans="1:1">
      <c r="A2023" t="inlineStr">
        <is>
          <t>Linaban</t>
        </is>
      </c>
    </row>
    <row r="2024" spans="1:1">
      <c r="A2024" t="inlineStr">
        <is>
          <t>Malandog</t>
        </is>
      </c>
    </row>
    <row r="2025" spans="1:1">
      <c r="A2025" t="inlineStr">
        <is>
          <t>Mapatag</t>
        </is>
      </c>
    </row>
    <row r="2026" spans="1:1">
      <c r="A2026" t="inlineStr">
        <is>
          <t>Masanag</t>
        </is>
      </c>
    </row>
    <row r="2027" spans="1:1">
      <c r="A2027" t="inlineStr">
        <is>
          <t>Nalihawan</t>
        </is>
      </c>
    </row>
    <row r="2028" spans="1:1">
      <c r="A2028" t="inlineStr">
        <is>
          <t>Pamandayan</t>
        </is>
      </c>
    </row>
    <row r="2029" spans="1:1">
      <c r="A2029" t="inlineStr">
        <is>
          <t>Pasu-Jungao</t>
        </is>
      </c>
    </row>
    <row r="2030" spans="1:1">
      <c r="A2030" t="inlineStr">
        <is>
          <t>Piapi I</t>
        </is>
      </c>
    </row>
    <row r="2031" spans="1:1">
      <c r="A2031" t="inlineStr">
        <is>
          <t>Piapi II</t>
        </is>
      </c>
    </row>
    <row r="2032" spans="1:1">
      <c r="A2032" t="inlineStr">
        <is>
          <t>Piapi III</t>
        </is>
      </c>
    </row>
    <row r="2033" spans="1:1">
      <c r="A2033" t="inlineStr">
        <is>
          <t>Pili 1, 2, 3</t>
        </is>
      </c>
    </row>
    <row r="2034" spans="1:1">
      <c r="A2034" t="inlineStr">
        <is>
          <t>Poblacion 1</t>
        </is>
      </c>
    </row>
    <row r="2035" spans="1:1">
      <c r="A2035" t="inlineStr">
        <is>
          <t>Poblacion 2</t>
        </is>
      </c>
    </row>
    <row r="2036" spans="1:1">
      <c r="A2036" t="inlineStr">
        <is>
          <t>Poblacion 3</t>
        </is>
      </c>
    </row>
    <row r="2037" spans="1:1">
      <c r="A2037" t="inlineStr">
        <is>
          <t>Poblacion 4</t>
        </is>
      </c>
    </row>
    <row r="2038" spans="1:1">
      <c r="A2038" t="inlineStr">
        <is>
          <t>Poblacion 5</t>
        </is>
      </c>
    </row>
    <row r="2039" spans="1:1">
      <c r="A2039" t="inlineStr">
        <is>
          <t>Pu-ao</t>
        </is>
      </c>
    </row>
    <row r="2040" spans="1:1">
      <c r="A2040" t="inlineStr">
        <is>
          <t>Suloc</t>
        </is>
      </c>
    </row>
    <row r="2041" spans="1:1">
      <c r="A2041" t="inlineStr">
        <is>
          <t>Villavert-Jimenez</t>
        </is>
      </c>
    </row>
    <row r="2042" spans="1:1">
      <c r="A2042" t="inlineStr">
        <is>
          <t>Bagongbayan</t>
        </is>
      </c>
    </row>
    <row r="2043" spans="1:1">
      <c r="A2043" t="inlineStr">
        <is>
          <t>Banban</t>
        </is>
      </c>
    </row>
    <row r="2044" spans="1:1">
      <c r="A2044" t="inlineStr">
        <is>
          <t>Bongbongan</t>
        </is>
      </c>
    </row>
    <row r="2045" spans="1:1">
      <c r="A2045" t="inlineStr">
        <is>
          <t>Cabariwan</t>
        </is>
      </c>
    </row>
    <row r="2046" spans="1:1">
      <c r="A2046" t="inlineStr">
        <is>
          <t>Cadajug</t>
        </is>
      </c>
    </row>
    <row r="2047" spans="1:1">
      <c r="A2047" t="inlineStr">
        <is>
          <t>Canituan</t>
        </is>
      </c>
    </row>
    <row r="2048" spans="1:1">
      <c r="A2048" t="inlineStr">
        <is>
          <t>Capnayan</t>
        </is>
      </c>
    </row>
    <row r="2049" spans="1:1">
      <c r="A2049" t="inlineStr">
        <is>
          <t>Casit-an</t>
        </is>
      </c>
    </row>
    <row r="2050" spans="1:1">
      <c r="A2050" t="inlineStr">
        <is>
          <t>Guiamon</t>
        </is>
      </c>
    </row>
    <row r="2051" spans="1:1">
      <c r="A2051" t="inlineStr">
        <is>
          <t>Guinbanga-an</t>
        </is>
      </c>
    </row>
    <row r="2052" spans="1:1">
      <c r="A2052" t="inlineStr">
        <is>
          <t>Guisijan</t>
        </is>
      </c>
    </row>
    <row r="2053" spans="1:1">
      <c r="A2053" t="inlineStr">
        <is>
          <t>Igtadiao</t>
        </is>
      </c>
    </row>
    <row r="2054" spans="1:1">
      <c r="A2054" t="inlineStr">
        <is>
          <t>Intao</t>
        </is>
      </c>
    </row>
    <row r="2055" spans="1:1">
      <c r="A2055" t="inlineStr">
        <is>
          <t>Jaguikican</t>
        </is>
      </c>
    </row>
    <row r="2056" spans="1:1">
      <c r="A2056" t="inlineStr">
        <is>
          <t>Jinalinan</t>
        </is>
      </c>
    </row>
    <row r="2057" spans="1:1">
      <c r="A2057" t="inlineStr">
        <is>
          <t>Lactudan</t>
        </is>
      </c>
    </row>
    <row r="2058" spans="1:1">
      <c r="A2058" t="inlineStr">
        <is>
          <t>Latazon</t>
        </is>
      </c>
    </row>
    <row r="2059" spans="1:1">
      <c r="A2059" t="inlineStr">
        <is>
          <t>Laua-an</t>
        </is>
      </c>
    </row>
    <row r="2060" spans="1:1">
      <c r="A2060" t="inlineStr">
        <is>
          <t>Leon</t>
        </is>
      </c>
    </row>
    <row r="2061" spans="1:1">
      <c r="A2061" t="inlineStr">
        <is>
          <t>Liberato</t>
        </is>
      </c>
    </row>
    <row r="2062" spans="1:1">
      <c r="A2062" t="inlineStr">
        <is>
          <t>Lindero</t>
        </is>
      </c>
    </row>
    <row r="2063" spans="1:1">
      <c r="A2063" t="inlineStr">
        <is>
          <t>Liya-liya</t>
        </is>
      </c>
    </row>
    <row r="2064" spans="1:1">
      <c r="A2064" t="inlineStr">
        <is>
          <t>Lugta</t>
        </is>
      </c>
    </row>
    <row r="2065" spans="1:1">
      <c r="A2065" t="inlineStr">
        <is>
          <t>Lupa-an</t>
        </is>
      </c>
    </row>
    <row r="2066" spans="1:1">
      <c r="A2066" t="inlineStr">
        <is>
          <t>Magyapo</t>
        </is>
      </c>
    </row>
    <row r="2067" spans="1:1">
      <c r="A2067" t="inlineStr">
        <is>
          <t>Maria</t>
        </is>
      </c>
    </row>
    <row r="2068" spans="1:1">
      <c r="A2068" t="inlineStr">
        <is>
          <t>Mauno</t>
        </is>
      </c>
    </row>
    <row r="2069" spans="1:1">
      <c r="A2069" t="inlineStr">
        <is>
          <t>Maybunga</t>
        </is>
      </c>
    </row>
    <row r="2070" spans="1:1">
      <c r="A2070" t="inlineStr">
        <is>
          <t>Necesito</t>
        </is>
      </c>
    </row>
    <row r="2071" spans="1:1">
      <c r="A2071" t="inlineStr">
        <is>
          <t>Oloc</t>
        </is>
      </c>
    </row>
    <row r="2072" spans="1:1">
      <c r="A2072" t="inlineStr">
        <is>
          <t>Omlot</t>
        </is>
      </c>
    </row>
    <row r="2073" spans="1:1">
      <c r="A2073" t="inlineStr">
        <is>
          <t>Pandanan</t>
        </is>
      </c>
    </row>
    <row r="2074" spans="1:1">
      <c r="A2074" t="inlineStr">
        <is>
          <t>Paningayan</t>
        </is>
      </c>
    </row>
    <row r="2075" spans="1:1">
      <c r="A2075" t="inlineStr">
        <is>
          <t>Pascuala</t>
        </is>
      </c>
    </row>
    <row r="2076" spans="1:1">
      <c r="A2076" t="inlineStr">
        <is>
          <t>Poblacion</t>
        </is>
      </c>
    </row>
    <row r="2077" spans="1:1">
      <c r="A2077" t="inlineStr">
        <is>
          <t>San Ramon</t>
        </is>
      </c>
    </row>
    <row r="2078" spans="1:1">
      <c r="A2078" t="inlineStr">
        <is>
          <t>Santiago</t>
        </is>
      </c>
    </row>
    <row r="2079" spans="1:1">
      <c r="A2079" t="inlineStr">
        <is>
          <t>Tibacan</t>
        </is>
      </c>
    </row>
    <row r="2080" spans="1:1">
      <c r="A2080" t="inlineStr">
        <is>
          <t>Tigunhao</t>
        </is>
      </c>
    </row>
    <row r="2081" spans="1:1">
      <c r="A2081" t="inlineStr">
        <is>
          <t>Virginia</t>
        </is>
      </c>
    </row>
    <row r="2082" spans="1:1">
      <c r="A2082" t="inlineStr">
        <is>
          <t>Barusbus</t>
        </is>
      </c>
    </row>
    <row r="2083" spans="1:1">
      <c r="A2083" t="inlineStr">
        <is>
          <t>Bulanao</t>
        </is>
      </c>
    </row>
    <row r="2084" spans="1:1">
      <c r="A2084" t="inlineStr">
        <is>
          <t>Centro Este</t>
        </is>
      </c>
    </row>
    <row r="2085" spans="1:1">
      <c r="A2085" t="inlineStr">
        <is>
          <t>Centro Weste</t>
        </is>
      </c>
    </row>
    <row r="2086" spans="1:1">
      <c r="A2086" t="inlineStr">
        <is>
          <t>Codiong</t>
        </is>
      </c>
    </row>
    <row r="2087" spans="1:1">
      <c r="A2087" t="inlineStr">
        <is>
          <t>Cubay</t>
        </is>
      </c>
    </row>
    <row r="2088" spans="1:1">
      <c r="A2088" t="inlineStr">
        <is>
          <t>Igcagay</t>
        </is>
      </c>
    </row>
    <row r="2089" spans="1:1">
      <c r="A2089" t="inlineStr">
        <is>
          <t>Inyawan</t>
        </is>
      </c>
    </row>
    <row r="2090" spans="1:1">
      <c r="A2090" t="inlineStr">
        <is>
          <t>Lindero</t>
        </is>
      </c>
    </row>
    <row r="2091" spans="1:1">
      <c r="A2091" t="inlineStr">
        <is>
          <t>Maramig</t>
        </is>
      </c>
    </row>
    <row r="2092" spans="1:1">
      <c r="A2092" t="inlineStr">
        <is>
          <t>Pajo</t>
        </is>
      </c>
    </row>
    <row r="2093" spans="1:1">
      <c r="A2093" t="inlineStr">
        <is>
          <t>Panangkilon</t>
        </is>
      </c>
    </row>
    <row r="2094" spans="1:1">
      <c r="A2094" t="inlineStr">
        <is>
          <t>Paz</t>
        </is>
      </c>
    </row>
    <row r="2095" spans="1:1">
      <c r="A2095" t="inlineStr">
        <is>
          <t>Pucio</t>
        </is>
      </c>
    </row>
    <row r="2096" spans="1:1">
      <c r="A2096" t="inlineStr">
        <is>
          <t>San Roque</t>
        </is>
      </c>
    </row>
    <row r="2097" spans="1:1">
      <c r="A2097" t="inlineStr">
        <is>
          <t>Taboc</t>
        </is>
      </c>
    </row>
    <row r="2098" spans="1:1">
      <c r="A2098" t="inlineStr">
        <is>
          <t>Tinigbas</t>
        </is>
      </c>
    </row>
    <row r="2099" spans="1:1">
      <c r="A2099" t="inlineStr">
        <is>
          <t>Tinindugan</t>
        </is>
      </c>
    </row>
    <row r="2100" spans="1:1">
      <c r="A2100" t="inlineStr">
        <is>
          <t>Union</t>
        </is>
      </c>
    </row>
    <row r="2101" spans="1:1">
      <c r="A2101" t="inlineStr">
        <is>
          <t>Aracay</t>
        </is>
      </c>
    </row>
    <row r="2102" spans="1:1">
      <c r="A2102" t="inlineStr">
        <is>
          <t>Badiangan</t>
        </is>
      </c>
    </row>
    <row r="2103" spans="1:1">
      <c r="A2103" t="inlineStr">
        <is>
          <t>Bagumbayan</t>
        </is>
      </c>
    </row>
    <row r="2104" spans="1:1">
      <c r="A2104" t="inlineStr">
        <is>
          <t>Baybay</t>
        </is>
      </c>
    </row>
    <row r="2105" spans="1:1">
      <c r="A2105" t="inlineStr">
        <is>
          <t>Botbot</t>
        </is>
      </c>
    </row>
    <row r="2106" spans="1:1">
      <c r="A2106" t="inlineStr">
        <is>
          <t>Buang</t>
        </is>
      </c>
    </row>
    <row r="2107" spans="1:1">
      <c r="A2107" t="inlineStr">
        <is>
          <t>Cabugao</t>
        </is>
      </c>
    </row>
    <row r="2108" spans="1:1">
      <c r="A2108" t="inlineStr">
        <is>
          <t>Candari</t>
        </is>
      </c>
    </row>
    <row r="2109" spans="1:1">
      <c r="A2109" t="inlineStr">
        <is>
          <t>Carmen</t>
        </is>
      </c>
    </row>
    <row r="2110" spans="1:1">
      <c r="A2110" t="inlineStr">
        <is>
          <t>Centro Norte</t>
        </is>
      </c>
    </row>
    <row r="2111" spans="1:1">
      <c r="A2111" t="inlineStr">
        <is>
          <t>Centro Sur</t>
        </is>
      </c>
    </row>
    <row r="2112" spans="1:1">
      <c r="A2112" t="inlineStr">
        <is>
          <t>Dionela</t>
        </is>
      </c>
    </row>
    <row r="2113" spans="1:1">
      <c r="A2113" t="inlineStr">
        <is>
          <t>Dumrog</t>
        </is>
      </c>
    </row>
    <row r="2114" spans="1:1">
      <c r="A2114" t="inlineStr">
        <is>
          <t>Duyong</t>
        </is>
      </c>
    </row>
    <row r="2115" spans="1:1">
      <c r="A2115" t="inlineStr">
        <is>
          <t>Fragante</t>
        </is>
      </c>
    </row>
    <row r="2116" spans="1:1">
      <c r="A2116" t="inlineStr">
        <is>
          <t>Guia</t>
        </is>
      </c>
    </row>
    <row r="2117" spans="1:1">
      <c r="A2117" t="inlineStr">
        <is>
          <t>Idiacacan</t>
        </is>
      </c>
    </row>
    <row r="2118" spans="1:1">
      <c r="A2118" t="inlineStr">
        <is>
          <t>Jinalinan</t>
        </is>
      </c>
    </row>
    <row r="2119" spans="1:1">
      <c r="A2119" t="inlineStr">
        <is>
          <t>Luhod-Bayang</t>
        </is>
      </c>
    </row>
    <row r="2120" spans="1:1">
      <c r="A2120" t="inlineStr">
        <is>
          <t>Maadios</t>
        </is>
      </c>
    </row>
    <row r="2121" spans="1:1">
      <c r="A2121" t="inlineStr">
        <is>
          <t>Mag-aba</t>
        </is>
      </c>
    </row>
    <row r="2122" spans="1:1">
      <c r="A2122" t="inlineStr">
        <is>
          <t>Napuid</t>
        </is>
      </c>
    </row>
    <row r="2123" spans="1:1">
      <c r="A2123" t="inlineStr">
        <is>
          <t>Nauring</t>
        </is>
      </c>
    </row>
    <row r="2124" spans="1:1">
      <c r="A2124" t="inlineStr">
        <is>
          <t>Patria</t>
        </is>
      </c>
    </row>
    <row r="2125" spans="1:1">
      <c r="A2125" t="inlineStr">
        <is>
          <t>Perfecta</t>
        </is>
      </c>
    </row>
    <row r="2126" spans="1:1">
      <c r="A2126" t="inlineStr">
        <is>
          <t>San Andres</t>
        </is>
      </c>
    </row>
    <row r="2127" spans="1:1">
      <c r="A2127" t="inlineStr">
        <is>
          <t>San Joaquin</t>
        </is>
      </c>
    </row>
    <row r="2128" spans="1:1">
      <c r="A2128" t="inlineStr">
        <is>
          <t>Santa Ana</t>
        </is>
      </c>
    </row>
    <row r="2129" spans="1:1">
      <c r="A2129" t="inlineStr">
        <is>
          <t>Santa Cruz</t>
        </is>
      </c>
    </row>
    <row r="2130" spans="1:1">
      <c r="A2130" t="inlineStr">
        <is>
          <t>Santa Fe</t>
        </is>
      </c>
    </row>
    <row r="2131" spans="1:1">
      <c r="A2131" t="inlineStr">
        <is>
          <t>Santo Rosario</t>
        </is>
      </c>
    </row>
    <row r="2132" spans="1:1">
      <c r="A2132" t="inlineStr">
        <is>
          <t>Talisay</t>
        </is>
      </c>
    </row>
    <row r="2133" spans="1:1">
      <c r="A2133" t="inlineStr">
        <is>
          <t>Tingib</t>
        </is>
      </c>
    </row>
    <row r="2134" spans="1:1">
      <c r="A2134" t="inlineStr">
        <is>
          <t>Zaldivar</t>
        </is>
      </c>
    </row>
    <row r="2135" spans="1:1">
      <c r="A2135" t="inlineStr">
        <is>
          <t>Alvañiz</t>
        </is>
      </c>
    </row>
    <row r="2136" spans="1:1">
      <c r="A2136" t="inlineStr">
        <is>
          <t>Amparo</t>
        </is>
      </c>
    </row>
    <row r="2137" spans="1:1">
      <c r="A2137" t="inlineStr">
        <is>
          <t>Apgahan</t>
        </is>
      </c>
    </row>
    <row r="2138" spans="1:1">
      <c r="A2138" t="inlineStr">
        <is>
          <t>Aureliana</t>
        </is>
      </c>
    </row>
    <row r="2139" spans="1:1">
      <c r="A2139" t="inlineStr">
        <is>
          <t>Badiangan</t>
        </is>
      </c>
    </row>
    <row r="2140" spans="1:1">
      <c r="A2140" t="inlineStr">
        <is>
          <t>Bernaldo A. Julagting</t>
        </is>
      </c>
    </row>
    <row r="2141" spans="1:1">
      <c r="A2141" t="inlineStr">
        <is>
          <t>Carit-an</t>
        </is>
      </c>
    </row>
    <row r="2142" spans="1:1">
      <c r="A2142" t="inlineStr">
        <is>
          <t>Cuyapiao</t>
        </is>
      </c>
    </row>
    <row r="2143" spans="1:1">
      <c r="A2143" t="inlineStr">
        <is>
          <t>Gella</t>
        </is>
      </c>
    </row>
    <row r="2144" spans="1:1">
      <c r="A2144" t="inlineStr">
        <is>
          <t>Igbarawan</t>
        </is>
      </c>
    </row>
    <row r="2145" spans="1:1">
      <c r="A2145" t="inlineStr">
        <is>
          <t>Igbobon</t>
        </is>
      </c>
    </row>
    <row r="2146" spans="1:1">
      <c r="A2146" t="inlineStr">
        <is>
          <t>Igburi</t>
        </is>
      </c>
    </row>
    <row r="2147" spans="1:1">
      <c r="A2147" t="inlineStr">
        <is>
          <t>La Rioja</t>
        </is>
      </c>
    </row>
    <row r="2148" spans="1:1">
      <c r="A2148" t="inlineStr">
        <is>
          <t>Mabasa</t>
        </is>
      </c>
    </row>
    <row r="2149" spans="1:1">
      <c r="A2149" t="inlineStr">
        <is>
          <t>Macarina</t>
        </is>
      </c>
    </row>
    <row r="2150" spans="1:1">
      <c r="A2150" t="inlineStr">
        <is>
          <t>Magarang</t>
        </is>
      </c>
    </row>
    <row r="2151" spans="1:1">
      <c r="A2151" t="inlineStr">
        <is>
          <t>Magsaysay</t>
        </is>
      </c>
    </row>
    <row r="2152" spans="1:1">
      <c r="A2152" t="inlineStr">
        <is>
          <t>Padang</t>
        </is>
      </c>
    </row>
    <row r="2153" spans="1:1">
      <c r="A2153" t="inlineStr">
        <is>
          <t>Pandanan</t>
        </is>
      </c>
    </row>
    <row r="2154" spans="1:1">
      <c r="A2154" t="inlineStr">
        <is>
          <t>Patlabawon</t>
        </is>
      </c>
    </row>
    <row r="2155" spans="1:1">
      <c r="A2155" t="inlineStr">
        <is>
          <t>Poblacion</t>
        </is>
      </c>
    </row>
    <row r="2156" spans="1:1">
      <c r="A2156" t="inlineStr">
        <is>
          <t>Quezon</t>
        </is>
      </c>
    </row>
    <row r="2157" spans="1:1">
      <c r="A2157" t="inlineStr">
        <is>
          <t>Salaguiawan</t>
        </is>
      </c>
    </row>
    <row r="2158" spans="1:1">
      <c r="A2158" t="inlineStr">
        <is>
          <t>Samalague</t>
        </is>
      </c>
    </row>
    <row r="2159" spans="1:1">
      <c r="A2159" t="inlineStr">
        <is>
          <t>San Rafael</t>
        </is>
      </c>
    </row>
    <row r="2160" spans="1:1">
      <c r="A2160" t="inlineStr">
        <is>
          <t>Tamayoc</t>
        </is>
      </c>
    </row>
    <row r="2161" spans="1:1">
      <c r="A2161" t="inlineStr">
        <is>
          <t>Tigbalogo</t>
        </is>
      </c>
    </row>
    <row r="2162" spans="1:1">
      <c r="A2162" t="inlineStr">
        <is>
          <t>Tobias Fornier</t>
        </is>
      </c>
    </row>
    <row r="2163" spans="1:1">
      <c r="A2163" t="inlineStr">
        <is>
          <t>Villa Crespo</t>
        </is>
      </c>
    </row>
    <row r="2164" spans="1:1">
      <c r="A2164" t="inlineStr">
        <is>
          <t>Villa Cruz</t>
        </is>
      </c>
    </row>
    <row r="2165" spans="1:1">
      <c r="A2165" t="inlineStr">
        <is>
          <t>Villa Elio</t>
        </is>
      </c>
    </row>
    <row r="2166" spans="1:1">
      <c r="A2166" t="inlineStr">
        <is>
          <t>Villa Flores</t>
        </is>
      </c>
    </row>
    <row r="2167" spans="1:1">
      <c r="A2167" t="inlineStr">
        <is>
          <t>Villa Laua-an</t>
        </is>
      </c>
    </row>
    <row r="2168" spans="1:1">
      <c r="A2168" t="inlineStr">
        <is>
          <t>Villa Sal</t>
        </is>
      </c>
    </row>
    <row r="2169" spans="1:1">
      <c r="A2169" t="inlineStr">
        <is>
          <t>Villa Salomon</t>
        </is>
      </c>
    </row>
    <row r="2170" spans="1:1">
      <c r="A2170" t="inlineStr">
        <is>
          <t>Vista Alegre</t>
        </is>
      </c>
    </row>
    <row r="2171" spans="1:1">
      <c r="A2171" t="inlineStr">
        <is>
          <t>Atabay</t>
        </is>
      </c>
    </row>
    <row r="2172" spans="1:1">
      <c r="A2172" t="inlineStr">
        <is>
          <t>Badiang</t>
        </is>
      </c>
    </row>
    <row r="2173" spans="1:1">
      <c r="A2173" t="inlineStr">
        <is>
          <t>Barangay 1</t>
        </is>
      </c>
    </row>
    <row r="2174" spans="1:1">
      <c r="A2174" t="inlineStr">
        <is>
          <t>Barangay 2</t>
        </is>
      </c>
    </row>
    <row r="2175" spans="1:1">
      <c r="A2175" t="inlineStr">
        <is>
          <t>Barangay 3</t>
        </is>
      </c>
    </row>
    <row r="2176" spans="1:1">
      <c r="A2176" t="inlineStr">
        <is>
          <t>Barangay 4</t>
        </is>
      </c>
    </row>
    <row r="2177" spans="1:1">
      <c r="A2177" t="inlineStr">
        <is>
          <t>Barangay 5</t>
        </is>
      </c>
    </row>
    <row r="2178" spans="1:1">
      <c r="A2178" t="inlineStr">
        <is>
          <t>Barangay 6</t>
        </is>
      </c>
    </row>
    <row r="2179" spans="1:1">
      <c r="A2179" t="inlineStr">
        <is>
          <t>Barangay 7</t>
        </is>
      </c>
    </row>
    <row r="2180" spans="1:1">
      <c r="A2180" t="inlineStr">
        <is>
          <t>Barangay 8</t>
        </is>
      </c>
    </row>
    <row r="2181" spans="1:1">
      <c r="A2181" t="inlineStr">
        <is>
          <t>Bariri</t>
        </is>
      </c>
    </row>
    <row r="2182" spans="1:1">
      <c r="A2182" t="inlineStr">
        <is>
          <t>Bugarot</t>
        </is>
      </c>
    </row>
    <row r="2183" spans="1:1">
      <c r="A2183" t="inlineStr">
        <is>
          <t>Cansadan</t>
        </is>
      </c>
    </row>
    <row r="2184" spans="1:1">
      <c r="A2184" t="inlineStr">
        <is>
          <t>Durog</t>
        </is>
      </c>
    </row>
    <row r="2185" spans="1:1">
      <c r="A2185" t="inlineStr">
        <is>
          <t>Funda-Dalipe</t>
        </is>
      </c>
    </row>
    <row r="2186" spans="1:1">
      <c r="A2186" t="inlineStr">
        <is>
          <t>Igbonglo</t>
        </is>
      </c>
    </row>
    <row r="2187" spans="1:1">
      <c r="A2187" t="inlineStr">
        <is>
          <t>Inabasan</t>
        </is>
      </c>
    </row>
    <row r="2188" spans="1:1">
      <c r="A2188" t="inlineStr">
        <is>
          <t>Madrangca</t>
        </is>
      </c>
    </row>
    <row r="2189" spans="1:1">
      <c r="A2189" t="inlineStr">
        <is>
          <t>Magcalon</t>
        </is>
      </c>
    </row>
    <row r="2190" spans="1:1">
      <c r="A2190" t="inlineStr">
        <is>
          <t>Malaiba</t>
        </is>
      </c>
    </row>
    <row r="2191" spans="1:1">
      <c r="A2191" t="inlineStr">
        <is>
          <t>Maybato Norte</t>
        </is>
      </c>
    </row>
    <row r="2192" spans="1:1">
      <c r="A2192" t="inlineStr">
        <is>
          <t>Maybato Sur</t>
        </is>
      </c>
    </row>
    <row r="2193" spans="1:1">
      <c r="A2193" t="inlineStr">
        <is>
          <t>Mojon</t>
        </is>
      </c>
    </row>
    <row r="2194" spans="1:1">
      <c r="A2194" t="inlineStr">
        <is>
          <t>Pantao</t>
        </is>
      </c>
    </row>
    <row r="2195" spans="1:1">
      <c r="A2195" t="inlineStr">
        <is>
          <t>San Angel</t>
        </is>
      </c>
    </row>
    <row r="2196" spans="1:1">
      <c r="A2196" t="inlineStr">
        <is>
          <t>San Fernando</t>
        </is>
      </c>
    </row>
    <row r="2197" spans="1:1">
      <c r="A2197" t="inlineStr">
        <is>
          <t>San Pedro</t>
        </is>
      </c>
    </row>
    <row r="2198" spans="1:1">
      <c r="A2198" t="inlineStr">
        <is>
          <t>Supa</t>
        </is>
      </c>
    </row>
    <row r="2199" spans="1:1">
      <c r="A2199" t="inlineStr">
        <is>
          <t>Agricula</t>
        </is>
      </c>
    </row>
    <row r="2200" spans="1:1">
      <c r="A2200" t="inlineStr">
        <is>
          <t>Alegria</t>
        </is>
      </c>
    </row>
    <row r="2201" spans="1:1">
      <c r="A2201" t="inlineStr">
        <is>
          <t>Aningalan</t>
        </is>
      </c>
    </row>
    <row r="2202" spans="1:1">
      <c r="A2202" t="inlineStr">
        <is>
          <t>Atabay</t>
        </is>
      </c>
    </row>
    <row r="2203" spans="1:1">
      <c r="A2203" t="inlineStr">
        <is>
          <t>Bagumbayan</t>
        </is>
      </c>
    </row>
    <row r="2204" spans="1:1">
      <c r="A2204" t="inlineStr">
        <is>
          <t>Baladjay</t>
        </is>
      </c>
    </row>
    <row r="2205" spans="1:1">
      <c r="A2205" t="inlineStr">
        <is>
          <t>Banbanan</t>
        </is>
      </c>
    </row>
    <row r="2206" spans="1:1">
      <c r="A2206" t="inlineStr">
        <is>
          <t>Barangbang</t>
        </is>
      </c>
    </row>
    <row r="2207" spans="1:1">
      <c r="A2207" t="inlineStr">
        <is>
          <t>Bawang</t>
        </is>
      </c>
    </row>
    <row r="2208" spans="1:1">
      <c r="A2208" t="inlineStr">
        <is>
          <t>Bugo</t>
        </is>
      </c>
    </row>
    <row r="2209" spans="1:1">
      <c r="A2209" t="inlineStr">
        <is>
          <t>Bulan-bulan</t>
        </is>
      </c>
    </row>
    <row r="2210" spans="1:1">
      <c r="A2210" t="inlineStr">
        <is>
          <t>Cabiawan</t>
        </is>
      </c>
    </row>
    <row r="2211" spans="1:1">
      <c r="A2211" t="inlineStr">
        <is>
          <t>Cabunga-an</t>
        </is>
      </c>
    </row>
    <row r="2212" spans="1:1">
      <c r="A2212" t="inlineStr">
        <is>
          <t>Cadolonan</t>
        </is>
      </c>
    </row>
    <row r="2213" spans="1:1">
      <c r="A2213" t="inlineStr">
        <is>
          <t>Carawisan I</t>
        </is>
      </c>
    </row>
    <row r="2214" spans="1:1">
      <c r="A2214" t="inlineStr">
        <is>
          <t>Carawisan II</t>
        </is>
      </c>
    </row>
    <row r="2215" spans="1:1">
      <c r="A2215" t="inlineStr">
        <is>
          <t>Carmelo I</t>
        </is>
      </c>
    </row>
    <row r="2216" spans="1:1">
      <c r="A2216" t="inlineStr">
        <is>
          <t>Carmelo II</t>
        </is>
      </c>
    </row>
    <row r="2217" spans="1:1">
      <c r="A2217" t="inlineStr">
        <is>
          <t>General Fullon</t>
        </is>
      </c>
    </row>
    <row r="2218" spans="1:1">
      <c r="A2218" t="inlineStr">
        <is>
          <t>General Luna</t>
        </is>
      </c>
    </row>
    <row r="2219" spans="1:1">
      <c r="A2219" t="inlineStr">
        <is>
          <t>Iguirindon</t>
        </is>
      </c>
    </row>
    <row r="2220" spans="1:1">
      <c r="A2220" t="inlineStr">
        <is>
          <t>Insubuan</t>
        </is>
      </c>
    </row>
    <row r="2221" spans="1:1">
      <c r="A2221" t="inlineStr">
        <is>
          <t>La Union</t>
        </is>
      </c>
    </row>
    <row r="2222" spans="1:1">
      <c r="A2222" t="inlineStr">
        <is>
          <t>Lapak</t>
        </is>
      </c>
    </row>
    <row r="2223" spans="1:1">
      <c r="A2223" t="inlineStr">
        <is>
          <t>Lumpatan</t>
        </is>
      </c>
    </row>
    <row r="2224" spans="1:1">
      <c r="A2224" t="inlineStr">
        <is>
          <t>Magdalena</t>
        </is>
      </c>
    </row>
    <row r="2225" spans="1:1">
      <c r="A2225" t="inlineStr">
        <is>
          <t>Maragubdub</t>
        </is>
      </c>
    </row>
    <row r="2226" spans="1:1">
      <c r="A2226" t="inlineStr">
        <is>
          <t>Nagbangi I</t>
        </is>
      </c>
    </row>
    <row r="2227" spans="1:1">
      <c r="A2227" t="inlineStr">
        <is>
          <t>Nagbangi II</t>
        </is>
      </c>
    </row>
    <row r="2228" spans="1:1">
      <c r="A2228" t="inlineStr">
        <is>
          <t>Nasuli</t>
        </is>
      </c>
    </row>
    <row r="2229" spans="1:1">
      <c r="A2229" t="inlineStr">
        <is>
          <t>Orquia</t>
        </is>
      </c>
    </row>
    <row r="2230" spans="1:1">
      <c r="A2230" t="inlineStr">
        <is>
          <t>Osorio I</t>
        </is>
      </c>
    </row>
    <row r="2231" spans="1:1">
      <c r="A2231" t="inlineStr">
        <is>
          <t>Osorio II</t>
        </is>
      </c>
    </row>
    <row r="2232" spans="1:1">
      <c r="A2232" t="inlineStr">
        <is>
          <t>Panpanan I</t>
        </is>
      </c>
    </row>
    <row r="2233" spans="1:1">
      <c r="A2233" t="inlineStr">
        <is>
          <t>Panpanan II</t>
        </is>
      </c>
    </row>
    <row r="2234" spans="1:1">
      <c r="A2234" t="inlineStr">
        <is>
          <t>Poblacion</t>
        </is>
      </c>
    </row>
    <row r="2235" spans="1:1">
      <c r="A2235" t="inlineStr">
        <is>
          <t>Ramon Magsaysay</t>
        </is>
      </c>
    </row>
    <row r="2236" spans="1:1">
      <c r="A2236" t="inlineStr">
        <is>
          <t>Rizal</t>
        </is>
      </c>
    </row>
    <row r="2237" spans="1:1">
      <c r="A2237" t="inlineStr">
        <is>
          <t>San Rafael</t>
        </is>
      </c>
    </row>
    <row r="2238" spans="1:1">
      <c r="A2238" t="inlineStr">
        <is>
          <t>Sinundolan</t>
        </is>
      </c>
    </row>
    <row r="2239" spans="1:1">
      <c r="A2239" t="inlineStr">
        <is>
          <t>Sumaray</t>
        </is>
      </c>
    </row>
    <row r="2240" spans="1:1">
      <c r="A2240" t="inlineStr">
        <is>
          <t>Trinidad</t>
        </is>
      </c>
    </row>
    <row r="2241" spans="1:1">
      <c r="A2241" t="inlineStr">
        <is>
          <t>Tubudan</t>
        </is>
      </c>
    </row>
    <row r="2242" spans="1:1">
      <c r="A2242" t="inlineStr">
        <is>
          <t>Vilvar</t>
        </is>
      </c>
    </row>
    <row r="2243" spans="1:1">
      <c r="A2243" t="inlineStr">
        <is>
          <t>Walker</t>
        </is>
      </c>
    </row>
    <row r="2244" spans="1:1">
      <c r="A2244" t="inlineStr">
        <is>
          <t>Abiera</t>
        </is>
      </c>
    </row>
    <row r="2245" spans="1:1">
      <c r="A2245" t="inlineStr">
        <is>
          <t>Aguila</t>
        </is>
      </c>
    </row>
    <row r="2246" spans="1:1">
      <c r="A2246" t="inlineStr">
        <is>
          <t>Alegre</t>
        </is>
      </c>
    </row>
    <row r="2247" spans="1:1">
      <c r="A2247" t="inlineStr">
        <is>
          <t>Aras-Asan</t>
        </is>
      </c>
    </row>
    <row r="2248" spans="1:1">
      <c r="A2248" t="inlineStr">
        <is>
          <t>Bacalan</t>
        </is>
      </c>
    </row>
    <row r="2249" spans="1:1">
      <c r="A2249" t="inlineStr">
        <is>
          <t>Callan</t>
        </is>
      </c>
    </row>
    <row r="2250" spans="1:1">
      <c r="A2250" t="inlineStr">
        <is>
          <t>Idio</t>
        </is>
      </c>
    </row>
    <row r="2251" spans="1:1">
      <c r="A2251" t="inlineStr">
        <is>
          <t>Nauhon</t>
        </is>
      </c>
    </row>
    <row r="2252" spans="1:1">
      <c r="A2252" t="inlineStr">
        <is>
          <t>P. Javier</t>
        </is>
      </c>
    </row>
    <row r="2253" spans="1:1">
      <c r="A2253" t="inlineStr">
        <is>
          <t>Poblacion</t>
        </is>
      </c>
    </row>
    <row r="2254" spans="1:1">
      <c r="A2254" t="inlineStr">
        <is>
          <t>Alangan</t>
        </is>
      </c>
    </row>
    <row r="2255" spans="1:1">
      <c r="A2255" t="inlineStr">
        <is>
          <t>Bari</t>
        </is>
      </c>
    </row>
    <row r="2256" spans="1:1">
      <c r="A2256" t="inlineStr">
        <is>
          <t>Biga-a</t>
        </is>
      </c>
    </row>
    <row r="2257" spans="1:1">
      <c r="A2257" t="inlineStr">
        <is>
          <t>Bongbongan I</t>
        </is>
      </c>
    </row>
    <row r="2258" spans="1:1">
      <c r="A2258" t="inlineStr">
        <is>
          <t>Bongbongan II</t>
        </is>
      </c>
    </row>
    <row r="2259" spans="1:1">
      <c r="A2259" t="inlineStr">
        <is>
          <t>Bongsod</t>
        </is>
      </c>
    </row>
    <row r="2260" spans="1:1">
      <c r="A2260" t="inlineStr">
        <is>
          <t>Bontol</t>
        </is>
      </c>
    </row>
    <row r="2261" spans="1:1">
      <c r="A2261" t="inlineStr">
        <is>
          <t>Bugnay</t>
        </is>
      </c>
    </row>
    <row r="2262" spans="1:1">
      <c r="A2262" t="inlineStr">
        <is>
          <t>Bululacao</t>
        </is>
      </c>
    </row>
    <row r="2263" spans="1:1">
      <c r="A2263" t="inlineStr">
        <is>
          <t>Cabanbanan</t>
        </is>
      </c>
    </row>
    <row r="2264" spans="1:1">
      <c r="A2264" t="inlineStr">
        <is>
          <t>Cabariuan</t>
        </is>
      </c>
    </row>
    <row r="2265" spans="1:1">
      <c r="A2265" t="inlineStr">
        <is>
          <t>Cabladan</t>
        </is>
      </c>
    </row>
    <row r="2266" spans="1:1">
      <c r="A2266" t="inlineStr">
        <is>
          <t>Cadoldolan</t>
        </is>
      </c>
    </row>
    <row r="2267" spans="1:1">
      <c r="A2267" t="inlineStr">
        <is>
          <t>Calo-oy</t>
        </is>
      </c>
    </row>
    <row r="2268" spans="1:1">
      <c r="A2268" t="inlineStr">
        <is>
          <t>Calog</t>
        </is>
      </c>
    </row>
    <row r="2269" spans="1:1">
      <c r="A2269" t="inlineStr">
        <is>
          <t>Catmon</t>
        </is>
      </c>
    </row>
    <row r="2270" spans="1:1">
      <c r="A2270" t="inlineStr">
        <is>
          <t>Catungan I</t>
        </is>
      </c>
    </row>
    <row r="2271" spans="1:1">
      <c r="A2271" t="inlineStr">
        <is>
          <t>Catungan II</t>
        </is>
      </c>
    </row>
    <row r="2272" spans="1:1">
      <c r="A2272" t="inlineStr">
        <is>
          <t>Catungan III</t>
        </is>
      </c>
    </row>
    <row r="2273" spans="1:1">
      <c r="A2273" t="inlineStr">
        <is>
          <t>Catungan IV</t>
        </is>
      </c>
    </row>
    <row r="2274" spans="1:1">
      <c r="A2274" t="inlineStr">
        <is>
          <t>Cubay-Napultan</t>
        </is>
      </c>
    </row>
    <row r="2275" spans="1:1">
      <c r="A2275" t="inlineStr">
        <is>
          <t>Cubay-Sermon</t>
        </is>
      </c>
    </row>
    <row r="2276" spans="1:1">
      <c r="A2276" t="inlineStr">
        <is>
          <t>District I</t>
        </is>
      </c>
    </row>
    <row r="2277" spans="1:1">
      <c r="A2277" t="inlineStr">
        <is>
          <t>District II</t>
        </is>
      </c>
    </row>
    <row r="2278" spans="1:1">
      <c r="A2278" t="inlineStr">
        <is>
          <t>District III</t>
        </is>
      </c>
    </row>
    <row r="2279" spans="1:1">
      <c r="A2279" t="inlineStr">
        <is>
          <t>District IV</t>
        </is>
      </c>
    </row>
    <row r="2280" spans="1:1">
      <c r="A2280" t="inlineStr">
        <is>
          <t>Egaña</t>
        </is>
      </c>
    </row>
    <row r="2281" spans="1:1">
      <c r="A2281" t="inlineStr">
        <is>
          <t>Esperanza I</t>
        </is>
      </c>
    </row>
    <row r="2282" spans="1:1">
      <c r="A2282" t="inlineStr">
        <is>
          <t>Esperanza II</t>
        </is>
      </c>
    </row>
    <row r="2283" spans="1:1">
      <c r="A2283" t="inlineStr">
        <is>
          <t>Esperanza III</t>
        </is>
      </c>
    </row>
    <row r="2284" spans="1:1">
      <c r="A2284" t="inlineStr">
        <is>
          <t>Igcococ</t>
        </is>
      </c>
    </row>
    <row r="2285" spans="1:1">
      <c r="A2285" t="inlineStr">
        <is>
          <t>Igdagmay</t>
        </is>
      </c>
    </row>
    <row r="2286" spans="1:1">
      <c r="A2286" t="inlineStr">
        <is>
          <t>Igdalaquit</t>
        </is>
      </c>
    </row>
    <row r="2287" spans="1:1">
      <c r="A2287" t="inlineStr">
        <is>
          <t>Iglanot</t>
        </is>
      </c>
    </row>
    <row r="2288" spans="1:1">
      <c r="A2288" t="inlineStr">
        <is>
          <t>Igpanolong</t>
        </is>
      </c>
    </row>
    <row r="2289" spans="1:1">
      <c r="A2289" t="inlineStr">
        <is>
          <t>Igparas</t>
        </is>
      </c>
    </row>
    <row r="2290" spans="1:1">
      <c r="A2290" t="inlineStr">
        <is>
          <t>Igsuming</t>
        </is>
      </c>
    </row>
    <row r="2291" spans="1:1">
      <c r="A2291" t="inlineStr">
        <is>
          <t>Ilabas</t>
        </is>
      </c>
    </row>
    <row r="2292" spans="1:1">
      <c r="A2292" t="inlineStr">
        <is>
          <t>Imparayan</t>
        </is>
      </c>
    </row>
    <row r="2293" spans="1:1">
      <c r="A2293" t="inlineStr">
        <is>
          <t>Inabasan</t>
        </is>
      </c>
    </row>
    <row r="2294" spans="1:1">
      <c r="A2294" t="inlineStr">
        <is>
          <t>Indag-an</t>
        </is>
      </c>
    </row>
    <row r="2295" spans="1:1">
      <c r="A2295" t="inlineStr">
        <is>
          <t>Initan</t>
        </is>
      </c>
    </row>
    <row r="2296" spans="1:1">
      <c r="A2296" t="inlineStr">
        <is>
          <t>Insarayan</t>
        </is>
      </c>
    </row>
    <row r="2297" spans="1:1">
      <c r="A2297" t="inlineStr">
        <is>
          <t>Lacaron</t>
        </is>
      </c>
    </row>
    <row r="2298" spans="1:1">
      <c r="A2298" t="inlineStr">
        <is>
          <t>Lagdo</t>
        </is>
      </c>
    </row>
    <row r="2299" spans="1:1">
      <c r="A2299" t="inlineStr">
        <is>
          <t>Lambayagan</t>
        </is>
      </c>
    </row>
    <row r="2300" spans="1:1">
      <c r="A2300" t="inlineStr">
        <is>
          <t>Luna</t>
        </is>
      </c>
    </row>
    <row r="2301" spans="1:1">
      <c r="A2301" t="inlineStr">
        <is>
          <t>Luyang</t>
        </is>
      </c>
    </row>
    <row r="2302" spans="1:1">
      <c r="A2302" t="inlineStr">
        <is>
          <t>Maasin</t>
        </is>
      </c>
    </row>
    <row r="2303" spans="1:1">
      <c r="A2303" t="inlineStr">
        <is>
          <t>Mabini</t>
        </is>
      </c>
    </row>
    <row r="2304" spans="1:1">
      <c r="A2304" t="inlineStr">
        <is>
          <t>Millamena</t>
        </is>
      </c>
    </row>
    <row r="2305" spans="1:1">
      <c r="A2305" t="inlineStr">
        <is>
          <t>Mojon</t>
        </is>
      </c>
    </row>
    <row r="2306" spans="1:1">
      <c r="A2306" t="inlineStr">
        <is>
          <t>Nagdayao</t>
        </is>
      </c>
    </row>
    <row r="2307" spans="1:1">
      <c r="A2307" t="inlineStr">
        <is>
          <t>Nazareth</t>
        </is>
      </c>
    </row>
    <row r="2308" spans="1:1">
      <c r="A2308" t="inlineStr">
        <is>
          <t>Odiong</t>
        </is>
      </c>
    </row>
    <row r="2309" spans="1:1">
      <c r="A2309" t="inlineStr">
        <is>
          <t>Olaga</t>
        </is>
      </c>
    </row>
    <row r="2310" spans="1:1">
      <c r="A2310" t="inlineStr">
        <is>
          <t>Pangpang</t>
        </is>
      </c>
    </row>
    <row r="2311" spans="1:1">
      <c r="A2311" t="inlineStr">
        <is>
          <t>Panlagangan</t>
        </is>
      </c>
    </row>
    <row r="2312" spans="1:1">
      <c r="A2312" t="inlineStr">
        <is>
          <t>Pantao</t>
        </is>
      </c>
    </row>
    <row r="2313" spans="1:1">
      <c r="A2313" t="inlineStr">
        <is>
          <t>Pasong</t>
        </is>
      </c>
    </row>
    <row r="2314" spans="1:1">
      <c r="A2314" t="inlineStr">
        <is>
          <t>Pis-anan</t>
        </is>
      </c>
    </row>
    <row r="2315" spans="1:1">
      <c r="A2315" t="inlineStr">
        <is>
          <t>Rombang</t>
        </is>
      </c>
    </row>
    <row r="2316" spans="1:1">
      <c r="A2316" t="inlineStr">
        <is>
          <t>Salvacion</t>
        </is>
      </c>
    </row>
    <row r="2317" spans="1:1">
      <c r="A2317" t="inlineStr">
        <is>
          <t>San Juan</t>
        </is>
      </c>
    </row>
    <row r="2318" spans="1:1">
      <c r="A2318" t="inlineStr">
        <is>
          <t>Sido</t>
        </is>
      </c>
    </row>
    <row r="2319" spans="1:1">
      <c r="A2319" t="inlineStr">
        <is>
          <t>Solong</t>
        </is>
      </c>
    </row>
    <row r="2320" spans="1:1">
      <c r="A2320" t="inlineStr">
        <is>
          <t>Tabongtabong</t>
        </is>
      </c>
    </row>
    <row r="2321" spans="1:1">
      <c r="A2321" t="inlineStr">
        <is>
          <t>Tig-ohot</t>
        </is>
      </c>
    </row>
    <row r="2322" spans="1:1">
      <c r="A2322" t="inlineStr">
        <is>
          <t>Tigbalua I</t>
        </is>
      </c>
    </row>
    <row r="2323" spans="1:1">
      <c r="A2323" t="inlineStr">
        <is>
          <t>Tigbalua II</t>
        </is>
      </c>
    </row>
    <row r="2324" spans="1:1">
      <c r="A2324" t="inlineStr">
        <is>
          <t>Tordesillas</t>
        </is>
      </c>
    </row>
    <row r="2325" spans="1:1">
      <c r="A2325" t="inlineStr">
        <is>
          <t>Tulatula</t>
        </is>
      </c>
    </row>
    <row r="2326" spans="1:1">
      <c r="A2326" t="inlineStr">
        <is>
          <t>Valentin Grasparil</t>
        </is>
      </c>
    </row>
    <row r="2327" spans="1:1">
      <c r="A2327" t="inlineStr">
        <is>
          <t>Villafont</t>
        </is>
      </c>
    </row>
    <row r="2328" spans="1:1">
      <c r="A2328" t="inlineStr">
        <is>
          <t>Villahermosa</t>
        </is>
      </c>
    </row>
    <row r="2329" spans="1:1">
      <c r="A2329" t="inlineStr">
        <is>
          <t>Villar</t>
        </is>
      </c>
    </row>
    <row r="2330" spans="1:1">
      <c r="A2330" t="inlineStr">
        <is>
          <t>Alegre</t>
        </is>
      </c>
    </row>
    <row r="2331" spans="1:1">
      <c r="A2331" t="inlineStr">
        <is>
          <t>Amar</t>
        </is>
      </c>
    </row>
    <row r="2332" spans="1:1">
      <c r="A2332" t="inlineStr">
        <is>
          <t>Bandoja</t>
        </is>
      </c>
    </row>
    <row r="2333" spans="1:1">
      <c r="A2333" t="inlineStr">
        <is>
          <t>Castillo</t>
        </is>
      </c>
    </row>
    <row r="2334" spans="1:1">
      <c r="A2334" t="inlineStr">
        <is>
          <t>Esparagoza</t>
        </is>
      </c>
    </row>
    <row r="2335" spans="1:1">
      <c r="A2335" t="inlineStr">
        <is>
          <t>Importante</t>
        </is>
      </c>
    </row>
    <row r="2336" spans="1:1">
      <c r="A2336" t="inlineStr">
        <is>
          <t>La Paz</t>
        </is>
      </c>
    </row>
    <row r="2337" spans="1:1">
      <c r="A2337" t="inlineStr">
        <is>
          <t>Malabor</t>
        </is>
      </c>
    </row>
    <row r="2338" spans="1:1">
      <c r="A2338" t="inlineStr">
        <is>
          <t>Martinez</t>
        </is>
      </c>
    </row>
    <row r="2339" spans="1:1">
      <c r="A2339" t="inlineStr">
        <is>
          <t>Natividad</t>
        </is>
      </c>
    </row>
    <row r="2340" spans="1:1">
      <c r="A2340" t="inlineStr">
        <is>
          <t>Pitac</t>
        </is>
      </c>
    </row>
    <row r="2341" spans="1:1">
      <c r="A2341" t="inlineStr">
        <is>
          <t>Poblacion</t>
        </is>
      </c>
    </row>
    <row r="2342" spans="1:1">
      <c r="A2342" t="inlineStr">
        <is>
          <t>Salazar</t>
        </is>
      </c>
    </row>
    <row r="2343" spans="1:1">
      <c r="A2343" t="inlineStr">
        <is>
          <t>San Francisco Norte</t>
        </is>
      </c>
    </row>
    <row r="2344" spans="1:1">
      <c r="A2344" t="inlineStr">
        <is>
          <t>San Francisco Sur</t>
        </is>
      </c>
    </row>
    <row r="2345" spans="1:1">
      <c r="A2345" t="inlineStr">
        <is>
          <t>San Isidro</t>
        </is>
      </c>
    </row>
    <row r="2346" spans="1:1">
      <c r="A2346" t="inlineStr">
        <is>
          <t>Sta. Ana</t>
        </is>
      </c>
    </row>
    <row r="2347" spans="1:1">
      <c r="A2347" t="inlineStr">
        <is>
          <t>Sta. Justa</t>
        </is>
      </c>
    </row>
    <row r="2348" spans="1:1">
      <c r="A2348" t="inlineStr">
        <is>
          <t>Sto. Rosario</t>
        </is>
      </c>
    </row>
    <row r="2349" spans="1:1">
      <c r="A2349" t="inlineStr">
        <is>
          <t>Tigbaboy</t>
        </is>
      </c>
    </row>
    <row r="2350" spans="1:1">
      <c r="A2350" t="inlineStr">
        <is>
          <t>Tuno</t>
        </is>
      </c>
    </row>
    <row r="2351" spans="1:1">
      <c r="A2351" t="inlineStr">
        <is>
          <t>Abaca</t>
        </is>
      </c>
    </row>
    <row r="2352" spans="1:1">
      <c r="A2352" t="inlineStr">
        <is>
          <t>Aras-Asan</t>
        </is>
      </c>
    </row>
    <row r="2353" spans="1:1">
      <c r="A2353" t="inlineStr">
        <is>
          <t>Arobo</t>
        </is>
      </c>
    </row>
    <row r="2354" spans="1:1">
      <c r="A2354" t="inlineStr">
        <is>
          <t>Atabay</t>
        </is>
      </c>
    </row>
    <row r="2355" spans="1:1">
      <c r="A2355" t="inlineStr">
        <is>
          <t>Atiotes</t>
        </is>
      </c>
    </row>
    <row r="2356" spans="1:1">
      <c r="A2356" t="inlineStr">
        <is>
          <t>Bagumbayan</t>
        </is>
      </c>
    </row>
    <row r="2357" spans="1:1">
      <c r="A2357" t="inlineStr">
        <is>
          <t>Ballescas</t>
        </is>
      </c>
    </row>
    <row r="2358" spans="1:1">
      <c r="A2358" t="inlineStr">
        <is>
          <t>Balud</t>
        </is>
      </c>
    </row>
    <row r="2359" spans="1:1">
      <c r="A2359" t="inlineStr">
        <is>
          <t>Barasanan A</t>
        </is>
      </c>
    </row>
    <row r="2360" spans="1:1">
      <c r="A2360" t="inlineStr">
        <is>
          <t>Barasanan B</t>
        </is>
      </c>
    </row>
    <row r="2361" spans="1:1">
      <c r="A2361" t="inlineStr">
        <is>
          <t>Barasanan C</t>
        </is>
      </c>
    </row>
    <row r="2362" spans="1:1">
      <c r="A2362" t="inlineStr">
        <is>
          <t>Bariri</t>
        </is>
      </c>
    </row>
    <row r="2363" spans="1:1">
      <c r="A2363" t="inlineStr">
        <is>
          <t>Camandagan</t>
        </is>
      </c>
    </row>
    <row r="2364" spans="1:1">
      <c r="A2364" t="inlineStr">
        <is>
          <t>Cato-ogan</t>
        </is>
      </c>
    </row>
    <row r="2365" spans="1:1">
      <c r="A2365" t="inlineStr">
        <is>
          <t>Danawan</t>
        </is>
      </c>
    </row>
    <row r="2366" spans="1:1">
      <c r="A2366" t="inlineStr">
        <is>
          <t>Diclum</t>
        </is>
      </c>
    </row>
    <row r="2367" spans="1:1">
      <c r="A2367" t="inlineStr">
        <is>
          <t>Fatima</t>
        </is>
      </c>
    </row>
    <row r="2368" spans="1:1">
      <c r="A2368" t="inlineStr">
        <is>
          <t>Gamad</t>
        </is>
      </c>
    </row>
    <row r="2369" spans="1:1">
      <c r="A2369" t="inlineStr">
        <is>
          <t>Igbalogo</t>
        </is>
      </c>
    </row>
    <row r="2370" spans="1:1">
      <c r="A2370" t="inlineStr">
        <is>
          <t>Igbangcal-A</t>
        </is>
      </c>
    </row>
    <row r="2371" spans="1:1">
      <c r="A2371" t="inlineStr">
        <is>
          <t>Igbangcal-B</t>
        </is>
      </c>
    </row>
    <row r="2372" spans="1:1">
      <c r="A2372" t="inlineStr">
        <is>
          <t>Igbangcal-C</t>
        </is>
      </c>
    </row>
    <row r="2373" spans="1:1">
      <c r="A2373" t="inlineStr">
        <is>
          <t>Igcabuad</t>
        </is>
      </c>
    </row>
    <row r="2374" spans="1:1">
      <c r="A2374" t="inlineStr">
        <is>
          <t>Igcadac</t>
        </is>
      </c>
    </row>
    <row r="2375" spans="1:1">
      <c r="A2375" t="inlineStr">
        <is>
          <t>Igcado</t>
        </is>
      </c>
    </row>
    <row r="2376" spans="1:1">
      <c r="A2376" t="inlineStr">
        <is>
          <t>Igcalawagan</t>
        </is>
      </c>
    </row>
    <row r="2377" spans="1:1">
      <c r="A2377" t="inlineStr">
        <is>
          <t>Igcapuyas</t>
        </is>
      </c>
    </row>
    <row r="2378" spans="1:1">
      <c r="A2378" t="inlineStr">
        <is>
          <t>Igcasicad</t>
        </is>
      </c>
    </row>
    <row r="2379" spans="1:1">
      <c r="A2379" t="inlineStr">
        <is>
          <t>Igdalaguit</t>
        </is>
      </c>
    </row>
    <row r="2380" spans="1:1">
      <c r="A2380" t="inlineStr">
        <is>
          <t>Igdanlog</t>
        </is>
      </c>
    </row>
    <row r="2381" spans="1:1">
      <c r="A2381" t="inlineStr">
        <is>
          <t>Igdurarog</t>
        </is>
      </c>
    </row>
    <row r="2382" spans="1:1">
      <c r="A2382" t="inlineStr">
        <is>
          <t>Igtugas</t>
        </is>
      </c>
    </row>
    <row r="2383" spans="1:1">
      <c r="A2383" t="inlineStr">
        <is>
          <t>Lawigan</t>
        </is>
      </c>
    </row>
    <row r="2384" spans="1:1">
      <c r="A2384" t="inlineStr">
        <is>
          <t>Lindero</t>
        </is>
      </c>
    </row>
    <row r="2385" spans="1:1">
      <c r="A2385" t="inlineStr">
        <is>
          <t>Manaling</t>
        </is>
      </c>
    </row>
    <row r="2386" spans="1:1">
      <c r="A2386" t="inlineStr">
        <is>
          <t>Masayo</t>
        </is>
      </c>
    </row>
    <row r="2387" spans="1:1">
      <c r="A2387" t="inlineStr">
        <is>
          <t>Nagsubuan</t>
        </is>
      </c>
    </row>
    <row r="2388" spans="1:1">
      <c r="A2388" t="inlineStr">
        <is>
          <t>Nasuli-A</t>
        </is>
      </c>
    </row>
    <row r="2389" spans="1:1">
      <c r="A2389" t="inlineStr">
        <is>
          <t>Opsan</t>
        </is>
      </c>
    </row>
    <row r="2390" spans="1:1">
      <c r="A2390" t="inlineStr">
        <is>
          <t>Paciencia</t>
        </is>
      </c>
    </row>
    <row r="2391" spans="1:1">
      <c r="A2391" t="inlineStr">
        <is>
          <t>Poblacion Norte</t>
        </is>
      </c>
    </row>
    <row r="2392" spans="1:1">
      <c r="A2392" t="inlineStr">
        <is>
          <t>Poblacion Sur</t>
        </is>
      </c>
    </row>
    <row r="2393" spans="1:1">
      <c r="A2393" t="inlineStr">
        <is>
          <t>Portillo</t>
        </is>
      </c>
    </row>
    <row r="2394" spans="1:1">
      <c r="A2394" t="inlineStr">
        <is>
          <t>Quezon</t>
        </is>
      </c>
    </row>
    <row r="2395" spans="1:1">
      <c r="A2395" t="inlineStr">
        <is>
          <t>Samalague</t>
        </is>
      </c>
    </row>
    <row r="2396" spans="1:1">
      <c r="A2396" t="inlineStr">
        <is>
          <t>Sto. Tomas</t>
        </is>
      </c>
    </row>
    <row r="2397" spans="1:1">
      <c r="A2397" t="inlineStr">
        <is>
          <t>Tacbuyan</t>
        </is>
      </c>
    </row>
    <row r="2398" spans="1:1">
      <c r="A2398" t="inlineStr">
        <is>
          <t>Tene</t>
        </is>
      </c>
    </row>
    <row r="2399" spans="1:1">
      <c r="A2399" t="inlineStr">
        <is>
          <t>Villaflor</t>
        </is>
      </c>
    </row>
    <row r="2400" spans="1:1">
      <c r="A2400" t="inlineStr">
        <is>
          <t>Ysulat</t>
        </is>
      </c>
    </row>
    <row r="2401" spans="1:1">
      <c r="A2401" t="inlineStr">
        <is>
          <t>Alon</t>
        </is>
      </c>
    </row>
    <row r="2402" spans="1:1">
      <c r="A2402" t="inlineStr">
        <is>
          <t>Bakiang</t>
        </is>
      </c>
    </row>
    <row r="2403" spans="1:1">
      <c r="A2403" t="inlineStr">
        <is>
          <t>Binanogan</t>
        </is>
      </c>
    </row>
    <row r="2404" spans="1:1">
      <c r="A2404" t="inlineStr">
        <is>
          <t>Borocboroc</t>
        </is>
      </c>
    </row>
    <row r="2405" spans="1:1">
      <c r="A2405" t="inlineStr">
        <is>
          <t>Bugnay</t>
        </is>
      </c>
    </row>
    <row r="2406" spans="1:1">
      <c r="A2406" t="inlineStr">
        <is>
          <t>Buluangan I</t>
        </is>
      </c>
    </row>
    <row r="2407" spans="1:1">
      <c r="A2407" t="inlineStr">
        <is>
          <t>Buluangan II</t>
        </is>
      </c>
    </row>
    <row r="2408" spans="1:1">
      <c r="A2408" t="inlineStr">
        <is>
          <t>Bunsod</t>
        </is>
      </c>
    </row>
    <row r="2409" spans="1:1">
      <c r="A2409" t="inlineStr">
        <is>
          <t>Busog</t>
        </is>
      </c>
    </row>
    <row r="2410" spans="1:1">
      <c r="A2410" t="inlineStr">
        <is>
          <t>Cananghan</t>
        </is>
      </c>
    </row>
    <row r="2411" spans="1:1">
      <c r="A2411" t="inlineStr">
        <is>
          <t>Canipayan</t>
        </is>
      </c>
    </row>
    <row r="2412" spans="1:1">
      <c r="A2412" t="inlineStr">
        <is>
          <t>Cansilayan</t>
        </is>
      </c>
    </row>
    <row r="2413" spans="1:1">
      <c r="A2413" t="inlineStr">
        <is>
          <t>Culyat</t>
        </is>
      </c>
    </row>
    <row r="2414" spans="1:1">
      <c r="A2414" t="inlineStr">
        <is>
          <t>Iglinab</t>
        </is>
      </c>
    </row>
    <row r="2415" spans="1:1">
      <c r="A2415" t="inlineStr">
        <is>
          <t>Igmasandig</t>
        </is>
      </c>
    </row>
    <row r="2416" spans="1:1">
      <c r="A2416" t="inlineStr">
        <is>
          <t>Lublub</t>
        </is>
      </c>
    </row>
    <row r="2417" spans="1:1">
      <c r="A2417" t="inlineStr">
        <is>
          <t>Manlacbo</t>
        </is>
      </c>
    </row>
    <row r="2418" spans="1:1">
      <c r="A2418" t="inlineStr">
        <is>
          <t>Pandanan</t>
        </is>
      </c>
    </row>
    <row r="2419" spans="1:1">
      <c r="A2419" t="inlineStr">
        <is>
          <t>San Agustin</t>
        </is>
      </c>
    </row>
    <row r="2420" spans="1:1">
      <c r="A2420" t="inlineStr">
        <is>
          <t>Takas</t>
        </is>
      </c>
    </row>
    <row r="2421" spans="1:1">
      <c r="A2421" t="inlineStr">
        <is>
          <t>Tigmamale</t>
        </is>
      </c>
    </row>
    <row r="2422" spans="1:1">
      <c r="A2422" t="inlineStr">
        <is>
          <t>Ubos</t>
        </is>
      </c>
    </row>
    <row r="2423" spans="1:1">
      <c r="A2423" t="inlineStr">
        <is>
          <t>Butao</t>
        </is>
      </c>
    </row>
    <row r="2424" spans="1:1">
      <c r="A2424" t="inlineStr">
        <is>
          <t>Cadaclan</t>
        </is>
      </c>
    </row>
    <row r="2425" spans="1:1">
      <c r="A2425" t="inlineStr">
        <is>
          <t>Don Roque Ablan Sr.</t>
        </is>
      </c>
    </row>
    <row r="2426" spans="1:1">
      <c r="A2426" t="inlineStr">
        <is>
          <t>Eleazar</t>
        </is>
      </c>
    </row>
    <row r="2427" spans="1:1">
      <c r="A2427" t="inlineStr">
        <is>
          <t>Eva Puzon</t>
        </is>
      </c>
    </row>
    <row r="2428" spans="1:1">
      <c r="A2428" t="inlineStr">
        <is>
          <t>Kabugawan</t>
        </is>
      </c>
    </row>
    <row r="2429" spans="1:1">
      <c r="A2429" t="inlineStr">
        <is>
          <t>Langnao</t>
        </is>
      </c>
    </row>
    <row r="2430" spans="1:1">
      <c r="A2430" t="inlineStr">
        <is>
          <t>Lubong</t>
        </is>
      </c>
    </row>
    <row r="2431" spans="1:1">
      <c r="A2431" t="inlineStr">
        <is>
          <t>Macalino</t>
        </is>
      </c>
    </row>
    <row r="2432" spans="1:1">
      <c r="A2432" t="inlineStr">
        <is>
          <t>Naguilian</t>
        </is>
      </c>
    </row>
    <row r="2433" spans="1:1">
      <c r="A2433" t="inlineStr">
        <is>
          <t>Namaltugan</t>
        </is>
      </c>
    </row>
    <row r="2434" spans="1:1">
      <c r="A2434" t="inlineStr">
        <is>
          <t>Poblacion</t>
        </is>
      </c>
    </row>
    <row r="2435" spans="1:1">
      <c r="A2435" t="inlineStr">
        <is>
          <t>Sabangan</t>
        </is>
      </c>
    </row>
    <row r="2436" spans="1:1">
      <c r="A2436" t="inlineStr">
        <is>
          <t>Santa Elena</t>
        </is>
      </c>
    </row>
    <row r="2437" spans="1:1">
      <c r="A2437" t="inlineStr">
        <is>
          <t>Santa Filomena</t>
        </is>
      </c>
    </row>
    <row r="2438" spans="1:1">
      <c r="A2438" t="inlineStr">
        <is>
          <t>Tanglagan</t>
        </is>
      </c>
    </row>
    <row r="2439" spans="1:1">
      <c r="A2439" t="inlineStr">
        <is>
          <t>Tubang</t>
        </is>
      </c>
    </row>
    <row r="2440" spans="1:1">
      <c r="A2440" t="inlineStr">
        <is>
          <t>Tubongan</t>
        </is>
      </c>
    </row>
    <row r="2441" spans="1:1">
      <c r="A2441" t="inlineStr">
        <is>
          <t>Allangigan</t>
        </is>
      </c>
    </row>
    <row r="2442" spans="1:1">
      <c r="A2442" t="inlineStr">
        <is>
          <t>Banban</t>
        </is>
      </c>
    </row>
    <row r="2443" spans="1:1">
      <c r="A2443" t="inlineStr">
        <is>
          <t>Buluan</t>
        </is>
      </c>
    </row>
    <row r="2444" spans="1:1">
      <c r="A2444" t="inlineStr">
        <is>
          <t>Caglayan</t>
        </is>
      </c>
    </row>
    <row r="2445" spans="1:1">
      <c r="A2445" t="inlineStr">
        <is>
          <t>Calafug</t>
        </is>
      </c>
    </row>
    <row r="2446" spans="1:1">
      <c r="A2446" t="inlineStr">
        <is>
          <t>Cupis</t>
        </is>
      </c>
    </row>
    <row r="2447" spans="1:1">
      <c r="A2447" t="inlineStr">
        <is>
          <t>Daga</t>
        </is>
      </c>
    </row>
    <row r="2448" spans="1:1">
      <c r="A2448" t="inlineStr">
        <is>
          <t>Guinaang</t>
        </is>
      </c>
    </row>
    <row r="2449" spans="1:1">
      <c r="A2449" t="inlineStr">
        <is>
          <t>Guinamgaman</t>
        </is>
      </c>
    </row>
    <row r="2450" spans="1:1">
      <c r="A2450" t="inlineStr">
        <is>
          <t>Ili</t>
        </is>
      </c>
    </row>
    <row r="2451" spans="1:1">
      <c r="A2451" t="inlineStr">
        <is>
          <t>Karikitan</t>
        </is>
      </c>
    </row>
    <row r="2452" spans="1:1">
      <c r="A2452" t="inlineStr">
        <is>
          <t>Katablangan</t>
        </is>
      </c>
    </row>
    <row r="2453" spans="1:1">
      <c r="A2453" t="inlineStr">
        <is>
          <t>Malama</t>
        </is>
      </c>
    </row>
    <row r="2454" spans="1:1">
      <c r="A2454" t="inlineStr">
        <is>
          <t>Manag</t>
        </is>
      </c>
    </row>
    <row r="2455" spans="1:1">
      <c r="A2455" t="inlineStr">
        <is>
          <t>Mawigue</t>
        </is>
      </c>
    </row>
    <row r="2456" spans="1:1">
      <c r="A2456" t="inlineStr">
        <is>
          <t>Nabuangan</t>
        </is>
      </c>
    </row>
    <row r="2457" spans="1:1">
      <c r="A2457" t="inlineStr">
        <is>
          <t>Paddaoan</t>
        </is>
      </c>
    </row>
    <row r="2458" spans="1:1">
      <c r="A2458" t="inlineStr">
        <is>
          <t>Puguin</t>
        </is>
      </c>
    </row>
    <row r="2459" spans="1:1">
      <c r="A2459" t="inlineStr">
        <is>
          <t>Ripang</t>
        </is>
      </c>
    </row>
    <row r="2460" spans="1:1">
      <c r="A2460" t="inlineStr">
        <is>
          <t>Sacpil</t>
        </is>
      </c>
    </row>
    <row r="2461" spans="1:1">
      <c r="A2461" t="inlineStr">
        <is>
          <t>Talifugo</t>
        </is>
      </c>
    </row>
    <row r="2462" spans="1:1">
      <c r="A2462" t="inlineStr">
        <is>
          <t>Allig</t>
        </is>
      </c>
    </row>
    <row r="2463" spans="1:1">
      <c r="A2463" t="inlineStr">
        <is>
          <t>Anninipan</t>
        </is>
      </c>
    </row>
    <row r="2464" spans="1:1">
      <c r="A2464" t="inlineStr">
        <is>
          <t>Atok</t>
        </is>
      </c>
    </row>
    <row r="2465" spans="1:1">
      <c r="A2465" t="inlineStr">
        <is>
          <t>Bagutong</t>
        </is>
      </c>
    </row>
    <row r="2466" spans="1:1">
      <c r="A2466" t="inlineStr">
        <is>
          <t>Balasi</t>
        </is>
      </c>
    </row>
    <row r="2467" spans="1:1">
      <c r="A2467" t="inlineStr">
        <is>
          <t>Balluyan</t>
        </is>
      </c>
    </row>
    <row r="2468" spans="1:1">
      <c r="A2468" t="inlineStr">
        <is>
          <t>Malayugan</t>
        </is>
      </c>
    </row>
    <row r="2469" spans="1:1">
      <c r="A2469" t="inlineStr">
        <is>
          <t>Mallig</t>
        </is>
      </c>
    </row>
    <row r="2470" spans="1:1">
      <c r="A2470" t="inlineStr">
        <is>
          <t>Malubibit Norte</t>
        </is>
      </c>
    </row>
    <row r="2471" spans="1:1">
      <c r="A2471" t="inlineStr">
        <is>
          <t>Malubibit Sur</t>
        </is>
      </c>
    </row>
    <row r="2472" spans="1:1">
      <c r="A2472" t="inlineStr">
        <is>
          <t>Poblacion East</t>
        </is>
      </c>
    </row>
    <row r="2473" spans="1:1">
      <c r="A2473" t="inlineStr">
        <is>
          <t>Poblacion West</t>
        </is>
      </c>
    </row>
    <row r="2474" spans="1:1">
      <c r="A2474" t="inlineStr">
        <is>
          <t>San Jose</t>
        </is>
      </c>
    </row>
    <row r="2475" spans="1:1">
      <c r="A2475" t="inlineStr">
        <is>
          <t>Santa Maria</t>
        </is>
      </c>
    </row>
    <row r="2476" spans="1:1">
      <c r="A2476" t="inlineStr">
        <is>
          <t>Tamalunog</t>
        </is>
      </c>
    </row>
    <row r="2477" spans="1:1">
      <c r="A2477" t="inlineStr">
        <is>
          <t>Upper Atok</t>
        </is>
      </c>
    </row>
    <row r="2478" spans="1:1">
      <c r="A2478" t="inlineStr">
        <is>
          <t>Badduat</t>
        </is>
      </c>
    </row>
    <row r="2479" spans="1:1">
      <c r="A2479" t="inlineStr">
        <is>
          <t>Baliwanan</t>
        </is>
      </c>
    </row>
    <row r="2480" spans="1:1">
      <c r="A2480" t="inlineStr">
        <is>
          <t>Bulu</t>
        </is>
      </c>
    </row>
    <row r="2481" spans="1:1">
      <c r="A2481" t="inlineStr">
        <is>
          <t>Cabetayan</t>
        </is>
      </c>
    </row>
    <row r="2482" spans="1:1">
      <c r="A2482" t="inlineStr">
        <is>
          <t>Dagara</t>
        </is>
      </c>
    </row>
    <row r="2483" spans="1:1">
      <c r="A2483" t="inlineStr">
        <is>
          <t>Dibagat</t>
        </is>
      </c>
    </row>
    <row r="2484" spans="1:1">
      <c r="A2484" t="inlineStr">
        <is>
          <t>Karagawan</t>
        </is>
      </c>
    </row>
    <row r="2485" spans="1:1">
      <c r="A2485" t="inlineStr">
        <is>
          <t>Kumao</t>
        </is>
      </c>
    </row>
    <row r="2486" spans="1:1">
      <c r="A2486" t="inlineStr">
        <is>
          <t>Laco</t>
        </is>
      </c>
    </row>
    <row r="2487" spans="1:1">
      <c r="A2487" t="inlineStr">
        <is>
          <t>Lenneng</t>
        </is>
      </c>
    </row>
    <row r="2488" spans="1:1">
      <c r="A2488" t="inlineStr">
        <is>
          <t>Lucab</t>
        </is>
      </c>
    </row>
    <row r="2489" spans="1:1">
      <c r="A2489" t="inlineStr">
        <is>
          <t>Luttuacan</t>
        </is>
      </c>
    </row>
    <row r="2490" spans="1:1">
      <c r="A2490" t="inlineStr">
        <is>
          <t>Madatag</t>
        </is>
      </c>
    </row>
    <row r="2491" spans="1:1">
      <c r="A2491" t="inlineStr">
        <is>
          <t>Madduang</t>
        </is>
      </c>
    </row>
    <row r="2492" spans="1:1">
      <c r="A2492" t="inlineStr">
        <is>
          <t>Magabta</t>
        </is>
      </c>
    </row>
    <row r="2493" spans="1:1">
      <c r="A2493" t="inlineStr">
        <is>
          <t>Maragat</t>
        </is>
      </c>
    </row>
    <row r="2494" spans="1:1">
      <c r="A2494" t="inlineStr">
        <is>
          <t>Musimut</t>
        </is>
      </c>
    </row>
    <row r="2495" spans="1:1">
      <c r="A2495" t="inlineStr">
        <is>
          <t>Nagbabalayan</t>
        </is>
      </c>
    </row>
    <row r="2496" spans="1:1">
      <c r="A2496" t="inlineStr">
        <is>
          <t>Poblacion</t>
        </is>
      </c>
    </row>
    <row r="2497" spans="1:1">
      <c r="A2497" t="inlineStr">
        <is>
          <t>Tuyangan</t>
        </is>
      </c>
    </row>
    <row r="2498" spans="1:1">
      <c r="A2498" t="inlineStr">
        <is>
          <t>Waga</t>
        </is>
      </c>
    </row>
    <row r="2499" spans="1:1">
      <c r="A2499" t="inlineStr">
        <is>
          <t>Bacsay</t>
        </is>
      </c>
    </row>
    <row r="2500" spans="1:1">
      <c r="A2500" t="inlineStr">
        <is>
          <t>Cagandungan</t>
        </is>
      </c>
    </row>
    <row r="2501" spans="1:1">
      <c r="A2501" t="inlineStr">
        <is>
          <t>Calabigan</t>
        </is>
      </c>
    </row>
    <row r="2502" spans="1:1">
      <c r="A2502" t="inlineStr">
        <is>
          <t>Cangisitan</t>
        </is>
      </c>
    </row>
    <row r="2503" spans="1:1">
      <c r="A2503" t="inlineStr">
        <is>
          <t>Capagaypayan</t>
        </is>
      </c>
    </row>
    <row r="2504" spans="1:1">
      <c r="A2504" t="inlineStr">
        <is>
          <t>Dagupan</t>
        </is>
      </c>
    </row>
    <row r="2505" spans="1:1">
      <c r="A2505" t="inlineStr">
        <is>
          <t>Lappa</t>
        </is>
      </c>
    </row>
    <row r="2506" spans="1:1">
      <c r="A2506" t="inlineStr">
        <is>
          <t>Luyon</t>
        </is>
      </c>
    </row>
    <row r="2507" spans="1:1">
      <c r="A2507" t="inlineStr">
        <is>
          <t>Marag</t>
        </is>
      </c>
    </row>
    <row r="2508" spans="1:1">
      <c r="A2508" t="inlineStr">
        <is>
          <t>Poblacion</t>
        </is>
      </c>
    </row>
    <row r="2509" spans="1:1">
      <c r="A2509" t="inlineStr">
        <is>
          <t>Quirino</t>
        </is>
      </c>
    </row>
    <row r="2510" spans="1:1">
      <c r="A2510" t="inlineStr">
        <is>
          <t>Salvacion</t>
        </is>
      </c>
    </row>
    <row r="2511" spans="1:1">
      <c r="A2511" t="inlineStr">
        <is>
          <t>San Francisco</t>
        </is>
      </c>
    </row>
    <row r="2512" spans="1:1">
      <c r="A2512" t="inlineStr">
        <is>
          <t>San Gregorio</t>
        </is>
      </c>
    </row>
    <row r="2513" spans="1:1">
      <c r="A2513" t="inlineStr">
        <is>
          <t>San Isidro Norte</t>
        </is>
      </c>
    </row>
    <row r="2514" spans="1:1">
      <c r="A2514" t="inlineStr">
        <is>
          <t>San Isidro Sur</t>
        </is>
      </c>
    </row>
    <row r="2515" spans="1:1">
      <c r="A2515" t="inlineStr">
        <is>
          <t>San Sebastian</t>
        </is>
      </c>
    </row>
    <row r="2516" spans="1:1">
      <c r="A2516" t="inlineStr">
        <is>
          <t>Santa Lina</t>
        </is>
      </c>
    </row>
    <row r="2517" spans="1:1">
      <c r="A2517" t="inlineStr">
        <is>
          <t>Shalom</t>
        </is>
      </c>
    </row>
    <row r="2518" spans="1:1">
      <c r="A2518" t="inlineStr">
        <is>
          <t>Tumog</t>
        </is>
      </c>
    </row>
    <row r="2519" spans="1:1">
      <c r="A2519" t="inlineStr">
        <is>
          <t>Turod</t>
        </is>
      </c>
    </row>
    <row r="2520" spans="1:1">
      <c r="A2520" t="inlineStr">
        <is>
          <t>Zumigui</t>
        </is>
      </c>
    </row>
    <row r="2521" spans="1:1">
      <c r="A2521" t="inlineStr">
        <is>
          <t>Aga</t>
        </is>
      </c>
    </row>
    <row r="2522" spans="1:1">
      <c r="A2522" t="inlineStr">
        <is>
          <t>Alem</t>
        </is>
      </c>
    </row>
    <row r="2523" spans="1:1">
      <c r="A2523" t="inlineStr">
        <is>
          <t>Amado</t>
        </is>
      </c>
    </row>
    <row r="2524" spans="1:1">
      <c r="A2524" t="inlineStr">
        <is>
          <t>Aurora</t>
        </is>
      </c>
    </row>
    <row r="2525" spans="1:1">
      <c r="A2525" t="inlineStr">
        <is>
          <t>Cabatacan</t>
        </is>
      </c>
    </row>
    <row r="2526" spans="1:1">
      <c r="A2526" t="inlineStr">
        <is>
          <t>Cacalaggan</t>
        </is>
      </c>
    </row>
    <row r="2527" spans="1:1">
      <c r="A2527" t="inlineStr">
        <is>
          <t>Capannikian</t>
        </is>
      </c>
    </row>
    <row r="2528" spans="1:1">
      <c r="A2528" t="inlineStr">
        <is>
          <t>Doña Loreta</t>
        </is>
      </c>
    </row>
    <row r="2529" spans="1:1">
      <c r="A2529" t="inlineStr">
        <is>
          <t>Emilia</t>
        </is>
      </c>
    </row>
    <row r="2530" spans="1:1">
      <c r="A2530" t="inlineStr">
        <is>
          <t>Imelda</t>
        </is>
      </c>
    </row>
    <row r="2531" spans="1:1">
      <c r="A2531" t="inlineStr">
        <is>
          <t>Lower Maton</t>
        </is>
      </c>
    </row>
    <row r="2532" spans="1:1">
      <c r="A2532" t="inlineStr">
        <is>
          <t>Lt. Balag</t>
        </is>
      </c>
    </row>
    <row r="2533" spans="1:1">
      <c r="A2533" t="inlineStr">
        <is>
          <t>Lydia</t>
        </is>
      </c>
    </row>
    <row r="2534" spans="1:1">
      <c r="A2534" t="inlineStr">
        <is>
          <t>Malibang</t>
        </is>
      </c>
    </row>
    <row r="2535" spans="1:1">
      <c r="A2535" t="inlineStr">
        <is>
          <t>Mataguisi</t>
        </is>
      </c>
    </row>
    <row r="2536" spans="1:1">
      <c r="A2536" t="inlineStr">
        <is>
          <t>Poblacion</t>
        </is>
      </c>
    </row>
    <row r="2537" spans="1:1">
      <c r="A2537" t="inlineStr">
        <is>
          <t>San Antonio</t>
        </is>
      </c>
    </row>
    <row r="2538" spans="1:1">
      <c r="A2538" t="inlineStr">
        <is>
          <t>San Jose</t>
        </is>
      </c>
    </row>
    <row r="2539" spans="1:1">
      <c r="A2539" t="inlineStr">
        <is>
          <t>San Luis</t>
        </is>
      </c>
    </row>
    <row r="2540" spans="1:1">
      <c r="A2540" t="inlineStr">
        <is>
          <t>San Mariano</t>
        </is>
      </c>
    </row>
    <row r="2541" spans="1:1">
      <c r="A2541" t="inlineStr">
        <is>
          <t>Swan</t>
        </is>
      </c>
    </row>
    <row r="2542" spans="1:1">
      <c r="A2542" t="inlineStr">
        <is>
          <t>Upper Maton</t>
        </is>
      </c>
    </row>
    <row r="2543" spans="1:1">
      <c r="A2543" t="inlineStr">
        <is>
          <t>Barocboc</t>
        </is>
      </c>
    </row>
    <row r="2544" spans="1:1">
      <c r="A2544" t="inlineStr">
        <is>
          <t>Consuelo</t>
        </is>
      </c>
    </row>
    <row r="2545" spans="1:1">
      <c r="A2545" t="inlineStr">
        <is>
          <t>Emiliana</t>
        </is>
      </c>
    </row>
    <row r="2546" spans="1:1">
      <c r="A2546" t="inlineStr">
        <is>
          <t>Imelda</t>
        </is>
      </c>
    </row>
    <row r="2547" spans="1:1">
      <c r="A2547" t="inlineStr">
        <is>
          <t>Malekkeg</t>
        </is>
      </c>
    </row>
    <row r="2548" spans="1:1">
      <c r="A2548" t="inlineStr">
        <is>
          <t>Marcela</t>
        </is>
      </c>
    </row>
    <row r="2549" spans="1:1">
      <c r="A2549" t="inlineStr">
        <is>
          <t>Nueva</t>
        </is>
      </c>
    </row>
    <row r="2550" spans="1:1">
      <c r="A2550" t="inlineStr">
        <is>
          <t>Panay</t>
        </is>
      </c>
    </row>
    <row r="2551" spans="1:1">
      <c r="A2551" t="inlineStr">
        <is>
          <t>San Antonio</t>
        </is>
      </c>
    </row>
    <row r="2552" spans="1:1">
      <c r="A2552" t="inlineStr">
        <is>
          <t>San Carlos</t>
        </is>
      </c>
    </row>
    <row r="2553" spans="1:1">
      <c r="A2553" t="inlineStr">
        <is>
          <t>San Juan</t>
        </is>
      </c>
    </row>
    <row r="2554" spans="1:1">
      <c r="A2554" t="inlineStr">
        <is>
          <t>San Mariano</t>
        </is>
      </c>
    </row>
    <row r="2555" spans="1:1">
      <c r="A2555" t="inlineStr">
        <is>
          <t>Sipa Proper</t>
        </is>
      </c>
    </row>
    <row r="2556" spans="1:1">
      <c r="A2556" t="inlineStr">
        <is>
          <t>Barangay I</t>
        </is>
      </c>
    </row>
    <row r="2557" spans="1:1">
      <c r="A2557" t="inlineStr">
        <is>
          <t>Barangay II</t>
        </is>
      </c>
    </row>
    <row r="2558" spans="1:1">
      <c r="A2558" t="inlineStr">
        <is>
          <t>Barangay III</t>
        </is>
      </c>
    </row>
    <row r="2559" spans="1:1">
      <c r="A2559" t="inlineStr">
        <is>
          <t>Barangay IV</t>
        </is>
      </c>
    </row>
    <row r="2560" spans="1:1">
      <c r="A2560" t="inlineStr">
        <is>
          <t>Barangay V</t>
        </is>
      </c>
    </row>
    <row r="2561" spans="1:1">
      <c r="A2561" t="inlineStr">
        <is>
          <t>Buhangin</t>
        </is>
      </c>
    </row>
    <row r="2562" spans="1:1">
      <c r="A2562" t="inlineStr">
        <is>
          <t>Calabuanan</t>
        </is>
      </c>
    </row>
    <row r="2563" spans="1:1">
      <c r="A2563" t="inlineStr">
        <is>
          <t>Obligacion</t>
        </is>
      </c>
    </row>
    <row r="2564" spans="1:1">
      <c r="A2564" t="inlineStr">
        <is>
          <t>Pingit</t>
        </is>
      </c>
    </row>
    <row r="2565" spans="1:1">
      <c r="A2565" t="inlineStr">
        <is>
          <t>Reserva</t>
        </is>
      </c>
    </row>
    <row r="2566" spans="1:1">
      <c r="A2566" t="inlineStr">
        <is>
          <t>Sabang</t>
        </is>
      </c>
    </row>
    <row r="2567" spans="1:1">
      <c r="A2567" t="inlineStr">
        <is>
          <t>Suclayin</t>
        </is>
      </c>
    </row>
    <row r="2568" spans="1:1">
      <c r="A2568" t="inlineStr">
        <is>
          <t>Zabali</t>
        </is>
      </c>
    </row>
    <row r="2569" spans="1:1">
      <c r="A2569" t="inlineStr">
        <is>
          <t>Barangay 1</t>
        </is>
      </c>
    </row>
    <row r="2570" spans="1:1">
      <c r="A2570" t="inlineStr">
        <is>
          <t>Barangay 2</t>
        </is>
      </c>
    </row>
    <row r="2571" spans="1:1">
      <c r="A2571" t="inlineStr">
        <is>
          <t>Barangay 3</t>
        </is>
      </c>
    </row>
    <row r="2572" spans="1:1">
      <c r="A2572" t="inlineStr">
        <is>
          <t>Barangay 4</t>
        </is>
      </c>
    </row>
    <row r="2573" spans="1:1">
      <c r="A2573" t="inlineStr">
        <is>
          <t>Barangay 5</t>
        </is>
      </c>
    </row>
    <row r="2574" spans="1:1">
      <c r="A2574" t="inlineStr">
        <is>
          <t>Barangay 6</t>
        </is>
      </c>
    </row>
    <row r="2575" spans="1:1">
      <c r="A2575" t="inlineStr">
        <is>
          <t>Barangay 7</t>
        </is>
      </c>
    </row>
    <row r="2576" spans="1:1">
      <c r="A2576" t="inlineStr">
        <is>
          <t>Barangay 8</t>
        </is>
      </c>
    </row>
    <row r="2577" spans="1:1">
      <c r="A2577" t="inlineStr">
        <is>
          <t>Bianoan</t>
        </is>
      </c>
    </row>
    <row r="2578" spans="1:1">
      <c r="A2578" t="inlineStr">
        <is>
          <t>Calabgan</t>
        </is>
      </c>
    </row>
    <row r="2579" spans="1:1">
      <c r="A2579" t="inlineStr">
        <is>
          <t>Calangcuasan</t>
        </is>
      </c>
    </row>
    <row r="2580" spans="1:1">
      <c r="A2580" t="inlineStr">
        <is>
          <t>Calantas</t>
        </is>
      </c>
    </row>
    <row r="2581" spans="1:1">
      <c r="A2581" t="inlineStr">
        <is>
          <t>Cozo</t>
        </is>
      </c>
    </row>
    <row r="2582" spans="1:1">
      <c r="A2582" t="inlineStr">
        <is>
          <t>Culat</t>
        </is>
      </c>
    </row>
    <row r="2583" spans="1:1">
      <c r="A2583" t="inlineStr">
        <is>
          <t>Dibacong</t>
        </is>
      </c>
    </row>
    <row r="2584" spans="1:1">
      <c r="A2584" t="inlineStr">
        <is>
          <t>Dibet</t>
        </is>
      </c>
    </row>
    <row r="2585" spans="1:1">
      <c r="A2585" t="inlineStr">
        <is>
          <t>Ditinagyan</t>
        </is>
      </c>
    </row>
    <row r="2586" spans="1:1">
      <c r="A2586" t="inlineStr">
        <is>
          <t>Esperanza</t>
        </is>
      </c>
    </row>
    <row r="2587" spans="1:1">
      <c r="A2587" t="inlineStr">
        <is>
          <t>Esteves</t>
        </is>
      </c>
    </row>
    <row r="2588" spans="1:1">
      <c r="A2588" t="inlineStr">
        <is>
          <t>Lual</t>
        </is>
      </c>
    </row>
    <row r="2589" spans="1:1">
      <c r="A2589" t="inlineStr">
        <is>
          <t>Marikit</t>
        </is>
      </c>
    </row>
    <row r="2590" spans="1:1">
      <c r="A2590" t="inlineStr">
        <is>
          <t>San Ildefonso</t>
        </is>
      </c>
    </row>
    <row r="2591" spans="1:1">
      <c r="A2591" t="inlineStr">
        <is>
          <t>Tabas</t>
        </is>
      </c>
    </row>
    <row r="2592" spans="1:1">
      <c r="A2592" t="inlineStr">
        <is>
          <t>Tinib</t>
        </is>
      </c>
    </row>
    <row r="2593" spans="1:1">
      <c r="A2593" t="inlineStr">
        <is>
          <t>Diagyan</t>
        </is>
      </c>
    </row>
    <row r="2594" spans="1:1">
      <c r="A2594" t="inlineStr">
        <is>
          <t>Dicabasan</t>
        </is>
      </c>
    </row>
    <row r="2595" spans="1:1">
      <c r="A2595" t="inlineStr">
        <is>
          <t>Dilaguidi</t>
        </is>
      </c>
    </row>
    <row r="2596" spans="1:1">
      <c r="A2596" t="inlineStr">
        <is>
          <t>Dimaseset</t>
        </is>
      </c>
    </row>
    <row r="2597" spans="1:1">
      <c r="A2597" t="inlineStr">
        <is>
          <t>Diniog</t>
        </is>
      </c>
    </row>
    <row r="2598" spans="1:1">
      <c r="A2598" t="inlineStr">
        <is>
          <t>Esperanza</t>
        </is>
      </c>
    </row>
    <row r="2599" spans="1:1">
      <c r="A2599" t="inlineStr">
        <is>
          <t>Lawang</t>
        </is>
      </c>
    </row>
    <row r="2600" spans="1:1">
      <c r="A2600" t="inlineStr">
        <is>
          <t>Maligaya</t>
        </is>
      </c>
    </row>
    <row r="2601" spans="1:1">
      <c r="A2601" t="inlineStr">
        <is>
          <t>Manggitahan</t>
        </is>
      </c>
    </row>
    <row r="2602" spans="1:1">
      <c r="A2602" t="inlineStr">
        <is>
          <t>Masagana</t>
        </is>
      </c>
    </row>
    <row r="2603" spans="1:1">
      <c r="A2603" t="inlineStr">
        <is>
          <t>Ura</t>
        </is>
      </c>
    </row>
    <row r="2604" spans="1:1">
      <c r="A2604" t="inlineStr">
        <is>
          <t>Abuleg</t>
        </is>
      </c>
    </row>
    <row r="2605" spans="1:1">
      <c r="A2605" t="inlineStr">
        <is>
          <t>Dibaraybay</t>
        </is>
      </c>
    </row>
    <row r="2606" spans="1:1">
      <c r="A2606" t="inlineStr">
        <is>
          <t>Ditawini</t>
        </is>
      </c>
    </row>
    <row r="2607" spans="1:1">
      <c r="A2607" t="inlineStr">
        <is>
          <t>Mapalad</t>
        </is>
      </c>
    </row>
    <row r="2608" spans="1:1">
      <c r="A2608" t="inlineStr">
        <is>
          <t>Nipoo</t>
        </is>
      </c>
    </row>
    <row r="2609" spans="1:1">
      <c r="A2609" t="inlineStr">
        <is>
          <t>Paleg</t>
        </is>
      </c>
    </row>
    <row r="2610" spans="1:1">
      <c r="A2610" t="inlineStr">
        <is>
          <t>Simbahan</t>
        </is>
      </c>
    </row>
    <row r="2611" spans="1:1">
      <c r="A2611" t="inlineStr">
        <is>
          <t>Zone I</t>
        </is>
      </c>
    </row>
    <row r="2612" spans="1:1">
      <c r="A2612" t="inlineStr">
        <is>
          <t>Zone II</t>
        </is>
      </c>
    </row>
    <row r="2613" spans="1:1">
      <c r="A2613" t="inlineStr">
        <is>
          <t>Aplaya</t>
        </is>
      </c>
    </row>
    <row r="2614" spans="1:1">
      <c r="A2614" t="inlineStr">
        <is>
          <t>Butas Na Bato</t>
        </is>
      </c>
    </row>
    <row r="2615" spans="1:1">
      <c r="A2615" t="inlineStr">
        <is>
          <t>Cabog</t>
        </is>
      </c>
    </row>
    <row r="2616" spans="1:1">
      <c r="A2616" t="inlineStr">
        <is>
          <t>Caragsacan</t>
        </is>
      </c>
    </row>
    <row r="2617" spans="1:1">
      <c r="A2617" t="inlineStr">
        <is>
          <t>Davildavilan</t>
        </is>
      </c>
    </row>
    <row r="2618" spans="1:1">
      <c r="A2618" t="inlineStr">
        <is>
          <t>Dikapanikian</t>
        </is>
      </c>
    </row>
    <row r="2619" spans="1:1">
      <c r="A2619" t="inlineStr">
        <is>
          <t>Ibona</t>
        </is>
      </c>
    </row>
    <row r="2620" spans="1:1">
      <c r="A2620" t="inlineStr">
        <is>
          <t>Paltic</t>
        </is>
      </c>
    </row>
    <row r="2621" spans="1:1">
      <c r="A2621" t="inlineStr">
        <is>
          <t>Poblacion</t>
        </is>
      </c>
    </row>
    <row r="2622" spans="1:1">
      <c r="A2622" t="inlineStr">
        <is>
          <t>Tanawan</t>
        </is>
      </c>
    </row>
    <row r="2623" spans="1:1">
      <c r="A2623" t="inlineStr">
        <is>
          <t>Umiray</t>
        </is>
      </c>
    </row>
    <row r="2624" spans="1:1">
      <c r="A2624" t="inlineStr">
        <is>
          <t>Bayabas</t>
        </is>
      </c>
    </row>
    <row r="2625" spans="1:1">
      <c r="A2625" t="inlineStr">
        <is>
          <t>Borlongan</t>
        </is>
      </c>
    </row>
    <row r="2626" spans="1:1">
      <c r="A2626" t="inlineStr">
        <is>
          <t>Buenavista</t>
        </is>
      </c>
    </row>
    <row r="2627" spans="1:1">
      <c r="A2627" t="inlineStr">
        <is>
          <t>Calaocan</t>
        </is>
      </c>
    </row>
    <row r="2628" spans="1:1">
      <c r="A2628" t="inlineStr">
        <is>
          <t>Diamanen</t>
        </is>
      </c>
    </row>
    <row r="2629" spans="1:1">
      <c r="A2629" t="inlineStr">
        <is>
          <t>Dianed</t>
        </is>
      </c>
    </row>
    <row r="2630" spans="1:1">
      <c r="A2630" t="inlineStr">
        <is>
          <t>Diarabasin</t>
        </is>
      </c>
    </row>
    <row r="2631" spans="1:1">
      <c r="A2631" t="inlineStr">
        <is>
          <t>Dibutunan</t>
        </is>
      </c>
    </row>
    <row r="2632" spans="1:1">
      <c r="A2632" t="inlineStr">
        <is>
          <t>Dimabuno</t>
        </is>
      </c>
    </row>
    <row r="2633" spans="1:1">
      <c r="A2633" t="inlineStr">
        <is>
          <t>Dinadiawan</t>
        </is>
      </c>
    </row>
    <row r="2634" spans="1:1">
      <c r="A2634" t="inlineStr">
        <is>
          <t>Ditale</t>
        </is>
      </c>
    </row>
    <row r="2635" spans="1:1">
      <c r="A2635" t="inlineStr">
        <is>
          <t>Gupa</t>
        </is>
      </c>
    </row>
    <row r="2636" spans="1:1">
      <c r="A2636" t="inlineStr">
        <is>
          <t>Ipil</t>
        </is>
      </c>
    </row>
    <row r="2637" spans="1:1">
      <c r="A2637" t="inlineStr">
        <is>
          <t>Laboy</t>
        </is>
      </c>
    </row>
    <row r="2638" spans="1:1">
      <c r="A2638" t="inlineStr">
        <is>
          <t>Lipit</t>
        </is>
      </c>
    </row>
    <row r="2639" spans="1:1">
      <c r="A2639" t="inlineStr">
        <is>
          <t>Lobbot</t>
        </is>
      </c>
    </row>
    <row r="2640" spans="1:1">
      <c r="A2640" t="inlineStr">
        <is>
          <t>Maligaya</t>
        </is>
      </c>
    </row>
    <row r="2641" spans="1:1">
      <c r="A2641" t="inlineStr">
        <is>
          <t>Mijares</t>
        </is>
      </c>
    </row>
    <row r="2642" spans="1:1">
      <c r="A2642" t="inlineStr">
        <is>
          <t>Mucdol</t>
        </is>
      </c>
    </row>
    <row r="2643" spans="1:1">
      <c r="A2643" t="inlineStr">
        <is>
          <t>North Poblacion</t>
        </is>
      </c>
    </row>
    <row r="2644" spans="1:1">
      <c r="A2644" t="inlineStr">
        <is>
          <t>Puangi</t>
        </is>
      </c>
    </row>
    <row r="2645" spans="1:1">
      <c r="A2645" t="inlineStr">
        <is>
          <t>Salay</t>
        </is>
      </c>
    </row>
    <row r="2646" spans="1:1">
      <c r="A2646" t="inlineStr">
        <is>
          <t>Sapangkawayan</t>
        </is>
      </c>
    </row>
    <row r="2647" spans="1:1">
      <c r="A2647" t="inlineStr">
        <is>
          <t>South Poblacion</t>
        </is>
      </c>
    </row>
    <row r="2648" spans="1:1">
      <c r="A2648" t="inlineStr">
        <is>
          <t>Toytoyan</t>
        </is>
      </c>
    </row>
    <row r="2649" spans="1:1">
      <c r="A2649" t="inlineStr">
        <is>
          <t>Alcala</t>
        </is>
      </c>
    </row>
    <row r="2650" spans="1:1">
      <c r="A2650" t="inlineStr">
        <is>
          <t>Bagtu</t>
        </is>
      </c>
    </row>
    <row r="2651" spans="1:1">
      <c r="A2651" t="inlineStr">
        <is>
          <t>Bangco</t>
        </is>
      </c>
    </row>
    <row r="2652" spans="1:1">
      <c r="A2652" t="inlineStr">
        <is>
          <t>Bannawag</t>
        </is>
      </c>
    </row>
    <row r="2653" spans="1:1">
      <c r="A2653" t="inlineStr">
        <is>
          <t>Barangay I</t>
        </is>
      </c>
    </row>
    <row r="2654" spans="1:1">
      <c r="A2654" t="inlineStr">
        <is>
          <t>Barangay II</t>
        </is>
      </c>
    </row>
    <row r="2655" spans="1:1">
      <c r="A2655" t="inlineStr">
        <is>
          <t>Barangay III</t>
        </is>
      </c>
    </row>
    <row r="2656" spans="1:1">
      <c r="A2656" t="inlineStr">
        <is>
          <t>Barangay IV</t>
        </is>
      </c>
    </row>
    <row r="2657" spans="1:1">
      <c r="A2657" t="inlineStr">
        <is>
          <t>Baubo</t>
        </is>
      </c>
    </row>
    <row r="2658" spans="1:1">
      <c r="A2658" t="inlineStr">
        <is>
          <t>Bayanihan</t>
        </is>
      </c>
    </row>
    <row r="2659" spans="1:1">
      <c r="A2659" t="inlineStr">
        <is>
          <t>Bazal</t>
        </is>
      </c>
    </row>
    <row r="2660" spans="1:1">
      <c r="A2660" t="inlineStr">
        <is>
          <t>Cabituculan East</t>
        </is>
      </c>
    </row>
    <row r="2661" spans="1:1">
      <c r="A2661" t="inlineStr">
        <is>
          <t>Cabituculan West</t>
        </is>
      </c>
    </row>
    <row r="2662" spans="1:1">
      <c r="A2662" t="inlineStr">
        <is>
          <t>Cadayacan</t>
        </is>
      </c>
    </row>
    <row r="2663" spans="1:1">
      <c r="A2663" t="inlineStr">
        <is>
          <t>Debucao</t>
        </is>
      </c>
    </row>
    <row r="2664" spans="1:1">
      <c r="A2664" t="inlineStr">
        <is>
          <t>Decoliat</t>
        </is>
      </c>
    </row>
    <row r="2665" spans="1:1">
      <c r="A2665" t="inlineStr">
        <is>
          <t>Detailen</t>
        </is>
      </c>
    </row>
    <row r="2666" spans="1:1">
      <c r="A2666" t="inlineStr">
        <is>
          <t>Diaat</t>
        </is>
      </c>
    </row>
    <row r="2667" spans="1:1">
      <c r="A2667" t="inlineStr">
        <is>
          <t>Dialatman</t>
        </is>
      </c>
    </row>
    <row r="2668" spans="1:1">
      <c r="A2668" t="inlineStr">
        <is>
          <t>Diaman</t>
        </is>
      </c>
    </row>
    <row r="2669" spans="1:1">
      <c r="A2669" t="inlineStr">
        <is>
          <t>Dianawan</t>
        </is>
      </c>
    </row>
    <row r="2670" spans="1:1">
      <c r="A2670" t="inlineStr">
        <is>
          <t>Dikildit</t>
        </is>
      </c>
    </row>
    <row r="2671" spans="1:1">
      <c r="A2671" t="inlineStr">
        <is>
          <t>Dimanpudso</t>
        </is>
      </c>
    </row>
    <row r="2672" spans="1:1">
      <c r="A2672" t="inlineStr">
        <is>
          <t>Diome</t>
        </is>
      </c>
    </row>
    <row r="2673" spans="1:1">
      <c r="A2673" t="inlineStr">
        <is>
          <t>Estonilo</t>
        </is>
      </c>
    </row>
    <row r="2674" spans="1:1">
      <c r="A2674" t="inlineStr">
        <is>
          <t>Florida</t>
        </is>
      </c>
    </row>
    <row r="2675" spans="1:1">
      <c r="A2675" t="inlineStr">
        <is>
          <t>Galintuja</t>
        </is>
      </c>
    </row>
    <row r="2676" spans="1:1">
      <c r="A2676" t="inlineStr">
        <is>
          <t>Malasin</t>
        </is>
      </c>
    </row>
    <row r="2677" spans="1:1">
      <c r="A2677" t="inlineStr">
        <is>
          <t>Ponglo</t>
        </is>
      </c>
    </row>
    <row r="2678" spans="1:1">
      <c r="A2678" t="inlineStr">
        <is>
          <t>Quirino</t>
        </is>
      </c>
    </row>
    <row r="2679" spans="1:1">
      <c r="A2679" t="inlineStr">
        <is>
          <t>Ramada</t>
        </is>
      </c>
    </row>
    <row r="2680" spans="1:1">
      <c r="A2680" t="inlineStr">
        <is>
          <t>San Joaquin</t>
        </is>
      </c>
    </row>
    <row r="2681" spans="1:1">
      <c r="A2681" t="inlineStr">
        <is>
          <t>San Jose</t>
        </is>
      </c>
    </row>
    <row r="2682" spans="1:1">
      <c r="A2682" t="inlineStr">
        <is>
          <t>San Juan</t>
        </is>
      </c>
    </row>
    <row r="2683" spans="1:1">
      <c r="A2683" t="inlineStr">
        <is>
          <t>San Leonardo</t>
        </is>
      </c>
    </row>
    <row r="2684" spans="1:1">
      <c r="A2684" t="inlineStr">
        <is>
          <t>Santa Lucia</t>
        </is>
      </c>
    </row>
    <row r="2685" spans="1:1">
      <c r="A2685" t="inlineStr">
        <is>
          <t>Santo Tomas</t>
        </is>
      </c>
    </row>
    <row r="2686" spans="1:1">
      <c r="A2686" t="inlineStr">
        <is>
          <t>Suguit</t>
        </is>
      </c>
    </row>
    <row r="2687" spans="1:1">
      <c r="A2687" t="inlineStr">
        <is>
          <t>Villa Aurora</t>
        </is>
      </c>
    </row>
    <row r="2688" spans="1:1">
      <c r="A2688" t="inlineStr">
        <is>
          <t>Wenceslao</t>
        </is>
      </c>
    </row>
    <row r="2689" spans="1:1">
      <c r="A2689" t="inlineStr">
        <is>
          <t>Bacong</t>
        </is>
      </c>
    </row>
    <row r="2690" spans="1:1">
      <c r="A2690" t="inlineStr">
        <is>
          <t>Barangay I</t>
        </is>
      </c>
    </row>
    <row r="2691" spans="1:1">
      <c r="A2691" t="inlineStr">
        <is>
          <t>Barangay II</t>
        </is>
      </c>
    </row>
    <row r="2692" spans="1:1">
      <c r="A2692" t="inlineStr">
        <is>
          <t>Barangay III</t>
        </is>
      </c>
    </row>
    <row r="2693" spans="1:1">
      <c r="A2693" t="inlineStr">
        <is>
          <t>Barangay IV</t>
        </is>
      </c>
    </row>
    <row r="2694" spans="1:1">
      <c r="A2694" t="inlineStr">
        <is>
          <t>Dibalo</t>
        </is>
      </c>
    </row>
    <row r="2695" spans="1:1">
      <c r="A2695" t="inlineStr">
        <is>
          <t>Dibayabay</t>
        </is>
      </c>
    </row>
    <row r="2696" spans="1:1">
      <c r="A2696" t="inlineStr">
        <is>
          <t>Dibut</t>
        </is>
      </c>
    </row>
    <row r="2697" spans="1:1">
      <c r="A2697" t="inlineStr">
        <is>
          <t>Dikapinisan</t>
        </is>
      </c>
    </row>
    <row r="2698" spans="1:1">
      <c r="A2698" t="inlineStr">
        <is>
          <t>Dimanayat</t>
        </is>
      </c>
    </row>
    <row r="2699" spans="1:1">
      <c r="A2699" t="inlineStr">
        <is>
          <t>Diteki</t>
        </is>
      </c>
    </row>
    <row r="2700" spans="1:1">
      <c r="A2700" t="inlineStr">
        <is>
          <t>Ditumabo</t>
        </is>
      </c>
    </row>
    <row r="2701" spans="1:1">
      <c r="A2701" t="inlineStr">
        <is>
          <t>L. Pimentel</t>
        </is>
      </c>
    </row>
    <row r="2702" spans="1:1">
      <c r="A2702" t="inlineStr">
        <is>
          <t>Nonong Senior</t>
        </is>
      </c>
    </row>
    <row r="2703" spans="1:1">
      <c r="A2703" t="inlineStr">
        <is>
          <t>Real</t>
        </is>
      </c>
    </row>
    <row r="2704" spans="1:1">
      <c r="A2704" t="inlineStr">
        <is>
          <t>San Isidro</t>
        </is>
      </c>
    </row>
    <row r="2705" spans="1:1">
      <c r="A2705" t="inlineStr">
        <is>
          <t>San Jose</t>
        </is>
      </c>
    </row>
    <row r="2706" spans="1:1">
      <c r="A2706" t="inlineStr">
        <is>
          <t>Zarah</t>
        </is>
      </c>
    </row>
    <row r="2707" spans="1:1">
      <c r="A2707" t="inlineStr">
        <is>
          <t>Caddayan</t>
        </is>
      </c>
    </row>
    <row r="2708" spans="1:1">
      <c r="A2708" t="inlineStr">
        <is>
          <t>Linongan</t>
        </is>
      </c>
    </row>
    <row r="2709" spans="1:1">
      <c r="A2709" t="inlineStr">
        <is>
          <t>Lower Bato-bato</t>
        </is>
      </c>
    </row>
    <row r="2710" spans="1:1">
      <c r="A2710" t="inlineStr">
        <is>
          <t>Mangalut</t>
        </is>
      </c>
    </row>
    <row r="2711" spans="1:1">
      <c r="A2711" t="inlineStr">
        <is>
          <t>Manguso</t>
        </is>
      </c>
    </row>
    <row r="2712" spans="1:1">
      <c r="A2712" t="inlineStr">
        <is>
          <t>Paguengan</t>
        </is>
      </c>
    </row>
    <row r="2713" spans="1:1">
      <c r="A2713" t="inlineStr">
        <is>
          <t>Semut</t>
        </is>
      </c>
    </row>
    <row r="2714" spans="1:1">
      <c r="A2714" t="inlineStr">
        <is>
          <t>Upper Bato-bato</t>
        </is>
      </c>
    </row>
    <row r="2715" spans="1:1">
      <c r="A2715" t="inlineStr">
        <is>
          <t>Upper Sinangkapan</t>
        </is>
      </c>
    </row>
    <row r="2716" spans="1:1">
      <c r="A2716" t="inlineStr">
        <is>
          <t>Apil-apil</t>
        </is>
      </c>
    </row>
    <row r="2717" spans="1:1">
      <c r="A2717" t="inlineStr">
        <is>
          <t>Bato-bato</t>
        </is>
      </c>
    </row>
    <row r="2718" spans="1:1">
      <c r="A2718" t="inlineStr">
        <is>
          <t>Bohe-Piang</t>
        </is>
      </c>
    </row>
    <row r="2719" spans="1:1">
      <c r="A2719" t="inlineStr">
        <is>
          <t>Bucalao</t>
        </is>
      </c>
    </row>
    <row r="2720" spans="1:1">
      <c r="A2720" t="inlineStr">
        <is>
          <t>Cambug</t>
        </is>
      </c>
    </row>
    <row r="2721" spans="1:1">
      <c r="A2721" t="inlineStr">
        <is>
          <t>Danapah</t>
        </is>
      </c>
    </row>
    <row r="2722" spans="1:1">
      <c r="A2722" t="inlineStr">
        <is>
          <t>Guinanta</t>
        </is>
      </c>
    </row>
    <row r="2723" spans="1:1">
      <c r="A2723" t="inlineStr">
        <is>
          <t>Kailih</t>
        </is>
      </c>
    </row>
    <row r="2724" spans="1:1">
      <c r="A2724" t="inlineStr">
        <is>
          <t>Kinukutan</t>
        </is>
      </c>
    </row>
    <row r="2725" spans="1:1">
      <c r="A2725" t="inlineStr">
        <is>
          <t>Kuhon</t>
        </is>
      </c>
    </row>
    <row r="2726" spans="1:1">
      <c r="A2726" t="inlineStr">
        <is>
          <t>Kuhon Lennuh</t>
        </is>
      </c>
    </row>
    <row r="2727" spans="1:1">
      <c r="A2727" t="inlineStr">
        <is>
          <t>Linuan</t>
        </is>
      </c>
    </row>
    <row r="2728" spans="1:1">
      <c r="A2728" t="inlineStr">
        <is>
          <t>Lookbisaya</t>
        </is>
      </c>
    </row>
    <row r="2729" spans="1:1">
      <c r="A2729" t="inlineStr">
        <is>
          <t>Macalang</t>
        </is>
      </c>
    </row>
    <row r="2730" spans="1:1">
      <c r="A2730" t="inlineStr">
        <is>
          <t>Magcawa</t>
        </is>
      </c>
    </row>
    <row r="2731" spans="1:1">
      <c r="A2731" t="inlineStr">
        <is>
          <t>Sangkahan</t>
        </is>
      </c>
    </row>
    <row r="2732" spans="1:1">
      <c r="A2732" t="inlineStr">
        <is>
          <t>Arco</t>
        </is>
      </c>
    </row>
    <row r="2733" spans="1:1">
      <c r="A2733" t="inlineStr">
        <is>
          <t>Ba-as</t>
        </is>
      </c>
    </row>
    <row r="2734" spans="1:1">
      <c r="A2734" t="inlineStr">
        <is>
          <t>Baimbing</t>
        </is>
      </c>
    </row>
    <row r="2735" spans="1:1">
      <c r="A2735" t="inlineStr">
        <is>
          <t>Balagtasan</t>
        </is>
      </c>
    </row>
    <row r="2736" spans="1:1">
      <c r="A2736" t="inlineStr">
        <is>
          <t>Balas</t>
        </is>
      </c>
    </row>
    <row r="2737" spans="1:1">
      <c r="A2737" t="inlineStr">
        <is>
          <t>Balobo</t>
        </is>
      </c>
    </row>
    <row r="2738" spans="1:1">
      <c r="A2738" t="inlineStr">
        <is>
          <t>Bato</t>
        </is>
      </c>
    </row>
    <row r="2739" spans="1:1">
      <c r="A2739" t="inlineStr">
        <is>
          <t>Baungos</t>
        </is>
      </c>
    </row>
    <row r="2740" spans="1:1">
      <c r="A2740" t="inlineStr">
        <is>
          <t>Bohebessey</t>
        </is>
      </c>
    </row>
    <row r="2741" spans="1:1">
      <c r="A2741" t="inlineStr">
        <is>
          <t>Boheibu</t>
        </is>
      </c>
    </row>
    <row r="2742" spans="1:1">
      <c r="A2742" t="inlineStr">
        <is>
          <t>Bohenange</t>
        </is>
      </c>
    </row>
    <row r="2743" spans="1:1">
      <c r="A2743" t="inlineStr">
        <is>
          <t>Bohesapa</t>
        </is>
      </c>
    </row>
    <row r="2744" spans="1:1">
      <c r="A2744" t="inlineStr">
        <is>
          <t>Boheyakan</t>
        </is>
      </c>
    </row>
    <row r="2745" spans="1:1">
      <c r="A2745" t="inlineStr">
        <is>
          <t>Boheyawas</t>
        </is>
      </c>
    </row>
    <row r="2746" spans="1:1">
      <c r="A2746" t="inlineStr">
        <is>
          <t>Buahan</t>
        </is>
      </c>
    </row>
    <row r="2747" spans="1:1">
      <c r="A2747" t="inlineStr">
        <is>
          <t>Bulanting</t>
        </is>
      </c>
    </row>
    <row r="2748" spans="1:1">
      <c r="A2748" t="inlineStr">
        <is>
          <t>Bulingan</t>
        </is>
      </c>
    </row>
    <row r="2749" spans="1:1">
      <c r="A2749" t="inlineStr">
        <is>
          <t>Cabobo</t>
        </is>
      </c>
    </row>
    <row r="2750" spans="1:1">
      <c r="A2750" t="inlineStr">
        <is>
          <t>Calugusan</t>
        </is>
      </c>
    </row>
    <row r="2751" spans="1:1">
      <c r="A2751" t="inlineStr">
        <is>
          <t>Campo Uno</t>
        </is>
      </c>
    </row>
    <row r="2752" spans="1:1">
      <c r="A2752" t="inlineStr">
        <is>
          <t>Colonia</t>
        </is>
      </c>
    </row>
    <row r="2753" spans="1:1">
      <c r="A2753" t="inlineStr">
        <is>
          <t>Danit-Puntocan</t>
        </is>
      </c>
    </row>
    <row r="2754" spans="1:1">
      <c r="A2754" t="inlineStr">
        <is>
          <t>Kulay Bato</t>
        </is>
      </c>
    </row>
    <row r="2755" spans="1:1">
      <c r="A2755" t="inlineStr">
        <is>
          <t>Lebbuh</t>
        </is>
      </c>
    </row>
    <row r="2756" spans="1:1">
      <c r="A2756" t="inlineStr">
        <is>
          <t>Limo-ok</t>
        </is>
      </c>
    </row>
    <row r="2757" spans="1:1">
      <c r="A2757" t="inlineStr">
        <is>
          <t>Lo-ok</t>
        </is>
      </c>
    </row>
    <row r="2758" spans="1:1">
      <c r="A2758" t="inlineStr">
        <is>
          <t>Luksumbang</t>
        </is>
      </c>
    </row>
    <row r="2759" spans="1:1">
      <c r="A2759" t="inlineStr">
        <is>
          <t>Lumuton</t>
        </is>
      </c>
    </row>
    <row r="2760" spans="1:1">
      <c r="A2760" t="inlineStr">
        <is>
          <t>Maganda</t>
        </is>
      </c>
    </row>
    <row r="2761" spans="1:1">
      <c r="A2761" t="inlineStr">
        <is>
          <t>Malakas</t>
        </is>
      </c>
    </row>
    <row r="2762" spans="1:1">
      <c r="A2762" t="inlineStr">
        <is>
          <t>Maligaya</t>
        </is>
      </c>
    </row>
    <row r="2763" spans="1:1">
      <c r="A2763" t="inlineStr">
        <is>
          <t>Malinis</t>
        </is>
      </c>
    </row>
    <row r="2764" spans="1:1">
      <c r="A2764" t="inlineStr">
        <is>
          <t>Malo-ong Canal</t>
        </is>
      </c>
    </row>
    <row r="2765" spans="1:1">
      <c r="A2765" t="inlineStr">
        <is>
          <t>Malo-ong San Jose</t>
        </is>
      </c>
    </row>
    <row r="2766" spans="1:1">
      <c r="A2766" t="inlineStr">
        <is>
          <t>Matatag</t>
        </is>
      </c>
    </row>
    <row r="2767" spans="1:1">
      <c r="A2767" t="inlineStr">
        <is>
          <t>Matibay</t>
        </is>
      </c>
    </row>
    <row r="2768" spans="1:1">
      <c r="A2768" t="inlineStr">
        <is>
          <t>Parangbasak</t>
        </is>
      </c>
    </row>
    <row r="2769" spans="1:1">
      <c r="A2769" t="inlineStr">
        <is>
          <t>Sabong</t>
        </is>
      </c>
    </row>
    <row r="2770" spans="1:1">
      <c r="A2770" t="inlineStr">
        <is>
          <t>Santa Clara</t>
        </is>
      </c>
    </row>
    <row r="2771" spans="1:1">
      <c r="A2771" t="inlineStr">
        <is>
          <t>Sengal</t>
        </is>
      </c>
    </row>
    <row r="2772" spans="1:1">
      <c r="A2772" t="inlineStr">
        <is>
          <t>Simbangon</t>
        </is>
      </c>
    </row>
    <row r="2773" spans="1:1">
      <c r="A2773" t="inlineStr">
        <is>
          <t>Tandong Ahas</t>
        </is>
      </c>
    </row>
    <row r="2774" spans="1:1">
      <c r="A2774" t="inlineStr">
        <is>
          <t>Tumakid</t>
        </is>
      </c>
    </row>
    <row r="2775" spans="1:1">
      <c r="A2775" t="inlineStr">
        <is>
          <t>Ubit</t>
        </is>
      </c>
    </row>
    <row r="2776" spans="1:1">
      <c r="A2776" t="inlineStr">
        <is>
          <t>Ulame</t>
        </is>
      </c>
    </row>
    <row r="2777" spans="1:1">
      <c r="A2777" t="inlineStr">
        <is>
          <t>Basakan</t>
        </is>
      </c>
    </row>
    <row r="2778" spans="1:1">
      <c r="A2778" t="inlineStr">
        <is>
          <t>Buton</t>
        </is>
      </c>
    </row>
    <row r="2779" spans="1:1">
      <c r="A2779" t="inlineStr">
        <is>
          <t>Candiis</t>
        </is>
      </c>
    </row>
    <row r="2780" spans="1:1">
      <c r="A2780" t="inlineStr">
        <is>
          <t>Langil</t>
        </is>
      </c>
    </row>
    <row r="2781" spans="1:1">
      <c r="A2781" t="inlineStr">
        <is>
          <t>Langong</t>
        </is>
      </c>
    </row>
    <row r="2782" spans="1:1">
      <c r="A2782" t="inlineStr">
        <is>
          <t>Languyan</t>
        </is>
      </c>
    </row>
    <row r="2783" spans="1:1">
      <c r="A2783" t="inlineStr">
        <is>
          <t>Pintasan</t>
        </is>
      </c>
    </row>
    <row r="2784" spans="1:1">
      <c r="A2784" t="inlineStr">
        <is>
          <t>Seronggon</t>
        </is>
      </c>
    </row>
    <row r="2785" spans="1:1">
      <c r="A2785" t="inlineStr">
        <is>
          <t>Sibago</t>
        </is>
      </c>
    </row>
    <row r="2786" spans="1:1">
      <c r="A2786" t="inlineStr">
        <is>
          <t>Sulutan Matangal</t>
        </is>
      </c>
    </row>
    <row r="2787" spans="1:1">
      <c r="A2787" t="inlineStr">
        <is>
          <t>Tuburan Proper</t>
        </is>
      </c>
    </row>
    <row r="2788" spans="1:1">
      <c r="A2788" t="inlineStr">
        <is>
          <t>Baluk-baluk</t>
        </is>
      </c>
    </row>
    <row r="2789" spans="1:1">
      <c r="A2789" t="inlineStr">
        <is>
          <t>Dasalan</t>
        </is>
      </c>
    </row>
    <row r="2790" spans="1:1">
      <c r="A2790" t="inlineStr">
        <is>
          <t>Lubukan</t>
        </is>
      </c>
    </row>
    <row r="2791" spans="1:1">
      <c r="A2791" t="inlineStr">
        <is>
          <t>Luukbongsod</t>
        </is>
      </c>
    </row>
    <row r="2792" spans="1:1">
      <c r="A2792" t="inlineStr">
        <is>
          <t>Mananggal</t>
        </is>
      </c>
    </row>
    <row r="2793" spans="1:1">
      <c r="A2793" t="inlineStr">
        <is>
          <t>Palahangan</t>
        </is>
      </c>
    </row>
    <row r="2794" spans="1:1">
      <c r="A2794" t="inlineStr">
        <is>
          <t>Panducan</t>
        </is>
      </c>
    </row>
    <row r="2795" spans="1:1">
      <c r="A2795" t="inlineStr">
        <is>
          <t>Sangbay Big</t>
        </is>
      </c>
    </row>
    <row r="2796" spans="1:1">
      <c r="A2796" t="inlineStr">
        <is>
          <t>Sangbay Small</t>
        </is>
      </c>
    </row>
    <row r="2797" spans="1:1">
      <c r="A2797" t="inlineStr">
        <is>
          <t>Tausan</t>
        </is>
      </c>
    </row>
    <row r="2798" spans="1:1">
      <c r="A2798" t="inlineStr">
        <is>
          <t>Atong-atong</t>
        </is>
      </c>
    </row>
    <row r="2799" spans="1:1">
      <c r="A2799" t="inlineStr">
        <is>
          <t>Bagbagon</t>
        </is>
      </c>
    </row>
    <row r="2800" spans="1:1">
      <c r="A2800" t="inlineStr">
        <is>
          <t>Baungis</t>
        </is>
      </c>
    </row>
    <row r="2801" spans="1:1">
      <c r="A2801" t="inlineStr">
        <is>
          <t>Bulan-bulan</t>
        </is>
      </c>
    </row>
    <row r="2802" spans="1:1">
      <c r="A2802" t="inlineStr">
        <is>
          <t>Bulanza</t>
        </is>
      </c>
    </row>
    <row r="2803" spans="1:1">
      <c r="A2803" t="inlineStr">
        <is>
          <t>Calayan</t>
        </is>
      </c>
    </row>
    <row r="2804" spans="1:1">
      <c r="A2804" t="inlineStr">
        <is>
          <t>Calugusan</t>
        </is>
      </c>
    </row>
    <row r="2805" spans="1:1">
      <c r="A2805" t="inlineStr">
        <is>
          <t>Canibungan</t>
        </is>
      </c>
    </row>
    <row r="2806" spans="1:1">
      <c r="A2806" t="inlineStr">
        <is>
          <t>Landugan</t>
        </is>
      </c>
    </row>
    <row r="2807" spans="1:1">
      <c r="A2807" t="inlineStr">
        <is>
          <t>Lantawan Proper</t>
        </is>
      </c>
    </row>
    <row r="2808" spans="1:1">
      <c r="A2808" t="inlineStr">
        <is>
          <t>Lawi-lawi</t>
        </is>
      </c>
    </row>
    <row r="2809" spans="1:1">
      <c r="A2809" t="inlineStr">
        <is>
          <t>Lawila</t>
        </is>
      </c>
    </row>
    <row r="2810" spans="1:1">
      <c r="A2810" t="inlineStr">
        <is>
          <t>Lower Bañas</t>
        </is>
      </c>
    </row>
    <row r="2811" spans="1:1">
      <c r="A2811" t="inlineStr">
        <is>
          <t>Lower Manggas</t>
        </is>
      </c>
    </row>
    <row r="2812" spans="1:1">
      <c r="A2812" t="inlineStr">
        <is>
          <t>Luuk-Maluha</t>
        </is>
      </c>
    </row>
    <row r="2813" spans="1:1">
      <c r="A2813" t="inlineStr">
        <is>
          <t>Matarling</t>
        </is>
      </c>
    </row>
    <row r="2814" spans="1:1">
      <c r="A2814" t="inlineStr">
        <is>
          <t>Matikang</t>
        </is>
      </c>
    </row>
    <row r="2815" spans="1:1">
      <c r="A2815" t="inlineStr">
        <is>
          <t>Pamucalin</t>
        </is>
      </c>
    </row>
    <row r="2816" spans="1:1">
      <c r="A2816" t="inlineStr">
        <is>
          <t>Paniongan</t>
        </is>
      </c>
    </row>
    <row r="2817" spans="1:1">
      <c r="A2817" t="inlineStr">
        <is>
          <t>Parian-Baunoh</t>
        </is>
      </c>
    </row>
    <row r="2818" spans="1:1">
      <c r="A2818" t="inlineStr">
        <is>
          <t>Suba-an</t>
        </is>
      </c>
    </row>
    <row r="2819" spans="1:1">
      <c r="A2819" t="inlineStr">
        <is>
          <t>Switch Yakal</t>
        </is>
      </c>
    </row>
    <row r="2820" spans="1:1">
      <c r="A2820" t="inlineStr">
        <is>
          <t>Tairan</t>
        </is>
      </c>
    </row>
    <row r="2821" spans="1:1">
      <c r="A2821" t="inlineStr">
        <is>
          <t>Upper Bañas</t>
        </is>
      </c>
    </row>
    <row r="2822" spans="1:1">
      <c r="A2822" t="inlineStr">
        <is>
          <t>Upper Manggas</t>
        </is>
      </c>
    </row>
    <row r="2823" spans="1:1">
      <c r="A2823" t="inlineStr">
        <is>
          <t>Abong-Abong</t>
        </is>
      </c>
    </row>
    <row r="2824" spans="1:1">
      <c r="A2824" t="inlineStr">
        <is>
          <t>Batungal</t>
        </is>
      </c>
    </row>
    <row r="2825" spans="1:1">
      <c r="A2825" t="inlineStr">
        <is>
          <t>Calang Canas</t>
        </is>
      </c>
    </row>
    <row r="2826" spans="1:1">
      <c r="A2826" t="inlineStr">
        <is>
          <t>Fuente Maluso</t>
        </is>
      </c>
    </row>
    <row r="2827" spans="1:1">
      <c r="A2827" t="inlineStr">
        <is>
          <t>Guanan North</t>
        </is>
      </c>
    </row>
    <row r="2828" spans="1:1">
      <c r="A2828" t="inlineStr">
        <is>
          <t>Guanan South</t>
        </is>
      </c>
    </row>
    <row r="2829" spans="1:1">
      <c r="A2829" t="inlineStr">
        <is>
          <t>Limbubong</t>
        </is>
      </c>
    </row>
    <row r="2830" spans="1:1">
      <c r="A2830" t="inlineStr">
        <is>
          <t>Mahayahay Lower</t>
        </is>
      </c>
    </row>
    <row r="2831" spans="1:1">
      <c r="A2831" t="inlineStr">
        <is>
          <t>Mahayahay Upper</t>
        </is>
      </c>
    </row>
    <row r="2832" spans="1:1">
      <c r="A2832" t="inlineStr">
        <is>
          <t>Muslim Area</t>
        </is>
      </c>
    </row>
    <row r="2833" spans="1:1">
      <c r="A2833" t="inlineStr">
        <is>
          <t>Port Holland Zone I Pob.</t>
        </is>
      </c>
    </row>
    <row r="2834" spans="1:1">
      <c r="A2834" t="inlineStr">
        <is>
          <t>Port Holland Zone II Pob.</t>
        </is>
      </c>
    </row>
    <row r="2835" spans="1:1">
      <c r="A2835" t="inlineStr">
        <is>
          <t>Port Holland Zone III Pob.</t>
        </is>
      </c>
    </row>
    <row r="2836" spans="1:1">
      <c r="A2836" t="inlineStr">
        <is>
          <t>Port Holland Zone IV</t>
        </is>
      </c>
    </row>
    <row r="2837" spans="1:1">
      <c r="A2837" t="inlineStr">
        <is>
          <t>Port Holland Zone V</t>
        </is>
      </c>
    </row>
    <row r="2838" spans="1:1">
      <c r="A2838" t="inlineStr">
        <is>
          <t>Taberlongan</t>
        </is>
      </c>
    </row>
    <row r="2839" spans="1:1">
      <c r="A2839" t="inlineStr">
        <is>
          <t>Tamuk</t>
        </is>
      </c>
    </row>
    <row r="2840" spans="1:1">
      <c r="A2840" t="inlineStr">
        <is>
          <t>Townsite</t>
        </is>
      </c>
    </row>
    <row r="2841" spans="1:1">
      <c r="A2841" t="inlineStr">
        <is>
          <t>Tubigan</t>
        </is>
      </c>
    </row>
    <row r="2842" spans="1:1">
      <c r="A2842" t="inlineStr">
        <is>
          <t>Upper Garlayan</t>
        </is>
      </c>
    </row>
    <row r="2843" spans="1:1">
      <c r="A2843" t="inlineStr">
        <is>
          <t>Bacung</t>
        </is>
      </c>
    </row>
    <row r="2844" spans="1:1">
      <c r="A2844" t="inlineStr">
        <is>
          <t>Baiwas</t>
        </is>
      </c>
    </row>
    <row r="2845" spans="1:1">
      <c r="A2845" t="inlineStr">
        <is>
          <t>Basak</t>
        </is>
      </c>
    </row>
    <row r="2846" spans="1:1">
      <c r="A2846" t="inlineStr">
        <is>
          <t>Benembengan Lower</t>
        </is>
      </c>
    </row>
    <row r="2847" spans="1:1">
      <c r="A2847" t="inlineStr">
        <is>
          <t>Benembengan Upper</t>
        </is>
      </c>
    </row>
    <row r="2848" spans="1:1">
      <c r="A2848" t="inlineStr">
        <is>
          <t>Bohe-languyan</t>
        </is>
      </c>
    </row>
    <row r="2849" spans="1:1">
      <c r="A2849" t="inlineStr">
        <is>
          <t>Buli-buli</t>
        </is>
      </c>
    </row>
    <row r="2850" spans="1:1">
      <c r="A2850" t="inlineStr">
        <is>
          <t>Cabcaban</t>
        </is>
      </c>
    </row>
    <row r="2851" spans="1:1">
      <c r="A2851" t="inlineStr">
        <is>
          <t>Cabengbeng Lower</t>
        </is>
      </c>
    </row>
    <row r="2852" spans="1:1">
      <c r="A2852" t="inlineStr">
        <is>
          <t>Cabengbeng Upper</t>
        </is>
      </c>
    </row>
    <row r="2853" spans="1:1">
      <c r="A2853" t="inlineStr">
        <is>
          <t>Ettub-ettub</t>
        </is>
      </c>
    </row>
    <row r="2854" spans="1:1">
      <c r="A2854" t="inlineStr">
        <is>
          <t>Guiong</t>
        </is>
      </c>
    </row>
    <row r="2855" spans="1:1">
      <c r="A2855" t="inlineStr">
        <is>
          <t>Kaum-Air</t>
        </is>
      </c>
    </row>
    <row r="2856" spans="1:1">
      <c r="A2856" t="inlineStr">
        <is>
          <t>Kaumpamatsakem</t>
        </is>
      </c>
    </row>
    <row r="2857" spans="1:1">
      <c r="A2857" t="inlineStr">
        <is>
          <t>Libug</t>
        </is>
      </c>
    </row>
    <row r="2858" spans="1:1">
      <c r="A2858" t="inlineStr">
        <is>
          <t>Limbocandis</t>
        </is>
      </c>
    </row>
    <row r="2859" spans="1:1">
      <c r="A2859" t="inlineStr">
        <is>
          <t>Lukketon</t>
        </is>
      </c>
    </row>
    <row r="2860" spans="1:1">
      <c r="A2860" t="inlineStr">
        <is>
          <t>Luuk-Bait</t>
        </is>
      </c>
    </row>
    <row r="2861" spans="1:1">
      <c r="A2861" t="inlineStr">
        <is>
          <t>Mahatalang</t>
        </is>
      </c>
    </row>
    <row r="2862" spans="1:1">
      <c r="A2862" t="inlineStr">
        <is>
          <t>Manaul</t>
        </is>
      </c>
    </row>
    <row r="2863" spans="1:1">
      <c r="A2863" t="inlineStr">
        <is>
          <t>Mangal</t>
        </is>
      </c>
    </row>
    <row r="2864" spans="1:1">
      <c r="A2864" t="inlineStr">
        <is>
          <t>Marang</t>
        </is>
      </c>
    </row>
    <row r="2865" spans="1:1">
      <c r="A2865" t="inlineStr">
        <is>
          <t>Mebak</t>
        </is>
      </c>
    </row>
    <row r="2866" spans="1:1">
      <c r="A2866" t="inlineStr">
        <is>
          <t>Sahaya Bohe Bato</t>
        </is>
      </c>
    </row>
    <row r="2867" spans="1:1">
      <c r="A2867" t="inlineStr">
        <is>
          <t>Sapah Bulak</t>
        </is>
      </c>
    </row>
    <row r="2868" spans="1:1">
      <c r="A2868" t="inlineStr">
        <is>
          <t>Sumisip Central</t>
        </is>
      </c>
    </row>
    <row r="2869" spans="1:1">
      <c r="A2869" t="inlineStr">
        <is>
          <t>Tikus</t>
        </is>
      </c>
    </row>
    <row r="2870" spans="1:1">
      <c r="A2870" t="inlineStr">
        <is>
          <t>Tongsengal</t>
        </is>
      </c>
    </row>
    <row r="2871" spans="1:1">
      <c r="A2871" t="inlineStr">
        <is>
          <t>Tumahubong</t>
        </is>
      </c>
    </row>
    <row r="2872" spans="1:1">
      <c r="A2872" t="inlineStr">
        <is>
          <t>Babag</t>
        </is>
      </c>
    </row>
    <row r="2873" spans="1:1">
      <c r="A2873" t="inlineStr">
        <is>
          <t>Balanting</t>
        </is>
      </c>
    </row>
    <row r="2874" spans="1:1">
      <c r="A2874" t="inlineStr">
        <is>
          <t>Boloh-boloh</t>
        </is>
      </c>
    </row>
    <row r="2875" spans="1:1">
      <c r="A2875" t="inlineStr">
        <is>
          <t>Bukut-Umus</t>
        </is>
      </c>
    </row>
    <row r="2876" spans="1:1">
      <c r="A2876" t="inlineStr">
        <is>
          <t>Kaumpurnah</t>
        </is>
      </c>
    </row>
    <row r="2877" spans="1:1">
      <c r="A2877" t="inlineStr">
        <is>
          <t>Lanawan</t>
        </is>
      </c>
    </row>
    <row r="2878" spans="1:1">
      <c r="A2878" t="inlineStr">
        <is>
          <t>Pisak-pisak</t>
        </is>
      </c>
    </row>
    <row r="2879" spans="1:1">
      <c r="A2879" t="inlineStr">
        <is>
          <t>Saluping</t>
        </is>
      </c>
    </row>
    <row r="2880" spans="1:1">
      <c r="A2880" t="inlineStr">
        <is>
          <t>Suligan</t>
        </is>
      </c>
    </row>
    <row r="2881" spans="1:1">
      <c r="A2881" t="inlineStr">
        <is>
          <t>Sulloh</t>
        </is>
      </c>
    </row>
    <row r="2882" spans="1:1">
      <c r="A2882" t="inlineStr">
        <is>
          <t>Tambulig Buton</t>
        </is>
      </c>
    </row>
    <row r="2883" spans="1:1">
      <c r="A2883" t="inlineStr">
        <is>
          <t>Tong-Umus</t>
        </is>
      </c>
    </row>
    <row r="2884" spans="1:1">
      <c r="A2884" t="inlineStr">
        <is>
          <t>Badja</t>
        </is>
      </c>
    </row>
    <row r="2885" spans="1:1">
      <c r="A2885" t="inlineStr">
        <is>
          <t>Baguindan</t>
        </is>
      </c>
    </row>
    <row r="2886" spans="1:1">
      <c r="A2886" t="inlineStr">
        <is>
          <t>Banah</t>
        </is>
      </c>
    </row>
    <row r="2887" spans="1:1">
      <c r="A2887" t="inlineStr">
        <is>
          <t>Bangcuang</t>
        </is>
      </c>
    </row>
    <row r="2888" spans="1:1">
      <c r="A2888" t="inlineStr">
        <is>
          <t>Bohe-Tambak</t>
        </is>
      </c>
    </row>
    <row r="2889" spans="1:1">
      <c r="A2889" t="inlineStr">
        <is>
          <t>Bohebaca</t>
        </is>
      </c>
    </row>
    <row r="2890" spans="1:1">
      <c r="A2890" t="inlineStr">
        <is>
          <t>Bohelebung</t>
        </is>
      </c>
    </row>
    <row r="2891" spans="1:1">
      <c r="A2891" t="inlineStr">
        <is>
          <t>Lagayas</t>
        </is>
      </c>
    </row>
    <row r="2892" spans="1:1">
      <c r="A2892" t="inlineStr">
        <is>
          <t>Limbo-Upas</t>
        </is>
      </c>
    </row>
    <row r="2893" spans="1:1">
      <c r="A2893" t="inlineStr">
        <is>
          <t>Silangkum</t>
        </is>
      </c>
    </row>
    <row r="2894" spans="1:1">
      <c r="A2894" t="inlineStr">
        <is>
          <t>Tipo-tipo Proper</t>
        </is>
      </c>
    </row>
    <row r="2895" spans="1:1">
      <c r="A2895" t="inlineStr">
        <is>
          <t>Bohetambis</t>
        </is>
      </c>
    </row>
    <row r="2896" spans="1:1">
      <c r="A2896" t="inlineStr">
        <is>
          <t>Calut</t>
        </is>
      </c>
    </row>
    <row r="2897" spans="1:1">
      <c r="A2897" t="inlineStr">
        <is>
          <t>Duga-a</t>
        </is>
      </c>
    </row>
    <row r="2898" spans="1:1">
      <c r="A2898" t="inlineStr">
        <is>
          <t>Katipunan</t>
        </is>
      </c>
    </row>
    <row r="2899" spans="1:1">
      <c r="A2899" t="inlineStr">
        <is>
          <t>Lahi-lahi</t>
        </is>
      </c>
    </row>
    <row r="2900" spans="1:1">
      <c r="A2900" t="inlineStr">
        <is>
          <t>Lower Sinangkapan</t>
        </is>
      </c>
    </row>
    <row r="2901" spans="1:1">
      <c r="A2901" t="inlineStr">
        <is>
          <t>Lower Tablas</t>
        </is>
      </c>
    </row>
    <row r="2902" spans="1:1">
      <c r="A2902" t="inlineStr">
        <is>
          <t>Mahawid</t>
        </is>
      </c>
    </row>
    <row r="2903" spans="1:1">
      <c r="A2903" t="inlineStr">
        <is>
          <t>Sinulatan</t>
        </is>
      </c>
    </row>
    <row r="2904" spans="1:1">
      <c r="A2904" t="inlineStr">
        <is>
          <t>Tablas Usew</t>
        </is>
      </c>
    </row>
    <row r="2905" spans="1:1">
      <c r="A2905" t="inlineStr">
        <is>
          <t>Amaloy</t>
        </is>
      </c>
    </row>
    <row r="2906" spans="1:1">
      <c r="A2906" t="inlineStr">
        <is>
          <t>Bohe-Pahuh</t>
        </is>
      </c>
    </row>
    <row r="2907" spans="1:1">
      <c r="A2907" t="inlineStr">
        <is>
          <t>Bohe-Suyak</t>
        </is>
      </c>
    </row>
    <row r="2908" spans="1:1">
      <c r="A2908" t="inlineStr">
        <is>
          <t>Cabangalan</t>
        </is>
      </c>
    </row>
    <row r="2909" spans="1:1">
      <c r="A2909" t="inlineStr">
        <is>
          <t>Danit</t>
        </is>
      </c>
    </row>
    <row r="2910" spans="1:1">
      <c r="A2910" t="inlineStr">
        <is>
          <t>Kamamburingan</t>
        </is>
      </c>
    </row>
    <row r="2911" spans="1:1">
      <c r="A2911" t="inlineStr">
        <is>
          <t>Matata</t>
        </is>
      </c>
    </row>
    <row r="2912" spans="1:1">
      <c r="A2912" t="inlineStr">
        <is>
          <t>Materling</t>
        </is>
      </c>
    </row>
    <row r="2913" spans="1:1">
      <c r="A2913" t="inlineStr">
        <is>
          <t>Pipil</t>
        </is>
      </c>
    </row>
    <row r="2914" spans="1:1">
      <c r="A2914" t="inlineStr">
        <is>
          <t>Sungkayut</t>
        </is>
      </c>
    </row>
    <row r="2915" spans="1:1">
      <c r="A2915" t="inlineStr">
        <is>
          <t>Tongbato</t>
        </is>
      </c>
    </row>
    <row r="2916" spans="1:1">
      <c r="A2916" t="inlineStr">
        <is>
          <t>Ulitan</t>
        </is>
      </c>
    </row>
    <row r="2917" spans="1:1">
      <c r="A2917" t="inlineStr">
        <is>
          <t>Bangkal</t>
        </is>
      </c>
    </row>
    <row r="2918" spans="1:1">
      <c r="A2918" t="inlineStr">
        <is>
          <t>Calaylayan</t>
        </is>
      </c>
    </row>
    <row r="2919" spans="1:1">
      <c r="A2919" t="inlineStr">
        <is>
          <t>Capitangan</t>
        </is>
      </c>
    </row>
    <row r="2920" spans="1:1">
      <c r="A2920" t="inlineStr">
        <is>
          <t>Gabon</t>
        </is>
      </c>
    </row>
    <row r="2921" spans="1:1">
      <c r="A2921" t="inlineStr">
        <is>
          <t>Laon</t>
        </is>
      </c>
    </row>
    <row r="2922" spans="1:1">
      <c r="A2922" t="inlineStr">
        <is>
          <t>Mabatang</t>
        </is>
      </c>
    </row>
    <row r="2923" spans="1:1">
      <c r="A2923" t="inlineStr">
        <is>
          <t>Omboy</t>
        </is>
      </c>
    </row>
    <row r="2924" spans="1:1">
      <c r="A2924" t="inlineStr">
        <is>
          <t>Salian</t>
        </is>
      </c>
    </row>
    <row r="2925" spans="1:1">
      <c r="A2925" t="inlineStr">
        <is>
          <t>Wawa</t>
        </is>
      </c>
    </row>
    <row r="2926" spans="1:1">
      <c r="A2926" t="inlineStr">
        <is>
          <t>Atilano L. Ricardo</t>
        </is>
      </c>
    </row>
    <row r="2927" spans="1:1">
      <c r="A2927" t="inlineStr">
        <is>
          <t>Bagumbayan</t>
        </is>
      </c>
    </row>
    <row r="2928" spans="1:1">
      <c r="A2928" t="inlineStr">
        <is>
          <t>Banawang</t>
        </is>
      </c>
    </row>
    <row r="2929" spans="1:1">
      <c r="A2929" t="inlineStr">
        <is>
          <t>Binuangan</t>
        </is>
      </c>
    </row>
    <row r="2930" spans="1:1">
      <c r="A2930" t="inlineStr">
        <is>
          <t>Binukawan</t>
        </is>
      </c>
    </row>
    <row r="2931" spans="1:1">
      <c r="A2931" t="inlineStr">
        <is>
          <t>Ibaba</t>
        </is>
      </c>
    </row>
    <row r="2932" spans="1:1">
      <c r="A2932" t="inlineStr">
        <is>
          <t>Ibis</t>
        </is>
      </c>
    </row>
    <row r="2933" spans="1:1">
      <c r="A2933" t="inlineStr">
        <is>
          <t>Pag-asa</t>
        </is>
      </c>
    </row>
    <row r="2934" spans="1:1">
      <c r="A2934" t="inlineStr">
        <is>
          <t>Parang</t>
        </is>
      </c>
    </row>
    <row r="2935" spans="1:1">
      <c r="A2935" t="inlineStr">
        <is>
          <t>Paysawan</t>
        </is>
      </c>
    </row>
    <row r="2936" spans="1:1">
      <c r="A2936" t="inlineStr">
        <is>
          <t>Quinawan</t>
        </is>
      </c>
    </row>
    <row r="2937" spans="1:1">
      <c r="A2937" t="inlineStr">
        <is>
          <t>San Antonio</t>
        </is>
      </c>
    </row>
    <row r="2938" spans="1:1">
      <c r="A2938" t="inlineStr">
        <is>
          <t>Saysain</t>
        </is>
      </c>
    </row>
    <row r="2939" spans="1:1">
      <c r="A2939" t="inlineStr">
        <is>
          <t>Tabing-Ilog</t>
        </is>
      </c>
    </row>
    <row r="2940" spans="1:1">
      <c r="A2940" t="inlineStr">
        <is>
          <t>Bagong Silang</t>
        </is>
      </c>
    </row>
    <row r="2941" spans="1:1">
      <c r="A2941" t="inlineStr">
        <is>
          <t>Bagumbayan</t>
        </is>
      </c>
    </row>
    <row r="2942" spans="1:1">
      <c r="A2942" t="inlineStr">
        <is>
          <t>Cabog-Cabog</t>
        </is>
      </c>
    </row>
    <row r="2943" spans="1:1">
      <c r="A2943" t="inlineStr">
        <is>
          <t>Camacho</t>
        </is>
      </c>
    </row>
    <row r="2944" spans="1:1">
      <c r="A2944" t="inlineStr">
        <is>
          <t>Cataning</t>
        </is>
      </c>
    </row>
    <row r="2945" spans="1:1">
      <c r="A2945" t="inlineStr">
        <is>
          <t>Central</t>
        </is>
      </c>
    </row>
    <row r="2946" spans="1:1">
      <c r="A2946" t="inlineStr">
        <is>
          <t>Cupang North</t>
        </is>
      </c>
    </row>
    <row r="2947" spans="1:1">
      <c r="A2947" t="inlineStr">
        <is>
          <t>Cupang Proper</t>
        </is>
      </c>
    </row>
    <row r="2948" spans="1:1">
      <c r="A2948" t="inlineStr">
        <is>
          <t>Cupang West</t>
        </is>
      </c>
    </row>
    <row r="2949" spans="1:1">
      <c r="A2949" t="inlineStr">
        <is>
          <t>Dangcol</t>
        </is>
      </c>
    </row>
    <row r="2950" spans="1:1">
      <c r="A2950" t="inlineStr">
        <is>
          <t>Doña Francisca</t>
        </is>
      </c>
    </row>
    <row r="2951" spans="1:1">
      <c r="A2951" t="inlineStr">
        <is>
          <t>Ibayo</t>
        </is>
      </c>
    </row>
    <row r="2952" spans="1:1">
      <c r="A2952" t="inlineStr">
        <is>
          <t>Lote</t>
        </is>
      </c>
    </row>
    <row r="2953" spans="1:1">
      <c r="A2953" t="inlineStr">
        <is>
          <t>Malabia</t>
        </is>
      </c>
    </row>
    <row r="2954" spans="1:1">
      <c r="A2954" t="inlineStr">
        <is>
          <t>Munting Batangas</t>
        </is>
      </c>
    </row>
    <row r="2955" spans="1:1">
      <c r="A2955" t="inlineStr">
        <is>
          <t>Poblacion</t>
        </is>
      </c>
    </row>
    <row r="2956" spans="1:1">
      <c r="A2956" t="inlineStr">
        <is>
          <t>Pto. Rivas Ibaba</t>
        </is>
      </c>
    </row>
    <row r="2957" spans="1:1">
      <c r="A2957" t="inlineStr">
        <is>
          <t>Pto. Rivas Itaas</t>
        </is>
      </c>
    </row>
    <row r="2958" spans="1:1">
      <c r="A2958" t="inlineStr">
        <is>
          <t>San Jose</t>
        </is>
      </c>
    </row>
    <row r="2959" spans="1:1">
      <c r="A2959" t="inlineStr">
        <is>
          <t>Sibacan</t>
        </is>
      </c>
    </row>
    <row r="2960" spans="1:1">
      <c r="A2960" t="inlineStr">
        <is>
          <t>Talisay</t>
        </is>
      </c>
    </row>
    <row r="2961" spans="1:1">
      <c r="A2961" t="inlineStr">
        <is>
          <t>Tanato</t>
        </is>
      </c>
    </row>
    <row r="2962" spans="1:1">
      <c r="A2962" t="inlineStr">
        <is>
          <t>Tenejero</t>
        </is>
      </c>
    </row>
    <row r="2963" spans="1:1">
      <c r="A2963" t="inlineStr">
        <is>
          <t>Tortugas</t>
        </is>
      </c>
    </row>
    <row r="2964" spans="1:1">
      <c r="A2964" t="inlineStr">
        <is>
          <t>Tuyo</t>
        </is>
      </c>
    </row>
    <row r="2965" spans="1:1">
      <c r="A2965" t="inlineStr">
        <is>
          <t>Aquino</t>
        </is>
      </c>
    </row>
    <row r="2966" spans="1:1">
      <c r="A2966" t="inlineStr">
        <is>
          <t>Bangal</t>
        </is>
      </c>
    </row>
    <row r="2967" spans="1:1">
      <c r="A2967" t="inlineStr">
        <is>
          <t>Bayan-bayanan</t>
        </is>
      </c>
    </row>
    <row r="2968" spans="1:1">
      <c r="A2968" t="inlineStr">
        <is>
          <t>Bonifacio</t>
        </is>
      </c>
    </row>
    <row r="2969" spans="1:1">
      <c r="A2969" t="inlineStr">
        <is>
          <t>Burgos</t>
        </is>
      </c>
    </row>
    <row r="2970" spans="1:1">
      <c r="A2970" t="inlineStr">
        <is>
          <t>Colo</t>
        </is>
      </c>
    </row>
    <row r="2971" spans="1:1">
      <c r="A2971" t="inlineStr">
        <is>
          <t>Daang Bago</t>
        </is>
      </c>
    </row>
    <row r="2972" spans="1:1">
      <c r="A2972" t="inlineStr">
        <is>
          <t>Dalao</t>
        </is>
      </c>
    </row>
    <row r="2973" spans="1:1">
      <c r="A2973" t="inlineStr">
        <is>
          <t>Del Pilar</t>
        </is>
      </c>
    </row>
    <row r="2974" spans="1:1">
      <c r="A2974" t="inlineStr">
        <is>
          <t>Gen. Luna</t>
        </is>
      </c>
    </row>
    <row r="2975" spans="1:1">
      <c r="A2975" t="inlineStr">
        <is>
          <t>Gomez</t>
        </is>
      </c>
    </row>
    <row r="2976" spans="1:1">
      <c r="A2976" t="inlineStr">
        <is>
          <t>Happy Valley</t>
        </is>
      </c>
    </row>
    <row r="2977" spans="1:1">
      <c r="A2977" t="inlineStr">
        <is>
          <t>Jose C. Payumo, Jr.</t>
        </is>
      </c>
    </row>
    <row r="2978" spans="1:1">
      <c r="A2978" t="inlineStr">
        <is>
          <t>Kataasan</t>
        </is>
      </c>
    </row>
    <row r="2979" spans="1:1">
      <c r="A2979" t="inlineStr">
        <is>
          <t>Layac</t>
        </is>
      </c>
    </row>
    <row r="2980" spans="1:1">
      <c r="A2980" t="inlineStr">
        <is>
          <t>Luacan</t>
        </is>
      </c>
    </row>
    <row r="2981" spans="1:1">
      <c r="A2981" t="inlineStr">
        <is>
          <t>Mabini Ext.</t>
        </is>
      </c>
    </row>
    <row r="2982" spans="1:1">
      <c r="A2982" t="inlineStr">
        <is>
          <t>Mabini Proper</t>
        </is>
      </c>
    </row>
    <row r="2983" spans="1:1">
      <c r="A2983" t="inlineStr">
        <is>
          <t>Magsaysay</t>
        </is>
      </c>
    </row>
    <row r="2984" spans="1:1">
      <c r="A2984" t="inlineStr">
        <is>
          <t>Maligaya</t>
        </is>
      </c>
    </row>
    <row r="2985" spans="1:1">
      <c r="A2985" t="inlineStr">
        <is>
          <t>Naparing</t>
        </is>
      </c>
    </row>
    <row r="2986" spans="1:1">
      <c r="A2986" t="inlineStr">
        <is>
          <t>New San Jose</t>
        </is>
      </c>
    </row>
    <row r="2987" spans="1:1">
      <c r="A2987" t="inlineStr">
        <is>
          <t>Old San Jose</t>
        </is>
      </c>
    </row>
    <row r="2988" spans="1:1">
      <c r="A2988" t="inlineStr">
        <is>
          <t>Padre Dandan</t>
        </is>
      </c>
    </row>
    <row r="2989" spans="1:1">
      <c r="A2989" t="inlineStr">
        <is>
          <t>Pag-asa</t>
        </is>
      </c>
    </row>
    <row r="2990" spans="1:1">
      <c r="A2990" t="inlineStr">
        <is>
          <t>Pagalanggang</t>
        </is>
      </c>
    </row>
    <row r="2991" spans="1:1">
      <c r="A2991" t="inlineStr">
        <is>
          <t>Payangan</t>
        </is>
      </c>
    </row>
    <row r="2992" spans="1:1">
      <c r="A2992" t="inlineStr">
        <is>
          <t>Pentor</t>
        </is>
      </c>
    </row>
    <row r="2993" spans="1:1">
      <c r="A2993" t="inlineStr">
        <is>
          <t>Pinulot</t>
        </is>
      </c>
    </row>
    <row r="2994" spans="1:1">
      <c r="A2994" t="inlineStr">
        <is>
          <t>Pita</t>
        </is>
      </c>
    </row>
    <row r="2995" spans="1:1">
      <c r="A2995" t="inlineStr">
        <is>
          <t>Rizal</t>
        </is>
      </c>
    </row>
    <row r="2996" spans="1:1">
      <c r="A2996" t="inlineStr">
        <is>
          <t>Roosevelt</t>
        </is>
      </c>
    </row>
    <row r="2997" spans="1:1">
      <c r="A2997" t="inlineStr">
        <is>
          <t>Roxas</t>
        </is>
      </c>
    </row>
    <row r="2998" spans="1:1">
      <c r="A2998" t="inlineStr">
        <is>
          <t>Saguing</t>
        </is>
      </c>
    </row>
    <row r="2999" spans="1:1">
      <c r="A2999" t="inlineStr">
        <is>
          <t>San Benito</t>
        </is>
      </c>
    </row>
    <row r="3000" spans="1:1">
      <c r="A3000" t="inlineStr">
        <is>
          <t>San Isidro</t>
        </is>
      </c>
    </row>
    <row r="3001" spans="1:1">
      <c r="A3001" t="inlineStr">
        <is>
          <t>San Pablo</t>
        </is>
      </c>
    </row>
    <row r="3002" spans="1:1">
      <c r="A3002" t="inlineStr">
        <is>
          <t>San Ramon</t>
        </is>
      </c>
    </row>
    <row r="3003" spans="1:1">
      <c r="A3003" t="inlineStr">
        <is>
          <t>San Simon</t>
        </is>
      </c>
    </row>
    <row r="3004" spans="1:1">
      <c r="A3004" t="inlineStr">
        <is>
          <t>Santa Isabel</t>
        </is>
      </c>
    </row>
    <row r="3005" spans="1:1">
      <c r="A3005" t="inlineStr">
        <is>
          <t>Santo Niño</t>
        </is>
      </c>
    </row>
    <row r="3006" spans="1:1">
      <c r="A3006" t="inlineStr">
        <is>
          <t>Sapang Balas</t>
        </is>
      </c>
    </row>
    <row r="3007" spans="1:1">
      <c r="A3007" t="inlineStr">
        <is>
          <t>Torres Bugauen</t>
        </is>
      </c>
    </row>
    <row r="3008" spans="1:1">
      <c r="A3008" t="inlineStr">
        <is>
          <t>Tubo-tubo</t>
        </is>
      </c>
    </row>
    <row r="3009" spans="1:1">
      <c r="A3009" t="inlineStr">
        <is>
          <t>Tucop</t>
        </is>
      </c>
    </row>
    <row r="3010" spans="1:1">
      <c r="A3010" t="inlineStr">
        <is>
          <t>Zamora</t>
        </is>
      </c>
    </row>
    <row r="3011" spans="1:1">
      <c r="A3011" t="inlineStr">
        <is>
          <t>A. Rivera</t>
        </is>
      </c>
    </row>
    <row r="3012" spans="1:1">
      <c r="A3012" t="inlineStr">
        <is>
          <t>Almacen</t>
        </is>
      </c>
    </row>
    <row r="3013" spans="1:1">
      <c r="A3013" t="inlineStr">
        <is>
          <t>Bacong</t>
        </is>
      </c>
    </row>
    <row r="3014" spans="1:1">
      <c r="A3014" t="inlineStr">
        <is>
          <t>Balsic</t>
        </is>
      </c>
    </row>
    <row r="3015" spans="1:1">
      <c r="A3015" t="inlineStr">
        <is>
          <t>Bamban</t>
        </is>
      </c>
    </row>
    <row r="3016" spans="1:1">
      <c r="A3016" t="inlineStr">
        <is>
          <t>Burgos-Soliman</t>
        </is>
      </c>
    </row>
    <row r="3017" spans="1:1">
      <c r="A3017" t="inlineStr">
        <is>
          <t>Cataning</t>
        </is>
      </c>
    </row>
    <row r="3018" spans="1:1">
      <c r="A3018" t="inlineStr">
        <is>
          <t>Culis</t>
        </is>
      </c>
    </row>
    <row r="3019" spans="1:1">
      <c r="A3019" t="inlineStr">
        <is>
          <t>Daungan</t>
        </is>
      </c>
    </row>
    <row r="3020" spans="1:1">
      <c r="A3020" t="inlineStr">
        <is>
          <t>Judge Roman Cruz Sr.</t>
        </is>
      </c>
    </row>
    <row r="3021" spans="1:1">
      <c r="A3021" t="inlineStr">
        <is>
          <t>Mabiga</t>
        </is>
      </c>
    </row>
    <row r="3022" spans="1:1">
      <c r="A3022" t="inlineStr">
        <is>
          <t>Mabuco</t>
        </is>
      </c>
    </row>
    <row r="3023" spans="1:1">
      <c r="A3023" t="inlineStr">
        <is>
          <t>Maite</t>
        </is>
      </c>
    </row>
    <row r="3024" spans="1:1">
      <c r="A3024" t="inlineStr">
        <is>
          <t>Mambog - Mandama</t>
        </is>
      </c>
    </row>
    <row r="3025" spans="1:1">
      <c r="A3025" t="inlineStr">
        <is>
          <t>Palihan</t>
        </is>
      </c>
    </row>
    <row r="3026" spans="1:1">
      <c r="A3026" t="inlineStr">
        <is>
          <t>Pandatung</t>
        </is>
      </c>
    </row>
    <row r="3027" spans="1:1">
      <c r="A3027" t="inlineStr">
        <is>
          <t>Pulo</t>
        </is>
      </c>
    </row>
    <row r="3028" spans="1:1">
      <c r="A3028" t="inlineStr">
        <is>
          <t>Saba</t>
        </is>
      </c>
    </row>
    <row r="3029" spans="1:1">
      <c r="A3029" t="inlineStr">
        <is>
          <t>Sacrifice Valley</t>
        </is>
      </c>
    </row>
    <row r="3030" spans="1:1">
      <c r="A3030" t="inlineStr">
        <is>
          <t>San Pedro</t>
        </is>
      </c>
    </row>
    <row r="3031" spans="1:1">
      <c r="A3031" t="inlineStr">
        <is>
          <t>Santo Cristo</t>
        </is>
      </c>
    </row>
    <row r="3032" spans="1:1">
      <c r="A3032" t="inlineStr">
        <is>
          <t>Sumalo</t>
        </is>
      </c>
    </row>
    <row r="3033" spans="1:1">
      <c r="A3033" t="inlineStr">
        <is>
          <t>Tipo</t>
        </is>
      </c>
    </row>
    <row r="3034" spans="1:1">
      <c r="A3034" t="inlineStr">
        <is>
          <t>Alangan</t>
        </is>
      </c>
    </row>
    <row r="3035" spans="1:1">
      <c r="A3035" t="inlineStr">
        <is>
          <t>Duale</t>
        </is>
      </c>
    </row>
    <row r="3036" spans="1:1">
      <c r="A3036" t="inlineStr">
        <is>
          <t>Kitang 2 &amp; Luz</t>
        </is>
      </c>
    </row>
    <row r="3037" spans="1:1">
      <c r="A3037" t="inlineStr">
        <is>
          <t>Kitang I</t>
        </is>
      </c>
    </row>
    <row r="3038" spans="1:1">
      <c r="A3038" t="inlineStr">
        <is>
          <t>Lamao</t>
        </is>
      </c>
    </row>
    <row r="3039" spans="1:1">
      <c r="A3039" t="inlineStr">
        <is>
          <t>Landing</t>
        </is>
      </c>
    </row>
    <row r="3040" spans="1:1">
      <c r="A3040" t="inlineStr">
        <is>
          <t>Poblacion</t>
        </is>
      </c>
    </row>
    <row r="3041" spans="1:1">
      <c r="A3041" t="inlineStr">
        <is>
          <t>Reformista</t>
        </is>
      </c>
    </row>
    <row r="3042" spans="1:1">
      <c r="A3042" t="inlineStr">
        <is>
          <t>San Francisco de Asis</t>
        </is>
      </c>
    </row>
    <row r="3043" spans="1:1">
      <c r="A3043" t="inlineStr">
        <is>
          <t>St. Francis II</t>
        </is>
      </c>
    </row>
    <row r="3044" spans="1:1">
      <c r="A3044" t="inlineStr">
        <is>
          <t>Townsite</t>
        </is>
      </c>
    </row>
    <row r="3045" spans="1:1">
      <c r="A3045" t="inlineStr">
        <is>
          <t>Wawa</t>
        </is>
      </c>
    </row>
    <row r="3046" spans="1:1">
      <c r="A3046" t="inlineStr">
        <is>
          <t>Alas-asin</t>
        </is>
      </c>
    </row>
    <row r="3047" spans="1:1">
      <c r="A3047" t="inlineStr">
        <is>
          <t>Alion</t>
        </is>
      </c>
    </row>
    <row r="3048" spans="1:1">
      <c r="A3048" t="inlineStr">
        <is>
          <t>Balon-Anito</t>
        </is>
      </c>
    </row>
    <row r="3049" spans="1:1">
      <c r="A3049" t="inlineStr">
        <is>
          <t>Baseco Country</t>
        </is>
      </c>
    </row>
    <row r="3050" spans="1:1">
      <c r="A3050" t="inlineStr">
        <is>
          <t>Batangas II</t>
        </is>
      </c>
    </row>
    <row r="3051" spans="1:1">
      <c r="A3051" t="inlineStr">
        <is>
          <t>Biaan</t>
        </is>
      </c>
    </row>
    <row r="3052" spans="1:1">
      <c r="A3052" t="inlineStr">
        <is>
          <t>Cabcaben</t>
        </is>
      </c>
    </row>
    <row r="3053" spans="1:1">
      <c r="A3053" t="inlineStr">
        <is>
          <t>Camaya</t>
        </is>
      </c>
    </row>
    <row r="3054" spans="1:1">
      <c r="A3054" t="inlineStr">
        <is>
          <t>Ipag</t>
        </is>
      </c>
    </row>
    <row r="3055" spans="1:1">
      <c r="A3055" t="inlineStr">
        <is>
          <t>Lucanin</t>
        </is>
      </c>
    </row>
    <row r="3056" spans="1:1">
      <c r="A3056" t="inlineStr">
        <is>
          <t>Malaya</t>
        </is>
      </c>
    </row>
    <row r="3057" spans="1:1">
      <c r="A3057" t="inlineStr">
        <is>
          <t>Maligaya</t>
        </is>
      </c>
    </row>
    <row r="3058" spans="1:1">
      <c r="A3058" t="inlineStr">
        <is>
          <t>Mt. View</t>
        </is>
      </c>
    </row>
    <row r="3059" spans="1:1">
      <c r="A3059" t="inlineStr">
        <is>
          <t>Poblacion</t>
        </is>
      </c>
    </row>
    <row r="3060" spans="1:1">
      <c r="A3060" t="inlineStr">
        <is>
          <t>San Carlos</t>
        </is>
      </c>
    </row>
    <row r="3061" spans="1:1">
      <c r="A3061" t="inlineStr">
        <is>
          <t>San Isidro</t>
        </is>
      </c>
    </row>
    <row r="3062" spans="1:1">
      <c r="A3062" t="inlineStr">
        <is>
          <t>Sisiman</t>
        </is>
      </c>
    </row>
    <row r="3063" spans="1:1">
      <c r="A3063" t="inlineStr">
        <is>
          <t>Townsite</t>
        </is>
      </c>
    </row>
    <row r="3064" spans="1:1">
      <c r="A3064" t="inlineStr">
        <is>
          <t>Binaritan</t>
        </is>
      </c>
    </row>
    <row r="3065" spans="1:1">
      <c r="A3065" t="inlineStr">
        <is>
          <t>Mabayo</t>
        </is>
      </c>
    </row>
    <row r="3066" spans="1:1">
      <c r="A3066" t="inlineStr">
        <is>
          <t>Nagbalayong</t>
        </is>
      </c>
    </row>
    <row r="3067" spans="1:1">
      <c r="A3067" t="inlineStr">
        <is>
          <t>Poblacion</t>
        </is>
      </c>
    </row>
    <row r="3068" spans="1:1">
      <c r="A3068" t="inlineStr">
        <is>
          <t>Sabang</t>
        </is>
      </c>
    </row>
    <row r="3069" spans="1:1">
      <c r="A3069" t="inlineStr">
        <is>
          <t>Apollo</t>
        </is>
      </c>
    </row>
    <row r="3070" spans="1:1">
      <c r="A3070" t="inlineStr">
        <is>
          <t>Bagong Paraiso</t>
        </is>
      </c>
    </row>
    <row r="3071" spans="1:1">
      <c r="A3071" t="inlineStr">
        <is>
          <t>Balut</t>
        </is>
      </c>
    </row>
    <row r="3072" spans="1:1">
      <c r="A3072" t="inlineStr">
        <is>
          <t>Bayan</t>
        </is>
      </c>
    </row>
    <row r="3073" spans="1:1">
      <c r="A3073" t="inlineStr">
        <is>
          <t>Calero</t>
        </is>
      </c>
    </row>
    <row r="3074" spans="1:1">
      <c r="A3074" t="inlineStr">
        <is>
          <t>Centro I</t>
        </is>
      </c>
    </row>
    <row r="3075" spans="1:1">
      <c r="A3075" t="inlineStr">
        <is>
          <t>Centro II</t>
        </is>
      </c>
    </row>
    <row r="3076" spans="1:1">
      <c r="A3076" t="inlineStr">
        <is>
          <t>Dona</t>
        </is>
      </c>
    </row>
    <row r="3077" spans="1:1">
      <c r="A3077" t="inlineStr">
        <is>
          <t>Kabalutan</t>
        </is>
      </c>
    </row>
    <row r="3078" spans="1:1">
      <c r="A3078" t="inlineStr">
        <is>
          <t>Kaparangan</t>
        </is>
      </c>
    </row>
    <row r="3079" spans="1:1">
      <c r="A3079" t="inlineStr">
        <is>
          <t>Maria Fe</t>
        </is>
      </c>
    </row>
    <row r="3080" spans="1:1">
      <c r="A3080" t="inlineStr">
        <is>
          <t>Masantol</t>
        </is>
      </c>
    </row>
    <row r="3081" spans="1:1">
      <c r="A3081" t="inlineStr">
        <is>
          <t>Mulawin</t>
        </is>
      </c>
    </row>
    <row r="3082" spans="1:1">
      <c r="A3082" t="inlineStr">
        <is>
          <t>Pag-asa</t>
        </is>
      </c>
    </row>
    <row r="3083" spans="1:1">
      <c r="A3083" t="inlineStr">
        <is>
          <t>Paking-Carbonero</t>
        </is>
      </c>
    </row>
    <row r="3084" spans="1:1">
      <c r="A3084" t="inlineStr">
        <is>
          <t>Palihan</t>
        </is>
      </c>
    </row>
    <row r="3085" spans="1:1">
      <c r="A3085" t="inlineStr">
        <is>
          <t>Pantalan Bago</t>
        </is>
      </c>
    </row>
    <row r="3086" spans="1:1">
      <c r="A3086" t="inlineStr">
        <is>
          <t>Pantalan Luma</t>
        </is>
      </c>
    </row>
    <row r="3087" spans="1:1">
      <c r="A3087" t="inlineStr">
        <is>
          <t>Parang-Parang</t>
        </is>
      </c>
    </row>
    <row r="3088" spans="1:1">
      <c r="A3088" t="inlineStr">
        <is>
          <t>Puksuan</t>
        </is>
      </c>
    </row>
    <row r="3089" spans="1:1">
      <c r="A3089" t="inlineStr">
        <is>
          <t>Sibul</t>
        </is>
      </c>
    </row>
    <row r="3090" spans="1:1">
      <c r="A3090" t="inlineStr">
        <is>
          <t>Silahis</t>
        </is>
      </c>
    </row>
    <row r="3091" spans="1:1">
      <c r="A3091" t="inlineStr">
        <is>
          <t>Tagumpay</t>
        </is>
      </c>
    </row>
    <row r="3092" spans="1:1">
      <c r="A3092" t="inlineStr">
        <is>
          <t>Tala</t>
        </is>
      </c>
    </row>
    <row r="3093" spans="1:1">
      <c r="A3093" t="inlineStr">
        <is>
          <t>Talimundoc</t>
        </is>
      </c>
    </row>
    <row r="3094" spans="1:1">
      <c r="A3094" t="inlineStr">
        <is>
          <t>Tapulao</t>
        </is>
      </c>
    </row>
    <row r="3095" spans="1:1">
      <c r="A3095" t="inlineStr">
        <is>
          <t>Tenejero</t>
        </is>
      </c>
    </row>
    <row r="3096" spans="1:1">
      <c r="A3096" t="inlineStr">
        <is>
          <t>Tugatog</t>
        </is>
      </c>
    </row>
    <row r="3097" spans="1:1">
      <c r="A3097" t="inlineStr">
        <is>
          <t>Wawa</t>
        </is>
      </c>
    </row>
    <row r="3098" spans="1:1">
      <c r="A3098" t="inlineStr">
        <is>
          <t>Arellano</t>
        </is>
      </c>
    </row>
    <row r="3099" spans="1:1">
      <c r="A3099" t="inlineStr">
        <is>
          <t>Bagumbayan</t>
        </is>
      </c>
    </row>
    <row r="3100" spans="1:1">
      <c r="A3100" t="inlineStr">
        <is>
          <t>Balagtas</t>
        </is>
      </c>
    </row>
    <row r="3101" spans="1:1">
      <c r="A3101" t="inlineStr">
        <is>
          <t>Balut</t>
        </is>
      </c>
    </row>
    <row r="3102" spans="1:1">
      <c r="A3102" t="inlineStr">
        <is>
          <t>Bantan</t>
        </is>
      </c>
    </row>
    <row r="3103" spans="1:1">
      <c r="A3103" t="inlineStr">
        <is>
          <t>Bilolo</t>
        </is>
      </c>
    </row>
    <row r="3104" spans="1:1">
      <c r="A3104" t="inlineStr">
        <is>
          <t>Calungusan</t>
        </is>
      </c>
    </row>
    <row r="3105" spans="1:1">
      <c r="A3105" t="inlineStr">
        <is>
          <t>Camachile</t>
        </is>
      </c>
    </row>
    <row r="3106" spans="1:1">
      <c r="A3106" t="inlineStr">
        <is>
          <t>Daang Bago</t>
        </is>
      </c>
    </row>
    <row r="3107" spans="1:1">
      <c r="A3107" t="inlineStr">
        <is>
          <t>Daang Bilolo</t>
        </is>
      </c>
    </row>
    <row r="3108" spans="1:1">
      <c r="A3108" t="inlineStr">
        <is>
          <t>Daang Pare</t>
        </is>
      </c>
    </row>
    <row r="3109" spans="1:1">
      <c r="A3109" t="inlineStr">
        <is>
          <t>General Lim</t>
        </is>
      </c>
    </row>
    <row r="3110" spans="1:1">
      <c r="A3110" t="inlineStr">
        <is>
          <t>Kapunitan</t>
        </is>
      </c>
    </row>
    <row r="3111" spans="1:1">
      <c r="A3111" t="inlineStr">
        <is>
          <t>Lati</t>
        </is>
      </c>
    </row>
    <row r="3112" spans="1:1">
      <c r="A3112" t="inlineStr">
        <is>
          <t>Lusungan</t>
        </is>
      </c>
    </row>
    <row r="3113" spans="1:1">
      <c r="A3113" t="inlineStr">
        <is>
          <t>Puting Buhangin</t>
        </is>
      </c>
    </row>
    <row r="3114" spans="1:1">
      <c r="A3114" t="inlineStr">
        <is>
          <t>Sabatan</t>
        </is>
      </c>
    </row>
    <row r="3115" spans="1:1">
      <c r="A3115" t="inlineStr">
        <is>
          <t>San Vicente</t>
        </is>
      </c>
    </row>
    <row r="3116" spans="1:1">
      <c r="A3116" t="inlineStr">
        <is>
          <t>Santa Elena</t>
        </is>
      </c>
    </row>
    <row r="3117" spans="1:1">
      <c r="A3117" t="inlineStr">
        <is>
          <t>Santo Domingo</t>
        </is>
      </c>
    </row>
    <row r="3118" spans="1:1">
      <c r="A3118" t="inlineStr">
        <is>
          <t>Villa Angeles</t>
        </is>
      </c>
    </row>
    <row r="3119" spans="1:1">
      <c r="A3119" t="inlineStr">
        <is>
          <t>Wakas</t>
        </is>
      </c>
    </row>
    <row r="3120" spans="1:1">
      <c r="A3120" t="inlineStr">
        <is>
          <t>Wawa</t>
        </is>
      </c>
    </row>
    <row r="3121" spans="1:1">
      <c r="A3121" t="inlineStr">
        <is>
          <t>Ala-uli</t>
        </is>
      </c>
    </row>
    <row r="3122" spans="1:1">
      <c r="A3122" t="inlineStr">
        <is>
          <t>Bagumbayan</t>
        </is>
      </c>
    </row>
    <row r="3123" spans="1:1">
      <c r="A3123" t="inlineStr">
        <is>
          <t>Balut I</t>
        </is>
      </c>
    </row>
    <row r="3124" spans="1:1">
      <c r="A3124" t="inlineStr">
        <is>
          <t>Balut II</t>
        </is>
      </c>
    </row>
    <row r="3125" spans="1:1">
      <c r="A3125" t="inlineStr">
        <is>
          <t>Bantan Munti</t>
        </is>
      </c>
    </row>
    <row r="3126" spans="1:1">
      <c r="A3126" t="inlineStr">
        <is>
          <t>Burgos</t>
        </is>
      </c>
    </row>
    <row r="3127" spans="1:1">
      <c r="A3127" t="inlineStr">
        <is>
          <t>Del Rosario</t>
        </is>
      </c>
    </row>
    <row r="3128" spans="1:1">
      <c r="A3128" t="inlineStr">
        <is>
          <t>Diwa</t>
        </is>
      </c>
    </row>
    <row r="3129" spans="1:1">
      <c r="A3129" t="inlineStr">
        <is>
          <t>Landing</t>
        </is>
      </c>
    </row>
    <row r="3130" spans="1:1">
      <c r="A3130" t="inlineStr">
        <is>
          <t>Liyang</t>
        </is>
      </c>
    </row>
    <row r="3131" spans="1:1">
      <c r="A3131" t="inlineStr">
        <is>
          <t>Nagwaling</t>
        </is>
      </c>
    </row>
    <row r="3132" spans="1:1">
      <c r="A3132" t="inlineStr">
        <is>
          <t>Panilao</t>
        </is>
      </c>
    </row>
    <row r="3133" spans="1:1">
      <c r="A3133" t="inlineStr">
        <is>
          <t>Pantingan</t>
        </is>
      </c>
    </row>
    <row r="3134" spans="1:1">
      <c r="A3134" t="inlineStr">
        <is>
          <t>Poblacion</t>
        </is>
      </c>
    </row>
    <row r="3135" spans="1:1">
      <c r="A3135" t="inlineStr">
        <is>
          <t>Rizal</t>
        </is>
      </c>
    </row>
    <row r="3136" spans="1:1">
      <c r="A3136" t="inlineStr">
        <is>
          <t>Santa Rosa</t>
        </is>
      </c>
    </row>
    <row r="3137" spans="1:1">
      <c r="A3137" t="inlineStr">
        <is>
          <t>Wakas North</t>
        </is>
      </c>
    </row>
    <row r="3138" spans="1:1">
      <c r="A3138" t="inlineStr">
        <is>
          <t>Wakas South</t>
        </is>
      </c>
    </row>
    <row r="3139" spans="1:1">
      <c r="A3139" t="inlineStr">
        <is>
          <t>Wawa</t>
        </is>
      </c>
    </row>
    <row r="3140" spans="1:1">
      <c r="A3140" t="inlineStr">
        <is>
          <t>East Calaguiman</t>
        </is>
      </c>
    </row>
    <row r="3141" spans="1:1">
      <c r="A3141" t="inlineStr">
        <is>
          <t>East Daang Bago</t>
        </is>
      </c>
    </row>
    <row r="3142" spans="1:1">
      <c r="A3142" t="inlineStr">
        <is>
          <t>Gugo</t>
        </is>
      </c>
    </row>
    <row r="3143" spans="1:1">
      <c r="A3143" t="inlineStr">
        <is>
          <t>Ibaba</t>
        </is>
      </c>
    </row>
    <row r="3144" spans="1:1">
      <c r="A3144" t="inlineStr">
        <is>
          <t>Imelda</t>
        </is>
      </c>
    </row>
    <row r="3145" spans="1:1">
      <c r="A3145" t="inlineStr">
        <is>
          <t>Lalawigan</t>
        </is>
      </c>
    </row>
    <row r="3146" spans="1:1">
      <c r="A3146" t="inlineStr">
        <is>
          <t>Palili</t>
        </is>
      </c>
    </row>
    <row r="3147" spans="1:1">
      <c r="A3147" t="inlineStr">
        <is>
          <t>San Juan</t>
        </is>
      </c>
    </row>
    <row r="3148" spans="1:1">
      <c r="A3148" t="inlineStr">
        <is>
          <t>San Roque</t>
        </is>
      </c>
    </row>
    <row r="3149" spans="1:1">
      <c r="A3149" t="inlineStr">
        <is>
          <t>Santa Lucia</t>
        </is>
      </c>
    </row>
    <row r="3150" spans="1:1">
      <c r="A3150" t="inlineStr">
        <is>
          <t>Sapa</t>
        </is>
      </c>
    </row>
    <row r="3151" spans="1:1">
      <c r="A3151" t="inlineStr">
        <is>
          <t>Tabing Ilog</t>
        </is>
      </c>
    </row>
    <row r="3152" spans="1:1">
      <c r="A3152" t="inlineStr">
        <is>
          <t>West Calaguiman</t>
        </is>
      </c>
    </row>
    <row r="3153" spans="1:1">
      <c r="A3153" t="inlineStr">
        <is>
          <t>West Daang Bago</t>
        </is>
      </c>
    </row>
    <row r="3154" spans="1:1">
      <c r="A3154" t="inlineStr">
        <is>
          <t>Chanarian</t>
        </is>
      </c>
    </row>
    <row r="3155" spans="1:1">
      <c r="A3155" t="inlineStr">
        <is>
          <t>Ihubok I</t>
        </is>
      </c>
    </row>
    <row r="3156" spans="1:1">
      <c r="A3156" t="inlineStr">
        <is>
          <t>Ihubok II</t>
        </is>
      </c>
    </row>
    <row r="3157" spans="1:1">
      <c r="A3157" t="inlineStr">
        <is>
          <t>Kayhuvokan</t>
        </is>
      </c>
    </row>
    <row r="3158" spans="1:1">
      <c r="A3158" t="inlineStr">
        <is>
          <t>San Antonio</t>
        </is>
      </c>
    </row>
    <row r="3159" spans="1:1">
      <c r="A3159" t="inlineStr">
        <is>
          <t>San Joaquin</t>
        </is>
      </c>
    </row>
    <row r="3160" spans="1:1">
      <c r="A3160" t="inlineStr">
        <is>
          <t>Raele</t>
        </is>
      </c>
    </row>
    <row r="3161" spans="1:1">
      <c r="A3161" t="inlineStr">
        <is>
          <t>San Rafael</t>
        </is>
      </c>
    </row>
    <row r="3162" spans="1:1">
      <c r="A3162" t="inlineStr">
        <is>
          <t>Santa Lucia</t>
        </is>
      </c>
    </row>
    <row r="3163" spans="1:1">
      <c r="A3163" t="inlineStr">
        <is>
          <t>Santa Maria</t>
        </is>
      </c>
    </row>
    <row r="3164" spans="1:1">
      <c r="A3164" t="inlineStr">
        <is>
          <t>Santa Rosa</t>
        </is>
      </c>
    </row>
    <row r="3165" spans="1:1">
      <c r="A3165" t="inlineStr">
        <is>
          <t>Radiwan</t>
        </is>
      </c>
    </row>
    <row r="3166" spans="1:1">
      <c r="A3166" t="inlineStr">
        <is>
          <t>Salagao</t>
        </is>
      </c>
    </row>
    <row r="3167" spans="1:1">
      <c r="A3167" t="inlineStr">
        <is>
          <t>San Vicente</t>
        </is>
      </c>
    </row>
    <row r="3168" spans="1:1">
      <c r="A3168" t="inlineStr">
        <is>
          <t>Tuhel</t>
        </is>
      </c>
    </row>
    <row r="3169" spans="1:1">
      <c r="A3169" t="inlineStr">
        <is>
          <t>Hañib</t>
        </is>
      </c>
    </row>
    <row r="3170" spans="1:1">
      <c r="A3170" t="inlineStr">
        <is>
          <t>Kaumbakan</t>
        </is>
      </c>
    </row>
    <row r="3171" spans="1:1">
      <c r="A3171" t="inlineStr">
        <is>
          <t>Panatayan</t>
        </is>
      </c>
    </row>
    <row r="3172" spans="1:1">
      <c r="A3172" t="inlineStr">
        <is>
          <t>Uvoy</t>
        </is>
      </c>
    </row>
    <row r="3173" spans="1:1">
      <c r="A3173" t="inlineStr">
        <is>
          <t>Chavayan</t>
        </is>
      </c>
    </row>
    <row r="3174" spans="1:1">
      <c r="A3174" t="inlineStr">
        <is>
          <t>Malakdang</t>
        </is>
      </c>
    </row>
    <row r="3175" spans="1:1">
      <c r="A3175" t="inlineStr">
        <is>
          <t>Nakanmuan</t>
        </is>
      </c>
    </row>
    <row r="3176" spans="1:1">
      <c r="A3176" t="inlineStr">
        <is>
          <t>Savidug</t>
        </is>
      </c>
    </row>
    <row r="3177" spans="1:1">
      <c r="A3177" t="inlineStr">
        <is>
          <t>Sinakan</t>
        </is>
      </c>
    </row>
    <row r="3178" spans="1:1">
      <c r="A3178" t="inlineStr">
        <is>
          <t>Sumnanga</t>
        </is>
      </c>
    </row>
    <row r="3179" spans="1:1">
      <c r="A3179" t="inlineStr">
        <is>
          <t>Imnajbu</t>
        </is>
      </c>
    </row>
    <row r="3180" spans="1:1">
      <c r="A3180" t="inlineStr">
        <is>
          <t>Itbud</t>
        </is>
      </c>
    </row>
    <row r="3181" spans="1:1">
      <c r="A3181" t="inlineStr">
        <is>
          <t>Kayuganan</t>
        </is>
      </c>
    </row>
    <row r="3182" spans="1:1">
      <c r="A3182" t="inlineStr">
        <is>
          <t>Kayvaluganan</t>
        </is>
      </c>
    </row>
    <row r="3183" spans="1:1">
      <c r="A3183" t="inlineStr">
        <is>
          <t>Adia</t>
        </is>
      </c>
    </row>
    <row r="3184" spans="1:1">
      <c r="A3184" t="inlineStr">
        <is>
          <t>Bagong Sikat</t>
        </is>
      </c>
    </row>
    <row r="3185" spans="1:1">
      <c r="A3185" t="inlineStr">
        <is>
          <t>Balangon</t>
        </is>
      </c>
    </row>
    <row r="3186" spans="1:1">
      <c r="A3186" t="inlineStr">
        <is>
          <t>Bangin</t>
        </is>
      </c>
    </row>
    <row r="3187" spans="1:1">
      <c r="A3187" t="inlineStr">
        <is>
          <t>Banyaga</t>
        </is>
      </c>
    </row>
    <row r="3188" spans="1:1">
      <c r="A3188" t="inlineStr">
        <is>
          <t>Barigon</t>
        </is>
      </c>
    </row>
    <row r="3189" spans="1:1">
      <c r="A3189" t="inlineStr">
        <is>
          <t>Bilibinwang</t>
        </is>
      </c>
    </row>
    <row r="3190" spans="1:1">
      <c r="A3190" t="inlineStr">
        <is>
          <t>Coral Na Munti</t>
        </is>
      </c>
    </row>
    <row r="3191" spans="1:1">
      <c r="A3191" t="inlineStr">
        <is>
          <t>Guitna</t>
        </is>
      </c>
    </row>
    <row r="3192" spans="1:1">
      <c r="A3192" t="inlineStr">
        <is>
          <t>Mabini</t>
        </is>
      </c>
    </row>
    <row r="3193" spans="1:1">
      <c r="A3193" t="inlineStr">
        <is>
          <t>Pamiga</t>
        </is>
      </c>
    </row>
    <row r="3194" spans="1:1">
      <c r="A3194" t="inlineStr">
        <is>
          <t>Panhulan</t>
        </is>
      </c>
    </row>
    <row r="3195" spans="1:1">
      <c r="A3195" t="inlineStr">
        <is>
          <t>Pansipit</t>
        </is>
      </c>
    </row>
    <row r="3196" spans="1:1">
      <c r="A3196" t="inlineStr">
        <is>
          <t>Poblacion</t>
        </is>
      </c>
    </row>
    <row r="3197" spans="1:1">
      <c r="A3197" t="inlineStr">
        <is>
          <t>Pook</t>
        </is>
      </c>
    </row>
    <row r="3198" spans="1:1">
      <c r="A3198" t="inlineStr">
        <is>
          <t>San Jacinto</t>
        </is>
      </c>
    </row>
    <row r="3199" spans="1:1">
      <c r="A3199" t="inlineStr">
        <is>
          <t>San Teodoro</t>
        </is>
      </c>
    </row>
    <row r="3200" spans="1:1">
      <c r="A3200" t="inlineStr">
        <is>
          <t>Santa Cruz</t>
        </is>
      </c>
    </row>
    <row r="3201" spans="1:1">
      <c r="A3201" t="inlineStr">
        <is>
          <t>Santo Tomas</t>
        </is>
      </c>
    </row>
    <row r="3202" spans="1:1">
      <c r="A3202" t="inlineStr">
        <is>
          <t>Subic Ibaba</t>
        </is>
      </c>
    </row>
    <row r="3203" spans="1:1">
      <c r="A3203" t="inlineStr">
        <is>
          <t>Subic Ilaya</t>
        </is>
      </c>
    </row>
    <row r="3204" spans="1:1">
      <c r="A3204" t="inlineStr">
        <is>
          <t>Balagbag</t>
        </is>
      </c>
    </row>
    <row r="3205" spans="1:1">
      <c r="A3205" t="inlineStr">
        <is>
          <t>Concepcion</t>
        </is>
      </c>
    </row>
    <row r="3206" spans="1:1">
      <c r="A3206" t="inlineStr">
        <is>
          <t>Concordia</t>
        </is>
      </c>
    </row>
    <row r="3207" spans="1:1">
      <c r="A3207" t="inlineStr">
        <is>
          <t>Dalipit East</t>
        </is>
      </c>
    </row>
    <row r="3208" spans="1:1">
      <c r="A3208" t="inlineStr">
        <is>
          <t>Dalipit West</t>
        </is>
      </c>
    </row>
    <row r="3209" spans="1:1">
      <c r="A3209" t="inlineStr">
        <is>
          <t>Dominador East</t>
        </is>
      </c>
    </row>
    <row r="3210" spans="1:1">
      <c r="A3210" t="inlineStr">
        <is>
          <t>Dominador West</t>
        </is>
      </c>
    </row>
    <row r="3211" spans="1:1">
      <c r="A3211" t="inlineStr">
        <is>
          <t>Munlawin Norte</t>
        </is>
      </c>
    </row>
    <row r="3212" spans="1:1">
      <c r="A3212" t="inlineStr">
        <is>
          <t>Munlawin Sur</t>
        </is>
      </c>
    </row>
    <row r="3213" spans="1:1">
      <c r="A3213" t="inlineStr">
        <is>
          <t>Muzon Primero</t>
        </is>
      </c>
    </row>
    <row r="3214" spans="1:1">
      <c r="A3214" t="inlineStr">
        <is>
          <t>Muzon Segundo</t>
        </is>
      </c>
    </row>
    <row r="3215" spans="1:1">
      <c r="A3215" t="inlineStr">
        <is>
          <t>Pinagkurusan</t>
        </is>
      </c>
    </row>
    <row r="3216" spans="1:1">
      <c r="A3216" t="inlineStr">
        <is>
          <t>Ping-As</t>
        </is>
      </c>
    </row>
    <row r="3217" spans="1:1">
      <c r="A3217" t="inlineStr">
        <is>
          <t>Poblacion East</t>
        </is>
      </c>
    </row>
    <row r="3218" spans="1:1">
      <c r="A3218" t="inlineStr">
        <is>
          <t>Poblacion West</t>
        </is>
      </c>
    </row>
    <row r="3219" spans="1:1">
      <c r="A3219" t="inlineStr">
        <is>
          <t>San Jose</t>
        </is>
      </c>
    </row>
    <row r="3220" spans="1:1">
      <c r="A3220" t="inlineStr">
        <is>
          <t>San Juan</t>
        </is>
      </c>
    </row>
    <row r="3221" spans="1:1">
      <c r="A3221" t="inlineStr">
        <is>
          <t>Santa Cruz</t>
        </is>
      </c>
    </row>
    <row r="3222" spans="1:1">
      <c r="A3222" t="inlineStr">
        <is>
          <t>Tadlac</t>
        </is>
      </c>
    </row>
    <row r="3223" spans="1:1">
      <c r="A3223" t="inlineStr">
        <is>
          <t>Baclaran</t>
        </is>
      </c>
    </row>
    <row r="3224" spans="1:1">
      <c r="A3224" t="inlineStr">
        <is>
          <t>Barangay 1</t>
        </is>
      </c>
    </row>
    <row r="3225" spans="1:1">
      <c r="A3225" t="inlineStr">
        <is>
          <t>Barangay 10</t>
        </is>
      </c>
    </row>
    <row r="3226" spans="1:1">
      <c r="A3226" t="inlineStr">
        <is>
          <t>Barangay 11</t>
        </is>
      </c>
    </row>
    <row r="3227" spans="1:1">
      <c r="A3227" t="inlineStr">
        <is>
          <t>Barangay 12</t>
        </is>
      </c>
    </row>
    <row r="3228" spans="1:1">
      <c r="A3228" t="inlineStr">
        <is>
          <t>Barangay 2</t>
        </is>
      </c>
    </row>
    <row r="3229" spans="1:1">
      <c r="A3229" t="inlineStr">
        <is>
          <t>Barangay 3</t>
        </is>
      </c>
    </row>
    <row r="3230" spans="1:1">
      <c r="A3230" t="inlineStr">
        <is>
          <t>Barangay 4</t>
        </is>
      </c>
    </row>
    <row r="3231" spans="1:1">
      <c r="A3231" t="inlineStr">
        <is>
          <t>Barangay 5</t>
        </is>
      </c>
    </row>
    <row r="3232" spans="1:1">
      <c r="A3232" t="inlineStr">
        <is>
          <t>Barangay 6</t>
        </is>
      </c>
    </row>
    <row r="3233" spans="1:1">
      <c r="A3233" t="inlineStr">
        <is>
          <t>Barangay 7</t>
        </is>
      </c>
    </row>
    <row r="3234" spans="1:1">
      <c r="A3234" t="inlineStr">
        <is>
          <t>Barangay 8</t>
        </is>
      </c>
    </row>
    <row r="3235" spans="1:1">
      <c r="A3235" t="inlineStr">
        <is>
          <t>Barangay 9</t>
        </is>
      </c>
    </row>
    <row r="3236" spans="1:1">
      <c r="A3236" t="inlineStr">
        <is>
          <t>Calan</t>
        </is>
      </c>
    </row>
    <row r="3237" spans="1:1">
      <c r="A3237" t="inlineStr">
        <is>
          <t>Caloocan</t>
        </is>
      </c>
    </row>
    <row r="3238" spans="1:1">
      <c r="A3238" t="inlineStr">
        <is>
          <t>Calzada</t>
        </is>
      </c>
    </row>
    <row r="3239" spans="1:1">
      <c r="A3239" t="inlineStr">
        <is>
          <t>Canda</t>
        </is>
      </c>
    </row>
    <row r="3240" spans="1:1">
      <c r="A3240" t="inlineStr">
        <is>
          <t>Carenahan</t>
        </is>
      </c>
    </row>
    <row r="3241" spans="1:1">
      <c r="A3241" t="inlineStr">
        <is>
          <t>Caybunga</t>
        </is>
      </c>
    </row>
    <row r="3242" spans="1:1">
      <c r="A3242" t="inlineStr">
        <is>
          <t>Cayponce</t>
        </is>
      </c>
    </row>
    <row r="3243" spans="1:1">
      <c r="A3243" t="inlineStr">
        <is>
          <t>Dalig</t>
        </is>
      </c>
    </row>
    <row r="3244" spans="1:1">
      <c r="A3244" t="inlineStr">
        <is>
          <t>Dao</t>
        </is>
      </c>
    </row>
    <row r="3245" spans="1:1">
      <c r="A3245" t="inlineStr">
        <is>
          <t>Dilao</t>
        </is>
      </c>
    </row>
    <row r="3246" spans="1:1">
      <c r="A3246" t="inlineStr">
        <is>
          <t>Duhatan</t>
        </is>
      </c>
    </row>
    <row r="3247" spans="1:1">
      <c r="A3247" t="inlineStr">
        <is>
          <t>Durungao</t>
        </is>
      </c>
    </row>
    <row r="3248" spans="1:1">
      <c r="A3248" t="inlineStr">
        <is>
          <t>Gimalas</t>
        </is>
      </c>
    </row>
    <row r="3249" spans="1:1">
      <c r="A3249" t="inlineStr">
        <is>
          <t>Gumamela</t>
        </is>
      </c>
    </row>
    <row r="3250" spans="1:1">
      <c r="A3250" t="inlineStr">
        <is>
          <t>Lagnas</t>
        </is>
      </c>
    </row>
    <row r="3251" spans="1:1">
      <c r="A3251" t="inlineStr">
        <is>
          <t>Lanatan</t>
        </is>
      </c>
    </row>
    <row r="3252" spans="1:1">
      <c r="A3252" t="inlineStr">
        <is>
          <t>Langgangan</t>
        </is>
      </c>
    </row>
    <row r="3253" spans="1:1">
      <c r="A3253" t="inlineStr">
        <is>
          <t>Lucban Pook</t>
        </is>
      </c>
    </row>
    <row r="3254" spans="1:1">
      <c r="A3254" t="inlineStr">
        <is>
          <t>Lucban Putol</t>
        </is>
      </c>
    </row>
    <row r="3255" spans="1:1">
      <c r="A3255" t="inlineStr">
        <is>
          <t>Magabe</t>
        </is>
      </c>
    </row>
    <row r="3256" spans="1:1">
      <c r="A3256" t="inlineStr">
        <is>
          <t>Malalay</t>
        </is>
      </c>
    </row>
    <row r="3257" spans="1:1">
      <c r="A3257" t="inlineStr">
        <is>
          <t>Munting Tubig</t>
        </is>
      </c>
    </row>
    <row r="3258" spans="1:1">
      <c r="A3258" t="inlineStr">
        <is>
          <t>Navotas</t>
        </is>
      </c>
    </row>
    <row r="3259" spans="1:1">
      <c r="A3259" t="inlineStr">
        <is>
          <t>Palikpikan</t>
        </is>
      </c>
    </row>
    <row r="3260" spans="1:1">
      <c r="A3260" t="inlineStr">
        <is>
          <t>Patugo</t>
        </is>
      </c>
    </row>
    <row r="3261" spans="1:1">
      <c r="A3261" t="inlineStr">
        <is>
          <t>Pooc</t>
        </is>
      </c>
    </row>
    <row r="3262" spans="1:1">
      <c r="A3262" t="inlineStr">
        <is>
          <t>Sambat</t>
        </is>
      </c>
    </row>
    <row r="3263" spans="1:1">
      <c r="A3263" t="inlineStr">
        <is>
          <t>Sampaga</t>
        </is>
      </c>
    </row>
    <row r="3264" spans="1:1">
      <c r="A3264" t="inlineStr">
        <is>
          <t>San Juan</t>
        </is>
      </c>
    </row>
    <row r="3265" spans="1:1">
      <c r="A3265" t="inlineStr">
        <is>
          <t>San Piro</t>
        </is>
      </c>
    </row>
    <row r="3266" spans="1:1">
      <c r="A3266" t="inlineStr">
        <is>
          <t>Santol</t>
        </is>
      </c>
    </row>
    <row r="3267" spans="1:1">
      <c r="A3267" t="inlineStr">
        <is>
          <t>Sukol</t>
        </is>
      </c>
    </row>
    <row r="3268" spans="1:1">
      <c r="A3268" t="inlineStr">
        <is>
          <t>Tactac</t>
        </is>
      </c>
    </row>
    <row r="3269" spans="1:1">
      <c r="A3269" t="inlineStr">
        <is>
          <t>Taludtud</t>
        </is>
      </c>
    </row>
    <row r="3270" spans="1:1">
      <c r="A3270" t="inlineStr">
        <is>
          <t>Tanggoy</t>
        </is>
      </c>
    </row>
    <row r="3271" spans="1:1">
      <c r="A3271" t="inlineStr">
        <is>
          <t>Alangilan</t>
        </is>
      </c>
    </row>
    <row r="3272" spans="1:1">
      <c r="A3272" t="inlineStr">
        <is>
          <t>Calawit</t>
        </is>
      </c>
    </row>
    <row r="3273" spans="1:1">
      <c r="A3273" t="inlineStr">
        <is>
          <t>Looc</t>
        </is>
      </c>
    </row>
    <row r="3274" spans="1:1">
      <c r="A3274" t="inlineStr">
        <is>
          <t>Magapi</t>
        </is>
      </c>
    </row>
    <row r="3275" spans="1:1">
      <c r="A3275" t="inlineStr">
        <is>
          <t>Makina</t>
        </is>
      </c>
    </row>
    <row r="3276" spans="1:1">
      <c r="A3276" t="inlineStr">
        <is>
          <t>Malabanan</t>
        </is>
      </c>
    </row>
    <row r="3277" spans="1:1">
      <c r="A3277" t="inlineStr">
        <is>
          <t>Paligawan</t>
        </is>
      </c>
    </row>
    <row r="3278" spans="1:1">
      <c r="A3278" t="inlineStr">
        <is>
          <t>Palsara</t>
        </is>
      </c>
    </row>
    <row r="3279" spans="1:1">
      <c r="A3279" t="inlineStr">
        <is>
          <t>Poblacion</t>
        </is>
      </c>
    </row>
    <row r="3280" spans="1:1">
      <c r="A3280" t="inlineStr">
        <is>
          <t>Sala</t>
        </is>
      </c>
    </row>
    <row r="3281" spans="1:1">
      <c r="A3281" t="inlineStr">
        <is>
          <t>Sampalocan</t>
        </is>
      </c>
    </row>
    <row r="3282" spans="1:1">
      <c r="A3282" t="inlineStr">
        <is>
          <t>San Sebastian</t>
        </is>
      </c>
    </row>
    <row r="3283" spans="1:1">
      <c r="A3283" t="inlineStr">
        <is>
          <t>Solis</t>
        </is>
      </c>
    </row>
    <row r="3284" spans="1:1">
      <c r="A3284" t="inlineStr">
        <is>
          <t>Alangilan</t>
        </is>
      </c>
    </row>
    <row r="3285" spans="1:1">
      <c r="A3285" t="inlineStr">
        <is>
          <t>Balagtas</t>
        </is>
      </c>
    </row>
    <row r="3286" spans="1:1">
      <c r="A3286" t="inlineStr">
        <is>
          <t>Balete</t>
        </is>
      </c>
    </row>
    <row r="3287" spans="1:1">
      <c r="A3287" t="inlineStr">
        <is>
          <t>Banaba Center</t>
        </is>
      </c>
    </row>
    <row r="3288" spans="1:1">
      <c r="A3288" t="inlineStr">
        <is>
          <t>Banaba Ibaba</t>
        </is>
      </c>
    </row>
    <row r="3289" spans="1:1">
      <c r="A3289" t="inlineStr">
        <is>
          <t>Banaba Kanluran</t>
        </is>
      </c>
    </row>
    <row r="3290" spans="1:1">
      <c r="A3290" t="inlineStr">
        <is>
          <t>Banaba Silangan</t>
        </is>
      </c>
    </row>
    <row r="3291" spans="1:1">
      <c r="A3291" t="inlineStr">
        <is>
          <t>Barangay 1</t>
        </is>
      </c>
    </row>
    <row r="3292" spans="1:1">
      <c r="A3292" t="inlineStr">
        <is>
          <t>Barangay 10</t>
        </is>
      </c>
    </row>
    <row r="3293" spans="1:1">
      <c r="A3293" t="inlineStr">
        <is>
          <t>Barangay 11</t>
        </is>
      </c>
    </row>
    <row r="3294" spans="1:1">
      <c r="A3294" t="inlineStr">
        <is>
          <t>Barangay 12</t>
        </is>
      </c>
    </row>
    <row r="3295" spans="1:1">
      <c r="A3295" t="inlineStr">
        <is>
          <t>Barangay 13</t>
        </is>
      </c>
    </row>
    <row r="3296" spans="1:1">
      <c r="A3296" t="inlineStr">
        <is>
          <t>Barangay 14</t>
        </is>
      </c>
    </row>
    <row r="3297" spans="1:1">
      <c r="A3297" t="inlineStr">
        <is>
          <t>Barangay 15</t>
        </is>
      </c>
    </row>
    <row r="3298" spans="1:1">
      <c r="A3298" t="inlineStr">
        <is>
          <t>Barangay 16</t>
        </is>
      </c>
    </row>
    <row r="3299" spans="1:1">
      <c r="A3299" t="inlineStr">
        <is>
          <t>Barangay 17</t>
        </is>
      </c>
    </row>
    <row r="3300" spans="1:1">
      <c r="A3300" t="inlineStr">
        <is>
          <t>Barangay 18</t>
        </is>
      </c>
    </row>
    <row r="3301" spans="1:1">
      <c r="A3301" t="inlineStr">
        <is>
          <t>Barangay 19</t>
        </is>
      </c>
    </row>
    <row r="3302" spans="1:1">
      <c r="A3302" t="inlineStr">
        <is>
          <t>Barangay 2</t>
        </is>
      </c>
    </row>
    <row r="3303" spans="1:1">
      <c r="A3303" t="inlineStr">
        <is>
          <t>Barangay 20</t>
        </is>
      </c>
    </row>
    <row r="3304" spans="1:1">
      <c r="A3304" t="inlineStr">
        <is>
          <t>Barangay 21</t>
        </is>
      </c>
    </row>
    <row r="3305" spans="1:1">
      <c r="A3305" t="inlineStr">
        <is>
          <t>Barangay 22</t>
        </is>
      </c>
    </row>
    <row r="3306" spans="1:1">
      <c r="A3306" t="inlineStr">
        <is>
          <t>Barangay 23</t>
        </is>
      </c>
    </row>
    <row r="3307" spans="1:1">
      <c r="A3307" t="inlineStr">
        <is>
          <t>Barangay 24</t>
        </is>
      </c>
    </row>
    <row r="3308" spans="1:1">
      <c r="A3308" t="inlineStr">
        <is>
          <t>Barangay 3</t>
        </is>
      </c>
    </row>
    <row r="3309" spans="1:1">
      <c r="A3309" t="inlineStr">
        <is>
          <t>Barangay 4</t>
        </is>
      </c>
    </row>
    <row r="3310" spans="1:1">
      <c r="A3310" t="inlineStr">
        <is>
          <t>Barangay 5</t>
        </is>
      </c>
    </row>
    <row r="3311" spans="1:1">
      <c r="A3311" t="inlineStr">
        <is>
          <t>Barangay 6</t>
        </is>
      </c>
    </row>
    <row r="3312" spans="1:1">
      <c r="A3312" t="inlineStr">
        <is>
          <t>Barangay 7</t>
        </is>
      </c>
    </row>
    <row r="3313" spans="1:1">
      <c r="A3313" t="inlineStr">
        <is>
          <t>Barangay 8</t>
        </is>
      </c>
    </row>
    <row r="3314" spans="1:1">
      <c r="A3314" t="inlineStr">
        <is>
          <t>Barangay 9</t>
        </is>
      </c>
    </row>
    <row r="3315" spans="1:1">
      <c r="A3315" t="inlineStr">
        <is>
          <t>Bilogo</t>
        </is>
      </c>
    </row>
    <row r="3316" spans="1:1">
      <c r="A3316" t="inlineStr">
        <is>
          <t>Bolbok</t>
        </is>
      </c>
    </row>
    <row r="3317" spans="1:1">
      <c r="A3317" t="inlineStr">
        <is>
          <t>Bukal</t>
        </is>
      </c>
    </row>
    <row r="3318" spans="1:1">
      <c r="A3318" t="inlineStr">
        <is>
          <t>Calicanto</t>
        </is>
      </c>
    </row>
    <row r="3319" spans="1:1">
      <c r="A3319" t="inlineStr">
        <is>
          <t>Catandala</t>
        </is>
      </c>
    </row>
    <row r="3320" spans="1:1">
      <c r="A3320" t="inlineStr">
        <is>
          <t>Concepcion</t>
        </is>
      </c>
    </row>
    <row r="3321" spans="1:1">
      <c r="A3321" t="inlineStr">
        <is>
          <t>Conde Itaas</t>
        </is>
      </c>
    </row>
    <row r="3322" spans="1:1">
      <c r="A3322" t="inlineStr">
        <is>
          <t>Conde Labak</t>
        </is>
      </c>
    </row>
    <row r="3323" spans="1:1">
      <c r="A3323" t="inlineStr">
        <is>
          <t>Cuta</t>
        </is>
      </c>
    </row>
    <row r="3324" spans="1:1">
      <c r="A3324" t="inlineStr">
        <is>
          <t>Dalig</t>
        </is>
      </c>
    </row>
    <row r="3325" spans="1:1">
      <c r="A3325" t="inlineStr">
        <is>
          <t>Dela Paz</t>
        </is>
      </c>
    </row>
    <row r="3326" spans="1:1">
      <c r="A3326" t="inlineStr">
        <is>
          <t>Dela Paz Pulot Aplaya</t>
        </is>
      </c>
    </row>
    <row r="3327" spans="1:1">
      <c r="A3327" t="inlineStr">
        <is>
          <t>Dela Paz Pulot Itaas</t>
        </is>
      </c>
    </row>
    <row r="3328" spans="1:1">
      <c r="A3328" t="inlineStr">
        <is>
          <t>Domoclay</t>
        </is>
      </c>
    </row>
    <row r="3329" spans="1:1">
      <c r="A3329" t="inlineStr">
        <is>
          <t>Dumantay</t>
        </is>
      </c>
    </row>
    <row r="3330" spans="1:1">
      <c r="A3330" t="inlineStr">
        <is>
          <t>Gulod Itaas</t>
        </is>
      </c>
    </row>
    <row r="3331" spans="1:1">
      <c r="A3331" t="inlineStr">
        <is>
          <t>Gulod Labak</t>
        </is>
      </c>
    </row>
    <row r="3332" spans="1:1">
      <c r="A3332" t="inlineStr">
        <is>
          <t>Haligue Kanluran</t>
        </is>
      </c>
    </row>
    <row r="3333" spans="1:1">
      <c r="A3333" t="inlineStr">
        <is>
          <t>Haligue Silangan</t>
        </is>
      </c>
    </row>
    <row r="3334" spans="1:1">
      <c r="A3334" t="inlineStr">
        <is>
          <t>Ilihan</t>
        </is>
      </c>
    </row>
    <row r="3335" spans="1:1">
      <c r="A3335" t="inlineStr">
        <is>
          <t>Kumba</t>
        </is>
      </c>
    </row>
    <row r="3336" spans="1:1">
      <c r="A3336" t="inlineStr">
        <is>
          <t>Kumintang Ibaba</t>
        </is>
      </c>
    </row>
    <row r="3337" spans="1:1">
      <c r="A3337" t="inlineStr">
        <is>
          <t>Kumintang Ilaya</t>
        </is>
      </c>
    </row>
    <row r="3338" spans="1:1">
      <c r="A3338" t="inlineStr">
        <is>
          <t>Libjo</t>
        </is>
      </c>
    </row>
    <row r="3339" spans="1:1">
      <c r="A3339" t="inlineStr">
        <is>
          <t>Liponpon, Isla Verde</t>
        </is>
      </c>
    </row>
    <row r="3340" spans="1:1">
      <c r="A3340" t="inlineStr">
        <is>
          <t>Maapas</t>
        </is>
      </c>
    </row>
    <row r="3341" spans="1:1">
      <c r="A3341" t="inlineStr">
        <is>
          <t>Mabacong</t>
        </is>
      </c>
    </row>
    <row r="3342" spans="1:1">
      <c r="A3342" t="inlineStr">
        <is>
          <t>Mahabang Dahilig</t>
        </is>
      </c>
    </row>
    <row r="3343" spans="1:1">
      <c r="A3343" t="inlineStr">
        <is>
          <t>Mahabang Parang</t>
        </is>
      </c>
    </row>
    <row r="3344" spans="1:1">
      <c r="A3344" t="inlineStr">
        <is>
          <t>Mahacot Kanluran</t>
        </is>
      </c>
    </row>
    <row r="3345" spans="1:1">
      <c r="A3345" t="inlineStr">
        <is>
          <t>Mahacot Silangan</t>
        </is>
      </c>
    </row>
    <row r="3346" spans="1:1">
      <c r="A3346" t="inlineStr">
        <is>
          <t>Malalim</t>
        </is>
      </c>
    </row>
    <row r="3347" spans="1:1">
      <c r="A3347" t="inlineStr">
        <is>
          <t>Malibayo</t>
        </is>
      </c>
    </row>
    <row r="3348" spans="1:1">
      <c r="A3348" t="inlineStr">
        <is>
          <t>Malitam</t>
        </is>
      </c>
    </row>
    <row r="3349" spans="1:1">
      <c r="A3349" t="inlineStr">
        <is>
          <t>Maruclap</t>
        </is>
      </c>
    </row>
    <row r="3350" spans="1:1">
      <c r="A3350" t="inlineStr">
        <is>
          <t>Pagkilatan</t>
        </is>
      </c>
    </row>
    <row r="3351" spans="1:1">
      <c r="A3351" t="inlineStr">
        <is>
          <t>Paharang Kanluran</t>
        </is>
      </c>
    </row>
    <row r="3352" spans="1:1">
      <c r="A3352" t="inlineStr">
        <is>
          <t>Paharang Silangan</t>
        </is>
      </c>
    </row>
    <row r="3353" spans="1:1">
      <c r="A3353" t="inlineStr">
        <is>
          <t>Pallocan Kanluran</t>
        </is>
      </c>
    </row>
    <row r="3354" spans="1:1">
      <c r="A3354" t="inlineStr">
        <is>
          <t>Pallocan Silangan</t>
        </is>
      </c>
    </row>
    <row r="3355" spans="1:1">
      <c r="A3355" t="inlineStr">
        <is>
          <t>Pinamucan</t>
        </is>
      </c>
    </row>
    <row r="3356" spans="1:1">
      <c r="A3356" t="inlineStr">
        <is>
          <t>Pinamucan Ibaba</t>
        </is>
      </c>
    </row>
    <row r="3357" spans="1:1">
      <c r="A3357" t="inlineStr">
        <is>
          <t>Pinamucan Silangan</t>
        </is>
      </c>
    </row>
    <row r="3358" spans="1:1">
      <c r="A3358" t="inlineStr">
        <is>
          <t>Sampaga</t>
        </is>
      </c>
    </row>
    <row r="3359" spans="1:1">
      <c r="A3359" t="inlineStr">
        <is>
          <t>San Agapito, Isla Verde</t>
        </is>
      </c>
    </row>
    <row r="3360" spans="1:1">
      <c r="A3360" t="inlineStr">
        <is>
          <t>San Agustin Kanluran, Isla Verde</t>
        </is>
      </c>
    </row>
    <row r="3361" spans="1:1">
      <c r="A3361" t="inlineStr">
        <is>
          <t>San Agustin Silangan, Isla Verde</t>
        </is>
      </c>
    </row>
    <row r="3362" spans="1:1">
      <c r="A3362" t="inlineStr">
        <is>
          <t>San Andres, Isla Verde</t>
        </is>
      </c>
    </row>
    <row r="3363" spans="1:1">
      <c r="A3363" t="inlineStr">
        <is>
          <t>San Antonio, Isla Verde</t>
        </is>
      </c>
    </row>
    <row r="3364" spans="1:1">
      <c r="A3364" t="inlineStr">
        <is>
          <t>San Isidro</t>
        </is>
      </c>
    </row>
    <row r="3365" spans="1:1">
      <c r="A3365" t="inlineStr">
        <is>
          <t>San Jose Sico</t>
        </is>
      </c>
    </row>
    <row r="3366" spans="1:1">
      <c r="A3366" t="inlineStr">
        <is>
          <t>San Miguel</t>
        </is>
      </c>
    </row>
    <row r="3367" spans="1:1">
      <c r="A3367" t="inlineStr">
        <is>
          <t>San Pedro</t>
        </is>
      </c>
    </row>
    <row r="3368" spans="1:1">
      <c r="A3368" t="inlineStr">
        <is>
          <t>Santa Clara</t>
        </is>
      </c>
    </row>
    <row r="3369" spans="1:1">
      <c r="A3369" t="inlineStr">
        <is>
          <t>Santa Rita Aplaya</t>
        </is>
      </c>
    </row>
    <row r="3370" spans="1:1">
      <c r="A3370" t="inlineStr">
        <is>
          <t>Santa Rita Karsada</t>
        </is>
      </c>
    </row>
    <row r="3371" spans="1:1">
      <c r="A3371" t="inlineStr">
        <is>
          <t>Santo Domingo</t>
        </is>
      </c>
    </row>
    <row r="3372" spans="1:1">
      <c r="A3372" t="inlineStr">
        <is>
          <t>Santo Niño</t>
        </is>
      </c>
    </row>
    <row r="3373" spans="1:1">
      <c r="A3373" t="inlineStr">
        <is>
          <t>Simlong</t>
        </is>
      </c>
    </row>
    <row r="3374" spans="1:1">
      <c r="A3374" t="inlineStr">
        <is>
          <t>Sirang Lupa</t>
        </is>
      </c>
    </row>
    <row r="3375" spans="1:1">
      <c r="A3375" t="inlineStr">
        <is>
          <t>Sorosoro Ibaba</t>
        </is>
      </c>
    </row>
    <row r="3376" spans="1:1">
      <c r="A3376" t="inlineStr">
        <is>
          <t>Sorosoro Ilaya</t>
        </is>
      </c>
    </row>
    <row r="3377" spans="1:1">
      <c r="A3377" t="inlineStr">
        <is>
          <t>Sorosoro Karsada</t>
        </is>
      </c>
    </row>
    <row r="3378" spans="1:1">
      <c r="A3378" t="inlineStr">
        <is>
          <t>Tabangao Ambulong</t>
        </is>
      </c>
    </row>
    <row r="3379" spans="1:1">
      <c r="A3379" t="inlineStr">
        <is>
          <t>Tabangao Aplaya</t>
        </is>
      </c>
    </row>
    <row r="3380" spans="1:1">
      <c r="A3380" t="inlineStr">
        <is>
          <t>Tabangao Dao</t>
        </is>
      </c>
    </row>
    <row r="3381" spans="1:1">
      <c r="A3381" t="inlineStr">
        <is>
          <t>Talahib Pandayan</t>
        </is>
      </c>
    </row>
    <row r="3382" spans="1:1">
      <c r="A3382" t="inlineStr">
        <is>
          <t>Talahib Payapa</t>
        </is>
      </c>
    </row>
    <row r="3383" spans="1:1">
      <c r="A3383" t="inlineStr">
        <is>
          <t>Talumpok Kanluran</t>
        </is>
      </c>
    </row>
    <row r="3384" spans="1:1">
      <c r="A3384" t="inlineStr">
        <is>
          <t>Talumpok Silangan</t>
        </is>
      </c>
    </row>
    <row r="3385" spans="1:1">
      <c r="A3385" t="inlineStr">
        <is>
          <t>Tinga Itaas</t>
        </is>
      </c>
    </row>
    <row r="3386" spans="1:1">
      <c r="A3386" t="inlineStr">
        <is>
          <t>Tinga Labak</t>
        </is>
      </c>
    </row>
    <row r="3387" spans="1:1">
      <c r="A3387" t="inlineStr">
        <is>
          <t>Tulo</t>
        </is>
      </c>
    </row>
    <row r="3388" spans="1:1">
      <c r="A3388" t="inlineStr">
        <is>
          <t>Wawa</t>
        </is>
      </c>
    </row>
    <row r="3389" spans="1:1">
      <c r="A3389" t="inlineStr">
        <is>
          <t>Alagao</t>
        </is>
      </c>
    </row>
    <row r="3390" spans="1:1">
      <c r="A3390" t="inlineStr">
        <is>
          <t>Aplaya</t>
        </is>
      </c>
    </row>
    <row r="3391" spans="1:1">
      <c r="A3391" t="inlineStr">
        <is>
          <t>As-Is</t>
        </is>
      </c>
    </row>
    <row r="3392" spans="1:1">
      <c r="A3392" t="inlineStr">
        <is>
          <t>Bagong Silang</t>
        </is>
      </c>
    </row>
    <row r="3393" spans="1:1">
      <c r="A3393" t="inlineStr">
        <is>
          <t>Baguilawa</t>
        </is>
      </c>
    </row>
    <row r="3394" spans="1:1">
      <c r="A3394" t="inlineStr">
        <is>
          <t>Balayong</t>
        </is>
      </c>
    </row>
    <row r="3395" spans="1:1">
      <c r="A3395" t="inlineStr">
        <is>
          <t>Barangay I</t>
        </is>
      </c>
    </row>
    <row r="3396" spans="1:1">
      <c r="A3396" t="inlineStr">
        <is>
          <t>Barangay II</t>
        </is>
      </c>
    </row>
    <row r="3397" spans="1:1">
      <c r="A3397" t="inlineStr">
        <is>
          <t>Barangay III</t>
        </is>
      </c>
    </row>
    <row r="3398" spans="1:1">
      <c r="A3398" t="inlineStr">
        <is>
          <t>Barangay IV</t>
        </is>
      </c>
    </row>
    <row r="3399" spans="1:1">
      <c r="A3399" t="inlineStr">
        <is>
          <t>Bolo</t>
        </is>
      </c>
    </row>
    <row r="3400" spans="1:1">
      <c r="A3400" t="inlineStr">
        <is>
          <t>Colvo</t>
        </is>
      </c>
    </row>
    <row r="3401" spans="1:1">
      <c r="A3401" t="inlineStr">
        <is>
          <t>Cupang</t>
        </is>
      </c>
    </row>
    <row r="3402" spans="1:1">
      <c r="A3402" t="inlineStr">
        <is>
          <t>Durungao</t>
        </is>
      </c>
    </row>
    <row r="3403" spans="1:1">
      <c r="A3403" t="inlineStr">
        <is>
          <t>Gulibay</t>
        </is>
      </c>
    </row>
    <row r="3404" spans="1:1">
      <c r="A3404" t="inlineStr">
        <is>
          <t>Inicbulan</t>
        </is>
      </c>
    </row>
    <row r="3405" spans="1:1">
      <c r="A3405" t="inlineStr">
        <is>
          <t>Locloc</t>
        </is>
      </c>
    </row>
    <row r="3406" spans="1:1">
      <c r="A3406" t="inlineStr">
        <is>
          <t>Magalang-Galang</t>
        </is>
      </c>
    </row>
    <row r="3407" spans="1:1">
      <c r="A3407" t="inlineStr">
        <is>
          <t>Malindig</t>
        </is>
      </c>
    </row>
    <row r="3408" spans="1:1">
      <c r="A3408" t="inlineStr">
        <is>
          <t>Manalupong</t>
        </is>
      </c>
    </row>
    <row r="3409" spans="1:1">
      <c r="A3409" t="inlineStr">
        <is>
          <t>Manghinao Proper</t>
        </is>
      </c>
    </row>
    <row r="3410" spans="1:1">
      <c r="A3410" t="inlineStr">
        <is>
          <t>Manghinao Uno</t>
        </is>
      </c>
    </row>
    <row r="3411" spans="1:1">
      <c r="A3411" t="inlineStr">
        <is>
          <t>New Danglayan</t>
        </is>
      </c>
    </row>
    <row r="3412" spans="1:1">
      <c r="A3412" t="inlineStr">
        <is>
          <t>Orense</t>
        </is>
      </c>
    </row>
    <row r="3413" spans="1:1">
      <c r="A3413" t="inlineStr">
        <is>
          <t>Pitugo</t>
        </is>
      </c>
    </row>
    <row r="3414" spans="1:1">
      <c r="A3414" t="inlineStr">
        <is>
          <t>Rizal</t>
        </is>
      </c>
    </row>
    <row r="3415" spans="1:1">
      <c r="A3415" t="inlineStr">
        <is>
          <t>Sampaguita</t>
        </is>
      </c>
    </row>
    <row r="3416" spans="1:1">
      <c r="A3416" t="inlineStr">
        <is>
          <t>San Agustin</t>
        </is>
      </c>
    </row>
    <row r="3417" spans="1:1">
      <c r="A3417" t="inlineStr">
        <is>
          <t>San Andres Proper</t>
        </is>
      </c>
    </row>
    <row r="3418" spans="1:1">
      <c r="A3418" t="inlineStr">
        <is>
          <t>San Andres Uno</t>
        </is>
      </c>
    </row>
    <row r="3419" spans="1:1">
      <c r="A3419" t="inlineStr">
        <is>
          <t>San Diego</t>
        </is>
      </c>
    </row>
    <row r="3420" spans="1:1">
      <c r="A3420" t="inlineStr">
        <is>
          <t>San Miguel</t>
        </is>
      </c>
    </row>
    <row r="3421" spans="1:1">
      <c r="A3421" t="inlineStr">
        <is>
          <t>San Pablo</t>
        </is>
      </c>
    </row>
    <row r="3422" spans="1:1">
      <c r="A3422" t="inlineStr">
        <is>
          <t>San Pedro</t>
        </is>
      </c>
    </row>
    <row r="3423" spans="1:1">
      <c r="A3423" t="inlineStr">
        <is>
          <t>San Roque</t>
        </is>
      </c>
    </row>
    <row r="3424" spans="1:1">
      <c r="A3424" t="inlineStr">
        <is>
          <t>San Teodoro</t>
        </is>
      </c>
    </row>
    <row r="3425" spans="1:1">
      <c r="A3425" t="inlineStr">
        <is>
          <t>San Vicente</t>
        </is>
      </c>
    </row>
    <row r="3426" spans="1:1">
      <c r="A3426" t="inlineStr">
        <is>
          <t>Santa Maria</t>
        </is>
      </c>
    </row>
    <row r="3427" spans="1:1">
      <c r="A3427" t="inlineStr">
        <is>
          <t>Santo Domingo</t>
        </is>
      </c>
    </row>
    <row r="3428" spans="1:1">
      <c r="A3428" t="inlineStr">
        <is>
          <t>Sinala</t>
        </is>
      </c>
    </row>
    <row r="3429" spans="1:1">
      <c r="A3429" t="inlineStr">
        <is>
          <t>Bagong Silang</t>
        </is>
      </c>
    </row>
    <row r="3430" spans="1:1">
      <c r="A3430" t="inlineStr">
        <is>
          <t>Baha</t>
        </is>
      </c>
    </row>
    <row r="3431" spans="1:1">
      <c r="A3431" t="inlineStr">
        <is>
          <t>Balibago</t>
        </is>
      </c>
    </row>
    <row r="3432" spans="1:1">
      <c r="A3432" t="inlineStr">
        <is>
          <t>Balitoc</t>
        </is>
      </c>
    </row>
    <row r="3433" spans="1:1">
      <c r="A3433" t="inlineStr">
        <is>
          <t>Barangay 1</t>
        </is>
      </c>
    </row>
    <row r="3434" spans="1:1">
      <c r="A3434" t="inlineStr">
        <is>
          <t>Barangay 2</t>
        </is>
      </c>
    </row>
    <row r="3435" spans="1:1">
      <c r="A3435" t="inlineStr">
        <is>
          <t>Barangay 3</t>
        </is>
      </c>
    </row>
    <row r="3436" spans="1:1">
      <c r="A3436" t="inlineStr">
        <is>
          <t>Barangay 4</t>
        </is>
      </c>
    </row>
    <row r="3437" spans="1:1">
      <c r="A3437" t="inlineStr">
        <is>
          <t>Biga</t>
        </is>
      </c>
    </row>
    <row r="3438" spans="1:1">
      <c r="A3438" t="inlineStr">
        <is>
          <t>Bucal</t>
        </is>
      </c>
    </row>
    <row r="3439" spans="1:1">
      <c r="A3439" t="inlineStr">
        <is>
          <t>Carlosa</t>
        </is>
      </c>
    </row>
    <row r="3440" spans="1:1">
      <c r="A3440" t="inlineStr">
        <is>
          <t>Carretunan</t>
        </is>
      </c>
    </row>
    <row r="3441" spans="1:1">
      <c r="A3441" t="inlineStr">
        <is>
          <t>Encarnacion</t>
        </is>
      </c>
    </row>
    <row r="3442" spans="1:1">
      <c r="A3442" t="inlineStr">
        <is>
          <t>Gulod</t>
        </is>
      </c>
    </row>
    <row r="3443" spans="1:1">
      <c r="A3443" t="inlineStr">
        <is>
          <t>Hukay</t>
        </is>
      </c>
    </row>
    <row r="3444" spans="1:1">
      <c r="A3444" t="inlineStr">
        <is>
          <t>Lucsuhin</t>
        </is>
      </c>
    </row>
    <row r="3445" spans="1:1">
      <c r="A3445" t="inlineStr">
        <is>
          <t>Luya</t>
        </is>
      </c>
    </row>
    <row r="3446" spans="1:1">
      <c r="A3446" t="inlineStr">
        <is>
          <t>Paraiso</t>
        </is>
      </c>
    </row>
    <row r="3447" spans="1:1">
      <c r="A3447" t="inlineStr">
        <is>
          <t>Quilitisan</t>
        </is>
      </c>
    </row>
    <row r="3448" spans="1:1">
      <c r="A3448" t="inlineStr">
        <is>
          <t>Real</t>
        </is>
      </c>
    </row>
    <row r="3449" spans="1:1">
      <c r="A3449" t="inlineStr">
        <is>
          <t>Sambungan</t>
        </is>
      </c>
    </row>
    <row r="3450" spans="1:1">
      <c r="A3450" t="inlineStr">
        <is>
          <t>Santa Ana</t>
        </is>
      </c>
    </row>
    <row r="3451" spans="1:1">
      <c r="A3451" t="inlineStr">
        <is>
          <t>Talibayog</t>
        </is>
      </c>
    </row>
    <row r="3452" spans="1:1">
      <c r="A3452" t="inlineStr">
        <is>
          <t>Talisay</t>
        </is>
      </c>
    </row>
    <row r="3453" spans="1:1">
      <c r="A3453" t="inlineStr">
        <is>
          <t>Tanagan</t>
        </is>
      </c>
    </row>
    <row r="3454" spans="1:1">
      <c r="A3454" t="inlineStr">
        <is>
          <t>Baclas</t>
        </is>
      </c>
    </row>
    <row r="3455" spans="1:1">
      <c r="A3455" t="inlineStr">
        <is>
          <t>Bagong Tubig</t>
        </is>
      </c>
    </row>
    <row r="3456" spans="1:1">
      <c r="A3456" t="inlineStr">
        <is>
          <t>Balimbing</t>
        </is>
      </c>
    </row>
    <row r="3457" spans="1:1">
      <c r="A3457" t="inlineStr">
        <is>
          <t>Bambang</t>
        </is>
      </c>
    </row>
    <row r="3458" spans="1:1">
      <c r="A3458" t="inlineStr">
        <is>
          <t>Barangay 1</t>
        </is>
      </c>
    </row>
    <row r="3459" spans="1:1">
      <c r="A3459" t="inlineStr">
        <is>
          <t>Barangay 2</t>
        </is>
      </c>
    </row>
    <row r="3460" spans="1:1">
      <c r="A3460" t="inlineStr">
        <is>
          <t>Barangay 3</t>
        </is>
      </c>
    </row>
    <row r="3461" spans="1:1">
      <c r="A3461" t="inlineStr">
        <is>
          <t>Barangay 4</t>
        </is>
      </c>
    </row>
    <row r="3462" spans="1:1">
      <c r="A3462" t="inlineStr">
        <is>
          <t>Barangay 5</t>
        </is>
      </c>
    </row>
    <row r="3463" spans="1:1">
      <c r="A3463" t="inlineStr">
        <is>
          <t>Barangay 6</t>
        </is>
      </c>
    </row>
    <row r="3464" spans="1:1">
      <c r="A3464" t="inlineStr">
        <is>
          <t>Bisaya</t>
        </is>
      </c>
    </row>
    <row r="3465" spans="1:1">
      <c r="A3465" t="inlineStr">
        <is>
          <t>Cahil</t>
        </is>
      </c>
    </row>
    <row r="3466" spans="1:1">
      <c r="A3466" t="inlineStr">
        <is>
          <t>Calantas</t>
        </is>
      </c>
    </row>
    <row r="3467" spans="1:1">
      <c r="A3467" t="inlineStr">
        <is>
          <t>Caluangan</t>
        </is>
      </c>
    </row>
    <row r="3468" spans="1:1">
      <c r="A3468" t="inlineStr">
        <is>
          <t>Camastilisan</t>
        </is>
      </c>
    </row>
    <row r="3469" spans="1:1">
      <c r="A3469" t="inlineStr">
        <is>
          <t>Coral Ni Bacal</t>
        </is>
      </c>
    </row>
    <row r="3470" spans="1:1">
      <c r="A3470" t="inlineStr">
        <is>
          <t>Coral Ni Lopez</t>
        </is>
      </c>
    </row>
    <row r="3471" spans="1:1">
      <c r="A3471" t="inlineStr">
        <is>
          <t>Dacanlao</t>
        </is>
      </c>
    </row>
    <row r="3472" spans="1:1">
      <c r="A3472" t="inlineStr">
        <is>
          <t>Dila</t>
        </is>
      </c>
    </row>
    <row r="3473" spans="1:1">
      <c r="A3473" t="inlineStr">
        <is>
          <t>Loma</t>
        </is>
      </c>
    </row>
    <row r="3474" spans="1:1">
      <c r="A3474" t="inlineStr">
        <is>
          <t>Lumbang Calzada</t>
        </is>
      </c>
    </row>
    <row r="3475" spans="1:1">
      <c r="A3475" t="inlineStr">
        <is>
          <t>Lumbang Na Bata</t>
        </is>
      </c>
    </row>
    <row r="3476" spans="1:1">
      <c r="A3476" t="inlineStr">
        <is>
          <t>Lumbang Na Matanda</t>
        </is>
      </c>
    </row>
    <row r="3477" spans="1:1">
      <c r="A3477" t="inlineStr">
        <is>
          <t>Madalunot</t>
        </is>
      </c>
    </row>
    <row r="3478" spans="1:1">
      <c r="A3478" t="inlineStr">
        <is>
          <t>Makina</t>
        </is>
      </c>
    </row>
    <row r="3479" spans="1:1">
      <c r="A3479" t="inlineStr">
        <is>
          <t>Matipok</t>
        </is>
      </c>
    </row>
    <row r="3480" spans="1:1">
      <c r="A3480" t="inlineStr">
        <is>
          <t>Munting Coral</t>
        </is>
      </c>
    </row>
    <row r="3481" spans="1:1">
      <c r="A3481" t="inlineStr">
        <is>
          <t>Niyugan</t>
        </is>
      </c>
    </row>
    <row r="3482" spans="1:1">
      <c r="A3482" t="inlineStr">
        <is>
          <t>Pantay</t>
        </is>
      </c>
    </row>
    <row r="3483" spans="1:1">
      <c r="A3483" t="inlineStr">
        <is>
          <t>Puting Bato East</t>
        </is>
      </c>
    </row>
    <row r="3484" spans="1:1">
      <c r="A3484" t="inlineStr">
        <is>
          <t>Puting Bato West</t>
        </is>
      </c>
    </row>
    <row r="3485" spans="1:1">
      <c r="A3485" t="inlineStr">
        <is>
          <t>Puting Kahoy</t>
        </is>
      </c>
    </row>
    <row r="3486" spans="1:1">
      <c r="A3486" t="inlineStr">
        <is>
          <t>Quisumbing</t>
        </is>
      </c>
    </row>
    <row r="3487" spans="1:1">
      <c r="A3487" t="inlineStr">
        <is>
          <t>Salong</t>
        </is>
      </c>
    </row>
    <row r="3488" spans="1:1">
      <c r="A3488" t="inlineStr">
        <is>
          <t>Sinisian</t>
        </is>
      </c>
    </row>
    <row r="3489" spans="1:1">
      <c r="A3489" t="inlineStr">
        <is>
          <t>Taklang Anak</t>
        </is>
      </c>
    </row>
    <row r="3490" spans="1:1">
      <c r="A3490" t="inlineStr">
        <is>
          <t>Talisay</t>
        </is>
      </c>
    </row>
    <row r="3491" spans="1:1">
      <c r="A3491" t="inlineStr">
        <is>
          <t>Tamayo</t>
        </is>
      </c>
    </row>
    <row r="3492" spans="1:1">
      <c r="A3492" t="inlineStr">
        <is>
          <t>Timbain</t>
        </is>
      </c>
    </row>
    <row r="3493" spans="1:1">
      <c r="A3493" t="inlineStr">
        <is>
          <t>Adya</t>
        </is>
      </c>
    </row>
    <row r="3494" spans="1:1">
      <c r="A3494" t="inlineStr">
        <is>
          <t>Anilao</t>
        </is>
      </c>
    </row>
    <row r="3495" spans="1:1">
      <c r="A3495" t="inlineStr">
        <is>
          <t>Anilao-Labac</t>
        </is>
      </c>
    </row>
    <row r="3496" spans="1:1">
      <c r="A3496" t="inlineStr">
        <is>
          <t>Antipolo Del Norte</t>
        </is>
      </c>
    </row>
    <row r="3497" spans="1:1">
      <c r="A3497" t="inlineStr">
        <is>
          <t>Antipolo Del Sur</t>
        </is>
      </c>
    </row>
    <row r="3498" spans="1:1">
      <c r="A3498" t="inlineStr">
        <is>
          <t>Bagong Pook</t>
        </is>
      </c>
    </row>
    <row r="3499" spans="1:1">
      <c r="A3499" t="inlineStr">
        <is>
          <t>Balintawak</t>
        </is>
      </c>
    </row>
    <row r="3500" spans="1:1">
      <c r="A3500" t="inlineStr">
        <is>
          <t>Banaybanay</t>
        </is>
      </c>
    </row>
    <row r="3501" spans="1:1">
      <c r="A3501" t="inlineStr">
        <is>
          <t>Barangay 12</t>
        </is>
      </c>
    </row>
    <row r="3502" spans="1:1">
      <c r="A3502" t="inlineStr">
        <is>
          <t>Bolbok</t>
        </is>
      </c>
    </row>
    <row r="3503" spans="1:1">
      <c r="A3503" t="inlineStr">
        <is>
          <t>Bugtong na Pulo</t>
        </is>
      </c>
    </row>
    <row r="3504" spans="1:1">
      <c r="A3504" t="inlineStr">
        <is>
          <t>Bulacnin</t>
        </is>
      </c>
    </row>
    <row r="3505" spans="1:1">
      <c r="A3505" t="inlineStr">
        <is>
          <t>Bulaklakan</t>
        </is>
      </c>
    </row>
    <row r="3506" spans="1:1">
      <c r="A3506" t="inlineStr">
        <is>
          <t>Calamias</t>
        </is>
      </c>
    </row>
    <row r="3507" spans="1:1">
      <c r="A3507" t="inlineStr">
        <is>
          <t>Cumba</t>
        </is>
      </c>
    </row>
    <row r="3508" spans="1:1">
      <c r="A3508" t="inlineStr">
        <is>
          <t>Dagatan</t>
        </is>
      </c>
    </row>
    <row r="3509" spans="1:1">
      <c r="A3509" t="inlineStr">
        <is>
          <t>Duhatan</t>
        </is>
      </c>
    </row>
    <row r="3510" spans="1:1">
      <c r="A3510" t="inlineStr">
        <is>
          <t>Halang</t>
        </is>
      </c>
    </row>
    <row r="3511" spans="1:1">
      <c r="A3511" t="inlineStr">
        <is>
          <t>Inosloban</t>
        </is>
      </c>
    </row>
    <row r="3512" spans="1:1">
      <c r="A3512" t="inlineStr">
        <is>
          <t>Kayumanggi</t>
        </is>
      </c>
    </row>
    <row r="3513" spans="1:1">
      <c r="A3513" t="inlineStr">
        <is>
          <t>Latag</t>
        </is>
      </c>
    </row>
    <row r="3514" spans="1:1">
      <c r="A3514" t="inlineStr">
        <is>
          <t>Lodlod</t>
        </is>
      </c>
    </row>
    <row r="3515" spans="1:1">
      <c r="A3515" t="inlineStr">
        <is>
          <t>Lumbang</t>
        </is>
      </c>
    </row>
    <row r="3516" spans="1:1">
      <c r="A3516" t="inlineStr">
        <is>
          <t>Mabini</t>
        </is>
      </c>
    </row>
    <row r="3517" spans="1:1">
      <c r="A3517" t="inlineStr">
        <is>
          <t>Malagonlong</t>
        </is>
      </c>
    </row>
    <row r="3518" spans="1:1">
      <c r="A3518" t="inlineStr">
        <is>
          <t>Malitlit</t>
        </is>
      </c>
    </row>
    <row r="3519" spans="1:1">
      <c r="A3519" t="inlineStr">
        <is>
          <t>Marauoy</t>
        </is>
      </c>
    </row>
    <row r="3520" spans="1:1">
      <c r="A3520" t="inlineStr">
        <is>
          <t>Mataas Na Lupa</t>
        </is>
      </c>
    </row>
    <row r="3521" spans="1:1">
      <c r="A3521" t="inlineStr">
        <is>
          <t>Munting Pulo</t>
        </is>
      </c>
    </row>
    <row r="3522" spans="1:1">
      <c r="A3522" t="inlineStr">
        <is>
          <t>Pagolingin Bata</t>
        </is>
      </c>
    </row>
    <row r="3523" spans="1:1">
      <c r="A3523" t="inlineStr">
        <is>
          <t>Pagolingin East</t>
        </is>
      </c>
    </row>
    <row r="3524" spans="1:1">
      <c r="A3524" t="inlineStr">
        <is>
          <t>Pagolingin West</t>
        </is>
      </c>
    </row>
    <row r="3525" spans="1:1">
      <c r="A3525" t="inlineStr">
        <is>
          <t>Pangao</t>
        </is>
      </c>
    </row>
    <row r="3526" spans="1:1">
      <c r="A3526" t="inlineStr">
        <is>
          <t>Pinagkawitan</t>
        </is>
      </c>
    </row>
    <row r="3527" spans="1:1">
      <c r="A3527" t="inlineStr">
        <is>
          <t>Pinagtongulan</t>
        </is>
      </c>
    </row>
    <row r="3528" spans="1:1">
      <c r="A3528" t="inlineStr">
        <is>
          <t>Plaridel</t>
        </is>
      </c>
    </row>
    <row r="3529" spans="1:1">
      <c r="A3529" t="inlineStr">
        <is>
          <t>Poblacion Barangay 1</t>
        </is>
      </c>
    </row>
    <row r="3530" spans="1:1">
      <c r="A3530" t="inlineStr">
        <is>
          <t>Poblacion Barangay 10</t>
        </is>
      </c>
    </row>
    <row r="3531" spans="1:1">
      <c r="A3531" t="inlineStr">
        <is>
          <t>Poblacion Barangay 11</t>
        </is>
      </c>
    </row>
    <row r="3532" spans="1:1">
      <c r="A3532" t="inlineStr">
        <is>
          <t>Poblacion Barangay 2</t>
        </is>
      </c>
    </row>
    <row r="3533" spans="1:1">
      <c r="A3533" t="inlineStr">
        <is>
          <t>Poblacion Barangay 3</t>
        </is>
      </c>
    </row>
    <row r="3534" spans="1:1">
      <c r="A3534" t="inlineStr">
        <is>
          <t>Poblacion Barangay 4</t>
        </is>
      </c>
    </row>
    <row r="3535" spans="1:1">
      <c r="A3535" t="inlineStr">
        <is>
          <t>Poblacion Barangay 5</t>
        </is>
      </c>
    </row>
    <row r="3536" spans="1:1">
      <c r="A3536" t="inlineStr">
        <is>
          <t>Poblacion Barangay 6</t>
        </is>
      </c>
    </row>
    <row r="3537" spans="1:1">
      <c r="A3537" t="inlineStr">
        <is>
          <t>Poblacion Barangay 7</t>
        </is>
      </c>
    </row>
    <row r="3538" spans="1:1">
      <c r="A3538" t="inlineStr">
        <is>
          <t>Poblacion Barangay 8</t>
        </is>
      </c>
    </row>
    <row r="3539" spans="1:1">
      <c r="A3539" t="inlineStr">
        <is>
          <t>Poblacion Barangay 9</t>
        </is>
      </c>
    </row>
    <row r="3540" spans="1:1">
      <c r="A3540" t="inlineStr">
        <is>
          <t>Poblacion Barangay 9-A</t>
        </is>
      </c>
    </row>
    <row r="3541" spans="1:1">
      <c r="A3541" t="inlineStr">
        <is>
          <t>Pusil</t>
        </is>
      </c>
    </row>
    <row r="3542" spans="1:1">
      <c r="A3542" t="inlineStr">
        <is>
          <t>Quezon</t>
        </is>
      </c>
    </row>
    <row r="3543" spans="1:1">
      <c r="A3543" t="inlineStr">
        <is>
          <t>Rizal</t>
        </is>
      </c>
    </row>
    <row r="3544" spans="1:1">
      <c r="A3544" t="inlineStr">
        <is>
          <t>Sabang</t>
        </is>
      </c>
    </row>
    <row r="3545" spans="1:1">
      <c r="A3545" t="inlineStr">
        <is>
          <t>Sampaguita</t>
        </is>
      </c>
    </row>
    <row r="3546" spans="1:1">
      <c r="A3546" t="inlineStr">
        <is>
          <t>San Benito</t>
        </is>
      </c>
    </row>
    <row r="3547" spans="1:1">
      <c r="A3547" t="inlineStr">
        <is>
          <t>San Carlos</t>
        </is>
      </c>
    </row>
    <row r="3548" spans="1:1">
      <c r="A3548" t="inlineStr">
        <is>
          <t>San Celestino</t>
        </is>
      </c>
    </row>
    <row r="3549" spans="1:1">
      <c r="A3549" t="inlineStr">
        <is>
          <t>San Francisco</t>
        </is>
      </c>
    </row>
    <row r="3550" spans="1:1">
      <c r="A3550" t="inlineStr">
        <is>
          <t>San Guillermo</t>
        </is>
      </c>
    </row>
    <row r="3551" spans="1:1">
      <c r="A3551" t="inlineStr">
        <is>
          <t>San Jose</t>
        </is>
      </c>
    </row>
    <row r="3552" spans="1:1">
      <c r="A3552" t="inlineStr">
        <is>
          <t>San Lucas</t>
        </is>
      </c>
    </row>
    <row r="3553" spans="1:1">
      <c r="A3553" t="inlineStr">
        <is>
          <t>San Salvador</t>
        </is>
      </c>
    </row>
    <row r="3554" spans="1:1">
      <c r="A3554" t="inlineStr">
        <is>
          <t>San Sebastian</t>
        </is>
      </c>
    </row>
    <row r="3555" spans="1:1">
      <c r="A3555" t="inlineStr">
        <is>
          <t>Santo Niño</t>
        </is>
      </c>
    </row>
    <row r="3556" spans="1:1">
      <c r="A3556" t="inlineStr">
        <is>
          <t>Santo Toribio</t>
        </is>
      </c>
    </row>
    <row r="3557" spans="1:1">
      <c r="A3557" t="inlineStr">
        <is>
          <t>Sapac</t>
        </is>
      </c>
    </row>
    <row r="3558" spans="1:1">
      <c r="A3558" t="inlineStr">
        <is>
          <t>Sico</t>
        </is>
      </c>
    </row>
    <row r="3559" spans="1:1">
      <c r="A3559" t="inlineStr">
        <is>
          <t>Talisay</t>
        </is>
      </c>
    </row>
    <row r="3560" spans="1:1">
      <c r="A3560" t="inlineStr">
        <is>
          <t>Tambo</t>
        </is>
      </c>
    </row>
    <row r="3561" spans="1:1">
      <c r="A3561" t="inlineStr">
        <is>
          <t>Tangob</t>
        </is>
      </c>
    </row>
    <row r="3562" spans="1:1">
      <c r="A3562" t="inlineStr">
        <is>
          <t>Tanguay</t>
        </is>
      </c>
    </row>
    <row r="3563" spans="1:1">
      <c r="A3563" t="inlineStr">
        <is>
          <t>Tibig</t>
        </is>
      </c>
    </row>
    <row r="3564" spans="1:1">
      <c r="A3564" t="inlineStr">
        <is>
          <t>Tipacan</t>
        </is>
      </c>
    </row>
    <row r="3565" spans="1:1">
      <c r="A3565" t="inlineStr">
        <is>
          <t>Barangay I</t>
        </is>
      </c>
    </row>
    <row r="3566" spans="1:1">
      <c r="A3566" t="inlineStr">
        <is>
          <t>Barangay II</t>
        </is>
      </c>
    </row>
    <row r="3567" spans="1:1">
      <c r="A3567" t="inlineStr">
        <is>
          <t>Barangay III</t>
        </is>
      </c>
    </row>
    <row r="3568" spans="1:1">
      <c r="A3568" t="inlineStr">
        <is>
          <t>Barangay IV</t>
        </is>
      </c>
    </row>
    <row r="3569" spans="1:1">
      <c r="A3569" t="inlineStr">
        <is>
          <t>San Agustin</t>
        </is>
      </c>
    </row>
    <row r="3570" spans="1:1">
      <c r="A3570" t="inlineStr">
        <is>
          <t>San Antonio</t>
        </is>
      </c>
    </row>
    <row r="3571" spans="1:1">
      <c r="A3571" t="inlineStr">
        <is>
          <t>San Bartolome</t>
        </is>
      </c>
    </row>
    <row r="3572" spans="1:1">
      <c r="A3572" t="inlineStr">
        <is>
          <t>San Felix</t>
        </is>
      </c>
    </row>
    <row r="3573" spans="1:1">
      <c r="A3573" t="inlineStr">
        <is>
          <t>San Fernando</t>
        </is>
      </c>
    </row>
    <row r="3574" spans="1:1">
      <c r="A3574" t="inlineStr">
        <is>
          <t>San Francisco</t>
        </is>
      </c>
    </row>
    <row r="3575" spans="1:1">
      <c r="A3575" t="inlineStr">
        <is>
          <t>San Isidro Norte</t>
        </is>
      </c>
    </row>
    <row r="3576" spans="1:1">
      <c r="A3576" t="inlineStr">
        <is>
          <t>San Isidro Sur</t>
        </is>
      </c>
    </row>
    <row r="3577" spans="1:1">
      <c r="A3577" t="inlineStr">
        <is>
          <t>San Joaquin</t>
        </is>
      </c>
    </row>
    <row r="3578" spans="1:1">
      <c r="A3578" t="inlineStr">
        <is>
          <t>San Jose</t>
        </is>
      </c>
    </row>
    <row r="3579" spans="1:1">
      <c r="A3579" t="inlineStr">
        <is>
          <t>San Juan</t>
        </is>
      </c>
    </row>
    <row r="3580" spans="1:1">
      <c r="A3580" t="inlineStr">
        <is>
          <t>San Luis</t>
        </is>
      </c>
    </row>
    <row r="3581" spans="1:1">
      <c r="A3581" t="inlineStr">
        <is>
          <t>San Miguel</t>
        </is>
      </c>
    </row>
    <row r="3582" spans="1:1">
      <c r="A3582" t="inlineStr">
        <is>
          <t>San Pablo</t>
        </is>
      </c>
    </row>
    <row r="3583" spans="1:1">
      <c r="A3583" t="inlineStr">
        <is>
          <t>San Pedro</t>
        </is>
      </c>
    </row>
    <row r="3584" spans="1:1">
      <c r="A3584" t="inlineStr">
        <is>
          <t>San Rafael</t>
        </is>
      </c>
    </row>
    <row r="3585" spans="1:1">
      <c r="A3585" t="inlineStr">
        <is>
          <t>San Roque</t>
        </is>
      </c>
    </row>
    <row r="3586" spans="1:1">
      <c r="A3586" t="inlineStr">
        <is>
          <t>San Vicente</t>
        </is>
      </c>
    </row>
    <row r="3587" spans="1:1">
      <c r="A3587" t="inlineStr">
        <is>
          <t>Santa Ana</t>
        </is>
      </c>
    </row>
    <row r="3588" spans="1:1">
      <c r="A3588" t="inlineStr">
        <is>
          <t>Santa Anastacia</t>
        </is>
      </c>
    </row>
    <row r="3589" spans="1:1">
      <c r="A3589" t="inlineStr">
        <is>
          <t>Santa Clara</t>
        </is>
      </c>
    </row>
    <row r="3590" spans="1:1">
      <c r="A3590" t="inlineStr">
        <is>
          <t>Santa Cruz</t>
        </is>
      </c>
    </row>
    <row r="3591" spans="1:1">
      <c r="A3591" t="inlineStr">
        <is>
          <t>Santa Elena</t>
        </is>
      </c>
    </row>
    <row r="3592" spans="1:1">
      <c r="A3592" t="inlineStr">
        <is>
          <t>Santa Maria</t>
        </is>
      </c>
    </row>
    <row r="3593" spans="1:1">
      <c r="A3593" t="inlineStr">
        <is>
          <t>Santa Teresita</t>
        </is>
      </c>
    </row>
    <row r="3594" spans="1:1">
      <c r="A3594" t="inlineStr">
        <is>
          <t>Santiago</t>
        </is>
      </c>
    </row>
    <row r="3595" spans="1:1">
      <c r="A3595" t="inlineStr">
        <is>
          <t>Altura Bata</t>
        </is>
      </c>
    </row>
    <row r="3596" spans="1:1">
      <c r="A3596" t="inlineStr">
        <is>
          <t>Altura Matanda</t>
        </is>
      </c>
    </row>
    <row r="3597" spans="1:1">
      <c r="A3597" t="inlineStr">
        <is>
          <t>Altura-South</t>
        </is>
      </c>
    </row>
    <row r="3598" spans="1:1">
      <c r="A3598" t="inlineStr">
        <is>
          <t>Ambulong</t>
        </is>
      </c>
    </row>
    <row r="3599" spans="1:1">
      <c r="A3599" t="inlineStr">
        <is>
          <t>Bagbag</t>
        </is>
      </c>
    </row>
    <row r="3600" spans="1:1">
      <c r="A3600" t="inlineStr">
        <is>
          <t>Bagumbayan</t>
        </is>
      </c>
    </row>
    <row r="3601" spans="1:1">
      <c r="A3601" t="inlineStr">
        <is>
          <t>Balele</t>
        </is>
      </c>
    </row>
    <row r="3602" spans="1:1">
      <c r="A3602" t="inlineStr">
        <is>
          <t>Banadero</t>
        </is>
      </c>
    </row>
    <row r="3603" spans="1:1">
      <c r="A3603" t="inlineStr">
        <is>
          <t>Banjo East</t>
        </is>
      </c>
    </row>
    <row r="3604" spans="1:1">
      <c r="A3604" t="inlineStr">
        <is>
          <t>Banjo Laurel</t>
        </is>
      </c>
    </row>
    <row r="3605" spans="1:1">
      <c r="A3605" t="inlineStr">
        <is>
          <t>Bilog-bilog</t>
        </is>
      </c>
    </row>
    <row r="3606" spans="1:1">
      <c r="A3606" t="inlineStr">
        <is>
          <t>Boot</t>
        </is>
      </c>
    </row>
    <row r="3607" spans="1:1">
      <c r="A3607" t="inlineStr">
        <is>
          <t>Cale</t>
        </is>
      </c>
    </row>
    <row r="3608" spans="1:1">
      <c r="A3608" t="inlineStr">
        <is>
          <t>Darasa</t>
        </is>
      </c>
    </row>
    <row r="3609" spans="1:1">
      <c r="A3609" t="inlineStr">
        <is>
          <t>Gonzales</t>
        </is>
      </c>
    </row>
    <row r="3610" spans="1:1">
      <c r="A3610" t="inlineStr">
        <is>
          <t>Hidalgo</t>
        </is>
      </c>
    </row>
    <row r="3611" spans="1:1">
      <c r="A3611" t="inlineStr">
        <is>
          <t>Janopol</t>
        </is>
      </c>
    </row>
    <row r="3612" spans="1:1">
      <c r="A3612" t="inlineStr">
        <is>
          <t>Janopol Oriental</t>
        </is>
      </c>
    </row>
    <row r="3613" spans="1:1">
      <c r="A3613" t="inlineStr">
        <is>
          <t>Laurel</t>
        </is>
      </c>
    </row>
    <row r="3614" spans="1:1">
      <c r="A3614" t="inlineStr">
        <is>
          <t>Luyos</t>
        </is>
      </c>
    </row>
    <row r="3615" spans="1:1">
      <c r="A3615" t="inlineStr">
        <is>
          <t>Mabini</t>
        </is>
      </c>
    </row>
    <row r="3616" spans="1:1">
      <c r="A3616" t="inlineStr">
        <is>
          <t>Malaking Pulo</t>
        </is>
      </c>
    </row>
    <row r="3617" spans="1:1">
      <c r="A3617" t="inlineStr">
        <is>
          <t>Maria Paz</t>
        </is>
      </c>
    </row>
    <row r="3618" spans="1:1">
      <c r="A3618" t="inlineStr">
        <is>
          <t>Maugat</t>
        </is>
      </c>
    </row>
    <row r="3619" spans="1:1">
      <c r="A3619" t="inlineStr">
        <is>
          <t>Montaña</t>
        </is>
      </c>
    </row>
    <row r="3620" spans="1:1">
      <c r="A3620" t="inlineStr">
        <is>
          <t>Natatas</t>
        </is>
      </c>
    </row>
    <row r="3621" spans="1:1">
      <c r="A3621" t="inlineStr">
        <is>
          <t>Pagaspas</t>
        </is>
      </c>
    </row>
    <row r="3622" spans="1:1">
      <c r="A3622" t="inlineStr">
        <is>
          <t>Pantay Bata</t>
        </is>
      </c>
    </row>
    <row r="3623" spans="1:1">
      <c r="A3623" t="inlineStr">
        <is>
          <t>Pantay Matanda</t>
        </is>
      </c>
    </row>
    <row r="3624" spans="1:1">
      <c r="A3624" t="inlineStr">
        <is>
          <t>Poblacion Barangay 1</t>
        </is>
      </c>
    </row>
    <row r="3625" spans="1:1">
      <c r="A3625" t="inlineStr">
        <is>
          <t>Poblacion Barangay 2</t>
        </is>
      </c>
    </row>
    <row r="3626" spans="1:1">
      <c r="A3626" t="inlineStr">
        <is>
          <t>Poblacion Barangay 3</t>
        </is>
      </c>
    </row>
    <row r="3627" spans="1:1">
      <c r="A3627" t="inlineStr">
        <is>
          <t>Poblacion Barangay 4</t>
        </is>
      </c>
    </row>
    <row r="3628" spans="1:1">
      <c r="A3628" t="inlineStr">
        <is>
          <t>Poblacion Barangay 5</t>
        </is>
      </c>
    </row>
    <row r="3629" spans="1:1">
      <c r="A3629" t="inlineStr">
        <is>
          <t>Poblacion Barangay 6</t>
        </is>
      </c>
    </row>
    <row r="3630" spans="1:1">
      <c r="A3630" t="inlineStr">
        <is>
          <t>Poblacion Barangay 7</t>
        </is>
      </c>
    </row>
    <row r="3631" spans="1:1">
      <c r="A3631" t="inlineStr">
        <is>
          <t>Sala</t>
        </is>
      </c>
    </row>
    <row r="3632" spans="1:1">
      <c r="A3632" t="inlineStr">
        <is>
          <t>Sambat</t>
        </is>
      </c>
    </row>
    <row r="3633" spans="1:1">
      <c r="A3633" t="inlineStr">
        <is>
          <t>San Jose</t>
        </is>
      </c>
    </row>
    <row r="3634" spans="1:1">
      <c r="A3634" t="inlineStr">
        <is>
          <t>Santol</t>
        </is>
      </c>
    </row>
    <row r="3635" spans="1:1">
      <c r="A3635" t="inlineStr">
        <is>
          <t>Santor</t>
        </is>
      </c>
    </row>
    <row r="3636" spans="1:1">
      <c r="A3636" t="inlineStr">
        <is>
          <t>Sulpoc</t>
        </is>
      </c>
    </row>
    <row r="3637" spans="1:1">
      <c r="A3637" t="inlineStr">
        <is>
          <t>Suplang</t>
        </is>
      </c>
    </row>
    <row r="3638" spans="1:1">
      <c r="A3638" t="inlineStr">
        <is>
          <t>Talaga</t>
        </is>
      </c>
    </row>
    <row r="3639" spans="1:1">
      <c r="A3639" t="inlineStr">
        <is>
          <t>Tinurik</t>
        </is>
      </c>
    </row>
    <row r="3640" spans="1:1">
      <c r="A3640" t="inlineStr">
        <is>
          <t>Trapiche</t>
        </is>
      </c>
    </row>
    <row r="3641" spans="1:1">
      <c r="A3641" t="inlineStr">
        <is>
          <t>Ulango</t>
        </is>
      </c>
    </row>
    <row r="3642" spans="1:1">
      <c r="A3642" t="inlineStr">
        <is>
          <t>Wawa</t>
        </is>
      </c>
    </row>
    <row r="3643" spans="1:1">
      <c r="A3643" t="inlineStr">
        <is>
          <t>Balagbag</t>
        </is>
      </c>
    </row>
    <row r="3644" spans="1:1">
      <c r="A3644" t="inlineStr">
        <is>
          <t>Barangay 1</t>
        </is>
      </c>
    </row>
    <row r="3645" spans="1:1">
      <c r="A3645" t="inlineStr">
        <is>
          <t>Barangay 2</t>
        </is>
      </c>
    </row>
    <row r="3646" spans="1:1">
      <c r="A3646" t="inlineStr">
        <is>
          <t>Barangay 3</t>
        </is>
      </c>
    </row>
    <row r="3647" spans="1:1">
      <c r="A3647" t="inlineStr">
        <is>
          <t>Barangay 4</t>
        </is>
      </c>
    </row>
    <row r="3648" spans="1:1">
      <c r="A3648" t="inlineStr">
        <is>
          <t>Barangay 5</t>
        </is>
      </c>
    </row>
    <row r="3649" spans="1:1">
      <c r="A3649" t="inlineStr">
        <is>
          <t>Barangay 6</t>
        </is>
      </c>
    </row>
    <row r="3650" spans="1:1">
      <c r="A3650" t="inlineStr">
        <is>
          <t>Barangay 7</t>
        </is>
      </c>
    </row>
    <row r="3651" spans="1:1">
      <c r="A3651" t="inlineStr">
        <is>
          <t>Barangay 8</t>
        </is>
      </c>
    </row>
    <row r="3652" spans="1:1">
      <c r="A3652" t="inlineStr">
        <is>
          <t>Bungahan</t>
        </is>
      </c>
    </row>
    <row r="3653" spans="1:1">
      <c r="A3653" t="inlineStr">
        <is>
          <t>Calumayin</t>
        </is>
      </c>
    </row>
    <row r="3654" spans="1:1">
      <c r="A3654" t="inlineStr">
        <is>
          <t>Dalipit East</t>
        </is>
      </c>
    </row>
    <row r="3655" spans="1:1">
      <c r="A3655" t="inlineStr">
        <is>
          <t>Dalipit West</t>
        </is>
      </c>
    </row>
    <row r="3656" spans="1:1">
      <c r="A3656" t="inlineStr">
        <is>
          <t>Dita</t>
        </is>
      </c>
    </row>
    <row r="3657" spans="1:1">
      <c r="A3657" t="inlineStr">
        <is>
          <t>Don Juan</t>
        </is>
      </c>
    </row>
    <row r="3658" spans="1:1">
      <c r="A3658" t="inlineStr">
        <is>
          <t>Emmanuel</t>
        </is>
      </c>
    </row>
    <row r="3659" spans="1:1">
      <c r="A3659" t="inlineStr">
        <is>
          <t>Ibabao</t>
        </is>
      </c>
    </row>
    <row r="3660" spans="1:1">
      <c r="A3660" t="inlineStr">
        <is>
          <t>Labac</t>
        </is>
      </c>
    </row>
    <row r="3661" spans="1:1">
      <c r="A3661" t="inlineStr">
        <is>
          <t>Pinagkaisahan</t>
        </is>
      </c>
    </row>
    <row r="3662" spans="1:1">
      <c r="A3662" t="inlineStr">
        <is>
          <t>San Felipe</t>
        </is>
      </c>
    </row>
    <row r="3663" spans="1:1">
      <c r="A3663" t="inlineStr">
        <is>
          <t>San Isidro</t>
        </is>
      </c>
    </row>
    <row r="3664" spans="1:1">
      <c r="A3664" t="inlineStr">
        <is>
          <t>Bago</t>
        </is>
      </c>
    </row>
    <row r="3665" spans="1:1">
      <c r="A3665" t="inlineStr">
        <is>
          <t>Balanga</t>
        </is>
      </c>
    </row>
    <row r="3666" spans="1:1">
      <c r="A3666" t="inlineStr">
        <is>
          <t>Bungahan</t>
        </is>
      </c>
    </row>
    <row r="3667" spans="1:1">
      <c r="A3667" t="inlineStr">
        <is>
          <t>Calamias</t>
        </is>
      </c>
    </row>
    <row r="3668" spans="1:1">
      <c r="A3668" t="inlineStr">
        <is>
          <t>Catandala</t>
        </is>
      </c>
    </row>
    <row r="3669" spans="1:1">
      <c r="A3669" t="inlineStr">
        <is>
          <t>Coliat</t>
        </is>
      </c>
    </row>
    <row r="3670" spans="1:1">
      <c r="A3670" t="inlineStr">
        <is>
          <t>Dayapan</t>
        </is>
      </c>
    </row>
    <row r="3671" spans="1:1">
      <c r="A3671" t="inlineStr">
        <is>
          <t>Lapu-lapu</t>
        </is>
      </c>
    </row>
    <row r="3672" spans="1:1">
      <c r="A3672" t="inlineStr">
        <is>
          <t>Lucsuhin</t>
        </is>
      </c>
    </row>
    <row r="3673" spans="1:1">
      <c r="A3673" t="inlineStr">
        <is>
          <t>Mabalor</t>
        </is>
      </c>
    </row>
    <row r="3674" spans="1:1">
      <c r="A3674" t="inlineStr">
        <is>
          <t>Malainin</t>
        </is>
      </c>
    </row>
    <row r="3675" spans="1:1">
      <c r="A3675" t="inlineStr">
        <is>
          <t>Matala</t>
        </is>
      </c>
    </row>
    <row r="3676" spans="1:1">
      <c r="A3676" t="inlineStr">
        <is>
          <t>Munting-Tubig</t>
        </is>
      </c>
    </row>
    <row r="3677" spans="1:1">
      <c r="A3677" t="inlineStr">
        <is>
          <t>Palindan</t>
        </is>
      </c>
    </row>
    <row r="3678" spans="1:1">
      <c r="A3678" t="inlineStr">
        <is>
          <t>Pangao</t>
        </is>
      </c>
    </row>
    <row r="3679" spans="1:1">
      <c r="A3679" t="inlineStr">
        <is>
          <t>Panghayaan</t>
        </is>
      </c>
    </row>
    <row r="3680" spans="1:1">
      <c r="A3680" t="inlineStr">
        <is>
          <t>Poblacion</t>
        </is>
      </c>
    </row>
    <row r="3681" spans="1:1">
      <c r="A3681" t="inlineStr">
        <is>
          <t>Quilo</t>
        </is>
      </c>
    </row>
    <row r="3682" spans="1:1">
      <c r="A3682" t="inlineStr">
        <is>
          <t>Sabang</t>
        </is>
      </c>
    </row>
    <row r="3683" spans="1:1">
      <c r="A3683" t="inlineStr">
        <is>
          <t>Salaban I</t>
        </is>
      </c>
    </row>
    <row r="3684" spans="1:1">
      <c r="A3684" t="inlineStr">
        <is>
          <t>Salaban II</t>
        </is>
      </c>
    </row>
    <row r="3685" spans="1:1">
      <c r="A3685" t="inlineStr">
        <is>
          <t>San Agustin</t>
        </is>
      </c>
    </row>
    <row r="3686" spans="1:1">
      <c r="A3686" t="inlineStr">
        <is>
          <t>Sandalan</t>
        </is>
      </c>
    </row>
    <row r="3687" spans="1:1">
      <c r="A3687" t="inlineStr">
        <is>
          <t>Santo Niño</t>
        </is>
      </c>
    </row>
    <row r="3688" spans="1:1">
      <c r="A3688" t="inlineStr">
        <is>
          <t>Talaibon</t>
        </is>
      </c>
    </row>
    <row r="3689" spans="1:1">
      <c r="A3689" t="inlineStr">
        <is>
          <t>Tulay Na Patpat</t>
        </is>
      </c>
    </row>
    <row r="3690" spans="1:1">
      <c r="A3690" t="inlineStr">
        <is>
          <t>As-Is</t>
        </is>
      </c>
    </row>
    <row r="3691" spans="1:1">
      <c r="A3691" t="inlineStr">
        <is>
          <t>Balakilong</t>
        </is>
      </c>
    </row>
    <row r="3692" spans="1:1">
      <c r="A3692" t="inlineStr">
        <is>
          <t>Barangay 1</t>
        </is>
      </c>
    </row>
    <row r="3693" spans="1:1">
      <c r="A3693" t="inlineStr">
        <is>
          <t>Barangay 2</t>
        </is>
      </c>
    </row>
    <row r="3694" spans="1:1">
      <c r="A3694" t="inlineStr">
        <is>
          <t>Barangay 3</t>
        </is>
      </c>
    </row>
    <row r="3695" spans="1:1">
      <c r="A3695" t="inlineStr">
        <is>
          <t>Barangay 4</t>
        </is>
      </c>
    </row>
    <row r="3696" spans="1:1">
      <c r="A3696" t="inlineStr">
        <is>
          <t>Barangay 5</t>
        </is>
      </c>
    </row>
    <row r="3697" spans="1:1">
      <c r="A3697" t="inlineStr">
        <is>
          <t>Berinayan</t>
        </is>
      </c>
    </row>
    <row r="3698" spans="1:1">
      <c r="A3698" t="inlineStr">
        <is>
          <t>Bugaan East</t>
        </is>
      </c>
    </row>
    <row r="3699" spans="1:1">
      <c r="A3699" t="inlineStr">
        <is>
          <t>Bugaan West</t>
        </is>
      </c>
    </row>
    <row r="3700" spans="1:1">
      <c r="A3700" t="inlineStr">
        <is>
          <t>Buso-buso</t>
        </is>
      </c>
    </row>
    <row r="3701" spans="1:1">
      <c r="A3701" t="inlineStr">
        <is>
          <t>Dayap Itaas</t>
        </is>
      </c>
    </row>
    <row r="3702" spans="1:1">
      <c r="A3702" t="inlineStr">
        <is>
          <t>Gulod</t>
        </is>
      </c>
    </row>
    <row r="3703" spans="1:1">
      <c r="A3703" t="inlineStr">
        <is>
          <t>J. Leviste</t>
        </is>
      </c>
    </row>
    <row r="3704" spans="1:1">
      <c r="A3704" t="inlineStr">
        <is>
          <t>Molinete</t>
        </is>
      </c>
    </row>
    <row r="3705" spans="1:1">
      <c r="A3705" t="inlineStr">
        <is>
          <t>Niyugan</t>
        </is>
      </c>
    </row>
    <row r="3706" spans="1:1">
      <c r="A3706" t="inlineStr">
        <is>
          <t>Paliparan</t>
        </is>
      </c>
    </row>
    <row r="3707" spans="1:1">
      <c r="A3707" t="inlineStr">
        <is>
          <t>San Gabriel</t>
        </is>
      </c>
    </row>
    <row r="3708" spans="1:1">
      <c r="A3708" t="inlineStr">
        <is>
          <t>San Gregorio</t>
        </is>
      </c>
    </row>
    <row r="3709" spans="1:1">
      <c r="A3709" t="inlineStr">
        <is>
          <t>Santa Maria</t>
        </is>
      </c>
    </row>
    <row r="3710" spans="1:1">
      <c r="A3710" t="inlineStr">
        <is>
          <t>Ticub</t>
        </is>
      </c>
    </row>
    <row r="3711" spans="1:1">
      <c r="A3711" t="inlineStr">
        <is>
          <t>Anak-Dagat</t>
        </is>
      </c>
    </row>
    <row r="3712" spans="1:1">
      <c r="A3712" t="inlineStr">
        <is>
          <t>Arumahan</t>
        </is>
      </c>
    </row>
    <row r="3713" spans="1:1">
      <c r="A3713" t="inlineStr">
        <is>
          <t>Ayao-iyao</t>
        </is>
      </c>
    </row>
    <row r="3714" spans="1:1">
      <c r="A3714" t="inlineStr">
        <is>
          <t>Bagong Pook</t>
        </is>
      </c>
    </row>
    <row r="3715" spans="1:1">
      <c r="A3715" t="inlineStr">
        <is>
          <t>Bagong Sikat</t>
        </is>
      </c>
    </row>
    <row r="3716" spans="1:1">
      <c r="A3716" t="inlineStr">
        <is>
          <t>Balanga</t>
        </is>
      </c>
    </row>
    <row r="3717" spans="1:1">
      <c r="A3717" t="inlineStr">
        <is>
          <t>Bukal</t>
        </is>
      </c>
    </row>
    <row r="3718" spans="1:1">
      <c r="A3718" t="inlineStr">
        <is>
          <t>Cahilan I</t>
        </is>
      </c>
    </row>
    <row r="3719" spans="1:1">
      <c r="A3719" t="inlineStr">
        <is>
          <t>Cahilan II</t>
        </is>
      </c>
    </row>
    <row r="3720" spans="1:1">
      <c r="A3720" t="inlineStr">
        <is>
          <t>Dayapan</t>
        </is>
      </c>
    </row>
    <row r="3721" spans="1:1">
      <c r="A3721" t="inlineStr">
        <is>
          <t>District I</t>
        </is>
      </c>
    </row>
    <row r="3722" spans="1:1">
      <c r="A3722" t="inlineStr">
        <is>
          <t>District II</t>
        </is>
      </c>
    </row>
    <row r="3723" spans="1:1">
      <c r="A3723" t="inlineStr">
        <is>
          <t>District III</t>
        </is>
      </c>
    </row>
    <row r="3724" spans="1:1">
      <c r="A3724" t="inlineStr">
        <is>
          <t>District IV</t>
        </is>
      </c>
    </row>
    <row r="3725" spans="1:1">
      <c r="A3725" t="inlineStr">
        <is>
          <t>Dita</t>
        </is>
      </c>
    </row>
    <row r="3726" spans="1:1">
      <c r="A3726" t="inlineStr">
        <is>
          <t>Gulod</t>
        </is>
      </c>
    </row>
    <row r="3727" spans="1:1">
      <c r="A3727" t="inlineStr">
        <is>
          <t>Lucky</t>
        </is>
      </c>
    </row>
    <row r="3728" spans="1:1">
      <c r="A3728" t="inlineStr">
        <is>
          <t>Maguihan</t>
        </is>
      </c>
    </row>
    <row r="3729" spans="1:1">
      <c r="A3729" t="inlineStr">
        <is>
          <t>Mahabang Dahilig</t>
        </is>
      </c>
    </row>
    <row r="3730" spans="1:1">
      <c r="A3730" t="inlineStr">
        <is>
          <t>Mahayahay</t>
        </is>
      </c>
    </row>
    <row r="3731" spans="1:1">
      <c r="A3731" t="inlineStr">
        <is>
          <t>Maigsing Dahilig</t>
        </is>
      </c>
    </row>
    <row r="3732" spans="1:1">
      <c r="A3732" t="inlineStr">
        <is>
          <t>Maligaya</t>
        </is>
      </c>
    </row>
    <row r="3733" spans="1:1">
      <c r="A3733" t="inlineStr">
        <is>
          <t>Malinis</t>
        </is>
      </c>
    </row>
    <row r="3734" spans="1:1">
      <c r="A3734" t="inlineStr">
        <is>
          <t>Masalisi</t>
        </is>
      </c>
    </row>
    <row r="3735" spans="1:1">
      <c r="A3735" t="inlineStr">
        <is>
          <t>Mataas Na Bayan</t>
        </is>
      </c>
    </row>
    <row r="3736" spans="1:1">
      <c r="A3736" t="inlineStr">
        <is>
          <t>Matingain I</t>
        </is>
      </c>
    </row>
    <row r="3737" spans="1:1">
      <c r="A3737" t="inlineStr">
        <is>
          <t>Matingain II</t>
        </is>
      </c>
    </row>
    <row r="3738" spans="1:1">
      <c r="A3738" t="inlineStr">
        <is>
          <t>Mayasang</t>
        </is>
      </c>
    </row>
    <row r="3739" spans="1:1">
      <c r="A3739" t="inlineStr">
        <is>
          <t>Niugan</t>
        </is>
      </c>
    </row>
    <row r="3740" spans="1:1">
      <c r="A3740" t="inlineStr">
        <is>
          <t>Nonong Casto</t>
        </is>
      </c>
    </row>
    <row r="3741" spans="1:1">
      <c r="A3741" t="inlineStr">
        <is>
          <t>Palanas</t>
        </is>
      </c>
    </row>
    <row r="3742" spans="1:1">
      <c r="A3742" t="inlineStr">
        <is>
          <t>Payapa Ibaba</t>
        </is>
      </c>
    </row>
    <row r="3743" spans="1:1">
      <c r="A3743" t="inlineStr">
        <is>
          <t>Payapa Ilaya</t>
        </is>
      </c>
    </row>
    <row r="3744" spans="1:1">
      <c r="A3744" t="inlineStr">
        <is>
          <t>Rizal</t>
        </is>
      </c>
    </row>
    <row r="3745" spans="1:1">
      <c r="A3745" t="inlineStr">
        <is>
          <t>Sambal Ibaba</t>
        </is>
      </c>
    </row>
    <row r="3746" spans="1:1">
      <c r="A3746" t="inlineStr">
        <is>
          <t>Sambal Ilaya</t>
        </is>
      </c>
    </row>
    <row r="3747" spans="1:1">
      <c r="A3747" t="inlineStr">
        <is>
          <t>San Isidro Ibaba</t>
        </is>
      </c>
    </row>
    <row r="3748" spans="1:1">
      <c r="A3748" t="inlineStr">
        <is>
          <t>San Isidro Itaas</t>
        </is>
      </c>
    </row>
    <row r="3749" spans="1:1">
      <c r="A3749" t="inlineStr">
        <is>
          <t>Sangalang</t>
        </is>
      </c>
    </row>
    <row r="3750" spans="1:1">
      <c r="A3750" t="inlineStr">
        <is>
          <t>Sinisian East</t>
        </is>
      </c>
    </row>
    <row r="3751" spans="1:1">
      <c r="A3751" t="inlineStr">
        <is>
          <t>Sinisian West</t>
        </is>
      </c>
    </row>
    <row r="3752" spans="1:1">
      <c r="A3752" t="inlineStr">
        <is>
          <t>Talaga</t>
        </is>
      </c>
    </row>
    <row r="3753" spans="1:1">
      <c r="A3753" t="inlineStr">
        <is>
          <t>Tubigan</t>
        </is>
      </c>
    </row>
    <row r="3754" spans="1:1">
      <c r="A3754" t="inlineStr">
        <is>
          <t>Tubuan</t>
        </is>
      </c>
    </row>
    <row r="3755" spans="1:1">
      <c r="A3755" t="inlineStr">
        <is>
          <t>Wawa Ibaba</t>
        </is>
      </c>
    </row>
    <row r="3756" spans="1:1">
      <c r="A3756" t="inlineStr">
        <is>
          <t>Wawa Ilaya</t>
        </is>
      </c>
    </row>
    <row r="3757" spans="1:1">
      <c r="A3757" t="inlineStr">
        <is>
          <t>Bagong Pook</t>
        </is>
      </c>
    </row>
    <row r="3758" spans="1:1">
      <c r="A3758" t="inlineStr">
        <is>
          <t>Balibago</t>
        </is>
      </c>
    </row>
    <row r="3759" spans="1:1">
      <c r="A3759" t="inlineStr">
        <is>
          <t>Barangay 1</t>
        </is>
      </c>
    </row>
    <row r="3760" spans="1:1">
      <c r="A3760" t="inlineStr">
        <is>
          <t>Barangay 2</t>
        </is>
      </c>
    </row>
    <row r="3761" spans="1:1">
      <c r="A3761" t="inlineStr">
        <is>
          <t>Barangay 3</t>
        </is>
      </c>
    </row>
    <row r="3762" spans="1:1">
      <c r="A3762" t="inlineStr">
        <is>
          <t>Barangay 4</t>
        </is>
      </c>
    </row>
    <row r="3763" spans="1:1">
      <c r="A3763" t="inlineStr">
        <is>
          <t>Barangay 5</t>
        </is>
      </c>
    </row>
    <row r="3764" spans="1:1">
      <c r="A3764" t="inlineStr">
        <is>
          <t>Binubusan</t>
        </is>
      </c>
    </row>
    <row r="3765" spans="1:1">
      <c r="A3765" t="inlineStr">
        <is>
          <t>Bungahan</t>
        </is>
      </c>
    </row>
    <row r="3766" spans="1:1">
      <c r="A3766" t="inlineStr">
        <is>
          <t>Cumba</t>
        </is>
      </c>
    </row>
    <row r="3767" spans="1:1">
      <c r="A3767" t="inlineStr">
        <is>
          <t>Humayingan</t>
        </is>
      </c>
    </row>
    <row r="3768" spans="1:1">
      <c r="A3768" t="inlineStr">
        <is>
          <t>Kapito</t>
        </is>
      </c>
    </row>
    <row r="3769" spans="1:1">
      <c r="A3769" t="inlineStr">
        <is>
          <t>Lumaniag</t>
        </is>
      </c>
    </row>
    <row r="3770" spans="1:1">
      <c r="A3770" t="inlineStr">
        <is>
          <t>Luyahan</t>
        </is>
      </c>
    </row>
    <row r="3771" spans="1:1">
      <c r="A3771" t="inlineStr">
        <is>
          <t>Malaruhatan</t>
        </is>
      </c>
    </row>
    <row r="3772" spans="1:1">
      <c r="A3772" t="inlineStr">
        <is>
          <t>Matabungkay</t>
        </is>
      </c>
    </row>
    <row r="3773" spans="1:1">
      <c r="A3773" t="inlineStr">
        <is>
          <t>Prenza</t>
        </is>
      </c>
    </row>
    <row r="3774" spans="1:1">
      <c r="A3774" t="inlineStr">
        <is>
          <t>Puting-Kahoy</t>
        </is>
      </c>
    </row>
    <row r="3775" spans="1:1">
      <c r="A3775" t="inlineStr">
        <is>
          <t>San Diego</t>
        </is>
      </c>
    </row>
    <row r="3776" spans="1:1">
      <c r="A3776" t="inlineStr">
        <is>
          <t>Apar</t>
        </is>
      </c>
    </row>
    <row r="3777" spans="1:1">
      <c r="A3777" t="inlineStr">
        <is>
          <t>Balatbat</t>
        </is>
      </c>
    </row>
    <row r="3778" spans="1:1">
      <c r="A3778" t="inlineStr">
        <is>
          <t>Balibago</t>
        </is>
      </c>
    </row>
    <row r="3779" spans="1:1">
      <c r="A3779" t="inlineStr">
        <is>
          <t>Banalo</t>
        </is>
      </c>
    </row>
    <row r="3780" spans="1:1">
      <c r="A3780" t="inlineStr">
        <is>
          <t>Biga</t>
        </is>
      </c>
    </row>
    <row r="3781" spans="1:1">
      <c r="A3781" t="inlineStr">
        <is>
          <t>Bignay</t>
        </is>
      </c>
    </row>
    <row r="3782" spans="1:1">
      <c r="A3782" t="inlineStr">
        <is>
          <t>Calo</t>
        </is>
      </c>
    </row>
    <row r="3783" spans="1:1">
      <c r="A3783" t="inlineStr">
        <is>
          <t>Calumpit</t>
        </is>
      </c>
    </row>
    <row r="3784" spans="1:1">
      <c r="A3784" t="inlineStr">
        <is>
          <t>Fabrica</t>
        </is>
      </c>
    </row>
    <row r="3785" spans="1:1">
      <c r="A3785" t="inlineStr">
        <is>
          <t>Jaybanga</t>
        </is>
      </c>
    </row>
    <row r="3786" spans="1:1">
      <c r="A3786" t="inlineStr">
        <is>
          <t>Lagadlarin</t>
        </is>
      </c>
    </row>
    <row r="3787" spans="1:1">
      <c r="A3787" t="inlineStr">
        <is>
          <t>Mabilog Na Bundok</t>
        </is>
      </c>
    </row>
    <row r="3788" spans="1:1">
      <c r="A3788" t="inlineStr">
        <is>
          <t>Malabrigo</t>
        </is>
      </c>
    </row>
    <row r="3789" spans="1:1">
      <c r="A3789" t="inlineStr">
        <is>
          <t>Malalim Na Sanog</t>
        </is>
      </c>
    </row>
    <row r="3790" spans="1:1">
      <c r="A3790" t="inlineStr">
        <is>
          <t>Malapad Na Parang</t>
        </is>
      </c>
    </row>
    <row r="3791" spans="1:1">
      <c r="A3791" t="inlineStr">
        <is>
          <t>Masaguitsit</t>
        </is>
      </c>
    </row>
    <row r="3792" spans="1:1">
      <c r="A3792" t="inlineStr">
        <is>
          <t>Nagtalongtong</t>
        </is>
      </c>
    </row>
    <row r="3793" spans="1:1">
      <c r="A3793" t="inlineStr">
        <is>
          <t>Nagtoctoc</t>
        </is>
      </c>
    </row>
    <row r="3794" spans="1:1">
      <c r="A3794" t="inlineStr">
        <is>
          <t>Olo-olo</t>
        </is>
      </c>
    </row>
    <row r="3795" spans="1:1">
      <c r="A3795" t="inlineStr">
        <is>
          <t>Pinaghawanan</t>
        </is>
      </c>
    </row>
    <row r="3796" spans="1:1">
      <c r="A3796" t="inlineStr">
        <is>
          <t>Poblacion</t>
        </is>
      </c>
    </row>
    <row r="3797" spans="1:1">
      <c r="A3797" t="inlineStr">
        <is>
          <t>San Miguel</t>
        </is>
      </c>
    </row>
    <row r="3798" spans="1:1">
      <c r="A3798" t="inlineStr">
        <is>
          <t>San Nicolas</t>
        </is>
      </c>
    </row>
    <row r="3799" spans="1:1">
      <c r="A3799" t="inlineStr">
        <is>
          <t>Sawang</t>
        </is>
      </c>
    </row>
    <row r="3800" spans="1:1">
      <c r="A3800" t="inlineStr">
        <is>
          <t>Soloc</t>
        </is>
      </c>
    </row>
    <row r="3801" spans="1:1">
      <c r="A3801" t="inlineStr">
        <is>
          <t>Tayuman</t>
        </is>
      </c>
    </row>
    <row r="3802" spans="1:1">
      <c r="A3802" t="inlineStr">
        <is>
          <t>Anilao East</t>
        </is>
      </c>
    </row>
    <row r="3803" spans="1:1">
      <c r="A3803" t="inlineStr">
        <is>
          <t>Anilao Proper</t>
        </is>
      </c>
    </row>
    <row r="3804" spans="1:1">
      <c r="A3804" t="inlineStr">
        <is>
          <t>Bagalangit</t>
        </is>
      </c>
    </row>
    <row r="3805" spans="1:1">
      <c r="A3805" t="inlineStr">
        <is>
          <t>Bulacan</t>
        </is>
      </c>
    </row>
    <row r="3806" spans="1:1">
      <c r="A3806" t="inlineStr">
        <is>
          <t>Calamias</t>
        </is>
      </c>
    </row>
    <row r="3807" spans="1:1">
      <c r="A3807" t="inlineStr">
        <is>
          <t>Estrella</t>
        </is>
      </c>
    </row>
    <row r="3808" spans="1:1">
      <c r="A3808" t="inlineStr">
        <is>
          <t>Gasang</t>
        </is>
      </c>
    </row>
    <row r="3809" spans="1:1">
      <c r="A3809" t="inlineStr">
        <is>
          <t>Laurel</t>
        </is>
      </c>
    </row>
    <row r="3810" spans="1:1">
      <c r="A3810" t="inlineStr">
        <is>
          <t>Ligaya</t>
        </is>
      </c>
    </row>
    <row r="3811" spans="1:1">
      <c r="A3811" t="inlineStr">
        <is>
          <t>Mainaga</t>
        </is>
      </c>
    </row>
    <row r="3812" spans="1:1">
      <c r="A3812" t="inlineStr">
        <is>
          <t>Mainit</t>
        </is>
      </c>
    </row>
    <row r="3813" spans="1:1">
      <c r="A3813" t="inlineStr">
        <is>
          <t>Majuben</t>
        </is>
      </c>
    </row>
    <row r="3814" spans="1:1">
      <c r="A3814" t="inlineStr">
        <is>
          <t>Malimatoc I</t>
        </is>
      </c>
    </row>
    <row r="3815" spans="1:1">
      <c r="A3815" t="inlineStr">
        <is>
          <t>Malimatoc II</t>
        </is>
      </c>
    </row>
    <row r="3816" spans="1:1">
      <c r="A3816" t="inlineStr">
        <is>
          <t>Nag-Iba</t>
        </is>
      </c>
    </row>
    <row r="3817" spans="1:1">
      <c r="A3817" t="inlineStr">
        <is>
          <t>Pilahan</t>
        </is>
      </c>
    </row>
    <row r="3818" spans="1:1">
      <c r="A3818" t="inlineStr">
        <is>
          <t>Poblacion</t>
        </is>
      </c>
    </row>
    <row r="3819" spans="1:1">
      <c r="A3819" t="inlineStr">
        <is>
          <t>Pulang Lupa</t>
        </is>
      </c>
    </row>
    <row r="3820" spans="1:1">
      <c r="A3820" t="inlineStr">
        <is>
          <t>Pulong Anahao</t>
        </is>
      </c>
    </row>
    <row r="3821" spans="1:1">
      <c r="A3821" t="inlineStr">
        <is>
          <t>Pulong Balibaguhan</t>
        </is>
      </c>
    </row>
    <row r="3822" spans="1:1">
      <c r="A3822" t="inlineStr">
        <is>
          <t>Pulong Niogan</t>
        </is>
      </c>
    </row>
    <row r="3823" spans="1:1">
      <c r="A3823" t="inlineStr">
        <is>
          <t>Saguing</t>
        </is>
      </c>
    </row>
    <row r="3824" spans="1:1">
      <c r="A3824" t="inlineStr">
        <is>
          <t>Sampaguita</t>
        </is>
      </c>
    </row>
    <row r="3825" spans="1:1">
      <c r="A3825" t="inlineStr">
        <is>
          <t>San Francisco</t>
        </is>
      </c>
    </row>
    <row r="3826" spans="1:1">
      <c r="A3826" t="inlineStr">
        <is>
          <t>San Jose</t>
        </is>
      </c>
    </row>
    <row r="3827" spans="1:1">
      <c r="A3827" t="inlineStr">
        <is>
          <t>San Juan</t>
        </is>
      </c>
    </row>
    <row r="3828" spans="1:1">
      <c r="A3828" t="inlineStr">
        <is>
          <t>San Teodoro</t>
        </is>
      </c>
    </row>
    <row r="3829" spans="1:1">
      <c r="A3829" t="inlineStr">
        <is>
          <t>Santa Ana</t>
        </is>
      </c>
    </row>
    <row r="3830" spans="1:1">
      <c r="A3830" t="inlineStr">
        <is>
          <t>Santa Mesa</t>
        </is>
      </c>
    </row>
    <row r="3831" spans="1:1">
      <c r="A3831" t="inlineStr">
        <is>
          <t>Santo Niño</t>
        </is>
      </c>
    </row>
    <row r="3832" spans="1:1">
      <c r="A3832" t="inlineStr">
        <is>
          <t>Santo Tomas</t>
        </is>
      </c>
    </row>
    <row r="3833" spans="1:1">
      <c r="A3833" t="inlineStr">
        <is>
          <t>Solo</t>
        </is>
      </c>
    </row>
    <row r="3834" spans="1:1">
      <c r="A3834" t="inlineStr">
        <is>
          <t>Talaga East</t>
        </is>
      </c>
    </row>
    <row r="3835" spans="1:1">
      <c r="A3835" t="inlineStr">
        <is>
          <t>Talaga Proper</t>
        </is>
      </c>
    </row>
    <row r="3836" spans="1:1">
      <c r="A3836" t="inlineStr">
        <is>
          <t>Bagong Pook</t>
        </is>
      </c>
    </row>
    <row r="3837" spans="1:1">
      <c r="A3837" t="inlineStr">
        <is>
          <t>Bilucao</t>
        </is>
      </c>
    </row>
    <row r="3838" spans="1:1">
      <c r="A3838" t="inlineStr">
        <is>
          <t>Bulihan</t>
        </is>
      </c>
    </row>
    <row r="3839" spans="1:1">
      <c r="A3839" t="inlineStr">
        <is>
          <t>Luta Del Norte</t>
        </is>
      </c>
    </row>
    <row r="3840" spans="1:1">
      <c r="A3840" t="inlineStr">
        <is>
          <t>Luta Del Sur</t>
        </is>
      </c>
    </row>
    <row r="3841" spans="1:1">
      <c r="A3841" t="inlineStr">
        <is>
          <t>Poblacion</t>
        </is>
      </c>
    </row>
    <row r="3842" spans="1:1">
      <c r="A3842" t="inlineStr">
        <is>
          <t>San Andres</t>
        </is>
      </c>
    </row>
    <row r="3843" spans="1:1">
      <c r="A3843" t="inlineStr">
        <is>
          <t>San Fernando</t>
        </is>
      </c>
    </row>
    <row r="3844" spans="1:1">
      <c r="A3844" t="inlineStr">
        <is>
          <t>San Gregorio</t>
        </is>
      </c>
    </row>
    <row r="3845" spans="1:1">
      <c r="A3845" t="inlineStr">
        <is>
          <t>San Isidro East</t>
        </is>
      </c>
    </row>
    <row r="3846" spans="1:1">
      <c r="A3846" t="inlineStr">
        <is>
          <t>San Juan</t>
        </is>
      </c>
    </row>
    <row r="3847" spans="1:1">
      <c r="A3847" t="inlineStr">
        <is>
          <t>San Pedro I</t>
        </is>
      </c>
    </row>
    <row r="3848" spans="1:1">
      <c r="A3848" t="inlineStr">
        <is>
          <t>San Pedro II</t>
        </is>
      </c>
    </row>
    <row r="3849" spans="1:1">
      <c r="A3849" t="inlineStr">
        <is>
          <t>San Pioquinto</t>
        </is>
      </c>
    </row>
    <row r="3850" spans="1:1">
      <c r="A3850" t="inlineStr">
        <is>
          <t>Santiago</t>
        </is>
      </c>
    </row>
    <row r="3851" spans="1:1">
      <c r="A3851" t="inlineStr">
        <is>
          <t>Barangay II-A</t>
        </is>
      </c>
    </row>
    <row r="3852" spans="1:1">
      <c r="A3852" t="inlineStr">
        <is>
          <t>Bayorbor</t>
        </is>
      </c>
    </row>
    <row r="3853" spans="1:1">
      <c r="A3853" t="inlineStr">
        <is>
          <t>Bubuyan</t>
        </is>
      </c>
    </row>
    <row r="3854" spans="1:1">
      <c r="A3854" t="inlineStr">
        <is>
          <t>Calingatan</t>
        </is>
      </c>
    </row>
    <row r="3855" spans="1:1">
      <c r="A3855" t="inlineStr">
        <is>
          <t>District I</t>
        </is>
      </c>
    </row>
    <row r="3856" spans="1:1">
      <c r="A3856" t="inlineStr">
        <is>
          <t>District II</t>
        </is>
      </c>
    </row>
    <row r="3857" spans="1:1">
      <c r="A3857" t="inlineStr">
        <is>
          <t>District III</t>
        </is>
      </c>
    </row>
    <row r="3858" spans="1:1">
      <c r="A3858" t="inlineStr">
        <is>
          <t>District IV</t>
        </is>
      </c>
    </row>
    <row r="3859" spans="1:1">
      <c r="A3859" t="inlineStr">
        <is>
          <t>Kinalaglagan</t>
        </is>
      </c>
    </row>
    <row r="3860" spans="1:1">
      <c r="A3860" t="inlineStr">
        <is>
          <t>Loob</t>
        </is>
      </c>
    </row>
    <row r="3861" spans="1:1">
      <c r="A3861" t="inlineStr">
        <is>
          <t>Lumang Lipa</t>
        </is>
      </c>
    </row>
    <row r="3862" spans="1:1">
      <c r="A3862" t="inlineStr">
        <is>
          <t>Manggahan</t>
        </is>
      </c>
    </row>
    <row r="3863" spans="1:1">
      <c r="A3863" t="inlineStr">
        <is>
          <t>Nangkaan</t>
        </is>
      </c>
    </row>
    <row r="3864" spans="1:1">
      <c r="A3864" t="inlineStr">
        <is>
          <t>San Sebastian</t>
        </is>
      </c>
    </row>
    <row r="3865" spans="1:1">
      <c r="A3865" t="inlineStr">
        <is>
          <t>Santol</t>
        </is>
      </c>
    </row>
    <row r="3866" spans="1:1">
      <c r="A3866" t="inlineStr">
        <is>
          <t>Upa</t>
        </is>
      </c>
    </row>
    <row r="3867" spans="1:1">
      <c r="A3867" t="inlineStr">
        <is>
          <t>Aga</t>
        </is>
      </c>
    </row>
    <row r="3868" spans="1:1">
      <c r="A3868" t="inlineStr">
        <is>
          <t>Balaytigui</t>
        </is>
      </c>
    </row>
    <row r="3869" spans="1:1">
      <c r="A3869" t="inlineStr">
        <is>
          <t>Banilad</t>
        </is>
      </c>
    </row>
    <row r="3870" spans="1:1">
      <c r="A3870" t="inlineStr">
        <is>
          <t>Barangay 1</t>
        </is>
      </c>
    </row>
    <row r="3871" spans="1:1">
      <c r="A3871" t="inlineStr">
        <is>
          <t>Barangay 10</t>
        </is>
      </c>
    </row>
    <row r="3872" spans="1:1">
      <c r="A3872" t="inlineStr">
        <is>
          <t>Barangay 11</t>
        </is>
      </c>
    </row>
    <row r="3873" spans="1:1">
      <c r="A3873" t="inlineStr">
        <is>
          <t>Barangay 12</t>
        </is>
      </c>
    </row>
    <row r="3874" spans="1:1">
      <c r="A3874" t="inlineStr">
        <is>
          <t>Barangay 2</t>
        </is>
      </c>
    </row>
    <row r="3875" spans="1:1">
      <c r="A3875" t="inlineStr">
        <is>
          <t>Barangay 3</t>
        </is>
      </c>
    </row>
    <row r="3876" spans="1:1">
      <c r="A3876" t="inlineStr">
        <is>
          <t>Barangay 4</t>
        </is>
      </c>
    </row>
    <row r="3877" spans="1:1">
      <c r="A3877" t="inlineStr">
        <is>
          <t>Barangay 5</t>
        </is>
      </c>
    </row>
    <row r="3878" spans="1:1">
      <c r="A3878" t="inlineStr">
        <is>
          <t>Barangay 6</t>
        </is>
      </c>
    </row>
    <row r="3879" spans="1:1">
      <c r="A3879" t="inlineStr">
        <is>
          <t>Barangay 7</t>
        </is>
      </c>
    </row>
    <row r="3880" spans="1:1">
      <c r="A3880" t="inlineStr">
        <is>
          <t>Barangay 8</t>
        </is>
      </c>
    </row>
    <row r="3881" spans="1:1">
      <c r="A3881" t="inlineStr">
        <is>
          <t>Barangay 9</t>
        </is>
      </c>
    </row>
    <row r="3882" spans="1:1">
      <c r="A3882" t="inlineStr">
        <is>
          <t>Bilaran</t>
        </is>
      </c>
    </row>
    <row r="3883" spans="1:1">
      <c r="A3883" t="inlineStr">
        <is>
          <t>Bucana</t>
        </is>
      </c>
    </row>
    <row r="3884" spans="1:1">
      <c r="A3884" t="inlineStr">
        <is>
          <t>Bulihan</t>
        </is>
      </c>
    </row>
    <row r="3885" spans="1:1">
      <c r="A3885" t="inlineStr">
        <is>
          <t>Bunducan</t>
        </is>
      </c>
    </row>
    <row r="3886" spans="1:1">
      <c r="A3886" t="inlineStr">
        <is>
          <t>Butucan</t>
        </is>
      </c>
    </row>
    <row r="3887" spans="1:1">
      <c r="A3887" t="inlineStr">
        <is>
          <t>Calayo</t>
        </is>
      </c>
    </row>
    <row r="3888" spans="1:1">
      <c r="A3888" t="inlineStr">
        <is>
          <t>Catandaan</t>
        </is>
      </c>
    </row>
    <row r="3889" spans="1:1">
      <c r="A3889" t="inlineStr">
        <is>
          <t>Cogunan</t>
        </is>
      </c>
    </row>
    <row r="3890" spans="1:1">
      <c r="A3890" t="inlineStr">
        <is>
          <t>Dayap</t>
        </is>
      </c>
    </row>
    <row r="3891" spans="1:1">
      <c r="A3891" t="inlineStr">
        <is>
          <t>Kaylaway</t>
        </is>
      </c>
    </row>
    <row r="3892" spans="1:1">
      <c r="A3892" t="inlineStr">
        <is>
          <t>Kayrilaw</t>
        </is>
      </c>
    </row>
    <row r="3893" spans="1:1">
      <c r="A3893" t="inlineStr">
        <is>
          <t>Latag</t>
        </is>
      </c>
    </row>
    <row r="3894" spans="1:1">
      <c r="A3894" t="inlineStr">
        <is>
          <t>Looc</t>
        </is>
      </c>
    </row>
    <row r="3895" spans="1:1">
      <c r="A3895" t="inlineStr">
        <is>
          <t>Lumbangan</t>
        </is>
      </c>
    </row>
    <row r="3896" spans="1:1">
      <c r="A3896" t="inlineStr">
        <is>
          <t>Malapad Na Bato</t>
        </is>
      </c>
    </row>
    <row r="3897" spans="1:1">
      <c r="A3897" t="inlineStr">
        <is>
          <t>Mataas Na Pulo</t>
        </is>
      </c>
    </row>
    <row r="3898" spans="1:1">
      <c r="A3898" t="inlineStr">
        <is>
          <t>Maugat</t>
        </is>
      </c>
    </row>
    <row r="3899" spans="1:1">
      <c r="A3899" t="inlineStr">
        <is>
          <t>Munting Indan</t>
        </is>
      </c>
    </row>
    <row r="3900" spans="1:1">
      <c r="A3900" t="inlineStr">
        <is>
          <t>Natipuan</t>
        </is>
      </c>
    </row>
    <row r="3901" spans="1:1">
      <c r="A3901" t="inlineStr">
        <is>
          <t>Pantalan</t>
        </is>
      </c>
    </row>
    <row r="3902" spans="1:1">
      <c r="A3902" t="inlineStr">
        <is>
          <t>Papaya</t>
        </is>
      </c>
    </row>
    <row r="3903" spans="1:1">
      <c r="A3903" t="inlineStr">
        <is>
          <t>Putat</t>
        </is>
      </c>
    </row>
    <row r="3904" spans="1:1">
      <c r="A3904" t="inlineStr">
        <is>
          <t>Reparo</t>
        </is>
      </c>
    </row>
    <row r="3905" spans="1:1">
      <c r="A3905" t="inlineStr">
        <is>
          <t>Talangan</t>
        </is>
      </c>
    </row>
    <row r="3906" spans="1:1">
      <c r="A3906" t="inlineStr">
        <is>
          <t>Tumalim</t>
        </is>
      </c>
    </row>
    <row r="3907" spans="1:1">
      <c r="A3907" t="inlineStr">
        <is>
          <t>Utod</t>
        </is>
      </c>
    </row>
    <row r="3908" spans="1:1">
      <c r="A3908" t="inlineStr">
        <is>
          <t>Wawa</t>
        </is>
      </c>
    </row>
    <row r="3909" spans="1:1">
      <c r="A3909" t="inlineStr">
        <is>
          <t>Banaba</t>
        </is>
      </c>
    </row>
    <row r="3910" spans="1:1">
      <c r="A3910" t="inlineStr">
        <is>
          <t>Banaybanay</t>
        </is>
      </c>
    </row>
    <row r="3911" spans="1:1">
      <c r="A3911" t="inlineStr">
        <is>
          <t>Bawi</t>
        </is>
      </c>
    </row>
    <row r="3912" spans="1:1">
      <c r="A3912" t="inlineStr">
        <is>
          <t>Bukal</t>
        </is>
      </c>
    </row>
    <row r="3913" spans="1:1">
      <c r="A3913" t="inlineStr">
        <is>
          <t>Castillo</t>
        </is>
      </c>
    </row>
    <row r="3914" spans="1:1">
      <c r="A3914" t="inlineStr">
        <is>
          <t>Cawongan</t>
        </is>
      </c>
    </row>
    <row r="3915" spans="1:1">
      <c r="A3915" t="inlineStr">
        <is>
          <t>Manggas</t>
        </is>
      </c>
    </row>
    <row r="3916" spans="1:1">
      <c r="A3916" t="inlineStr">
        <is>
          <t>Maugat East</t>
        </is>
      </c>
    </row>
    <row r="3917" spans="1:1">
      <c r="A3917" t="inlineStr">
        <is>
          <t>Maugat West</t>
        </is>
      </c>
    </row>
    <row r="3918" spans="1:1">
      <c r="A3918" t="inlineStr">
        <is>
          <t>Pansol</t>
        </is>
      </c>
    </row>
    <row r="3919" spans="1:1">
      <c r="A3919" t="inlineStr">
        <is>
          <t>Payapa</t>
        </is>
      </c>
    </row>
    <row r="3920" spans="1:1">
      <c r="A3920" t="inlineStr">
        <is>
          <t>Poblacion</t>
        </is>
      </c>
    </row>
    <row r="3921" spans="1:1">
      <c r="A3921" t="inlineStr">
        <is>
          <t>Quilo-quilo North</t>
        </is>
      </c>
    </row>
    <row r="3922" spans="1:1">
      <c r="A3922" t="inlineStr">
        <is>
          <t>Quilo-quilo South</t>
        </is>
      </c>
    </row>
    <row r="3923" spans="1:1">
      <c r="A3923" t="inlineStr">
        <is>
          <t>San Felipe</t>
        </is>
      </c>
    </row>
    <row r="3924" spans="1:1">
      <c r="A3924" t="inlineStr">
        <is>
          <t>San Miguel</t>
        </is>
      </c>
    </row>
    <row r="3925" spans="1:1">
      <c r="A3925" t="inlineStr">
        <is>
          <t>Tamak</t>
        </is>
      </c>
    </row>
    <row r="3926" spans="1:1">
      <c r="A3926" t="inlineStr">
        <is>
          <t>Tangob</t>
        </is>
      </c>
    </row>
    <row r="3927" spans="1:1">
      <c r="A3927" t="inlineStr">
        <is>
          <t>Alupay</t>
        </is>
      </c>
    </row>
    <row r="3928" spans="1:1">
      <c r="A3928" t="inlineStr">
        <is>
          <t>Antipolo</t>
        </is>
      </c>
    </row>
    <row r="3929" spans="1:1">
      <c r="A3929" t="inlineStr">
        <is>
          <t>Bagong Pook</t>
        </is>
      </c>
    </row>
    <row r="3930" spans="1:1">
      <c r="A3930" t="inlineStr">
        <is>
          <t>Balibago</t>
        </is>
      </c>
    </row>
    <row r="3931" spans="1:1">
      <c r="A3931" t="inlineStr">
        <is>
          <t>Barangay A</t>
        </is>
      </c>
    </row>
    <row r="3932" spans="1:1">
      <c r="A3932" t="inlineStr">
        <is>
          <t>Barangay B</t>
        </is>
      </c>
    </row>
    <row r="3933" spans="1:1">
      <c r="A3933" t="inlineStr">
        <is>
          <t>Barangay C</t>
        </is>
      </c>
    </row>
    <row r="3934" spans="1:1">
      <c r="A3934" t="inlineStr">
        <is>
          <t>Barangay D</t>
        </is>
      </c>
    </row>
    <row r="3935" spans="1:1">
      <c r="A3935" t="inlineStr">
        <is>
          <t>Barangay E</t>
        </is>
      </c>
    </row>
    <row r="3936" spans="1:1">
      <c r="A3936" t="inlineStr">
        <is>
          <t>Bayawang</t>
        </is>
      </c>
    </row>
    <row r="3937" spans="1:1">
      <c r="A3937" t="inlineStr">
        <is>
          <t>Baybayin</t>
        </is>
      </c>
    </row>
    <row r="3938" spans="1:1">
      <c r="A3938" t="inlineStr">
        <is>
          <t>Bulihan</t>
        </is>
      </c>
    </row>
    <row r="3939" spans="1:1">
      <c r="A3939" t="inlineStr">
        <is>
          <t>Cahigam</t>
        </is>
      </c>
    </row>
    <row r="3940" spans="1:1">
      <c r="A3940" t="inlineStr">
        <is>
          <t>Calantas</t>
        </is>
      </c>
    </row>
    <row r="3941" spans="1:1">
      <c r="A3941" t="inlineStr">
        <is>
          <t>Colongan</t>
        </is>
      </c>
    </row>
    <row r="3942" spans="1:1">
      <c r="A3942" t="inlineStr">
        <is>
          <t>Itlugan</t>
        </is>
      </c>
    </row>
    <row r="3943" spans="1:1">
      <c r="A3943" t="inlineStr">
        <is>
          <t>Leviste</t>
        </is>
      </c>
    </row>
    <row r="3944" spans="1:1">
      <c r="A3944" t="inlineStr">
        <is>
          <t>Lumbangan</t>
        </is>
      </c>
    </row>
    <row r="3945" spans="1:1">
      <c r="A3945" t="inlineStr">
        <is>
          <t>Maalas-As</t>
        </is>
      </c>
    </row>
    <row r="3946" spans="1:1">
      <c r="A3946" t="inlineStr">
        <is>
          <t>Mabato</t>
        </is>
      </c>
    </row>
    <row r="3947" spans="1:1">
      <c r="A3947" t="inlineStr">
        <is>
          <t>Mabunga</t>
        </is>
      </c>
    </row>
    <row r="3948" spans="1:1">
      <c r="A3948" t="inlineStr">
        <is>
          <t>Macalamcam A</t>
        </is>
      </c>
    </row>
    <row r="3949" spans="1:1">
      <c r="A3949" t="inlineStr">
        <is>
          <t>Macalamcam B</t>
        </is>
      </c>
    </row>
    <row r="3950" spans="1:1">
      <c r="A3950" t="inlineStr">
        <is>
          <t>Malaya</t>
        </is>
      </c>
    </row>
    <row r="3951" spans="1:1">
      <c r="A3951" t="inlineStr">
        <is>
          <t>Maligaya</t>
        </is>
      </c>
    </row>
    <row r="3952" spans="1:1">
      <c r="A3952" t="inlineStr">
        <is>
          <t>Marilag</t>
        </is>
      </c>
    </row>
    <row r="3953" spans="1:1">
      <c r="A3953" t="inlineStr">
        <is>
          <t>Masaya</t>
        </is>
      </c>
    </row>
    <row r="3954" spans="1:1">
      <c r="A3954" t="inlineStr">
        <is>
          <t>Matamis</t>
        </is>
      </c>
    </row>
    <row r="3955" spans="1:1">
      <c r="A3955" t="inlineStr">
        <is>
          <t>Mavalor</t>
        </is>
      </c>
    </row>
    <row r="3956" spans="1:1">
      <c r="A3956" t="inlineStr">
        <is>
          <t>Mayuro</t>
        </is>
      </c>
    </row>
    <row r="3957" spans="1:1">
      <c r="A3957" t="inlineStr">
        <is>
          <t>Namuco</t>
        </is>
      </c>
    </row>
    <row r="3958" spans="1:1">
      <c r="A3958" t="inlineStr">
        <is>
          <t>Namunga</t>
        </is>
      </c>
    </row>
    <row r="3959" spans="1:1">
      <c r="A3959" t="inlineStr">
        <is>
          <t>Nasi</t>
        </is>
      </c>
    </row>
    <row r="3960" spans="1:1">
      <c r="A3960" t="inlineStr">
        <is>
          <t>Natu</t>
        </is>
      </c>
    </row>
    <row r="3961" spans="1:1">
      <c r="A3961" t="inlineStr">
        <is>
          <t>Palakpak</t>
        </is>
      </c>
    </row>
    <row r="3962" spans="1:1">
      <c r="A3962" t="inlineStr">
        <is>
          <t>Pinagsibaan</t>
        </is>
      </c>
    </row>
    <row r="3963" spans="1:1">
      <c r="A3963" t="inlineStr">
        <is>
          <t>Putingkahoy</t>
        </is>
      </c>
    </row>
    <row r="3964" spans="1:1">
      <c r="A3964" t="inlineStr">
        <is>
          <t>Quilib</t>
        </is>
      </c>
    </row>
    <row r="3965" spans="1:1">
      <c r="A3965" t="inlineStr">
        <is>
          <t>Salao</t>
        </is>
      </c>
    </row>
    <row r="3966" spans="1:1">
      <c r="A3966" t="inlineStr">
        <is>
          <t>San Carlos</t>
        </is>
      </c>
    </row>
    <row r="3967" spans="1:1">
      <c r="A3967" t="inlineStr">
        <is>
          <t>San Ignacio</t>
        </is>
      </c>
    </row>
    <row r="3968" spans="1:1">
      <c r="A3968" t="inlineStr">
        <is>
          <t>San Isidro</t>
        </is>
      </c>
    </row>
    <row r="3969" spans="1:1">
      <c r="A3969" t="inlineStr">
        <is>
          <t>San Jose</t>
        </is>
      </c>
    </row>
    <row r="3970" spans="1:1">
      <c r="A3970" t="inlineStr">
        <is>
          <t>San Roque</t>
        </is>
      </c>
    </row>
    <row r="3971" spans="1:1">
      <c r="A3971" t="inlineStr">
        <is>
          <t>Santa Cruz</t>
        </is>
      </c>
    </row>
    <row r="3972" spans="1:1">
      <c r="A3972" t="inlineStr">
        <is>
          <t>Timbugan</t>
        </is>
      </c>
    </row>
    <row r="3973" spans="1:1">
      <c r="A3973" t="inlineStr">
        <is>
          <t>Tiquiwan</t>
        </is>
      </c>
    </row>
    <row r="3974" spans="1:1">
      <c r="A3974" t="inlineStr">
        <is>
          <t>Tulos</t>
        </is>
      </c>
    </row>
    <row r="3975" spans="1:1">
      <c r="A3975" t="inlineStr">
        <is>
          <t>Aguila</t>
        </is>
      </c>
    </row>
    <row r="3976" spans="1:1">
      <c r="A3976" t="inlineStr">
        <is>
          <t>Anus</t>
        </is>
      </c>
    </row>
    <row r="3977" spans="1:1">
      <c r="A3977" t="inlineStr">
        <is>
          <t>Aya</t>
        </is>
      </c>
    </row>
    <row r="3978" spans="1:1">
      <c r="A3978" t="inlineStr">
        <is>
          <t>Bagong Pook</t>
        </is>
      </c>
    </row>
    <row r="3979" spans="1:1">
      <c r="A3979" t="inlineStr">
        <is>
          <t>Balagtasin</t>
        </is>
      </c>
    </row>
    <row r="3980" spans="1:1">
      <c r="A3980" t="inlineStr">
        <is>
          <t>Balagtasin I</t>
        </is>
      </c>
    </row>
    <row r="3981" spans="1:1">
      <c r="A3981" t="inlineStr">
        <is>
          <t>Banaybanay I</t>
        </is>
      </c>
    </row>
    <row r="3982" spans="1:1">
      <c r="A3982" t="inlineStr">
        <is>
          <t>Banaybanay II</t>
        </is>
      </c>
    </row>
    <row r="3983" spans="1:1">
      <c r="A3983" t="inlineStr">
        <is>
          <t>Bigain I</t>
        </is>
      </c>
    </row>
    <row r="3984" spans="1:1">
      <c r="A3984" t="inlineStr">
        <is>
          <t>Bigain II</t>
        </is>
      </c>
    </row>
    <row r="3985" spans="1:1">
      <c r="A3985" t="inlineStr">
        <is>
          <t>Bigain South</t>
        </is>
      </c>
    </row>
    <row r="3986" spans="1:1">
      <c r="A3986" t="inlineStr">
        <is>
          <t>Calansayan</t>
        </is>
      </c>
    </row>
    <row r="3987" spans="1:1">
      <c r="A3987" t="inlineStr">
        <is>
          <t>Dagatan</t>
        </is>
      </c>
    </row>
    <row r="3988" spans="1:1">
      <c r="A3988" t="inlineStr">
        <is>
          <t>Don Luis</t>
        </is>
      </c>
    </row>
    <row r="3989" spans="1:1">
      <c r="A3989" t="inlineStr">
        <is>
          <t>Galamay-Amo</t>
        </is>
      </c>
    </row>
    <row r="3990" spans="1:1">
      <c r="A3990" t="inlineStr">
        <is>
          <t>Lalayat</t>
        </is>
      </c>
    </row>
    <row r="3991" spans="1:1">
      <c r="A3991" t="inlineStr">
        <is>
          <t>Lapolapo I</t>
        </is>
      </c>
    </row>
    <row r="3992" spans="1:1">
      <c r="A3992" t="inlineStr">
        <is>
          <t>Lapolapo II</t>
        </is>
      </c>
    </row>
    <row r="3993" spans="1:1">
      <c r="A3993" t="inlineStr">
        <is>
          <t>Lepute</t>
        </is>
      </c>
    </row>
    <row r="3994" spans="1:1">
      <c r="A3994" t="inlineStr">
        <is>
          <t>Lumil</t>
        </is>
      </c>
    </row>
    <row r="3995" spans="1:1">
      <c r="A3995" t="inlineStr">
        <is>
          <t>Mojon-Tampoy</t>
        </is>
      </c>
    </row>
    <row r="3996" spans="1:1">
      <c r="A3996" t="inlineStr">
        <is>
          <t>Natunuan</t>
        </is>
      </c>
    </row>
    <row r="3997" spans="1:1">
      <c r="A3997" t="inlineStr">
        <is>
          <t>Palanca</t>
        </is>
      </c>
    </row>
    <row r="3998" spans="1:1">
      <c r="A3998" t="inlineStr">
        <is>
          <t>Pinagtung-Ulan</t>
        </is>
      </c>
    </row>
    <row r="3999" spans="1:1">
      <c r="A3999" t="inlineStr">
        <is>
          <t>Poblacion Barangay I</t>
        </is>
      </c>
    </row>
    <row r="4000" spans="1:1">
      <c r="A4000" t="inlineStr">
        <is>
          <t>Poblacion Barangay II</t>
        </is>
      </c>
    </row>
    <row r="4001" spans="1:1">
      <c r="A4001" t="inlineStr">
        <is>
          <t>Poblacion Barangay III</t>
        </is>
      </c>
    </row>
    <row r="4002" spans="1:1">
      <c r="A4002" t="inlineStr">
        <is>
          <t>Poblacion Barangay IV</t>
        </is>
      </c>
    </row>
    <row r="4003" spans="1:1">
      <c r="A4003" t="inlineStr">
        <is>
          <t>Sabang</t>
        </is>
      </c>
    </row>
    <row r="4004" spans="1:1">
      <c r="A4004" t="inlineStr">
        <is>
          <t>Salaban</t>
        </is>
      </c>
    </row>
    <row r="4005" spans="1:1">
      <c r="A4005" t="inlineStr">
        <is>
          <t>Santo Cristo</t>
        </is>
      </c>
    </row>
    <row r="4006" spans="1:1">
      <c r="A4006" t="inlineStr">
        <is>
          <t>Taysan</t>
        </is>
      </c>
    </row>
    <row r="4007" spans="1:1">
      <c r="A4007" t="inlineStr">
        <is>
          <t>Tugtug</t>
        </is>
      </c>
    </row>
    <row r="4008" spans="1:1">
      <c r="A4008" t="inlineStr">
        <is>
          <t>Abung</t>
        </is>
      </c>
    </row>
    <row r="4009" spans="1:1">
      <c r="A4009" t="inlineStr">
        <is>
          <t>Balagbag</t>
        </is>
      </c>
    </row>
    <row r="4010" spans="1:1">
      <c r="A4010" t="inlineStr">
        <is>
          <t>Barualte</t>
        </is>
      </c>
    </row>
    <row r="4011" spans="1:1">
      <c r="A4011" t="inlineStr">
        <is>
          <t>Bataan</t>
        </is>
      </c>
    </row>
    <row r="4012" spans="1:1">
      <c r="A4012" t="inlineStr">
        <is>
          <t>Buhay Na Sapa</t>
        </is>
      </c>
    </row>
    <row r="4013" spans="1:1">
      <c r="A4013" t="inlineStr">
        <is>
          <t>Bulsa</t>
        </is>
      </c>
    </row>
    <row r="4014" spans="1:1">
      <c r="A4014" t="inlineStr">
        <is>
          <t>Calicanto</t>
        </is>
      </c>
    </row>
    <row r="4015" spans="1:1">
      <c r="A4015" t="inlineStr">
        <is>
          <t>Calitcalit</t>
        </is>
      </c>
    </row>
    <row r="4016" spans="1:1">
      <c r="A4016" t="inlineStr">
        <is>
          <t>Calubcub I</t>
        </is>
      </c>
    </row>
    <row r="4017" spans="1:1">
      <c r="A4017" t="inlineStr">
        <is>
          <t>Calubcub II</t>
        </is>
      </c>
    </row>
    <row r="4018" spans="1:1">
      <c r="A4018" t="inlineStr">
        <is>
          <t>Catmon</t>
        </is>
      </c>
    </row>
    <row r="4019" spans="1:1">
      <c r="A4019" t="inlineStr">
        <is>
          <t>Coloconto</t>
        </is>
      </c>
    </row>
    <row r="4020" spans="1:1">
      <c r="A4020" t="inlineStr">
        <is>
          <t>Escribano</t>
        </is>
      </c>
    </row>
    <row r="4021" spans="1:1">
      <c r="A4021" t="inlineStr">
        <is>
          <t>Hugom</t>
        </is>
      </c>
    </row>
    <row r="4022" spans="1:1">
      <c r="A4022" t="inlineStr">
        <is>
          <t>Imelda</t>
        </is>
      </c>
    </row>
    <row r="4023" spans="1:1">
      <c r="A4023" t="inlineStr">
        <is>
          <t>Janaojanao</t>
        </is>
      </c>
    </row>
    <row r="4024" spans="1:1">
      <c r="A4024" t="inlineStr">
        <is>
          <t>Laiya-Aplaya</t>
        </is>
      </c>
    </row>
    <row r="4025" spans="1:1">
      <c r="A4025" t="inlineStr">
        <is>
          <t>Laiya-Ibabao</t>
        </is>
      </c>
    </row>
    <row r="4026" spans="1:1">
      <c r="A4026" t="inlineStr">
        <is>
          <t>Libato</t>
        </is>
      </c>
    </row>
    <row r="4027" spans="1:1">
      <c r="A4027" t="inlineStr">
        <is>
          <t>Lipahan</t>
        </is>
      </c>
    </row>
    <row r="4028" spans="1:1">
      <c r="A4028" t="inlineStr">
        <is>
          <t>Mabalanoy</t>
        </is>
      </c>
    </row>
    <row r="4029" spans="1:1">
      <c r="A4029" t="inlineStr">
        <is>
          <t>Maraykit</t>
        </is>
      </c>
    </row>
    <row r="4030" spans="1:1">
      <c r="A4030" t="inlineStr">
        <is>
          <t>Muzon</t>
        </is>
      </c>
    </row>
    <row r="4031" spans="1:1">
      <c r="A4031" t="inlineStr">
        <is>
          <t>Nagsaulay</t>
        </is>
      </c>
    </row>
    <row r="4032" spans="1:1">
      <c r="A4032" t="inlineStr">
        <is>
          <t>Palahanan I</t>
        </is>
      </c>
    </row>
    <row r="4033" spans="1:1">
      <c r="A4033" t="inlineStr">
        <is>
          <t>Palahanan II</t>
        </is>
      </c>
    </row>
    <row r="4034" spans="1:1">
      <c r="A4034" t="inlineStr">
        <is>
          <t>Palingowak</t>
        </is>
      </c>
    </row>
    <row r="4035" spans="1:1">
      <c r="A4035" t="inlineStr">
        <is>
          <t>Pinagbayanan</t>
        </is>
      </c>
    </row>
    <row r="4036" spans="1:1">
      <c r="A4036" t="inlineStr">
        <is>
          <t>Poblacion</t>
        </is>
      </c>
    </row>
    <row r="4037" spans="1:1">
      <c r="A4037" t="inlineStr">
        <is>
          <t>Poctol</t>
        </is>
      </c>
    </row>
    <row r="4038" spans="1:1">
      <c r="A4038" t="inlineStr">
        <is>
          <t>Pulangbato</t>
        </is>
      </c>
    </row>
    <row r="4039" spans="1:1">
      <c r="A4039" t="inlineStr">
        <is>
          <t>Putingbuhangin</t>
        </is>
      </c>
    </row>
    <row r="4040" spans="1:1">
      <c r="A4040" t="inlineStr">
        <is>
          <t>Quipot</t>
        </is>
      </c>
    </row>
    <row r="4041" spans="1:1">
      <c r="A4041" t="inlineStr">
        <is>
          <t>Sampiro</t>
        </is>
      </c>
    </row>
    <row r="4042" spans="1:1">
      <c r="A4042" t="inlineStr">
        <is>
          <t>Sapangan</t>
        </is>
      </c>
    </row>
    <row r="4043" spans="1:1">
      <c r="A4043" t="inlineStr">
        <is>
          <t>Sico I</t>
        </is>
      </c>
    </row>
    <row r="4044" spans="1:1">
      <c r="A4044" t="inlineStr">
        <is>
          <t>Sico II</t>
        </is>
      </c>
    </row>
    <row r="4045" spans="1:1">
      <c r="A4045" t="inlineStr">
        <is>
          <t>Subukin</t>
        </is>
      </c>
    </row>
    <row r="4046" spans="1:1">
      <c r="A4046" t="inlineStr">
        <is>
          <t>Talahiban I</t>
        </is>
      </c>
    </row>
    <row r="4047" spans="1:1">
      <c r="A4047" t="inlineStr">
        <is>
          <t>Talahiban II</t>
        </is>
      </c>
    </row>
    <row r="4048" spans="1:1">
      <c r="A4048" t="inlineStr">
        <is>
          <t>Ticalan</t>
        </is>
      </c>
    </row>
    <row r="4049" spans="1:1">
      <c r="A4049" t="inlineStr">
        <is>
          <t>Tipaz</t>
        </is>
      </c>
    </row>
    <row r="4050" spans="1:1">
      <c r="A4050" t="inlineStr">
        <is>
          <t>Abiacao</t>
        </is>
      </c>
    </row>
    <row r="4051" spans="1:1">
      <c r="A4051" t="inlineStr">
        <is>
          <t>Bagong Tubig</t>
        </is>
      </c>
    </row>
    <row r="4052" spans="1:1">
      <c r="A4052" t="inlineStr">
        <is>
          <t>Balagtasin</t>
        </is>
      </c>
    </row>
    <row r="4053" spans="1:1">
      <c r="A4053" t="inlineStr">
        <is>
          <t>Balite</t>
        </is>
      </c>
    </row>
    <row r="4054" spans="1:1">
      <c r="A4054" t="inlineStr">
        <is>
          <t>Banoyo</t>
        </is>
      </c>
    </row>
    <row r="4055" spans="1:1">
      <c r="A4055" t="inlineStr">
        <is>
          <t>Boboy</t>
        </is>
      </c>
    </row>
    <row r="4056" spans="1:1">
      <c r="A4056" t="inlineStr">
        <is>
          <t>Bonliw</t>
        </is>
      </c>
    </row>
    <row r="4057" spans="1:1">
      <c r="A4057" t="inlineStr">
        <is>
          <t>Calumpang East</t>
        </is>
      </c>
    </row>
    <row r="4058" spans="1:1">
      <c r="A4058" t="inlineStr">
        <is>
          <t>Calumpang West</t>
        </is>
      </c>
    </row>
    <row r="4059" spans="1:1">
      <c r="A4059" t="inlineStr">
        <is>
          <t>Dulangan</t>
        </is>
      </c>
    </row>
    <row r="4060" spans="1:1">
      <c r="A4060" t="inlineStr">
        <is>
          <t>Durungao</t>
        </is>
      </c>
    </row>
    <row r="4061" spans="1:1">
      <c r="A4061" t="inlineStr">
        <is>
          <t>Locloc</t>
        </is>
      </c>
    </row>
    <row r="4062" spans="1:1">
      <c r="A4062" t="inlineStr">
        <is>
          <t>Luya</t>
        </is>
      </c>
    </row>
    <row r="4063" spans="1:1">
      <c r="A4063" t="inlineStr">
        <is>
          <t>Mahabang Parang</t>
        </is>
      </c>
    </row>
    <row r="4064" spans="1:1">
      <c r="A4064" t="inlineStr">
        <is>
          <t>Manggahan</t>
        </is>
      </c>
    </row>
    <row r="4065" spans="1:1">
      <c r="A4065" t="inlineStr">
        <is>
          <t>Muzon</t>
        </is>
      </c>
    </row>
    <row r="4066" spans="1:1">
      <c r="A4066" t="inlineStr">
        <is>
          <t>Poblacion</t>
        </is>
      </c>
    </row>
    <row r="4067" spans="1:1">
      <c r="A4067" t="inlineStr">
        <is>
          <t>San Antonio</t>
        </is>
      </c>
    </row>
    <row r="4068" spans="1:1">
      <c r="A4068" t="inlineStr">
        <is>
          <t>San Isidro</t>
        </is>
      </c>
    </row>
    <row r="4069" spans="1:1">
      <c r="A4069" t="inlineStr">
        <is>
          <t>San Jose</t>
        </is>
      </c>
    </row>
    <row r="4070" spans="1:1">
      <c r="A4070" t="inlineStr">
        <is>
          <t>San Martin</t>
        </is>
      </c>
    </row>
    <row r="4071" spans="1:1">
      <c r="A4071" t="inlineStr">
        <is>
          <t>Santa Monica</t>
        </is>
      </c>
    </row>
    <row r="4072" spans="1:1">
      <c r="A4072" t="inlineStr">
        <is>
          <t>Taliba</t>
        </is>
      </c>
    </row>
    <row r="4073" spans="1:1">
      <c r="A4073" t="inlineStr">
        <is>
          <t>Talon</t>
        </is>
      </c>
    </row>
    <row r="4074" spans="1:1">
      <c r="A4074" t="inlineStr">
        <is>
          <t>Tejero</t>
        </is>
      </c>
    </row>
    <row r="4075" spans="1:1">
      <c r="A4075" t="inlineStr">
        <is>
          <t>Tungal</t>
        </is>
      </c>
    </row>
    <row r="4076" spans="1:1">
      <c r="A4076" t="inlineStr">
        <is>
          <t>Abelo</t>
        </is>
      </c>
    </row>
    <row r="4077" spans="1:1">
      <c r="A4077" t="inlineStr">
        <is>
          <t>Alas-as</t>
        </is>
      </c>
    </row>
    <row r="4078" spans="1:1">
      <c r="A4078" t="inlineStr">
        <is>
          <t>Balete</t>
        </is>
      </c>
    </row>
    <row r="4079" spans="1:1">
      <c r="A4079" t="inlineStr">
        <is>
          <t>Baluk-baluk</t>
        </is>
      </c>
    </row>
    <row r="4080" spans="1:1">
      <c r="A4080" t="inlineStr">
        <is>
          <t>Bancoro</t>
        </is>
      </c>
    </row>
    <row r="4081" spans="1:1">
      <c r="A4081" t="inlineStr">
        <is>
          <t>Bangin</t>
        </is>
      </c>
    </row>
    <row r="4082" spans="1:1">
      <c r="A4082" t="inlineStr">
        <is>
          <t>Calangay</t>
        </is>
      </c>
    </row>
    <row r="4083" spans="1:1">
      <c r="A4083" t="inlineStr">
        <is>
          <t>Hipit</t>
        </is>
      </c>
    </row>
    <row r="4084" spans="1:1">
      <c r="A4084" t="inlineStr">
        <is>
          <t>Maabud North</t>
        </is>
      </c>
    </row>
    <row r="4085" spans="1:1">
      <c r="A4085" t="inlineStr">
        <is>
          <t>Maabud South</t>
        </is>
      </c>
    </row>
    <row r="4086" spans="1:1">
      <c r="A4086" t="inlineStr">
        <is>
          <t>Munlawin</t>
        </is>
      </c>
    </row>
    <row r="4087" spans="1:1">
      <c r="A4087" t="inlineStr">
        <is>
          <t>Pansipit</t>
        </is>
      </c>
    </row>
    <row r="4088" spans="1:1">
      <c r="A4088" t="inlineStr">
        <is>
          <t>Poblacion</t>
        </is>
      </c>
    </row>
    <row r="4089" spans="1:1">
      <c r="A4089" t="inlineStr">
        <is>
          <t>Pulang-Bato</t>
        </is>
      </c>
    </row>
    <row r="4090" spans="1:1">
      <c r="A4090" t="inlineStr">
        <is>
          <t>Santo Niño</t>
        </is>
      </c>
    </row>
    <row r="4091" spans="1:1">
      <c r="A4091" t="inlineStr">
        <is>
          <t>Sinturisan</t>
        </is>
      </c>
    </row>
    <row r="4092" spans="1:1">
      <c r="A4092" t="inlineStr">
        <is>
          <t>Tagudtod</t>
        </is>
      </c>
    </row>
    <row r="4093" spans="1:1">
      <c r="A4093" t="inlineStr">
        <is>
          <t>Talang</t>
        </is>
      </c>
    </row>
    <row r="4094" spans="1:1">
      <c r="A4094" t="inlineStr">
        <is>
          <t>Alalum</t>
        </is>
      </c>
    </row>
    <row r="4095" spans="1:1">
      <c r="A4095" t="inlineStr">
        <is>
          <t>Antipolo</t>
        </is>
      </c>
    </row>
    <row r="4096" spans="1:1">
      <c r="A4096" t="inlineStr">
        <is>
          <t>Balimbing</t>
        </is>
      </c>
    </row>
    <row r="4097" spans="1:1">
      <c r="A4097" t="inlineStr">
        <is>
          <t>Banaba</t>
        </is>
      </c>
    </row>
    <row r="4098" spans="1:1">
      <c r="A4098" t="inlineStr">
        <is>
          <t>Bayanan</t>
        </is>
      </c>
    </row>
    <row r="4099" spans="1:1">
      <c r="A4099" t="inlineStr">
        <is>
          <t>Danglayan</t>
        </is>
      </c>
    </row>
    <row r="4100" spans="1:1">
      <c r="A4100" t="inlineStr">
        <is>
          <t>Del Pilar</t>
        </is>
      </c>
    </row>
    <row r="4101" spans="1:1">
      <c r="A4101" t="inlineStr">
        <is>
          <t>Gelerang Kawayan</t>
        </is>
      </c>
    </row>
    <row r="4102" spans="1:1">
      <c r="A4102" t="inlineStr">
        <is>
          <t>Ilat North</t>
        </is>
      </c>
    </row>
    <row r="4103" spans="1:1">
      <c r="A4103" t="inlineStr">
        <is>
          <t>Ilat South</t>
        </is>
      </c>
    </row>
    <row r="4104" spans="1:1">
      <c r="A4104" t="inlineStr">
        <is>
          <t>Kaingin</t>
        </is>
      </c>
    </row>
    <row r="4105" spans="1:1">
      <c r="A4105" t="inlineStr">
        <is>
          <t>Laurel</t>
        </is>
      </c>
    </row>
    <row r="4106" spans="1:1">
      <c r="A4106" t="inlineStr">
        <is>
          <t>Malaking Pook</t>
        </is>
      </c>
    </row>
    <row r="4107" spans="1:1">
      <c r="A4107" t="inlineStr">
        <is>
          <t>Mataas Na Lupa</t>
        </is>
      </c>
    </row>
    <row r="4108" spans="1:1">
      <c r="A4108" t="inlineStr">
        <is>
          <t>Natunuan North</t>
        </is>
      </c>
    </row>
    <row r="4109" spans="1:1">
      <c r="A4109" t="inlineStr">
        <is>
          <t>Natunuan South</t>
        </is>
      </c>
    </row>
    <row r="4110" spans="1:1">
      <c r="A4110" t="inlineStr">
        <is>
          <t>Padre Castillo</t>
        </is>
      </c>
    </row>
    <row r="4111" spans="1:1">
      <c r="A4111" t="inlineStr">
        <is>
          <t>Palsahingin</t>
        </is>
      </c>
    </row>
    <row r="4112" spans="1:1">
      <c r="A4112" t="inlineStr">
        <is>
          <t>Pila</t>
        </is>
      </c>
    </row>
    <row r="4113" spans="1:1">
      <c r="A4113" t="inlineStr">
        <is>
          <t>Poblacion</t>
        </is>
      </c>
    </row>
    <row r="4114" spans="1:1">
      <c r="A4114" t="inlineStr">
        <is>
          <t>Pook Ni Banal</t>
        </is>
      </c>
    </row>
    <row r="4115" spans="1:1">
      <c r="A4115" t="inlineStr">
        <is>
          <t>Pook Ni Kapitan</t>
        </is>
      </c>
    </row>
    <row r="4116" spans="1:1">
      <c r="A4116" t="inlineStr">
        <is>
          <t>Resplandor</t>
        </is>
      </c>
    </row>
    <row r="4117" spans="1:1">
      <c r="A4117" t="inlineStr">
        <is>
          <t>Sambat</t>
        </is>
      </c>
    </row>
    <row r="4118" spans="1:1">
      <c r="A4118" t="inlineStr">
        <is>
          <t>San Antonio</t>
        </is>
      </c>
    </row>
    <row r="4119" spans="1:1">
      <c r="A4119" t="inlineStr">
        <is>
          <t>San Mariano</t>
        </is>
      </c>
    </row>
    <row r="4120" spans="1:1">
      <c r="A4120" t="inlineStr">
        <is>
          <t>San Mateo</t>
        </is>
      </c>
    </row>
    <row r="4121" spans="1:1">
      <c r="A4121" t="inlineStr">
        <is>
          <t>Santa Elena</t>
        </is>
      </c>
    </row>
    <row r="4122" spans="1:1">
      <c r="A4122" t="inlineStr">
        <is>
          <t>Santo Niño</t>
        </is>
      </c>
    </row>
    <row r="4123" spans="1:1">
      <c r="A4123" t="inlineStr">
        <is>
          <t>Antipolo</t>
        </is>
      </c>
    </row>
    <row r="4124" spans="1:1">
      <c r="A4124" t="inlineStr">
        <is>
          <t>Bihis</t>
        </is>
      </c>
    </row>
    <row r="4125" spans="1:1">
      <c r="A4125" t="inlineStr">
        <is>
          <t>Burol</t>
        </is>
      </c>
    </row>
    <row r="4126" spans="1:1">
      <c r="A4126" t="inlineStr">
        <is>
          <t>Calayaan</t>
        </is>
      </c>
    </row>
    <row r="4127" spans="1:1">
      <c r="A4127" t="inlineStr">
        <is>
          <t>Calumala</t>
        </is>
      </c>
    </row>
    <row r="4128" spans="1:1">
      <c r="A4128" t="inlineStr">
        <is>
          <t>Cuta East</t>
        </is>
      </c>
    </row>
    <row r="4129" spans="1:1">
      <c r="A4129" t="inlineStr">
        <is>
          <t>Cutang Cawayan</t>
        </is>
      </c>
    </row>
    <row r="4130" spans="1:1">
      <c r="A4130" t="inlineStr">
        <is>
          <t>Irukan</t>
        </is>
      </c>
    </row>
    <row r="4131" spans="1:1">
      <c r="A4131" t="inlineStr">
        <is>
          <t>Pacifico</t>
        </is>
      </c>
    </row>
    <row r="4132" spans="1:1">
      <c r="A4132" t="inlineStr">
        <is>
          <t>Poblacion I</t>
        </is>
      </c>
    </row>
    <row r="4133" spans="1:1">
      <c r="A4133" t="inlineStr">
        <is>
          <t>Poblacion II</t>
        </is>
      </c>
    </row>
    <row r="4134" spans="1:1">
      <c r="A4134" t="inlineStr">
        <is>
          <t>Poblacion III</t>
        </is>
      </c>
    </row>
    <row r="4135" spans="1:1">
      <c r="A4135" t="inlineStr">
        <is>
          <t>Saimsim</t>
        </is>
      </c>
    </row>
    <row r="4136" spans="1:1">
      <c r="A4136" t="inlineStr">
        <is>
          <t>Sampa</t>
        </is>
      </c>
    </row>
    <row r="4137" spans="1:1">
      <c r="A4137" t="inlineStr">
        <is>
          <t>Sinipian</t>
        </is>
      </c>
    </row>
    <row r="4138" spans="1:1">
      <c r="A4138" t="inlineStr">
        <is>
          <t>Tambo Ibaba</t>
        </is>
      </c>
    </row>
    <row r="4139" spans="1:1">
      <c r="A4139" t="inlineStr">
        <is>
          <t>Tambo Ilaya</t>
        </is>
      </c>
    </row>
    <row r="4140" spans="1:1">
      <c r="A4140" t="inlineStr">
        <is>
          <t>Apacay</t>
        </is>
      </c>
    </row>
    <row r="4141" spans="1:1">
      <c r="A4141" t="inlineStr">
        <is>
          <t>Balisong</t>
        </is>
      </c>
    </row>
    <row r="4142" spans="1:1">
      <c r="A4142" t="inlineStr">
        <is>
          <t>Bihis</t>
        </is>
      </c>
    </row>
    <row r="4143" spans="1:1">
      <c r="A4143" t="inlineStr">
        <is>
          <t>Bolbok</t>
        </is>
      </c>
    </row>
    <row r="4144" spans="1:1">
      <c r="A4144" t="inlineStr">
        <is>
          <t>Buli</t>
        </is>
      </c>
    </row>
    <row r="4145" spans="1:1">
      <c r="A4145" t="inlineStr">
        <is>
          <t>Butong</t>
        </is>
      </c>
    </row>
    <row r="4146" spans="1:1">
      <c r="A4146" t="inlineStr">
        <is>
          <t>Carasuche</t>
        </is>
      </c>
    </row>
    <row r="4147" spans="1:1">
      <c r="A4147" t="inlineStr">
        <is>
          <t>Cawit</t>
        </is>
      </c>
    </row>
    <row r="4148" spans="1:1">
      <c r="A4148" t="inlineStr">
        <is>
          <t>Caysasay</t>
        </is>
      </c>
    </row>
    <row r="4149" spans="1:1">
      <c r="A4149" t="inlineStr">
        <is>
          <t>Cubamba</t>
        </is>
      </c>
    </row>
    <row r="4150" spans="1:1">
      <c r="A4150" t="inlineStr">
        <is>
          <t>Cultihan</t>
        </is>
      </c>
    </row>
    <row r="4151" spans="1:1">
      <c r="A4151" t="inlineStr">
        <is>
          <t>Gahol</t>
        </is>
      </c>
    </row>
    <row r="4152" spans="1:1">
      <c r="A4152" t="inlineStr">
        <is>
          <t>Halang</t>
        </is>
      </c>
    </row>
    <row r="4153" spans="1:1">
      <c r="A4153" t="inlineStr">
        <is>
          <t>Iba</t>
        </is>
      </c>
    </row>
    <row r="4154" spans="1:1">
      <c r="A4154" t="inlineStr">
        <is>
          <t>Ilog</t>
        </is>
      </c>
    </row>
    <row r="4155" spans="1:1">
      <c r="A4155" t="inlineStr">
        <is>
          <t>Imamawo</t>
        </is>
      </c>
    </row>
    <row r="4156" spans="1:1">
      <c r="A4156" t="inlineStr">
        <is>
          <t>Ipil</t>
        </is>
      </c>
    </row>
    <row r="4157" spans="1:1">
      <c r="A4157" t="inlineStr">
        <is>
          <t>Laguile</t>
        </is>
      </c>
    </row>
    <row r="4158" spans="1:1">
      <c r="A4158" t="inlineStr">
        <is>
          <t>Latag</t>
        </is>
      </c>
    </row>
    <row r="4159" spans="1:1">
      <c r="A4159" t="inlineStr">
        <is>
          <t>Luntal</t>
        </is>
      </c>
    </row>
    <row r="4160" spans="1:1">
      <c r="A4160" t="inlineStr">
        <is>
          <t>Mahabang Lodlod</t>
        </is>
      </c>
    </row>
    <row r="4161" spans="1:1">
      <c r="A4161" t="inlineStr">
        <is>
          <t>Niogan</t>
        </is>
      </c>
    </row>
    <row r="4162" spans="1:1">
      <c r="A4162" t="inlineStr">
        <is>
          <t>Pansol</t>
        </is>
      </c>
    </row>
    <row r="4163" spans="1:1">
      <c r="A4163" t="inlineStr">
        <is>
          <t>Poblacion 1</t>
        </is>
      </c>
    </row>
    <row r="4164" spans="1:1">
      <c r="A4164" t="inlineStr">
        <is>
          <t>Poblacion 10</t>
        </is>
      </c>
    </row>
    <row r="4165" spans="1:1">
      <c r="A4165" t="inlineStr">
        <is>
          <t>Poblacion 11</t>
        </is>
      </c>
    </row>
    <row r="4166" spans="1:1">
      <c r="A4166" t="inlineStr">
        <is>
          <t>Poblacion 12</t>
        </is>
      </c>
    </row>
    <row r="4167" spans="1:1">
      <c r="A4167" t="inlineStr">
        <is>
          <t>Poblacion 13</t>
        </is>
      </c>
    </row>
    <row r="4168" spans="1:1">
      <c r="A4168" t="inlineStr">
        <is>
          <t>Poblacion 14</t>
        </is>
      </c>
    </row>
    <row r="4169" spans="1:1">
      <c r="A4169" t="inlineStr">
        <is>
          <t>Poblacion 2</t>
        </is>
      </c>
    </row>
    <row r="4170" spans="1:1">
      <c r="A4170" t="inlineStr">
        <is>
          <t>Poblacion 3</t>
        </is>
      </c>
    </row>
    <row r="4171" spans="1:1">
      <c r="A4171" t="inlineStr">
        <is>
          <t>Poblacion 4</t>
        </is>
      </c>
    </row>
    <row r="4172" spans="1:1">
      <c r="A4172" t="inlineStr">
        <is>
          <t>Poblacion 5</t>
        </is>
      </c>
    </row>
    <row r="4173" spans="1:1">
      <c r="A4173" t="inlineStr">
        <is>
          <t>Poblacion 6</t>
        </is>
      </c>
    </row>
    <row r="4174" spans="1:1">
      <c r="A4174" t="inlineStr">
        <is>
          <t>Poblacion 7</t>
        </is>
      </c>
    </row>
    <row r="4175" spans="1:1">
      <c r="A4175" t="inlineStr">
        <is>
          <t>Poblacion 8</t>
        </is>
      </c>
    </row>
    <row r="4176" spans="1:1">
      <c r="A4176" t="inlineStr">
        <is>
          <t>Poblacion 9</t>
        </is>
      </c>
    </row>
    <row r="4177" spans="1:1">
      <c r="A4177" t="inlineStr">
        <is>
          <t>Pook</t>
        </is>
      </c>
    </row>
    <row r="4178" spans="1:1">
      <c r="A4178" t="inlineStr">
        <is>
          <t>Seiran</t>
        </is>
      </c>
    </row>
    <row r="4179" spans="1:1">
      <c r="A4179" t="inlineStr">
        <is>
          <t>Tatlong Maria</t>
        </is>
      </c>
    </row>
    <row r="4180" spans="1:1">
      <c r="A4180" t="inlineStr">
        <is>
          <t>Tierra Alta</t>
        </is>
      </c>
    </row>
    <row r="4181" spans="1:1">
      <c r="A4181" t="inlineStr">
        <is>
          <t>Tulo</t>
        </is>
      </c>
    </row>
    <row r="4182" spans="1:1">
      <c r="A4182" t="inlineStr">
        <is>
          <t>Aya</t>
        </is>
      </c>
    </row>
    <row r="4183" spans="1:1">
      <c r="A4183" t="inlineStr">
        <is>
          <t>Balas</t>
        </is>
      </c>
    </row>
    <row r="4184" spans="1:1">
      <c r="A4184" t="inlineStr">
        <is>
          <t>Banga</t>
        </is>
      </c>
    </row>
    <row r="4185" spans="1:1">
      <c r="A4185" t="inlineStr">
        <is>
          <t>Buco</t>
        </is>
      </c>
    </row>
    <row r="4186" spans="1:1">
      <c r="A4186" t="inlineStr">
        <is>
          <t>Caloocan</t>
        </is>
      </c>
    </row>
    <row r="4187" spans="1:1">
      <c r="A4187" t="inlineStr">
        <is>
          <t>Leynes</t>
        </is>
      </c>
    </row>
    <row r="4188" spans="1:1">
      <c r="A4188" t="inlineStr">
        <is>
          <t>Miranda</t>
        </is>
      </c>
    </row>
    <row r="4189" spans="1:1">
      <c r="A4189" t="inlineStr">
        <is>
          <t>Poblacion Barangay 1</t>
        </is>
      </c>
    </row>
    <row r="4190" spans="1:1">
      <c r="A4190" t="inlineStr">
        <is>
          <t>Poblacion Barangay 2</t>
        </is>
      </c>
    </row>
    <row r="4191" spans="1:1">
      <c r="A4191" t="inlineStr">
        <is>
          <t>Poblacion Barangay 3</t>
        </is>
      </c>
    </row>
    <row r="4192" spans="1:1">
      <c r="A4192" t="inlineStr">
        <is>
          <t>Poblacion Barangay 4</t>
        </is>
      </c>
    </row>
    <row r="4193" spans="1:1">
      <c r="A4193" t="inlineStr">
        <is>
          <t>Poblacion Barangay 5</t>
        </is>
      </c>
    </row>
    <row r="4194" spans="1:1">
      <c r="A4194" t="inlineStr">
        <is>
          <t>Poblacion Barangay 6</t>
        </is>
      </c>
    </row>
    <row r="4195" spans="1:1">
      <c r="A4195" t="inlineStr">
        <is>
          <t>Poblacion Barangay 7</t>
        </is>
      </c>
    </row>
    <row r="4196" spans="1:1">
      <c r="A4196" t="inlineStr">
        <is>
          <t>Poblacion Barangay 8</t>
        </is>
      </c>
    </row>
    <row r="4197" spans="1:1">
      <c r="A4197" t="inlineStr">
        <is>
          <t>Quiling</t>
        </is>
      </c>
    </row>
    <row r="4198" spans="1:1">
      <c r="A4198" t="inlineStr">
        <is>
          <t>Sampaloc</t>
        </is>
      </c>
    </row>
    <row r="4199" spans="1:1">
      <c r="A4199" t="inlineStr">
        <is>
          <t>San Guillermo</t>
        </is>
      </c>
    </row>
    <row r="4200" spans="1:1">
      <c r="A4200" t="inlineStr">
        <is>
          <t>Santa Maria</t>
        </is>
      </c>
    </row>
    <row r="4201" spans="1:1">
      <c r="A4201" t="inlineStr">
        <is>
          <t>Tranca</t>
        </is>
      </c>
    </row>
    <row r="4202" spans="1:1">
      <c r="A4202" t="inlineStr">
        <is>
          <t>Tumaway</t>
        </is>
      </c>
    </row>
    <row r="4203" spans="1:1">
      <c r="A4203" t="inlineStr">
        <is>
          <t>Bacao</t>
        </is>
      </c>
    </row>
    <row r="4204" spans="1:1">
      <c r="A4204" t="inlineStr">
        <is>
          <t>Bilogo</t>
        </is>
      </c>
    </row>
    <row r="4205" spans="1:1">
      <c r="A4205" t="inlineStr">
        <is>
          <t>Bukal</t>
        </is>
      </c>
    </row>
    <row r="4206" spans="1:1">
      <c r="A4206" t="inlineStr">
        <is>
          <t>Dagatan</t>
        </is>
      </c>
    </row>
    <row r="4207" spans="1:1">
      <c r="A4207" t="inlineStr">
        <is>
          <t>Guinhawa</t>
        </is>
      </c>
    </row>
    <row r="4208" spans="1:1">
      <c r="A4208" t="inlineStr">
        <is>
          <t>Laurel</t>
        </is>
      </c>
    </row>
    <row r="4209" spans="1:1">
      <c r="A4209" t="inlineStr">
        <is>
          <t>Mabayabas</t>
        </is>
      </c>
    </row>
    <row r="4210" spans="1:1">
      <c r="A4210" t="inlineStr">
        <is>
          <t>Mahanadiong</t>
        </is>
      </c>
    </row>
    <row r="4211" spans="1:1">
      <c r="A4211" t="inlineStr">
        <is>
          <t>Mapulo</t>
        </is>
      </c>
    </row>
    <row r="4212" spans="1:1">
      <c r="A4212" t="inlineStr">
        <is>
          <t>Mataas Na Lupa</t>
        </is>
      </c>
    </row>
    <row r="4213" spans="1:1">
      <c r="A4213" t="inlineStr">
        <is>
          <t>Pag-Asa</t>
        </is>
      </c>
    </row>
    <row r="4214" spans="1:1">
      <c r="A4214" t="inlineStr">
        <is>
          <t>Panghayaan</t>
        </is>
      </c>
    </row>
    <row r="4215" spans="1:1">
      <c r="A4215" t="inlineStr">
        <is>
          <t>Pinagbayanan</t>
        </is>
      </c>
    </row>
    <row r="4216" spans="1:1">
      <c r="A4216" t="inlineStr">
        <is>
          <t>Piña</t>
        </is>
      </c>
    </row>
    <row r="4217" spans="1:1">
      <c r="A4217" t="inlineStr">
        <is>
          <t>Poblacion East</t>
        </is>
      </c>
    </row>
    <row r="4218" spans="1:1">
      <c r="A4218" t="inlineStr">
        <is>
          <t>Poblacion West</t>
        </is>
      </c>
    </row>
    <row r="4219" spans="1:1">
      <c r="A4219" t="inlineStr">
        <is>
          <t>San Isidro</t>
        </is>
      </c>
    </row>
    <row r="4220" spans="1:1">
      <c r="A4220" t="inlineStr">
        <is>
          <t>San Marcelino</t>
        </is>
      </c>
    </row>
    <row r="4221" spans="1:1">
      <c r="A4221" t="inlineStr">
        <is>
          <t>Santo Niño</t>
        </is>
      </c>
    </row>
    <row r="4222" spans="1:1">
      <c r="A4222" t="inlineStr">
        <is>
          <t>Tilambo</t>
        </is>
      </c>
    </row>
    <row r="4223" spans="1:1">
      <c r="A4223" t="inlineStr">
        <is>
          <t>Barangay 13</t>
        </is>
      </c>
    </row>
    <row r="4224" spans="1:1">
      <c r="A4224" t="inlineStr">
        <is>
          <t>Barangay 14</t>
        </is>
      </c>
    </row>
    <row r="4225" spans="1:1">
      <c r="A4225" t="inlineStr">
        <is>
          <t>Barangay 15</t>
        </is>
      </c>
    </row>
    <row r="4226" spans="1:1">
      <c r="A4226" t="inlineStr">
        <is>
          <t>Corona</t>
        </is>
      </c>
    </row>
    <row r="4227" spans="1:1">
      <c r="A4227" t="inlineStr">
        <is>
          <t>Gamao</t>
        </is>
      </c>
    </row>
    <row r="4228" spans="1:1">
      <c r="A4228" t="inlineStr">
        <is>
          <t>Makawayan</t>
        </is>
      </c>
    </row>
    <row r="4229" spans="1:1">
      <c r="A4229" t="inlineStr">
        <is>
          <t>Marikaban</t>
        </is>
      </c>
    </row>
    <row r="4230" spans="1:1">
      <c r="A4230" t="inlineStr">
        <is>
          <t>Papaya</t>
        </is>
      </c>
    </row>
    <row r="4231" spans="1:1">
      <c r="A4231" t="inlineStr">
        <is>
          <t>Pisa</t>
        </is>
      </c>
    </row>
    <row r="4232" spans="1:1">
      <c r="A4232" t="inlineStr">
        <is>
          <t>San Isidro</t>
        </is>
      </c>
    </row>
    <row r="4233" spans="1:1">
      <c r="A4233" t="inlineStr">
        <is>
          <t>San Jose</t>
        </is>
      </c>
    </row>
    <row r="4234" spans="1:1">
      <c r="A4234" t="inlineStr">
        <is>
          <t>San Juan</t>
        </is>
      </c>
    </row>
    <row r="4235" spans="1:1">
      <c r="A4235" t="inlineStr">
        <is>
          <t>San Pedro</t>
        </is>
      </c>
    </row>
    <row r="4236" spans="1:1">
      <c r="A4236" t="inlineStr">
        <is>
          <t>Santo Tomas</t>
        </is>
      </c>
    </row>
    <row r="4237" spans="1:1">
      <c r="A4237" t="inlineStr">
        <is>
          <t>Talahib</t>
        </is>
      </c>
    </row>
    <row r="4238" spans="1:1">
      <c r="A4238" t="inlineStr">
        <is>
          <t>Acle</t>
        </is>
      </c>
    </row>
    <row r="4239" spans="1:1">
      <c r="A4239" t="inlineStr">
        <is>
          <t>Bayudbud</t>
        </is>
      </c>
    </row>
    <row r="4240" spans="1:1">
      <c r="A4240" t="inlineStr">
        <is>
          <t>Bolboc</t>
        </is>
      </c>
    </row>
    <row r="4241" spans="1:1">
      <c r="A4241" t="inlineStr">
        <is>
          <t>Burgos</t>
        </is>
      </c>
    </row>
    <row r="4242" spans="1:1">
      <c r="A4242" t="inlineStr">
        <is>
          <t>Dalima</t>
        </is>
      </c>
    </row>
    <row r="4243" spans="1:1">
      <c r="A4243" t="inlineStr">
        <is>
          <t>Dao</t>
        </is>
      </c>
    </row>
    <row r="4244" spans="1:1">
      <c r="A4244" t="inlineStr">
        <is>
          <t>Guinhawa</t>
        </is>
      </c>
    </row>
    <row r="4245" spans="1:1">
      <c r="A4245" t="inlineStr">
        <is>
          <t>Lumbangan</t>
        </is>
      </c>
    </row>
    <row r="4246" spans="1:1">
      <c r="A4246" t="inlineStr">
        <is>
          <t>Luna</t>
        </is>
      </c>
    </row>
    <row r="4247" spans="1:1">
      <c r="A4247" t="inlineStr">
        <is>
          <t>Luntal</t>
        </is>
      </c>
    </row>
    <row r="4248" spans="1:1">
      <c r="A4248" t="inlineStr">
        <is>
          <t>Magahis</t>
        </is>
      </c>
    </row>
    <row r="4249" spans="1:1">
      <c r="A4249" t="inlineStr">
        <is>
          <t>Malibu</t>
        </is>
      </c>
    </row>
    <row r="4250" spans="1:1">
      <c r="A4250" t="inlineStr">
        <is>
          <t>Mataywanac</t>
        </is>
      </c>
    </row>
    <row r="4251" spans="1:1">
      <c r="A4251" t="inlineStr">
        <is>
          <t>Palincaro</t>
        </is>
      </c>
    </row>
    <row r="4252" spans="1:1">
      <c r="A4252" t="inlineStr">
        <is>
          <t>Putol</t>
        </is>
      </c>
    </row>
    <row r="4253" spans="1:1">
      <c r="A4253" t="inlineStr">
        <is>
          <t>Rillo</t>
        </is>
      </c>
    </row>
    <row r="4254" spans="1:1">
      <c r="A4254" t="inlineStr">
        <is>
          <t>Rizal</t>
        </is>
      </c>
    </row>
    <row r="4255" spans="1:1">
      <c r="A4255" t="inlineStr">
        <is>
          <t>Sabang</t>
        </is>
      </c>
    </row>
    <row r="4256" spans="1:1">
      <c r="A4256" t="inlineStr">
        <is>
          <t>San Jose</t>
        </is>
      </c>
    </row>
    <row r="4257" spans="1:1">
      <c r="A4257" t="inlineStr">
        <is>
          <t>Talon</t>
        </is>
      </c>
    </row>
    <row r="4258" spans="1:1">
      <c r="A4258" t="inlineStr">
        <is>
          <t>Toong</t>
        </is>
      </c>
    </row>
    <row r="4259" spans="1:1">
      <c r="A4259" t="inlineStr">
        <is>
          <t>Tuyon-tuyon</t>
        </is>
      </c>
    </row>
    <row r="4260" spans="1:1">
      <c r="A4260" t="inlineStr">
        <is>
          <t>Abiang</t>
        </is>
      </c>
    </row>
    <row r="4261" spans="1:1">
      <c r="A4261" t="inlineStr">
        <is>
          <t>Caliking</t>
        </is>
      </c>
    </row>
    <row r="4262" spans="1:1">
      <c r="A4262" t="inlineStr">
        <is>
          <t>Cattubo</t>
        </is>
      </c>
    </row>
    <row r="4263" spans="1:1">
      <c r="A4263" t="inlineStr">
        <is>
          <t>Naguey</t>
        </is>
      </c>
    </row>
    <row r="4264" spans="1:1">
      <c r="A4264" t="inlineStr">
        <is>
          <t>Paoay</t>
        </is>
      </c>
    </row>
    <row r="4265" spans="1:1">
      <c r="A4265" t="inlineStr">
        <is>
          <t>Pasdong</t>
        </is>
      </c>
    </row>
    <row r="4266" spans="1:1">
      <c r="A4266" t="inlineStr">
        <is>
          <t>Poblacion</t>
        </is>
      </c>
    </row>
    <row r="4267" spans="1:1">
      <c r="A4267" t="inlineStr">
        <is>
          <t>Topdac</t>
        </is>
      </c>
    </row>
    <row r="4268" spans="1:1">
      <c r="A4268" t="inlineStr">
        <is>
          <t>Ampusongan</t>
        </is>
      </c>
    </row>
    <row r="4269" spans="1:1">
      <c r="A4269" t="inlineStr">
        <is>
          <t>Bagu</t>
        </is>
      </c>
    </row>
    <row r="4270" spans="1:1">
      <c r="A4270" t="inlineStr">
        <is>
          <t>Dalipey</t>
        </is>
      </c>
    </row>
    <row r="4271" spans="1:1">
      <c r="A4271" t="inlineStr">
        <is>
          <t>Gambang</t>
        </is>
      </c>
    </row>
    <row r="4272" spans="1:1">
      <c r="A4272" t="inlineStr">
        <is>
          <t>Kayapa</t>
        </is>
      </c>
    </row>
    <row r="4273" spans="1:1">
      <c r="A4273" t="inlineStr">
        <is>
          <t>Poblacion</t>
        </is>
      </c>
    </row>
    <row r="4274" spans="1:1">
      <c r="A4274" t="inlineStr">
        <is>
          <t>Sinacbat</t>
        </is>
      </c>
    </row>
    <row r="4275" spans="1:1">
      <c r="A4275" t="inlineStr">
        <is>
          <t>Ambuklao</t>
        </is>
      </c>
    </row>
    <row r="4276" spans="1:1">
      <c r="A4276" t="inlineStr">
        <is>
          <t>Bila</t>
        </is>
      </c>
    </row>
    <row r="4277" spans="1:1">
      <c r="A4277" t="inlineStr">
        <is>
          <t>Bobok-Bisal</t>
        </is>
      </c>
    </row>
    <row r="4278" spans="1:1">
      <c r="A4278" t="inlineStr">
        <is>
          <t>Daklan</t>
        </is>
      </c>
    </row>
    <row r="4279" spans="1:1">
      <c r="A4279" t="inlineStr">
        <is>
          <t>Ekip</t>
        </is>
      </c>
    </row>
    <row r="4280" spans="1:1">
      <c r="A4280" t="inlineStr">
        <is>
          <t>Karao</t>
        </is>
      </c>
    </row>
    <row r="4281" spans="1:1">
      <c r="A4281" t="inlineStr">
        <is>
          <t>Nawal</t>
        </is>
      </c>
    </row>
    <row r="4282" spans="1:1">
      <c r="A4282" t="inlineStr">
        <is>
          <t>Pito</t>
        </is>
      </c>
    </row>
    <row r="4283" spans="1:1">
      <c r="A4283" t="inlineStr">
        <is>
          <t>Poblacion</t>
        </is>
      </c>
    </row>
    <row r="4284" spans="1:1">
      <c r="A4284" t="inlineStr">
        <is>
          <t>Tikey</t>
        </is>
      </c>
    </row>
    <row r="4285" spans="1:1">
      <c r="A4285" t="inlineStr">
        <is>
          <t>Abatan</t>
        </is>
      </c>
    </row>
    <row r="4286" spans="1:1">
      <c r="A4286" t="inlineStr">
        <is>
          <t>Amgaleyguey</t>
        </is>
      </c>
    </row>
    <row r="4287" spans="1:1">
      <c r="A4287" t="inlineStr">
        <is>
          <t>Amlimay</t>
        </is>
      </c>
    </row>
    <row r="4288" spans="1:1">
      <c r="A4288" t="inlineStr">
        <is>
          <t>Baculongan Norte</t>
        </is>
      </c>
    </row>
    <row r="4289" spans="1:1">
      <c r="A4289" t="inlineStr">
        <is>
          <t>Baculongan Sur</t>
        </is>
      </c>
    </row>
    <row r="4290" spans="1:1">
      <c r="A4290" t="inlineStr">
        <is>
          <t>Bangao</t>
        </is>
      </c>
    </row>
    <row r="4291" spans="1:1">
      <c r="A4291" t="inlineStr">
        <is>
          <t>Buyacaoan</t>
        </is>
      </c>
    </row>
    <row r="4292" spans="1:1">
      <c r="A4292" t="inlineStr">
        <is>
          <t>Calamagan</t>
        </is>
      </c>
    </row>
    <row r="4293" spans="1:1">
      <c r="A4293" t="inlineStr">
        <is>
          <t>Catlubong</t>
        </is>
      </c>
    </row>
    <row r="4294" spans="1:1">
      <c r="A4294" t="inlineStr">
        <is>
          <t>Lengaoan</t>
        </is>
      </c>
    </row>
    <row r="4295" spans="1:1">
      <c r="A4295" t="inlineStr">
        <is>
          <t>Loo</t>
        </is>
      </c>
    </row>
    <row r="4296" spans="1:1">
      <c r="A4296" t="inlineStr">
        <is>
          <t>Natubleng</t>
        </is>
      </c>
    </row>
    <row r="4297" spans="1:1">
      <c r="A4297" t="inlineStr">
        <is>
          <t>Poblacion</t>
        </is>
      </c>
    </row>
    <row r="4298" spans="1:1">
      <c r="A4298" t="inlineStr">
        <is>
          <t>Sebang</t>
        </is>
      </c>
    </row>
    <row r="4299" spans="1:1">
      <c r="A4299" t="inlineStr">
        <is>
          <t>Ampucao</t>
        </is>
      </c>
    </row>
    <row r="4300" spans="1:1">
      <c r="A4300" t="inlineStr">
        <is>
          <t>Dalupirip</t>
        </is>
      </c>
    </row>
    <row r="4301" spans="1:1">
      <c r="A4301" t="inlineStr">
        <is>
          <t>Gumatdang</t>
        </is>
      </c>
    </row>
    <row r="4302" spans="1:1">
      <c r="A4302" t="inlineStr">
        <is>
          <t>Loacan</t>
        </is>
      </c>
    </row>
    <row r="4303" spans="1:1">
      <c r="A4303" t="inlineStr">
        <is>
          <t>Poblacion</t>
        </is>
      </c>
    </row>
    <row r="4304" spans="1:1">
      <c r="A4304" t="inlineStr">
        <is>
          <t>Tinongdan</t>
        </is>
      </c>
    </row>
    <row r="4305" spans="1:1">
      <c r="A4305" t="inlineStr">
        <is>
          <t>Tuding</t>
        </is>
      </c>
    </row>
    <row r="4306" spans="1:1">
      <c r="A4306" t="inlineStr">
        <is>
          <t>Ucab</t>
        </is>
      </c>
    </row>
    <row r="4307" spans="1:1">
      <c r="A4307" t="inlineStr">
        <is>
          <t>Virac</t>
        </is>
      </c>
    </row>
    <row r="4308" spans="1:1">
      <c r="A4308" t="inlineStr">
        <is>
          <t>Adaoay</t>
        </is>
      </c>
    </row>
    <row r="4309" spans="1:1">
      <c r="A4309" t="inlineStr">
        <is>
          <t>Anchukey</t>
        </is>
      </c>
    </row>
    <row r="4310" spans="1:1">
      <c r="A4310" t="inlineStr">
        <is>
          <t>Ballay</t>
        </is>
      </c>
    </row>
    <row r="4311" spans="1:1">
      <c r="A4311" t="inlineStr">
        <is>
          <t>Bashoy</t>
        </is>
      </c>
    </row>
    <row r="4312" spans="1:1">
      <c r="A4312" t="inlineStr">
        <is>
          <t>Batan</t>
        </is>
      </c>
    </row>
    <row r="4313" spans="1:1">
      <c r="A4313" t="inlineStr">
        <is>
          <t>Duacan</t>
        </is>
      </c>
    </row>
    <row r="4314" spans="1:1">
      <c r="A4314" t="inlineStr">
        <is>
          <t>Eddet</t>
        </is>
      </c>
    </row>
    <row r="4315" spans="1:1">
      <c r="A4315" t="inlineStr">
        <is>
          <t>Gusaran</t>
        </is>
      </c>
    </row>
    <row r="4316" spans="1:1">
      <c r="A4316" t="inlineStr">
        <is>
          <t>Kabayan Barrio</t>
        </is>
      </c>
    </row>
    <row r="4317" spans="1:1">
      <c r="A4317" t="inlineStr">
        <is>
          <t>Lusod</t>
        </is>
      </c>
    </row>
    <row r="4318" spans="1:1">
      <c r="A4318" t="inlineStr">
        <is>
          <t>Pacso</t>
        </is>
      </c>
    </row>
    <row r="4319" spans="1:1">
      <c r="A4319" t="inlineStr">
        <is>
          <t>Poblacion</t>
        </is>
      </c>
    </row>
    <row r="4320" spans="1:1">
      <c r="A4320" t="inlineStr">
        <is>
          <t>Tawangan</t>
        </is>
      </c>
    </row>
    <row r="4321" spans="1:1">
      <c r="A4321" t="inlineStr">
        <is>
          <t>Balakbak</t>
        </is>
      </c>
    </row>
    <row r="4322" spans="1:1">
      <c r="A4322" t="inlineStr">
        <is>
          <t>Beleng-Belis</t>
        </is>
      </c>
    </row>
    <row r="4323" spans="1:1">
      <c r="A4323" t="inlineStr">
        <is>
          <t>Boklaoan</t>
        </is>
      </c>
    </row>
    <row r="4324" spans="1:1">
      <c r="A4324" t="inlineStr">
        <is>
          <t>Cayapes</t>
        </is>
      </c>
    </row>
    <row r="4325" spans="1:1">
      <c r="A4325" t="inlineStr">
        <is>
          <t>Cuba</t>
        </is>
      </c>
    </row>
    <row r="4326" spans="1:1">
      <c r="A4326" t="inlineStr">
        <is>
          <t>Datakan</t>
        </is>
      </c>
    </row>
    <row r="4327" spans="1:1">
      <c r="A4327" t="inlineStr">
        <is>
          <t>Gadang</t>
        </is>
      </c>
    </row>
    <row r="4328" spans="1:1">
      <c r="A4328" t="inlineStr">
        <is>
          <t>Gaswiling</t>
        </is>
      </c>
    </row>
    <row r="4329" spans="1:1">
      <c r="A4329" t="inlineStr">
        <is>
          <t>Labueg</t>
        </is>
      </c>
    </row>
    <row r="4330" spans="1:1">
      <c r="A4330" t="inlineStr">
        <is>
          <t>Paykek</t>
        </is>
      </c>
    </row>
    <row r="4331" spans="1:1">
      <c r="A4331" t="inlineStr">
        <is>
          <t>Poblacion Central</t>
        </is>
      </c>
    </row>
    <row r="4332" spans="1:1">
      <c r="A4332" t="inlineStr">
        <is>
          <t>Pongayan</t>
        </is>
      </c>
    </row>
    <row r="4333" spans="1:1">
      <c r="A4333" t="inlineStr">
        <is>
          <t>Pudong</t>
        </is>
      </c>
    </row>
    <row r="4334" spans="1:1">
      <c r="A4334" t="inlineStr">
        <is>
          <t>Sagubo</t>
        </is>
      </c>
    </row>
    <row r="4335" spans="1:1">
      <c r="A4335" t="inlineStr">
        <is>
          <t>Taba-ao</t>
        </is>
      </c>
    </row>
    <row r="4336" spans="1:1">
      <c r="A4336" t="inlineStr">
        <is>
          <t>Badeo</t>
        </is>
      </c>
    </row>
    <row r="4337" spans="1:1">
      <c r="A4337" t="inlineStr">
        <is>
          <t>Lubo</t>
        </is>
      </c>
    </row>
    <row r="4338" spans="1:1">
      <c r="A4338" t="inlineStr">
        <is>
          <t>Madaymen</t>
        </is>
      </c>
    </row>
    <row r="4339" spans="1:1">
      <c r="A4339" t="inlineStr">
        <is>
          <t>Palina</t>
        </is>
      </c>
    </row>
    <row r="4340" spans="1:1">
      <c r="A4340" t="inlineStr">
        <is>
          <t>Poblacion</t>
        </is>
      </c>
    </row>
    <row r="4341" spans="1:1">
      <c r="A4341" t="inlineStr">
        <is>
          <t>Sagpat</t>
        </is>
      </c>
    </row>
    <row r="4342" spans="1:1">
      <c r="A4342" t="inlineStr">
        <is>
          <t>Tacadang</t>
        </is>
      </c>
    </row>
    <row r="4343" spans="1:1">
      <c r="A4343" t="inlineStr">
        <is>
          <t>Alapang</t>
        </is>
      </c>
    </row>
    <row r="4344" spans="1:1">
      <c r="A4344" t="inlineStr">
        <is>
          <t>Alno</t>
        </is>
      </c>
    </row>
    <row r="4345" spans="1:1">
      <c r="A4345" t="inlineStr">
        <is>
          <t>Ambiong</t>
        </is>
      </c>
    </row>
    <row r="4346" spans="1:1">
      <c r="A4346" t="inlineStr">
        <is>
          <t>Bahong</t>
        </is>
      </c>
    </row>
    <row r="4347" spans="1:1">
      <c r="A4347" t="inlineStr">
        <is>
          <t>Balili</t>
        </is>
      </c>
    </row>
    <row r="4348" spans="1:1">
      <c r="A4348" t="inlineStr">
        <is>
          <t>Beckel</t>
        </is>
      </c>
    </row>
    <row r="4349" spans="1:1">
      <c r="A4349" t="inlineStr">
        <is>
          <t>Betag</t>
        </is>
      </c>
    </row>
    <row r="4350" spans="1:1">
      <c r="A4350" t="inlineStr">
        <is>
          <t>Bineng</t>
        </is>
      </c>
    </row>
    <row r="4351" spans="1:1">
      <c r="A4351" t="inlineStr">
        <is>
          <t>Cruz</t>
        </is>
      </c>
    </row>
    <row r="4352" spans="1:1">
      <c r="A4352" t="inlineStr">
        <is>
          <t>Lubas</t>
        </is>
      </c>
    </row>
    <row r="4353" spans="1:1">
      <c r="A4353" t="inlineStr">
        <is>
          <t>Pico</t>
        </is>
      </c>
    </row>
    <row r="4354" spans="1:1">
      <c r="A4354" t="inlineStr">
        <is>
          <t>Poblacion</t>
        </is>
      </c>
    </row>
    <row r="4355" spans="1:1">
      <c r="A4355" t="inlineStr">
        <is>
          <t>Puguis</t>
        </is>
      </c>
    </row>
    <row r="4356" spans="1:1">
      <c r="A4356" t="inlineStr">
        <is>
          <t>Shilan</t>
        </is>
      </c>
    </row>
    <row r="4357" spans="1:1">
      <c r="A4357" t="inlineStr">
        <is>
          <t>Tawang</t>
        </is>
      </c>
    </row>
    <row r="4358" spans="1:1">
      <c r="A4358" t="inlineStr">
        <is>
          <t>Wangal</t>
        </is>
      </c>
    </row>
    <row r="4359" spans="1:1">
      <c r="A4359" t="inlineStr">
        <is>
          <t>Balili</t>
        </is>
      </c>
    </row>
    <row r="4360" spans="1:1">
      <c r="A4360" t="inlineStr">
        <is>
          <t>Bedbed</t>
        </is>
      </c>
    </row>
    <row r="4361" spans="1:1">
      <c r="A4361" t="inlineStr">
        <is>
          <t>Bulalacao</t>
        </is>
      </c>
    </row>
    <row r="4362" spans="1:1">
      <c r="A4362" t="inlineStr">
        <is>
          <t>Cabiten</t>
        </is>
      </c>
    </row>
    <row r="4363" spans="1:1">
      <c r="A4363" t="inlineStr">
        <is>
          <t>Colalo</t>
        </is>
      </c>
    </row>
    <row r="4364" spans="1:1">
      <c r="A4364" t="inlineStr">
        <is>
          <t>Guinaoang</t>
        </is>
      </c>
    </row>
    <row r="4365" spans="1:1">
      <c r="A4365" t="inlineStr">
        <is>
          <t>Paco</t>
        </is>
      </c>
    </row>
    <row r="4366" spans="1:1">
      <c r="A4366" t="inlineStr">
        <is>
          <t>Palasaan</t>
        </is>
      </c>
    </row>
    <row r="4367" spans="1:1">
      <c r="A4367" t="inlineStr">
        <is>
          <t>Poblacion</t>
        </is>
      </c>
    </row>
    <row r="4368" spans="1:1">
      <c r="A4368" t="inlineStr">
        <is>
          <t>Sapid</t>
        </is>
      </c>
    </row>
    <row r="4369" spans="1:1">
      <c r="A4369" t="inlineStr">
        <is>
          <t>Tabio</t>
        </is>
      </c>
    </row>
    <row r="4370" spans="1:1">
      <c r="A4370" t="inlineStr">
        <is>
          <t>Taneg</t>
        </is>
      </c>
    </row>
    <row r="4371" spans="1:1">
      <c r="A4371" t="inlineStr">
        <is>
          <t>Bagong</t>
        </is>
      </c>
    </row>
    <row r="4372" spans="1:1">
      <c r="A4372" t="inlineStr">
        <is>
          <t>Balluay</t>
        </is>
      </c>
    </row>
    <row r="4373" spans="1:1">
      <c r="A4373" t="inlineStr">
        <is>
          <t>Banangan</t>
        </is>
      </c>
    </row>
    <row r="4374" spans="1:1">
      <c r="A4374" t="inlineStr">
        <is>
          <t>Banengbeng</t>
        </is>
      </c>
    </row>
    <row r="4375" spans="1:1">
      <c r="A4375" t="inlineStr">
        <is>
          <t>Bayabas</t>
        </is>
      </c>
    </row>
    <row r="4376" spans="1:1">
      <c r="A4376" t="inlineStr">
        <is>
          <t>Kamog</t>
        </is>
      </c>
    </row>
    <row r="4377" spans="1:1">
      <c r="A4377" t="inlineStr">
        <is>
          <t>Pappa</t>
        </is>
      </c>
    </row>
    <row r="4378" spans="1:1">
      <c r="A4378" t="inlineStr">
        <is>
          <t>Poblacion</t>
        </is>
      </c>
    </row>
    <row r="4379" spans="1:1">
      <c r="A4379" t="inlineStr">
        <is>
          <t>Ansagan</t>
        </is>
      </c>
    </row>
    <row r="4380" spans="1:1">
      <c r="A4380" t="inlineStr">
        <is>
          <t>Camp 3</t>
        </is>
      </c>
    </row>
    <row r="4381" spans="1:1">
      <c r="A4381" t="inlineStr">
        <is>
          <t>Camp 4</t>
        </is>
      </c>
    </row>
    <row r="4382" spans="1:1">
      <c r="A4382" t="inlineStr">
        <is>
          <t>Camp One</t>
        </is>
      </c>
    </row>
    <row r="4383" spans="1:1">
      <c r="A4383" t="inlineStr">
        <is>
          <t>Nangalisan</t>
        </is>
      </c>
    </row>
    <row r="4384" spans="1:1">
      <c r="A4384" t="inlineStr">
        <is>
          <t>Poblacion</t>
        </is>
      </c>
    </row>
    <row r="4385" spans="1:1">
      <c r="A4385" t="inlineStr">
        <is>
          <t>San Pascual</t>
        </is>
      </c>
    </row>
    <row r="4386" spans="1:1">
      <c r="A4386" t="inlineStr">
        <is>
          <t>Tabaan Norte</t>
        </is>
      </c>
    </row>
    <row r="4387" spans="1:1">
      <c r="A4387" t="inlineStr">
        <is>
          <t>Tabaan Sur</t>
        </is>
      </c>
    </row>
    <row r="4388" spans="1:1">
      <c r="A4388" t="inlineStr">
        <is>
          <t>Tadiangan</t>
        </is>
      </c>
    </row>
    <row r="4389" spans="1:1">
      <c r="A4389" t="inlineStr">
        <is>
          <t>Taloy Norte</t>
        </is>
      </c>
    </row>
    <row r="4390" spans="1:1">
      <c r="A4390" t="inlineStr">
        <is>
          <t>Taloy Sur</t>
        </is>
      </c>
    </row>
    <row r="4391" spans="1:1">
      <c r="A4391" t="inlineStr">
        <is>
          <t>Twin Peaks</t>
        </is>
      </c>
    </row>
    <row r="4392" spans="1:1">
      <c r="A4392" t="inlineStr">
        <is>
          <t>Ambassador</t>
        </is>
      </c>
    </row>
    <row r="4393" spans="1:1">
      <c r="A4393" t="inlineStr">
        <is>
          <t>Ambongdolan</t>
        </is>
      </c>
    </row>
    <row r="4394" spans="1:1">
      <c r="A4394" t="inlineStr">
        <is>
          <t>Ba-ayan</t>
        </is>
      </c>
    </row>
    <row r="4395" spans="1:1">
      <c r="A4395" t="inlineStr">
        <is>
          <t>Basil</t>
        </is>
      </c>
    </row>
    <row r="4396" spans="1:1">
      <c r="A4396" t="inlineStr">
        <is>
          <t>Caponga</t>
        </is>
      </c>
    </row>
    <row r="4397" spans="1:1">
      <c r="A4397" t="inlineStr">
        <is>
          <t>Daclan</t>
        </is>
      </c>
    </row>
    <row r="4398" spans="1:1">
      <c r="A4398" t="inlineStr">
        <is>
          <t>Tublay Central</t>
        </is>
      </c>
    </row>
    <row r="4399" spans="1:1">
      <c r="A4399" t="inlineStr">
        <is>
          <t>Tuel</t>
        </is>
      </c>
    </row>
    <row r="4400" spans="1:1">
      <c r="A4400" t="inlineStr">
        <is>
          <t>Caucab</t>
        </is>
      </c>
    </row>
    <row r="4401" spans="1:1">
      <c r="A4401" t="inlineStr">
        <is>
          <t>Iyosan</t>
        </is>
      </c>
    </row>
    <row r="4402" spans="1:1">
      <c r="A4402" t="inlineStr">
        <is>
          <t>Jamorawon</t>
        </is>
      </c>
    </row>
    <row r="4403" spans="1:1">
      <c r="A4403" t="inlineStr">
        <is>
          <t>Lo-ok</t>
        </is>
      </c>
    </row>
    <row r="4404" spans="1:1">
      <c r="A4404" t="inlineStr">
        <is>
          <t>Matanga</t>
        </is>
      </c>
    </row>
    <row r="4405" spans="1:1">
      <c r="A4405" t="inlineStr">
        <is>
          <t>Pili</t>
        </is>
      </c>
    </row>
    <row r="4406" spans="1:1">
      <c r="A4406" t="inlineStr">
        <is>
          <t>Poblacion</t>
        </is>
      </c>
    </row>
    <row r="4407" spans="1:1">
      <c r="A4407" t="inlineStr">
        <is>
          <t>Pulang Bato</t>
        </is>
      </c>
    </row>
    <row r="4408" spans="1:1">
      <c r="A4408" t="inlineStr">
        <is>
          <t>Salangi</t>
        </is>
      </c>
    </row>
    <row r="4409" spans="1:1">
      <c r="A4409" t="inlineStr">
        <is>
          <t>Sampao</t>
        </is>
      </c>
    </row>
    <row r="4410" spans="1:1">
      <c r="A4410" t="inlineStr">
        <is>
          <t>Tabunan</t>
        </is>
      </c>
    </row>
    <row r="4411" spans="1:1">
      <c r="A4411" t="inlineStr">
        <is>
          <t>Talahid</t>
        </is>
      </c>
    </row>
    <row r="4412" spans="1:1">
      <c r="A4412" t="inlineStr">
        <is>
          <t>Tamarindo</t>
        </is>
      </c>
    </row>
    <row r="4413" spans="1:1">
      <c r="A4413" t="inlineStr">
        <is>
          <t>Bato</t>
        </is>
      </c>
    </row>
    <row r="4414" spans="1:1">
      <c r="A4414" t="inlineStr">
        <is>
          <t>Burabod</t>
        </is>
      </c>
    </row>
    <row r="4415" spans="1:1">
      <c r="A4415" t="inlineStr">
        <is>
          <t>Busali</t>
        </is>
      </c>
    </row>
    <row r="4416" spans="1:1">
      <c r="A4416" t="inlineStr">
        <is>
          <t>Canila</t>
        </is>
      </c>
    </row>
    <row r="4417" spans="1:1">
      <c r="A4417" t="inlineStr">
        <is>
          <t>Hugpa</t>
        </is>
      </c>
    </row>
    <row r="4418" spans="1:1">
      <c r="A4418" t="inlineStr">
        <is>
          <t>Julita</t>
        </is>
      </c>
    </row>
    <row r="4419" spans="1:1">
      <c r="A4419" t="inlineStr">
        <is>
          <t>Pinangumhan</t>
        </is>
      </c>
    </row>
    <row r="4420" spans="1:1">
      <c r="A4420" t="inlineStr">
        <is>
          <t>San Isidro</t>
        </is>
      </c>
    </row>
    <row r="4421" spans="1:1">
      <c r="A4421" t="inlineStr">
        <is>
          <t>San Roque</t>
        </is>
      </c>
    </row>
    <row r="4422" spans="1:1">
      <c r="A4422" t="inlineStr">
        <is>
          <t>Sanggalang</t>
        </is>
      </c>
    </row>
    <row r="4423" spans="1:1">
      <c r="A4423" t="inlineStr">
        <is>
          <t>Villa Enage</t>
        </is>
      </c>
    </row>
    <row r="4424" spans="1:1">
      <c r="A4424" t="inlineStr">
        <is>
          <t>Balaquid</t>
        </is>
      </c>
    </row>
    <row r="4425" spans="1:1">
      <c r="A4425" t="inlineStr">
        <is>
          <t>Baso</t>
        </is>
      </c>
    </row>
    <row r="4426" spans="1:1">
      <c r="A4426" t="inlineStr">
        <is>
          <t>Bunga</t>
        </is>
      </c>
    </row>
    <row r="4427" spans="1:1">
      <c r="A4427" t="inlineStr">
        <is>
          <t>Caanibongan</t>
        </is>
      </c>
    </row>
    <row r="4428" spans="1:1">
      <c r="A4428" t="inlineStr">
        <is>
          <t>Casiawan</t>
        </is>
      </c>
    </row>
    <row r="4429" spans="1:1">
      <c r="A4429" t="inlineStr">
        <is>
          <t>Esperanza</t>
        </is>
      </c>
    </row>
    <row r="4430" spans="1:1">
      <c r="A4430" t="inlineStr">
        <is>
          <t>Langgao</t>
        </is>
      </c>
    </row>
    <row r="4431" spans="1:1">
      <c r="A4431" t="inlineStr">
        <is>
          <t>Libertad</t>
        </is>
      </c>
    </row>
    <row r="4432" spans="1:1">
      <c r="A4432" t="inlineStr">
        <is>
          <t>Looc</t>
        </is>
      </c>
    </row>
    <row r="4433" spans="1:1">
      <c r="A4433" t="inlineStr">
        <is>
          <t>Magbangon</t>
        </is>
      </c>
    </row>
    <row r="4434" spans="1:1">
      <c r="A4434" t="inlineStr">
        <is>
          <t>Pawikan</t>
        </is>
      </c>
    </row>
    <row r="4435" spans="1:1">
      <c r="A4435" t="inlineStr">
        <is>
          <t>Salawad</t>
        </is>
      </c>
    </row>
    <row r="4436" spans="1:1">
      <c r="A4436" t="inlineStr">
        <is>
          <t>Talibong</t>
        </is>
      </c>
    </row>
    <row r="4437" spans="1:1">
      <c r="A4437" t="inlineStr">
        <is>
          <t>Alegria</t>
        </is>
      </c>
    </row>
    <row r="4438" spans="1:1">
      <c r="A4438" t="inlineStr">
        <is>
          <t>Asug</t>
        </is>
      </c>
    </row>
    <row r="4439" spans="1:1">
      <c r="A4439" t="inlineStr">
        <is>
          <t>Bari-is</t>
        </is>
      </c>
    </row>
    <row r="4440" spans="1:1">
      <c r="A4440" t="inlineStr">
        <is>
          <t>Binohangan</t>
        </is>
      </c>
    </row>
    <row r="4441" spans="1:1">
      <c r="A4441" t="inlineStr">
        <is>
          <t>Cabibihan</t>
        </is>
      </c>
    </row>
    <row r="4442" spans="1:1">
      <c r="A4442" t="inlineStr">
        <is>
          <t>Caulangohan</t>
        </is>
      </c>
    </row>
    <row r="4443" spans="1:1">
      <c r="A4443" t="inlineStr">
        <is>
          <t>Kawayanon</t>
        </is>
      </c>
    </row>
    <row r="4444" spans="1:1">
      <c r="A4444" t="inlineStr">
        <is>
          <t>Looc</t>
        </is>
      </c>
    </row>
    <row r="4445" spans="1:1">
      <c r="A4445" t="inlineStr">
        <is>
          <t>Manlabang</t>
        </is>
      </c>
    </row>
    <row r="4446" spans="1:1">
      <c r="A4446" t="inlineStr">
        <is>
          <t>Maurang</t>
        </is>
      </c>
    </row>
    <row r="4447" spans="1:1">
      <c r="A4447" t="inlineStr">
        <is>
          <t>Palanay</t>
        </is>
      </c>
    </row>
    <row r="4448" spans="1:1">
      <c r="A4448" t="inlineStr">
        <is>
          <t>Palengke</t>
        </is>
      </c>
    </row>
    <row r="4449" spans="1:1">
      <c r="A4449" t="inlineStr">
        <is>
          <t>Tomalistis</t>
        </is>
      </c>
    </row>
    <row r="4450" spans="1:1">
      <c r="A4450" t="inlineStr">
        <is>
          <t>Union</t>
        </is>
      </c>
    </row>
    <row r="4451" spans="1:1">
      <c r="A4451" t="inlineStr">
        <is>
          <t>Uson</t>
        </is>
      </c>
    </row>
    <row r="4452" spans="1:1">
      <c r="A4452" t="inlineStr">
        <is>
          <t>Victory</t>
        </is>
      </c>
    </row>
    <row r="4453" spans="1:1">
      <c r="A4453" t="inlineStr">
        <is>
          <t>Villa Vicenta</t>
        </is>
      </c>
    </row>
    <row r="4454" spans="1:1">
      <c r="A4454" t="inlineStr">
        <is>
          <t>Acaban</t>
        </is>
      </c>
    </row>
    <row r="4455" spans="1:1">
      <c r="A4455" t="inlineStr">
        <is>
          <t>Bacolod</t>
        </is>
      </c>
    </row>
    <row r="4456" spans="1:1">
      <c r="A4456" t="inlineStr">
        <is>
          <t>Binongtoan</t>
        </is>
      </c>
    </row>
    <row r="4457" spans="1:1">
      <c r="A4457" t="inlineStr">
        <is>
          <t>Bool Central</t>
        </is>
      </c>
    </row>
    <row r="4458" spans="1:1">
      <c r="A4458" t="inlineStr">
        <is>
          <t>Bool East</t>
        </is>
      </c>
    </row>
    <row r="4459" spans="1:1">
      <c r="A4459" t="inlineStr">
        <is>
          <t>Bool West</t>
        </is>
      </c>
    </row>
    <row r="4460" spans="1:1">
      <c r="A4460" t="inlineStr">
        <is>
          <t>Calipayan</t>
        </is>
      </c>
    </row>
    <row r="4461" spans="1:1">
      <c r="A4461" t="inlineStr">
        <is>
          <t>Culaba Central</t>
        </is>
      </c>
    </row>
    <row r="4462" spans="1:1">
      <c r="A4462" t="inlineStr">
        <is>
          <t>Guindapunan</t>
        </is>
      </c>
    </row>
    <row r="4463" spans="1:1">
      <c r="A4463" t="inlineStr">
        <is>
          <t>Habuhab</t>
        </is>
      </c>
    </row>
    <row r="4464" spans="1:1">
      <c r="A4464" t="inlineStr">
        <is>
          <t>Looc</t>
        </is>
      </c>
    </row>
    <row r="4465" spans="1:1">
      <c r="A4465" t="inlineStr">
        <is>
          <t>Marvel</t>
        </is>
      </c>
    </row>
    <row r="4466" spans="1:1">
      <c r="A4466" t="inlineStr">
        <is>
          <t>Patag</t>
        </is>
      </c>
    </row>
    <row r="4467" spans="1:1">
      <c r="A4467" t="inlineStr">
        <is>
          <t>Pinamihagan</t>
        </is>
      </c>
    </row>
    <row r="4468" spans="1:1">
      <c r="A4468" t="inlineStr">
        <is>
          <t>Salvacion</t>
        </is>
      </c>
    </row>
    <row r="4469" spans="1:1">
      <c r="A4469" t="inlineStr">
        <is>
          <t>San Roque</t>
        </is>
      </c>
    </row>
    <row r="4470" spans="1:1">
      <c r="A4470" t="inlineStr">
        <is>
          <t>Virginia</t>
        </is>
      </c>
    </row>
    <row r="4471" spans="1:1">
      <c r="A4471" t="inlineStr">
        <is>
          <t>Baganito</t>
        </is>
      </c>
    </row>
    <row r="4472" spans="1:1">
      <c r="A4472" t="inlineStr">
        <is>
          <t>Balacson</t>
        </is>
      </c>
    </row>
    <row r="4473" spans="1:1">
      <c r="A4473" t="inlineStr">
        <is>
          <t>Balite</t>
        </is>
      </c>
    </row>
    <row r="4474" spans="1:1">
      <c r="A4474" t="inlineStr">
        <is>
          <t>Bilwang</t>
        </is>
      </c>
    </row>
    <row r="4475" spans="1:1">
      <c r="A4475" t="inlineStr">
        <is>
          <t>Bulalacao</t>
        </is>
      </c>
    </row>
    <row r="4476" spans="1:1">
      <c r="A4476" t="inlineStr">
        <is>
          <t>Burabod</t>
        </is>
      </c>
    </row>
    <row r="4477" spans="1:1">
      <c r="A4477" t="inlineStr">
        <is>
          <t>Buyo</t>
        </is>
      </c>
    </row>
    <row r="4478" spans="1:1">
      <c r="A4478" t="inlineStr">
        <is>
          <t>Inasuyan</t>
        </is>
      </c>
    </row>
    <row r="4479" spans="1:1">
      <c r="A4479" t="inlineStr">
        <is>
          <t>Kansanok</t>
        </is>
      </c>
    </row>
    <row r="4480" spans="1:1">
      <c r="A4480" t="inlineStr">
        <is>
          <t>Mada-o</t>
        </is>
      </c>
    </row>
    <row r="4481" spans="1:1">
      <c r="A4481" t="inlineStr">
        <is>
          <t>Mapuyo</t>
        </is>
      </c>
    </row>
    <row r="4482" spans="1:1">
      <c r="A4482" t="inlineStr">
        <is>
          <t>Masagaosao</t>
        </is>
      </c>
    </row>
    <row r="4483" spans="1:1">
      <c r="A4483" t="inlineStr">
        <is>
          <t>Masagongsong</t>
        </is>
      </c>
    </row>
    <row r="4484" spans="1:1">
      <c r="A4484" t="inlineStr">
        <is>
          <t>Poblacion</t>
        </is>
      </c>
    </row>
    <row r="4485" spans="1:1">
      <c r="A4485" t="inlineStr">
        <is>
          <t>San Lorenzo</t>
        </is>
      </c>
    </row>
    <row r="4486" spans="1:1">
      <c r="A4486" t="inlineStr">
        <is>
          <t>Tabunan North</t>
        </is>
      </c>
    </row>
    <row r="4487" spans="1:1">
      <c r="A4487" t="inlineStr">
        <is>
          <t>Tubig Guinoo</t>
        </is>
      </c>
    </row>
    <row r="4488" spans="1:1">
      <c r="A4488" t="inlineStr">
        <is>
          <t>Tucdao</t>
        </is>
      </c>
    </row>
    <row r="4489" spans="1:1">
      <c r="A4489" t="inlineStr">
        <is>
          <t>Ungale</t>
        </is>
      </c>
    </row>
    <row r="4490" spans="1:1">
      <c r="A4490" t="inlineStr">
        <is>
          <t>Villa Cornejo</t>
        </is>
      </c>
    </row>
    <row r="4491" spans="1:1">
      <c r="A4491" t="inlineStr">
        <is>
          <t>Agutay</t>
        </is>
      </c>
    </row>
    <row r="4492" spans="1:1">
      <c r="A4492" t="inlineStr">
        <is>
          <t>Banlas</t>
        </is>
      </c>
    </row>
    <row r="4493" spans="1:1">
      <c r="A4493" t="inlineStr">
        <is>
          <t>Bato</t>
        </is>
      </c>
    </row>
    <row r="4494" spans="1:1">
      <c r="A4494" t="inlineStr">
        <is>
          <t>Binalayan East</t>
        </is>
      </c>
    </row>
    <row r="4495" spans="1:1">
      <c r="A4495" t="inlineStr">
        <is>
          <t>Binalayan West</t>
        </is>
      </c>
    </row>
    <row r="4496" spans="1:1">
      <c r="A4496" t="inlineStr">
        <is>
          <t>Binongto-an</t>
        </is>
      </c>
    </row>
    <row r="4497" spans="1:1">
      <c r="A4497" t="inlineStr">
        <is>
          <t>Burabod</t>
        </is>
      </c>
    </row>
    <row r="4498" spans="1:1">
      <c r="A4498" t="inlineStr">
        <is>
          <t>Calbani</t>
        </is>
      </c>
    </row>
    <row r="4499" spans="1:1">
      <c r="A4499" t="inlineStr">
        <is>
          <t>Canduhao</t>
        </is>
      </c>
    </row>
    <row r="4500" spans="1:1">
      <c r="A4500" t="inlineStr">
        <is>
          <t>Casibang</t>
        </is>
      </c>
    </row>
    <row r="4501" spans="1:1">
      <c r="A4501" t="inlineStr">
        <is>
          <t>Danao</t>
        </is>
      </c>
    </row>
    <row r="4502" spans="1:1">
      <c r="A4502" t="inlineStr">
        <is>
          <t>Ermita</t>
        </is>
      </c>
    </row>
    <row r="4503" spans="1:1">
      <c r="A4503" t="inlineStr">
        <is>
          <t>Ol-og</t>
        </is>
      </c>
    </row>
    <row r="4504" spans="1:1">
      <c r="A4504" t="inlineStr">
        <is>
          <t>Trabugan</t>
        </is>
      </c>
    </row>
    <row r="4505" spans="1:1">
      <c r="A4505" t="inlineStr">
        <is>
          <t>Viga</t>
        </is>
      </c>
    </row>
    <row r="4506" spans="1:1">
      <c r="A4506" t="inlineStr">
        <is>
          <t>Agpangi</t>
        </is>
      </c>
    </row>
    <row r="4507" spans="1:1">
      <c r="A4507" t="inlineStr">
        <is>
          <t>Anislagan</t>
        </is>
      </c>
    </row>
    <row r="4508" spans="1:1">
      <c r="A4508" t="inlineStr">
        <is>
          <t>Atipolo</t>
        </is>
      </c>
    </row>
    <row r="4509" spans="1:1">
      <c r="A4509" t="inlineStr">
        <is>
          <t>Borac</t>
        </is>
      </c>
    </row>
    <row r="4510" spans="1:1">
      <c r="A4510" t="inlineStr">
        <is>
          <t>Cabungaan</t>
        </is>
      </c>
    </row>
    <row r="4511" spans="1:1">
      <c r="A4511" t="inlineStr">
        <is>
          <t>Calumpang</t>
        </is>
      </c>
    </row>
    <row r="4512" spans="1:1">
      <c r="A4512" t="inlineStr">
        <is>
          <t>Capiñahan</t>
        </is>
      </c>
    </row>
    <row r="4513" spans="1:1">
      <c r="A4513" t="inlineStr">
        <is>
          <t>Caraycaray</t>
        </is>
      </c>
    </row>
    <row r="4514" spans="1:1">
      <c r="A4514" t="inlineStr">
        <is>
          <t>Catmon</t>
        </is>
      </c>
    </row>
    <row r="4515" spans="1:1">
      <c r="A4515" t="inlineStr">
        <is>
          <t>Haguikhikan</t>
        </is>
      </c>
    </row>
    <row r="4516" spans="1:1">
      <c r="A4516" t="inlineStr">
        <is>
          <t>Imelda</t>
        </is>
      </c>
    </row>
    <row r="4517" spans="1:1">
      <c r="A4517" t="inlineStr">
        <is>
          <t>Larrazabal</t>
        </is>
      </c>
    </row>
    <row r="4518" spans="1:1">
      <c r="A4518" t="inlineStr">
        <is>
          <t>Libertad</t>
        </is>
      </c>
    </row>
    <row r="4519" spans="1:1">
      <c r="A4519" t="inlineStr">
        <is>
          <t>Libtong</t>
        </is>
      </c>
    </row>
    <row r="4520" spans="1:1">
      <c r="A4520" t="inlineStr">
        <is>
          <t>Lico</t>
        </is>
      </c>
    </row>
    <row r="4521" spans="1:1">
      <c r="A4521" t="inlineStr">
        <is>
          <t>Lucsoon</t>
        </is>
      </c>
    </row>
    <row r="4522" spans="1:1">
      <c r="A4522" t="inlineStr">
        <is>
          <t>Mabini</t>
        </is>
      </c>
    </row>
    <row r="4523" spans="1:1">
      <c r="A4523" t="inlineStr">
        <is>
          <t>Padre Inocentes Garcia</t>
        </is>
      </c>
    </row>
    <row r="4524" spans="1:1">
      <c r="A4524" t="inlineStr">
        <is>
          <t>Padre Sergio Eamiguel</t>
        </is>
      </c>
    </row>
    <row r="4525" spans="1:1">
      <c r="A4525" t="inlineStr">
        <is>
          <t>Sabang</t>
        </is>
      </c>
    </row>
    <row r="4526" spans="1:1">
      <c r="A4526" t="inlineStr">
        <is>
          <t>San Pablo</t>
        </is>
      </c>
    </row>
    <row r="4527" spans="1:1">
      <c r="A4527" t="inlineStr">
        <is>
          <t>Santissimo Rosario Pob.</t>
        </is>
      </c>
    </row>
    <row r="4528" spans="1:1">
      <c r="A4528" t="inlineStr">
        <is>
          <t>Santo Niño</t>
        </is>
      </c>
    </row>
    <row r="4529" spans="1:1">
      <c r="A4529" t="inlineStr">
        <is>
          <t>Talustusan</t>
        </is>
      </c>
    </row>
    <row r="4530" spans="1:1">
      <c r="A4530" t="inlineStr">
        <is>
          <t>Villa Caneja</t>
        </is>
      </c>
    </row>
    <row r="4531" spans="1:1">
      <c r="A4531" t="inlineStr">
        <is>
          <t>Villa Consuelo</t>
        </is>
      </c>
    </row>
    <row r="4532" spans="1:1">
      <c r="A4532" t="inlineStr">
        <is>
          <t>Bahi</t>
        </is>
      </c>
    </row>
    <row r="4533" spans="1:1">
      <c r="A4533" t="inlineStr">
        <is>
          <t>Basacdacu</t>
        </is>
      </c>
    </row>
    <row r="4534" spans="1:1">
      <c r="A4534" t="inlineStr">
        <is>
          <t>Cantiguib</t>
        </is>
      </c>
    </row>
    <row r="4535" spans="1:1">
      <c r="A4535" t="inlineStr">
        <is>
          <t>Dangay</t>
        </is>
      </c>
    </row>
    <row r="4536" spans="1:1">
      <c r="A4536" t="inlineStr">
        <is>
          <t>East Poblacion</t>
        </is>
      </c>
    </row>
    <row r="4537" spans="1:1">
      <c r="A4537" t="inlineStr">
        <is>
          <t>Ponong</t>
        </is>
      </c>
    </row>
    <row r="4538" spans="1:1">
      <c r="A4538" t="inlineStr">
        <is>
          <t>San Agustin</t>
        </is>
      </c>
    </row>
    <row r="4539" spans="1:1">
      <c r="A4539" t="inlineStr">
        <is>
          <t>Santa Filomena</t>
        </is>
      </c>
    </row>
    <row r="4540" spans="1:1">
      <c r="A4540" t="inlineStr">
        <is>
          <t>Tagbuane</t>
        </is>
      </c>
    </row>
    <row r="4541" spans="1:1">
      <c r="A4541" t="inlineStr">
        <is>
          <t>Toril</t>
        </is>
      </c>
    </row>
    <row r="4542" spans="1:1">
      <c r="A4542" t="inlineStr">
        <is>
          <t>West Poblacion</t>
        </is>
      </c>
    </row>
    <row r="4543" spans="1:1">
      <c r="A4543" t="inlineStr">
        <is>
          <t>Cabatang</t>
        </is>
      </c>
    </row>
    <row r="4544" spans="1:1">
      <c r="A4544" t="inlineStr">
        <is>
          <t>Cagongcagong</t>
        </is>
      </c>
    </row>
    <row r="4545" spans="1:1">
      <c r="A4545" t="inlineStr">
        <is>
          <t>Cambaol</t>
        </is>
      </c>
    </row>
    <row r="4546" spans="1:1">
      <c r="A4546" t="inlineStr">
        <is>
          <t>Cayacay</t>
        </is>
      </c>
    </row>
    <row r="4547" spans="1:1">
      <c r="A4547" t="inlineStr">
        <is>
          <t>Del Monte</t>
        </is>
      </c>
    </row>
    <row r="4548" spans="1:1">
      <c r="A4548" t="inlineStr">
        <is>
          <t>Katipunan</t>
        </is>
      </c>
    </row>
    <row r="4549" spans="1:1">
      <c r="A4549" t="inlineStr">
        <is>
          <t>La Hacienda</t>
        </is>
      </c>
    </row>
    <row r="4550" spans="1:1">
      <c r="A4550" t="inlineStr">
        <is>
          <t>Mahayag</t>
        </is>
      </c>
    </row>
    <row r="4551" spans="1:1">
      <c r="A4551" t="inlineStr">
        <is>
          <t>Napo</t>
        </is>
      </c>
    </row>
    <row r="4552" spans="1:1">
      <c r="A4552" t="inlineStr">
        <is>
          <t>Pagahat</t>
        </is>
      </c>
    </row>
    <row r="4553" spans="1:1">
      <c r="A4553" t="inlineStr">
        <is>
          <t>Poblacion</t>
        </is>
      </c>
    </row>
    <row r="4554" spans="1:1">
      <c r="A4554" t="inlineStr">
        <is>
          <t>Progreso</t>
        </is>
      </c>
    </row>
    <row r="4555" spans="1:1">
      <c r="A4555" t="inlineStr">
        <is>
          <t>Putlongcam</t>
        </is>
      </c>
    </row>
    <row r="4556" spans="1:1">
      <c r="A4556" t="inlineStr">
        <is>
          <t>Sudlon</t>
        </is>
      </c>
    </row>
    <row r="4557" spans="1:1">
      <c r="A4557" t="inlineStr">
        <is>
          <t>Untaga</t>
        </is>
      </c>
    </row>
    <row r="4558" spans="1:1">
      <c r="A4558" t="inlineStr">
        <is>
          <t>Almaria</t>
        </is>
      </c>
    </row>
    <row r="4559" spans="1:1">
      <c r="A4559" t="inlineStr">
        <is>
          <t>Bacong</t>
        </is>
      </c>
    </row>
    <row r="4560" spans="1:1">
      <c r="A4560" t="inlineStr">
        <is>
          <t>Badiang</t>
        </is>
      </c>
    </row>
    <row r="4561" spans="1:1">
      <c r="A4561" t="inlineStr">
        <is>
          <t>Buenasuerte</t>
        </is>
      </c>
    </row>
    <row r="4562" spans="1:1">
      <c r="A4562" t="inlineStr">
        <is>
          <t>Candabong</t>
        </is>
      </c>
    </row>
    <row r="4563" spans="1:1">
      <c r="A4563" t="inlineStr">
        <is>
          <t>Casica</t>
        </is>
      </c>
    </row>
    <row r="4564" spans="1:1">
      <c r="A4564" t="inlineStr">
        <is>
          <t>Katipunan</t>
        </is>
      </c>
    </row>
    <row r="4565" spans="1:1">
      <c r="A4565" t="inlineStr">
        <is>
          <t>Linawan</t>
        </is>
      </c>
    </row>
    <row r="4566" spans="1:1">
      <c r="A4566" t="inlineStr">
        <is>
          <t>Lundag</t>
        </is>
      </c>
    </row>
    <row r="4567" spans="1:1">
      <c r="A4567" t="inlineStr">
        <is>
          <t>Poblacion</t>
        </is>
      </c>
    </row>
    <row r="4568" spans="1:1">
      <c r="A4568" t="inlineStr">
        <is>
          <t>Santa Cruz</t>
        </is>
      </c>
    </row>
    <row r="4569" spans="1:1">
      <c r="A4569" t="inlineStr">
        <is>
          <t>Suba</t>
        </is>
      </c>
    </row>
    <row r="4570" spans="1:1">
      <c r="A4570" t="inlineStr">
        <is>
          <t>Talisay</t>
        </is>
      </c>
    </row>
    <row r="4571" spans="1:1">
      <c r="A4571" t="inlineStr">
        <is>
          <t>Tanod</t>
        </is>
      </c>
    </row>
    <row r="4572" spans="1:1">
      <c r="A4572" t="inlineStr">
        <is>
          <t>Tawid</t>
        </is>
      </c>
    </row>
    <row r="4573" spans="1:1">
      <c r="A4573" t="inlineStr">
        <is>
          <t>Virgen</t>
        </is>
      </c>
    </row>
    <row r="4574" spans="1:1">
      <c r="A4574" t="inlineStr">
        <is>
          <t>Angilan</t>
        </is>
      </c>
    </row>
    <row r="4575" spans="1:1">
      <c r="A4575" t="inlineStr">
        <is>
          <t>Bantolinao</t>
        </is>
      </c>
    </row>
    <row r="4576" spans="1:1">
      <c r="A4576" t="inlineStr">
        <is>
          <t>Bicahan</t>
        </is>
      </c>
    </row>
    <row r="4577" spans="1:1">
      <c r="A4577" t="inlineStr">
        <is>
          <t>Bitaugan</t>
        </is>
      </c>
    </row>
    <row r="4578" spans="1:1">
      <c r="A4578" t="inlineStr">
        <is>
          <t>Bungahan</t>
        </is>
      </c>
    </row>
    <row r="4579" spans="1:1">
      <c r="A4579" t="inlineStr">
        <is>
          <t>Can-omay</t>
        </is>
      </c>
    </row>
    <row r="4580" spans="1:1">
      <c r="A4580" t="inlineStr">
        <is>
          <t>Canlaas</t>
        </is>
      </c>
    </row>
    <row r="4581" spans="1:1">
      <c r="A4581" t="inlineStr">
        <is>
          <t>Cansibuan</t>
        </is>
      </c>
    </row>
    <row r="4582" spans="1:1">
      <c r="A4582" t="inlineStr">
        <is>
          <t>Celing</t>
        </is>
      </c>
    </row>
    <row r="4583" spans="1:1">
      <c r="A4583" t="inlineStr">
        <is>
          <t>Danao</t>
        </is>
      </c>
    </row>
    <row r="4584" spans="1:1">
      <c r="A4584" t="inlineStr">
        <is>
          <t>Danicop</t>
        </is>
      </c>
    </row>
    <row r="4585" spans="1:1">
      <c r="A4585" t="inlineStr">
        <is>
          <t>Mag-aso</t>
        </is>
      </c>
    </row>
    <row r="4586" spans="1:1">
      <c r="A4586" t="inlineStr">
        <is>
          <t>Poblacion</t>
        </is>
      </c>
    </row>
    <row r="4587" spans="1:1">
      <c r="A4587" t="inlineStr">
        <is>
          <t>Quinapon-an</t>
        </is>
      </c>
    </row>
    <row r="4588" spans="1:1">
      <c r="A4588" t="inlineStr">
        <is>
          <t>Santo Rosario</t>
        </is>
      </c>
    </row>
    <row r="4589" spans="1:1">
      <c r="A4589" t="inlineStr">
        <is>
          <t>Tabuan</t>
        </is>
      </c>
    </row>
    <row r="4590" spans="1:1">
      <c r="A4590" t="inlineStr">
        <is>
          <t>Tagubaas</t>
        </is>
      </c>
    </row>
    <row r="4591" spans="1:1">
      <c r="A4591" t="inlineStr">
        <is>
          <t>Tupas</t>
        </is>
      </c>
    </row>
    <row r="4592" spans="1:1">
      <c r="A4592" t="inlineStr">
        <is>
          <t>Ubojan</t>
        </is>
      </c>
    </row>
    <row r="4593" spans="1:1">
      <c r="A4593" t="inlineStr">
        <is>
          <t>Viga</t>
        </is>
      </c>
    </row>
    <row r="4594" spans="1:1">
      <c r="A4594" t="inlineStr">
        <is>
          <t>Villa Aurora</t>
        </is>
      </c>
    </row>
    <row r="4595" spans="1:1">
      <c r="A4595" t="inlineStr">
        <is>
          <t>Buenaventura</t>
        </is>
      </c>
    </row>
    <row r="4596" spans="1:1">
      <c r="A4596" t="inlineStr">
        <is>
          <t>Cambanac</t>
        </is>
      </c>
    </row>
    <row r="4597" spans="1:1">
      <c r="A4597" t="inlineStr">
        <is>
          <t>Dasitam</t>
        </is>
      </c>
    </row>
    <row r="4598" spans="1:1">
      <c r="A4598" t="inlineStr">
        <is>
          <t>Guiwanon</t>
        </is>
      </c>
    </row>
    <row r="4599" spans="1:1">
      <c r="A4599" t="inlineStr">
        <is>
          <t>Landican</t>
        </is>
      </c>
    </row>
    <row r="4600" spans="1:1">
      <c r="A4600" t="inlineStr">
        <is>
          <t>Laya</t>
        </is>
      </c>
    </row>
    <row r="4601" spans="1:1">
      <c r="A4601" t="inlineStr">
        <is>
          <t>Libertad</t>
        </is>
      </c>
    </row>
    <row r="4602" spans="1:1">
      <c r="A4602" t="inlineStr">
        <is>
          <t>Montana</t>
        </is>
      </c>
    </row>
    <row r="4603" spans="1:1">
      <c r="A4603" t="inlineStr">
        <is>
          <t>Pamilacan</t>
        </is>
      </c>
    </row>
    <row r="4604" spans="1:1">
      <c r="A4604" t="inlineStr">
        <is>
          <t>Payahan</t>
        </is>
      </c>
    </row>
    <row r="4605" spans="1:1">
      <c r="A4605" t="inlineStr">
        <is>
          <t>Poblacion</t>
        </is>
      </c>
    </row>
    <row r="4606" spans="1:1">
      <c r="A4606" t="inlineStr">
        <is>
          <t>San Isidro</t>
        </is>
      </c>
    </row>
    <row r="4607" spans="1:1">
      <c r="A4607" t="inlineStr">
        <is>
          <t>San Roque</t>
        </is>
      </c>
    </row>
    <row r="4608" spans="1:1">
      <c r="A4608" t="inlineStr">
        <is>
          <t>San Vicente</t>
        </is>
      </c>
    </row>
    <row r="4609" spans="1:1">
      <c r="A4609" t="inlineStr">
        <is>
          <t>Santa Cruz</t>
        </is>
      </c>
    </row>
    <row r="4610" spans="1:1">
      <c r="A4610" t="inlineStr">
        <is>
          <t>Taguihon</t>
        </is>
      </c>
    </row>
    <row r="4611" spans="1:1">
      <c r="A4611" t="inlineStr">
        <is>
          <t>Tanday</t>
        </is>
      </c>
    </row>
    <row r="4612" spans="1:1">
      <c r="A4612" t="inlineStr">
        <is>
          <t>Baucan Norte</t>
        </is>
      </c>
    </row>
    <row r="4613" spans="1:1">
      <c r="A4613" t="inlineStr">
        <is>
          <t>Baucan Sur</t>
        </is>
      </c>
    </row>
    <row r="4614" spans="1:1">
      <c r="A4614" t="inlineStr">
        <is>
          <t>Boctol</t>
        </is>
      </c>
    </row>
    <row r="4615" spans="1:1">
      <c r="A4615" t="inlineStr">
        <is>
          <t>Boyog Norte</t>
        </is>
      </c>
    </row>
    <row r="4616" spans="1:1">
      <c r="A4616" t="inlineStr">
        <is>
          <t>Boyog Proper</t>
        </is>
      </c>
    </row>
    <row r="4617" spans="1:1">
      <c r="A4617" t="inlineStr">
        <is>
          <t>Boyog Sur</t>
        </is>
      </c>
    </row>
    <row r="4618" spans="1:1">
      <c r="A4618" t="inlineStr">
        <is>
          <t>Cabad</t>
        </is>
      </c>
    </row>
    <row r="4619" spans="1:1">
      <c r="A4619" t="inlineStr">
        <is>
          <t>Candasig</t>
        </is>
      </c>
    </row>
    <row r="4620" spans="1:1">
      <c r="A4620" t="inlineStr">
        <is>
          <t>Cantalid</t>
        </is>
      </c>
    </row>
    <row r="4621" spans="1:1">
      <c r="A4621" t="inlineStr">
        <is>
          <t>Cantomimbo</t>
        </is>
      </c>
    </row>
    <row r="4622" spans="1:1">
      <c r="A4622" t="inlineStr">
        <is>
          <t>Cogon</t>
        </is>
      </c>
    </row>
    <row r="4623" spans="1:1">
      <c r="A4623" t="inlineStr">
        <is>
          <t>Datag Norte</t>
        </is>
      </c>
    </row>
    <row r="4624" spans="1:1">
      <c r="A4624" t="inlineStr">
        <is>
          <t>Datag Sur</t>
        </is>
      </c>
    </row>
    <row r="4625" spans="1:1">
      <c r="A4625" t="inlineStr">
        <is>
          <t>Del Carmen Este</t>
        </is>
      </c>
    </row>
    <row r="4626" spans="1:1">
      <c r="A4626" t="inlineStr">
        <is>
          <t>Del Carmen Norte</t>
        </is>
      </c>
    </row>
    <row r="4627" spans="1:1">
      <c r="A4627" t="inlineStr">
        <is>
          <t>Del Carmen Sur</t>
        </is>
      </c>
    </row>
    <row r="4628" spans="1:1">
      <c r="A4628" t="inlineStr">
        <is>
          <t>Del Carmen Weste</t>
        </is>
      </c>
    </row>
    <row r="4629" spans="1:1">
      <c r="A4629" t="inlineStr">
        <is>
          <t>Del Rosario</t>
        </is>
      </c>
    </row>
    <row r="4630" spans="1:1">
      <c r="A4630" t="inlineStr">
        <is>
          <t>Dorol</t>
        </is>
      </c>
    </row>
    <row r="4631" spans="1:1">
      <c r="A4631" t="inlineStr">
        <is>
          <t>Haguilanan Grande</t>
        </is>
      </c>
    </row>
    <row r="4632" spans="1:1">
      <c r="A4632" t="inlineStr">
        <is>
          <t>Hanopol Este</t>
        </is>
      </c>
    </row>
    <row r="4633" spans="1:1">
      <c r="A4633" t="inlineStr">
        <is>
          <t>Hanopol Norte</t>
        </is>
      </c>
    </row>
    <row r="4634" spans="1:1">
      <c r="A4634" t="inlineStr">
        <is>
          <t>Hanopol Weste</t>
        </is>
      </c>
    </row>
    <row r="4635" spans="1:1">
      <c r="A4635" t="inlineStr">
        <is>
          <t>Magsija</t>
        </is>
      </c>
    </row>
    <row r="4636" spans="1:1">
      <c r="A4636" t="inlineStr">
        <is>
          <t>Maslog</t>
        </is>
      </c>
    </row>
    <row r="4637" spans="1:1">
      <c r="A4637" t="inlineStr">
        <is>
          <t>Sagasa</t>
        </is>
      </c>
    </row>
    <row r="4638" spans="1:1">
      <c r="A4638" t="inlineStr">
        <is>
          <t>Sal-ing</t>
        </is>
      </c>
    </row>
    <row r="4639" spans="1:1">
      <c r="A4639" t="inlineStr">
        <is>
          <t>San Isidro</t>
        </is>
      </c>
    </row>
    <row r="4640" spans="1:1">
      <c r="A4640" t="inlineStr">
        <is>
          <t>San Roque</t>
        </is>
      </c>
    </row>
    <row r="4641" spans="1:1">
      <c r="A4641" t="inlineStr">
        <is>
          <t>Santo Niño</t>
        </is>
      </c>
    </row>
    <row r="4642" spans="1:1">
      <c r="A4642" t="inlineStr">
        <is>
          <t>Tagustusan</t>
        </is>
      </c>
    </row>
    <row r="4643" spans="1:1">
      <c r="A4643" t="inlineStr">
        <is>
          <t>Aloja</t>
        </is>
      </c>
    </row>
    <row r="4644" spans="1:1">
      <c r="A4644" t="inlineStr">
        <is>
          <t>Behind The Clouds</t>
        </is>
      </c>
    </row>
    <row r="4645" spans="1:1">
      <c r="A4645" t="inlineStr">
        <is>
          <t>Cabacnitan</t>
        </is>
      </c>
    </row>
    <row r="4646" spans="1:1">
      <c r="A4646" t="inlineStr">
        <is>
          <t>Cambacay</t>
        </is>
      </c>
    </row>
    <row r="4647" spans="1:1">
      <c r="A4647" t="inlineStr">
        <is>
          <t>Cantigdas</t>
        </is>
      </c>
    </row>
    <row r="4648" spans="1:1">
      <c r="A4648" t="inlineStr">
        <is>
          <t>Garcia</t>
        </is>
      </c>
    </row>
    <row r="4649" spans="1:1">
      <c r="A4649" t="inlineStr">
        <is>
          <t>Janlud</t>
        </is>
      </c>
    </row>
    <row r="4650" spans="1:1">
      <c r="A4650" t="inlineStr">
        <is>
          <t>Poblacion Norte</t>
        </is>
      </c>
    </row>
    <row r="4651" spans="1:1">
      <c r="A4651" t="inlineStr">
        <is>
          <t>Poblacion Sur</t>
        </is>
      </c>
    </row>
    <row r="4652" spans="1:1">
      <c r="A4652" t="inlineStr">
        <is>
          <t>Poblacion Vieja</t>
        </is>
      </c>
    </row>
    <row r="4653" spans="1:1">
      <c r="A4653" t="inlineStr">
        <is>
          <t>Quezon</t>
        </is>
      </c>
    </row>
    <row r="4654" spans="1:1">
      <c r="A4654" t="inlineStr">
        <is>
          <t>Quirino</t>
        </is>
      </c>
    </row>
    <row r="4655" spans="1:1">
      <c r="A4655" t="inlineStr">
        <is>
          <t>Rizal</t>
        </is>
      </c>
    </row>
    <row r="4656" spans="1:1">
      <c r="A4656" t="inlineStr">
        <is>
          <t>Rosariohan</t>
        </is>
      </c>
    </row>
    <row r="4657" spans="1:1">
      <c r="A4657" t="inlineStr">
        <is>
          <t>Santa Cruz</t>
        </is>
      </c>
    </row>
    <row r="4658" spans="1:1">
      <c r="A4658" t="inlineStr">
        <is>
          <t>Bilangbilangan Dako</t>
        </is>
      </c>
    </row>
    <row r="4659" spans="1:1">
      <c r="A4659" t="inlineStr">
        <is>
          <t>Bilangbilangan Diot</t>
        </is>
      </c>
    </row>
    <row r="4660" spans="1:1">
      <c r="A4660" t="inlineStr">
        <is>
          <t>Hingotanan East</t>
        </is>
      </c>
    </row>
    <row r="4661" spans="1:1">
      <c r="A4661" t="inlineStr">
        <is>
          <t>Hingotanan West</t>
        </is>
      </c>
    </row>
    <row r="4662" spans="1:1">
      <c r="A4662" t="inlineStr">
        <is>
          <t>Liberty</t>
        </is>
      </c>
    </row>
    <row r="4663" spans="1:1">
      <c r="A4663" t="inlineStr">
        <is>
          <t>Malingin</t>
        </is>
      </c>
    </row>
    <row r="4664" spans="1:1">
      <c r="A4664" t="inlineStr">
        <is>
          <t>Mandawa</t>
        </is>
      </c>
    </row>
    <row r="4665" spans="1:1">
      <c r="A4665" t="inlineStr">
        <is>
          <t>Maomawan</t>
        </is>
      </c>
    </row>
    <row r="4666" spans="1:1">
      <c r="A4666" t="inlineStr">
        <is>
          <t>Nueva Esperanza</t>
        </is>
      </c>
    </row>
    <row r="4667" spans="1:1">
      <c r="A4667" t="inlineStr">
        <is>
          <t>Nueva Estrella</t>
        </is>
      </c>
    </row>
    <row r="4668" spans="1:1">
      <c r="A4668" t="inlineStr">
        <is>
          <t>Pinamgo</t>
        </is>
      </c>
    </row>
    <row r="4669" spans="1:1">
      <c r="A4669" t="inlineStr">
        <is>
          <t>Poblacion</t>
        </is>
      </c>
    </row>
    <row r="4670" spans="1:1">
      <c r="A4670" t="inlineStr">
        <is>
          <t>Puerto San Pedro</t>
        </is>
      </c>
    </row>
    <row r="4671" spans="1:1">
      <c r="A4671" t="inlineStr">
        <is>
          <t>Sagasa</t>
        </is>
      </c>
    </row>
    <row r="4672" spans="1:1">
      <c r="A4672" t="inlineStr">
        <is>
          <t>Tuboran</t>
        </is>
      </c>
    </row>
    <row r="4673" spans="1:1">
      <c r="A4673" t="inlineStr">
        <is>
          <t>Bonifacio</t>
        </is>
      </c>
    </row>
    <row r="4674" spans="1:1">
      <c r="A4674" t="inlineStr">
        <is>
          <t>Bugang Norte</t>
        </is>
      </c>
    </row>
    <row r="4675" spans="1:1">
      <c r="A4675" t="inlineStr">
        <is>
          <t>Bugang Sur</t>
        </is>
      </c>
    </row>
    <row r="4676" spans="1:1">
      <c r="A4676" t="inlineStr">
        <is>
          <t>Cabacnitan</t>
        </is>
      </c>
    </row>
    <row r="4677" spans="1:1">
      <c r="A4677" t="inlineStr">
        <is>
          <t>Cambigsi</t>
        </is>
      </c>
    </row>
    <row r="4678" spans="1:1">
      <c r="A4678" t="inlineStr">
        <is>
          <t>Campagao</t>
        </is>
      </c>
    </row>
    <row r="4679" spans="1:1">
      <c r="A4679" t="inlineStr">
        <is>
          <t>Cansumbol</t>
        </is>
      </c>
    </row>
    <row r="4680" spans="1:1">
      <c r="A4680" t="inlineStr">
        <is>
          <t>Dagohoy</t>
        </is>
      </c>
    </row>
    <row r="4681" spans="1:1">
      <c r="A4681" t="inlineStr">
        <is>
          <t>Owac</t>
        </is>
      </c>
    </row>
    <row r="4682" spans="1:1">
      <c r="A4682" t="inlineStr">
        <is>
          <t>Poblacion</t>
        </is>
      </c>
    </row>
    <row r="4683" spans="1:1">
      <c r="A4683" t="inlineStr">
        <is>
          <t>Quezon</t>
        </is>
      </c>
    </row>
    <row r="4684" spans="1:1">
      <c r="A4684" t="inlineStr">
        <is>
          <t>Riverside</t>
        </is>
      </c>
    </row>
    <row r="4685" spans="1:1">
      <c r="A4685" t="inlineStr">
        <is>
          <t>Rizal</t>
        </is>
      </c>
    </row>
    <row r="4686" spans="1:1">
      <c r="A4686" t="inlineStr">
        <is>
          <t>Roxas</t>
        </is>
      </c>
    </row>
    <row r="4687" spans="1:1">
      <c r="A4687" t="inlineStr">
        <is>
          <t>Subayon</t>
        </is>
      </c>
    </row>
    <row r="4688" spans="1:1">
      <c r="A4688" t="inlineStr">
        <is>
          <t>Villa Aurora</t>
        </is>
      </c>
    </row>
    <row r="4689" spans="1:1">
      <c r="A4689" t="inlineStr">
        <is>
          <t>Villa Suerte</t>
        </is>
      </c>
    </row>
    <row r="4690" spans="1:1">
      <c r="A4690" t="inlineStr">
        <is>
          <t>Yanaya</t>
        </is>
      </c>
    </row>
    <row r="4691" spans="1:1">
      <c r="A4691" t="inlineStr">
        <is>
          <t>Zamora</t>
        </is>
      </c>
    </row>
    <row r="4692" spans="1:1">
      <c r="A4692" t="inlineStr">
        <is>
          <t>Anonang</t>
        </is>
      </c>
    </row>
    <row r="4693" spans="1:1">
      <c r="A4693" t="inlineStr">
        <is>
          <t>Asinan</t>
        </is>
      </c>
    </row>
    <row r="4694" spans="1:1">
      <c r="A4694" t="inlineStr">
        <is>
          <t>Bago</t>
        </is>
      </c>
    </row>
    <row r="4695" spans="1:1">
      <c r="A4695" t="inlineStr">
        <is>
          <t>Baluarte</t>
        </is>
      </c>
    </row>
    <row r="4696" spans="1:1">
      <c r="A4696" t="inlineStr">
        <is>
          <t>Bantuan</t>
        </is>
      </c>
    </row>
    <row r="4697" spans="1:1">
      <c r="A4697" t="inlineStr">
        <is>
          <t>Bato</t>
        </is>
      </c>
    </row>
    <row r="4698" spans="1:1">
      <c r="A4698" t="inlineStr">
        <is>
          <t>Bonotbonot</t>
        </is>
      </c>
    </row>
    <row r="4699" spans="1:1">
      <c r="A4699" t="inlineStr">
        <is>
          <t>Bugaong</t>
        </is>
      </c>
    </row>
    <row r="4700" spans="1:1">
      <c r="A4700" t="inlineStr">
        <is>
          <t>Cambuhat</t>
        </is>
      </c>
    </row>
    <row r="4701" spans="1:1">
      <c r="A4701" t="inlineStr">
        <is>
          <t>Cambus-oc</t>
        </is>
      </c>
    </row>
    <row r="4702" spans="1:1">
      <c r="A4702" t="inlineStr">
        <is>
          <t>Cangawa</t>
        </is>
      </c>
    </row>
    <row r="4703" spans="1:1">
      <c r="A4703" t="inlineStr">
        <is>
          <t>Cantomugcad</t>
        </is>
      </c>
    </row>
    <row r="4704" spans="1:1">
      <c r="A4704" t="inlineStr">
        <is>
          <t>Cantores</t>
        </is>
      </c>
    </row>
    <row r="4705" spans="1:1">
      <c r="A4705" t="inlineStr">
        <is>
          <t>Cantuba</t>
        </is>
      </c>
    </row>
    <row r="4706" spans="1:1">
      <c r="A4706" t="inlineStr">
        <is>
          <t>Catigbian</t>
        </is>
      </c>
    </row>
    <row r="4707" spans="1:1">
      <c r="A4707" t="inlineStr">
        <is>
          <t>Cawag</t>
        </is>
      </c>
    </row>
    <row r="4708" spans="1:1">
      <c r="A4708" t="inlineStr">
        <is>
          <t>Cruz</t>
        </is>
      </c>
    </row>
    <row r="4709" spans="1:1">
      <c r="A4709" t="inlineStr">
        <is>
          <t>Dait</t>
        </is>
      </c>
    </row>
    <row r="4710" spans="1:1">
      <c r="A4710" t="inlineStr">
        <is>
          <t>Eastern Cabul-an</t>
        </is>
      </c>
    </row>
    <row r="4711" spans="1:1">
      <c r="A4711" t="inlineStr">
        <is>
          <t>Hunan</t>
        </is>
      </c>
    </row>
    <row r="4712" spans="1:1">
      <c r="A4712" t="inlineStr">
        <is>
          <t>Lapacan Norte</t>
        </is>
      </c>
    </row>
    <row r="4713" spans="1:1">
      <c r="A4713" t="inlineStr">
        <is>
          <t>Lapacan Sur</t>
        </is>
      </c>
    </row>
    <row r="4714" spans="1:1">
      <c r="A4714" t="inlineStr">
        <is>
          <t>Lubang</t>
        </is>
      </c>
    </row>
    <row r="4715" spans="1:1">
      <c r="A4715" t="inlineStr">
        <is>
          <t>Lusong</t>
        </is>
      </c>
    </row>
    <row r="4716" spans="1:1">
      <c r="A4716" t="inlineStr">
        <is>
          <t>Magkaya</t>
        </is>
      </c>
    </row>
    <row r="4717" spans="1:1">
      <c r="A4717" t="inlineStr">
        <is>
          <t>Merryland</t>
        </is>
      </c>
    </row>
    <row r="4718" spans="1:1">
      <c r="A4718" t="inlineStr">
        <is>
          <t>Nueva Granada</t>
        </is>
      </c>
    </row>
    <row r="4719" spans="1:1">
      <c r="A4719" t="inlineStr">
        <is>
          <t>Nueva Montana</t>
        </is>
      </c>
    </row>
    <row r="4720" spans="1:1">
      <c r="A4720" t="inlineStr">
        <is>
          <t>Overland</t>
        </is>
      </c>
    </row>
    <row r="4721" spans="1:1">
      <c r="A4721" t="inlineStr">
        <is>
          <t>Panghagban</t>
        </is>
      </c>
    </row>
    <row r="4722" spans="1:1">
      <c r="A4722" t="inlineStr">
        <is>
          <t>Poblacion</t>
        </is>
      </c>
    </row>
    <row r="4723" spans="1:1">
      <c r="A4723" t="inlineStr">
        <is>
          <t>Puting Bato</t>
        </is>
      </c>
    </row>
    <row r="4724" spans="1:1">
      <c r="A4724" t="inlineStr">
        <is>
          <t>Rufo Hill</t>
        </is>
      </c>
    </row>
    <row r="4725" spans="1:1">
      <c r="A4725" t="inlineStr">
        <is>
          <t>Sweetland</t>
        </is>
      </c>
    </row>
    <row r="4726" spans="1:1">
      <c r="A4726" t="inlineStr">
        <is>
          <t>Western Cabul-an</t>
        </is>
      </c>
    </row>
    <row r="4727" spans="1:1">
      <c r="A4727" t="inlineStr">
        <is>
          <t>Abucayan Norte</t>
        </is>
      </c>
    </row>
    <row r="4728" spans="1:1">
      <c r="A4728" t="inlineStr">
        <is>
          <t>Abucayan Sur</t>
        </is>
      </c>
    </row>
    <row r="4729" spans="1:1">
      <c r="A4729" t="inlineStr">
        <is>
          <t>Banlasan</t>
        </is>
      </c>
    </row>
    <row r="4730" spans="1:1">
      <c r="A4730" t="inlineStr">
        <is>
          <t>Bentig</t>
        </is>
      </c>
    </row>
    <row r="4731" spans="1:1">
      <c r="A4731" t="inlineStr">
        <is>
          <t>Binogawan</t>
        </is>
      </c>
    </row>
    <row r="4732" spans="1:1">
      <c r="A4732" t="inlineStr">
        <is>
          <t>Bonbon</t>
        </is>
      </c>
    </row>
    <row r="4733" spans="1:1">
      <c r="A4733" t="inlineStr">
        <is>
          <t>Cabayugan</t>
        </is>
      </c>
    </row>
    <row r="4734" spans="1:1">
      <c r="A4734" t="inlineStr">
        <is>
          <t>Cabudburan</t>
        </is>
      </c>
    </row>
    <row r="4735" spans="1:1">
      <c r="A4735" t="inlineStr">
        <is>
          <t>Calunasan</t>
        </is>
      </c>
    </row>
    <row r="4736" spans="1:1">
      <c r="A4736" t="inlineStr">
        <is>
          <t>Camias</t>
        </is>
      </c>
    </row>
    <row r="4737" spans="1:1">
      <c r="A4737" t="inlineStr">
        <is>
          <t>Canguha</t>
        </is>
      </c>
    </row>
    <row r="4738" spans="1:1">
      <c r="A4738" t="inlineStr">
        <is>
          <t>Catmonan</t>
        </is>
      </c>
    </row>
    <row r="4739" spans="1:1">
      <c r="A4739" t="inlineStr">
        <is>
          <t>Desamparados</t>
        </is>
      </c>
    </row>
    <row r="4740" spans="1:1">
      <c r="A4740" t="inlineStr">
        <is>
          <t>Kahayag</t>
        </is>
      </c>
    </row>
    <row r="4741" spans="1:1">
      <c r="A4741" t="inlineStr">
        <is>
          <t>Kinabag-an</t>
        </is>
      </c>
    </row>
    <row r="4742" spans="1:1">
      <c r="A4742" t="inlineStr">
        <is>
          <t>Labuon</t>
        </is>
      </c>
    </row>
    <row r="4743" spans="1:1">
      <c r="A4743" t="inlineStr">
        <is>
          <t>Lawis</t>
        </is>
      </c>
    </row>
    <row r="4744" spans="1:1">
      <c r="A4744" t="inlineStr">
        <is>
          <t>Liboron</t>
        </is>
      </c>
    </row>
    <row r="4745" spans="1:1">
      <c r="A4745" t="inlineStr">
        <is>
          <t>Lo-oc</t>
        </is>
      </c>
    </row>
    <row r="4746" spans="1:1">
      <c r="A4746" t="inlineStr">
        <is>
          <t>Lomboy</t>
        </is>
      </c>
    </row>
    <row r="4747" spans="1:1">
      <c r="A4747" t="inlineStr">
        <is>
          <t>Lucob</t>
        </is>
      </c>
    </row>
    <row r="4748" spans="1:1">
      <c r="A4748" t="inlineStr">
        <is>
          <t>Madangog</t>
        </is>
      </c>
    </row>
    <row r="4749" spans="1:1">
      <c r="A4749" t="inlineStr">
        <is>
          <t>Magtongtong</t>
        </is>
      </c>
    </row>
    <row r="4750" spans="1:1">
      <c r="A4750" t="inlineStr">
        <is>
          <t>Mandaug</t>
        </is>
      </c>
    </row>
    <row r="4751" spans="1:1">
      <c r="A4751" t="inlineStr">
        <is>
          <t>Mantatao</t>
        </is>
      </c>
    </row>
    <row r="4752" spans="1:1">
      <c r="A4752" t="inlineStr">
        <is>
          <t>Sampoangon</t>
        </is>
      </c>
    </row>
    <row r="4753" spans="1:1">
      <c r="A4753" t="inlineStr">
        <is>
          <t>San Isidro</t>
        </is>
      </c>
    </row>
    <row r="4754" spans="1:1">
      <c r="A4754" t="inlineStr">
        <is>
          <t>Santa Cruz</t>
        </is>
      </c>
    </row>
    <row r="4755" spans="1:1">
      <c r="A4755" t="inlineStr">
        <is>
          <t>Sojoton</t>
        </is>
      </c>
    </row>
    <row r="4756" spans="1:1">
      <c r="A4756" t="inlineStr">
        <is>
          <t>Talisay</t>
        </is>
      </c>
    </row>
    <row r="4757" spans="1:1">
      <c r="A4757" t="inlineStr">
        <is>
          <t>Tinibgan</t>
        </is>
      </c>
    </row>
    <row r="4758" spans="1:1">
      <c r="A4758" t="inlineStr">
        <is>
          <t>Tultugan</t>
        </is>
      </c>
    </row>
    <row r="4759" spans="1:1">
      <c r="A4759" t="inlineStr">
        <is>
          <t>Ulbujan</t>
        </is>
      </c>
    </row>
    <row r="4760" spans="1:1">
      <c r="A4760" t="inlineStr">
        <is>
          <t>Abihilan</t>
        </is>
      </c>
    </row>
    <row r="4761" spans="1:1">
      <c r="A4761" t="inlineStr">
        <is>
          <t>Anoling</t>
        </is>
      </c>
    </row>
    <row r="4762" spans="1:1">
      <c r="A4762" t="inlineStr">
        <is>
          <t>Boyo-an</t>
        </is>
      </c>
    </row>
    <row r="4763" spans="1:1">
      <c r="A4763" t="inlineStr">
        <is>
          <t>Cadapdapan</t>
        </is>
      </c>
    </row>
    <row r="4764" spans="1:1">
      <c r="A4764" t="inlineStr">
        <is>
          <t>Cambane</t>
        </is>
      </c>
    </row>
    <row r="4765" spans="1:1">
      <c r="A4765" t="inlineStr">
        <is>
          <t>Can-olin</t>
        </is>
      </c>
    </row>
    <row r="4766" spans="1:1">
      <c r="A4766" t="inlineStr">
        <is>
          <t>Canawa</t>
        </is>
      </c>
    </row>
    <row r="4767" spans="1:1">
      <c r="A4767" t="inlineStr">
        <is>
          <t>Cogtong</t>
        </is>
      </c>
    </row>
    <row r="4768" spans="1:1">
      <c r="A4768" t="inlineStr">
        <is>
          <t>La Union</t>
        </is>
      </c>
    </row>
    <row r="4769" spans="1:1">
      <c r="A4769" t="inlineStr">
        <is>
          <t>Luan</t>
        </is>
      </c>
    </row>
    <row r="4770" spans="1:1">
      <c r="A4770" t="inlineStr">
        <is>
          <t>Lungsoda-an</t>
        </is>
      </c>
    </row>
    <row r="4771" spans="1:1">
      <c r="A4771" t="inlineStr">
        <is>
          <t>Mahangin</t>
        </is>
      </c>
    </row>
    <row r="4772" spans="1:1">
      <c r="A4772" t="inlineStr">
        <is>
          <t>Pagahat</t>
        </is>
      </c>
    </row>
    <row r="4773" spans="1:1">
      <c r="A4773" t="inlineStr">
        <is>
          <t>Panadtaran</t>
        </is>
      </c>
    </row>
    <row r="4774" spans="1:1">
      <c r="A4774" t="inlineStr">
        <is>
          <t>Panas</t>
        </is>
      </c>
    </row>
    <row r="4775" spans="1:1">
      <c r="A4775" t="inlineStr">
        <is>
          <t>Poblacion</t>
        </is>
      </c>
    </row>
    <row r="4776" spans="1:1">
      <c r="A4776" t="inlineStr">
        <is>
          <t>San Isidro</t>
        </is>
      </c>
    </row>
    <row r="4777" spans="1:1">
      <c r="A4777" t="inlineStr">
        <is>
          <t>Tambongan</t>
        </is>
      </c>
    </row>
    <row r="4778" spans="1:1">
      <c r="A4778" t="inlineStr">
        <is>
          <t>Tawid</t>
        </is>
      </c>
    </row>
    <row r="4779" spans="1:1">
      <c r="A4779" t="inlineStr">
        <is>
          <t>Tubod</t>
        </is>
      </c>
    </row>
    <row r="4780" spans="1:1">
      <c r="A4780" t="inlineStr">
        <is>
          <t>Tugas</t>
        </is>
      </c>
    </row>
    <row r="4781" spans="1:1">
      <c r="A4781" t="inlineStr">
        <is>
          <t>Alegria</t>
        </is>
      </c>
    </row>
    <row r="4782" spans="1:1">
      <c r="A4782" t="inlineStr">
        <is>
          <t>Bicao</t>
        </is>
      </c>
    </row>
    <row r="4783" spans="1:1">
      <c r="A4783" t="inlineStr">
        <is>
          <t>Buenavista</t>
        </is>
      </c>
    </row>
    <row r="4784" spans="1:1">
      <c r="A4784" t="inlineStr">
        <is>
          <t>Buenos Aires</t>
        </is>
      </c>
    </row>
    <row r="4785" spans="1:1">
      <c r="A4785" t="inlineStr">
        <is>
          <t>Calatrava</t>
        </is>
      </c>
    </row>
    <row r="4786" spans="1:1">
      <c r="A4786" t="inlineStr">
        <is>
          <t>El Progreso</t>
        </is>
      </c>
    </row>
    <row r="4787" spans="1:1">
      <c r="A4787" t="inlineStr">
        <is>
          <t>El Salvador</t>
        </is>
      </c>
    </row>
    <row r="4788" spans="1:1">
      <c r="A4788" t="inlineStr">
        <is>
          <t>Guadalupe</t>
        </is>
      </c>
    </row>
    <row r="4789" spans="1:1">
      <c r="A4789" t="inlineStr">
        <is>
          <t>Katipunan</t>
        </is>
      </c>
    </row>
    <row r="4790" spans="1:1">
      <c r="A4790" t="inlineStr">
        <is>
          <t>La Libertad</t>
        </is>
      </c>
    </row>
    <row r="4791" spans="1:1">
      <c r="A4791" t="inlineStr">
        <is>
          <t>La Paz</t>
        </is>
      </c>
    </row>
    <row r="4792" spans="1:1">
      <c r="A4792" t="inlineStr">
        <is>
          <t>La Salvacion</t>
        </is>
      </c>
    </row>
    <row r="4793" spans="1:1">
      <c r="A4793" t="inlineStr">
        <is>
          <t>La Victoria</t>
        </is>
      </c>
    </row>
    <row r="4794" spans="1:1">
      <c r="A4794" t="inlineStr">
        <is>
          <t>Matin-ao</t>
        </is>
      </c>
    </row>
    <row r="4795" spans="1:1">
      <c r="A4795" t="inlineStr">
        <is>
          <t>Montehermoso</t>
        </is>
      </c>
    </row>
    <row r="4796" spans="1:1">
      <c r="A4796" t="inlineStr">
        <is>
          <t>Montesuerte</t>
        </is>
      </c>
    </row>
    <row r="4797" spans="1:1">
      <c r="A4797" t="inlineStr">
        <is>
          <t>Montesunting</t>
        </is>
      </c>
    </row>
    <row r="4798" spans="1:1">
      <c r="A4798" t="inlineStr">
        <is>
          <t>Montevideo</t>
        </is>
      </c>
    </row>
    <row r="4799" spans="1:1">
      <c r="A4799" t="inlineStr">
        <is>
          <t>Nueva Fuerza</t>
        </is>
      </c>
    </row>
    <row r="4800" spans="1:1">
      <c r="A4800" t="inlineStr">
        <is>
          <t>Nueva Vida Este</t>
        </is>
      </c>
    </row>
    <row r="4801" spans="1:1">
      <c r="A4801" t="inlineStr">
        <is>
          <t>Nueva Vida Norte</t>
        </is>
      </c>
    </row>
    <row r="4802" spans="1:1">
      <c r="A4802" t="inlineStr">
        <is>
          <t>Nueva Vida Sur</t>
        </is>
      </c>
    </row>
    <row r="4803" spans="1:1">
      <c r="A4803" t="inlineStr">
        <is>
          <t>Poblacion Norte</t>
        </is>
      </c>
    </row>
    <row r="4804" spans="1:1">
      <c r="A4804" t="inlineStr">
        <is>
          <t>Poblacion Sur</t>
        </is>
      </c>
    </row>
    <row r="4805" spans="1:1">
      <c r="A4805" t="inlineStr">
        <is>
          <t>Tambo-an</t>
        </is>
      </c>
    </row>
    <row r="4806" spans="1:1">
      <c r="A4806" t="inlineStr">
        <is>
          <t>Vallehermoso</t>
        </is>
      </c>
    </row>
    <row r="4807" spans="1:1">
      <c r="A4807" t="inlineStr">
        <is>
          <t>Villaflor</t>
        </is>
      </c>
    </row>
    <row r="4808" spans="1:1">
      <c r="A4808" t="inlineStr">
        <is>
          <t>Villafuerte</t>
        </is>
      </c>
    </row>
    <row r="4809" spans="1:1">
      <c r="A4809" t="inlineStr">
        <is>
          <t>Villarcayo</t>
        </is>
      </c>
    </row>
    <row r="4810" spans="1:1">
      <c r="A4810" t="inlineStr">
        <is>
          <t>Alegria</t>
        </is>
      </c>
    </row>
    <row r="4811" spans="1:1">
      <c r="A4811" t="inlineStr">
        <is>
          <t>Ambuan</t>
        </is>
      </c>
    </row>
    <row r="4812" spans="1:1">
      <c r="A4812" t="inlineStr">
        <is>
          <t>Baang</t>
        </is>
      </c>
    </row>
    <row r="4813" spans="1:1">
      <c r="A4813" t="inlineStr">
        <is>
          <t>Bagtic</t>
        </is>
      </c>
    </row>
    <row r="4814" spans="1:1">
      <c r="A4814" t="inlineStr">
        <is>
          <t>Bongbong</t>
        </is>
      </c>
    </row>
    <row r="4815" spans="1:1">
      <c r="A4815" t="inlineStr">
        <is>
          <t>Cambailan</t>
        </is>
      </c>
    </row>
    <row r="4816" spans="1:1">
      <c r="A4816" t="inlineStr">
        <is>
          <t>Candumayao</t>
        </is>
      </c>
    </row>
    <row r="4817" spans="1:1">
      <c r="A4817" t="inlineStr">
        <is>
          <t>Causwagan Norte</t>
        </is>
      </c>
    </row>
    <row r="4818" spans="1:1">
      <c r="A4818" t="inlineStr">
        <is>
          <t>Hagbuaya</t>
        </is>
      </c>
    </row>
    <row r="4819" spans="1:1">
      <c r="A4819" t="inlineStr">
        <is>
          <t>Haguilanan</t>
        </is>
      </c>
    </row>
    <row r="4820" spans="1:1">
      <c r="A4820" t="inlineStr">
        <is>
          <t>Kang-iras</t>
        </is>
      </c>
    </row>
    <row r="4821" spans="1:1">
      <c r="A4821" t="inlineStr">
        <is>
          <t>Libertad Sur</t>
        </is>
      </c>
    </row>
    <row r="4822" spans="1:1">
      <c r="A4822" t="inlineStr">
        <is>
          <t>Liboron</t>
        </is>
      </c>
    </row>
    <row r="4823" spans="1:1">
      <c r="A4823" t="inlineStr">
        <is>
          <t>Mahayag Norte</t>
        </is>
      </c>
    </row>
    <row r="4824" spans="1:1">
      <c r="A4824" t="inlineStr">
        <is>
          <t>Mahayag Sur</t>
        </is>
      </c>
    </row>
    <row r="4825" spans="1:1">
      <c r="A4825" t="inlineStr">
        <is>
          <t>Maitum</t>
        </is>
      </c>
    </row>
    <row r="4826" spans="1:1">
      <c r="A4826" t="inlineStr">
        <is>
          <t>Mantasida</t>
        </is>
      </c>
    </row>
    <row r="4827" spans="1:1">
      <c r="A4827" t="inlineStr">
        <is>
          <t>Poblacion</t>
        </is>
      </c>
    </row>
    <row r="4828" spans="1:1">
      <c r="A4828" t="inlineStr">
        <is>
          <t>Poblacion Weste</t>
        </is>
      </c>
    </row>
    <row r="4829" spans="1:1">
      <c r="A4829" t="inlineStr">
        <is>
          <t>Rizal</t>
        </is>
      </c>
    </row>
    <row r="4830" spans="1:1">
      <c r="A4830" t="inlineStr">
        <is>
          <t>Sinakayanan</t>
        </is>
      </c>
    </row>
    <row r="4831" spans="1:1">
      <c r="A4831" t="inlineStr">
        <is>
          <t>Triple Union</t>
        </is>
      </c>
    </row>
    <row r="4832" spans="1:1">
      <c r="A4832" t="inlineStr">
        <is>
          <t>Bool</t>
        </is>
      </c>
    </row>
    <row r="4833" spans="1:1">
      <c r="A4833" t="inlineStr">
        <is>
          <t>Booy</t>
        </is>
      </c>
    </row>
    <row r="4834" spans="1:1">
      <c r="A4834" t="inlineStr">
        <is>
          <t>Cabawan</t>
        </is>
      </c>
    </row>
    <row r="4835" spans="1:1">
      <c r="A4835" t="inlineStr">
        <is>
          <t>Cogon</t>
        </is>
      </c>
    </row>
    <row r="4836" spans="1:1">
      <c r="A4836" t="inlineStr">
        <is>
          <t>Dampas</t>
        </is>
      </c>
    </row>
    <row r="4837" spans="1:1">
      <c r="A4837" t="inlineStr">
        <is>
          <t>Dao</t>
        </is>
      </c>
    </row>
    <row r="4838" spans="1:1">
      <c r="A4838" t="inlineStr">
        <is>
          <t>Manga</t>
        </is>
      </c>
    </row>
    <row r="4839" spans="1:1">
      <c r="A4839" t="inlineStr">
        <is>
          <t>Mansasa</t>
        </is>
      </c>
    </row>
    <row r="4840" spans="1:1">
      <c r="A4840" t="inlineStr">
        <is>
          <t>Poblacion I</t>
        </is>
      </c>
    </row>
    <row r="4841" spans="1:1">
      <c r="A4841" t="inlineStr">
        <is>
          <t>Poblacion II</t>
        </is>
      </c>
    </row>
    <row r="4842" spans="1:1">
      <c r="A4842" t="inlineStr">
        <is>
          <t>Poblacion III</t>
        </is>
      </c>
    </row>
    <row r="4843" spans="1:1">
      <c r="A4843" t="inlineStr">
        <is>
          <t>San Isidro</t>
        </is>
      </c>
    </row>
    <row r="4844" spans="1:1">
      <c r="A4844" t="inlineStr">
        <is>
          <t>Taloto</t>
        </is>
      </c>
    </row>
    <row r="4845" spans="1:1">
      <c r="A4845" t="inlineStr">
        <is>
          <t>Tiptip</t>
        </is>
      </c>
    </row>
    <row r="4846" spans="1:1">
      <c r="A4846" t="inlineStr">
        <is>
          <t>Ubujan</t>
        </is>
      </c>
    </row>
    <row r="4847" spans="1:1">
      <c r="A4847" t="inlineStr">
        <is>
          <t>Bacani</t>
        </is>
      </c>
    </row>
    <row r="4848" spans="1:1">
      <c r="A4848" t="inlineStr">
        <is>
          <t>Bogtongbod</t>
        </is>
      </c>
    </row>
    <row r="4849" spans="1:1">
      <c r="A4849" t="inlineStr">
        <is>
          <t>Bonbon</t>
        </is>
      </c>
    </row>
    <row r="4850" spans="1:1">
      <c r="A4850" t="inlineStr">
        <is>
          <t>Bontud</t>
        </is>
      </c>
    </row>
    <row r="4851" spans="1:1">
      <c r="A4851" t="inlineStr">
        <is>
          <t>Buacao</t>
        </is>
      </c>
    </row>
    <row r="4852" spans="1:1">
      <c r="A4852" t="inlineStr">
        <is>
          <t>Buangan</t>
        </is>
      </c>
    </row>
    <row r="4853" spans="1:1">
      <c r="A4853" t="inlineStr">
        <is>
          <t>Cabog</t>
        </is>
      </c>
    </row>
    <row r="4854" spans="1:1">
      <c r="A4854" t="inlineStr">
        <is>
          <t>Caboy</t>
        </is>
      </c>
    </row>
    <row r="4855" spans="1:1">
      <c r="A4855" t="inlineStr">
        <is>
          <t>Caluwasan</t>
        </is>
      </c>
    </row>
    <row r="4856" spans="1:1">
      <c r="A4856" t="inlineStr">
        <is>
          <t>Candajec</t>
        </is>
      </c>
    </row>
    <row r="4857" spans="1:1">
      <c r="A4857" t="inlineStr">
        <is>
          <t>Cantoyoc</t>
        </is>
      </c>
    </row>
    <row r="4858" spans="1:1">
      <c r="A4858" t="inlineStr">
        <is>
          <t>Comaang</t>
        </is>
      </c>
    </row>
    <row r="4859" spans="1:1">
      <c r="A4859" t="inlineStr">
        <is>
          <t>Danahao</t>
        </is>
      </c>
    </row>
    <row r="4860" spans="1:1">
      <c r="A4860" t="inlineStr">
        <is>
          <t>Katipunan</t>
        </is>
      </c>
    </row>
    <row r="4861" spans="1:1">
      <c r="A4861" t="inlineStr">
        <is>
          <t>Lajog</t>
        </is>
      </c>
    </row>
    <row r="4862" spans="1:1">
      <c r="A4862" t="inlineStr">
        <is>
          <t>Mataub</t>
        </is>
      </c>
    </row>
    <row r="4863" spans="1:1">
      <c r="A4863" t="inlineStr">
        <is>
          <t>Nahawan</t>
        </is>
      </c>
    </row>
    <row r="4864" spans="1:1">
      <c r="A4864" t="inlineStr">
        <is>
          <t>Poblacion Centro</t>
        </is>
      </c>
    </row>
    <row r="4865" spans="1:1">
      <c r="A4865" t="inlineStr">
        <is>
          <t>Poblacion Norte</t>
        </is>
      </c>
    </row>
    <row r="4866" spans="1:1">
      <c r="A4866" t="inlineStr">
        <is>
          <t>Poblacion Sur</t>
        </is>
      </c>
    </row>
    <row r="4867" spans="1:1">
      <c r="A4867" t="inlineStr">
        <is>
          <t>Tangaran</t>
        </is>
      </c>
    </row>
    <row r="4868" spans="1:1">
      <c r="A4868" t="inlineStr">
        <is>
          <t>Tontunan</t>
        </is>
      </c>
    </row>
    <row r="4869" spans="1:1">
      <c r="A4869" t="inlineStr">
        <is>
          <t>Tubod</t>
        </is>
      </c>
    </row>
    <row r="4870" spans="1:1">
      <c r="A4870" t="inlineStr">
        <is>
          <t>Villaflor</t>
        </is>
      </c>
    </row>
    <row r="4871" spans="1:1">
      <c r="A4871" t="inlineStr">
        <is>
          <t>Anislag</t>
        </is>
      </c>
    </row>
    <row r="4872" spans="1:1">
      <c r="A4872" t="inlineStr">
        <is>
          <t>Canangca-an</t>
        </is>
      </c>
    </row>
    <row r="4873" spans="1:1">
      <c r="A4873" t="inlineStr">
        <is>
          <t>Canapnapan</t>
        </is>
      </c>
    </row>
    <row r="4874" spans="1:1">
      <c r="A4874" t="inlineStr">
        <is>
          <t>Cancatac</t>
        </is>
      </c>
    </row>
    <row r="4875" spans="1:1">
      <c r="A4875" t="inlineStr">
        <is>
          <t>Pandol</t>
        </is>
      </c>
    </row>
    <row r="4876" spans="1:1">
      <c r="A4876" t="inlineStr">
        <is>
          <t>Poblacion</t>
        </is>
      </c>
    </row>
    <row r="4877" spans="1:1">
      <c r="A4877" t="inlineStr">
        <is>
          <t>Sambog</t>
        </is>
      </c>
    </row>
    <row r="4878" spans="1:1">
      <c r="A4878" t="inlineStr">
        <is>
          <t>Tanday</t>
        </is>
      </c>
    </row>
    <row r="4879" spans="1:1">
      <c r="A4879" t="inlineStr">
        <is>
          <t>De la Paz</t>
        </is>
      </c>
    </row>
    <row r="4880" spans="1:1">
      <c r="A4880" t="inlineStr">
        <is>
          <t>Fatima</t>
        </is>
      </c>
    </row>
    <row r="4881" spans="1:1">
      <c r="A4881" t="inlineStr">
        <is>
          <t>Loreto</t>
        </is>
      </c>
    </row>
    <row r="4882" spans="1:1">
      <c r="A4882" t="inlineStr">
        <is>
          <t>Lourdes</t>
        </is>
      </c>
    </row>
    <row r="4883" spans="1:1">
      <c r="A4883" t="inlineStr">
        <is>
          <t>Malayo Norte</t>
        </is>
      </c>
    </row>
    <row r="4884" spans="1:1">
      <c r="A4884" t="inlineStr">
        <is>
          <t>Malayo Sur</t>
        </is>
      </c>
    </row>
    <row r="4885" spans="1:1">
      <c r="A4885" t="inlineStr">
        <is>
          <t>Monserrat</t>
        </is>
      </c>
    </row>
    <row r="4886" spans="1:1">
      <c r="A4886" t="inlineStr">
        <is>
          <t>New Lourdes</t>
        </is>
      </c>
    </row>
    <row r="4887" spans="1:1">
      <c r="A4887" t="inlineStr">
        <is>
          <t>Patrocinio</t>
        </is>
      </c>
    </row>
    <row r="4888" spans="1:1">
      <c r="A4888" t="inlineStr">
        <is>
          <t>Poblacion</t>
        </is>
      </c>
    </row>
    <row r="4889" spans="1:1">
      <c r="A4889" t="inlineStr">
        <is>
          <t>Rosario</t>
        </is>
      </c>
    </row>
    <row r="4890" spans="1:1">
      <c r="A4890" t="inlineStr">
        <is>
          <t>Salvador</t>
        </is>
      </c>
    </row>
    <row r="4891" spans="1:1">
      <c r="A4891" t="inlineStr">
        <is>
          <t>San Roque</t>
        </is>
      </c>
    </row>
    <row r="4892" spans="1:1">
      <c r="A4892" t="inlineStr">
        <is>
          <t>Upper de la Paz</t>
        </is>
      </c>
    </row>
    <row r="4893" spans="1:1">
      <c r="A4893" t="inlineStr">
        <is>
          <t>Babag</t>
        </is>
      </c>
    </row>
    <row r="4894" spans="1:1">
      <c r="A4894" t="inlineStr">
        <is>
          <t>Cagawasan</t>
        </is>
      </c>
    </row>
    <row r="4895" spans="1:1">
      <c r="A4895" t="inlineStr">
        <is>
          <t>Cagawitan</t>
        </is>
      </c>
    </row>
    <row r="4896" spans="1:1">
      <c r="A4896" t="inlineStr">
        <is>
          <t>Caluasan</t>
        </is>
      </c>
    </row>
    <row r="4897" spans="1:1">
      <c r="A4897" t="inlineStr">
        <is>
          <t>Can-oling</t>
        </is>
      </c>
    </row>
    <row r="4898" spans="1:1">
      <c r="A4898" t="inlineStr">
        <is>
          <t>Candelaria</t>
        </is>
      </c>
    </row>
    <row r="4899" spans="1:1">
      <c r="A4899" t="inlineStr">
        <is>
          <t>Estaca</t>
        </is>
      </c>
    </row>
    <row r="4900" spans="1:1">
      <c r="A4900" t="inlineStr">
        <is>
          <t>La Esperanza</t>
        </is>
      </c>
    </row>
    <row r="4901" spans="1:1">
      <c r="A4901" t="inlineStr">
        <is>
          <t>Mahayag</t>
        </is>
      </c>
    </row>
    <row r="4902" spans="1:1">
      <c r="A4902" t="inlineStr">
        <is>
          <t>Malitbog</t>
        </is>
      </c>
    </row>
    <row r="4903" spans="1:1">
      <c r="A4903" t="inlineStr">
        <is>
          <t>Poblacion</t>
        </is>
      </c>
    </row>
    <row r="4904" spans="1:1">
      <c r="A4904" t="inlineStr">
        <is>
          <t>San Miguel</t>
        </is>
      </c>
    </row>
    <row r="4905" spans="1:1">
      <c r="A4905" t="inlineStr">
        <is>
          <t>San Vicente</t>
        </is>
      </c>
    </row>
    <row r="4906" spans="1:1">
      <c r="A4906" t="inlineStr">
        <is>
          <t>Santa Cruz</t>
        </is>
      </c>
    </row>
    <row r="4907" spans="1:1">
      <c r="A4907" t="inlineStr">
        <is>
          <t>Villa Aurora</t>
        </is>
      </c>
    </row>
    <row r="4908" spans="1:1">
      <c r="A4908" t="inlineStr">
        <is>
          <t>Cabatuan</t>
        </is>
      </c>
    </row>
    <row r="4909" spans="1:1">
      <c r="A4909" t="inlineStr">
        <is>
          <t>Cantubod</t>
        </is>
      </c>
    </row>
    <row r="4910" spans="1:1">
      <c r="A4910" t="inlineStr">
        <is>
          <t>Carbon</t>
        </is>
      </c>
    </row>
    <row r="4911" spans="1:1">
      <c r="A4911" t="inlineStr">
        <is>
          <t>Concepcion</t>
        </is>
      </c>
    </row>
    <row r="4912" spans="1:1">
      <c r="A4912" t="inlineStr">
        <is>
          <t>Dagohoy</t>
        </is>
      </c>
    </row>
    <row r="4913" spans="1:1">
      <c r="A4913" t="inlineStr">
        <is>
          <t>Hibale</t>
        </is>
      </c>
    </row>
    <row r="4914" spans="1:1">
      <c r="A4914" t="inlineStr">
        <is>
          <t>Magtangtang</t>
        </is>
      </c>
    </row>
    <row r="4915" spans="1:1">
      <c r="A4915" t="inlineStr">
        <is>
          <t>Nahud</t>
        </is>
      </c>
    </row>
    <row r="4916" spans="1:1">
      <c r="A4916" t="inlineStr">
        <is>
          <t>Poblacion</t>
        </is>
      </c>
    </row>
    <row r="4917" spans="1:1">
      <c r="A4917" t="inlineStr">
        <is>
          <t>Remedios</t>
        </is>
      </c>
    </row>
    <row r="4918" spans="1:1">
      <c r="A4918" t="inlineStr">
        <is>
          <t>San Carlos</t>
        </is>
      </c>
    </row>
    <row r="4919" spans="1:1">
      <c r="A4919" t="inlineStr">
        <is>
          <t>San Miguel</t>
        </is>
      </c>
    </row>
    <row r="4920" spans="1:1">
      <c r="A4920" t="inlineStr">
        <is>
          <t>Santa Fe</t>
        </is>
      </c>
    </row>
    <row r="4921" spans="1:1">
      <c r="A4921" t="inlineStr">
        <is>
          <t>Santo Niño</t>
        </is>
      </c>
    </row>
    <row r="4922" spans="1:1">
      <c r="A4922" t="inlineStr">
        <is>
          <t>Tabok</t>
        </is>
      </c>
    </row>
    <row r="4923" spans="1:1">
      <c r="A4923" t="inlineStr">
        <is>
          <t>Taming</t>
        </is>
      </c>
    </row>
    <row r="4924" spans="1:1">
      <c r="A4924" t="inlineStr">
        <is>
          <t>Villa Anunciado</t>
        </is>
      </c>
    </row>
    <row r="4925" spans="1:1">
      <c r="A4925" t="inlineStr">
        <is>
          <t>Biking</t>
        </is>
      </c>
    </row>
    <row r="4926" spans="1:1">
      <c r="A4926" t="inlineStr">
        <is>
          <t>Bingag</t>
        </is>
      </c>
    </row>
    <row r="4927" spans="1:1">
      <c r="A4927" t="inlineStr">
        <is>
          <t>Catarman</t>
        </is>
      </c>
    </row>
    <row r="4928" spans="1:1">
      <c r="A4928" t="inlineStr">
        <is>
          <t>Dao</t>
        </is>
      </c>
    </row>
    <row r="4929" spans="1:1">
      <c r="A4929" t="inlineStr">
        <is>
          <t>Mariveles</t>
        </is>
      </c>
    </row>
    <row r="4930" spans="1:1">
      <c r="A4930" t="inlineStr">
        <is>
          <t>Mayacabac</t>
        </is>
      </c>
    </row>
    <row r="4931" spans="1:1">
      <c r="A4931" t="inlineStr">
        <is>
          <t>Poblacion</t>
        </is>
      </c>
    </row>
    <row r="4932" spans="1:1">
      <c r="A4932" t="inlineStr">
        <is>
          <t>San Isidro</t>
        </is>
      </c>
    </row>
    <row r="4933" spans="1:1">
      <c r="A4933" t="inlineStr">
        <is>
          <t>Songculan</t>
        </is>
      </c>
    </row>
    <row r="4934" spans="1:1">
      <c r="A4934" t="inlineStr">
        <is>
          <t>Tabalong</t>
        </is>
      </c>
    </row>
    <row r="4935" spans="1:1">
      <c r="A4935" t="inlineStr">
        <is>
          <t>Tinago</t>
        </is>
      </c>
    </row>
    <row r="4936" spans="1:1">
      <c r="A4936" t="inlineStr">
        <is>
          <t>Totolan</t>
        </is>
      </c>
    </row>
    <row r="4937" spans="1:1">
      <c r="A4937" t="inlineStr">
        <is>
          <t>Abihid</t>
        </is>
      </c>
    </row>
    <row r="4938" spans="1:1">
      <c r="A4938" t="inlineStr">
        <is>
          <t>Alemania</t>
        </is>
      </c>
    </row>
    <row r="4939" spans="1:1">
      <c r="A4939" t="inlineStr">
        <is>
          <t>Baguhan</t>
        </is>
      </c>
    </row>
    <row r="4940" spans="1:1">
      <c r="A4940" t="inlineStr">
        <is>
          <t>Bakilid</t>
        </is>
      </c>
    </row>
    <row r="4941" spans="1:1">
      <c r="A4941" t="inlineStr">
        <is>
          <t>Balbalan</t>
        </is>
      </c>
    </row>
    <row r="4942" spans="1:1">
      <c r="A4942" t="inlineStr">
        <is>
          <t>Banban</t>
        </is>
      </c>
    </row>
    <row r="4943" spans="1:1">
      <c r="A4943" t="inlineStr">
        <is>
          <t>Bauhugan</t>
        </is>
      </c>
    </row>
    <row r="4944" spans="1:1">
      <c r="A4944" t="inlineStr">
        <is>
          <t>Bilisan</t>
        </is>
      </c>
    </row>
    <row r="4945" spans="1:1">
      <c r="A4945" t="inlineStr">
        <is>
          <t>Cabagakian</t>
        </is>
      </c>
    </row>
    <row r="4946" spans="1:1">
      <c r="A4946" t="inlineStr">
        <is>
          <t>Cabanbanan</t>
        </is>
      </c>
    </row>
    <row r="4947" spans="1:1">
      <c r="A4947" t="inlineStr">
        <is>
          <t>Cadap-agan</t>
        </is>
      </c>
    </row>
    <row r="4948" spans="1:1">
      <c r="A4948" t="inlineStr">
        <is>
          <t>Cambacol</t>
        </is>
      </c>
    </row>
    <row r="4949" spans="1:1">
      <c r="A4949" t="inlineStr">
        <is>
          <t>Cambayaon</t>
        </is>
      </c>
    </row>
    <row r="4950" spans="1:1">
      <c r="A4950" t="inlineStr">
        <is>
          <t>Canhayupon</t>
        </is>
      </c>
    </row>
    <row r="4951" spans="1:1">
      <c r="A4951" t="inlineStr">
        <is>
          <t>Canlambong</t>
        </is>
      </c>
    </row>
    <row r="4952" spans="1:1">
      <c r="A4952" t="inlineStr">
        <is>
          <t>Casingan</t>
        </is>
      </c>
    </row>
    <row r="4953" spans="1:1">
      <c r="A4953" t="inlineStr">
        <is>
          <t>Catugasan</t>
        </is>
      </c>
    </row>
    <row r="4954" spans="1:1">
      <c r="A4954" t="inlineStr">
        <is>
          <t>Datag</t>
        </is>
      </c>
    </row>
    <row r="4955" spans="1:1">
      <c r="A4955" t="inlineStr">
        <is>
          <t>Guindaguitan</t>
        </is>
      </c>
    </row>
    <row r="4956" spans="1:1">
      <c r="A4956" t="inlineStr">
        <is>
          <t>Guingoyuran</t>
        </is>
      </c>
    </row>
    <row r="4957" spans="1:1">
      <c r="A4957" t="inlineStr">
        <is>
          <t>Ile</t>
        </is>
      </c>
    </row>
    <row r="4958" spans="1:1">
      <c r="A4958" t="inlineStr">
        <is>
          <t>Lapsaon</t>
        </is>
      </c>
    </row>
    <row r="4959" spans="1:1">
      <c r="A4959" t="inlineStr">
        <is>
          <t>Limokon Ilaod</t>
        </is>
      </c>
    </row>
    <row r="4960" spans="1:1">
      <c r="A4960" t="inlineStr">
        <is>
          <t>Limokon Ilaya</t>
        </is>
      </c>
    </row>
    <row r="4961" spans="1:1">
      <c r="A4961" t="inlineStr">
        <is>
          <t>Luyo</t>
        </is>
      </c>
    </row>
    <row r="4962" spans="1:1">
      <c r="A4962" t="inlineStr">
        <is>
          <t>Malijao</t>
        </is>
      </c>
    </row>
    <row r="4963" spans="1:1">
      <c r="A4963" t="inlineStr">
        <is>
          <t>Oac</t>
        </is>
      </c>
    </row>
    <row r="4964" spans="1:1">
      <c r="A4964" t="inlineStr">
        <is>
          <t>Pagsa</t>
        </is>
      </c>
    </row>
    <row r="4965" spans="1:1">
      <c r="A4965" t="inlineStr">
        <is>
          <t>Pangihawan</t>
        </is>
      </c>
    </row>
    <row r="4966" spans="1:1">
      <c r="A4966" t="inlineStr">
        <is>
          <t>Puangyuta</t>
        </is>
      </c>
    </row>
    <row r="4967" spans="1:1">
      <c r="A4967" t="inlineStr">
        <is>
          <t>Sawang</t>
        </is>
      </c>
    </row>
    <row r="4968" spans="1:1">
      <c r="A4968" t="inlineStr">
        <is>
          <t>Tangohay</t>
        </is>
      </c>
    </row>
    <row r="4969" spans="1:1">
      <c r="A4969" t="inlineStr">
        <is>
          <t>Taongon Cabatuan</t>
        </is>
      </c>
    </row>
    <row r="4970" spans="1:1">
      <c r="A4970" t="inlineStr">
        <is>
          <t>Taongon Can-andam</t>
        </is>
      </c>
    </row>
    <row r="4971" spans="1:1">
      <c r="A4971" t="inlineStr">
        <is>
          <t>Tawid Bitaog</t>
        </is>
      </c>
    </row>
    <row r="4972" spans="1:1">
      <c r="A4972" t="inlineStr">
        <is>
          <t>Alejawan</t>
        </is>
      </c>
    </row>
    <row r="4973" spans="1:1">
      <c r="A4973" t="inlineStr">
        <is>
          <t>Angilan</t>
        </is>
      </c>
    </row>
    <row r="4974" spans="1:1">
      <c r="A4974" t="inlineStr">
        <is>
          <t>Anibongan</t>
        </is>
      </c>
    </row>
    <row r="4975" spans="1:1">
      <c r="A4975" t="inlineStr">
        <is>
          <t>Bangwalog</t>
        </is>
      </c>
    </row>
    <row r="4976" spans="1:1">
      <c r="A4976" t="inlineStr">
        <is>
          <t>Cansuhay</t>
        </is>
      </c>
    </row>
    <row r="4977" spans="1:1">
      <c r="A4977" t="inlineStr">
        <is>
          <t>Danao</t>
        </is>
      </c>
    </row>
    <row r="4978" spans="1:1">
      <c r="A4978" t="inlineStr">
        <is>
          <t>Duay</t>
        </is>
      </c>
    </row>
    <row r="4979" spans="1:1">
      <c r="A4979" t="inlineStr">
        <is>
          <t>Guinsularan</t>
        </is>
      </c>
    </row>
    <row r="4980" spans="1:1">
      <c r="A4980" t="inlineStr">
        <is>
          <t>Imelda</t>
        </is>
      </c>
    </row>
    <row r="4981" spans="1:1">
      <c r="A4981" t="inlineStr">
        <is>
          <t>Itum</t>
        </is>
      </c>
    </row>
    <row r="4982" spans="1:1">
      <c r="A4982" t="inlineStr">
        <is>
          <t>Langkis</t>
        </is>
      </c>
    </row>
    <row r="4983" spans="1:1">
      <c r="A4983" t="inlineStr">
        <is>
          <t>Lobogon</t>
        </is>
      </c>
    </row>
    <row r="4984" spans="1:1">
      <c r="A4984" t="inlineStr">
        <is>
          <t>Madua Norte</t>
        </is>
      </c>
    </row>
    <row r="4985" spans="1:1">
      <c r="A4985" t="inlineStr">
        <is>
          <t>Madua Sur</t>
        </is>
      </c>
    </row>
    <row r="4986" spans="1:1">
      <c r="A4986" t="inlineStr">
        <is>
          <t>Mambool</t>
        </is>
      </c>
    </row>
    <row r="4987" spans="1:1">
      <c r="A4987" t="inlineStr">
        <is>
          <t>Mawi</t>
        </is>
      </c>
    </row>
    <row r="4988" spans="1:1">
      <c r="A4988" t="inlineStr">
        <is>
          <t>Payao</t>
        </is>
      </c>
    </row>
    <row r="4989" spans="1:1">
      <c r="A4989" t="inlineStr">
        <is>
          <t>San Antonio</t>
        </is>
      </c>
    </row>
    <row r="4990" spans="1:1">
      <c r="A4990" t="inlineStr">
        <is>
          <t>San Isidro</t>
        </is>
      </c>
    </row>
    <row r="4991" spans="1:1">
      <c r="A4991" t="inlineStr">
        <is>
          <t>San Pedro</t>
        </is>
      </c>
    </row>
    <row r="4992" spans="1:1">
      <c r="A4992" t="inlineStr">
        <is>
          <t>Taytay</t>
        </is>
      </c>
    </row>
    <row r="4993" spans="1:1">
      <c r="A4993" t="inlineStr">
        <is>
          <t>Abijilan</t>
        </is>
      </c>
    </row>
    <row r="4994" spans="1:1">
      <c r="A4994" t="inlineStr">
        <is>
          <t>Antipolo</t>
        </is>
      </c>
    </row>
    <row r="4995" spans="1:1">
      <c r="A4995" t="inlineStr">
        <is>
          <t>Basiao</t>
        </is>
      </c>
    </row>
    <row r="4996" spans="1:1">
      <c r="A4996" t="inlineStr">
        <is>
          <t>Cagwang</t>
        </is>
      </c>
    </row>
    <row r="4997" spans="1:1">
      <c r="A4997" t="inlineStr">
        <is>
          <t>Calma</t>
        </is>
      </c>
    </row>
    <row r="4998" spans="1:1">
      <c r="A4998" t="inlineStr">
        <is>
          <t>Cambuyo</t>
        </is>
      </c>
    </row>
    <row r="4999" spans="1:1">
      <c r="A4999" t="inlineStr">
        <is>
          <t>Canayaon East</t>
        </is>
      </c>
    </row>
    <row r="5000" spans="1:1">
      <c r="A5000" t="inlineStr">
        <is>
          <t>Canayaon West</t>
        </is>
      </c>
    </row>
    <row r="5001" spans="1:1">
      <c r="A5001" t="inlineStr">
        <is>
          <t>Candanas</t>
        </is>
      </c>
    </row>
    <row r="5002" spans="1:1">
      <c r="A5002" t="inlineStr">
        <is>
          <t>Candulao</t>
        </is>
      </c>
    </row>
    <row r="5003" spans="1:1">
      <c r="A5003" t="inlineStr">
        <is>
          <t>Catmon</t>
        </is>
      </c>
    </row>
    <row r="5004" spans="1:1">
      <c r="A5004" t="inlineStr">
        <is>
          <t>Cayam</t>
        </is>
      </c>
    </row>
    <row r="5005" spans="1:1">
      <c r="A5005" t="inlineStr">
        <is>
          <t>Cupa</t>
        </is>
      </c>
    </row>
    <row r="5006" spans="1:1">
      <c r="A5006" t="inlineStr">
        <is>
          <t>Datag</t>
        </is>
      </c>
    </row>
    <row r="5007" spans="1:1">
      <c r="A5007" t="inlineStr">
        <is>
          <t>Estaca</t>
        </is>
      </c>
    </row>
    <row r="5008" spans="1:1">
      <c r="A5008" t="inlineStr">
        <is>
          <t>Libertad</t>
        </is>
      </c>
    </row>
    <row r="5009" spans="1:1">
      <c r="A5009" t="inlineStr">
        <is>
          <t>Lungsodaan East</t>
        </is>
      </c>
    </row>
    <row r="5010" spans="1:1">
      <c r="A5010" t="inlineStr">
        <is>
          <t>Lungsodaan West</t>
        </is>
      </c>
    </row>
    <row r="5011" spans="1:1">
      <c r="A5011" t="inlineStr">
        <is>
          <t>Malinao</t>
        </is>
      </c>
    </row>
    <row r="5012" spans="1:1">
      <c r="A5012" t="inlineStr">
        <is>
          <t>Manaba</t>
        </is>
      </c>
    </row>
    <row r="5013" spans="1:1">
      <c r="A5013" t="inlineStr">
        <is>
          <t>Pasong</t>
        </is>
      </c>
    </row>
    <row r="5014" spans="1:1">
      <c r="A5014" t="inlineStr">
        <is>
          <t>Poblacion East</t>
        </is>
      </c>
    </row>
    <row r="5015" spans="1:1">
      <c r="A5015" t="inlineStr">
        <is>
          <t>Poblacion West</t>
        </is>
      </c>
    </row>
    <row r="5016" spans="1:1">
      <c r="A5016" t="inlineStr">
        <is>
          <t>Sacaon</t>
        </is>
      </c>
    </row>
    <row r="5017" spans="1:1">
      <c r="A5017" t="inlineStr">
        <is>
          <t>Sampong</t>
        </is>
      </c>
    </row>
    <row r="5018" spans="1:1">
      <c r="A5018" t="inlineStr">
        <is>
          <t>Tabuan</t>
        </is>
      </c>
    </row>
    <row r="5019" spans="1:1">
      <c r="A5019" t="inlineStr">
        <is>
          <t>Togbongon</t>
        </is>
      </c>
    </row>
    <row r="5020" spans="1:1">
      <c r="A5020" t="inlineStr">
        <is>
          <t>Ulbujan East</t>
        </is>
      </c>
    </row>
    <row r="5021" spans="1:1">
      <c r="A5021" t="inlineStr">
        <is>
          <t>Ulbujan West</t>
        </is>
      </c>
    </row>
    <row r="5022" spans="1:1">
      <c r="A5022" t="inlineStr">
        <is>
          <t>Victoria</t>
        </is>
      </c>
    </row>
    <row r="5023" spans="1:1">
      <c r="A5023" t="inlineStr">
        <is>
          <t>Alumar</t>
        </is>
      </c>
    </row>
    <row r="5024" spans="1:1">
      <c r="A5024" t="inlineStr">
        <is>
          <t>Banacon</t>
        </is>
      </c>
    </row>
    <row r="5025" spans="1:1">
      <c r="A5025" t="inlineStr">
        <is>
          <t>Buyog</t>
        </is>
      </c>
    </row>
    <row r="5026" spans="1:1">
      <c r="A5026" t="inlineStr">
        <is>
          <t>Cabasakan</t>
        </is>
      </c>
    </row>
    <row r="5027" spans="1:1">
      <c r="A5027" t="inlineStr">
        <is>
          <t>Campao Occidental</t>
        </is>
      </c>
    </row>
    <row r="5028" spans="1:1">
      <c r="A5028" t="inlineStr">
        <is>
          <t>Campao Oriental</t>
        </is>
      </c>
    </row>
    <row r="5029" spans="1:1">
      <c r="A5029" t="inlineStr">
        <is>
          <t>Cangmundo</t>
        </is>
      </c>
    </row>
    <row r="5030" spans="1:1">
      <c r="A5030" t="inlineStr">
        <is>
          <t>Carlos P. Garcia</t>
        </is>
      </c>
    </row>
    <row r="5031" spans="1:1">
      <c r="A5031" t="inlineStr">
        <is>
          <t>Corte Baud</t>
        </is>
      </c>
    </row>
    <row r="5032" spans="1:1">
      <c r="A5032" t="inlineStr">
        <is>
          <t>Handumon</t>
        </is>
      </c>
    </row>
    <row r="5033" spans="1:1">
      <c r="A5033" t="inlineStr">
        <is>
          <t>Jagoliao</t>
        </is>
      </c>
    </row>
    <row r="5034" spans="1:1">
      <c r="A5034" t="inlineStr">
        <is>
          <t>Jandayan Norte</t>
        </is>
      </c>
    </row>
    <row r="5035" spans="1:1">
      <c r="A5035" t="inlineStr">
        <is>
          <t>Jandayan Sur</t>
        </is>
      </c>
    </row>
    <row r="5036" spans="1:1">
      <c r="A5036" t="inlineStr">
        <is>
          <t>Mahanay</t>
        </is>
      </c>
    </row>
    <row r="5037" spans="1:1">
      <c r="A5037" t="inlineStr">
        <is>
          <t>Nasingin</t>
        </is>
      </c>
    </row>
    <row r="5038" spans="1:1">
      <c r="A5038" t="inlineStr">
        <is>
          <t>Pandanon</t>
        </is>
      </c>
    </row>
    <row r="5039" spans="1:1">
      <c r="A5039" t="inlineStr">
        <is>
          <t>Poblacion</t>
        </is>
      </c>
    </row>
    <row r="5040" spans="1:1">
      <c r="A5040" t="inlineStr">
        <is>
          <t>Saguise</t>
        </is>
      </c>
    </row>
    <row r="5041" spans="1:1">
      <c r="A5041" t="inlineStr">
        <is>
          <t>Salog</t>
        </is>
      </c>
    </row>
    <row r="5042" spans="1:1">
      <c r="A5042" t="inlineStr">
        <is>
          <t>San Jose</t>
        </is>
      </c>
    </row>
    <row r="5043" spans="1:1">
      <c r="A5043" t="inlineStr">
        <is>
          <t>Santo Niño</t>
        </is>
      </c>
    </row>
    <row r="5044" spans="1:1">
      <c r="A5044" t="inlineStr">
        <is>
          <t>Taytay</t>
        </is>
      </c>
    </row>
    <row r="5045" spans="1:1">
      <c r="A5045" t="inlineStr">
        <is>
          <t>Tugas</t>
        </is>
      </c>
    </row>
    <row r="5046" spans="1:1">
      <c r="A5046" t="inlineStr">
        <is>
          <t>Tulang</t>
        </is>
      </c>
    </row>
    <row r="5047" spans="1:1">
      <c r="A5047" t="inlineStr">
        <is>
          <t>Basdio</t>
        </is>
      </c>
    </row>
    <row r="5048" spans="1:1">
      <c r="A5048" t="inlineStr">
        <is>
          <t>Bato</t>
        </is>
      </c>
    </row>
    <row r="5049" spans="1:1">
      <c r="A5049" t="inlineStr">
        <is>
          <t>Bayong</t>
        </is>
      </c>
    </row>
    <row r="5050" spans="1:1">
      <c r="A5050" t="inlineStr">
        <is>
          <t>Biabas</t>
        </is>
      </c>
    </row>
    <row r="5051" spans="1:1">
      <c r="A5051" t="inlineStr">
        <is>
          <t>Bulawan</t>
        </is>
      </c>
    </row>
    <row r="5052" spans="1:1">
      <c r="A5052" t="inlineStr">
        <is>
          <t>Cabantian</t>
        </is>
      </c>
    </row>
    <row r="5053" spans="1:1">
      <c r="A5053" t="inlineStr">
        <is>
          <t>Canhaway</t>
        </is>
      </c>
    </row>
    <row r="5054" spans="1:1">
      <c r="A5054" t="inlineStr">
        <is>
          <t>Cansiwang</t>
        </is>
      </c>
    </row>
    <row r="5055" spans="1:1">
      <c r="A5055" t="inlineStr">
        <is>
          <t>Casbu</t>
        </is>
      </c>
    </row>
    <row r="5056" spans="1:1">
      <c r="A5056" t="inlineStr">
        <is>
          <t>Catungawan Norte</t>
        </is>
      </c>
    </row>
    <row r="5057" spans="1:1">
      <c r="A5057" t="inlineStr">
        <is>
          <t>Catungawan Sur</t>
        </is>
      </c>
    </row>
    <row r="5058" spans="1:1">
      <c r="A5058" t="inlineStr">
        <is>
          <t>Guinacot</t>
        </is>
      </c>
    </row>
    <row r="5059" spans="1:1">
      <c r="A5059" t="inlineStr">
        <is>
          <t>Guio-ang</t>
        </is>
      </c>
    </row>
    <row r="5060" spans="1:1">
      <c r="A5060" t="inlineStr">
        <is>
          <t>Lombog</t>
        </is>
      </c>
    </row>
    <row r="5061" spans="1:1">
      <c r="A5061" t="inlineStr">
        <is>
          <t>Mayuga</t>
        </is>
      </c>
    </row>
    <row r="5062" spans="1:1">
      <c r="A5062" t="inlineStr">
        <is>
          <t>Sawang</t>
        </is>
      </c>
    </row>
    <row r="5063" spans="1:1">
      <c r="A5063" t="inlineStr">
        <is>
          <t>Tabajan</t>
        </is>
      </c>
    </row>
    <row r="5064" spans="1:1">
      <c r="A5064" t="inlineStr">
        <is>
          <t>Tabunok</t>
        </is>
      </c>
    </row>
    <row r="5065" spans="1:1">
      <c r="A5065" t="inlineStr">
        <is>
          <t>Trinidad</t>
        </is>
      </c>
    </row>
    <row r="5066" spans="1:1">
      <c r="A5066" t="inlineStr">
        <is>
          <t>Anonang</t>
        </is>
      </c>
    </row>
    <row r="5067" spans="1:1">
      <c r="A5067" t="inlineStr">
        <is>
          <t>Badiang</t>
        </is>
      </c>
    </row>
    <row r="5068" spans="1:1">
      <c r="A5068" t="inlineStr">
        <is>
          <t>Baguhan</t>
        </is>
      </c>
    </row>
    <row r="5069" spans="1:1">
      <c r="A5069" t="inlineStr">
        <is>
          <t>Bahan</t>
        </is>
      </c>
    </row>
    <row r="5070" spans="1:1">
      <c r="A5070" t="inlineStr">
        <is>
          <t>Banahao</t>
        </is>
      </c>
    </row>
    <row r="5071" spans="1:1">
      <c r="A5071" t="inlineStr">
        <is>
          <t>Baogo</t>
        </is>
      </c>
    </row>
    <row r="5072" spans="1:1">
      <c r="A5072" t="inlineStr">
        <is>
          <t>Bugang</t>
        </is>
      </c>
    </row>
    <row r="5073" spans="1:1">
      <c r="A5073" t="inlineStr">
        <is>
          <t>Cagawasan</t>
        </is>
      </c>
    </row>
    <row r="5074" spans="1:1">
      <c r="A5074" t="inlineStr">
        <is>
          <t>Cagayan</t>
        </is>
      </c>
    </row>
    <row r="5075" spans="1:1">
      <c r="A5075" t="inlineStr">
        <is>
          <t>Cambitoon</t>
        </is>
      </c>
    </row>
    <row r="5076" spans="1:1">
      <c r="A5076" t="inlineStr">
        <is>
          <t>Canlinte</t>
        </is>
      </c>
    </row>
    <row r="5077" spans="1:1">
      <c r="A5077" t="inlineStr">
        <is>
          <t>Cawayan</t>
        </is>
      </c>
    </row>
    <row r="5078" spans="1:1">
      <c r="A5078" t="inlineStr">
        <is>
          <t>Cogon</t>
        </is>
      </c>
    </row>
    <row r="5079" spans="1:1">
      <c r="A5079" t="inlineStr">
        <is>
          <t>Cuaming</t>
        </is>
      </c>
    </row>
    <row r="5080" spans="1:1">
      <c r="A5080" t="inlineStr">
        <is>
          <t>Dagnawan</t>
        </is>
      </c>
    </row>
    <row r="5081" spans="1:1">
      <c r="A5081" t="inlineStr">
        <is>
          <t>Dagohoy</t>
        </is>
      </c>
    </row>
    <row r="5082" spans="1:1">
      <c r="A5082" t="inlineStr">
        <is>
          <t>Dait Sur</t>
        </is>
      </c>
    </row>
    <row r="5083" spans="1:1">
      <c r="A5083" t="inlineStr">
        <is>
          <t>Datag</t>
        </is>
      </c>
    </row>
    <row r="5084" spans="1:1">
      <c r="A5084" t="inlineStr">
        <is>
          <t>Fatima</t>
        </is>
      </c>
    </row>
    <row r="5085" spans="1:1">
      <c r="A5085" t="inlineStr">
        <is>
          <t>Hambongan</t>
        </is>
      </c>
    </row>
    <row r="5086" spans="1:1">
      <c r="A5086" t="inlineStr">
        <is>
          <t>Ilaud</t>
        </is>
      </c>
    </row>
    <row r="5087" spans="1:1">
      <c r="A5087" t="inlineStr">
        <is>
          <t>Ilaya</t>
        </is>
      </c>
    </row>
    <row r="5088" spans="1:1">
      <c r="A5088" t="inlineStr">
        <is>
          <t>Ilihan</t>
        </is>
      </c>
    </row>
    <row r="5089" spans="1:1">
      <c r="A5089" t="inlineStr">
        <is>
          <t>Lapacan Norte</t>
        </is>
      </c>
    </row>
    <row r="5090" spans="1:1">
      <c r="A5090" t="inlineStr">
        <is>
          <t>Lapacan Sur</t>
        </is>
      </c>
    </row>
    <row r="5091" spans="1:1">
      <c r="A5091" t="inlineStr">
        <is>
          <t>Lawis</t>
        </is>
      </c>
    </row>
    <row r="5092" spans="1:1">
      <c r="A5092" t="inlineStr">
        <is>
          <t>Liloan Norte</t>
        </is>
      </c>
    </row>
    <row r="5093" spans="1:1">
      <c r="A5093" t="inlineStr">
        <is>
          <t>Liloan Sur</t>
        </is>
      </c>
    </row>
    <row r="5094" spans="1:1">
      <c r="A5094" t="inlineStr">
        <is>
          <t>Lomboy</t>
        </is>
      </c>
    </row>
    <row r="5095" spans="1:1">
      <c r="A5095" t="inlineStr">
        <is>
          <t>Lonoy Cainsican</t>
        </is>
      </c>
    </row>
    <row r="5096" spans="1:1">
      <c r="A5096" t="inlineStr">
        <is>
          <t>Lonoy Roma</t>
        </is>
      </c>
    </row>
    <row r="5097" spans="1:1">
      <c r="A5097" t="inlineStr">
        <is>
          <t>Lutao</t>
        </is>
      </c>
    </row>
    <row r="5098" spans="1:1">
      <c r="A5098" t="inlineStr">
        <is>
          <t>Luyo</t>
        </is>
      </c>
    </row>
    <row r="5099" spans="1:1">
      <c r="A5099" t="inlineStr">
        <is>
          <t>Mabuhay</t>
        </is>
      </c>
    </row>
    <row r="5100" spans="1:1">
      <c r="A5100" t="inlineStr">
        <is>
          <t>Maria Rosario</t>
        </is>
      </c>
    </row>
    <row r="5101" spans="1:1">
      <c r="A5101" t="inlineStr">
        <is>
          <t>Nabuad</t>
        </is>
      </c>
    </row>
    <row r="5102" spans="1:1">
      <c r="A5102" t="inlineStr">
        <is>
          <t>Napo</t>
        </is>
      </c>
    </row>
    <row r="5103" spans="1:1">
      <c r="A5103" t="inlineStr">
        <is>
          <t>Ondol</t>
        </is>
      </c>
    </row>
    <row r="5104" spans="1:1">
      <c r="A5104" t="inlineStr">
        <is>
          <t>Poblacion</t>
        </is>
      </c>
    </row>
    <row r="5105" spans="1:1">
      <c r="A5105" t="inlineStr">
        <is>
          <t>Riverside</t>
        </is>
      </c>
    </row>
    <row r="5106" spans="1:1">
      <c r="A5106" t="inlineStr">
        <is>
          <t>Saa</t>
        </is>
      </c>
    </row>
    <row r="5107" spans="1:1">
      <c r="A5107" t="inlineStr">
        <is>
          <t>San Isidro</t>
        </is>
      </c>
    </row>
    <row r="5108" spans="1:1">
      <c r="A5108" t="inlineStr">
        <is>
          <t>San Jose</t>
        </is>
      </c>
    </row>
    <row r="5109" spans="1:1">
      <c r="A5109" t="inlineStr">
        <is>
          <t>Santo Niño</t>
        </is>
      </c>
    </row>
    <row r="5110" spans="1:1">
      <c r="A5110" t="inlineStr">
        <is>
          <t>Santo Rosario</t>
        </is>
      </c>
    </row>
    <row r="5111" spans="1:1">
      <c r="A5111" t="inlineStr">
        <is>
          <t>Sua</t>
        </is>
      </c>
    </row>
    <row r="5112" spans="1:1">
      <c r="A5112" t="inlineStr">
        <is>
          <t>Tambook</t>
        </is>
      </c>
    </row>
    <row r="5113" spans="1:1">
      <c r="A5113" t="inlineStr">
        <is>
          <t>Tungod</t>
        </is>
      </c>
    </row>
    <row r="5114" spans="1:1">
      <c r="A5114" t="inlineStr">
        <is>
          <t>U-og</t>
        </is>
      </c>
    </row>
    <row r="5115" spans="1:1">
      <c r="A5115" t="inlineStr">
        <is>
          <t>Ubujan</t>
        </is>
      </c>
    </row>
    <row r="5116" spans="1:1">
      <c r="A5116" t="inlineStr">
        <is>
          <t>Alejawan</t>
        </is>
      </c>
    </row>
    <row r="5117" spans="1:1">
      <c r="A5117" t="inlineStr">
        <is>
          <t>Balili</t>
        </is>
      </c>
    </row>
    <row r="5118" spans="1:1">
      <c r="A5118" t="inlineStr">
        <is>
          <t>Boctol</t>
        </is>
      </c>
    </row>
    <row r="5119" spans="1:1">
      <c r="A5119" t="inlineStr">
        <is>
          <t>Bunga Ilaya</t>
        </is>
      </c>
    </row>
    <row r="5120" spans="1:1">
      <c r="A5120" t="inlineStr">
        <is>
          <t>Bunga Mar</t>
        </is>
      </c>
    </row>
    <row r="5121" spans="1:1">
      <c r="A5121" t="inlineStr">
        <is>
          <t>Buyog</t>
        </is>
      </c>
    </row>
    <row r="5122" spans="1:1">
      <c r="A5122" t="inlineStr">
        <is>
          <t>Cabunga-an</t>
        </is>
      </c>
    </row>
    <row r="5123" spans="1:1">
      <c r="A5123" t="inlineStr">
        <is>
          <t>Calabacita</t>
        </is>
      </c>
    </row>
    <row r="5124" spans="1:1">
      <c r="A5124" t="inlineStr">
        <is>
          <t>Cambugason</t>
        </is>
      </c>
    </row>
    <row r="5125" spans="1:1">
      <c r="A5125" t="inlineStr">
        <is>
          <t>Can-ipol</t>
        </is>
      </c>
    </row>
    <row r="5126" spans="1:1">
      <c r="A5126" t="inlineStr">
        <is>
          <t>Can-uba</t>
        </is>
      </c>
    </row>
    <row r="5127" spans="1:1">
      <c r="A5127" t="inlineStr">
        <is>
          <t>Can-upao</t>
        </is>
      </c>
    </row>
    <row r="5128" spans="1:1">
      <c r="A5128" t="inlineStr">
        <is>
          <t>Canjulao</t>
        </is>
      </c>
    </row>
    <row r="5129" spans="1:1">
      <c r="A5129" t="inlineStr">
        <is>
          <t>Cantagay</t>
        </is>
      </c>
    </row>
    <row r="5130" spans="1:1">
      <c r="A5130" t="inlineStr">
        <is>
          <t>Cantuyoc</t>
        </is>
      </c>
    </row>
    <row r="5131" spans="1:1">
      <c r="A5131" t="inlineStr">
        <is>
          <t>Faraon</t>
        </is>
      </c>
    </row>
    <row r="5132" spans="1:1">
      <c r="A5132" t="inlineStr">
        <is>
          <t>Ipil</t>
        </is>
      </c>
    </row>
    <row r="5133" spans="1:1">
      <c r="A5133" t="inlineStr">
        <is>
          <t>Kinagbaan</t>
        </is>
      </c>
    </row>
    <row r="5134" spans="1:1">
      <c r="A5134" t="inlineStr">
        <is>
          <t>Laca</t>
        </is>
      </c>
    </row>
    <row r="5135" spans="1:1">
      <c r="A5135" t="inlineStr">
        <is>
          <t>Larapan</t>
        </is>
      </c>
    </row>
    <row r="5136" spans="1:1">
      <c r="A5136" t="inlineStr">
        <is>
          <t>Lonoy</t>
        </is>
      </c>
    </row>
    <row r="5137" spans="1:1">
      <c r="A5137" t="inlineStr">
        <is>
          <t>Looc</t>
        </is>
      </c>
    </row>
    <row r="5138" spans="1:1">
      <c r="A5138" t="inlineStr">
        <is>
          <t>Malbog</t>
        </is>
      </c>
    </row>
    <row r="5139" spans="1:1">
      <c r="A5139" t="inlineStr">
        <is>
          <t>Mayana</t>
        </is>
      </c>
    </row>
    <row r="5140" spans="1:1">
      <c r="A5140" t="inlineStr">
        <is>
          <t>Naatang</t>
        </is>
      </c>
    </row>
    <row r="5141" spans="1:1">
      <c r="A5141" t="inlineStr">
        <is>
          <t>Nausok</t>
        </is>
      </c>
    </row>
    <row r="5142" spans="1:1">
      <c r="A5142" t="inlineStr">
        <is>
          <t>Odiong</t>
        </is>
      </c>
    </row>
    <row r="5143" spans="1:1">
      <c r="A5143" t="inlineStr">
        <is>
          <t>Pagina</t>
        </is>
      </c>
    </row>
    <row r="5144" spans="1:1">
      <c r="A5144" t="inlineStr">
        <is>
          <t>Pangdan</t>
        </is>
      </c>
    </row>
    <row r="5145" spans="1:1">
      <c r="A5145" t="inlineStr">
        <is>
          <t>Poblacion</t>
        </is>
      </c>
    </row>
    <row r="5146" spans="1:1">
      <c r="A5146" t="inlineStr">
        <is>
          <t>Tejero</t>
        </is>
      </c>
    </row>
    <row r="5147" spans="1:1">
      <c r="A5147" t="inlineStr">
        <is>
          <t>Tubod Mar</t>
        </is>
      </c>
    </row>
    <row r="5148" spans="1:1">
      <c r="A5148" t="inlineStr">
        <is>
          <t>Tubod Monte</t>
        </is>
      </c>
    </row>
    <row r="5149" spans="1:1">
      <c r="A5149" t="inlineStr">
        <is>
          <t>Banban</t>
        </is>
      </c>
    </row>
    <row r="5150" spans="1:1">
      <c r="A5150" t="inlineStr">
        <is>
          <t>Bonkokan Ilaya</t>
        </is>
      </c>
    </row>
    <row r="5151" spans="1:1">
      <c r="A5151" t="inlineStr">
        <is>
          <t>Bonkokan Ubos</t>
        </is>
      </c>
    </row>
    <row r="5152" spans="1:1">
      <c r="A5152" t="inlineStr">
        <is>
          <t>Calvario</t>
        </is>
      </c>
    </row>
    <row r="5153" spans="1:1">
      <c r="A5153" t="inlineStr">
        <is>
          <t>Candulang</t>
        </is>
      </c>
    </row>
    <row r="5154" spans="1:1">
      <c r="A5154" t="inlineStr">
        <is>
          <t>Catugasan</t>
        </is>
      </c>
    </row>
    <row r="5155" spans="1:1">
      <c r="A5155" t="inlineStr">
        <is>
          <t>Cayupo</t>
        </is>
      </c>
    </row>
    <row r="5156" spans="1:1">
      <c r="A5156" t="inlineStr">
        <is>
          <t>Cogon</t>
        </is>
      </c>
    </row>
    <row r="5157" spans="1:1">
      <c r="A5157" t="inlineStr">
        <is>
          <t>Jambawan</t>
        </is>
      </c>
    </row>
    <row r="5158" spans="1:1">
      <c r="A5158" t="inlineStr">
        <is>
          <t>La Fortuna</t>
        </is>
      </c>
    </row>
    <row r="5159" spans="1:1">
      <c r="A5159" t="inlineStr">
        <is>
          <t>Lomanoy</t>
        </is>
      </c>
    </row>
    <row r="5160" spans="1:1">
      <c r="A5160" t="inlineStr">
        <is>
          <t>Macalingan</t>
        </is>
      </c>
    </row>
    <row r="5161" spans="1:1">
      <c r="A5161" t="inlineStr">
        <is>
          <t>Malinao East</t>
        </is>
      </c>
    </row>
    <row r="5162" spans="1:1">
      <c r="A5162" t="inlineStr">
        <is>
          <t>Malinao West</t>
        </is>
      </c>
    </row>
    <row r="5163" spans="1:1">
      <c r="A5163" t="inlineStr">
        <is>
          <t>Nagsulay</t>
        </is>
      </c>
    </row>
    <row r="5164" spans="1:1">
      <c r="A5164" t="inlineStr">
        <is>
          <t>Poblacion</t>
        </is>
      </c>
    </row>
    <row r="5165" spans="1:1">
      <c r="A5165" t="inlineStr">
        <is>
          <t>Taug</t>
        </is>
      </c>
    </row>
    <row r="5166" spans="1:1">
      <c r="A5166" t="inlineStr">
        <is>
          <t>Tiguis</t>
        </is>
      </c>
    </row>
    <row r="5167" spans="1:1">
      <c r="A5167" t="inlineStr">
        <is>
          <t>Agape</t>
        </is>
      </c>
    </row>
    <row r="5168" spans="1:1">
      <c r="A5168" t="inlineStr">
        <is>
          <t>Alegria Norte</t>
        </is>
      </c>
    </row>
    <row r="5169" spans="1:1">
      <c r="A5169" t="inlineStr">
        <is>
          <t>Alegria Sur</t>
        </is>
      </c>
    </row>
    <row r="5170" spans="1:1">
      <c r="A5170" t="inlineStr">
        <is>
          <t>Bonbon</t>
        </is>
      </c>
    </row>
    <row r="5171" spans="1:1">
      <c r="A5171" t="inlineStr">
        <is>
          <t>Botoc Occidental</t>
        </is>
      </c>
    </row>
    <row r="5172" spans="1:1">
      <c r="A5172" t="inlineStr">
        <is>
          <t>Botoc Oriental</t>
        </is>
      </c>
    </row>
    <row r="5173" spans="1:1">
      <c r="A5173" t="inlineStr">
        <is>
          <t>Calvario</t>
        </is>
      </c>
    </row>
    <row r="5174" spans="1:1">
      <c r="A5174" t="inlineStr">
        <is>
          <t>Concepcion</t>
        </is>
      </c>
    </row>
    <row r="5175" spans="1:1">
      <c r="A5175" t="inlineStr">
        <is>
          <t>Hinawanan</t>
        </is>
      </c>
    </row>
    <row r="5176" spans="1:1">
      <c r="A5176" t="inlineStr">
        <is>
          <t>Las Salinas Norte</t>
        </is>
      </c>
    </row>
    <row r="5177" spans="1:1">
      <c r="A5177" t="inlineStr">
        <is>
          <t>Las Salinas Sur</t>
        </is>
      </c>
    </row>
    <row r="5178" spans="1:1">
      <c r="A5178" t="inlineStr">
        <is>
          <t>Palo</t>
        </is>
      </c>
    </row>
    <row r="5179" spans="1:1">
      <c r="A5179" t="inlineStr">
        <is>
          <t>Poblacion Ibabao</t>
        </is>
      </c>
    </row>
    <row r="5180" spans="1:1">
      <c r="A5180" t="inlineStr">
        <is>
          <t>Poblacion Ubos</t>
        </is>
      </c>
    </row>
    <row r="5181" spans="1:1">
      <c r="A5181" t="inlineStr">
        <is>
          <t>Sagnap</t>
        </is>
      </c>
    </row>
    <row r="5182" spans="1:1">
      <c r="A5182" t="inlineStr">
        <is>
          <t>Tambangan</t>
        </is>
      </c>
    </row>
    <row r="5183" spans="1:1">
      <c r="A5183" t="inlineStr">
        <is>
          <t>Tangcasan Norte</t>
        </is>
      </c>
    </row>
    <row r="5184" spans="1:1">
      <c r="A5184" t="inlineStr">
        <is>
          <t>Tangcasan Sur</t>
        </is>
      </c>
    </row>
    <row r="5185" spans="1:1">
      <c r="A5185" t="inlineStr">
        <is>
          <t>Tayong Occidental</t>
        </is>
      </c>
    </row>
    <row r="5186" spans="1:1">
      <c r="A5186" t="inlineStr">
        <is>
          <t>Tayong Oriental</t>
        </is>
      </c>
    </row>
    <row r="5187" spans="1:1">
      <c r="A5187" t="inlineStr">
        <is>
          <t>Tocdog Dacu</t>
        </is>
      </c>
    </row>
    <row r="5188" spans="1:1">
      <c r="A5188" t="inlineStr">
        <is>
          <t>Tocdog Ilaya</t>
        </is>
      </c>
    </row>
    <row r="5189" spans="1:1">
      <c r="A5189" t="inlineStr">
        <is>
          <t>Villalimpia</t>
        </is>
      </c>
    </row>
    <row r="5190" spans="1:1">
      <c r="A5190" t="inlineStr">
        <is>
          <t>Yanangan</t>
        </is>
      </c>
    </row>
    <row r="5191" spans="1:1">
      <c r="A5191" t="inlineStr">
        <is>
          <t>Agape</t>
        </is>
      </c>
    </row>
    <row r="5192" spans="1:1">
      <c r="A5192" t="inlineStr">
        <is>
          <t>Alegria</t>
        </is>
      </c>
    </row>
    <row r="5193" spans="1:1">
      <c r="A5193" t="inlineStr">
        <is>
          <t>Bagumbayan</t>
        </is>
      </c>
    </row>
    <row r="5194" spans="1:1">
      <c r="A5194" t="inlineStr">
        <is>
          <t>Bahian</t>
        </is>
      </c>
    </row>
    <row r="5195" spans="1:1">
      <c r="A5195" t="inlineStr">
        <is>
          <t>Bonbon Lower</t>
        </is>
      </c>
    </row>
    <row r="5196" spans="1:1">
      <c r="A5196" t="inlineStr">
        <is>
          <t>Bonbon Upper</t>
        </is>
      </c>
    </row>
    <row r="5197" spans="1:1">
      <c r="A5197" t="inlineStr">
        <is>
          <t>Buenavista</t>
        </is>
      </c>
    </row>
    <row r="5198" spans="1:1">
      <c r="A5198" t="inlineStr">
        <is>
          <t>Bugho</t>
        </is>
      </c>
    </row>
    <row r="5199" spans="1:1">
      <c r="A5199" t="inlineStr">
        <is>
          <t>Cabadiangan</t>
        </is>
      </c>
    </row>
    <row r="5200" spans="1:1">
      <c r="A5200" t="inlineStr">
        <is>
          <t>Calunasan Norte</t>
        </is>
      </c>
    </row>
    <row r="5201" spans="1:1">
      <c r="A5201" t="inlineStr">
        <is>
          <t>Calunasan Sur</t>
        </is>
      </c>
    </row>
    <row r="5202" spans="1:1">
      <c r="A5202" t="inlineStr">
        <is>
          <t>Camayaan</t>
        </is>
      </c>
    </row>
    <row r="5203" spans="1:1">
      <c r="A5203" t="inlineStr">
        <is>
          <t>Cambance</t>
        </is>
      </c>
    </row>
    <row r="5204" spans="1:1">
      <c r="A5204" t="inlineStr">
        <is>
          <t>Candabong</t>
        </is>
      </c>
    </row>
    <row r="5205" spans="1:1">
      <c r="A5205" t="inlineStr">
        <is>
          <t>Candasag</t>
        </is>
      </c>
    </row>
    <row r="5206" spans="1:1">
      <c r="A5206" t="inlineStr">
        <is>
          <t>Canlasid</t>
        </is>
      </c>
    </row>
    <row r="5207" spans="1:1">
      <c r="A5207" t="inlineStr">
        <is>
          <t>Gon-ob</t>
        </is>
      </c>
    </row>
    <row r="5208" spans="1:1">
      <c r="A5208" t="inlineStr">
        <is>
          <t>Gotozon</t>
        </is>
      </c>
    </row>
    <row r="5209" spans="1:1">
      <c r="A5209" t="inlineStr">
        <is>
          <t>Jimilian</t>
        </is>
      </c>
    </row>
    <row r="5210" spans="1:1">
      <c r="A5210" t="inlineStr">
        <is>
          <t>Oy</t>
        </is>
      </c>
    </row>
    <row r="5211" spans="1:1">
      <c r="A5211" t="inlineStr">
        <is>
          <t>Poblacion Ondol</t>
        </is>
      </c>
    </row>
    <row r="5212" spans="1:1">
      <c r="A5212" t="inlineStr">
        <is>
          <t>Poblacion Sawang</t>
        </is>
      </c>
    </row>
    <row r="5213" spans="1:1">
      <c r="A5213" t="inlineStr">
        <is>
          <t>Quinoguitan</t>
        </is>
      </c>
    </row>
    <row r="5214" spans="1:1">
      <c r="A5214" t="inlineStr">
        <is>
          <t>Taytay</t>
        </is>
      </c>
    </row>
    <row r="5215" spans="1:1">
      <c r="A5215" t="inlineStr">
        <is>
          <t>Tigbao</t>
        </is>
      </c>
    </row>
    <row r="5216" spans="1:1">
      <c r="A5216" t="inlineStr">
        <is>
          <t>Ugpong</t>
        </is>
      </c>
    </row>
    <row r="5217" spans="1:1">
      <c r="A5217" t="inlineStr">
        <is>
          <t>Valladolid</t>
        </is>
      </c>
    </row>
    <row r="5218" spans="1:1">
      <c r="A5218" t="inlineStr">
        <is>
          <t>Villaflor</t>
        </is>
      </c>
    </row>
    <row r="5219" spans="1:1">
      <c r="A5219" t="inlineStr">
        <is>
          <t>Agsoso</t>
        </is>
      </c>
    </row>
    <row r="5220" spans="1:1">
      <c r="A5220" t="inlineStr">
        <is>
          <t>Badbad Occidental</t>
        </is>
      </c>
    </row>
    <row r="5221" spans="1:1">
      <c r="A5221" t="inlineStr">
        <is>
          <t>Badbad Oriental</t>
        </is>
      </c>
    </row>
    <row r="5222" spans="1:1">
      <c r="A5222" t="inlineStr">
        <is>
          <t>Bagacay Katipunan</t>
        </is>
      </c>
    </row>
    <row r="5223" spans="1:1">
      <c r="A5223" t="inlineStr">
        <is>
          <t>Bagacay Kawayan</t>
        </is>
      </c>
    </row>
    <row r="5224" spans="1:1">
      <c r="A5224" t="inlineStr">
        <is>
          <t>Bagacay Saong</t>
        </is>
      </c>
    </row>
    <row r="5225" spans="1:1">
      <c r="A5225" t="inlineStr">
        <is>
          <t>Bahi</t>
        </is>
      </c>
    </row>
    <row r="5226" spans="1:1">
      <c r="A5226" t="inlineStr">
        <is>
          <t>Basac</t>
        </is>
      </c>
    </row>
    <row r="5227" spans="1:1">
      <c r="A5227" t="inlineStr">
        <is>
          <t>Basdacu</t>
        </is>
      </c>
    </row>
    <row r="5228" spans="1:1">
      <c r="A5228" t="inlineStr">
        <is>
          <t>Basdio</t>
        </is>
      </c>
    </row>
    <row r="5229" spans="1:1">
      <c r="A5229" t="inlineStr">
        <is>
          <t>Biasong</t>
        </is>
      </c>
    </row>
    <row r="5230" spans="1:1">
      <c r="A5230" t="inlineStr">
        <is>
          <t>Bongco</t>
        </is>
      </c>
    </row>
    <row r="5231" spans="1:1">
      <c r="A5231" t="inlineStr">
        <is>
          <t>Bugho</t>
        </is>
      </c>
    </row>
    <row r="5232" spans="1:1">
      <c r="A5232" t="inlineStr">
        <is>
          <t>Cabacongan</t>
        </is>
      </c>
    </row>
    <row r="5233" spans="1:1">
      <c r="A5233" t="inlineStr">
        <is>
          <t>Cabadug</t>
        </is>
      </c>
    </row>
    <row r="5234" spans="1:1">
      <c r="A5234" t="inlineStr">
        <is>
          <t>Cabug</t>
        </is>
      </c>
    </row>
    <row r="5235" spans="1:1">
      <c r="A5235" t="inlineStr">
        <is>
          <t>Calayugan Norte</t>
        </is>
      </c>
    </row>
    <row r="5236" spans="1:1">
      <c r="A5236" t="inlineStr">
        <is>
          <t>Calayugan Sur</t>
        </is>
      </c>
    </row>
    <row r="5237" spans="1:1">
      <c r="A5237" t="inlineStr">
        <is>
          <t>Cambaquiz</t>
        </is>
      </c>
    </row>
    <row r="5238" spans="1:1">
      <c r="A5238" t="inlineStr">
        <is>
          <t>Campatud</t>
        </is>
      </c>
    </row>
    <row r="5239" spans="1:1">
      <c r="A5239" t="inlineStr">
        <is>
          <t>Candaigan</t>
        </is>
      </c>
    </row>
    <row r="5240" spans="1:1">
      <c r="A5240" t="inlineStr">
        <is>
          <t>Canhangdon Occidental</t>
        </is>
      </c>
    </row>
    <row r="5241" spans="1:1">
      <c r="A5241" t="inlineStr">
        <is>
          <t>Canhangdon Oriental</t>
        </is>
      </c>
    </row>
    <row r="5242" spans="1:1">
      <c r="A5242" t="inlineStr">
        <is>
          <t>Canigaan</t>
        </is>
      </c>
    </row>
    <row r="5243" spans="1:1">
      <c r="A5243" t="inlineStr">
        <is>
          <t>Canmaag</t>
        </is>
      </c>
    </row>
    <row r="5244" spans="1:1">
      <c r="A5244" t="inlineStr">
        <is>
          <t>Canmanoc</t>
        </is>
      </c>
    </row>
    <row r="5245" spans="1:1">
      <c r="A5245" t="inlineStr">
        <is>
          <t>Cansuagwit</t>
        </is>
      </c>
    </row>
    <row r="5246" spans="1:1">
      <c r="A5246" t="inlineStr">
        <is>
          <t>Cansubayon</t>
        </is>
      </c>
    </row>
    <row r="5247" spans="1:1">
      <c r="A5247" t="inlineStr">
        <is>
          <t>Cantam-is Bago</t>
        </is>
      </c>
    </row>
    <row r="5248" spans="1:1">
      <c r="A5248" t="inlineStr">
        <is>
          <t>Cantam-is Baslay</t>
        </is>
      </c>
    </row>
    <row r="5249" spans="1:1">
      <c r="A5249" t="inlineStr">
        <is>
          <t>Cantaongon</t>
        </is>
      </c>
    </row>
    <row r="5250" spans="1:1">
      <c r="A5250" t="inlineStr">
        <is>
          <t>Cantumocad</t>
        </is>
      </c>
    </row>
    <row r="5251" spans="1:1">
      <c r="A5251" t="inlineStr">
        <is>
          <t>Catagbacan Handig</t>
        </is>
      </c>
    </row>
    <row r="5252" spans="1:1">
      <c r="A5252" t="inlineStr">
        <is>
          <t>Catagbacan Norte</t>
        </is>
      </c>
    </row>
    <row r="5253" spans="1:1">
      <c r="A5253" t="inlineStr">
        <is>
          <t>Catagbacan Sur</t>
        </is>
      </c>
    </row>
    <row r="5254" spans="1:1">
      <c r="A5254" t="inlineStr">
        <is>
          <t>Cogon Norte</t>
        </is>
      </c>
    </row>
    <row r="5255" spans="1:1">
      <c r="A5255" t="inlineStr">
        <is>
          <t>Cogon Sur</t>
        </is>
      </c>
    </row>
    <row r="5256" spans="1:1">
      <c r="A5256" t="inlineStr">
        <is>
          <t>Cuasi</t>
        </is>
      </c>
    </row>
    <row r="5257" spans="1:1">
      <c r="A5257" t="inlineStr">
        <is>
          <t>Genomoan</t>
        </is>
      </c>
    </row>
    <row r="5258" spans="1:1">
      <c r="A5258" t="inlineStr">
        <is>
          <t>Lintuan</t>
        </is>
      </c>
    </row>
    <row r="5259" spans="1:1">
      <c r="A5259" t="inlineStr">
        <is>
          <t>Looc</t>
        </is>
      </c>
    </row>
    <row r="5260" spans="1:1">
      <c r="A5260" t="inlineStr">
        <is>
          <t>Mocpoc Norte</t>
        </is>
      </c>
    </row>
    <row r="5261" spans="1:1">
      <c r="A5261" t="inlineStr">
        <is>
          <t>Mocpoc Sur</t>
        </is>
      </c>
    </row>
    <row r="5262" spans="1:1">
      <c r="A5262" t="inlineStr">
        <is>
          <t>Moto Norte</t>
        </is>
      </c>
    </row>
    <row r="5263" spans="1:1">
      <c r="A5263" t="inlineStr">
        <is>
          <t>Moto Sur</t>
        </is>
      </c>
    </row>
    <row r="5264" spans="1:1">
      <c r="A5264" t="inlineStr">
        <is>
          <t>Nagtuang</t>
        </is>
      </c>
    </row>
    <row r="5265" spans="1:1">
      <c r="A5265" t="inlineStr">
        <is>
          <t>Napo</t>
        </is>
      </c>
    </row>
    <row r="5266" spans="1:1">
      <c r="A5266" t="inlineStr">
        <is>
          <t>Nueva Vida</t>
        </is>
      </c>
    </row>
    <row r="5267" spans="1:1">
      <c r="A5267" t="inlineStr">
        <is>
          <t>Panangquilon</t>
        </is>
      </c>
    </row>
    <row r="5268" spans="1:1">
      <c r="A5268" t="inlineStr">
        <is>
          <t>Pantudlan</t>
        </is>
      </c>
    </row>
    <row r="5269" spans="1:1">
      <c r="A5269" t="inlineStr">
        <is>
          <t>Pig-ot</t>
        </is>
      </c>
    </row>
    <row r="5270" spans="1:1">
      <c r="A5270" t="inlineStr">
        <is>
          <t>Pondol</t>
        </is>
      </c>
    </row>
    <row r="5271" spans="1:1">
      <c r="A5271" t="inlineStr">
        <is>
          <t>Quinobcoban</t>
        </is>
      </c>
    </row>
    <row r="5272" spans="1:1">
      <c r="A5272" t="inlineStr">
        <is>
          <t>Sondol</t>
        </is>
      </c>
    </row>
    <row r="5273" spans="1:1">
      <c r="A5273" t="inlineStr">
        <is>
          <t>Song-on</t>
        </is>
      </c>
    </row>
    <row r="5274" spans="1:1">
      <c r="A5274" t="inlineStr">
        <is>
          <t>Talisay</t>
        </is>
      </c>
    </row>
    <row r="5275" spans="1:1">
      <c r="A5275" t="inlineStr">
        <is>
          <t>Tan-awan</t>
        </is>
      </c>
    </row>
    <row r="5276" spans="1:1">
      <c r="A5276" t="inlineStr">
        <is>
          <t>Tangnan</t>
        </is>
      </c>
    </row>
    <row r="5277" spans="1:1">
      <c r="A5277" t="inlineStr">
        <is>
          <t>Taytay</t>
        </is>
      </c>
    </row>
    <row r="5278" spans="1:1">
      <c r="A5278" t="inlineStr">
        <is>
          <t>Ticugan</t>
        </is>
      </c>
    </row>
    <row r="5279" spans="1:1">
      <c r="A5279" t="inlineStr">
        <is>
          <t>Tiwi</t>
        </is>
      </c>
    </row>
    <row r="5280" spans="1:1">
      <c r="A5280" t="inlineStr">
        <is>
          <t>Tontonan</t>
        </is>
      </c>
    </row>
    <row r="5281" spans="1:1">
      <c r="A5281" t="inlineStr">
        <is>
          <t>Tubodacu</t>
        </is>
      </c>
    </row>
    <row r="5282" spans="1:1">
      <c r="A5282" t="inlineStr">
        <is>
          <t>Tubodio</t>
        </is>
      </c>
    </row>
    <row r="5283" spans="1:1">
      <c r="A5283" t="inlineStr">
        <is>
          <t>Tubuan</t>
        </is>
      </c>
    </row>
    <row r="5284" spans="1:1">
      <c r="A5284" t="inlineStr">
        <is>
          <t>Ubayon</t>
        </is>
      </c>
    </row>
    <row r="5285" spans="1:1">
      <c r="A5285" t="inlineStr">
        <is>
          <t>Ubojan</t>
        </is>
      </c>
    </row>
    <row r="5286" spans="1:1">
      <c r="A5286" t="inlineStr">
        <is>
          <t>Abaca</t>
        </is>
      </c>
    </row>
    <row r="5287" spans="1:1">
      <c r="A5287" t="inlineStr">
        <is>
          <t>Abad Santos</t>
        </is>
      </c>
    </row>
    <row r="5288" spans="1:1">
      <c r="A5288" t="inlineStr">
        <is>
          <t>Aguipo</t>
        </is>
      </c>
    </row>
    <row r="5289" spans="1:1">
      <c r="A5289" t="inlineStr">
        <is>
          <t>Baybayon</t>
        </is>
      </c>
    </row>
    <row r="5290" spans="1:1">
      <c r="A5290" t="inlineStr">
        <is>
          <t>Bulawan</t>
        </is>
      </c>
    </row>
    <row r="5291" spans="1:1">
      <c r="A5291" t="inlineStr">
        <is>
          <t>Cabidian</t>
        </is>
      </c>
    </row>
    <row r="5292" spans="1:1">
      <c r="A5292" t="inlineStr">
        <is>
          <t>Cawayanan</t>
        </is>
      </c>
    </row>
    <row r="5293" spans="1:1">
      <c r="A5293" t="inlineStr">
        <is>
          <t>Concepcion</t>
        </is>
      </c>
    </row>
    <row r="5294" spans="1:1">
      <c r="A5294" t="inlineStr">
        <is>
          <t>Del Mar</t>
        </is>
      </c>
    </row>
    <row r="5295" spans="1:1">
      <c r="A5295" t="inlineStr">
        <is>
          <t>Lungsoda-an</t>
        </is>
      </c>
    </row>
    <row r="5296" spans="1:1">
      <c r="A5296" t="inlineStr">
        <is>
          <t>Marcelo</t>
        </is>
      </c>
    </row>
    <row r="5297" spans="1:1">
      <c r="A5297" t="inlineStr">
        <is>
          <t>Minol</t>
        </is>
      </c>
    </row>
    <row r="5298" spans="1:1">
      <c r="A5298" t="inlineStr">
        <is>
          <t>Paraiso</t>
        </is>
      </c>
    </row>
    <row r="5299" spans="1:1">
      <c r="A5299" t="inlineStr">
        <is>
          <t>Poblacion I</t>
        </is>
      </c>
    </row>
    <row r="5300" spans="1:1">
      <c r="A5300" t="inlineStr">
        <is>
          <t>Poblacion II</t>
        </is>
      </c>
    </row>
    <row r="5301" spans="1:1">
      <c r="A5301" t="inlineStr">
        <is>
          <t>San Isidro</t>
        </is>
      </c>
    </row>
    <row r="5302" spans="1:1">
      <c r="A5302" t="inlineStr">
        <is>
          <t>San Jose</t>
        </is>
      </c>
    </row>
    <row r="5303" spans="1:1">
      <c r="A5303" t="inlineStr">
        <is>
          <t>San Rafael</t>
        </is>
      </c>
    </row>
    <row r="5304" spans="1:1">
      <c r="A5304" t="inlineStr">
        <is>
          <t>San Roque</t>
        </is>
      </c>
    </row>
    <row r="5305" spans="1:1">
      <c r="A5305" t="inlineStr">
        <is>
          <t>Tambo</t>
        </is>
      </c>
    </row>
    <row r="5306" spans="1:1">
      <c r="A5306" t="inlineStr">
        <is>
          <t>Tangkigan</t>
        </is>
      </c>
    </row>
    <row r="5307" spans="1:1">
      <c r="A5307" t="inlineStr">
        <is>
          <t>Valaga</t>
        </is>
      </c>
    </row>
    <row r="5308" spans="1:1">
      <c r="A5308" t="inlineStr">
        <is>
          <t>Agahay</t>
        </is>
      </c>
    </row>
    <row r="5309" spans="1:1">
      <c r="A5309" t="inlineStr">
        <is>
          <t>Aliguay</t>
        </is>
      </c>
    </row>
    <row r="5310" spans="1:1">
      <c r="A5310" t="inlineStr">
        <is>
          <t>Anislag</t>
        </is>
      </c>
    </row>
    <row r="5311" spans="1:1">
      <c r="A5311" t="inlineStr">
        <is>
          <t>Bayacabac</t>
        </is>
      </c>
    </row>
    <row r="5312" spans="1:1">
      <c r="A5312" t="inlineStr">
        <is>
          <t>Bood</t>
        </is>
      </c>
    </row>
    <row r="5313" spans="1:1">
      <c r="A5313" t="inlineStr">
        <is>
          <t>Busao</t>
        </is>
      </c>
    </row>
    <row r="5314" spans="1:1">
      <c r="A5314" t="inlineStr">
        <is>
          <t>Cabawan</t>
        </is>
      </c>
    </row>
    <row r="5315" spans="1:1">
      <c r="A5315" t="inlineStr">
        <is>
          <t>Candavid</t>
        </is>
      </c>
    </row>
    <row r="5316" spans="1:1">
      <c r="A5316" t="inlineStr">
        <is>
          <t>Dipatlong</t>
        </is>
      </c>
    </row>
    <row r="5317" spans="1:1">
      <c r="A5317" t="inlineStr">
        <is>
          <t>Guiwanon</t>
        </is>
      </c>
    </row>
    <row r="5318" spans="1:1">
      <c r="A5318" t="inlineStr">
        <is>
          <t>Jandig</t>
        </is>
      </c>
    </row>
    <row r="5319" spans="1:1">
      <c r="A5319" t="inlineStr">
        <is>
          <t>Lagtangon</t>
        </is>
      </c>
    </row>
    <row r="5320" spans="1:1">
      <c r="A5320" t="inlineStr">
        <is>
          <t>Lincod</t>
        </is>
      </c>
    </row>
    <row r="5321" spans="1:1">
      <c r="A5321" t="inlineStr">
        <is>
          <t>Pagnitoan</t>
        </is>
      </c>
    </row>
    <row r="5322" spans="1:1">
      <c r="A5322" t="inlineStr">
        <is>
          <t>Poblacion</t>
        </is>
      </c>
    </row>
    <row r="5323" spans="1:1">
      <c r="A5323" t="inlineStr">
        <is>
          <t>Punsod</t>
        </is>
      </c>
    </row>
    <row r="5324" spans="1:1">
      <c r="A5324" t="inlineStr">
        <is>
          <t>Punta Cruz</t>
        </is>
      </c>
    </row>
    <row r="5325" spans="1:1">
      <c r="A5325" t="inlineStr">
        <is>
          <t>San Isidro</t>
        </is>
      </c>
    </row>
    <row r="5326" spans="1:1">
      <c r="A5326" t="inlineStr">
        <is>
          <t>San Roque</t>
        </is>
      </c>
    </row>
    <row r="5327" spans="1:1">
      <c r="A5327" t="inlineStr">
        <is>
          <t>San Vicente</t>
        </is>
      </c>
    </row>
    <row r="5328" spans="1:1">
      <c r="A5328" t="inlineStr">
        <is>
          <t>Tinibgan</t>
        </is>
      </c>
    </row>
    <row r="5329" spans="1:1">
      <c r="A5329" t="inlineStr">
        <is>
          <t>Toril</t>
        </is>
      </c>
    </row>
    <row r="5330" spans="1:1">
      <c r="A5330" t="inlineStr">
        <is>
          <t>Bil-isan</t>
        </is>
      </c>
    </row>
    <row r="5331" spans="1:1">
      <c r="A5331" t="inlineStr">
        <is>
          <t>Bolod</t>
        </is>
      </c>
    </row>
    <row r="5332" spans="1:1">
      <c r="A5332" t="inlineStr">
        <is>
          <t>Danao</t>
        </is>
      </c>
    </row>
    <row r="5333" spans="1:1">
      <c r="A5333" t="inlineStr">
        <is>
          <t>Doljo</t>
        </is>
      </c>
    </row>
    <row r="5334" spans="1:1">
      <c r="A5334" t="inlineStr">
        <is>
          <t>Libaong</t>
        </is>
      </c>
    </row>
    <row r="5335" spans="1:1">
      <c r="A5335" t="inlineStr">
        <is>
          <t>Looc</t>
        </is>
      </c>
    </row>
    <row r="5336" spans="1:1">
      <c r="A5336" t="inlineStr">
        <is>
          <t>Lourdes</t>
        </is>
      </c>
    </row>
    <row r="5337" spans="1:1">
      <c r="A5337" t="inlineStr">
        <is>
          <t>Poblacion</t>
        </is>
      </c>
    </row>
    <row r="5338" spans="1:1">
      <c r="A5338" t="inlineStr">
        <is>
          <t>Tangnan</t>
        </is>
      </c>
    </row>
    <row r="5339" spans="1:1">
      <c r="A5339" t="inlineStr">
        <is>
          <t>Tawala</t>
        </is>
      </c>
    </row>
    <row r="5340" spans="1:1">
      <c r="A5340" t="inlineStr">
        <is>
          <t>Aurora</t>
        </is>
      </c>
    </row>
    <row r="5341" spans="1:1">
      <c r="A5341" t="inlineStr">
        <is>
          <t>Bagacay</t>
        </is>
      </c>
    </row>
    <row r="5342" spans="1:1">
      <c r="A5342" t="inlineStr">
        <is>
          <t>Bagumbayan</t>
        </is>
      </c>
    </row>
    <row r="5343" spans="1:1">
      <c r="A5343" t="inlineStr">
        <is>
          <t>Bayong</t>
        </is>
      </c>
    </row>
    <row r="5344" spans="1:1">
      <c r="A5344" t="inlineStr">
        <is>
          <t>Buenasuerte</t>
        </is>
      </c>
    </row>
    <row r="5345" spans="1:1">
      <c r="A5345" t="inlineStr">
        <is>
          <t>Cagawasan</t>
        </is>
      </c>
    </row>
    <row r="5346" spans="1:1">
      <c r="A5346" t="inlineStr">
        <is>
          <t>Cansungay</t>
        </is>
      </c>
    </row>
    <row r="5347" spans="1:1">
      <c r="A5347" t="inlineStr">
        <is>
          <t>Catagda-an</t>
        </is>
      </c>
    </row>
    <row r="5348" spans="1:1">
      <c r="A5348" t="inlineStr">
        <is>
          <t>Del Pilar</t>
        </is>
      </c>
    </row>
    <row r="5349" spans="1:1">
      <c r="A5349" t="inlineStr">
        <is>
          <t>Estaca</t>
        </is>
      </c>
    </row>
    <row r="5350" spans="1:1">
      <c r="A5350" t="inlineStr">
        <is>
          <t>Ilaud</t>
        </is>
      </c>
    </row>
    <row r="5351" spans="1:1">
      <c r="A5351" t="inlineStr">
        <is>
          <t>Inaghuban</t>
        </is>
      </c>
    </row>
    <row r="5352" spans="1:1">
      <c r="A5352" t="inlineStr">
        <is>
          <t>La Suerte</t>
        </is>
      </c>
    </row>
    <row r="5353" spans="1:1">
      <c r="A5353" t="inlineStr">
        <is>
          <t>Lumbay</t>
        </is>
      </c>
    </row>
    <row r="5354" spans="1:1">
      <c r="A5354" t="inlineStr">
        <is>
          <t>Lundag</t>
        </is>
      </c>
    </row>
    <row r="5355" spans="1:1">
      <c r="A5355" t="inlineStr">
        <is>
          <t>Pamacsalan</t>
        </is>
      </c>
    </row>
    <row r="5356" spans="1:1">
      <c r="A5356" t="inlineStr">
        <is>
          <t>Poblacion</t>
        </is>
      </c>
    </row>
    <row r="5357" spans="1:1">
      <c r="A5357" t="inlineStr">
        <is>
          <t>Rizal</t>
        </is>
      </c>
    </row>
    <row r="5358" spans="1:1">
      <c r="A5358" t="inlineStr">
        <is>
          <t>San Carlos</t>
        </is>
      </c>
    </row>
    <row r="5359" spans="1:1">
      <c r="A5359" t="inlineStr">
        <is>
          <t>San Isidro</t>
        </is>
      </c>
    </row>
    <row r="5360" spans="1:1">
      <c r="A5360" t="inlineStr">
        <is>
          <t>San Vicente</t>
        </is>
      </c>
    </row>
    <row r="5361" spans="1:1">
      <c r="A5361" t="inlineStr">
        <is>
          <t>Aguining</t>
        </is>
      </c>
    </row>
    <row r="5362" spans="1:1">
      <c r="A5362" t="inlineStr">
        <is>
          <t>Basiao</t>
        </is>
      </c>
    </row>
    <row r="5363" spans="1:1">
      <c r="A5363" t="inlineStr">
        <is>
          <t>Baud</t>
        </is>
      </c>
    </row>
    <row r="5364" spans="1:1">
      <c r="A5364" t="inlineStr">
        <is>
          <t>Bayog</t>
        </is>
      </c>
    </row>
    <row r="5365" spans="1:1">
      <c r="A5365" t="inlineStr">
        <is>
          <t>Bogo</t>
        </is>
      </c>
    </row>
    <row r="5366" spans="1:1">
      <c r="A5366" t="inlineStr">
        <is>
          <t>Bonbonon</t>
        </is>
      </c>
    </row>
    <row r="5367" spans="1:1">
      <c r="A5367" t="inlineStr">
        <is>
          <t>Butan</t>
        </is>
      </c>
    </row>
    <row r="5368" spans="1:1">
      <c r="A5368" t="inlineStr">
        <is>
          <t>Campamanog</t>
        </is>
      </c>
    </row>
    <row r="5369" spans="1:1">
      <c r="A5369" t="inlineStr">
        <is>
          <t>Canmangao</t>
        </is>
      </c>
    </row>
    <row r="5370" spans="1:1">
      <c r="A5370" t="inlineStr">
        <is>
          <t>Gaus</t>
        </is>
      </c>
    </row>
    <row r="5371" spans="1:1">
      <c r="A5371" t="inlineStr">
        <is>
          <t>Kabangkalan</t>
        </is>
      </c>
    </row>
    <row r="5372" spans="1:1">
      <c r="A5372" t="inlineStr">
        <is>
          <t>Lapinig</t>
        </is>
      </c>
    </row>
    <row r="5373" spans="1:1">
      <c r="A5373" t="inlineStr">
        <is>
          <t>Lipata</t>
        </is>
      </c>
    </row>
    <row r="5374" spans="1:1">
      <c r="A5374" t="inlineStr">
        <is>
          <t>Poblacion</t>
        </is>
      </c>
    </row>
    <row r="5375" spans="1:1">
      <c r="A5375" t="inlineStr">
        <is>
          <t>Popoo</t>
        </is>
      </c>
    </row>
    <row r="5376" spans="1:1">
      <c r="A5376" t="inlineStr">
        <is>
          <t>Saguise</t>
        </is>
      </c>
    </row>
    <row r="5377" spans="1:1">
      <c r="A5377" t="inlineStr">
        <is>
          <t>San Jose</t>
        </is>
      </c>
    </row>
    <row r="5378" spans="1:1">
      <c r="A5378" t="inlineStr">
        <is>
          <t>San Vicente</t>
        </is>
      </c>
    </row>
    <row r="5379" spans="1:1">
      <c r="A5379" t="inlineStr">
        <is>
          <t>Santo Rosario</t>
        </is>
      </c>
    </row>
    <row r="5380" spans="1:1">
      <c r="A5380" t="inlineStr">
        <is>
          <t>Tilmobo</t>
        </is>
      </c>
    </row>
    <row r="5381" spans="1:1">
      <c r="A5381" t="inlineStr">
        <is>
          <t>Tugas</t>
        </is>
      </c>
    </row>
    <row r="5382" spans="1:1">
      <c r="A5382" t="inlineStr">
        <is>
          <t>Tugnao</t>
        </is>
      </c>
    </row>
    <row r="5383" spans="1:1">
      <c r="A5383" t="inlineStr">
        <is>
          <t>Villa Milagrosa</t>
        </is>
      </c>
    </row>
    <row r="5384" spans="1:1">
      <c r="A5384" t="inlineStr">
        <is>
          <t>Calangahan</t>
        </is>
      </c>
    </row>
    <row r="5385" spans="1:1">
      <c r="A5385" t="inlineStr">
        <is>
          <t>Canmano</t>
        </is>
      </c>
    </row>
    <row r="5386" spans="1:1">
      <c r="A5386" t="inlineStr">
        <is>
          <t>Canmaya Centro</t>
        </is>
      </c>
    </row>
    <row r="5387" spans="1:1">
      <c r="A5387" t="inlineStr">
        <is>
          <t>Canmaya Diot</t>
        </is>
      </c>
    </row>
    <row r="5388" spans="1:1">
      <c r="A5388" t="inlineStr">
        <is>
          <t>Dagnawan</t>
        </is>
      </c>
    </row>
    <row r="5389" spans="1:1">
      <c r="A5389" t="inlineStr">
        <is>
          <t>Kabasacan</t>
        </is>
      </c>
    </row>
    <row r="5390" spans="1:1">
      <c r="A5390" t="inlineStr">
        <is>
          <t>Kagawasan</t>
        </is>
      </c>
    </row>
    <row r="5391" spans="1:1">
      <c r="A5391" t="inlineStr">
        <is>
          <t>Katipunan</t>
        </is>
      </c>
    </row>
    <row r="5392" spans="1:1">
      <c r="A5392" t="inlineStr">
        <is>
          <t>Langtad</t>
        </is>
      </c>
    </row>
    <row r="5393" spans="1:1">
      <c r="A5393" t="inlineStr">
        <is>
          <t>Libertad Norte</t>
        </is>
      </c>
    </row>
    <row r="5394" spans="1:1">
      <c r="A5394" t="inlineStr">
        <is>
          <t>Libertad Sur</t>
        </is>
      </c>
    </row>
    <row r="5395" spans="1:1">
      <c r="A5395" t="inlineStr">
        <is>
          <t>Mantalongon</t>
        </is>
      </c>
    </row>
    <row r="5396" spans="1:1">
      <c r="A5396" t="inlineStr">
        <is>
          <t>Poblacion</t>
        </is>
      </c>
    </row>
    <row r="5397" spans="1:1">
      <c r="A5397" t="inlineStr">
        <is>
          <t>Sagbayan Sur</t>
        </is>
      </c>
    </row>
    <row r="5398" spans="1:1">
      <c r="A5398" t="inlineStr">
        <is>
          <t>San Agustin</t>
        </is>
      </c>
    </row>
    <row r="5399" spans="1:1">
      <c r="A5399" t="inlineStr">
        <is>
          <t>San Antonio</t>
        </is>
      </c>
    </row>
    <row r="5400" spans="1:1">
      <c r="A5400" t="inlineStr">
        <is>
          <t>San Isidro</t>
        </is>
      </c>
    </row>
    <row r="5401" spans="1:1">
      <c r="A5401" t="inlineStr">
        <is>
          <t>San Ramon</t>
        </is>
      </c>
    </row>
    <row r="5402" spans="1:1">
      <c r="A5402" t="inlineStr">
        <is>
          <t>San Roque</t>
        </is>
      </c>
    </row>
    <row r="5403" spans="1:1">
      <c r="A5403" t="inlineStr">
        <is>
          <t>San Vicente Norte</t>
        </is>
      </c>
    </row>
    <row r="5404" spans="1:1">
      <c r="A5404" t="inlineStr">
        <is>
          <t>San Vicente Sur</t>
        </is>
      </c>
    </row>
    <row r="5405" spans="1:1">
      <c r="A5405" t="inlineStr">
        <is>
          <t>Santa Catalina</t>
        </is>
      </c>
    </row>
    <row r="5406" spans="1:1">
      <c r="A5406" t="inlineStr">
        <is>
          <t>Santa Cruz</t>
        </is>
      </c>
    </row>
    <row r="5407" spans="1:1">
      <c r="A5407" t="inlineStr">
        <is>
          <t>Ubojan</t>
        </is>
      </c>
    </row>
    <row r="5408" spans="1:1">
      <c r="A5408" t="inlineStr">
        <is>
          <t>Abehilan</t>
        </is>
      </c>
    </row>
    <row r="5409" spans="1:1">
      <c r="A5409" t="inlineStr">
        <is>
          <t>Baryong Daan</t>
        </is>
      </c>
    </row>
    <row r="5410" spans="1:1">
      <c r="A5410" t="inlineStr">
        <is>
          <t>Baunos</t>
        </is>
      </c>
    </row>
    <row r="5411" spans="1:1">
      <c r="A5411" t="inlineStr">
        <is>
          <t>Cabanugan</t>
        </is>
      </c>
    </row>
    <row r="5412" spans="1:1">
      <c r="A5412" t="inlineStr">
        <is>
          <t>Caimbang</t>
        </is>
      </c>
    </row>
    <row r="5413" spans="1:1">
      <c r="A5413" t="inlineStr">
        <is>
          <t>Cambansag</t>
        </is>
      </c>
    </row>
    <row r="5414" spans="1:1">
      <c r="A5414" t="inlineStr">
        <is>
          <t>Candungao</t>
        </is>
      </c>
    </row>
    <row r="5415" spans="1:1">
      <c r="A5415" t="inlineStr">
        <is>
          <t>Cansague Norte</t>
        </is>
      </c>
    </row>
    <row r="5416" spans="1:1">
      <c r="A5416" t="inlineStr">
        <is>
          <t>Cansague Sur</t>
        </is>
      </c>
    </row>
    <row r="5417" spans="1:1">
      <c r="A5417" t="inlineStr">
        <is>
          <t>Causwagan Sur</t>
        </is>
      </c>
    </row>
    <row r="5418" spans="1:1">
      <c r="A5418" t="inlineStr">
        <is>
          <t>Masonoy</t>
        </is>
      </c>
    </row>
    <row r="5419" spans="1:1">
      <c r="A5419" t="inlineStr">
        <is>
          <t>Poblacion</t>
        </is>
      </c>
    </row>
    <row r="5420" spans="1:1">
      <c r="A5420" t="inlineStr">
        <is>
          <t>Bayongan</t>
        </is>
      </c>
    </row>
    <row r="5421" spans="1:1">
      <c r="A5421" t="inlineStr">
        <is>
          <t>Bugang</t>
        </is>
      </c>
    </row>
    <row r="5422" spans="1:1">
      <c r="A5422" t="inlineStr">
        <is>
          <t>Cabangahan</t>
        </is>
      </c>
    </row>
    <row r="5423" spans="1:1">
      <c r="A5423" t="inlineStr">
        <is>
          <t>Caluasan</t>
        </is>
      </c>
    </row>
    <row r="5424" spans="1:1">
      <c r="A5424" t="inlineStr">
        <is>
          <t>Camanaga</t>
        </is>
      </c>
    </row>
    <row r="5425" spans="1:1">
      <c r="A5425" t="inlineStr">
        <is>
          <t>Cambangay Norte</t>
        </is>
      </c>
    </row>
    <row r="5426" spans="1:1">
      <c r="A5426" t="inlineStr">
        <is>
          <t>Capayas</t>
        </is>
      </c>
    </row>
    <row r="5427" spans="1:1">
      <c r="A5427" t="inlineStr">
        <is>
          <t>Corazon</t>
        </is>
      </c>
    </row>
    <row r="5428" spans="1:1">
      <c r="A5428" t="inlineStr">
        <is>
          <t>Garcia</t>
        </is>
      </c>
    </row>
    <row r="5429" spans="1:1">
      <c r="A5429" t="inlineStr">
        <is>
          <t>Hagbuyo</t>
        </is>
      </c>
    </row>
    <row r="5430" spans="1:1">
      <c r="A5430" t="inlineStr">
        <is>
          <t>Kagawasan</t>
        </is>
      </c>
    </row>
    <row r="5431" spans="1:1">
      <c r="A5431" t="inlineStr">
        <is>
          <t>Mahayag</t>
        </is>
      </c>
    </row>
    <row r="5432" spans="1:1">
      <c r="A5432" t="inlineStr">
        <is>
          <t>Poblacion</t>
        </is>
      </c>
    </row>
    <row r="5433" spans="1:1">
      <c r="A5433" t="inlineStr">
        <is>
          <t>San Isidro</t>
        </is>
      </c>
    </row>
    <row r="5434" spans="1:1">
      <c r="A5434" t="inlineStr">
        <is>
          <t>San Jose</t>
        </is>
      </c>
    </row>
    <row r="5435" spans="1:1">
      <c r="A5435" t="inlineStr">
        <is>
          <t>San Vicente</t>
        </is>
      </c>
    </row>
    <row r="5436" spans="1:1">
      <c r="A5436" t="inlineStr">
        <is>
          <t>Santo Niño</t>
        </is>
      </c>
    </row>
    <row r="5437" spans="1:1">
      <c r="A5437" t="inlineStr">
        <is>
          <t>Tomoc</t>
        </is>
      </c>
    </row>
    <row r="5438" spans="1:1">
      <c r="A5438" t="inlineStr">
        <is>
          <t>Bayawahan</t>
        </is>
      </c>
    </row>
    <row r="5439" spans="1:1">
      <c r="A5439" t="inlineStr">
        <is>
          <t>Cabancalan</t>
        </is>
      </c>
    </row>
    <row r="5440" spans="1:1">
      <c r="A5440" t="inlineStr">
        <is>
          <t>Calinga-an</t>
        </is>
      </c>
    </row>
    <row r="5441" spans="1:1">
      <c r="A5441" t="inlineStr">
        <is>
          <t>Calinginan Norte</t>
        </is>
      </c>
    </row>
    <row r="5442" spans="1:1">
      <c r="A5442" t="inlineStr">
        <is>
          <t>Calinginan Sur</t>
        </is>
      </c>
    </row>
    <row r="5443" spans="1:1">
      <c r="A5443" t="inlineStr">
        <is>
          <t>Cambagui</t>
        </is>
      </c>
    </row>
    <row r="5444" spans="1:1">
      <c r="A5444" t="inlineStr">
        <is>
          <t>Ewon</t>
        </is>
      </c>
    </row>
    <row r="5445" spans="1:1">
      <c r="A5445" t="inlineStr">
        <is>
          <t>Guinob-an</t>
        </is>
      </c>
    </row>
    <row r="5446" spans="1:1">
      <c r="A5446" t="inlineStr">
        <is>
          <t>Lagtangan</t>
        </is>
      </c>
    </row>
    <row r="5447" spans="1:1">
      <c r="A5447" t="inlineStr">
        <is>
          <t>Licolico</t>
        </is>
      </c>
    </row>
    <row r="5448" spans="1:1">
      <c r="A5448" t="inlineStr">
        <is>
          <t>Lobgob</t>
        </is>
      </c>
    </row>
    <row r="5449" spans="1:1">
      <c r="A5449" t="inlineStr">
        <is>
          <t>Magsaysay</t>
        </is>
      </c>
    </row>
    <row r="5450" spans="1:1">
      <c r="A5450" t="inlineStr">
        <is>
          <t>Poblacion</t>
        </is>
      </c>
    </row>
    <row r="5451" spans="1:1">
      <c r="A5451" t="inlineStr">
        <is>
          <t>Abachanan</t>
        </is>
      </c>
    </row>
    <row r="5452" spans="1:1">
      <c r="A5452" t="inlineStr">
        <is>
          <t>Anibongan</t>
        </is>
      </c>
    </row>
    <row r="5453" spans="1:1">
      <c r="A5453" t="inlineStr">
        <is>
          <t>Bugsoc</t>
        </is>
      </c>
    </row>
    <row r="5454" spans="1:1">
      <c r="A5454" t="inlineStr">
        <is>
          <t>Cahayag</t>
        </is>
      </c>
    </row>
    <row r="5455" spans="1:1">
      <c r="A5455" t="inlineStr">
        <is>
          <t>Canlangit</t>
        </is>
      </c>
    </row>
    <row r="5456" spans="1:1">
      <c r="A5456" t="inlineStr">
        <is>
          <t>Canta-ub</t>
        </is>
      </c>
    </row>
    <row r="5457" spans="1:1">
      <c r="A5457" t="inlineStr">
        <is>
          <t>Casilay</t>
        </is>
      </c>
    </row>
    <row r="5458" spans="1:1">
      <c r="A5458" t="inlineStr">
        <is>
          <t>Danicop</t>
        </is>
      </c>
    </row>
    <row r="5459" spans="1:1">
      <c r="A5459" t="inlineStr">
        <is>
          <t>Dusita</t>
        </is>
      </c>
    </row>
    <row r="5460" spans="1:1">
      <c r="A5460" t="inlineStr">
        <is>
          <t>La Union</t>
        </is>
      </c>
    </row>
    <row r="5461" spans="1:1">
      <c r="A5461" t="inlineStr">
        <is>
          <t>Lataban</t>
        </is>
      </c>
    </row>
    <row r="5462" spans="1:1">
      <c r="A5462" t="inlineStr">
        <is>
          <t>Magsaysay</t>
        </is>
      </c>
    </row>
    <row r="5463" spans="1:1">
      <c r="A5463" t="inlineStr">
        <is>
          <t>Man-od</t>
        </is>
      </c>
    </row>
    <row r="5464" spans="1:1">
      <c r="A5464" t="inlineStr">
        <is>
          <t>Matin-ao</t>
        </is>
      </c>
    </row>
    <row r="5465" spans="1:1">
      <c r="A5465" t="inlineStr">
        <is>
          <t>Poblacion</t>
        </is>
      </c>
    </row>
    <row r="5466" spans="1:1">
      <c r="A5466" t="inlineStr">
        <is>
          <t>Salvador</t>
        </is>
      </c>
    </row>
    <row r="5467" spans="1:1">
      <c r="A5467" t="inlineStr">
        <is>
          <t>San Agustin</t>
        </is>
      </c>
    </row>
    <row r="5468" spans="1:1">
      <c r="A5468" t="inlineStr">
        <is>
          <t>San Isidro</t>
        </is>
      </c>
    </row>
    <row r="5469" spans="1:1">
      <c r="A5469" t="inlineStr">
        <is>
          <t>San Jose</t>
        </is>
      </c>
    </row>
    <row r="5470" spans="1:1">
      <c r="A5470" t="inlineStr">
        <is>
          <t>San Juan</t>
        </is>
      </c>
    </row>
    <row r="5471" spans="1:1">
      <c r="A5471" t="inlineStr">
        <is>
          <t>Santa Cruz</t>
        </is>
      </c>
    </row>
    <row r="5472" spans="1:1">
      <c r="A5472" t="inlineStr">
        <is>
          <t>Villa Garcia</t>
        </is>
      </c>
    </row>
    <row r="5473" spans="1:1">
      <c r="A5473" t="inlineStr">
        <is>
          <t>Abucay Norte</t>
        </is>
      </c>
    </row>
    <row r="5474" spans="1:1">
      <c r="A5474" t="inlineStr">
        <is>
          <t>Abucay Sur</t>
        </is>
      </c>
    </row>
    <row r="5475" spans="1:1">
      <c r="A5475" t="inlineStr">
        <is>
          <t>Badiang</t>
        </is>
      </c>
    </row>
    <row r="5476" spans="1:1">
      <c r="A5476" t="inlineStr">
        <is>
          <t>Bahaybahay</t>
        </is>
      </c>
    </row>
    <row r="5477" spans="1:1">
      <c r="A5477" t="inlineStr">
        <is>
          <t>Cambuac Norte</t>
        </is>
      </c>
    </row>
    <row r="5478" spans="1:1">
      <c r="A5478" t="inlineStr">
        <is>
          <t>Cambuac Sur</t>
        </is>
      </c>
    </row>
    <row r="5479" spans="1:1">
      <c r="A5479" t="inlineStr">
        <is>
          <t>Canagong</t>
        </is>
      </c>
    </row>
    <row r="5480" spans="1:1">
      <c r="A5480" t="inlineStr">
        <is>
          <t>Libjo</t>
        </is>
      </c>
    </row>
    <row r="5481" spans="1:1">
      <c r="A5481" t="inlineStr">
        <is>
          <t>Poblacion I</t>
        </is>
      </c>
    </row>
    <row r="5482" spans="1:1">
      <c r="A5482" t="inlineStr">
        <is>
          <t>Poblacion II</t>
        </is>
      </c>
    </row>
    <row r="5483" spans="1:1">
      <c r="A5483" t="inlineStr">
        <is>
          <t>Bagacay</t>
        </is>
      </c>
    </row>
    <row r="5484" spans="1:1">
      <c r="A5484" t="inlineStr">
        <is>
          <t>Balintawak</t>
        </is>
      </c>
    </row>
    <row r="5485" spans="1:1">
      <c r="A5485" t="inlineStr">
        <is>
          <t>Burgos</t>
        </is>
      </c>
    </row>
    <row r="5486" spans="1:1">
      <c r="A5486" t="inlineStr">
        <is>
          <t>Busalian</t>
        </is>
      </c>
    </row>
    <row r="5487" spans="1:1">
      <c r="A5487" t="inlineStr">
        <is>
          <t>Calituban</t>
        </is>
      </c>
    </row>
    <row r="5488" spans="1:1">
      <c r="A5488" t="inlineStr">
        <is>
          <t>Cataban</t>
        </is>
      </c>
    </row>
    <row r="5489" spans="1:1">
      <c r="A5489" t="inlineStr">
        <is>
          <t>Guindacpan</t>
        </is>
      </c>
    </row>
    <row r="5490" spans="1:1">
      <c r="A5490" t="inlineStr">
        <is>
          <t>Magsaysay</t>
        </is>
      </c>
    </row>
    <row r="5491" spans="1:1">
      <c r="A5491" t="inlineStr">
        <is>
          <t>Mahanay</t>
        </is>
      </c>
    </row>
    <row r="5492" spans="1:1">
      <c r="A5492" t="inlineStr">
        <is>
          <t>Nocnocan</t>
        </is>
      </c>
    </row>
    <row r="5493" spans="1:1">
      <c r="A5493" t="inlineStr">
        <is>
          <t>Poblacion</t>
        </is>
      </c>
    </row>
    <row r="5494" spans="1:1">
      <c r="A5494" t="inlineStr">
        <is>
          <t>Rizal</t>
        </is>
      </c>
    </row>
    <row r="5495" spans="1:1">
      <c r="A5495" t="inlineStr">
        <is>
          <t>Sag</t>
        </is>
      </c>
    </row>
    <row r="5496" spans="1:1">
      <c r="A5496" t="inlineStr">
        <is>
          <t>San Agustin</t>
        </is>
      </c>
    </row>
    <row r="5497" spans="1:1">
      <c r="A5497" t="inlineStr">
        <is>
          <t>San Carlos</t>
        </is>
      </c>
    </row>
    <row r="5498" spans="1:1">
      <c r="A5498" t="inlineStr">
        <is>
          <t>San Francisco</t>
        </is>
      </c>
    </row>
    <row r="5499" spans="1:1">
      <c r="A5499" t="inlineStr">
        <is>
          <t>San Isidro</t>
        </is>
      </c>
    </row>
    <row r="5500" spans="1:1">
      <c r="A5500" t="inlineStr">
        <is>
          <t>San Jose</t>
        </is>
      </c>
    </row>
    <row r="5501" spans="1:1">
      <c r="A5501" t="inlineStr">
        <is>
          <t>San Pedro</t>
        </is>
      </c>
    </row>
    <row r="5502" spans="1:1">
      <c r="A5502" t="inlineStr">
        <is>
          <t>San Roque</t>
        </is>
      </c>
    </row>
    <row r="5503" spans="1:1">
      <c r="A5503" t="inlineStr">
        <is>
          <t>Santo Niño</t>
        </is>
      </c>
    </row>
    <row r="5504" spans="1:1">
      <c r="A5504" t="inlineStr">
        <is>
          <t>Sikatuna</t>
        </is>
      </c>
    </row>
    <row r="5505" spans="1:1">
      <c r="A5505" t="inlineStr">
        <is>
          <t>Suba</t>
        </is>
      </c>
    </row>
    <row r="5506" spans="1:1">
      <c r="A5506" t="inlineStr">
        <is>
          <t>Tanghaligue</t>
        </is>
      </c>
    </row>
    <row r="5507" spans="1:1">
      <c r="A5507" t="inlineStr">
        <is>
          <t>Zamora</t>
        </is>
      </c>
    </row>
    <row r="5508" spans="1:1">
      <c r="A5508" t="inlineStr">
        <is>
          <t>Banlasan</t>
        </is>
      </c>
    </row>
    <row r="5509" spans="1:1">
      <c r="A5509" t="inlineStr">
        <is>
          <t>Bongbong</t>
        </is>
      </c>
    </row>
    <row r="5510" spans="1:1">
      <c r="A5510" t="inlineStr">
        <is>
          <t>Catoogan</t>
        </is>
      </c>
    </row>
    <row r="5511" spans="1:1">
      <c r="A5511" t="inlineStr">
        <is>
          <t>Guinobatan</t>
        </is>
      </c>
    </row>
    <row r="5512" spans="1:1">
      <c r="A5512" t="inlineStr">
        <is>
          <t>Hinlayagan Ilaud</t>
        </is>
      </c>
    </row>
    <row r="5513" spans="1:1">
      <c r="A5513" t="inlineStr">
        <is>
          <t>Hinlayagan Ilaya</t>
        </is>
      </c>
    </row>
    <row r="5514" spans="1:1">
      <c r="A5514" t="inlineStr">
        <is>
          <t>Kauswagan</t>
        </is>
      </c>
    </row>
    <row r="5515" spans="1:1">
      <c r="A5515" t="inlineStr">
        <is>
          <t>Kinan-oan</t>
        </is>
      </c>
    </row>
    <row r="5516" spans="1:1">
      <c r="A5516" t="inlineStr">
        <is>
          <t>La Union</t>
        </is>
      </c>
    </row>
    <row r="5517" spans="1:1">
      <c r="A5517" t="inlineStr">
        <is>
          <t>La Victoria</t>
        </is>
      </c>
    </row>
    <row r="5518" spans="1:1">
      <c r="A5518" t="inlineStr">
        <is>
          <t>Mabuhay Cabigohan</t>
        </is>
      </c>
    </row>
    <row r="5519" spans="1:1">
      <c r="A5519" t="inlineStr">
        <is>
          <t>Mahagbu</t>
        </is>
      </c>
    </row>
    <row r="5520" spans="1:1">
      <c r="A5520" t="inlineStr">
        <is>
          <t>Manuel M. Roxas</t>
        </is>
      </c>
    </row>
    <row r="5521" spans="1:1">
      <c r="A5521" t="inlineStr">
        <is>
          <t>Poblacion</t>
        </is>
      </c>
    </row>
    <row r="5522" spans="1:1">
      <c r="A5522" t="inlineStr">
        <is>
          <t>San Isidro</t>
        </is>
      </c>
    </row>
    <row r="5523" spans="1:1">
      <c r="A5523" t="inlineStr">
        <is>
          <t>San Vicente</t>
        </is>
      </c>
    </row>
    <row r="5524" spans="1:1">
      <c r="A5524" t="inlineStr">
        <is>
          <t>Santo Tomas</t>
        </is>
      </c>
    </row>
    <row r="5525" spans="1:1">
      <c r="A5525" t="inlineStr">
        <is>
          <t>Soom</t>
        </is>
      </c>
    </row>
    <row r="5526" spans="1:1">
      <c r="A5526" t="inlineStr">
        <is>
          <t>Tagum Norte</t>
        </is>
      </c>
    </row>
    <row r="5527" spans="1:1">
      <c r="A5527" t="inlineStr">
        <is>
          <t>Tagum Sur</t>
        </is>
      </c>
    </row>
    <row r="5528" spans="1:1">
      <c r="A5528" t="inlineStr">
        <is>
          <t>Bagongbanwa</t>
        </is>
      </c>
    </row>
    <row r="5529" spans="1:1">
      <c r="A5529" t="inlineStr">
        <is>
          <t>Banlasan</t>
        </is>
      </c>
    </row>
    <row r="5530" spans="1:1">
      <c r="A5530" t="inlineStr">
        <is>
          <t>Batasan</t>
        </is>
      </c>
    </row>
    <row r="5531" spans="1:1">
      <c r="A5531" t="inlineStr">
        <is>
          <t>Bilangbilangan</t>
        </is>
      </c>
    </row>
    <row r="5532" spans="1:1">
      <c r="A5532" t="inlineStr">
        <is>
          <t>Bosongon</t>
        </is>
      </c>
    </row>
    <row r="5533" spans="1:1">
      <c r="A5533" t="inlineStr">
        <is>
          <t>Buenos Aires</t>
        </is>
      </c>
    </row>
    <row r="5534" spans="1:1">
      <c r="A5534" t="inlineStr">
        <is>
          <t>Bunacan</t>
        </is>
      </c>
    </row>
    <row r="5535" spans="1:1">
      <c r="A5535" t="inlineStr">
        <is>
          <t>Cabulihan</t>
        </is>
      </c>
    </row>
    <row r="5536" spans="1:1">
      <c r="A5536" t="inlineStr">
        <is>
          <t>Cahayag</t>
        </is>
      </c>
    </row>
    <row r="5537" spans="1:1">
      <c r="A5537" t="inlineStr">
        <is>
          <t>Cawayanan</t>
        </is>
      </c>
    </row>
    <row r="5538" spans="1:1">
      <c r="A5538" t="inlineStr">
        <is>
          <t>Centro</t>
        </is>
      </c>
    </row>
    <row r="5539" spans="1:1">
      <c r="A5539" t="inlineStr">
        <is>
          <t>Genonocan</t>
        </is>
      </c>
    </row>
    <row r="5540" spans="1:1">
      <c r="A5540" t="inlineStr">
        <is>
          <t>Guiwanon</t>
        </is>
      </c>
    </row>
    <row r="5541" spans="1:1">
      <c r="A5541" t="inlineStr">
        <is>
          <t>Ilihan Norte</t>
        </is>
      </c>
    </row>
    <row r="5542" spans="1:1">
      <c r="A5542" t="inlineStr">
        <is>
          <t>Ilihan Sur</t>
        </is>
      </c>
    </row>
    <row r="5543" spans="1:1">
      <c r="A5543" t="inlineStr">
        <is>
          <t>Libertad</t>
        </is>
      </c>
    </row>
    <row r="5544" spans="1:1">
      <c r="A5544" t="inlineStr">
        <is>
          <t>Macaas</t>
        </is>
      </c>
    </row>
    <row r="5545" spans="1:1">
      <c r="A5545" t="inlineStr">
        <is>
          <t>Matabao</t>
        </is>
      </c>
    </row>
    <row r="5546" spans="1:1">
      <c r="A5546" t="inlineStr">
        <is>
          <t>Mocaboc Island</t>
        </is>
      </c>
    </row>
    <row r="5547" spans="1:1">
      <c r="A5547" t="inlineStr">
        <is>
          <t>Panadtaran</t>
        </is>
      </c>
    </row>
    <row r="5548" spans="1:1">
      <c r="A5548" t="inlineStr">
        <is>
          <t>Panaytayon</t>
        </is>
      </c>
    </row>
    <row r="5549" spans="1:1">
      <c r="A5549" t="inlineStr">
        <is>
          <t>Pandan</t>
        </is>
      </c>
    </row>
    <row r="5550" spans="1:1">
      <c r="A5550" t="inlineStr">
        <is>
          <t>Pangapasan</t>
        </is>
      </c>
    </row>
    <row r="5551" spans="1:1">
      <c r="A5551" t="inlineStr">
        <is>
          <t>Pinayagan Norte</t>
        </is>
      </c>
    </row>
    <row r="5552" spans="1:1">
      <c r="A5552" t="inlineStr">
        <is>
          <t>Pinayagan Sur</t>
        </is>
      </c>
    </row>
    <row r="5553" spans="1:1">
      <c r="A5553" t="inlineStr">
        <is>
          <t>Pooc Occidental</t>
        </is>
      </c>
    </row>
    <row r="5554" spans="1:1">
      <c r="A5554" t="inlineStr">
        <is>
          <t>Pooc Oriental</t>
        </is>
      </c>
    </row>
    <row r="5555" spans="1:1">
      <c r="A5555" t="inlineStr">
        <is>
          <t>Potohan</t>
        </is>
      </c>
    </row>
    <row r="5556" spans="1:1">
      <c r="A5556" t="inlineStr">
        <is>
          <t>Talenceras</t>
        </is>
      </c>
    </row>
    <row r="5557" spans="1:1">
      <c r="A5557" t="inlineStr">
        <is>
          <t>Tan-awan</t>
        </is>
      </c>
    </row>
    <row r="5558" spans="1:1">
      <c r="A5558" t="inlineStr">
        <is>
          <t>Tinangnan</t>
        </is>
      </c>
    </row>
    <row r="5559" spans="1:1">
      <c r="A5559" t="inlineStr">
        <is>
          <t>Ubay Island</t>
        </is>
      </c>
    </row>
    <row r="5560" spans="1:1">
      <c r="A5560" t="inlineStr">
        <is>
          <t>Ubojan</t>
        </is>
      </c>
    </row>
    <row r="5561" spans="1:1">
      <c r="A5561" t="inlineStr">
        <is>
          <t>Villanueva</t>
        </is>
      </c>
    </row>
    <row r="5562" spans="1:1">
      <c r="A5562" t="inlineStr">
        <is>
          <t>Achila</t>
        </is>
      </c>
    </row>
    <row r="5563" spans="1:1">
      <c r="A5563" t="inlineStr">
        <is>
          <t>Bay-ang</t>
        </is>
      </c>
    </row>
    <row r="5564" spans="1:1">
      <c r="A5564" t="inlineStr">
        <is>
          <t>Benliw</t>
        </is>
      </c>
    </row>
    <row r="5565" spans="1:1">
      <c r="A5565" t="inlineStr">
        <is>
          <t>Biabas</t>
        </is>
      </c>
    </row>
    <row r="5566" spans="1:1">
      <c r="A5566" t="inlineStr">
        <is>
          <t>Bongbong</t>
        </is>
      </c>
    </row>
    <row r="5567" spans="1:1">
      <c r="A5567" t="inlineStr">
        <is>
          <t>Bood</t>
        </is>
      </c>
    </row>
    <row r="5568" spans="1:1">
      <c r="A5568" t="inlineStr">
        <is>
          <t>Buenavista</t>
        </is>
      </c>
    </row>
    <row r="5569" spans="1:1">
      <c r="A5569" t="inlineStr">
        <is>
          <t>Bulilis</t>
        </is>
      </c>
    </row>
    <row r="5570" spans="1:1">
      <c r="A5570" t="inlineStr">
        <is>
          <t>Cagting</t>
        </is>
      </c>
    </row>
    <row r="5571" spans="1:1">
      <c r="A5571" t="inlineStr">
        <is>
          <t>Calanggaman</t>
        </is>
      </c>
    </row>
    <row r="5572" spans="1:1">
      <c r="A5572" t="inlineStr">
        <is>
          <t>California</t>
        </is>
      </c>
    </row>
    <row r="5573" spans="1:1">
      <c r="A5573" t="inlineStr">
        <is>
          <t>Camali-an</t>
        </is>
      </c>
    </row>
    <row r="5574" spans="1:1">
      <c r="A5574" t="inlineStr">
        <is>
          <t>Camambugan</t>
        </is>
      </c>
    </row>
    <row r="5575" spans="1:1">
      <c r="A5575" t="inlineStr">
        <is>
          <t>Casate</t>
        </is>
      </c>
    </row>
    <row r="5576" spans="1:1">
      <c r="A5576" t="inlineStr">
        <is>
          <t>Cuya</t>
        </is>
      </c>
    </row>
    <row r="5577" spans="1:1">
      <c r="A5577" t="inlineStr">
        <is>
          <t>Fatima</t>
        </is>
      </c>
    </row>
    <row r="5578" spans="1:1">
      <c r="A5578" t="inlineStr">
        <is>
          <t>Gabi</t>
        </is>
      </c>
    </row>
    <row r="5579" spans="1:1">
      <c r="A5579" t="inlineStr">
        <is>
          <t>Governor Boyles</t>
        </is>
      </c>
    </row>
    <row r="5580" spans="1:1">
      <c r="A5580" t="inlineStr">
        <is>
          <t>Guintabo-an</t>
        </is>
      </c>
    </row>
    <row r="5581" spans="1:1">
      <c r="A5581" t="inlineStr">
        <is>
          <t>Hambabauran</t>
        </is>
      </c>
    </row>
    <row r="5582" spans="1:1">
      <c r="A5582" t="inlineStr">
        <is>
          <t>Humayhumay</t>
        </is>
      </c>
    </row>
    <row r="5583" spans="1:1">
      <c r="A5583" t="inlineStr">
        <is>
          <t>Ilihan</t>
        </is>
      </c>
    </row>
    <row r="5584" spans="1:1">
      <c r="A5584" t="inlineStr">
        <is>
          <t>Imelda</t>
        </is>
      </c>
    </row>
    <row r="5585" spans="1:1">
      <c r="A5585" t="inlineStr">
        <is>
          <t>Juagdan</t>
        </is>
      </c>
    </row>
    <row r="5586" spans="1:1">
      <c r="A5586" t="inlineStr">
        <is>
          <t>Katarungan</t>
        </is>
      </c>
    </row>
    <row r="5587" spans="1:1">
      <c r="A5587" t="inlineStr">
        <is>
          <t>Lomangog</t>
        </is>
      </c>
    </row>
    <row r="5588" spans="1:1">
      <c r="A5588" t="inlineStr">
        <is>
          <t>Los Angeles</t>
        </is>
      </c>
    </row>
    <row r="5589" spans="1:1">
      <c r="A5589" t="inlineStr">
        <is>
          <t>Pag-asa</t>
        </is>
      </c>
    </row>
    <row r="5590" spans="1:1">
      <c r="A5590" t="inlineStr">
        <is>
          <t>Pangpang</t>
        </is>
      </c>
    </row>
    <row r="5591" spans="1:1">
      <c r="A5591" t="inlineStr">
        <is>
          <t>Poblacion</t>
        </is>
      </c>
    </row>
    <row r="5592" spans="1:1">
      <c r="A5592" t="inlineStr">
        <is>
          <t>San Francisco</t>
        </is>
      </c>
    </row>
    <row r="5593" spans="1:1">
      <c r="A5593" t="inlineStr">
        <is>
          <t>San Isidro</t>
        </is>
      </c>
    </row>
    <row r="5594" spans="1:1">
      <c r="A5594" t="inlineStr">
        <is>
          <t>San Pascual</t>
        </is>
      </c>
    </row>
    <row r="5595" spans="1:1">
      <c r="A5595" t="inlineStr">
        <is>
          <t>San Vicente</t>
        </is>
      </c>
    </row>
    <row r="5596" spans="1:1">
      <c r="A5596" t="inlineStr">
        <is>
          <t>Sentinila</t>
        </is>
      </c>
    </row>
    <row r="5597" spans="1:1">
      <c r="A5597" t="inlineStr">
        <is>
          <t>Sinandigan</t>
        </is>
      </c>
    </row>
    <row r="5598" spans="1:1">
      <c r="A5598" t="inlineStr">
        <is>
          <t>Tapal</t>
        </is>
      </c>
    </row>
    <row r="5599" spans="1:1">
      <c r="A5599" t="inlineStr">
        <is>
          <t>Tapon</t>
        </is>
      </c>
    </row>
    <row r="5600" spans="1:1">
      <c r="A5600" t="inlineStr">
        <is>
          <t>Tintinan</t>
        </is>
      </c>
    </row>
    <row r="5601" spans="1:1">
      <c r="A5601" t="inlineStr">
        <is>
          <t>Tipolo</t>
        </is>
      </c>
    </row>
    <row r="5602" spans="1:1">
      <c r="A5602" t="inlineStr">
        <is>
          <t>Tubog</t>
        </is>
      </c>
    </row>
    <row r="5603" spans="1:1">
      <c r="A5603" t="inlineStr">
        <is>
          <t>Tuboran</t>
        </is>
      </c>
    </row>
    <row r="5604" spans="1:1">
      <c r="A5604" t="inlineStr">
        <is>
          <t>Union</t>
        </is>
      </c>
    </row>
    <row r="5605" spans="1:1">
      <c r="A5605" t="inlineStr">
        <is>
          <t>Villa Teresita</t>
        </is>
      </c>
    </row>
    <row r="5606" spans="1:1">
      <c r="A5606" t="inlineStr">
        <is>
          <t>Adlawan</t>
        </is>
      </c>
    </row>
    <row r="5607" spans="1:1">
      <c r="A5607" t="inlineStr">
        <is>
          <t>Anas</t>
        </is>
      </c>
    </row>
    <row r="5608" spans="1:1">
      <c r="A5608" t="inlineStr">
        <is>
          <t>Anonang</t>
        </is>
      </c>
    </row>
    <row r="5609" spans="1:1">
      <c r="A5609" t="inlineStr">
        <is>
          <t>Anoyon</t>
        </is>
      </c>
    </row>
    <row r="5610" spans="1:1">
      <c r="A5610" t="inlineStr">
        <is>
          <t>Balingasao</t>
        </is>
      </c>
    </row>
    <row r="5611" spans="1:1">
      <c r="A5611" t="inlineStr">
        <is>
          <t>Banderahan</t>
        </is>
      </c>
    </row>
    <row r="5612" spans="1:1">
      <c r="A5612" t="inlineStr">
        <is>
          <t>Botong</t>
        </is>
      </c>
    </row>
    <row r="5613" spans="1:1">
      <c r="A5613" t="inlineStr">
        <is>
          <t>Buyog</t>
        </is>
      </c>
    </row>
    <row r="5614" spans="1:1">
      <c r="A5614" t="inlineStr">
        <is>
          <t>Canduao Occidental</t>
        </is>
      </c>
    </row>
    <row r="5615" spans="1:1">
      <c r="A5615" t="inlineStr">
        <is>
          <t>Canduao Oriental</t>
        </is>
      </c>
    </row>
    <row r="5616" spans="1:1">
      <c r="A5616" t="inlineStr">
        <is>
          <t>Canlusong</t>
        </is>
      </c>
    </row>
    <row r="5617" spans="1:1">
      <c r="A5617" t="inlineStr">
        <is>
          <t>Canmanico</t>
        </is>
      </c>
    </row>
    <row r="5618" spans="1:1">
      <c r="A5618" t="inlineStr">
        <is>
          <t>Cansibao</t>
        </is>
      </c>
    </row>
    <row r="5619" spans="1:1">
      <c r="A5619" t="inlineStr">
        <is>
          <t>Catug-a</t>
        </is>
      </c>
    </row>
    <row r="5620" spans="1:1">
      <c r="A5620" t="inlineStr">
        <is>
          <t>Cutcutan</t>
        </is>
      </c>
    </row>
    <row r="5621" spans="1:1">
      <c r="A5621" t="inlineStr">
        <is>
          <t>Danao</t>
        </is>
      </c>
    </row>
    <row r="5622" spans="1:1">
      <c r="A5622" t="inlineStr">
        <is>
          <t>Genoveva</t>
        </is>
      </c>
    </row>
    <row r="5623" spans="1:1">
      <c r="A5623" t="inlineStr">
        <is>
          <t>Ginopolan</t>
        </is>
      </c>
    </row>
    <row r="5624" spans="1:1">
      <c r="A5624" t="inlineStr">
        <is>
          <t>La Victoria</t>
        </is>
      </c>
    </row>
    <row r="5625" spans="1:1">
      <c r="A5625" t="inlineStr">
        <is>
          <t>Lantang</t>
        </is>
      </c>
    </row>
    <row r="5626" spans="1:1">
      <c r="A5626" t="inlineStr">
        <is>
          <t>Limocon</t>
        </is>
      </c>
    </row>
    <row r="5627" spans="1:1">
      <c r="A5627" t="inlineStr">
        <is>
          <t>Loctob</t>
        </is>
      </c>
    </row>
    <row r="5628" spans="1:1">
      <c r="A5628" t="inlineStr">
        <is>
          <t>Magsaysay</t>
        </is>
      </c>
    </row>
    <row r="5629" spans="1:1">
      <c r="A5629" t="inlineStr">
        <is>
          <t>Marawis</t>
        </is>
      </c>
    </row>
    <row r="5630" spans="1:1">
      <c r="A5630" t="inlineStr">
        <is>
          <t>Maubo</t>
        </is>
      </c>
    </row>
    <row r="5631" spans="1:1">
      <c r="A5631" t="inlineStr">
        <is>
          <t>Nailo</t>
        </is>
      </c>
    </row>
    <row r="5632" spans="1:1">
      <c r="A5632" t="inlineStr">
        <is>
          <t>Omjon</t>
        </is>
      </c>
    </row>
    <row r="5633" spans="1:1">
      <c r="A5633" t="inlineStr">
        <is>
          <t>Pangi-an</t>
        </is>
      </c>
    </row>
    <row r="5634" spans="1:1">
      <c r="A5634" t="inlineStr">
        <is>
          <t>Poblacion Occidental</t>
        </is>
      </c>
    </row>
    <row r="5635" spans="1:1">
      <c r="A5635" t="inlineStr">
        <is>
          <t>Poblacion Oriental</t>
        </is>
      </c>
    </row>
    <row r="5636" spans="1:1">
      <c r="A5636" t="inlineStr">
        <is>
          <t>Simang</t>
        </is>
      </c>
    </row>
    <row r="5637" spans="1:1">
      <c r="A5637" t="inlineStr">
        <is>
          <t>Taug</t>
        </is>
      </c>
    </row>
    <row r="5638" spans="1:1">
      <c r="A5638" t="inlineStr">
        <is>
          <t>Tausion</t>
        </is>
      </c>
    </row>
    <row r="5639" spans="1:1">
      <c r="A5639" t="inlineStr">
        <is>
          <t>Taytay</t>
        </is>
      </c>
    </row>
    <row r="5640" spans="1:1">
      <c r="A5640" t="inlineStr">
        <is>
          <t>Ticum</t>
        </is>
      </c>
    </row>
    <row r="5641" spans="1:1">
      <c r="A5641" t="inlineStr">
        <is>
          <t>Balintad</t>
        </is>
      </c>
    </row>
    <row r="5642" spans="1:1">
      <c r="A5642" t="inlineStr">
        <is>
          <t>Buenavista</t>
        </is>
      </c>
    </row>
    <row r="5643" spans="1:1">
      <c r="A5643" t="inlineStr">
        <is>
          <t>Danatag</t>
        </is>
      </c>
    </row>
    <row r="5644" spans="1:1">
      <c r="A5644" t="inlineStr">
        <is>
          <t>Imbatug</t>
        </is>
      </c>
    </row>
    <row r="5645" spans="1:1">
      <c r="A5645" t="inlineStr">
        <is>
          <t>Kalilangan</t>
        </is>
      </c>
    </row>
    <row r="5646" spans="1:1">
      <c r="A5646" t="inlineStr">
        <is>
          <t>Lacolac</t>
        </is>
      </c>
    </row>
    <row r="5647" spans="1:1">
      <c r="A5647" t="inlineStr">
        <is>
          <t>Langaon</t>
        </is>
      </c>
    </row>
    <row r="5648" spans="1:1">
      <c r="A5648" t="inlineStr">
        <is>
          <t>Liboran</t>
        </is>
      </c>
    </row>
    <row r="5649" spans="1:1">
      <c r="A5649" t="inlineStr">
        <is>
          <t>Lingating</t>
        </is>
      </c>
    </row>
    <row r="5650" spans="1:1">
      <c r="A5650" t="inlineStr">
        <is>
          <t>Mabuhay</t>
        </is>
      </c>
    </row>
    <row r="5651" spans="1:1">
      <c r="A5651" t="inlineStr">
        <is>
          <t>Mabunga</t>
        </is>
      </c>
    </row>
    <row r="5652" spans="1:1">
      <c r="A5652" t="inlineStr">
        <is>
          <t>Nicdao</t>
        </is>
      </c>
    </row>
    <row r="5653" spans="1:1">
      <c r="A5653" t="inlineStr">
        <is>
          <t>Pualas</t>
        </is>
      </c>
    </row>
    <row r="5654" spans="1:1">
      <c r="A5654" t="inlineStr">
        <is>
          <t>Salimbalan</t>
        </is>
      </c>
    </row>
    <row r="5655" spans="1:1">
      <c r="A5655" t="inlineStr">
        <is>
          <t>San Miguel</t>
        </is>
      </c>
    </row>
    <row r="5656" spans="1:1">
      <c r="A5656" t="inlineStr">
        <is>
          <t>San Vicente</t>
        </is>
      </c>
    </row>
    <row r="5657" spans="1:1">
      <c r="A5657" t="inlineStr">
        <is>
          <t>Anlogan</t>
        </is>
      </c>
    </row>
    <row r="5658" spans="1:1">
      <c r="A5658" t="inlineStr">
        <is>
          <t>Cabulohan</t>
        </is>
      </c>
    </row>
    <row r="5659" spans="1:1">
      <c r="A5659" t="inlineStr">
        <is>
          <t>Canangaan</t>
        </is>
      </c>
    </row>
    <row r="5660" spans="1:1">
      <c r="A5660" t="inlineStr">
        <is>
          <t>Capinonan</t>
        </is>
      </c>
    </row>
    <row r="5661" spans="1:1">
      <c r="A5661" t="inlineStr">
        <is>
          <t>Dalacutan</t>
        </is>
      </c>
    </row>
    <row r="5662" spans="1:1">
      <c r="A5662" t="inlineStr">
        <is>
          <t>Freedom</t>
        </is>
      </c>
    </row>
    <row r="5663" spans="1:1">
      <c r="A5663" t="inlineStr">
        <is>
          <t>Iba</t>
        </is>
      </c>
    </row>
    <row r="5664" spans="1:1">
      <c r="A5664" t="inlineStr">
        <is>
          <t>Imbatug</t>
        </is>
      </c>
    </row>
    <row r="5665" spans="1:1">
      <c r="A5665" t="inlineStr">
        <is>
          <t>Jasaan</t>
        </is>
      </c>
    </row>
    <row r="5666" spans="1:1">
      <c r="A5666" t="inlineStr">
        <is>
          <t>Lambagan</t>
        </is>
      </c>
    </row>
    <row r="5667" spans="1:1">
      <c r="A5667" t="inlineStr">
        <is>
          <t>Mandahikan</t>
        </is>
      </c>
    </row>
    <row r="5668" spans="1:1">
      <c r="A5668" t="inlineStr">
        <is>
          <t>Mandaing</t>
        </is>
      </c>
    </row>
    <row r="5669" spans="1:1">
      <c r="A5669" t="inlineStr">
        <is>
          <t>Mauswagon</t>
        </is>
      </c>
    </row>
    <row r="5670" spans="1:1">
      <c r="A5670" t="inlineStr">
        <is>
          <t>Paradise</t>
        </is>
      </c>
    </row>
    <row r="5671" spans="1:1">
      <c r="A5671" t="inlineStr">
        <is>
          <t>Poblacion</t>
        </is>
      </c>
    </row>
    <row r="5672" spans="1:1">
      <c r="A5672" t="inlineStr">
        <is>
          <t>Aglayan</t>
        </is>
      </c>
    </row>
    <row r="5673" spans="1:1">
      <c r="A5673" t="inlineStr">
        <is>
          <t>Apo Macote</t>
        </is>
      </c>
    </row>
    <row r="5674" spans="1:1">
      <c r="A5674" t="inlineStr">
        <is>
          <t>Bangcud</t>
        </is>
      </c>
    </row>
    <row r="5675" spans="1:1">
      <c r="A5675" t="inlineStr">
        <is>
          <t>Barangay 1</t>
        </is>
      </c>
    </row>
    <row r="5676" spans="1:1">
      <c r="A5676" t="inlineStr">
        <is>
          <t>Barangay 10</t>
        </is>
      </c>
    </row>
    <row r="5677" spans="1:1">
      <c r="A5677" t="inlineStr">
        <is>
          <t>Barangay 11</t>
        </is>
      </c>
    </row>
    <row r="5678" spans="1:1">
      <c r="A5678" t="inlineStr">
        <is>
          <t>Barangay 2</t>
        </is>
      </c>
    </row>
    <row r="5679" spans="1:1">
      <c r="A5679" t="inlineStr">
        <is>
          <t>Barangay 3</t>
        </is>
      </c>
    </row>
    <row r="5680" spans="1:1">
      <c r="A5680" t="inlineStr">
        <is>
          <t>Barangay 4</t>
        </is>
      </c>
    </row>
    <row r="5681" spans="1:1">
      <c r="A5681" t="inlineStr">
        <is>
          <t>Barangay 5</t>
        </is>
      </c>
    </row>
    <row r="5682" spans="1:1">
      <c r="A5682" t="inlineStr">
        <is>
          <t>Barangay 6</t>
        </is>
      </c>
    </row>
    <row r="5683" spans="1:1">
      <c r="A5683" t="inlineStr">
        <is>
          <t>Barangay 7</t>
        </is>
      </c>
    </row>
    <row r="5684" spans="1:1">
      <c r="A5684" t="inlineStr">
        <is>
          <t>Barangay 8</t>
        </is>
      </c>
    </row>
    <row r="5685" spans="1:1">
      <c r="A5685" t="inlineStr">
        <is>
          <t>Barangay 9</t>
        </is>
      </c>
    </row>
    <row r="5686" spans="1:1">
      <c r="A5686" t="inlineStr">
        <is>
          <t>Busdi</t>
        </is>
      </c>
    </row>
    <row r="5687" spans="1:1">
      <c r="A5687" t="inlineStr">
        <is>
          <t>Cabangahan</t>
        </is>
      </c>
    </row>
    <row r="5688" spans="1:1">
      <c r="A5688" t="inlineStr">
        <is>
          <t>Caburacanan</t>
        </is>
      </c>
    </row>
    <row r="5689" spans="1:1">
      <c r="A5689" t="inlineStr">
        <is>
          <t>Canayan</t>
        </is>
      </c>
    </row>
    <row r="5690" spans="1:1">
      <c r="A5690" t="inlineStr">
        <is>
          <t>Capitan Angel</t>
        </is>
      </c>
    </row>
    <row r="5691" spans="1:1">
      <c r="A5691" t="inlineStr">
        <is>
          <t>Casisang</t>
        </is>
      </c>
    </row>
    <row r="5692" spans="1:1">
      <c r="A5692" t="inlineStr">
        <is>
          <t>Dalwangan</t>
        </is>
      </c>
    </row>
    <row r="5693" spans="1:1">
      <c r="A5693" t="inlineStr">
        <is>
          <t>Imbayao</t>
        </is>
      </c>
    </row>
    <row r="5694" spans="1:1">
      <c r="A5694" t="inlineStr">
        <is>
          <t>Indalasa</t>
        </is>
      </c>
    </row>
    <row r="5695" spans="1:1">
      <c r="A5695" t="inlineStr">
        <is>
          <t>Kalasungay</t>
        </is>
      </c>
    </row>
    <row r="5696" spans="1:1">
      <c r="A5696" t="inlineStr">
        <is>
          <t>Kibalabag</t>
        </is>
      </c>
    </row>
    <row r="5697" spans="1:1">
      <c r="A5697" t="inlineStr">
        <is>
          <t>Kulaman</t>
        </is>
      </c>
    </row>
    <row r="5698" spans="1:1">
      <c r="A5698" t="inlineStr">
        <is>
          <t>Laguitas</t>
        </is>
      </c>
    </row>
    <row r="5699" spans="1:1">
      <c r="A5699" t="inlineStr">
        <is>
          <t>Linabo</t>
        </is>
      </c>
    </row>
    <row r="5700" spans="1:1">
      <c r="A5700" t="inlineStr">
        <is>
          <t>Magsaysay</t>
        </is>
      </c>
    </row>
    <row r="5701" spans="1:1">
      <c r="A5701" t="inlineStr">
        <is>
          <t>Maligaya</t>
        </is>
      </c>
    </row>
    <row r="5702" spans="1:1">
      <c r="A5702" t="inlineStr">
        <is>
          <t>Managok</t>
        </is>
      </c>
    </row>
    <row r="5703" spans="1:1">
      <c r="A5703" t="inlineStr">
        <is>
          <t>Manalog</t>
        </is>
      </c>
    </row>
    <row r="5704" spans="1:1">
      <c r="A5704" t="inlineStr">
        <is>
          <t>Mapayag</t>
        </is>
      </c>
    </row>
    <row r="5705" spans="1:1">
      <c r="A5705" t="inlineStr">
        <is>
          <t>Mapulo</t>
        </is>
      </c>
    </row>
    <row r="5706" spans="1:1">
      <c r="A5706" t="inlineStr">
        <is>
          <t>Miglamin</t>
        </is>
      </c>
    </row>
    <row r="5707" spans="1:1">
      <c r="A5707" t="inlineStr">
        <is>
          <t>Patpat</t>
        </is>
      </c>
    </row>
    <row r="5708" spans="1:1">
      <c r="A5708" t="inlineStr">
        <is>
          <t>San Jose</t>
        </is>
      </c>
    </row>
    <row r="5709" spans="1:1">
      <c r="A5709" t="inlineStr">
        <is>
          <t>San Martin</t>
        </is>
      </c>
    </row>
    <row r="5710" spans="1:1">
      <c r="A5710" t="inlineStr">
        <is>
          <t>Silae</t>
        </is>
      </c>
    </row>
    <row r="5711" spans="1:1">
      <c r="A5711" t="inlineStr">
        <is>
          <t>Simaya</t>
        </is>
      </c>
    </row>
    <row r="5712" spans="1:1">
      <c r="A5712" t="inlineStr">
        <is>
          <t>Sinanglanan</t>
        </is>
      </c>
    </row>
    <row r="5713" spans="1:1">
      <c r="A5713" t="inlineStr">
        <is>
          <t>St. Peter</t>
        </is>
      </c>
    </row>
    <row r="5714" spans="1:1">
      <c r="A5714" t="inlineStr">
        <is>
          <t>Sto. Niño</t>
        </is>
      </c>
    </row>
    <row r="5715" spans="1:1">
      <c r="A5715" t="inlineStr">
        <is>
          <t>Sumpong</t>
        </is>
      </c>
    </row>
    <row r="5716" spans="1:1">
      <c r="A5716" t="inlineStr">
        <is>
          <t>Violeta</t>
        </is>
      </c>
    </row>
    <row r="5717" spans="1:1">
      <c r="A5717" t="inlineStr">
        <is>
          <t>Zamboanguita</t>
        </is>
      </c>
    </row>
    <row r="5718" spans="1:1">
      <c r="A5718" t="inlineStr">
        <is>
          <t>Bagontaas</t>
        </is>
      </c>
    </row>
    <row r="5719" spans="1:1">
      <c r="A5719" t="inlineStr">
        <is>
          <t>Banlag</t>
        </is>
      </c>
    </row>
    <row r="5720" spans="1:1">
      <c r="A5720" t="inlineStr">
        <is>
          <t>Barobo</t>
        </is>
      </c>
    </row>
    <row r="5721" spans="1:1">
      <c r="A5721" t="inlineStr">
        <is>
          <t>Batangan</t>
        </is>
      </c>
    </row>
    <row r="5722" spans="1:1">
      <c r="A5722" t="inlineStr">
        <is>
          <t>Catumbalon</t>
        </is>
      </c>
    </row>
    <row r="5723" spans="1:1">
      <c r="A5723" t="inlineStr">
        <is>
          <t>Colonia</t>
        </is>
      </c>
    </row>
    <row r="5724" spans="1:1">
      <c r="A5724" t="inlineStr">
        <is>
          <t>Concepcion</t>
        </is>
      </c>
    </row>
    <row r="5725" spans="1:1">
      <c r="A5725" t="inlineStr">
        <is>
          <t>Dagat-Kidavao</t>
        </is>
      </c>
    </row>
    <row r="5726" spans="1:1">
      <c r="A5726" t="inlineStr">
        <is>
          <t>Guinoyuran</t>
        </is>
      </c>
    </row>
    <row r="5727" spans="1:1">
      <c r="A5727" t="inlineStr">
        <is>
          <t>Kahaponan</t>
        </is>
      </c>
    </row>
    <row r="5728" spans="1:1">
      <c r="A5728" t="inlineStr">
        <is>
          <t>Laligan</t>
        </is>
      </c>
    </row>
    <row r="5729" spans="1:1">
      <c r="A5729" t="inlineStr">
        <is>
          <t>Lilingayon</t>
        </is>
      </c>
    </row>
    <row r="5730" spans="1:1">
      <c r="A5730" t="inlineStr">
        <is>
          <t>Lourdes</t>
        </is>
      </c>
    </row>
    <row r="5731" spans="1:1">
      <c r="A5731" t="inlineStr">
        <is>
          <t>Lumbayao</t>
        </is>
      </c>
    </row>
    <row r="5732" spans="1:1">
      <c r="A5732" t="inlineStr">
        <is>
          <t>Lumbo</t>
        </is>
      </c>
    </row>
    <row r="5733" spans="1:1">
      <c r="A5733" t="inlineStr">
        <is>
          <t>Lurugan</t>
        </is>
      </c>
    </row>
    <row r="5734" spans="1:1">
      <c r="A5734" t="inlineStr">
        <is>
          <t>Maapag</t>
        </is>
      </c>
    </row>
    <row r="5735" spans="1:1">
      <c r="A5735" t="inlineStr">
        <is>
          <t>Mabuhay</t>
        </is>
      </c>
    </row>
    <row r="5736" spans="1:1">
      <c r="A5736" t="inlineStr">
        <is>
          <t>Mailag</t>
        </is>
      </c>
    </row>
    <row r="5737" spans="1:1">
      <c r="A5737" t="inlineStr">
        <is>
          <t>Mt. Nebo</t>
        </is>
      </c>
    </row>
    <row r="5738" spans="1:1">
      <c r="A5738" t="inlineStr">
        <is>
          <t>Nabag-o</t>
        </is>
      </c>
    </row>
    <row r="5739" spans="1:1">
      <c r="A5739" t="inlineStr">
        <is>
          <t>Pinatilan</t>
        </is>
      </c>
    </row>
    <row r="5740" spans="1:1">
      <c r="A5740" t="inlineStr">
        <is>
          <t>Poblacion</t>
        </is>
      </c>
    </row>
    <row r="5741" spans="1:1">
      <c r="A5741" t="inlineStr">
        <is>
          <t>San Carlos</t>
        </is>
      </c>
    </row>
    <row r="5742" spans="1:1">
      <c r="A5742" t="inlineStr">
        <is>
          <t>San Isidro</t>
        </is>
      </c>
    </row>
    <row r="5743" spans="1:1">
      <c r="A5743" t="inlineStr">
        <is>
          <t>Sinabuagan</t>
        </is>
      </c>
    </row>
    <row r="5744" spans="1:1">
      <c r="A5744" t="inlineStr">
        <is>
          <t>Sinayawan</t>
        </is>
      </c>
    </row>
    <row r="5745" spans="1:1">
      <c r="A5745" t="inlineStr">
        <is>
          <t>Sugod</t>
        </is>
      </c>
    </row>
    <row r="5746" spans="1:1">
      <c r="A5746" t="inlineStr">
        <is>
          <t>Tongantongan</t>
        </is>
      </c>
    </row>
    <row r="5747" spans="1:1">
      <c r="A5747" t="inlineStr">
        <is>
          <t>Tugaya</t>
        </is>
      </c>
    </row>
    <row r="5748" spans="1:1">
      <c r="A5748" t="inlineStr">
        <is>
          <t>Vintar</t>
        </is>
      </c>
    </row>
    <row r="5749" spans="1:1">
      <c r="A5749" t="inlineStr">
        <is>
          <t>Aludas</t>
        </is>
      </c>
    </row>
    <row r="5750" spans="1:1">
      <c r="A5750" t="inlineStr">
        <is>
          <t>Angga-an</t>
        </is>
      </c>
    </row>
    <row r="5751" spans="1:1">
      <c r="A5751" t="inlineStr">
        <is>
          <t>Kinapat</t>
        </is>
      </c>
    </row>
    <row r="5752" spans="1:1">
      <c r="A5752" t="inlineStr">
        <is>
          <t>Kiraon</t>
        </is>
      </c>
    </row>
    <row r="5753" spans="1:1">
      <c r="A5753" t="inlineStr">
        <is>
          <t>Kitingting</t>
        </is>
      </c>
    </row>
    <row r="5754" spans="1:1">
      <c r="A5754" t="inlineStr">
        <is>
          <t>Lagandang</t>
        </is>
      </c>
    </row>
    <row r="5755" spans="1:1">
      <c r="A5755" t="inlineStr">
        <is>
          <t>Macapari</t>
        </is>
      </c>
    </row>
    <row r="5756" spans="1:1">
      <c r="A5756" t="inlineStr">
        <is>
          <t>Maican</t>
        </is>
      </c>
    </row>
    <row r="5757" spans="1:1">
      <c r="A5757" t="inlineStr">
        <is>
          <t>Migcawayan</t>
        </is>
      </c>
    </row>
    <row r="5758" spans="1:1">
      <c r="A5758" t="inlineStr">
        <is>
          <t>New Compostela</t>
        </is>
      </c>
    </row>
    <row r="5759" spans="1:1">
      <c r="A5759" t="inlineStr">
        <is>
          <t>Old Damulog</t>
        </is>
      </c>
    </row>
    <row r="5760" spans="1:1">
      <c r="A5760" t="inlineStr">
        <is>
          <t>Omonay</t>
        </is>
      </c>
    </row>
    <row r="5761" spans="1:1">
      <c r="A5761" t="inlineStr">
        <is>
          <t>Poblacion</t>
        </is>
      </c>
    </row>
    <row r="5762" spans="1:1">
      <c r="A5762" t="inlineStr">
        <is>
          <t>Pocopoco</t>
        </is>
      </c>
    </row>
    <row r="5763" spans="1:1">
      <c r="A5763" t="inlineStr">
        <is>
          <t>Sampagar</t>
        </is>
      </c>
    </row>
    <row r="5764" spans="1:1">
      <c r="A5764" t="inlineStr">
        <is>
          <t>San Isidro</t>
        </is>
      </c>
    </row>
    <row r="5765" spans="1:1">
      <c r="A5765" t="inlineStr">
        <is>
          <t>Tangkulan</t>
        </is>
      </c>
    </row>
    <row r="5766" spans="1:1">
      <c r="A5766" t="inlineStr">
        <is>
          <t>Barongcot</t>
        </is>
      </c>
    </row>
    <row r="5767" spans="1:1">
      <c r="A5767" t="inlineStr">
        <is>
          <t>Bugwak</t>
        </is>
      </c>
    </row>
    <row r="5768" spans="1:1">
      <c r="A5768" t="inlineStr">
        <is>
          <t>Dolorosa</t>
        </is>
      </c>
    </row>
    <row r="5769" spans="1:1">
      <c r="A5769" t="inlineStr">
        <is>
          <t>Kapalaran</t>
        </is>
      </c>
    </row>
    <row r="5770" spans="1:1">
      <c r="A5770" t="inlineStr">
        <is>
          <t>Kianggat</t>
        </is>
      </c>
    </row>
    <row r="5771" spans="1:1">
      <c r="A5771" t="inlineStr">
        <is>
          <t>Lourdes</t>
        </is>
      </c>
    </row>
    <row r="5772" spans="1:1">
      <c r="A5772" t="inlineStr">
        <is>
          <t>Macarthur</t>
        </is>
      </c>
    </row>
    <row r="5773" spans="1:1">
      <c r="A5773" t="inlineStr">
        <is>
          <t>Miaray</t>
        </is>
      </c>
    </row>
    <row r="5774" spans="1:1">
      <c r="A5774" t="inlineStr">
        <is>
          <t>Migcuya</t>
        </is>
      </c>
    </row>
    <row r="5775" spans="1:1">
      <c r="A5775" t="inlineStr">
        <is>
          <t>New Visayas</t>
        </is>
      </c>
    </row>
    <row r="5776" spans="1:1">
      <c r="A5776" t="inlineStr">
        <is>
          <t>Osmeña</t>
        </is>
      </c>
    </row>
    <row r="5777" spans="1:1">
      <c r="A5777" t="inlineStr">
        <is>
          <t>Poblacion</t>
        </is>
      </c>
    </row>
    <row r="5778" spans="1:1">
      <c r="A5778" t="inlineStr">
        <is>
          <t>Sagbayan</t>
        </is>
      </c>
    </row>
    <row r="5779" spans="1:1">
      <c r="A5779" t="inlineStr">
        <is>
          <t>San Vicente</t>
        </is>
      </c>
    </row>
    <row r="5780" spans="1:1">
      <c r="A5780" t="inlineStr">
        <is>
          <t>Bismartz</t>
        </is>
      </c>
    </row>
    <row r="5781" spans="1:1">
      <c r="A5781" t="inlineStr">
        <is>
          <t>Bocboc</t>
        </is>
      </c>
    </row>
    <row r="5782" spans="1:1">
      <c r="A5782" t="inlineStr">
        <is>
          <t>Buyot</t>
        </is>
      </c>
    </row>
    <row r="5783" spans="1:1">
      <c r="A5783" t="inlineStr">
        <is>
          <t>Cabadiangan</t>
        </is>
      </c>
    </row>
    <row r="5784" spans="1:1">
      <c r="A5784" t="inlineStr">
        <is>
          <t>Calaocalao</t>
        </is>
      </c>
    </row>
    <row r="5785" spans="1:1">
      <c r="A5785" t="inlineStr">
        <is>
          <t>Don Carlos Norte</t>
        </is>
      </c>
    </row>
    <row r="5786" spans="1:1">
      <c r="A5786" t="inlineStr">
        <is>
          <t>Don Carlos Sur</t>
        </is>
      </c>
    </row>
    <row r="5787" spans="1:1">
      <c r="A5787" t="inlineStr">
        <is>
          <t>Embayao</t>
        </is>
      </c>
    </row>
    <row r="5788" spans="1:1">
      <c r="A5788" t="inlineStr">
        <is>
          <t>Kalubihon</t>
        </is>
      </c>
    </row>
    <row r="5789" spans="1:1">
      <c r="A5789" t="inlineStr">
        <is>
          <t>Kasigkot</t>
        </is>
      </c>
    </row>
    <row r="5790" spans="1:1">
      <c r="A5790" t="inlineStr">
        <is>
          <t>Kawilihan</t>
        </is>
      </c>
    </row>
    <row r="5791" spans="1:1">
      <c r="A5791" t="inlineStr">
        <is>
          <t>Kiara</t>
        </is>
      </c>
    </row>
    <row r="5792" spans="1:1">
      <c r="A5792" t="inlineStr">
        <is>
          <t>Kibatang</t>
        </is>
      </c>
    </row>
    <row r="5793" spans="1:1">
      <c r="A5793" t="inlineStr">
        <is>
          <t>Mahayahay</t>
        </is>
      </c>
    </row>
    <row r="5794" spans="1:1">
      <c r="A5794" t="inlineStr">
        <is>
          <t>Manlamonay</t>
        </is>
      </c>
    </row>
    <row r="5795" spans="1:1">
      <c r="A5795" t="inlineStr">
        <is>
          <t>Maraymaray</t>
        </is>
      </c>
    </row>
    <row r="5796" spans="1:1">
      <c r="A5796" t="inlineStr">
        <is>
          <t>Mauswagon</t>
        </is>
      </c>
    </row>
    <row r="5797" spans="1:1">
      <c r="A5797" t="inlineStr">
        <is>
          <t>Minsalagan</t>
        </is>
      </c>
    </row>
    <row r="5798" spans="1:1">
      <c r="A5798" t="inlineStr">
        <is>
          <t>New Nongnongan</t>
        </is>
      </c>
    </row>
    <row r="5799" spans="1:1">
      <c r="A5799" t="inlineStr">
        <is>
          <t>New Visayas</t>
        </is>
      </c>
    </row>
    <row r="5800" spans="1:1">
      <c r="A5800" t="inlineStr">
        <is>
          <t>Old Nongnongan</t>
        </is>
      </c>
    </row>
    <row r="5801" spans="1:1">
      <c r="A5801" t="inlineStr">
        <is>
          <t>Pinamaloy</t>
        </is>
      </c>
    </row>
    <row r="5802" spans="1:1">
      <c r="A5802" t="inlineStr">
        <is>
          <t>Pualas</t>
        </is>
      </c>
    </row>
    <row r="5803" spans="1:1">
      <c r="A5803" t="inlineStr">
        <is>
          <t>San Antonio East</t>
        </is>
      </c>
    </row>
    <row r="5804" spans="1:1">
      <c r="A5804" t="inlineStr">
        <is>
          <t>San Antonio West</t>
        </is>
      </c>
    </row>
    <row r="5805" spans="1:1">
      <c r="A5805" t="inlineStr">
        <is>
          <t>San Francisco</t>
        </is>
      </c>
    </row>
    <row r="5806" spans="1:1">
      <c r="A5806" t="inlineStr">
        <is>
          <t>San Nicolas</t>
        </is>
      </c>
    </row>
    <row r="5807" spans="1:1">
      <c r="A5807" t="inlineStr">
        <is>
          <t>San Roque</t>
        </is>
      </c>
    </row>
    <row r="5808" spans="1:1">
      <c r="A5808" t="inlineStr">
        <is>
          <t>Sinangguyan</t>
        </is>
      </c>
    </row>
    <row r="5809" spans="1:1">
      <c r="A5809" t="inlineStr">
        <is>
          <t>Bontongon</t>
        </is>
      </c>
    </row>
    <row r="5810" spans="1:1">
      <c r="A5810" t="inlineStr">
        <is>
          <t>Bulonay</t>
        </is>
      </c>
    </row>
    <row r="5811" spans="1:1">
      <c r="A5811" t="inlineStr">
        <is>
          <t>Capitan Bayong</t>
        </is>
      </c>
    </row>
    <row r="5812" spans="1:1">
      <c r="A5812" t="inlineStr">
        <is>
          <t>Cawayan</t>
        </is>
      </c>
    </row>
    <row r="5813" spans="1:1">
      <c r="A5813" t="inlineStr">
        <is>
          <t>Dumalaguing</t>
        </is>
      </c>
    </row>
    <row r="5814" spans="1:1">
      <c r="A5814" t="inlineStr">
        <is>
          <t>Guihean</t>
        </is>
      </c>
    </row>
    <row r="5815" spans="1:1">
      <c r="A5815" t="inlineStr">
        <is>
          <t>Hagpa</t>
        </is>
      </c>
    </row>
    <row r="5816" spans="1:1">
      <c r="A5816" t="inlineStr">
        <is>
          <t>Impalutao</t>
        </is>
      </c>
    </row>
    <row r="5817" spans="1:1">
      <c r="A5817" t="inlineStr">
        <is>
          <t>Kalabugao</t>
        </is>
      </c>
    </row>
    <row r="5818" spans="1:1">
      <c r="A5818" t="inlineStr">
        <is>
          <t>Kibenton</t>
        </is>
      </c>
    </row>
    <row r="5819" spans="1:1">
      <c r="A5819" t="inlineStr">
        <is>
          <t>La Fortuna</t>
        </is>
      </c>
    </row>
    <row r="5820" spans="1:1">
      <c r="A5820" t="inlineStr">
        <is>
          <t>Poblacion</t>
        </is>
      </c>
    </row>
    <row r="5821" spans="1:1">
      <c r="A5821" t="inlineStr">
        <is>
          <t>Sayawan</t>
        </is>
      </c>
    </row>
    <row r="5822" spans="1:1">
      <c r="A5822" t="inlineStr">
        <is>
          <t>Bagongbayan</t>
        </is>
      </c>
    </row>
    <row r="5823" spans="1:1">
      <c r="A5823" t="inlineStr">
        <is>
          <t>Bagor</t>
        </is>
      </c>
    </row>
    <row r="5824" spans="1:1">
      <c r="A5824" t="inlineStr">
        <is>
          <t>Balaoro</t>
        </is>
      </c>
    </row>
    <row r="5825" spans="1:1">
      <c r="A5825" t="inlineStr">
        <is>
          <t>Baroy</t>
        </is>
      </c>
    </row>
    <row r="5826" spans="1:1">
      <c r="A5826" t="inlineStr">
        <is>
          <t>Cabadiangan</t>
        </is>
      </c>
    </row>
    <row r="5827" spans="1:1">
      <c r="A5827" t="inlineStr">
        <is>
          <t>Husayan</t>
        </is>
      </c>
    </row>
    <row r="5828" spans="1:1">
      <c r="A5828" t="inlineStr">
        <is>
          <t>Kibalagon</t>
        </is>
      </c>
    </row>
    <row r="5829" spans="1:1">
      <c r="A5829" t="inlineStr">
        <is>
          <t>Kibogtok</t>
        </is>
      </c>
    </row>
    <row r="5830" spans="1:1">
      <c r="A5830" t="inlineStr">
        <is>
          <t>Mabuhay</t>
        </is>
      </c>
    </row>
    <row r="5831" spans="1:1">
      <c r="A5831" t="inlineStr">
        <is>
          <t>Malinao</t>
        </is>
      </c>
    </row>
    <row r="5832" spans="1:1">
      <c r="A5832" t="inlineStr">
        <is>
          <t>Matampay</t>
        </is>
      </c>
    </row>
    <row r="5833" spans="1:1">
      <c r="A5833" t="inlineStr">
        <is>
          <t>Pay-as</t>
        </is>
      </c>
    </row>
    <row r="5834" spans="1:1">
      <c r="A5834" t="inlineStr">
        <is>
          <t>Pinamanguhan</t>
        </is>
      </c>
    </row>
    <row r="5835" spans="1:1">
      <c r="A5835" t="inlineStr">
        <is>
          <t>Poblacion</t>
        </is>
      </c>
    </row>
    <row r="5836" spans="1:1">
      <c r="A5836" t="inlineStr">
        <is>
          <t>Salvacion</t>
        </is>
      </c>
    </row>
    <row r="5837" spans="1:1">
      <c r="A5837" t="inlineStr">
        <is>
          <t>San Andres</t>
        </is>
      </c>
    </row>
    <row r="5838" spans="1:1">
      <c r="A5838" t="inlineStr">
        <is>
          <t>Sibonga</t>
        </is>
      </c>
    </row>
    <row r="5839" spans="1:1">
      <c r="A5839" t="inlineStr">
        <is>
          <t>Bangbang</t>
        </is>
      </c>
    </row>
    <row r="5840" spans="1:1">
      <c r="A5840" t="inlineStr">
        <is>
          <t>Barorawon</t>
        </is>
      </c>
    </row>
    <row r="5841" spans="1:1">
      <c r="A5841" t="inlineStr">
        <is>
          <t>Canituan</t>
        </is>
      </c>
    </row>
    <row r="5842" spans="1:1">
      <c r="A5842" t="inlineStr">
        <is>
          <t>Kibaning</t>
        </is>
      </c>
    </row>
    <row r="5843" spans="1:1">
      <c r="A5843" t="inlineStr">
        <is>
          <t>Kinura</t>
        </is>
      </c>
    </row>
    <row r="5844" spans="1:1">
      <c r="A5844" t="inlineStr">
        <is>
          <t>Lampanusan</t>
        </is>
      </c>
    </row>
    <row r="5845" spans="1:1">
      <c r="A5845" t="inlineStr">
        <is>
          <t>Macaopao</t>
        </is>
      </c>
    </row>
    <row r="5846" spans="1:1">
      <c r="A5846" t="inlineStr">
        <is>
          <t>Malinao</t>
        </is>
      </c>
    </row>
    <row r="5847" spans="1:1">
      <c r="A5847" t="inlineStr">
        <is>
          <t>Ninoy Aquino</t>
        </is>
      </c>
    </row>
    <row r="5848" spans="1:1">
      <c r="A5848" t="inlineStr">
        <is>
          <t>Pamotolon</t>
        </is>
      </c>
    </row>
    <row r="5849" spans="1:1">
      <c r="A5849" t="inlineStr">
        <is>
          <t>Poblacion</t>
        </is>
      </c>
    </row>
    <row r="5850" spans="1:1">
      <c r="A5850" t="inlineStr">
        <is>
          <t>Public</t>
        </is>
      </c>
    </row>
    <row r="5851" spans="1:1">
      <c r="A5851" t="inlineStr">
        <is>
          <t>San Vicente Ferrer</t>
        </is>
      </c>
    </row>
    <row r="5852" spans="1:1">
      <c r="A5852" t="inlineStr">
        <is>
          <t>West Poblacion</t>
        </is>
      </c>
    </row>
    <row r="5853" spans="1:1">
      <c r="A5853" t="inlineStr">
        <is>
          <t>Balintawak</t>
        </is>
      </c>
    </row>
    <row r="5854" spans="1:1">
      <c r="A5854" t="inlineStr">
        <is>
          <t>Bukang Liwayway</t>
        </is>
      </c>
    </row>
    <row r="5855" spans="1:1">
      <c r="A5855" t="inlineStr">
        <is>
          <t>Cagawasan</t>
        </is>
      </c>
    </row>
    <row r="5856" spans="1:1">
      <c r="A5856" t="inlineStr">
        <is>
          <t>East Kibawe</t>
        </is>
      </c>
    </row>
    <row r="5857" spans="1:1">
      <c r="A5857" t="inlineStr">
        <is>
          <t>Gutapol</t>
        </is>
      </c>
    </row>
    <row r="5858" spans="1:1">
      <c r="A5858" t="inlineStr">
        <is>
          <t>Kiorao</t>
        </is>
      </c>
    </row>
    <row r="5859" spans="1:1">
      <c r="A5859" t="inlineStr">
        <is>
          <t>Kisawa</t>
        </is>
      </c>
    </row>
    <row r="5860" spans="1:1">
      <c r="A5860" t="inlineStr">
        <is>
          <t>Labuagon</t>
        </is>
      </c>
    </row>
    <row r="5861" spans="1:1">
      <c r="A5861" t="inlineStr">
        <is>
          <t>Magsaysay</t>
        </is>
      </c>
    </row>
    <row r="5862" spans="1:1">
      <c r="A5862" t="inlineStr">
        <is>
          <t>Marapangi</t>
        </is>
      </c>
    </row>
    <row r="5863" spans="1:1">
      <c r="A5863" t="inlineStr">
        <is>
          <t>Mascariñas</t>
        </is>
      </c>
    </row>
    <row r="5864" spans="1:1">
      <c r="A5864" t="inlineStr">
        <is>
          <t>Natulongan</t>
        </is>
      </c>
    </row>
    <row r="5865" spans="1:1">
      <c r="A5865" t="inlineStr">
        <is>
          <t>New Kidapawan</t>
        </is>
      </c>
    </row>
    <row r="5866" spans="1:1">
      <c r="A5866" t="inlineStr">
        <is>
          <t>Old Kibawe</t>
        </is>
      </c>
    </row>
    <row r="5867" spans="1:1">
      <c r="A5867" t="inlineStr">
        <is>
          <t>Palma</t>
        </is>
      </c>
    </row>
    <row r="5868" spans="1:1">
      <c r="A5868" t="inlineStr">
        <is>
          <t>Pinamula</t>
        </is>
      </c>
    </row>
    <row r="5869" spans="1:1">
      <c r="A5869" t="inlineStr">
        <is>
          <t>Romagooc</t>
        </is>
      </c>
    </row>
    <row r="5870" spans="1:1">
      <c r="A5870" t="inlineStr">
        <is>
          <t>Sampaguita</t>
        </is>
      </c>
    </row>
    <row r="5871" spans="1:1">
      <c r="A5871" t="inlineStr">
        <is>
          <t>Sanipon</t>
        </is>
      </c>
    </row>
    <row r="5872" spans="1:1">
      <c r="A5872" t="inlineStr">
        <is>
          <t>Spring</t>
        </is>
      </c>
    </row>
    <row r="5873" spans="1:1">
      <c r="A5873" t="inlineStr">
        <is>
          <t>Talahiron</t>
        </is>
      </c>
    </row>
    <row r="5874" spans="1:1">
      <c r="A5874" t="inlineStr">
        <is>
          <t>Tumaras</t>
        </is>
      </c>
    </row>
    <row r="5875" spans="1:1">
      <c r="A5875" t="inlineStr">
        <is>
          <t>West Kibawe</t>
        </is>
      </c>
    </row>
    <row r="5876" spans="1:1">
      <c r="A5876" t="inlineStr">
        <is>
          <t>Balangigay</t>
        </is>
      </c>
    </row>
    <row r="5877" spans="1:1">
      <c r="A5877" t="inlineStr">
        <is>
          <t>Balocbocan</t>
        </is>
      </c>
    </row>
    <row r="5878" spans="1:1">
      <c r="A5878" t="inlineStr">
        <is>
          <t>Bershiba</t>
        </is>
      </c>
    </row>
    <row r="5879" spans="1:1">
      <c r="A5879" t="inlineStr">
        <is>
          <t>Binoongan</t>
        </is>
      </c>
    </row>
    <row r="5880" spans="1:1">
      <c r="A5880" t="inlineStr">
        <is>
          <t>Bobong</t>
        </is>
      </c>
    </row>
    <row r="5881" spans="1:1">
      <c r="A5881" t="inlineStr">
        <is>
          <t>Bolocaon</t>
        </is>
      </c>
    </row>
    <row r="5882" spans="1:1">
      <c r="A5882" t="inlineStr">
        <is>
          <t>Cabalantian</t>
        </is>
      </c>
    </row>
    <row r="5883" spans="1:1">
      <c r="A5883" t="inlineStr">
        <is>
          <t>Calapaton</t>
        </is>
      </c>
    </row>
    <row r="5884" spans="1:1">
      <c r="A5884" t="inlineStr">
        <is>
          <t>Digongan</t>
        </is>
      </c>
    </row>
    <row r="5885" spans="1:1">
      <c r="A5885" t="inlineStr">
        <is>
          <t>East Dalurong</t>
        </is>
      </c>
    </row>
    <row r="5886" spans="1:1">
      <c r="A5886" t="inlineStr">
        <is>
          <t>Kahusayan</t>
        </is>
      </c>
    </row>
    <row r="5887" spans="1:1">
      <c r="A5887" t="inlineStr">
        <is>
          <t>Kalumihan</t>
        </is>
      </c>
    </row>
    <row r="5888" spans="1:1">
      <c r="A5888" t="inlineStr">
        <is>
          <t>Kauyonan</t>
        </is>
      </c>
    </row>
    <row r="5889" spans="1:1">
      <c r="A5889" t="inlineStr">
        <is>
          <t>Kimolong</t>
        </is>
      </c>
    </row>
    <row r="5890" spans="1:1">
      <c r="A5890" t="inlineStr">
        <is>
          <t>Kipilas</t>
        </is>
      </c>
    </row>
    <row r="5891" spans="1:1">
      <c r="A5891" t="inlineStr">
        <is>
          <t>Kitaihon</t>
        </is>
      </c>
    </row>
    <row r="5892" spans="1:1">
      <c r="A5892" t="inlineStr">
        <is>
          <t>Kitobo</t>
        </is>
      </c>
    </row>
    <row r="5893" spans="1:1">
      <c r="A5893" t="inlineStr">
        <is>
          <t>Kiulom</t>
        </is>
      </c>
    </row>
    <row r="5894" spans="1:1">
      <c r="A5894" t="inlineStr">
        <is>
          <t>Magsaysay</t>
        </is>
      </c>
    </row>
    <row r="5895" spans="1:1">
      <c r="A5895" t="inlineStr">
        <is>
          <t>Malobalo</t>
        </is>
      </c>
    </row>
    <row r="5896" spans="1:1">
      <c r="A5896" t="inlineStr">
        <is>
          <t>Metebagao</t>
        </is>
      </c>
    </row>
    <row r="5897" spans="1:1">
      <c r="A5897" t="inlineStr">
        <is>
          <t>Napalico</t>
        </is>
      </c>
    </row>
    <row r="5898" spans="1:1">
      <c r="A5898" t="inlineStr">
        <is>
          <t>Pagan</t>
        </is>
      </c>
    </row>
    <row r="5899" spans="1:1">
      <c r="A5899" t="inlineStr">
        <is>
          <t>Panganan</t>
        </is>
      </c>
    </row>
    <row r="5900" spans="1:1">
      <c r="A5900" t="inlineStr">
        <is>
          <t>Poblacion</t>
        </is>
      </c>
    </row>
    <row r="5901" spans="1:1">
      <c r="A5901" t="inlineStr">
        <is>
          <t>Sagundanon</t>
        </is>
      </c>
    </row>
    <row r="5902" spans="1:1">
      <c r="A5902" t="inlineStr">
        <is>
          <t>San Isidro</t>
        </is>
      </c>
    </row>
    <row r="5903" spans="1:1">
      <c r="A5903" t="inlineStr">
        <is>
          <t>San Lorenzo</t>
        </is>
      </c>
    </row>
    <row r="5904" spans="1:1">
      <c r="A5904" t="inlineStr">
        <is>
          <t>Sinaysayan</t>
        </is>
      </c>
    </row>
    <row r="5905" spans="1:1">
      <c r="A5905" t="inlineStr">
        <is>
          <t>Sinuda</t>
        </is>
      </c>
    </row>
    <row r="5906" spans="1:1">
      <c r="A5906" t="inlineStr">
        <is>
          <t>Sto. Rosario</t>
        </is>
      </c>
    </row>
    <row r="5907" spans="1:1">
      <c r="A5907" t="inlineStr">
        <is>
          <t>Tandong</t>
        </is>
      </c>
    </row>
    <row r="5908" spans="1:1">
      <c r="A5908" t="inlineStr">
        <is>
          <t>Tawas</t>
        </is>
      </c>
    </row>
    <row r="5909" spans="1:1">
      <c r="A5909" t="inlineStr">
        <is>
          <t>West Dalurong</t>
        </is>
      </c>
    </row>
    <row r="5910" spans="1:1">
      <c r="A5910" t="inlineStr">
        <is>
          <t>White Kulaman</t>
        </is>
      </c>
    </row>
    <row r="5911" spans="1:1">
      <c r="A5911" t="inlineStr">
        <is>
          <t>Alanib</t>
        </is>
      </c>
    </row>
    <row r="5912" spans="1:1">
      <c r="A5912" t="inlineStr">
        <is>
          <t>Baclayon</t>
        </is>
      </c>
    </row>
    <row r="5913" spans="1:1">
      <c r="A5913" t="inlineStr">
        <is>
          <t>Balila</t>
        </is>
      </c>
    </row>
    <row r="5914" spans="1:1">
      <c r="A5914" t="inlineStr">
        <is>
          <t>Bantuanon</t>
        </is>
      </c>
    </row>
    <row r="5915" spans="1:1">
      <c r="A5915" t="inlineStr">
        <is>
          <t>Basak</t>
        </is>
      </c>
    </row>
    <row r="5916" spans="1:1">
      <c r="A5916" t="inlineStr">
        <is>
          <t>Bugcaon</t>
        </is>
      </c>
    </row>
    <row r="5917" spans="1:1">
      <c r="A5917" t="inlineStr">
        <is>
          <t>Capitan Juan</t>
        </is>
      </c>
    </row>
    <row r="5918" spans="1:1">
      <c r="A5918" t="inlineStr">
        <is>
          <t>Cawayan</t>
        </is>
      </c>
    </row>
    <row r="5919" spans="1:1">
      <c r="A5919" t="inlineStr">
        <is>
          <t>Ka-atoan</t>
        </is>
      </c>
    </row>
    <row r="5920" spans="1:1">
      <c r="A5920" t="inlineStr">
        <is>
          <t>Kibangay</t>
        </is>
      </c>
    </row>
    <row r="5921" spans="1:1">
      <c r="A5921" t="inlineStr">
        <is>
          <t>Kulasihan</t>
        </is>
      </c>
    </row>
    <row r="5922" spans="1:1">
      <c r="A5922" t="inlineStr">
        <is>
          <t>Poblacion</t>
        </is>
      </c>
    </row>
    <row r="5923" spans="1:1">
      <c r="A5923" t="inlineStr">
        <is>
          <t>Songco</t>
        </is>
      </c>
    </row>
    <row r="5924" spans="1:1">
      <c r="A5924" t="inlineStr">
        <is>
          <t>Victory</t>
        </is>
      </c>
    </row>
    <row r="5925" spans="1:1">
      <c r="A5925" t="inlineStr">
        <is>
          <t>Capihan</t>
        </is>
      </c>
    </row>
    <row r="5926" spans="1:1">
      <c r="A5926" t="inlineStr">
        <is>
          <t>Crossing</t>
        </is>
      </c>
    </row>
    <row r="5927" spans="1:1">
      <c r="A5927" t="inlineStr">
        <is>
          <t>Gango</t>
        </is>
      </c>
    </row>
    <row r="5928" spans="1:1">
      <c r="A5928" t="inlineStr">
        <is>
          <t>Kiliog</t>
        </is>
      </c>
    </row>
    <row r="5929" spans="1:1">
      <c r="A5929" t="inlineStr">
        <is>
          <t>Kinawe</t>
        </is>
      </c>
    </row>
    <row r="5930" spans="1:1">
      <c r="A5930" t="inlineStr">
        <is>
          <t>Laturan</t>
        </is>
      </c>
    </row>
    <row r="5931" spans="1:1">
      <c r="A5931" t="inlineStr">
        <is>
          <t>Maambong</t>
        </is>
      </c>
    </row>
    <row r="5932" spans="1:1">
      <c r="A5932" t="inlineStr">
        <is>
          <t>Nangka</t>
        </is>
      </c>
    </row>
    <row r="5933" spans="1:1">
      <c r="A5933" t="inlineStr">
        <is>
          <t>Palabucan</t>
        </is>
      </c>
    </row>
    <row r="5934" spans="1:1">
      <c r="A5934" t="inlineStr">
        <is>
          <t>Poblacion</t>
        </is>
      </c>
    </row>
    <row r="5935" spans="1:1">
      <c r="A5935" t="inlineStr">
        <is>
          <t>Pongol</t>
        </is>
      </c>
    </row>
    <row r="5936" spans="1:1">
      <c r="A5936" t="inlineStr">
        <is>
          <t>San Jose</t>
        </is>
      </c>
    </row>
    <row r="5937" spans="1:1">
      <c r="A5937" t="inlineStr">
        <is>
          <t>Santa Fe</t>
        </is>
      </c>
    </row>
    <row r="5938" spans="1:1">
      <c r="A5938" t="inlineStr">
        <is>
          <t>Sil-ipon</t>
        </is>
      </c>
    </row>
    <row r="5939" spans="1:1">
      <c r="A5939" t="inlineStr">
        <is>
          <t>Kalingking</t>
        </is>
      </c>
    </row>
    <row r="5940" spans="1:1">
      <c r="A5940" t="inlineStr">
        <is>
          <t>Kiabo</t>
        </is>
      </c>
    </row>
    <row r="5941" spans="1:1">
      <c r="A5941" t="inlineStr">
        <is>
          <t>Mindagat</t>
        </is>
      </c>
    </row>
    <row r="5942" spans="1:1">
      <c r="A5942" t="inlineStr">
        <is>
          <t>Omagling</t>
        </is>
      </c>
    </row>
    <row r="5943" spans="1:1">
      <c r="A5943" t="inlineStr">
        <is>
          <t>Patpat</t>
        </is>
      </c>
    </row>
    <row r="5944" spans="1:1">
      <c r="A5944" t="inlineStr">
        <is>
          <t>Poblacion</t>
        </is>
      </c>
    </row>
    <row r="5945" spans="1:1">
      <c r="A5945" t="inlineStr">
        <is>
          <t>Sampiano</t>
        </is>
      </c>
    </row>
    <row r="5946" spans="1:1">
      <c r="A5946" t="inlineStr">
        <is>
          <t>San Luis</t>
        </is>
      </c>
    </row>
    <row r="5947" spans="1:1">
      <c r="A5947" t="inlineStr">
        <is>
          <t>Silo-o</t>
        </is>
      </c>
    </row>
    <row r="5948" spans="1:1">
      <c r="A5948" t="inlineStr">
        <is>
          <t>Sta. Ines</t>
        </is>
      </c>
    </row>
    <row r="5949" spans="1:1">
      <c r="A5949" t="inlineStr">
        <is>
          <t>Sumalsag</t>
        </is>
      </c>
    </row>
    <row r="5950" spans="1:1">
      <c r="A5950" t="inlineStr">
        <is>
          <t>Agusan Canyon</t>
        </is>
      </c>
    </row>
    <row r="5951" spans="1:1">
      <c r="A5951" t="inlineStr">
        <is>
          <t>Alae</t>
        </is>
      </c>
    </row>
    <row r="5952" spans="1:1">
      <c r="A5952" t="inlineStr">
        <is>
          <t>Dahilayan</t>
        </is>
      </c>
    </row>
    <row r="5953" spans="1:1">
      <c r="A5953" t="inlineStr">
        <is>
          <t>Dalirig</t>
        </is>
      </c>
    </row>
    <row r="5954" spans="1:1">
      <c r="A5954" t="inlineStr">
        <is>
          <t>Damilag</t>
        </is>
      </c>
    </row>
    <row r="5955" spans="1:1">
      <c r="A5955" t="inlineStr">
        <is>
          <t>Diclum</t>
        </is>
      </c>
    </row>
    <row r="5956" spans="1:1">
      <c r="A5956" t="inlineStr">
        <is>
          <t>Guilang-guilang</t>
        </is>
      </c>
    </row>
    <row r="5957" spans="1:1">
      <c r="A5957" t="inlineStr">
        <is>
          <t>Kalugmanan</t>
        </is>
      </c>
    </row>
    <row r="5958" spans="1:1">
      <c r="A5958" t="inlineStr">
        <is>
          <t>Lindaban</t>
        </is>
      </c>
    </row>
    <row r="5959" spans="1:1">
      <c r="A5959" t="inlineStr">
        <is>
          <t>Lingion</t>
        </is>
      </c>
    </row>
    <row r="5960" spans="1:1">
      <c r="A5960" t="inlineStr">
        <is>
          <t>Lunocan</t>
        </is>
      </c>
    </row>
    <row r="5961" spans="1:1">
      <c r="A5961" t="inlineStr">
        <is>
          <t>Maluko</t>
        </is>
      </c>
    </row>
    <row r="5962" spans="1:1">
      <c r="A5962" t="inlineStr">
        <is>
          <t>Mambatangan</t>
        </is>
      </c>
    </row>
    <row r="5963" spans="1:1">
      <c r="A5963" t="inlineStr">
        <is>
          <t>Mampayag</t>
        </is>
      </c>
    </row>
    <row r="5964" spans="1:1">
      <c r="A5964" t="inlineStr">
        <is>
          <t>Mantibugao</t>
        </is>
      </c>
    </row>
    <row r="5965" spans="1:1">
      <c r="A5965" t="inlineStr">
        <is>
          <t>Minsuro</t>
        </is>
      </c>
    </row>
    <row r="5966" spans="1:1">
      <c r="A5966" t="inlineStr">
        <is>
          <t>San Miguel</t>
        </is>
      </c>
    </row>
    <row r="5967" spans="1:1">
      <c r="A5967" t="inlineStr">
        <is>
          <t>Sankanan</t>
        </is>
      </c>
    </row>
    <row r="5968" spans="1:1">
      <c r="A5968" t="inlineStr">
        <is>
          <t>Santiago</t>
        </is>
      </c>
    </row>
    <row r="5969" spans="1:1">
      <c r="A5969" t="inlineStr">
        <is>
          <t>Sto. Niño</t>
        </is>
      </c>
    </row>
    <row r="5970" spans="1:1">
      <c r="A5970" t="inlineStr">
        <is>
          <t>Tankulan</t>
        </is>
      </c>
    </row>
    <row r="5971" spans="1:1">
      <c r="A5971" t="inlineStr">
        <is>
          <t>Ticala</t>
        </is>
      </c>
    </row>
    <row r="5972" spans="1:1">
      <c r="A5972" t="inlineStr">
        <is>
          <t>Anahawon</t>
        </is>
      </c>
    </row>
    <row r="5973" spans="1:1">
      <c r="A5973" t="inlineStr">
        <is>
          <t>Bagongsilang</t>
        </is>
      </c>
    </row>
    <row r="5974" spans="1:1">
      <c r="A5974" t="inlineStr">
        <is>
          <t>Base Camp</t>
        </is>
      </c>
    </row>
    <row r="5975" spans="1:1">
      <c r="A5975" t="inlineStr">
        <is>
          <t>Bayabason</t>
        </is>
      </c>
    </row>
    <row r="5976" spans="1:1">
      <c r="A5976" t="inlineStr">
        <is>
          <t>Camp I</t>
        </is>
      </c>
    </row>
    <row r="5977" spans="1:1">
      <c r="A5977" t="inlineStr">
        <is>
          <t>Colambugan</t>
        </is>
      </c>
    </row>
    <row r="5978" spans="1:1">
      <c r="A5978" t="inlineStr">
        <is>
          <t>Dagumba-an</t>
        </is>
      </c>
    </row>
    <row r="5979" spans="1:1">
      <c r="A5979" t="inlineStr">
        <is>
          <t>Danggawan</t>
        </is>
      </c>
    </row>
    <row r="5980" spans="1:1">
      <c r="A5980" t="inlineStr">
        <is>
          <t>Dologon</t>
        </is>
      </c>
    </row>
    <row r="5981" spans="1:1">
      <c r="A5981" t="inlineStr">
        <is>
          <t>Kiharong</t>
        </is>
      </c>
    </row>
    <row r="5982" spans="1:1">
      <c r="A5982" t="inlineStr">
        <is>
          <t>Kisanday</t>
        </is>
      </c>
    </row>
    <row r="5983" spans="1:1">
      <c r="A5983" t="inlineStr">
        <is>
          <t>Kuya</t>
        </is>
      </c>
    </row>
    <row r="5984" spans="1:1">
      <c r="A5984" t="inlineStr">
        <is>
          <t>La Roxas</t>
        </is>
      </c>
    </row>
    <row r="5985" spans="1:1">
      <c r="A5985" t="inlineStr">
        <is>
          <t>North Poblacion</t>
        </is>
      </c>
    </row>
    <row r="5986" spans="1:1">
      <c r="A5986" t="inlineStr">
        <is>
          <t>Panadtalan</t>
        </is>
      </c>
    </row>
    <row r="5987" spans="1:1">
      <c r="A5987" t="inlineStr">
        <is>
          <t>Panalsalan</t>
        </is>
      </c>
    </row>
    <row r="5988" spans="1:1">
      <c r="A5988" t="inlineStr">
        <is>
          <t>San Miguel</t>
        </is>
      </c>
    </row>
    <row r="5989" spans="1:1">
      <c r="A5989" t="inlineStr">
        <is>
          <t>San Roque</t>
        </is>
      </c>
    </row>
    <row r="5990" spans="1:1">
      <c r="A5990" t="inlineStr">
        <is>
          <t>South Poblacion</t>
        </is>
      </c>
    </row>
    <row r="5991" spans="1:1">
      <c r="A5991" t="inlineStr">
        <is>
          <t>Tubigon</t>
        </is>
      </c>
    </row>
    <row r="5992" spans="1:1">
      <c r="A5992" t="inlineStr">
        <is>
          <t>Adtuyon</t>
        </is>
      </c>
    </row>
    <row r="5993" spans="1:1">
      <c r="A5993" t="inlineStr">
        <is>
          <t>Bacusanon</t>
        </is>
      </c>
    </row>
    <row r="5994" spans="1:1">
      <c r="A5994" t="inlineStr">
        <is>
          <t>Bangahan</t>
        </is>
      </c>
    </row>
    <row r="5995" spans="1:1">
      <c r="A5995" t="inlineStr">
        <is>
          <t>Barandias</t>
        </is>
      </c>
    </row>
    <row r="5996" spans="1:1">
      <c r="A5996" t="inlineStr">
        <is>
          <t>Concepcion</t>
        </is>
      </c>
    </row>
    <row r="5997" spans="1:1">
      <c r="A5997" t="inlineStr">
        <is>
          <t>Gandingan</t>
        </is>
      </c>
    </row>
    <row r="5998" spans="1:1">
      <c r="A5998" t="inlineStr">
        <is>
          <t>Kimanait</t>
        </is>
      </c>
    </row>
    <row r="5999" spans="1:1">
      <c r="A5999" t="inlineStr">
        <is>
          <t>Kipadukan</t>
        </is>
      </c>
    </row>
    <row r="6000" spans="1:1">
      <c r="A6000" t="inlineStr">
        <is>
          <t>Langcataon</t>
        </is>
      </c>
    </row>
    <row r="6001" spans="1:1">
      <c r="A6001" t="inlineStr">
        <is>
          <t>Lantay</t>
        </is>
      </c>
    </row>
    <row r="6002" spans="1:1">
      <c r="A6002" t="inlineStr">
        <is>
          <t>Madaya</t>
        </is>
      </c>
    </row>
    <row r="6003" spans="1:1">
      <c r="A6003" t="inlineStr">
        <is>
          <t>Malipayon</t>
        </is>
      </c>
    </row>
    <row r="6004" spans="1:1">
      <c r="A6004" t="inlineStr">
        <is>
          <t>Mendis</t>
        </is>
      </c>
    </row>
    <row r="6005" spans="1:1">
      <c r="A6005" t="inlineStr">
        <is>
          <t>Nabaliwa</t>
        </is>
      </c>
    </row>
    <row r="6006" spans="1:1">
      <c r="A6006" t="inlineStr">
        <is>
          <t>New Eden</t>
        </is>
      </c>
    </row>
    <row r="6007" spans="1:1">
      <c r="A6007" t="inlineStr">
        <is>
          <t>Payad</t>
        </is>
      </c>
    </row>
    <row r="6008" spans="1:1">
      <c r="A6008" t="inlineStr">
        <is>
          <t>Pigtauranan</t>
        </is>
      </c>
    </row>
    <row r="6009" spans="1:1">
      <c r="A6009" t="inlineStr">
        <is>
          <t>Poblacion</t>
        </is>
      </c>
    </row>
    <row r="6010" spans="1:1">
      <c r="A6010" t="inlineStr">
        <is>
          <t>Portulin</t>
        </is>
      </c>
    </row>
    <row r="6011" spans="1:1">
      <c r="A6011" t="inlineStr">
        <is>
          <t>Butong</t>
        </is>
      </c>
    </row>
    <row r="6012" spans="1:1">
      <c r="A6012" t="inlineStr">
        <is>
          <t>C-Handumanan</t>
        </is>
      </c>
    </row>
    <row r="6013" spans="1:1">
      <c r="A6013" t="inlineStr">
        <is>
          <t>Cawayan</t>
        </is>
      </c>
    </row>
    <row r="6014" spans="1:1">
      <c r="A6014" t="inlineStr">
        <is>
          <t>Cebole</t>
        </is>
      </c>
    </row>
    <row r="6015" spans="1:1">
      <c r="A6015" t="inlineStr">
        <is>
          <t>Delapa</t>
        </is>
      </c>
    </row>
    <row r="6016" spans="1:1">
      <c r="A6016" t="inlineStr">
        <is>
          <t>Dumalama</t>
        </is>
      </c>
    </row>
    <row r="6017" spans="1:1">
      <c r="A6017" t="inlineStr">
        <is>
          <t>Kiburiao</t>
        </is>
      </c>
    </row>
    <row r="6018" spans="1:1">
      <c r="A6018" t="inlineStr">
        <is>
          <t>Kipaypayon</t>
        </is>
      </c>
    </row>
    <row r="6019" spans="1:1">
      <c r="A6019" t="inlineStr">
        <is>
          <t>Libertad</t>
        </is>
      </c>
    </row>
    <row r="6020" spans="1:1">
      <c r="A6020" t="inlineStr">
        <is>
          <t>Linabo</t>
        </is>
      </c>
    </row>
    <row r="6021" spans="1:1">
      <c r="A6021" t="inlineStr">
        <is>
          <t>Lipa</t>
        </is>
      </c>
    </row>
    <row r="6022" spans="1:1">
      <c r="A6022" t="inlineStr">
        <is>
          <t>Lumintao</t>
        </is>
      </c>
    </row>
    <row r="6023" spans="1:1">
      <c r="A6023" t="inlineStr">
        <is>
          <t>Magsaysay</t>
        </is>
      </c>
    </row>
    <row r="6024" spans="1:1">
      <c r="A6024" t="inlineStr">
        <is>
          <t>Mahayag</t>
        </is>
      </c>
    </row>
    <row r="6025" spans="1:1">
      <c r="A6025" t="inlineStr">
        <is>
          <t>Manuto</t>
        </is>
      </c>
    </row>
    <row r="6026" spans="1:1">
      <c r="A6026" t="inlineStr">
        <is>
          <t>Merangeran</t>
        </is>
      </c>
    </row>
    <row r="6027" spans="1:1">
      <c r="A6027" t="inlineStr">
        <is>
          <t>Mibantang</t>
        </is>
      </c>
    </row>
    <row r="6028" spans="1:1">
      <c r="A6028" t="inlineStr">
        <is>
          <t>Minongan</t>
        </is>
      </c>
    </row>
    <row r="6029" spans="1:1">
      <c r="A6029" t="inlineStr">
        <is>
          <t>Minsalirak</t>
        </is>
      </c>
    </row>
    <row r="6030" spans="1:1">
      <c r="A6030" t="inlineStr">
        <is>
          <t>Minsamongan</t>
        </is>
      </c>
    </row>
    <row r="6031" spans="1:1">
      <c r="A6031" t="inlineStr">
        <is>
          <t>Paitan</t>
        </is>
      </c>
    </row>
    <row r="6032" spans="1:1">
      <c r="A6032" t="inlineStr">
        <is>
          <t>Palacapao</t>
        </is>
      </c>
    </row>
    <row r="6033" spans="1:1">
      <c r="A6033" t="inlineStr">
        <is>
          <t>Pinilayan</t>
        </is>
      </c>
    </row>
    <row r="6034" spans="1:1">
      <c r="A6034" t="inlineStr">
        <is>
          <t>Poblacion</t>
        </is>
      </c>
    </row>
    <row r="6035" spans="1:1">
      <c r="A6035" t="inlineStr">
        <is>
          <t>Puntian</t>
        </is>
      </c>
    </row>
    <row r="6036" spans="1:1">
      <c r="A6036" t="inlineStr">
        <is>
          <t>Salawagan</t>
        </is>
      </c>
    </row>
    <row r="6037" spans="1:1">
      <c r="A6037" t="inlineStr">
        <is>
          <t>San Isidro</t>
        </is>
      </c>
    </row>
    <row r="6038" spans="1:1">
      <c r="A6038" t="inlineStr">
        <is>
          <t>San Jose</t>
        </is>
      </c>
    </row>
    <row r="6039" spans="1:1">
      <c r="A6039" t="inlineStr">
        <is>
          <t>San Roque</t>
        </is>
      </c>
    </row>
    <row r="6040" spans="1:1">
      <c r="A6040" t="inlineStr">
        <is>
          <t>Santa Filomena</t>
        </is>
      </c>
    </row>
    <row r="6041" spans="1:1">
      <c r="A6041" t="inlineStr">
        <is>
          <t>Sta. Cruz</t>
        </is>
      </c>
    </row>
    <row r="6042" spans="1:1">
      <c r="A6042" t="inlineStr">
        <is>
          <t>Bonacao</t>
        </is>
      </c>
    </row>
    <row r="6043" spans="1:1">
      <c r="A6043" t="inlineStr">
        <is>
          <t>Bulalang</t>
        </is>
      </c>
    </row>
    <row r="6044" spans="1:1">
      <c r="A6044" t="inlineStr">
        <is>
          <t>Cabuling</t>
        </is>
      </c>
    </row>
    <row r="6045" spans="1:1">
      <c r="A6045" t="inlineStr">
        <is>
          <t>Candelaria</t>
        </is>
      </c>
    </row>
    <row r="6046" spans="1:1">
      <c r="A6046" t="inlineStr">
        <is>
          <t>Cayaga</t>
        </is>
      </c>
    </row>
    <row r="6047" spans="1:1">
      <c r="A6047" t="inlineStr">
        <is>
          <t>Dao</t>
        </is>
      </c>
    </row>
    <row r="6048" spans="1:1">
      <c r="A6048" t="inlineStr">
        <is>
          <t>Durian</t>
        </is>
      </c>
    </row>
    <row r="6049" spans="1:1">
      <c r="A6049" t="inlineStr">
        <is>
          <t>Halapitan</t>
        </is>
      </c>
    </row>
    <row r="6050" spans="1:1">
      <c r="A6050" t="inlineStr">
        <is>
          <t>Iglugsad</t>
        </is>
      </c>
    </row>
    <row r="6051" spans="1:1">
      <c r="A6051" t="inlineStr">
        <is>
          <t>Kalagangan</t>
        </is>
      </c>
    </row>
    <row r="6052" spans="1:1">
      <c r="A6052" t="inlineStr">
        <is>
          <t>Kawayan</t>
        </is>
      </c>
    </row>
    <row r="6053" spans="1:1">
      <c r="A6053" t="inlineStr">
        <is>
          <t>Kibongcog</t>
        </is>
      </c>
    </row>
    <row r="6054" spans="1:1">
      <c r="A6054" t="inlineStr">
        <is>
          <t>Little Baguio</t>
        </is>
      </c>
    </row>
    <row r="6055" spans="1:1">
      <c r="A6055" t="inlineStr">
        <is>
          <t>Mabuhay</t>
        </is>
      </c>
    </row>
    <row r="6056" spans="1:1">
      <c r="A6056" t="inlineStr">
        <is>
          <t>Magkalungay</t>
        </is>
      </c>
    </row>
    <row r="6057" spans="1:1">
      <c r="A6057" t="inlineStr">
        <is>
          <t>Malayanan</t>
        </is>
      </c>
    </row>
    <row r="6058" spans="1:1">
      <c r="A6058" t="inlineStr">
        <is>
          <t>Matupe</t>
        </is>
      </c>
    </row>
    <row r="6059" spans="1:1">
      <c r="A6059" t="inlineStr">
        <is>
          <t>Nacabuklad</t>
        </is>
      </c>
    </row>
    <row r="6060" spans="1:1">
      <c r="A6060" t="inlineStr">
        <is>
          <t>Namnam</t>
        </is>
      </c>
    </row>
    <row r="6061" spans="1:1">
      <c r="A6061" t="inlineStr">
        <is>
          <t>Palacpacan</t>
        </is>
      </c>
    </row>
    <row r="6062" spans="1:1">
      <c r="A6062" t="inlineStr">
        <is>
          <t>Sacramento Valley</t>
        </is>
      </c>
    </row>
    <row r="6063" spans="1:1">
      <c r="A6063" t="inlineStr">
        <is>
          <t>San Jose</t>
        </is>
      </c>
    </row>
    <row r="6064" spans="1:1">
      <c r="A6064" t="inlineStr">
        <is>
          <t>Santo Domingo</t>
        </is>
      </c>
    </row>
    <row r="6065" spans="1:1">
      <c r="A6065" t="inlineStr">
        <is>
          <t>Tugop</t>
        </is>
      </c>
    </row>
    <row r="6066" spans="1:1">
      <c r="A6066" t="inlineStr">
        <is>
          <t>Kisolon</t>
        </is>
      </c>
    </row>
    <row r="6067" spans="1:1">
      <c r="A6067" t="inlineStr">
        <is>
          <t>Kulasi</t>
        </is>
      </c>
    </row>
    <row r="6068" spans="1:1">
      <c r="A6068" t="inlineStr">
        <is>
          <t>Licoan</t>
        </is>
      </c>
    </row>
    <row r="6069" spans="1:1">
      <c r="A6069" t="inlineStr">
        <is>
          <t>Lupiagan</t>
        </is>
      </c>
    </row>
    <row r="6070" spans="1:1">
      <c r="A6070" t="inlineStr">
        <is>
          <t>Ocasion</t>
        </is>
      </c>
    </row>
    <row r="6071" spans="1:1">
      <c r="A6071" t="inlineStr">
        <is>
          <t>Poblacion</t>
        </is>
      </c>
    </row>
    <row r="6072" spans="1:1">
      <c r="A6072" t="inlineStr">
        <is>
          <t>Puntian</t>
        </is>
      </c>
    </row>
    <row r="6073" spans="1:1">
      <c r="A6073" t="inlineStr">
        <is>
          <t>San Roque</t>
        </is>
      </c>
    </row>
    <row r="6074" spans="1:1">
      <c r="A6074" t="inlineStr">
        <is>
          <t>San Vicente</t>
        </is>
      </c>
    </row>
    <row r="6075" spans="1:1">
      <c r="A6075" t="inlineStr">
        <is>
          <t>Vista Villa</t>
        </is>
      </c>
    </row>
    <row r="6076" spans="1:1">
      <c r="A6076" t="inlineStr">
        <is>
          <t>Barangay 1</t>
        </is>
      </c>
    </row>
    <row r="6077" spans="1:1">
      <c r="A6077" t="inlineStr">
        <is>
          <t>Barangay 2</t>
        </is>
      </c>
    </row>
    <row r="6078" spans="1:1">
      <c r="A6078" t="inlineStr">
        <is>
          <t>Barangay 3</t>
        </is>
      </c>
    </row>
    <row r="6079" spans="1:1">
      <c r="A6079" t="inlineStr">
        <is>
          <t>Barangay 4</t>
        </is>
      </c>
    </row>
    <row r="6080" spans="1:1">
      <c r="A6080" t="inlineStr">
        <is>
          <t>Barangay 5</t>
        </is>
      </c>
    </row>
    <row r="6081" spans="1:1">
      <c r="A6081" t="inlineStr">
        <is>
          <t>Basak</t>
        </is>
      </c>
    </row>
    <row r="6082" spans="1:1">
      <c r="A6082" t="inlineStr">
        <is>
          <t>Baylanan</t>
        </is>
      </c>
    </row>
    <row r="6083" spans="1:1">
      <c r="A6083" t="inlineStr">
        <is>
          <t>Cacaon</t>
        </is>
      </c>
    </row>
    <row r="6084" spans="1:1">
      <c r="A6084" t="inlineStr">
        <is>
          <t>Colawingon</t>
        </is>
      </c>
    </row>
    <row r="6085" spans="1:1">
      <c r="A6085" t="inlineStr">
        <is>
          <t>Cosina</t>
        </is>
      </c>
    </row>
    <row r="6086" spans="1:1">
      <c r="A6086" t="inlineStr">
        <is>
          <t>Dagumbaan</t>
        </is>
      </c>
    </row>
    <row r="6087" spans="1:1">
      <c r="A6087" t="inlineStr">
        <is>
          <t>Dagundalahon</t>
        </is>
      </c>
    </row>
    <row r="6088" spans="1:1">
      <c r="A6088" t="inlineStr">
        <is>
          <t>Dominorog</t>
        </is>
      </c>
    </row>
    <row r="6089" spans="1:1">
      <c r="A6089" t="inlineStr">
        <is>
          <t>Indulang</t>
        </is>
      </c>
    </row>
    <row r="6090" spans="1:1">
      <c r="A6090" t="inlineStr">
        <is>
          <t>Lantud</t>
        </is>
      </c>
    </row>
    <row r="6091" spans="1:1">
      <c r="A6091" t="inlineStr">
        <is>
          <t>Lapok</t>
        </is>
      </c>
    </row>
    <row r="6092" spans="1:1">
      <c r="A6092" t="inlineStr">
        <is>
          <t>Liguron</t>
        </is>
      </c>
    </row>
    <row r="6093" spans="1:1">
      <c r="A6093" t="inlineStr">
        <is>
          <t>Lingi-on</t>
        </is>
      </c>
    </row>
    <row r="6094" spans="1:1">
      <c r="A6094" t="inlineStr">
        <is>
          <t>Lirongan</t>
        </is>
      </c>
    </row>
    <row r="6095" spans="1:1">
      <c r="A6095" t="inlineStr">
        <is>
          <t>Miarayon</t>
        </is>
      </c>
    </row>
    <row r="6096" spans="1:1">
      <c r="A6096" t="inlineStr">
        <is>
          <t>Sagaran</t>
        </is>
      </c>
    </row>
    <row r="6097" spans="1:1">
      <c r="A6097" t="inlineStr">
        <is>
          <t>Salucot</t>
        </is>
      </c>
    </row>
    <row r="6098" spans="1:1">
      <c r="A6098" t="inlineStr">
        <is>
          <t>San Antonio</t>
        </is>
      </c>
    </row>
    <row r="6099" spans="1:1">
      <c r="A6099" t="inlineStr">
        <is>
          <t>San Isidro</t>
        </is>
      </c>
    </row>
    <row r="6100" spans="1:1">
      <c r="A6100" t="inlineStr">
        <is>
          <t>San Miguel</t>
        </is>
      </c>
    </row>
    <row r="6101" spans="1:1">
      <c r="A6101" t="inlineStr">
        <is>
          <t>San Rafael</t>
        </is>
      </c>
    </row>
    <row r="6102" spans="1:1">
      <c r="A6102" t="inlineStr">
        <is>
          <t>Sto. Niño</t>
        </is>
      </c>
    </row>
    <row r="6103" spans="1:1">
      <c r="A6103" t="inlineStr">
        <is>
          <t>Tagbak</t>
        </is>
      </c>
    </row>
    <row r="6104" spans="1:1">
      <c r="A6104" t="inlineStr">
        <is>
          <t>Tikalaan</t>
        </is>
      </c>
    </row>
    <row r="6105" spans="1:1">
      <c r="A6105" t="inlineStr">
        <is>
          <t>Banaban</t>
        </is>
      </c>
    </row>
    <row r="6106" spans="1:1">
      <c r="A6106" t="inlineStr">
        <is>
          <t>Baybay</t>
        </is>
      </c>
    </row>
    <row r="6107" spans="1:1">
      <c r="A6107" t="inlineStr">
        <is>
          <t>Binagbag</t>
        </is>
      </c>
    </row>
    <row r="6108" spans="1:1">
      <c r="A6108" t="inlineStr">
        <is>
          <t>Donacion</t>
        </is>
      </c>
    </row>
    <row r="6109" spans="1:1">
      <c r="A6109" t="inlineStr">
        <is>
          <t>Encanto</t>
        </is>
      </c>
    </row>
    <row r="6110" spans="1:1">
      <c r="A6110" t="inlineStr">
        <is>
          <t>Laog</t>
        </is>
      </c>
    </row>
    <row r="6111" spans="1:1">
      <c r="A6111" t="inlineStr">
        <is>
          <t>Marungko</t>
        </is>
      </c>
    </row>
    <row r="6112" spans="1:1">
      <c r="A6112" t="inlineStr">
        <is>
          <t>Niugan</t>
        </is>
      </c>
    </row>
    <row r="6113" spans="1:1">
      <c r="A6113" t="inlineStr">
        <is>
          <t>Paltok</t>
        </is>
      </c>
    </row>
    <row r="6114" spans="1:1">
      <c r="A6114" t="inlineStr">
        <is>
          <t>Pulong Yantok</t>
        </is>
      </c>
    </row>
    <row r="6115" spans="1:1">
      <c r="A6115" t="inlineStr">
        <is>
          <t>San Roque</t>
        </is>
      </c>
    </row>
    <row r="6116" spans="1:1">
      <c r="A6116" t="inlineStr">
        <is>
          <t>Santa Cruz</t>
        </is>
      </c>
    </row>
    <row r="6117" spans="1:1">
      <c r="A6117" t="inlineStr">
        <is>
          <t>Santa Lucia</t>
        </is>
      </c>
    </row>
    <row r="6118" spans="1:1">
      <c r="A6118" t="inlineStr">
        <is>
          <t>Santo Cristo</t>
        </is>
      </c>
    </row>
    <row r="6119" spans="1:1">
      <c r="A6119" t="inlineStr">
        <is>
          <t>Sulucan</t>
        </is>
      </c>
    </row>
    <row r="6120" spans="1:1">
      <c r="A6120" t="inlineStr">
        <is>
          <t>Taboc</t>
        </is>
      </c>
    </row>
    <row r="6121" spans="1:1">
      <c r="A6121" t="inlineStr">
        <is>
          <t>Borol 1st</t>
        </is>
      </c>
    </row>
    <row r="6122" spans="1:1">
      <c r="A6122" t="inlineStr">
        <is>
          <t>Borol 2nd</t>
        </is>
      </c>
    </row>
    <row r="6123" spans="1:1">
      <c r="A6123" t="inlineStr">
        <is>
          <t>Dalig</t>
        </is>
      </c>
    </row>
    <row r="6124" spans="1:1">
      <c r="A6124" t="inlineStr">
        <is>
          <t>Longos</t>
        </is>
      </c>
    </row>
    <row r="6125" spans="1:1">
      <c r="A6125" t="inlineStr">
        <is>
          <t>Panginay</t>
        </is>
      </c>
    </row>
    <row r="6126" spans="1:1">
      <c r="A6126" t="inlineStr">
        <is>
          <t>Pulong Gubat</t>
        </is>
      </c>
    </row>
    <row r="6127" spans="1:1">
      <c r="A6127" t="inlineStr">
        <is>
          <t>San Juan</t>
        </is>
      </c>
    </row>
    <row r="6128" spans="1:1">
      <c r="A6128" t="inlineStr">
        <is>
          <t>Santol</t>
        </is>
      </c>
    </row>
    <row r="6129" spans="1:1">
      <c r="A6129" t="inlineStr">
        <is>
          <t>Wawa</t>
        </is>
      </c>
    </row>
    <row r="6130" spans="1:1">
      <c r="A6130" t="inlineStr">
        <is>
          <t>Antipona</t>
        </is>
      </c>
    </row>
    <row r="6131" spans="1:1">
      <c r="A6131" t="inlineStr">
        <is>
          <t>Bagumbayan</t>
        </is>
      </c>
    </row>
    <row r="6132" spans="1:1">
      <c r="A6132" t="inlineStr">
        <is>
          <t>Bambang</t>
        </is>
      </c>
    </row>
    <row r="6133" spans="1:1">
      <c r="A6133" t="inlineStr">
        <is>
          <t>Batia</t>
        </is>
      </c>
    </row>
    <row r="6134" spans="1:1">
      <c r="A6134" t="inlineStr">
        <is>
          <t>Biñang 1st</t>
        </is>
      </c>
    </row>
    <row r="6135" spans="1:1">
      <c r="A6135" t="inlineStr">
        <is>
          <t>Biñang 2nd</t>
        </is>
      </c>
    </row>
    <row r="6136" spans="1:1">
      <c r="A6136" t="inlineStr">
        <is>
          <t>Bolacan</t>
        </is>
      </c>
    </row>
    <row r="6137" spans="1:1">
      <c r="A6137" t="inlineStr">
        <is>
          <t>Bundukan</t>
        </is>
      </c>
    </row>
    <row r="6138" spans="1:1">
      <c r="A6138" t="inlineStr">
        <is>
          <t>Bunlo</t>
        </is>
      </c>
    </row>
    <row r="6139" spans="1:1">
      <c r="A6139" t="inlineStr">
        <is>
          <t>Caingin</t>
        </is>
      </c>
    </row>
    <row r="6140" spans="1:1">
      <c r="A6140" t="inlineStr">
        <is>
          <t>Duhat</t>
        </is>
      </c>
    </row>
    <row r="6141" spans="1:1">
      <c r="A6141" t="inlineStr">
        <is>
          <t>Igulot</t>
        </is>
      </c>
    </row>
    <row r="6142" spans="1:1">
      <c r="A6142" t="inlineStr">
        <is>
          <t>Lolomboy</t>
        </is>
      </c>
    </row>
    <row r="6143" spans="1:1">
      <c r="A6143" t="inlineStr">
        <is>
          <t>Poblacion</t>
        </is>
      </c>
    </row>
    <row r="6144" spans="1:1">
      <c r="A6144" t="inlineStr">
        <is>
          <t>Sulucan</t>
        </is>
      </c>
    </row>
    <row r="6145" spans="1:1">
      <c r="A6145" t="inlineStr">
        <is>
          <t>Taal</t>
        </is>
      </c>
    </row>
    <row r="6146" spans="1:1">
      <c r="A6146" t="inlineStr">
        <is>
          <t>Tambobong</t>
        </is>
      </c>
    </row>
    <row r="6147" spans="1:1">
      <c r="A6147" t="inlineStr">
        <is>
          <t>Turo</t>
        </is>
      </c>
    </row>
    <row r="6148" spans="1:1">
      <c r="A6148" t="inlineStr">
        <is>
          <t>Wakas</t>
        </is>
      </c>
    </row>
    <row r="6149" spans="1:1">
      <c r="A6149" t="inlineStr">
        <is>
          <t>Bagumbayan</t>
        </is>
      </c>
    </row>
    <row r="6150" spans="1:1">
      <c r="A6150" t="inlineStr">
        <is>
          <t>Balubad</t>
        </is>
      </c>
    </row>
    <row r="6151" spans="1:1">
      <c r="A6151" t="inlineStr">
        <is>
          <t>Bambang</t>
        </is>
      </c>
    </row>
    <row r="6152" spans="1:1">
      <c r="A6152" t="inlineStr">
        <is>
          <t>Matungao</t>
        </is>
      </c>
    </row>
    <row r="6153" spans="1:1">
      <c r="A6153" t="inlineStr">
        <is>
          <t>Maysantol</t>
        </is>
      </c>
    </row>
    <row r="6154" spans="1:1">
      <c r="A6154" t="inlineStr">
        <is>
          <t>Perez</t>
        </is>
      </c>
    </row>
    <row r="6155" spans="1:1">
      <c r="A6155" t="inlineStr">
        <is>
          <t>Pitpitan</t>
        </is>
      </c>
    </row>
    <row r="6156" spans="1:1">
      <c r="A6156" t="inlineStr">
        <is>
          <t>San Francisco</t>
        </is>
      </c>
    </row>
    <row r="6157" spans="1:1">
      <c r="A6157" t="inlineStr">
        <is>
          <t>San Jose</t>
        </is>
      </c>
    </row>
    <row r="6158" spans="1:1">
      <c r="A6158" t="inlineStr">
        <is>
          <t>San Nicolas</t>
        </is>
      </c>
    </row>
    <row r="6159" spans="1:1">
      <c r="A6159" t="inlineStr">
        <is>
          <t>Santa Ana</t>
        </is>
      </c>
    </row>
    <row r="6160" spans="1:1">
      <c r="A6160" t="inlineStr">
        <is>
          <t>Santa Ines</t>
        </is>
      </c>
    </row>
    <row r="6161" spans="1:1">
      <c r="A6161" t="inlineStr">
        <is>
          <t>Taliptip</t>
        </is>
      </c>
    </row>
    <row r="6162" spans="1:1">
      <c r="A6162" t="inlineStr">
        <is>
          <t>Tibig</t>
        </is>
      </c>
    </row>
    <row r="6163" spans="1:1">
      <c r="A6163" t="inlineStr">
        <is>
          <t>Bonga Mayor</t>
        </is>
      </c>
    </row>
    <row r="6164" spans="1:1">
      <c r="A6164" t="inlineStr">
        <is>
          <t>Bonga Menor</t>
        </is>
      </c>
    </row>
    <row r="6165" spans="1:1">
      <c r="A6165" t="inlineStr">
        <is>
          <t>Buisan</t>
        </is>
      </c>
    </row>
    <row r="6166" spans="1:1">
      <c r="A6166" t="inlineStr">
        <is>
          <t>Camachilihan</t>
        </is>
      </c>
    </row>
    <row r="6167" spans="1:1">
      <c r="A6167" t="inlineStr">
        <is>
          <t>Cambaog</t>
        </is>
      </c>
    </row>
    <row r="6168" spans="1:1">
      <c r="A6168" t="inlineStr">
        <is>
          <t>Catacte</t>
        </is>
      </c>
    </row>
    <row r="6169" spans="1:1">
      <c r="A6169" t="inlineStr">
        <is>
          <t>Liciada</t>
        </is>
      </c>
    </row>
    <row r="6170" spans="1:1">
      <c r="A6170" t="inlineStr">
        <is>
          <t>Malamig</t>
        </is>
      </c>
    </row>
    <row r="6171" spans="1:1">
      <c r="A6171" t="inlineStr">
        <is>
          <t>Malawak</t>
        </is>
      </c>
    </row>
    <row r="6172" spans="1:1">
      <c r="A6172" t="inlineStr">
        <is>
          <t>Poblacion</t>
        </is>
      </c>
    </row>
    <row r="6173" spans="1:1">
      <c r="A6173" t="inlineStr">
        <is>
          <t>San Pedro</t>
        </is>
      </c>
    </row>
    <row r="6174" spans="1:1">
      <c r="A6174" t="inlineStr">
        <is>
          <t>Talampas</t>
        </is>
      </c>
    </row>
    <row r="6175" spans="1:1">
      <c r="A6175" t="inlineStr">
        <is>
          <t>Tanawan</t>
        </is>
      </c>
    </row>
    <row r="6176" spans="1:1">
      <c r="A6176" t="inlineStr">
        <is>
          <t>Tibagan</t>
        </is>
      </c>
    </row>
    <row r="6177" spans="1:1">
      <c r="A6177" t="inlineStr">
        <is>
          <t>Balite</t>
        </is>
      </c>
    </row>
    <row r="6178" spans="1:1">
      <c r="A6178" t="inlineStr">
        <is>
          <t>Balungao</t>
        </is>
      </c>
    </row>
    <row r="6179" spans="1:1">
      <c r="A6179" t="inlineStr">
        <is>
          <t>Buguion</t>
        </is>
      </c>
    </row>
    <row r="6180" spans="1:1">
      <c r="A6180" t="inlineStr">
        <is>
          <t>Bulusan</t>
        </is>
      </c>
    </row>
    <row r="6181" spans="1:1">
      <c r="A6181" t="inlineStr">
        <is>
          <t>Calizon</t>
        </is>
      </c>
    </row>
    <row r="6182" spans="1:1">
      <c r="A6182" t="inlineStr">
        <is>
          <t>Calumpang</t>
        </is>
      </c>
    </row>
    <row r="6183" spans="1:1">
      <c r="A6183" t="inlineStr">
        <is>
          <t>Caniogan</t>
        </is>
      </c>
    </row>
    <row r="6184" spans="1:1">
      <c r="A6184" t="inlineStr">
        <is>
          <t>Corazon</t>
        </is>
      </c>
    </row>
    <row r="6185" spans="1:1">
      <c r="A6185" t="inlineStr">
        <is>
          <t>Frances</t>
        </is>
      </c>
    </row>
    <row r="6186" spans="1:1">
      <c r="A6186" t="inlineStr">
        <is>
          <t>Gatbuca</t>
        </is>
      </c>
    </row>
    <row r="6187" spans="1:1">
      <c r="A6187" t="inlineStr">
        <is>
          <t>Gugo</t>
        </is>
      </c>
    </row>
    <row r="6188" spans="1:1">
      <c r="A6188" t="inlineStr">
        <is>
          <t>Iba Este</t>
        </is>
      </c>
    </row>
    <row r="6189" spans="1:1">
      <c r="A6189" t="inlineStr">
        <is>
          <t>Iba O'Este</t>
        </is>
      </c>
    </row>
    <row r="6190" spans="1:1">
      <c r="A6190" t="inlineStr">
        <is>
          <t>Longos</t>
        </is>
      </c>
    </row>
    <row r="6191" spans="1:1">
      <c r="A6191" t="inlineStr">
        <is>
          <t>Meysulao</t>
        </is>
      </c>
    </row>
    <row r="6192" spans="1:1">
      <c r="A6192" t="inlineStr">
        <is>
          <t>Meyto</t>
        </is>
      </c>
    </row>
    <row r="6193" spans="1:1">
      <c r="A6193" t="inlineStr">
        <is>
          <t>Palimbang</t>
        </is>
      </c>
    </row>
    <row r="6194" spans="1:1">
      <c r="A6194" t="inlineStr">
        <is>
          <t>Panducot</t>
        </is>
      </c>
    </row>
    <row r="6195" spans="1:1">
      <c r="A6195" t="inlineStr">
        <is>
          <t>Pio Cruzcosa</t>
        </is>
      </c>
    </row>
    <row r="6196" spans="1:1">
      <c r="A6196" t="inlineStr">
        <is>
          <t>Poblacion</t>
        </is>
      </c>
    </row>
    <row r="6197" spans="1:1">
      <c r="A6197" t="inlineStr">
        <is>
          <t>Pungo</t>
        </is>
      </c>
    </row>
    <row r="6198" spans="1:1">
      <c r="A6198" t="inlineStr">
        <is>
          <t>San Jose</t>
        </is>
      </c>
    </row>
    <row r="6199" spans="1:1">
      <c r="A6199" t="inlineStr">
        <is>
          <t>San Marcos</t>
        </is>
      </c>
    </row>
    <row r="6200" spans="1:1">
      <c r="A6200" t="inlineStr">
        <is>
          <t>San Miguel</t>
        </is>
      </c>
    </row>
    <row r="6201" spans="1:1">
      <c r="A6201" t="inlineStr">
        <is>
          <t>Santa Lucia</t>
        </is>
      </c>
    </row>
    <row r="6202" spans="1:1">
      <c r="A6202" t="inlineStr">
        <is>
          <t>Santo Niño</t>
        </is>
      </c>
    </row>
    <row r="6203" spans="1:1">
      <c r="A6203" t="inlineStr">
        <is>
          <t>Sapang Bayan</t>
        </is>
      </c>
    </row>
    <row r="6204" spans="1:1">
      <c r="A6204" t="inlineStr">
        <is>
          <t>Sergio Bayan</t>
        </is>
      </c>
    </row>
    <row r="6205" spans="1:1">
      <c r="A6205" t="inlineStr">
        <is>
          <t>Sucol</t>
        </is>
      </c>
    </row>
    <row r="6206" spans="1:1">
      <c r="A6206" t="inlineStr">
        <is>
          <t>Bagong Nayon</t>
        </is>
      </c>
    </row>
    <row r="6207" spans="1:1">
      <c r="A6207" t="inlineStr">
        <is>
          <t>Barangca</t>
        </is>
      </c>
    </row>
    <row r="6208" spans="1:1">
      <c r="A6208" t="inlineStr">
        <is>
          <t>Calantipay</t>
        </is>
      </c>
    </row>
    <row r="6209" spans="1:1">
      <c r="A6209" t="inlineStr">
        <is>
          <t>Catulinan</t>
        </is>
      </c>
    </row>
    <row r="6210" spans="1:1">
      <c r="A6210" t="inlineStr">
        <is>
          <t>Concepcion</t>
        </is>
      </c>
    </row>
    <row r="6211" spans="1:1">
      <c r="A6211" t="inlineStr">
        <is>
          <t>Hinukay</t>
        </is>
      </c>
    </row>
    <row r="6212" spans="1:1">
      <c r="A6212" t="inlineStr">
        <is>
          <t>Makinabang</t>
        </is>
      </c>
    </row>
    <row r="6213" spans="1:1">
      <c r="A6213" t="inlineStr">
        <is>
          <t>Matangtubig</t>
        </is>
      </c>
    </row>
    <row r="6214" spans="1:1">
      <c r="A6214" t="inlineStr">
        <is>
          <t>Pagala</t>
        </is>
      </c>
    </row>
    <row r="6215" spans="1:1">
      <c r="A6215" t="inlineStr">
        <is>
          <t>Paitan</t>
        </is>
      </c>
    </row>
    <row r="6216" spans="1:1">
      <c r="A6216" t="inlineStr">
        <is>
          <t>Piel</t>
        </is>
      </c>
    </row>
    <row r="6217" spans="1:1">
      <c r="A6217" t="inlineStr">
        <is>
          <t>Pinagbarilan</t>
        </is>
      </c>
    </row>
    <row r="6218" spans="1:1">
      <c r="A6218" t="inlineStr">
        <is>
          <t>Poblacion</t>
        </is>
      </c>
    </row>
    <row r="6219" spans="1:1">
      <c r="A6219" t="inlineStr">
        <is>
          <t>Sabang</t>
        </is>
      </c>
    </row>
    <row r="6220" spans="1:1">
      <c r="A6220" t="inlineStr">
        <is>
          <t>San Jose</t>
        </is>
      </c>
    </row>
    <row r="6221" spans="1:1">
      <c r="A6221" t="inlineStr">
        <is>
          <t>San Roque</t>
        </is>
      </c>
    </row>
    <row r="6222" spans="1:1">
      <c r="A6222" t="inlineStr">
        <is>
          <t>Santa Barbara</t>
        </is>
      </c>
    </row>
    <row r="6223" spans="1:1">
      <c r="A6223" t="inlineStr">
        <is>
          <t>Santo Cristo</t>
        </is>
      </c>
    </row>
    <row r="6224" spans="1:1">
      <c r="A6224" t="inlineStr">
        <is>
          <t>Santo Niño</t>
        </is>
      </c>
    </row>
    <row r="6225" spans="1:1">
      <c r="A6225" t="inlineStr">
        <is>
          <t>Subic</t>
        </is>
      </c>
    </row>
    <row r="6226" spans="1:1">
      <c r="A6226" t="inlineStr">
        <is>
          <t>Sulivan</t>
        </is>
      </c>
    </row>
    <row r="6227" spans="1:1">
      <c r="A6227" t="inlineStr">
        <is>
          <t>Tangos</t>
        </is>
      </c>
    </row>
    <row r="6228" spans="1:1">
      <c r="A6228" t="inlineStr">
        <is>
          <t>Tarcan</t>
        </is>
      </c>
    </row>
    <row r="6229" spans="1:1">
      <c r="A6229" t="inlineStr">
        <is>
          <t>Tiaong</t>
        </is>
      </c>
    </row>
    <row r="6230" spans="1:1">
      <c r="A6230" t="inlineStr">
        <is>
          <t>Tibag</t>
        </is>
      </c>
    </row>
    <row r="6231" spans="1:1">
      <c r="A6231" t="inlineStr">
        <is>
          <t>Tilapayong</t>
        </is>
      </c>
    </row>
    <row r="6232" spans="1:1">
      <c r="A6232" t="inlineStr">
        <is>
          <t>Virgen delas Flores</t>
        </is>
      </c>
    </row>
    <row r="6233" spans="1:1">
      <c r="A6233" t="inlineStr">
        <is>
          <t>Anilao</t>
        </is>
      </c>
    </row>
    <row r="6234" spans="1:1">
      <c r="A6234" t="inlineStr">
        <is>
          <t>Atlag</t>
        </is>
      </c>
    </row>
    <row r="6235" spans="1:1">
      <c r="A6235" t="inlineStr">
        <is>
          <t>Babatnin</t>
        </is>
      </c>
    </row>
    <row r="6236" spans="1:1">
      <c r="A6236" t="inlineStr">
        <is>
          <t>Bagna</t>
        </is>
      </c>
    </row>
    <row r="6237" spans="1:1">
      <c r="A6237" t="inlineStr">
        <is>
          <t>Bagong Bayan</t>
        </is>
      </c>
    </row>
    <row r="6238" spans="1:1">
      <c r="A6238" t="inlineStr">
        <is>
          <t>Balayong</t>
        </is>
      </c>
    </row>
    <row r="6239" spans="1:1">
      <c r="A6239" t="inlineStr">
        <is>
          <t>Balite</t>
        </is>
      </c>
    </row>
    <row r="6240" spans="1:1">
      <c r="A6240" t="inlineStr">
        <is>
          <t>Bangkal</t>
        </is>
      </c>
    </row>
    <row r="6241" spans="1:1">
      <c r="A6241" t="inlineStr">
        <is>
          <t>Barihan</t>
        </is>
      </c>
    </row>
    <row r="6242" spans="1:1">
      <c r="A6242" t="inlineStr">
        <is>
          <t>Bulihan</t>
        </is>
      </c>
    </row>
    <row r="6243" spans="1:1">
      <c r="A6243" t="inlineStr">
        <is>
          <t>Bungahan</t>
        </is>
      </c>
    </row>
    <row r="6244" spans="1:1">
      <c r="A6244" t="inlineStr">
        <is>
          <t>Caingin</t>
        </is>
      </c>
    </row>
    <row r="6245" spans="1:1">
      <c r="A6245" t="inlineStr">
        <is>
          <t>Calero</t>
        </is>
      </c>
    </row>
    <row r="6246" spans="1:1">
      <c r="A6246" t="inlineStr">
        <is>
          <t>Caliligawan</t>
        </is>
      </c>
    </row>
    <row r="6247" spans="1:1">
      <c r="A6247" t="inlineStr">
        <is>
          <t>Canalate</t>
        </is>
      </c>
    </row>
    <row r="6248" spans="1:1">
      <c r="A6248" t="inlineStr">
        <is>
          <t>Caniogan</t>
        </is>
      </c>
    </row>
    <row r="6249" spans="1:1">
      <c r="A6249" t="inlineStr">
        <is>
          <t>Catmon</t>
        </is>
      </c>
    </row>
    <row r="6250" spans="1:1">
      <c r="A6250" t="inlineStr">
        <is>
          <t>Cofradia</t>
        </is>
      </c>
    </row>
    <row r="6251" spans="1:1">
      <c r="A6251" t="inlineStr">
        <is>
          <t>Dakila</t>
        </is>
      </c>
    </row>
    <row r="6252" spans="1:1">
      <c r="A6252" t="inlineStr">
        <is>
          <t>Guinhawa</t>
        </is>
      </c>
    </row>
    <row r="6253" spans="1:1">
      <c r="A6253" t="inlineStr">
        <is>
          <t>Liang</t>
        </is>
      </c>
    </row>
    <row r="6254" spans="1:1">
      <c r="A6254" t="inlineStr">
        <is>
          <t>Ligas</t>
        </is>
      </c>
    </row>
    <row r="6255" spans="1:1">
      <c r="A6255" t="inlineStr">
        <is>
          <t>Longos</t>
        </is>
      </c>
    </row>
    <row r="6256" spans="1:1">
      <c r="A6256" t="inlineStr">
        <is>
          <t>Look 1st</t>
        </is>
      </c>
    </row>
    <row r="6257" spans="1:1">
      <c r="A6257" t="inlineStr">
        <is>
          <t>Look 2nd</t>
        </is>
      </c>
    </row>
    <row r="6258" spans="1:1">
      <c r="A6258" t="inlineStr">
        <is>
          <t>Lugam</t>
        </is>
      </c>
    </row>
    <row r="6259" spans="1:1">
      <c r="A6259" t="inlineStr">
        <is>
          <t>Mabolo</t>
        </is>
      </c>
    </row>
    <row r="6260" spans="1:1">
      <c r="A6260" t="inlineStr">
        <is>
          <t>Mambog</t>
        </is>
      </c>
    </row>
    <row r="6261" spans="1:1">
      <c r="A6261" t="inlineStr">
        <is>
          <t>Masile</t>
        </is>
      </c>
    </row>
    <row r="6262" spans="1:1">
      <c r="A6262" t="inlineStr">
        <is>
          <t>Matimbo</t>
        </is>
      </c>
    </row>
    <row r="6263" spans="1:1">
      <c r="A6263" t="inlineStr">
        <is>
          <t>Mojon</t>
        </is>
      </c>
    </row>
    <row r="6264" spans="1:1">
      <c r="A6264" t="inlineStr">
        <is>
          <t>Namayan</t>
        </is>
      </c>
    </row>
    <row r="6265" spans="1:1">
      <c r="A6265" t="inlineStr">
        <is>
          <t>Niugan</t>
        </is>
      </c>
    </row>
    <row r="6266" spans="1:1">
      <c r="A6266" t="inlineStr">
        <is>
          <t>Pamarawan</t>
        </is>
      </c>
    </row>
    <row r="6267" spans="1:1">
      <c r="A6267" t="inlineStr">
        <is>
          <t>Panasahan</t>
        </is>
      </c>
    </row>
    <row r="6268" spans="1:1">
      <c r="A6268" t="inlineStr">
        <is>
          <t>Pinagbakahan</t>
        </is>
      </c>
    </row>
    <row r="6269" spans="1:1">
      <c r="A6269" t="inlineStr">
        <is>
          <t>San Agustin</t>
        </is>
      </c>
    </row>
    <row r="6270" spans="1:1">
      <c r="A6270" t="inlineStr">
        <is>
          <t>San Gabriel</t>
        </is>
      </c>
    </row>
    <row r="6271" spans="1:1">
      <c r="A6271" t="inlineStr">
        <is>
          <t>San Juan</t>
        </is>
      </c>
    </row>
    <row r="6272" spans="1:1">
      <c r="A6272" t="inlineStr">
        <is>
          <t>San Pablo</t>
        </is>
      </c>
    </row>
    <row r="6273" spans="1:1">
      <c r="A6273" t="inlineStr">
        <is>
          <t>San Vicente</t>
        </is>
      </c>
    </row>
    <row r="6274" spans="1:1">
      <c r="A6274" t="inlineStr">
        <is>
          <t>Santiago</t>
        </is>
      </c>
    </row>
    <row r="6275" spans="1:1">
      <c r="A6275" t="inlineStr">
        <is>
          <t>Santisima Trinidad</t>
        </is>
      </c>
    </row>
    <row r="6276" spans="1:1">
      <c r="A6276" t="inlineStr">
        <is>
          <t>Santo Cristo</t>
        </is>
      </c>
    </row>
    <row r="6277" spans="1:1">
      <c r="A6277" t="inlineStr">
        <is>
          <t>Santo Niño</t>
        </is>
      </c>
    </row>
    <row r="6278" spans="1:1">
      <c r="A6278" t="inlineStr">
        <is>
          <t>Santo Rosario</t>
        </is>
      </c>
    </row>
    <row r="6279" spans="1:1">
      <c r="A6279" t="inlineStr">
        <is>
          <t>Santor</t>
        </is>
      </c>
    </row>
    <row r="6280" spans="1:1">
      <c r="A6280" t="inlineStr">
        <is>
          <t>Sumapang Bata</t>
        </is>
      </c>
    </row>
    <row r="6281" spans="1:1">
      <c r="A6281" t="inlineStr">
        <is>
          <t>Sumapang Matanda</t>
        </is>
      </c>
    </row>
    <row r="6282" spans="1:1">
      <c r="A6282" t="inlineStr">
        <is>
          <t>Taal</t>
        </is>
      </c>
    </row>
    <row r="6283" spans="1:1">
      <c r="A6283" t="inlineStr">
        <is>
          <t>Tikay</t>
        </is>
      </c>
    </row>
    <row r="6284" spans="1:1">
      <c r="A6284" t="inlineStr">
        <is>
          <t>Bagbaguin</t>
        </is>
      </c>
    </row>
    <row r="6285" spans="1:1">
      <c r="A6285" t="inlineStr">
        <is>
          <t>Bahay Pare</t>
        </is>
      </c>
    </row>
    <row r="6286" spans="1:1">
      <c r="A6286" t="inlineStr">
        <is>
          <t>Bancal</t>
        </is>
      </c>
    </row>
    <row r="6287" spans="1:1">
      <c r="A6287" t="inlineStr">
        <is>
          <t>Banga</t>
        </is>
      </c>
    </row>
    <row r="6288" spans="1:1">
      <c r="A6288" t="inlineStr">
        <is>
          <t>Bayugo</t>
        </is>
      </c>
    </row>
    <row r="6289" spans="1:1">
      <c r="A6289" t="inlineStr">
        <is>
          <t>Caingin</t>
        </is>
      </c>
    </row>
    <row r="6290" spans="1:1">
      <c r="A6290" t="inlineStr">
        <is>
          <t>Calvario</t>
        </is>
      </c>
    </row>
    <row r="6291" spans="1:1">
      <c r="A6291" t="inlineStr">
        <is>
          <t>Camalig</t>
        </is>
      </c>
    </row>
    <row r="6292" spans="1:1">
      <c r="A6292" t="inlineStr">
        <is>
          <t>Hulo</t>
        </is>
      </c>
    </row>
    <row r="6293" spans="1:1">
      <c r="A6293" t="inlineStr">
        <is>
          <t>Iba</t>
        </is>
      </c>
    </row>
    <row r="6294" spans="1:1">
      <c r="A6294" t="inlineStr">
        <is>
          <t>Langka</t>
        </is>
      </c>
    </row>
    <row r="6295" spans="1:1">
      <c r="A6295" t="inlineStr">
        <is>
          <t>Lawa</t>
        </is>
      </c>
    </row>
    <row r="6296" spans="1:1">
      <c r="A6296" t="inlineStr">
        <is>
          <t>Libtong</t>
        </is>
      </c>
    </row>
    <row r="6297" spans="1:1">
      <c r="A6297" t="inlineStr">
        <is>
          <t>Liputan</t>
        </is>
      </c>
    </row>
    <row r="6298" spans="1:1">
      <c r="A6298" t="inlineStr">
        <is>
          <t>Longos</t>
        </is>
      </c>
    </row>
    <row r="6299" spans="1:1">
      <c r="A6299" t="inlineStr">
        <is>
          <t>Malhacan</t>
        </is>
      </c>
    </row>
    <row r="6300" spans="1:1">
      <c r="A6300" t="inlineStr">
        <is>
          <t>Pajo</t>
        </is>
      </c>
    </row>
    <row r="6301" spans="1:1">
      <c r="A6301" t="inlineStr">
        <is>
          <t>Pandayan</t>
        </is>
      </c>
    </row>
    <row r="6302" spans="1:1">
      <c r="A6302" t="inlineStr">
        <is>
          <t>Pantoc</t>
        </is>
      </c>
    </row>
    <row r="6303" spans="1:1">
      <c r="A6303" t="inlineStr">
        <is>
          <t>Perez</t>
        </is>
      </c>
    </row>
    <row r="6304" spans="1:1">
      <c r="A6304" t="inlineStr">
        <is>
          <t>Poblacion</t>
        </is>
      </c>
    </row>
    <row r="6305" spans="1:1">
      <c r="A6305" t="inlineStr">
        <is>
          <t>Saint Francis (Gasak)</t>
        </is>
      </c>
    </row>
    <row r="6306" spans="1:1">
      <c r="A6306" t="inlineStr">
        <is>
          <t>Saluysoy</t>
        </is>
      </c>
    </row>
    <row r="6307" spans="1:1">
      <c r="A6307" t="inlineStr">
        <is>
          <t>Tugatog</t>
        </is>
      </c>
    </row>
    <row r="6308" spans="1:1">
      <c r="A6308" t="inlineStr">
        <is>
          <t>Ubihan</t>
        </is>
      </c>
    </row>
    <row r="6309" spans="1:1">
      <c r="A6309" t="inlineStr">
        <is>
          <t>Zamora</t>
        </is>
      </c>
    </row>
    <row r="6310" spans="1:1">
      <c r="A6310" t="inlineStr">
        <is>
          <t>Assumption</t>
        </is>
      </c>
    </row>
    <row r="6311" spans="1:1">
      <c r="A6311" t="inlineStr">
        <is>
          <t>Bagong Buhay I</t>
        </is>
      </c>
    </row>
    <row r="6312" spans="1:1">
      <c r="A6312" t="inlineStr">
        <is>
          <t>Bagong Buhay II</t>
        </is>
      </c>
    </row>
    <row r="6313" spans="1:1">
      <c r="A6313" t="inlineStr">
        <is>
          <t>Bagong Buhay III</t>
        </is>
      </c>
    </row>
    <row r="6314" spans="1:1">
      <c r="A6314" t="inlineStr">
        <is>
          <t>Citrus</t>
        </is>
      </c>
    </row>
    <row r="6315" spans="1:1">
      <c r="A6315" t="inlineStr">
        <is>
          <t>Ciudad Real</t>
        </is>
      </c>
    </row>
    <row r="6316" spans="1:1">
      <c r="A6316" t="inlineStr">
        <is>
          <t>Dulong Bayan</t>
        </is>
      </c>
    </row>
    <row r="6317" spans="1:1">
      <c r="A6317" t="inlineStr">
        <is>
          <t>Fatima I</t>
        </is>
      </c>
    </row>
    <row r="6318" spans="1:1">
      <c r="A6318" t="inlineStr">
        <is>
          <t>Fatima II</t>
        </is>
      </c>
    </row>
    <row r="6319" spans="1:1">
      <c r="A6319" t="inlineStr">
        <is>
          <t>Fatima III</t>
        </is>
      </c>
    </row>
    <row r="6320" spans="1:1">
      <c r="A6320" t="inlineStr">
        <is>
          <t>Fatima IV</t>
        </is>
      </c>
    </row>
    <row r="6321" spans="1:1">
      <c r="A6321" t="inlineStr">
        <is>
          <t>Fatima V</t>
        </is>
      </c>
    </row>
    <row r="6322" spans="1:1">
      <c r="A6322" t="inlineStr">
        <is>
          <t>Francisco Homes-Guijo</t>
        </is>
      </c>
    </row>
    <row r="6323" spans="1:1">
      <c r="A6323" t="inlineStr">
        <is>
          <t>Francisco Homes-Mulawin</t>
        </is>
      </c>
    </row>
    <row r="6324" spans="1:1">
      <c r="A6324" t="inlineStr">
        <is>
          <t>Francisco Homes-Narra</t>
        </is>
      </c>
    </row>
    <row r="6325" spans="1:1">
      <c r="A6325" t="inlineStr">
        <is>
          <t>Francisco Homes-Yakal</t>
        </is>
      </c>
    </row>
    <row r="6326" spans="1:1">
      <c r="A6326" t="inlineStr">
        <is>
          <t>Gaya-gaya</t>
        </is>
      </c>
    </row>
    <row r="6327" spans="1:1">
      <c r="A6327" t="inlineStr">
        <is>
          <t>Graceville</t>
        </is>
      </c>
    </row>
    <row r="6328" spans="1:1">
      <c r="A6328" t="inlineStr">
        <is>
          <t>Gumaoc Central</t>
        </is>
      </c>
    </row>
    <row r="6329" spans="1:1">
      <c r="A6329" t="inlineStr">
        <is>
          <t>Gumaoc East</t>
        </is>
      </c>
    </row>
    <row r="6330" spans="1:1">
      <c r="A6330" t="inlineStr">
        <is>
          <t>Gumaoc West</t>
        </is>
      </c>
    </row>
    <row r="6331" spans="1:1">
      <c r="A6331" t="inlineStr">
        <is>
          <t>Kaybanban</t>
        </is>
      </c>
    </row>
    <row r="6332" spans="1:1">
      <c r="A6332" t="inlineStr">
        <is>
          <t>Kaypian</t>
        </is>
      </c>
    </row>
    <row r="6333" spans="1:1">
      <c r="A6333" t="inlineStr">
        <is>
          <t>Lawang Pari</t>
        </is>
      </c>
    </row>
    <row r="6334" spans="1:1">
      <c r="A6334" t="inlineStr">
        <is>
          <t>Maharlika</t>
        </is>
      </c>
    </row>
    <row r="6335" spans="1:1">
      <c r="A6335" t="inlineStr">
        <is>
          <t>Minuyan I</t>
        </is>
      </c>
    </row>
    <row r="6336" spans="1:1">
      <c r="A6336" t="inlineStr">
        <is>
          <t>Minuyan II</t>
        </is>
      </c>
    </row>
    <row r="6337" spans="1:1">
      <c r="A6337" t="inlineStr">
        <is>
          <t>Minuyan III</t>
        </is>
      </c>
    </row>
    <row r="6338" spans="1:1">
      <c r="A6338" t="inlineStr">
        <is>
          <t>Minuyan IV</t>
        </is>
      </c>
    </row>
    <row r="6339" spans="1:1">
      <c r="A6339" t="inlineStr">
        <is>
          <t>Minuyan Proper</t>
        </is>
      </c>
    </row>
    <row r="6340" spans="1:1">
      <c r="A6340" t="inlineStr">
        <is>
          <t>Minuyan V</t>
        </is>
      </c>
    </row>
    <row r="6341" spans="1:1">
      <c r="A6341" t="inlineStr">
        <is>
          <t>Muzon East</t>
        </is>
      </c>
    </row>
    <row r="6342" spans="1:1">
      <c r="A6342" t="inlineStr">
        <is>
          <t>Muzon Proper</t>
        </is>
      </c>
    </row>
    <row r="6343" spans="1:1">
      <c r="A6343" t="inlineStr">
        <is>
          <t>Muzon South</t>
        </is>
      </c>
    </row>
    <row r="6344" spans="1:1">
      <c r="A6344" t="inlineStr">
        <is>
          <t>Muzon West</t>
        </is>
      </c>
    </row>
    <row r="6345" spans="1:1">
      <c r="A6345" t="inlineStr">
        <is>
          <t>Paradise III</t>
        </is>
      </c>
    </row>
    <row r="6346" spans="1:1">
      <c r="A6346" t="inlineStr">
        <is>
          <t>Poblacion</t>
        </is>
      </c>
    </row>
    <row r="6347" spans="1:1">
      <c r="A6347" t="inlineStr">
        <is>
          <t>Poblacion I</t>
        </is>
      </c>
    </row>
    <row r="6348" spans="1:1">
      <c r="A6348" t="inlineStr">
        <is>
          <t>San Isidro</t>
        </is>
      </c>
    </row>
    <row r="6349" spans="1:1">
      <c r="A6349" t="inlineStr">
        <is>
          <t>San Manuel</t>
        </is>
      </c>
    </row>
    <row r="6350" spans="1:1">
      <c r="A6350" t="inlineStr">
        <is>
          <t>San Martin de Porres</t>
        </is>
      </c>
    </row>
    <row r="6351" spans="1:1">
      <c r="A6351" t="inlineStr">
        <is>
          <t>San Martin I</t>
        </is>
      </c>
    </row>
    <row r="6352" spans="1:1">
      <c r="A6352" t="inlineStr">
        <is>
          <t>San Martin II</t>
        </is>
      </c>
    </row>
    <row r="6353" spans="1:1">
      <c r="A6353" t="inlineStr">
        <is>
          <t>San Martin III</t>
        </is>
      </c>
    </row>
    <row r="6354" spans="1:1">
      <c r="A6354" t="inlineStr">
        <is>
          <t>San Martin IV</t>
        </is>
      </c>
    </row>
    <row r="6355" spans="1:1">
      <c r="A6355" t="inlineStr">
        <is>
          <t>San Pedro</t>
        </is>
      </c>
    </row>
    <row r="6356" spans="1:1">
      <c r="A6356" t="inlineStr">
        <is>
          <t>San Rafael I</t>
        </is>
      </c>
    </row>
    <row r="6357" spans="1:1">
      <c r="A6357" t="inlineStr">
        <is>
          <t>San Rafael II</t>
        </is>
      </c>
    </row>
    <row r="6358" spans="1:1">
      <c r="A6358" t="inlineStr">
        <is>
          <t>San Rafael III</t>
        </is>
      </c>
    </row>
    <row r="6359" spans="1:1">
      <c r="A6359" t="inlineStr">
        <is>
          <t>San Rafael IV</t>
        </is>
      </c>
    </row>
    <row r="6360" spans="1:1">
      <c r="A6360" t="inlineStr">
        <is>
          <t>San Rafael V</t>
        </is>
      </c>
    </row>
    <row r="6361" spans="1:1">
      <c r="A6361" t="inlineStr">
        <is>
          <t>San Roque</t>
        </is>
      </c>
    </row>
    <row r="6362" spans="1:1">
      <c r="A6362" t="inlineStr">
        <is>
          <t>Santa Cruz I</t>
        </is>
      </c>
    </row>
    <row r="6363" spans="1:1">
      <c r="A6363" t="inlineStr">
        <is>
          <t>Santa Cruz II</t>
        </is>
      </c>
    </row>
    <row r="6364" spans="1:1">
      <c r="A6364" t="inlineStr">
        <is>
          <t>Santa Cruz III</t>
        </is>
      </c>
    </row>
    <row r="6365" spans="1:1">
      <c r="A6365" t="inlineStr">
        <is>
          <t>Santa Cruz IV</t>
        </is>
      </c>
    </row>
    <row r="6366" spans="1:1">
      <c r="A6366" t="inlineStr">
        <is>
          <t>Santa Cruz V</t>
        </is>
      </c>
    </row>
    <row r="6367" spans="1:1">
      <c r="A6367" t="inlineStr">
        <is>
          <t>Santo Cristo</t>
        </is>
      </c>
    </row>
    <row r="6368" spans="1:1">
      <c r="A6368" t="inlineStr">
        <is>
          <t>Santo Niño I</t>
        </is>
      </c>
    </row>
    <row r="6369" spans="1:1">
      <c r="A6369" t="inlineStr">
        <is>
          <t>Santo Niño II</t>
        </is>
      </c>
    </row>
    <row r="6370" spans="1:1">
      <c r="A6370" t="inlineStr">
        <is>
          <t>Sapang Palay</t>
        </is>
      </c>
    </row>
    <row r="6371" spans="1:1">
      <c r="A6371" t="inlineStr">
        <is>
          <t>Tungkong Mangga</t>
        </is>
      </c>
    </row>
    <row r="6372" spans="1:1">
      <c r="A6372" t="inlineStr">
        <is>
          <t>Bayabas</t>
        </is>
      </c>
    </row>
    <row r="6373" spans="1:1">
      <c r="A6373" t="inlineStr">
        <is>
          <t>Camachile</t>
        </is>
      </c>
    </row>
    <row r="6374" spans="1:1">
      <c r="A6374" t="inlineStr">
        <is>
          <t>Camachin</t>
        </is>
      </c>
    </row>
    <row r="6375" spans="1:1">
      <c r="A6375" t="inlineStr">
        <is>
          <t>Kabayunan</t>
        </is>
      </c>
    </row>
    <row r="6376" spans="1:1">
      <c r="A6376" t="inlineStr">
        <is>
          <t>Kalawakan</t>
        </is>
      </c>
    </row>
    <row r="6377" spans="1:1">
      <c r="A6377" t="inlineStr">
        <is>
          <t>Pulong Sampalok</t>
        </is>
      </c>
    </row>
    <row r="6378" spans="1:1">
      <c r="A6378" t="inlineStr">
        <is>
          <t>Sapang Bulak</t>
        </is>
      </c>
    </row>
    <row r="6379" spans="1:1">
      <c r="A6379" t="inlineStr">
        <is>
          <t>Talbak</t>
        </is>
      </c>
    </row>
    <row r="6380" spans="1:1">
      <c r="A6380" t="inlineStr">
        <is>
          <t>Cutcut</t>
        </is>
      </c>
    </row>
    <row r="6381" spans="1:1">
      <c r="A6381" t="inlineStr">
        <is>
          <t>Daungan</t>
        </is>
      </c>
    </row>
    <row r="6382" spans="1:1">
      <c r="A6382" t="inlineStr">
        <is>
          <t>Ilang-Ilang</t>
        </is>
      </c>
    </row>
    <row r="6383" spans="1:1">
      <c r="A6383" t="inlineStr">
        <is>
          <t>Malis</t>
        </is>
      </c>
    </row>
    <row r="6384" spans="1:1">
      <c r="A6384" t="inlineStr">
        <is>
          <t>Panginay</t>
        </is>
      </c>
    </row>
    <row r="6385" spans="1:1">
      <c r="A6385" t="inlineStr">
        <is>
          <t>Poblacion</t>
        </is>
      </c>
    </row>
    <row r="6386" spans="1:1">
      <c r="A6386" t="inlineStr">
        <is>
          <t>Pritil</t>
        </is>
      </c>
    </row>
    <row r="6387" spans="1:1">
      <c r="A6387" t="inlineStr">
        <is>
          <t>Pulong Gubat</t>
        </is>
      </c>
    </row>
    <row r="6388" spans="1:1">
      <c r="A6388" t="inlineStr">
        <is>
          <t>Santa Cruz</t>
        </is>
      </c>
    </row>
    <row r="6389" spans="1:1">
      <c r="A6389" t="inlineStr">
        <is>
          <t>Santa Rita</t>
        </is>
      </c>
    </row>
    <row r="6390" spans="1:1">
      <c r="A6390" t="inlineStr">
        <is>
          <t>Tabang</t>
        </is>
      </c>
    </row>
    <row r="6391" spans="1:1">
      <c r="A6391" t="inlineStr">
        <is>
          <t>Tabe</t>
        </is>
      </c>
    </row>
    <row r="6392" spans="1:1">
      <c r="A6392" t="inlineStr">
        <is>
          <t>Tiaong</t>
        </is>
      </c>
    </row>
    <row r="6393" spans="1:1">
      <c r="A6393" t="inlineStr">
        <is>
          <t>Tuktukan</t>
        </is>
      </c>
    </row>
    <row r="6394" spans="1:1">
      <c r="A6394" t="inlineStr">
        <is>
          <t>Abulalas</t>
        </is>
      </c>
    </row>
    <row r="6395" spans="1:1">
      <c r="A6395" t="inlineStr">
        <is>
          <t>Carillo</t>
        </is>
      </c>
    </row>
    <row r="6396" spans="1:1">
      <c r="A6396" t="inlineStr">
        <is>
          <t>Iba</t>
        </is>
      </c>
    </row>
    <row r="6397" spans="1:1">
      <c r="A6397" t="inlineStr">
        <is>
          <t>Iba-Ibayo</t>
        </is>
      </c>
    </row>
    <row r="6398" spans="1:1">
      <c r="A6398" t="inlineStr">
        <is>
          <t>Mercado</t>
        </is>
      </c>
    </row>
    <row r="6399" spans="1:1">
      <c r="A6399" t="inlineStr">
        <is>
          <t>Palapat</t>
        </is>
      </c>
    </row>
    <row r="6400" spans="1:1">
      <c r="A6400" t="inlineStr">
        <is>
          <t>Pugad</t>
        </is>
      </c>
    </row>
    <row r="6401" spans="1:1">
      <c r="A6401" t="inlineStr">
        <is>
          <t>Sagrada Familia</t>
        </is>
      </c>
    </row>
    <row r="6402" spans="1:1">
      <c r="A6402" t="inlineStr">
        <is>
          <t>San Agustin</t>
        </is>
      </c>
    </row>
    <row r="6403" spans="1:1">
      <c r="A6403" t="inlineStr">
        <is>
          <t>San Isidro</t>
        </is>
      </c>
    </row>
    <row r="6404" spans="1:1">
      <c r="A6404" t="inlineStr">
        <is>
          <t>San Jose</t>
        </is>
      </c>
    </row>
    <row r="6405" spans="1:1">
      <c r="A6405" t="inlineStr">
        <is>
          <t>San Juan</t>
        </is>
      </c>
    </row>
    <row r="6406" spans="1:1">
      <c r="A6406" t="inlineStr">
        <is>
          <t>San Miguel</t>
        </is>
      </c>
    </row>
    <row r="6407" spans="1:1">
      <c r="A6407" t="inlineStr">
        <is>
          <t>San Nicolas</t>
        </is>
      </c>
    </row>
    <row r="6408" spans="1:1">
      <c r="A6408" t="inlineStr">
        <is>
          <t>San Pablo</t>
        </is>
      </c>
    </row>
    <row r="6409" spans="1:1">
      <c r="A6409" t="inlineStr">
        <is>
          <t>San Pascual</t>
        </is>
      </c>
    </row>
    <row r="6410" spans="1:1">
      <c r="A6410" t="inlineStr">
        <is>
          <t>San Pedro</t>
        </is>
      </c>
    </row>
    <row r="6411" spans="1:1">
      <c r="A6411" t="inlineStr">
        <is>
          <t>San Roque</t>
        </is>
      </c>
    </row>
    <row r="6412" spans="1:1">
      <c r="A6412" t="inlineStr">
        <is>
          <t>San Sebastian</t>
        </is>
      </c>
    </row>
    <row r="6413" spans="1:1">
      <c r="A6413" t="inlineStr">
        <is>
          <t>Santa Cruz</t>
        </is>
      </c>
    </row>
    <row r="6414" spans="1:1">
      <c r="A6414" t="inlineStr">
        <is>
          <t>Santa Elena</t>
        </is>
      </c>
    </row>
    <row r="6415" spans="1:1">
      <c r="A6415" t="inlineStr">
        <is>
          <t>Santa Monica</t>
        </is>
      </c>
    </row>
    <row r="6416" spans="1:1">
      <c r="A6416" t="inlineStr">
        <is>
          <t>Santo Niño</t>
        </is>
      </c>
    </row>
    <row r="6417" spans="1:1">
      <c r="A6417" t="inlineStr">
        <is>
          <t>Santo Rosario</t>
        </is>
      </c>
    </row>
    <row r="6418" spans="1:1">
      <c r="A6418" t="inlineStr">
        <is>
          <t>Tampok</t>
        </is>
      </c>
    </row>
    <row r="6419" spans="1:1">
      <c r="A6419" t="inlineStr">
        <is>
          <t>Tibaguin</t>
        </is>
      </c>
    </row>
    <row r="6420" spans="1:1">
      <c r="A6420" t="inlineStr">
        <is>
          <t>Abangan Norte</t>
        </is>
      </c>
    </row>
    <row r="6421" spans="1:1">
      <c r="A6421" t="inlineStr">
        <is>
          <t>Abangan Sur</t>
        </is>
      </c>
    </row>
    <row r="6422" spans="1:1">
      <c r="A6422" t="inlineStr">
        <is>
          <t>Ibayo</t>
        </is>
      </c>
    </row>
    <row r="6423" spans="1:1">
      <c r="A6423" t="inlineStr">
        <is>
          <t>Lambakin</t>
        </is>
      </c>
    </row>
    <row r="6424" spans="1:1">
      <c r="A6424" t="inlineStr">
        <is>
          <t>Lias</t>
        </is>
      </c>
    </row>
    <row r="6425" spans="1:1">
      <c r="A6425" t="inlineStr">
        <is>
          <t>Loma de Gato</t>
        </is>
      </c>
    </row>
    <row r="6426" spans="1:1">
      <c r="A6426" t="inlineStr">
        <is>
          <t>Nagbalon</t>
        </is>
      </c>
    </row>
    <row r="6427" spans="1:1">
      <c r="A6427" t="inlineStr">
        <is>
          <t>Patubig</t>
        </is>
      </c>
    </row>
    <row r="6428" spans="1:1">
      <c r="A6428" t="inlineStr">
        <is>
          <t>Poblacion I</t>
        </is>
      </c>
    </row>
    <row r="6429" spans="1:1">
      <c r="A6429" t="inlineStr">
        <is>
          <t>Poblacion II</t>
        </is>
      </c>
    </row>
    <row r="6430" spans="1:1">
      <c r="A6430" t="inlineStr">
        <is>
          <t>Prenza I</t>
        </is>
      </c>
    </row>
    <row r="6431" spans="1:1">
      <c r="A6431" t="inlineStr">
        <is>
          <t>Prenza II</t>
        </is>
      </c>
    </row>
    <row r="6432" spans="1:1">
      <c r="A6432" t="inlineStr">
        <is>
          <t>Santa Rosa I</t>
        </is>
      </c>
    </row>
    <row r="6433" spans="1:1">
      <c r="A6433" t="inlineStr">
        <is>
          <t>Santa Rosa II</t>
        </is>
      </c>
    </row>
    <row r="6434" spans="1:1">
      <c r="A6434" t="inlineStr">
        <is>
          <t>Saog</t>
        </is>
      </c>
    </row>
    <row r="6435" spans="1:1">
      <c r="A6435" t="inlineStr">
        <is>
          <t>Tabing Ilog</t>
        </is>
      </c>
    </row>
    <row r="6436" spans="1:1">
      <c r="A6436" t="inlineStr">
        <is>
          <t>Bangkal</t>
        </is>
      </c>
    </row>
    <row r="6437" spans="1:1">
      <c r="A6437" t="inlineStr">
        <is>
          <t>Baraka</t>
        </is>
      </c>
    </row>
    <row r="6438" spans="1:1">
      <c r="A6438" t="inlineStr">
        <is>
          <t>Bigte</t>
        </is>
      </c>
    </row>
    <row r="6439" spans="1:1">
      <c r="A6439" t="inlineStr">
        <is>
          <t>Bitungol</t>
        </is>
      </c>
    </row>
    <row r="6440" spans="1:1">
      <c r="A6440" t="inlineStr">
        <is>
          <t>Friendship Village Resources</t>
        </is>
      </c>
    </row>
    <row r="6441" spans="1:1">
      <c r="A6441" t="inlineStr">
        <is>
          <t>Matictic</t>
        </is>
      </c>
    </row>
    <row r="6442" spans="1:1">
      <c r="A6442" t="inlineStr">
        <is>
          <t>Minuyan</t>
        </is>
      </c>
    </row>
    <row r="6443" spans="1:1">
      <c r="A6443" t="inlineStr">
        <is>
          <t>Partida</t>
        </is>
      </c>
    </row>
    <row r="6444" spans="1:1">
      <c r="A6444" t="inlineStr">
        <is>
          <t>Pinagtulayan</t>
        </is>
      </c>
    </row>
    <row r="6445" spans="1:1">
      <c r="A6445" t="inlineStr">
        <is>
          <t>Poblacion</t>
        </is>
      </c>
    </row>
    <row r="6446" spans="1:1">
      <c r="A6446" t="inlineStr">
        <is>
          <t>San Lorenzo</t>
        </is>
      </c>
    </row>
    <row r="6447" spans="1:1">
      <c r="A6447" t="inlineStr">
        <is>
          <t>San Mateo</t>
        </is>
      </c>
    </row>
    <row r="6448" spans="1:1">
      <c r="A6448" t="inlineStr">
        <is>
          <t>Tigbe</t>
        </is>
      </c>
    </row>
    <row r="6449" spans="1:1">
      <c r="A6449" t="inlineStr">
        <is>
          <t>Binuangan</t>
        </is>
      </c>
    </row>
    <row r="6450" spans="1:1">
      <c r="A6450" t="inlineStr">
        <is>
          <t>Catanghalan</t>
        </is>
      </c>
    </row>
    <row r="6451" spans="1:1">
      <c r="A6451" t="inlineStr">
        <is>
          <t>Hulo</t>
        </is>
      </c>
    </row>
    <row r="6452" spans="1:1">
      <c r="A6452" t="inlineStr">
        <is>
          <t>Lawa</t>
        </is>
      </c>
    </row>
    <row r="6453" spans="1:1">
      <c r="A6453" t="inlineStr">
        <is>
          <t>Paco</t>
        </is>
      </c>
    </row>
    <row r="6454" spans="1:1">
      <c r="A6454" t="inlineStr">
        <is>
          <t>Pag-asa</t>
        </is>
      </c>
    </row>
    <row r="6455" spans="1:1">
      <c r="A6455" t="inlineStr">
        <is>
          <t>Paliwas</t>
        </is>
      </c>
    </row>
    <row r="6456" spans="1:1">
      <c r="A6456" t="inlineStr">
        <is>
          <t>Panghulo</t>
        </is>
      </c>
    </row>
    <row r="6457" spans="1:1">
      <c r="A6457" t="inlineStr">
        <is>
          <t>Salambao</t>
        </is>
      </c>
    </row>
    <row r="6458" spans="1:1">
      <c r="A6458" t="inlineStr">
        <is>
          <t>San Pascual</t>
        </is>
      </c>
    </row>
    <row r="6459" spans="1:1">
      <c r="A6459" t="inlineStr">
        <is>
          <t>Tawiran</t>
        </is>
      </c>
    </row>
    <row r="6460" spans="1:1">
      <c r="A6460" t="inlineStr">
        <is>
          <t>Bagbaguin</t>
        </is>
      </c>
    </row>
    <row r="6461" spans="1:1">
      <c r="A6461" t="inlineStr">
        <is>
          <t>Bagong Barrio</t>
        </is>
      </c>
    </row>
    <row r="6462" spans="1:1">
      <c r="A6462" t="inlineStr">
        <is>
          <t>Baka-bakahan</t>
        </is>
      </c>
    </row>
    <row r="6463" spans="1:1">
      <c r="A6463" t="inlineStr">
        <is>
          <t>Bunsuran I</t>
        </is>
      </c>
    </row>
    <row r="6464" spans="1:1">
      <c r="A6464" t="inlineStr">
        <is>
          <t>Bunsuran II</t>
        </is>
      </c>
    </row>
    <row r="6465" spans="1:1">
      <c r="A6465" t="inlineStr">
        <is>
          <t>Bunsuran III</t>
        </is>
      </c>
    </row>
    <row r="6466" spans="1:1">
      <c r="A6466" t="inlineStr">
        <is>
          <t>Cacarong Bata</t>
        </is>
      </c>
    </row>
    <row r="6467" spans="1:1">
      <c r="A6467" t="inlineStr">
        <is>
          <t>Cacarong Matanda</t>
        </is>
      </c>
    </row>
    <row r="6468" spans="1:1">
      <c r="A6468" t="inlineStr">
        <is>
          <t>Cupang</t>
        </is>
      </c>
    </row>
    <row r="6469" spans="1:1">
      <c r="A6469" t="inlineStr">
        <is>
          <t>Malibong Bata</t>
        </is>
      </c>
    </row>
    <row r="6470" spans="1:1">
      <c r="A6470" t="inlineStr">
        <is>
          <t>Malibong Matanda</t>
        </is>
      </c>
    </row>
    <row r="6471" spans="1:1">
      <c r="A6471" t="inlineStr">
        <is>
          <t>Manatal</t>
        </is>
      </c>
    </row>
    <row r="6472" spans="1:1">
      <c r="A6472" t="inlineStr">
        <is>
          <t>Mapulang Lupa</t>
        </is>
      </c>
    </row>
    <row r="6473" spans="1:1">
      <c r="A6473" t="inlineStr">
        <is>
          <t>Masagana</t>
        </is>
      </c>
    </row>
    <row r="6474" spans="1:1">
      <c r="A6474" t="inlineStr">
        <is>
          <t>Masuso</t>
        </is>
      </c>
    </row>
    <row r="6475" spans="1:1">
      <c r="A6475" t="inlineStr">
        <is>
          <t>Pinagkuartelan</t>
        </is>
      </c>
    </row>
    <row r="6476" spans="1:1">
      <c r="A6476" t="inlineStr">
        <is>
          <t>Poblacion</t>
        </is>
      </c>
    </row>
    <row r="6477" spans="1:1">
      <c r="A6477" t="inlineStr">
        <is>
          <t>Real de Cacarong</t>
        </is>
      </c>
    </row>
    <row r="6478" spans="1:1">
      <c r="A6478" t="inlineStr">
        <is>
          <t>San Roque</t>
        </is>
      </c>
    </row>
    <row r="6479" spans="1:1">
      <c r="A6479" t="inlineStr">
        <is>
          <t>Santo Niño</t>
        </is>
      </c>
    </row>
    <row r="6480" spans="1:1">
      <c r="A6480" t="inlineStr">
        <is>
          <t>Siling Bata</t>
        </is>
      </c>
    </row>
    <row r="6481" spans="1:1">
      <c r="A6481" t="inlineStr">
        <is>
          <t>Siling Matanda</t>
        </is>
      </c>
    </row>
    <row r="6482" spans="1:1">
      <c r="A6482" t="inlineStr">
        <is>
          <t>Binakod</t>
        </is>
      </c>
    </row>
    <row r="6483" spans="1:1">
      <c r="A6483" t="inlineStr">
        <is>
          <t>Kapitangan</t>
        </is>
      </c>
    </row>
    <row r="6484" spans="1:1">
      <c r="A6484" t="inlineStr">
        <is>
          <t>Malumot</t>
        </is>
      </c>
    </row>
    <row r="6485" spans="1:1">
      <c r="A6485" t="inlineStr">
        <is>
          <t>Masukol</t>
        </is>
      </c>
    </row>
    <row r="6486" spans="1:1">
      <c r="A6486" t="inlineStr">
        <is>
          <t>Pinalagdan</t>
        </is>
      </c>
    </row>
    <row r="6487" spans="1:1">
      <c r="A6487" t="inlineStr">
        <is>
          <t>Poblacion</t>
        </is>
      </c>
    </row>
    <row r="6488" spans="1:1">
      <c r="A6488" t="inlineStr">
        <is>
          <t>San Isidro I</t>
        </is>
      </c>
    </row>
    <row r="6489" spans="1:1">
      <c r="A6489" t="inlineStr">
        <is>
          <t>San Isidro II</t>
        </is>
      </c>
    </row>
    <row r="6490" spans="1:1">
      <c r="A6490" t="inlineStr">
        <is>
          <t>San Jose</t>
        </is>
      </c>
    </row>
    <row r="6491" spans="1:1">
      <c r="A6491" t="inlineStr">
        <is>
          <t>San Roque</t>
        </is>
      </c>
    </row>
    <row r="6492" spans="1:1">
      <c r="A6492" t="inlineStr">
        <is>
          <t>San Vicente</t>
        </is>
      </c>
    </row>
    <row r="6493" spans="1:1">
      <c r="A6493" t="inlineStr">
        <is>
          <t>Santa Cruz</t>
        </is>
      </c>
    </row>
    <row r="6494" spans="1:1">
      <c r="A6494" t="inlineStr">
        <is>
          <t>Santo Niño</t>
        </is>
      </c>
    </row>
    <row r="6495" spans="1:1">
      <c r="A6495" t="inlineStr">
        <is>
          <t>Santo Rosario</t>
        </is>
      </c>
    </row>
    <row r="6496" spans="1:1">
      <c r="A6496" t="inlineStr">
        <is>
          <t>Agnaya</t>
        </is>
      </c>
    </row>
    <row r="6497" spans="1:1">
      <c r="A6497" t="inlineStr">
        <is>
          <t>Bagong Silang</t>
        </is>
      </c>
    </row>
    <row r="6498" spans="1:1">
      <c r="A6498" t="inlineStr">
        <is>
          <t>Banga I</t>
        </is>
      </c>
    </row>
    <row r="6499" spans="1:1">
      <c r="A6499" t="inlineStr">
        <is>
          <t>Banga II</t>
        </is>
      </c>
    </row>
    <row r="6500" spans="1:1">
      <c r="A6500" t="inlineStr">
        <is>
          <t>Bintog</t>
        </is>
      </c>
    </row>
    <row r="6501" spans="1:1">
      <c r="A6501" t="inlineStr">
        <is>
          <t>Bulihan</t>
        </is>
      </c>
    </row>
    <row r="6502" spans="1:1">
      <c r="A6502" t="inlineStr">
        <is>
          <t>Culianin</t>
        </is>
      </c>
    </row>
    <row r="6503" spans="1:1">
      <c r="A6503" t="inlineStr">
        <is>
          <t>Dampol</t>
        </is>
      </c>
    </row>
    <row r="6504" spans="1:1">
      <c r="A6504" t="inlineStr">
        <is>
          <t>Lagundi</t>
        </is>
      </c>
    </row>
    <row r="6505" spans="1:1">
      <c r="A6505" t="inlineStr">
        <is>
          <t>Lalangan</t>
        </is>
      </c>
    </row>
    <row r="6506" spans="1:1">
      <c r="A6506" t="inlineStr">
        <is>
          <t>Lumang Bayan</t>
        </is>
      </c>
    </row>
    <row r="6507" spans="1:1">
      <c r="A6507" t="inlineStr">
        <is>
          <t>Parulan</t>
        </is>
      </c>
    </row>
    <row r="6508" spans="1:1">
      <c r="A6508" t="inlineStr">
        <is>
          <t>Poblacion</t>
        </is>
      </c>
    </row>
    <row r="6509" spans="1:1">
      <c r="A6509" t="inlineStr">
        <is>
          <t>Rueda</t>
        </is>
      </c>
    </row>
    <row r="6510" spans="1:1">
      <c r="A6510" t="inlineStr">
        <is>
          <t>San Jose</t>
        </is>
      </c>
    </row>
    <row r="6511" spans="1:1">
      <c r="A6511" t="inlineStr">
        <is>
          <t>Santa Ines</t>
        </is>
      </c>
    </row>
    <row r="6512" spans="1:1">
      <c r="A6512" t="inlineStr">
        <is>
          <t>Santo Niño</t>
        </is>
      </c>
    </row>
    <row r="6513" spans="1:1">
      <c r="A6513" t="inlineStr">
        <is>
          <t>Sipat</t>
        </is>
      </c>
    </row>
    <row r="6514" spans="1:1">
      <c r="A6514" t="inlineStr">
        <is>
          <t>Tabang</t>
        </is>
      </c>
    </row>
    <row r="6515" spans="1:1">
      <c r="A6515" t="inlineStr">
        <is>
          <t>Balatong A</t>
        </is>
      </c>
    </row>
    <row r="6516" spans="1:1">
      <c r="A6516" t="inlineStr">
        <is>
          <t>Balatong B</t>
        </is>
      </c>
    </row>
    <row r="6517" spans="1:1">
      <c r="A6517" t="inlineStr">
        <is>
          <t>Cutcot</t>
        </is>
      </c>
    </row>
    <row r="6518" spans="1:1">
      <c r="A6518" t="inlineStr">
        <is>
          <t>Dampol I</t>
        </is>
      </c>
    </row>
    <row r="6519" spans="1:1">
      <c r="A6519" t="inlineStr">
        <is>
          <t>Dampol II-A</t>
        </is>
      </c>
    </row>
    <row r="6520" spans="1:1">
      <c r="A6520" t="inlineStr">
        <is>
          <t>Dampol II-B</t>
        </is>
      </c>
    </row>
    <row r="6521" spans="1:1">
      <c r="A6521" t="inlineStr">
        <is>
          <t>Dulong Malabon</t>
        </is>
      </c>
    </row>
    <row r="6522" spans="1:1">
      <c r="A6522" t="inlineStr">
        <is>
          <t>Inaon</t>
        </is>
      </c>
    </row>
    <row r="6523" spans="1:1">
      <c r="A6523" t="inlineStr">
        <is>
          <t>Longos</t>
        </is>
      </c>
    </row>
    <row r="6524" spans="1:1">
      <c r="A6524" t="inlineStr">
        <is>
          <t>Lumbac</t>
        </is>
      </c>
    </row>
    <row r="6525" spans="1:1">
      <c r="A6525" t="inlineStr">
        <is>
          <t>Paltao</t>
        </is>
      </c>
    </row>
    <row r="6526" spans="1:1">
      <c r="A6526" t="inlineStr">
        <is>
          <t>Penabatan</t>
        </is>
      </c>
    </row>
    <row r="6527" spans="1:1">
      <c r="A6527" t="inlineStr">
        <is>
          <t>Poblacion</t>
        </is>
      </c>
    </row>
    <row r="6528" spans="1:1">
      <c r="A6528" t="inlineStr">
        <is>
          <t>Santa Peregrina</t>
        </is>
      </c>
    </row>
    <row r="6529" spans="1:1">
      <c r="A6529" t="inlineStr">
        <is>
          <t>Santo Cristo</t>
        </is>
      </c>
    </row>
    <row r="6530" spans="1:1">
      <c r="A6530" t="inlineStr">
        <is>
          <t>Taal</t>
        </is>
      </c>
    </row>
    <row r="6531" spans="1:1">
      <c r="A6531" t="inlineStr">
        <is>
          <t>Tabon</t>
        </is>
      </c>
    </row>
    <row r="6532" spans="1:1">
      <c r="A6532" t="inlineStr">
        <is>
          <t>Tibag</t>
        </is>
      </c>
    </row>
    <row r="6533" spans="1:1">
      <c r="A6533" t="inlineStr">
        <is>
          <t>Tinejero</t>
        </is>
      </c>
    </row>
    <row r="6534" spans="1:1">
      <c r="A6534" t="inlineStr">
        <is>
          <t>Akle</t>
        </is>
      </c>
    </row>
    <row r="6535" spans="1:1">
      <c r="A6535" t="inlineStr">
        <is>
          <t>Alagao</t>
        </is>
      </c>
    </row>
    <row r="6536" spans="1:1">
      <c r="A6536" t="inlineStr">
        <is>
          <t>Anyatam</t>
        </is>
      </c>
    </row>
    <row r="6537" spans="1:1">
      <c r="A6537" t="inlineStr">
        <is>
          <t>Bagong Barrio</t>
        </is>
      </c>
    </row>
    <row r="6538" spans="1:1">
      <c r="A6538" t="inlineStr">
        <is>
          <t>Basuit</t>
        </is>
      </c>
    </row>
    <row r="6539" spans="1:1">
      <c r="A6539" t="inlineStr">
        <is>
          <t>Bubulong Malaki</t>
        </is>
      </c>
    </row>
    <row r="6540" spans="1:1">
      <c r="A6540" t="inlineStr">
        <is>
          <t>Bubulong Munti</t>
        </is>
      </c>
    </row>
    <row r="6541" spans="1:1">
      <c r="A6541" t="inlineStr">
        <is>
          <t>Buhol na Mangga</t>
        </is>
      </c>
    </row>
    <row r="6542" spans="1:1">
      <c r="A6542" t="inlineStr">
        <is>
          <t>Bulusukan</t>
        </is>
      </c>
    </row>
    <row r="6543" spans="1:1">
      <c r="A6543" t="inlineStr">
        <is>
          <t>Calasag</t>
        </is>
      </c>
    </row>
    <row r="6544" spans="1:1">
      <c r="A6544" t="inlineStr">
        <is>
          <t>Calawitan</t>
        </is>
      </c>
    </row>
    <row r="6545" spans="1:1">
      <c r="A6545" t="inlineStr">
        <is>
          <t>Casalat</t>
        </is>
      </c>
    </row>
    <row r="6546" spans="1:1">
      <c r="A6546" t="inlineStr">
        <is>
          <t>Gabihan</t>
        </is>
      </c>
    </row>
    <row r="6547" spans="1:1">
      <c r="A6547" t="inlineStr">
        <is>
          <t>Garlang</t>
        </is>
      </c>
    </row>
    <row r="6548" spans="1:1">
      <c r="A6548" t="inlineStr">
        <is>
          <t>Lapnit</t>
        </is>
      </c>
    </row>
    <row r="6549" spans="1:1">
      <c r="A6549" t="inlineStr">
        <is>
          <t>Maasim</t>
        </is>
      </c>
    </row>
    <row r="6550" spans="1:1">
      <c r="A6550" t="inlineStr">
        <is>
          <t>Makapilapil</t>
        </is>
      </c>
    </row>
    <row r="6551" spans="1:1">
      <c r="A6551" t="inlineStr">
        <is>
          <t>Malipampang</t>
        </is>
      </c>
    </row>
    <row r="6552" spans="1:1">
      <c r="A6552" t="inlineStr">
        <is>
          <t>Mataas na Parang</t>
        </is>
      </c>
    </row>
    <row r="6553" spans="1:1">
      <c r="A6553" t="inlineStr">
        <is>
          <t>Matimbubong</t>
        </is>
      </c>
    </row>
    <row r="6554" spans="1:1">
      <c r="A6554" t="inlineStr">
        <is>
          <t>Nabaong Garlang</t>
        </is>
      </c>
    </row>
    <row r="6555" spans="1:1">
      <c r="A6555" t="inlineStr">
        <is>
          <t>Palapala</t>
        </is>
      </c>
    </row>
    <row r="6556" spans="1:1">
      <c r="A6556" t="inlineStr">
        <is>
          <t>Pasong Bangkal</t>
        </is>
      </c>
    </row>
    <row r="6557" spans="1:1">
      <c r="A6557" t="inlineStr">
        <is>
          <t>Pinaod</t>
        </is>
      </c>
    </row>
    <row r="6558" spans="1:1">
      <c r="A6558" t="inlineStr">
        <is>
          <t>Poblacion</t>
        </is>
      </c>
    </row>
    <row r="6559" spans="1:1">
      <c r="A6559" t="inlineStr">
        <is>
          <t>Pulong Tamo</t>
        </is>
      </c>
    </row>
    <row r="6560" spans="1:1">
      <c r="A6560" t="inlineStr">
        <is>
          <t>San Juan</t>
        </is>
      </c>
    </row>
    <row r="6561" spans="1:1">
      <c r="A6561" t="inlineStr">
        <is>
          <t>Santa Catalina Bata</t>
        </is>
      </c>
    </row>
    <row r="6562" spans="1:1">
      <c r="A6562" t="inlineStr">
        <is>
          <t>Santa Catalina Matanda</t>
        </is>
      </c>
    </row>
    <row r="6563" spans="1:1">
      <c r="A6563" t="inlineStr">
        <is>
          <t>Sapang Dayap</t>
        </is>
      </c>
    </row>
    <row r="6564" spans="1:1">
      <c r="A6564" t="inlineStr">
        <is>
          <t>Sapang Putik</t>
        </is>
      </c>
    </row>
    <row r="6565" spans="1:1">
      <c r="A6565" t="inlineStr">
        <is>
          <t>Sapang Putol</t>
        </is>
      </c>
    </row>
    <row r="6566" spans="1:1">
      <c r="A6566" t="inlineStr">
        <is>
          <t>Sumandig</t>
        </is>
      </c>
    </row>
    <row r="6567" spans="1:1">
      <c r="A6567" t="inlineStr">
        <is>
          <t>Telapatio</t>
        </is>
      </c>
    </row>
    <row r="6568" spans="1:1">
      <c r="A6568" t="inlineStr">
        <is>
          <t>Umpucan</t>
        </is>
      </c>
    </row>
    <row r="6569" spans="1:1">
      <c r="A6569" t="inlineStr">
        <is>
          <t>Upig</t>
        </is>
      </c>
    </row>
    <row r="6570" spans="1:1">
      <c r="A6570" t="inlineStr">
        <is>
          <t>Bagong Pag-asa</t>
        </is>
      </c>
    </row>
    <row r="6571" spans="1:1">
      <c r="A6571" t="inlineStr">
        <is>
          <t>Bagong Silang</t>
        </is>
      </c>
    </row>
    <row r="6572" spans="1:1">
      <c r="A6572" t="inlineStr">
        <is>
          <t>Balaong</t>
        </is>
      </c>
    </row>
    <row r="6573" spans="1:1">
      <c r="A6573" t="inlineStr">
        <is>
          <t>Balite</t>
        </is>
      </c>
    </row>
    <row r="6574" spans="1:1">
      <c r="A6574" t="inlineStr">
        <is>
          <t>Bantog</t>
        </is>
      </c>
    </row>
    <row r="6575" spans="1:1">
      <c r="A6575" t="inlineStr">
        <is>
          <t>Bardias</t>
        </is>
      </c>
    </row>
    <row r="6576" spans="1:1">
      <c r="A6576" t="inlineStr">
        <is>
          <t>Baritan</t>
        </is>
      </c>
    </row>
    <row r="6577" spans="1:1">
      <c r="A6577" t="inlineStr">
        <is>
          <t>Batasan Bata</t>
        </is>
      </c>
    </row>
    <row r="6578" spans="1:1">
      <c r="A6578" t="inlineStr">
        <is>
          <t>Batasan Matanda</t>
        </is>
      </c>
    </row>
    <row r="6579" spans="1:1">
      <c r="A6579" t="inlineStr">
        <is>
          <t>Biak-na-Bato</t>
        </is>
      </c>
    </row>
    <row r="6580" spans="1:1">
      <c r="A6580" t="inlineStr">
        <is>
          <t>Biclat</t>
        </is>
      </c>
    </row>
    <row r="6581" spans="1:1">
      <c r="A6581" t="inlineStr">
        <is>
          <t>Buga</t>
        </is>
      </c>
    </row>
    <row r="6582" spans="1:1">
      <c r="A6582" t="inlineStr">
        <is>
          <t>Buliran</t>
        </is>
      </c>
    </row>
    <row r="6583" spans="1:1">
      <c r="A6583" t="inlineStr">
        <is>
          <t>Bulualto</t>
        </is>
      </c>
    </row>
    <row r="6584" spans="1:1">
      <c r="A6584" t="inlineStr">
        <is>
          <t>Calumpang</t>
        </is>
      </c>
    </row>
    <row r="6585" spans="1:1">
      <c r="A6585" t="inlineStr">
        <is>
          <t>Cambio</t>
        </is>
      </c>
    </row>
    <row r="6586" spans="1:1">
      <c r="A6586" t="inlineStr">
        <is>
          <t>Camias</t>
        </is>
      </c>
    </row>
    <row r="6587" spans="1:1">
      <c r="A6587" t="inlineStr">
        <is>
          <t>Ilog-Bulo</t>
        </is>
      </c>
    </row>
    <row r="6588" spans="1:1">
      <c r="A6588" t="inlineStr">
        <is>
          <t>King Kabayo</t>
        </is>
      </c>
    </row>
    <row r="6589" spans="1:1">
      <c r="A6589" t="inlineStr">
        <is>
          <t>Labne</t>
        </is>
      </c>
    </row>
    <row r="6590" spans="1:1">
      <c r="A6590" t="inlineStr">
        <is>
          <t>Lambakin</t>
        </is>
      </c>
    </row>
    <row r="6591" spans="1:1">
      <c r="A6591" t="inlineStr">
        <is>
          <t>Magmarale</t>
        </is>
      </c>
    </row>
    <row r="6592" spans="1:1">
      <c r="A6592" t="inlineStr">
        <is>
          <t>Malibay</t>
        </is>
      </c>
    </row>
    <row r="6593" spans="1:1">
      <c r="A6593" t="inlineStr">
        <is>
          <t>Maligaya</t>
        </is>
      </c>
    </row>
    <row r="6594" spans="1:1">
      <c r="A6594" t="inlineStr">
        <is>
          <t>Mandile</t>
        </is>
      </c>
    </row>
    <row r="6595" spans="1:1">
      <c r="A6595" t="inlineStr">
        <is>
          <t>Masalipit</t>
        </is>
      </c>
    </row>
    <row r="6596" spans="1:1">
      <c r="A6596" t="inlineStr">
        <is>
          <t>Pacalag</t>
        </is>
      </c>
    </row>
    <row r="6597" spans="1:1">
      <c r="A6597" t="inlineStr">
        <is>
          <t>Paliwasan</t>
        </is>
      </c>
    </row>
    <row r="6598" spans="1:1">
      <c r="A6598" t="inlineStr">
        <is>
          <t>Partida</t>
        </is>
      </c>
    </row>
    <row r="6599" spans="1:1">
      <c r="A6599" t="inlineStr">
        <is>
          <t>Pinambaran</t>
        </is>
      </c>
    </row>
    <row r="6600" spans="1:1">
      <c r="A6600" t="inlineStr">
        <is>
          <t>Poblacion</t>
        </is>
      </c>
    </row>
    <row r="6601" spans="1:1">
      <c r="A6601" t="inlineStr">
        <is>
          <t>Pulong Bayabas</t>
        </is>
      </c>
    </row>
    <row r="6602" spans="1:1">
      <c r="A6602" t="inlineStr">
        <is>
          <t>Pulong Duhat</t>
        </is>
      </c>
    </row>
    <row r="6603" spans="1:1">
      <c r="A6603" t="inlineStr">
        <is>
          <t>Sacdalan</t>
        </is>
      </c>
    </row>
    <row r="6604" spans="1:1">
      <c r="A6604" t="inlineStr">
        <is>
          <t>Salacot</t>
        </is>
      </c>
    </row>
    <row r="6605" spans="1:1">
      <c r="A6605" t="inlineStr">
        <is>
          <t>Salangan</t>
        </is>
      </c>
    </row>
    <row r="6606" spans="1:1">
      <c r="A6606" t="inlineStr">
        <is>
          <t>San Agustin</t>
        </is>
      </c>
    </row>
    <row r="6607" spans="1:1">
      <c r="A6607" t="inlineStr">
        <is>
          <t>San Jose</t>
        </is>
      </c>
    </row>
    <row r="6608" spans="1:1">
      <c r="A6608" t="inlineStr">
        <is>
          <t>San Juan</t>
        </is>
      </c>
    </row>
    <row r="6609" spans="1:1">
      <c r="A6609" t="inlineStr">
        <is>
          <t>San Vicente</t>
        </is>
      </c>
    </row>
    <row r="6610" spans="1:1">
      <c r="A6610" t="inlineStr">
        <is>
          <t>Santa Ines</t>
        </is>
      </c>
    </row>
    <row r="6611" spans="1:1">
      <c r="A6611" t="inlineStr">
        <is>
          <t>Santa Lucia</t>
        </is>
      </c>
    </row>
    <row r="6612" spans="1:1">
      <c r="A6612" t="inlineStr">
        <is>
          <t>Santa Rita Bata</t>
        </is>
      </c>
    </row>
    <row r="6613" spans="1:1">
      <c r="A6613" t="inlineStr">
        <is>
          <t>Santa Rita Matanda</t>
        </is>
      </c>
    </row>
    <row r="6614" spans="1:1">
      <c r="A6614" t="inlineStr">
        <is>
          <t>Sapang</t>
        </is>
      </c>
    </row>
    <row r="6615" spans="1:1">
      <c r="A6615" t="inlineStr">
        <is>
          <t>Sibul</t>
        </is>
      </c>
    </row>
    <row r="6616" spans="1:1">
      <c r="A6616" t="inlineStr">
        <is>
          <t>Tartaro</t>
        </is>
      </c>
    </row>
    <row r="6617" spans="1:1">
      <c r="A6617" t="inlineStr">
        <is>
          <t>Tibagan</t>
        </is>
      </c>
    </row>
    <row r="6618" spans="1:1">
      <c r="A6618" t="inlineStr">
        <is>
          <t>Tigpalas</t>
        </is>
      </c>
    </row>
    <row r="6619" spans="1:1">
      <c r="A6619" t="inlineStr">
        <is>
          <t>Banca-banca</t>
        </is>
      </c>
    </row>
    <row r="6620" spans="1:1">
      <c r="A6620" t="inlineStr">
        <is>
          <t>BMA-Balagtas</t>
        </is>
      </c>
    </row>
    <row r="6621" spans="1:1">
      <c r="A6621" t="inlineStr">
        <is>
          <t>Caingin</t>
        </is>
      </c>
    </row>
    <row r="6622" spans="1:1">
      <c r="A6622" t="inlineStr">
        <is>
          <t>Capihan</t>
        </is>
      </c>
    </row>
    <row r="6623" spans="1:1">
      <c r="A6623" t="inlineStr">
        <is>
          <t>Coral na Bato</t>
        </is>
      </c>
    </row>
    <row r="6624" spans="1:1">
      <c r="A6624" t="inlineStr">
        <is>
          <t>Cruz na Daan</t>
        </is>
      </c>
    </row>
    <row r="6625" spans="1:1">
      <c r="A6625" t="inlineStr">
        <is>
          <t>Dagat-dagatan</t>
        </is>
      </c>
    </row>
    <row r="6626" spans="1:1">
      <c r="A6626" t="inlineStr">
        <is>
          <t>Diliman I</t>
        </is>
      </c>
    </row>
    <row r="6627" spans="1:1">
      <c r="A6627" t="inlineStr">
        <is>
          <t>Diliman II</t>
        </is>
      </c>
    </row>
    <row r="6628" spans="1:1">
      <c r="A6628" t="inlineStr">
        <is>
          <t>Libis</t>
        </is>
      </c>
    </row>
    <row r="6629" spans="1:1">
      <c r="A6629" t="inlineStr">
        <is>
          <t>Lico</t>
        </is>
      </c>
    </row>
    <row r="6630" spans="1:1">
      <c r="A6630" t="inlineStr">
        <is>
          <t>Maasim</t>
        </is>
      </c>
    </row>
    <row r="6631" spans="1:1">
      <c r="A6631" t="inlineStr">
        <is>
          <t>Mabalas-balas</t>
        </is>
      </c>
    </row>
    <row r="6632" spans="1:1">
      <c r="A6632" t="inlineStr">
        <is>
          <t>Maguinao</t>
        </is>
      </c>
    </row>
    <row r="6633" spans="1:1">
      <c r="A6633" t="inlineStr">
        <is>
          <t>Maronquillo</t>
        </is>
      </c>
    </row>
    <row r="6634" spans="1:1">
      <c r="A6634" t="inlineStr">
        <is>
          <t>Paco</t>
        </is>
      </c>
    </row>
    <row r="6635" spans="1:1">
      <c r="A6635" t="inlineStr">
        <is>
          <t>Pansumaloc</t>
        </is>
      </c>
    </row>
    <row r="6636" spans="1:1">
      <c r="A6636" t="inlineStr">
        <is>
          <t>Pantubig</t>
        </is>
      </c>
    </row>
    <row r="6637" spans="1:1">
      <c r="A6637" t="inlineStr">
        <is>
          <t>Pasong Bangkal</t>
        </is>
      </c>
    </row>
    <row r="6638" spans="1:1">
      <c r="A6638" t="inlineStr">
        <is>
          <t>Pasong Callos</t>
        </is>
      </c>
    </row>
    <row r="6639" spans="1:1">
      <c r="A6639" t="inlineStr">
        <is>
          <t>Pasong Intsik</t>
        </is>
      </c>
    </row>
    <row r="6640" spans="1:1">
      <c r="A6640" t="inlineStr">
        <is>
          <t>Pinacpinacan</t>
        </is>
      </c>
    </row>
    <row r="6641" spans="1:1">
      <c r="A6641" t="inlineStr">
        <is>
          <t>Poblacion</t>
        </is>
      </c>
    </row>
    <row r="6642" spans="1:1">
      <c r="A6642" t="inlineStr">
        <is>
          <t>Pulo</t>
        </is>
      </c>
    </row>
    <row r="6643" spans="1:1">
      <c r="A6643" t="inlineStr">
        <is>
          <t>Pulong Bayabas</t>
        </is>
      </c>
    </row>
    <row r="6644" spans="1:1">
      <c r="A6644" t="inlineStr">
        <is>
          <t>Salapungan</t>
        </is>
      </c>
    </row>
    <row r="6645" spans="1:1">
      <c r="A6645" t="inlineStr">
        <is>
          <t>Sampaloc</t>
        </is>
      </c>
    </row>
    <row r="6646" spans="1:1">
      <c r="A6646" t="inlineStr">
        <is>
          <t>San Agustin</t>
        </is>
      </c>
    </row>
    <row r="6647" spans="1:1">
      <c r="A6647" t="inlineStr">
        <is>
          <t>San Roque</t>
        </is>
      </c>
    </row>
    <row r="6648" spans="1:1">
      <c r="A6648" t="inlineStr">
        <is>
          <t>Sapang Pahalang</t>
        </is>
      </c>
    </row>
    <row r="6649" spans="1:1">
      <c r="A6649" t="inlineStr">
        <is>
          <t>Talacsan</t>
        </is>
      </c>
    </row>
    <row r="6650" spans="1:1">
      <c r="A6650" t="inlineStr">
        <is>
          <t>Tambubong</t>
        </is>
      </c>
    </row>
    <row r="6651" spans="1:1">
      <c r="A6651" t="inlineStr">
        <is>
          <t>Tukod</t>
        </is>
      </c>
    </row>
    <row r="6652" spans="1:1">
      <c r="A6652" t="inlineStr">
        <is>
          <t>Ulingao</t>
        </is>
      </c>
    </row>
    <row r="6653" spans="1:1">
      <c r="A6653" t="inlineStr">
        <is>
          <t>Bagbaguin</t>
        </is>
      </c>
    </row>
    <row r="6654" spans="1:1">
      <c r="A6654" t="inlineStr">
        <is>
          <t>Balasing</t>
        </is>
      </c>
    </row>
    <row r="6655" spans="1:1">
      <c r="A6655" t="inlineStr">
        <is>
          <t>Buenavista</t>
        </is>
      </c>
    </row>
    <row r="6656" spans="1:1">
      <c r="A6656" t="inlineStr">
        <is>
          <t>Bulac</t>
        </is>
      </c>
    </row>
    <row r="6657" spans="1:1">
      <c r="A6657" t="inlineStr">
        <is>
          <t>Camangyanan</t>
        </is>
      </c>
    </row>
    <row r="6658" spans="1:1">
      <c r="A6658" t="inlineStr">
        <is>
          <t>Catmon</t>
        </is>
      </c>
    </row>
    <row r="6659" spans="1:1">
      <c r="A6659" t="inlineStr">
        <is>
          <t>Cay Pombo</t>
        </is>
      </c>
    </row>
    <row r="6660" spans="1:1">
      <c r="A6660" t="inlineStr">
        <is>
          <t>Caysio</t>
        </is>
      </c>
    </row>
    <row r="6661" spans="1:1">
      <c r="A6661" t="inlineStr">
        <is>
          <t>Guyong</t>
        </is>
      </c>
    </row>
    <row r="6662" spans="1:1">
      <c r="A6662" t="inlineStr">
        <is>
          <t>Lalakhan</t>
        </is>
      </c>
    </row>
    <row r="6663" spans="1:1">
      <c r="A6663" t="inlineStr">
        <is>
          <t>Mag-asawang Sapa</t>
        </is>
      </c>
    </row>
    <row r="6664" spans="1:1">
      <c r="A6664" t="inlineStr">
        <is>
          <t>Mahabang Parang</t>
        </is>
      </c>
    </row>
    <row r="6665" spans="1:1">
      <c r="A6665" t="inlineStr">
        <is>
          <t>Manggahan</t>
        </is>
      </c>
    </row>
    <row r="6666" spans="1:1">
      <c r="A6666" t="inlineStr">
        <is>
          <t>Parada</t>
        </is>
      </c>
    </row>
    <row r="6667" spans="1:1">
      <c r="A6667" t="inlineStr">
        <is>
          <t>Poblacion</t>
        </is>
      </c>
    </row>
    <row r="6668" spans="1:1">
      <c r="A6668" t="inlineStr">
        <is>
          <t>Pulong Buhangin</t>
        </is>
      </c>
    </row>
    <row r="6669" spans="1:1">
      <c r="A6669" t="inlineStr">
        <is>
          <t>San Gabriel</t>
        </is>
      </c>
    </row>
    <row r="6670" spans="1:1">
      <c r="A6670" t="inlineStr">
        <is>
          <t>San Jose Patag</t>
        </is>
      </c>
    </row>
    <row r="6671" spans="1:1">
      <c r="A6671" t="inlineStr">
        <is>
          <t>San Vicente</t>
        </is>
      </c>
    </row>
    <row r="6672" spans="1:1">
      <c r="A6672" t="inlineStr">
        <is>
          <t>Silangan</t>
        </is>
      </c>
    </row>
    <row r="6673" spans="1:1">
      <c r="A6673" t="inlineStr">
        <is>
          <t>Sta. Clara</t>
        </is>
      </c>
    </row>
    <row r="6674" spans="1:1">
      <c r="A6674" t="inlineStr">
        <is>
          <t>Sta. Cruz</t>
        </is>
      </c>
    </row>
    <row r="6675" spans="1:1">
      <c r="A6675" t="inlineStr">
        <is>
          <t>Tabing Bakod</t>
        </is>
      </c>
    </row>
    <row r="6676" spans="1:1">
      <c r="A6676" t="inlineStr">
        <is>
          <t>Tumana</t>
        </is>
      </c>
    </row>
    <row r="6677" spans="1:1">
      <c r="A6677" t="inlineStr">
        <is>
          <t>Alinunu</t>
        </is>
      </c>
    </row>
    <row r="6678" spans="1:1">
      <c r="A6678" t="inlineStr">
        <is>
          <t>Bagu</t>
        </is>
      </c>
    </row>
    <row r="6679" spans="1:1">
      <c r="A6679" t="inlineStr">
        <is>
          <t>Banguian</t>
        </is>
      </c>
    </row>
    <row r="6680" spans="1:1">
      <c r="A6680" t="inlineStr">
        <is>
          <t>Calog Norte</t>
        </is>
      </c>
    </row>
    <row r="6681" spans="1:1">
      <c r="A6681" t="inlineStr">
        <is>
          <t>Calog Sur</t>
        </is>
      </c>
    </row>
    <row r="6682" spans="1:1">
      <c r="A6682" t="inlineStr">
        <is>
          <t>Canayun</t>
        </is>
      </c>
    </row>
    <row r="6683" spans="1:1">
      <c r="A6683" t="inlineStr">
        <is>
          <t>Centro</t>
        </is>
      </c>
    </row>
    <row r="6684" spans="1:1">
      <c r="A6684" t="inlineStr">
        <is>
          <t>Dana-Ili</t>
        </is>
      </c>
    </row>
    <row r="6685" spans="1:1">
      <c r="A6685" t="inlineStr">
        <is>
          <t>Guiddam</t>
        </is>
      </c>
    </row>
    <row r="6686" spans="1:1">
      <c r="A6686" t="inlineStr">
        <is>
          <t>Libertad</t>
        </is>
      </c>
    </row>
    <row r="6687" spans="1:1">
      <c r="A6687" t="inlineStr">
        <is>
          <t>Lucban</t>
        </is>
      </c>
    </row>
    <row r="6688" spans="1:1">
      <c r="A6688" t="inlineStr">
        <is>
          <t>Pinili</t>
        </is>
      </c>
    </row>
    <row r="6689" spans="1:1">
      <c r="A6689" t="inlineStr">
        <is>
          <t>San Agustin</t>
        </is>
      </c>
    </row>
    <row r="6690" spans="1:1">
      <c r="A6690" t="inlineStr">
        <is>
          <t>San Julian</t>
        </is>
      </c>
    </row>
    <row r="6691" spans="1:1">
      <c r="A6691" t="inlineStr">
        <is>
          <t>Santa Filomena</t>
        </is>
      </c>
    </row>
    <row r="6692" spans="1:1">
      <c r="A6692" t="inlineStr">
        <is>
          <t>Santa Rosa</t>
        </is>
      </c>
    </row>
    <row r="6693" spans="1:1">
      <c r="A6693" t="inlineStr">
        <is>
          <t>Santo Tomas</t>
        </is>
      </c>
    </row>
    <row r="6694" spans="1:1">
      <c r="A6694" t="inlineStr">
        <is>
          <t>Siguiran</t>
        </is>
      </c>
    </row>
    <row r="6695" spans="1:1">
      <c r="A6695" t="inlineStr">
        <is>
          <t>Simayung</t>
        </is>
      </c>
    </row>
    <row r="6696" spans="1:1">
      <c r="A6696" t="inlineStr">
        <is>
          <t>Sirit</t>
        </is>
      </c>
    </row>
    <row r="6697" spans="1:1">
      <c r="A6697" t="inlineStr">
        <is>
          <t>Abbeg</t>
        </is>
      </c>
    </row>
    <row r="6698" spans="1:1">
      <c r="A6698" t="inlineStr">
        <is>
          <t>Afusing Bato</t>
        </is>
      </c>
    </row>
    <row r="6699" spans="1:1">
      <c r="A6699" t="inlineStr">
        <is>
          <t>Afusing Daga</t>
        </is>
      </c>
    </row>
    <row r="6700" spans="1:1">
      <c r="A6700" t="inlineStr">
        <is>
          <t>Agani</t>
        </is>
      </c>
    </row>
    <row r="6701" spans="1:1">
      <c r="A6701" t="inlineStr">
        <is>
          <t>Baculod</t>
        </is>
      </c>
    </row>
    <row r="6702" spans="1:1">
      <c r="A6702" t="inlineStr">
        <is>
          <t>Baybayog</t>
        </is>
      </c>
    </row>
    <row r="6703" spans="1:1">
      <c r="A6703" t="inlineStr">
        <is>
          <t>Cabuluan</t>
        </is>
      </c>
    </row>
    <row r="6704" spans="1:1">
      <c r="A6704" t="inlineStr">
        <is>
          <t>Calantac</t>
        </is>
      </c>
    </row>
    <row r="6705" spans="1:1">
      <c r="A6705" t="inlineStr">
        <is>
          <t>Carallangan</t>
        </is>
      </c>
    </row>
    <row r="6706" spans="1:1">
      <c r="A6706" t="inlineStr">
        <is>
          <t>Centro Norte</t>
        </is>
      </c>
    </row>
    <row r="6707" spans="1:1">
      <c r="A6707" t="inlineStr">
        <is>
          <t>Centro Sur</t>
        </is>
      </c>
    </row>
    <row r="6708" spans="1:1">
      <c r="A6708" t="inlineStr">
        <is>
          <t>Dalaoig</t>
        </is>
      </c>
    </row>
    <row r="6709" spans="1:1">
      <c r="A6709" t="inlineStr">
        <is>
          <t>Damurog</t>
        </is>
      </c>
    </row>
    <row r="6710" spans="1:1">
      <c r="A6710" t="inlineStr">
        <is>
          <t>Jurisdiccion</t>
        </is>
      </c>
    </row>
    <row r="6711" spans="1:1">
      <c r="A6711" t="inlineStr">
        <is>
          <t>Malalatan</t>
        </is>
      </c>
    </row>
    <row r="6712" spans="1:1">
      <c r="A6712" t="inlineStr">
        <is>
          <t>Maraburab</t>
        </is>
      </c>
    </row>
    <row r="6713" spans="1:1">
      <c r="A6713" t="inlineStr">
        <is>
          <t>Masin</t>
        </is>
      </c>
    </row>
    <row r="6714" spans="1:1">
      <c r="A6714" t="inlineStr">
        <is>
          <t>Pagbangkeruan</t>
        </is>
      </c>
    </row>
    <row r="6715" spans="1:1">
      <c r="A6715" t="inlineStr">
        <is>
          <t>Pared</t>
        </is>
      </c>
    </row>
    <row r="6716" spans="1:1">
      <c r="A6716" t="inlineStr">
        <is>
          <t>Piggatan</t>
        </is>
      </c>
    </row>
    <row r="6717" spans="1:1">
      <c r="A6717" t="inlineStr">
        <is>
          <t>Pinopoc</t>
        </is>
      </c>
    </row>
    <row r="6718" spans="1:1">
      <c r="A6718" t="inlineStr">
        <is>
          <t>Pussian</t>
        </is>
      </c>
    </row>
    <row r="6719" spans="1:1">
      <c r="A6719" t="inlineStr">
        <is>
          <t>San Esteban</t>
        </is>
      </c>
    </row>
    <row r="6720" spans="1:1">
      <c r="A6720" t="inlineStr">
        <is>
          <t>Tamban</t>
        </is>
      </c>
    </row>
    <row r="6721" spans="1:1">
      <c r="A6721" t="inlineStr">
        <is>
          <t>Tupang</t>
        </is>
      </c>
    </row>
    <row r="6722" spans="1:1">
      <c r="A6722" t="inlineStr">
        <is>
          <t>Bessang</t>
        </is>
      </c>
    </row>
    <row r="6723" spans="1:1">
      <c r="A6723" t="inlineStr">
        <is>
          <t>Binobongan</t>
        </is>
      </c>
    </row>
    <row r="6724" spans="1:1">
      <c r="A6724" t="inlineStr">
        <is>
          <t>Bulo</t>
        </is>
      </c>
    </row>
    <row r="6725" spans="1:1">
      <c r="A6725" t="inlineStr">
        <is>
          <t>Burot</t>
        </is>
      </c>
    </row>
    <row r="6726" spans="1:1">
      <c r="A6726" t="inlineStr">
        <is>
          <t>Capagaran</t>
        </is>
      </c>
    </row>
    <row r="6727" spans="1:1">
      <c r="A6727" t="inlineStr">
        <is>
          <t>Capalutan</t>
        </is>
      </c>
    </row>
    <row r="6728" spans="1:1">
      <c r="A6728" t="inlineStr">
        <is>
          <t>Capanickian Norte</t>
        </is>
      </c>
    </row>
    <row r="6729" spans="1:1">
      <c r="A6729" t="inlineStr">
        <is>
          <t>Capanickian Sur</t>
        </is>
      </c>
    </row>
    <row r="6730" spans="1:1">
      <c r="A6730" t="inlineStr">
        <is>
          <t>Cataratan</t>
        </is>
      </c>
    </row>
    <row r="6731" spans="1:1">
      <c r="A6731" t="inlineStr">
        <is>
          <t>Centro East</t>
        </is>
      </c>
    </row>
    <row r="6732" spans="1:1">
      <c r="A6732" t="inlineStr">
        <is>
          <t>Centro West</t>
        </is>
      </c>
    </row>
    <row r="6733" spans="1:1">
      <c r="A6733" t="inlineStr">
        <is>
          <t>Daan-Ili</t>
        </is>
      </c>
    </row>
    <row r="6734" spans="1:1">
      <c r="A6734" t="inlineStr">
        <is>
          <t>Dagupan</t>
        </is>
      </c>
    </row>
    <row r="6735" spans="1:1">
      <c r="A6735" t="inlineStr">
        <is>
          <t>Dalayap</t>
        </is>
      </c>
    </row>
    <row r="6736" spans="1:1">
      <c r="A6736" t="inlineStr">
        <is>
          <t>Gagaddangan</t>
        </is>
      </c>
    </row>
    <row r="6737" spans="1:1">
      <c r="A6737" t="inlineStr">
        <is>
          <t>Iringan</t>
        </is>
      </c>
    </row>
    <row r="6738" spans="1:1">
      <c r="A6738" t="inlineStr">
        <is>
          <t>Labben</t>
        </is>
      </c>
    </row>
    <row r="6739" spans="1:1">
      <c r="A6739" t="inlineStr">
        <is>
          <t>Maluyo</t>
        </is>
      </c>
    </row>
    <row r="6740" spans="1:1">
      <c r="A6740" t="inlineStr">
        <is>
          <t>Mapurao</t>
        </is>
      </c>
    </row>
    <row r="6741" spans="1:1">
      <c r="A6741" t="inlineStr">
        <is>
          <t>Matucay</t>
        </is>
      </c>
    </row>
    <row r="6742" spans="1:1">
      <c r="A6742" t="inlineStr">
        <is>
          <t>Nagattatan</t>
        </is>
      </c>
    </row>
    <row r="6743" spans="1:1">
      <c r="A6743" t="inlineStr">
        <is>
          <t>Pacac</t>
        </is>
      </c>
    </row>
    <row r="6744" spans="1:1">
      <c r="A6744" t="inlineStr">
        <is>
          <t>San Juan</t>
        </is>
      </c>
    </row>
    <row r="6745" spans="1:1">
      <c r="A6745" t="inlineStr">
        <is>
          <t>Silagan</t>
        </is>
      </c>
    </row>
    <row r="6746" spans="1:1">
      <c r="A6746" t="inlineStr">
        <is>
          <t>Tamboli</t>
        </is>
      </c>
    </row>
    <row r="6747" spans="1:1">
      <c r="A6747" t="inlineStr">
        <is>
          <t>Tubel</t>
        </is>
      </c>
    </row>
    <row r="6748" spans="1:1">
      <c r="A6748" t="inlineStr">
        <is>
          <t>Utan</t>
        </is>
      </c>
    </row>
    <row r="6749" spans="1:1">
      <c r="A6749" t="inlineStr">
        <is>
          <t>Abolo</t>
        </is>
      </c>
    </row>
    <row r="6750" spans="1:1">
      <c r="A6750" t="inlineStr">
        <is>
          <t>Agguirit</t>
        </is>
      </c>
    </row>
    <row r="6751" spans="1:1">
      <c r="A6751" t="inlineStr">
        <is>
          <t>Alituntung</t>
        </is>
      </c>
    </row>
    <row r="6752" spans="1:1">
      <c r="A6752" t="inlineStr">
        <is>
          <t>Annabuculan</t>
        </is>
      </c>
    </row>
    <row r="6753" spans="1:1">
      <c r="A6753" t="inlineStr">
        <is>
          <t>Annafatan</t>
        </is>
      </c>
    </row>
    <row r="6754" spans="1:1">
      <c r="A6754" t="inlineStr">
        <is>
          <t>Anquiray</t>
        </is>
      </c>
    </row>
    <row r="6755" spans="1:1">
      <c r="A6755" t="inlineStr">
        <is>
          <t>Babayuan</t>
        </is>
      </c>
    </row>
    <row r="6756" spans="1:1">
      <c r="A6756" t="inlineStr">
        <is>
          <t>Baccuit</t>
        </is>
      </c>
    </row>
    <row r="6757" spans="1:1">
      <c r="A6757" t="inlineStr">
        <is>
          <t>Bacring</t>
        </is>
      </c>
    </row>
    <row r="6758" spans="1:1">
      <c r="A6758" t="inlineStr">
        <is>
          <t>Baculud</t>
        </is>
      </c>
    </row>
    <row r="6759" spans="1:1">
      <c r="A6759" t="inlineStr">
        <is>
          <t>Balauini</t>
        </is>
      </c>
    </row>
    <row r="6760" spans="1:1">
      <c r="A6760" t="inlineStr">
        <is>
          <t>Bauan</t>
        </is>
      </c>
    </row>
    <row r="6761" spans="1:1">
      <c r="A6761" t="inlineStr">
        <is>
          <t>Bayabat</t>
        </is>
      </c>
    </row>
    <row r="6762" spans="1:1">
      <c r="A6762" t="inlineStr">
        <is>
          <t>Calamagui</t>
        </is>
      </c>
    </row>
    <row r="6763" spans="1:1">
      <c r="A6763" t="inlineStr">
        <is>
          <t>Calintaan</t>
        </is>
      </c>
    </row>
    <row r="6764" spans="1:1">
      <c r="A6764" t="inlineStr">
        <is>
          <t>Caratacat</t>
        </is>
      </c>
    </row>
    <row r="6765" spans="1:1">
      <c r="A6765" t="inlineStr">
        <is>
          <t>Casingsingan Norte</t>
        </is>
      </c>
    </row>
    <row r="6766" spans="1:1">
      <c r="A6766" t="inlineStr">
        <is>
          <t>Casingsingan Sur</t>
        </is>
      </c>
    </row>
    <row r="6767" spans="1:1">
      <c r="A6767" t="inlineStr">
        <is>
          <t>Catarauan</t>
        </is>
      </c>
    </row>
    <row r="6768" spans="1:1">
      <c r="A6768" t="inlineStr">
        <is>
          <t>Centro</t>
        </is>
      </c>
    </row>
    <row r="6769" spans="1:1">
      <c r="A6769" t="inlineStr">
        <is>
          <t>Concepcion</t>
        </is>
      </c>
    </row>
    <row r="6770" spans="1:1">
      <c r="A6770" t="inlineStr">
        <is>
          <t>Cordova</t>
        </is>
      </c>
    </row>
    <row r="6771" spans="1:1">
      <c r="A6771" t="inlineStr">
        <is>
          <t>Dadda</t>
        </is>
      </c>
    </row>
    <row r="6772" spans="1:1">
      <c r="A6772" t="inlineStr">
        <is>
          <t>Dafunganay</t>
        </is>
      </c>
    </row>
    <row r="6773" spans="1:1">
      <c r="A6773" t="inlineStr">
        <is>
          <t>Dugayung</t>
        </is>
      </c>
    </row>
    <row r="6774" spans="1:1">
      <c r="A6774" t="inlineStr">
        <is>
          <t>Estefania</t>
        </is>
      </c>
    </row>
    <row r="6775" spans="1:1">
      <c r="A6775" t="inlineStr">
        <is>
          <t>Gabut</t>
        </is>
      </c>
    </row>
    <row r="6776" spans="1:1">
      <c r="A6776" t="inlineStr">
        <is>
          <t>Gangauan</t>
        </is>
      </c>
    </row>
    <row r="6777" spans="1:1">
      <c r="A6777" t="inlineStr">
        <is>
          <t>Goran</t>
        </is>
      </c>
    </row>
    <row r="6778" spans="1:1">
      <c r="A6778" t="inlineStr">
        <is>
          <t>Jurisdiccion</t>
        </is>
      </c>
    </row>
    <row r="6779" spans="1:1">
      <c r="A6779" t="inlineStr">
        <is>
          <t>La Suerte</t>
        </is>
      </c>
    </row>
    <row r="6780" spans="1:1">
      <c r="A6780" t="inlineStr">
        <is>
          <t>Logung</t>
        </is>
      </c>
    </row>
    <row r="6781" spans="1:1">
      <c r="A6781" t="inlineStr">
        <is>
          <t>Magogod</t>
        </is>
      </c>
    </row>
    <row r="6782" spans="1:1">
      <c r="A6782" t="inlineStr">
        <is>
          <t>Manalo</t>
        </is>
      </c>
    </row>
    <row r="6783" spans="1:1">
      <c r="A6783" t="inlineStr">
        <is>
          <t>Marobbob</t>
        </is>
      </c>
    </row>
    <row r="6784" spans="1:1">
      <c r="A6784" t="inlineStr">
        <is>
          <t>Masical</t>
        </is>
      </c>
    </row>
    <row r="6785" spans="1:1">
      <c r="A6785" t="inlineStr">
        <is>
          <t>Monte Alegre</t>
        </is>
      </c>
    </row>
    <row r="6786" spans="1:1">
      <c r="A6786" t="inlineStr">
        <is>
          <t>Nabbialan</t>
        </is>
      </c>
    </row>
    <row r="6787" spans="1:1">
      <c r="A6787" t="inlineStr">
        <is>
          <t>Nagsabaran</t>
        </is>
      </c>
    </row>
    <row r="6788" spans="1:1">
      <c r="A6788" t="inlineStr">
        <is>
          <t>Nangalasauan</t>
        </is>
      </c>
    </row>
    <row r="6789" spans="1:1">
      <c r="A6789" t="inlineStr">
        <is>
          <t>Nanuccauan</t>
        </is>
      </c>
    </row>
    <row r="6790" spans="1:1">
      <c r="A6790" t="inlineStr">
        <is>
          <t>Pacac-Grande</t>
        </is>
      </c>
    </row>
    <row r="6791" spans="1:1">
      <c r="A6791" t="inlineStr">
        <is>
          <t>Pacac-Pequeño</t>
        </is>
      </c>
    </row>
    <row r="6792" spans="1:1">
      <c r="A6792" t="inlineStr">
        <is>
          <t>Palacu</t>
        </is>
      </c>
    </row>
    <row r="6793" spans="1:1">
      <c r="A6793" t="inlineStr">
        <is>
          <t>Palayag</t>
        </is>
      </c>
    </row>
    <row r="6794" spans="1:1">
      <c r="A6794" t="inlineStr">
        <is>
          <t>Tana</t>
        </is>
      </c>
    </row>
    <row r="6795" spans="1:1">
      <c r="A6795" t="inlineStr">
        <is>
          <t>Unag</t>
        </is>
      </c>
    </row>
    <row r="6796" spans="1:1">
      <c r="A6796" t="inlineStr">
        <is>
          <t>Backiling</t>
        </is>
      </c>
    </row>
    <row r="6797" spans="1:1">
      <c r="A6797" t="inlineStr">
        <is>
          <t>Bangag</t>
        </is>
      </c>
    </row>
    <row r="6798" spans="1:1">
      <c r="A6798" t="inlineStr">
        <is>
          <t>Binalan</t>
        </is>
      </c>
    </row>
    <row r="6799" spans="1:1">
      <c r="A6799" t="inlineStr">
        <is>
          <t>Bisagu</t>
        </is>
      </c>
    </row>
    <row r="6800" spans="1:1">
      <c r="A6800" t="inlineStr">
        <is>
          <t>Bukig</t>
        </is>
      </c>
    </row>
    <row r="6801" spans="1:1">
      <c r="A6801" t="inlineStr">
        <is>
          <t>Bulala Norte</t>
        </is>
      </c>
    </row>
    <row r="6802" spans="1:1">
      <c r="A6802" t="inlineStr">
        <is>
          <t>Bulala Sur</t>
        </is>
      </c>
    </row>
    <row r="6803" spans="1:1">
      <c r="A6803" t="inlineStr">
        <is>
          <t>Caagaman</t>
        </is>
      </c>
    </row>
    <row r="6804" spans="1:1">
      <c r="A6804" t="inlineStr">
        <is>
          <t>Centro 1</t>
        </is>
      </c>
    </row>
    <row r="6805" spans="1:1">
      <c r="A6805" t="inlineStr">
        <is>
          <t>Centro 10</t>
        </is>
      </c>
    </row>
    <row r="6806" spans="1:1">
      <c r="A6806" t="inlineStr">
        <is>
          <t>Centro 11</t>
        </is>
      </c>
    </row>
    <row r="6807" spans="1:1">
      <c r="A6807" t="inlineStr">
        <is>
          <t>Centro 12</t>
        </is>
      </c>
    </row>
    <row r="6808" spans="1:1">
      <c r="A6808" t="inlineStr">
        <is>
          <t>Centro 13</t>
        </is>
      </c>
    </row>
    <row r="6809" spans="1:1">
      <c r="A6809" t="inlineStr">
        <is>
          <t>Centro 14</t>
        </is>
      </c>
    </row>
    <row r="6810" spans="1:1">
      <c r="A6810" t="inlineStr">
        <is>
          <t>Centro 15</t>
        </is>
      </c>
    </row>
    <row r="6811" spans="1:1">
      <c r="A6811" t="inlineStr">
        <is>
          <t>Centro 2</t>
        </is>
      </c>
    </row>
    <row r="6812" spans="1:1">
      <c r="A6812" t="inlineStr">
        <is>
          <t>Centro 3</t>
        </is>
      </c>
    </row>
    <row r="6813" spans="1:1">
      <c r="A6813" t="inlineStr">
        <is>
          <t>Centro 4</t>
        </is>
      </c>
    </row>
    <row r="6814" spans="1:1">
      <c r="A6814" t="inlineStr">
        <is>
          <t>Centro 5</t>
        </is>
      </c>
    </row>
    <row r="6815" spans="1:1">
      <c r="A6815" t="inlineStr">
        <is>
          <t>Centro 6</t>
        </is>
      </c>
    </row>
    <row r="6816" spans="1:1">
      <c r="A6816" t="inlineStr">
        <is>
          <t>Centro 7</t>
        </is>
      </c>
    </row>
    <row r="6817" spans="1:1">
      <c r="A6817" t="inlineStr">
        <is>
          <t>Centro 8</t>
        </is>
      </c>
    </row>
    <row r="6818" spans="1:1">
      <c r="A6818" t="inlineStr">
        <is>
          <t>Centro 9</t>
        </is>
      </c>
    </row>
    <row r="6819" spans="1:1">
      <c r="A6819" t="inlineStr">
        <is>
          <t>Dodan</t>
        </is>
      </c>
    </row>
    <row r="6820" spans="1:1">
      <c r="A6820" t="inlineStr">
        <is>
          <t>Fuga Island</t>
        </is>
      </c>
    </row>
    <row r="6821" spans="1:1">
      <c r="A6821" t="inlineStr">
        <is>
          <t>Gaddang</t>
        </is>
      </c>
    </row>
    <row r="6822" spans="1:1">
      <c r="A6822" t="inlineStr">
        <is>
          <t>Linao</t>
        </is>
      </c>
    </row>
    <row r="6823" spans="1:1">
      <c r="A6823" t="inlineStr">
        <is>
          <t>Mabanguc</t>
        </is>
      </c>
    </row>
    <row r="6824" spans="1:1">
      <c r="A6824" t="inlineStr">
        <is>
          <t>Macanaya</t>
        </is>
      </c>
    </row>
    <row r="6825" spans="1:1">
      <c r="A6825" t="inlineStr">
        <is>
          <t>Maura</t>
        </is>
      </c>
    </row>
    <row r="6826" spans="1:1">
      <c r="A6826" t="inlineStr">
        <is>
          <t>Minanga</t>
        </is>
      </c>
    </row>
    <row r="6827" spans="1:1">
      <c r="A6827" t="inlineStr">
        <is>
          <t>Navagan</t>
        </is>
      </c>
    </row>
    <row r="6828" spans="1:1">
      <c r="A6828" t="inlineStr">
        <is>
          <t>Paddaya</t>
        </is>
      </c>
    </row>
    <row r="6829" spans="1:1">
      <c r="A6829" t="inlineStr">
        <is>
          <t>Paruddun Norte</t>
        </is>
      </c>
    </row>
    <row r="6830" spans="1:1">
      <c r="A6830" t="inlineStr">
        <is>
          <t>Paruddun Sur</t>
        </is>
      </c>
    </row>
    <row r="6831" spans="1:1">
      <c r="A6831" t="inlineStr">
        <is>
          <t>Plaza</t>
        </is>
      </c>
    </row>
    <row r="6832" spans="1:1">
      <c r="A6832" t="inlineStr">
        <is>
          <t>Punta</t>
        </is>
      </c>
    </row>
    <row r="6833" spans="1:1">
      <c r="A6833" t="inlineStr">
        <is>
          <t>San Antonio</t>
        </is>
      </c>
    </row>
    <row r="6834" spans="1:1">
      <c r="A6834" t="inlineStr">
        <is>
          <t>Sanja</t>
        </is>
      </c>
    </row>
    <row r="6835" spans="1:1">
      <c r="A6835" t="inlineStr">
        <is>
          <t>Tallungan</t>
        </is>
      </c>
    </row>
    <row r="6836" spans="1:1">
      <c r="A6836" t="inlineStr">
        <is>
          <t>Toran</t>
        </is>
      </c>
    </row>
    <row r="6837" spans="1:1">
      <c r="A6837" t="inlineStr">
        <is>
          <t>Zinarag</t>
        </is>
      </c>
    </row>
    <row r="6838" spans="1:1">
      <c r="A6838" t="inlineStr">
        <is>
          <t>Adaoag</t>
        </is>
      </c>
    </row>
    <row r="6839" spans="1:1">
      <c r="A6839" t="inlineStr">
        <is>
          <t>Agaman</t>
        </is>
      </c>
    </row>
    <row r="6840" spans="1:1">
      <c r="A6840" t="inlineStr">
        <is>
          <t>Agaman Norte</t>
        </is>
      </c>
    </row>
    <row r="6841" spans="1:1">
      <c r="A6841" t="inlineStr">
        <is>
          <t>Agaman Sur</t>
        </is>
      </c>
    </row>
    <row r="6842" spans="1:1">
      <c r="A6842" t="inlineStr">
        <is>
          <t>Alba</t>
        </is>
      </c>
    </row>
    <row r="6843" spans="1:1">
      <c r="A6843" t="inlineStr">
        <is>
          <t>Annayatan</t>
        </is>
      </c>
    </row>
    <row r="6844" spans="1:1">
      <c r="A6844" t="inlineStr">
        <is>
          <t>Asassi</t>
        </is>
      </c>
    </row>
    <row r="6845" spans="1:1">
      <c r="A6845" t="inlineStr">
        <is>
          <t>Asinga-Via</t>
        </is>
      </c>
    </row>
    <row r="6846" spans="1:1">
      <c r="A6846" t="inlineStr">
        <is>
          <t>Awallan</t>
        </is>
      </c>
    </row>
    <row r="6847" spans="1:1">
      <c r="A6847" t="inlineStr">
        <is>
          <t>Bacagan</t>
        </is>
      </c>
    </row>
    <row r="6848" spans="1:1">
      <c r="A6848" t="inlineStr">
        <is>
          <t>Bagunot</t>
        </is>
      </c>
    </row>
    <row r="6849" spans="1:1">
      <c r="A6849" t="inlineStr">
        <is>
          <t>Barsat East</t>
        </is>
      </c>
    </row>
    <row r="6850" spans="1:1">
      <c r="A6850" t="inlineStr">
        <is>
          <t>Barsat West</t>
        </is>
      </c>
    </row>
    <row r="6851" spans="1:1">
      <c r="A6851" t="inlineStr">
        <is>
          <t>Bitag Grande</t>
        </is>
      </c>
    </row>
    <row r="6852" spans="1:1">
      <c r="A6852" t="inlineStr">
        <is>
          <t>Bitag Pequeño</t>
        </is>
      </c>
    </row>
    <row r="6853" spans="1:1">
      <c r="A6853" t="inlineStr">
        <is>
          <t>Bunugan</t>
        </is>
      </c>
    </row>
    <row r="6854" spans="1:1">
      <c r="A6854" t="inlineStr">
        <is>
          <t>C. Verzosa</t>
        </is>
      </c>
    </row>
    <row r="6855" spans="1:1">
      <c r="A6855" t="inlineStr">
        <is>
          <t>Canagatan</t>
        </is>
      </c>
    </row>
    <row r="6856" spans="1:1">
      <c r="A6856" t="inlineStr">
        <is>
          <t>Carupian</t>
        </is>
      </c>
    </row>
    <row r="6857" spans="1:1">
      <c r="A6857" t="inlineStr">
        <is>
          <t>Catugay</t>
        </is>
      </c>
    </row>
    <row r="6858" spans="1:1">
      <c r="A6858" t="inlineStr">
        <is>
          <t>Dabbac Grande</t>
        </is>
      </c>
    </row>
    <row r="6859" spans="1:1">
      <c r="A6859" t="inlineStr">
        <is>
          <t>Dalin</t>
        </is>
      </c>
    </row>
    <row r="6860" spans="1:1">
      <c r="A6860" t="inlineStr">
        <is>
          <t>Dalla</t>
        </is>
      </c>
    </row>
    <row r="6861" spans="1:1">
      <c r="A6861" t="inlineStr">
        <is>
          <t>Hacienda Intal</t>
        </is>
      </c>
    </row>
    <row r="6862" spans="1:1">
      <c r="A6862" t="inlineStr">
        <is>
          <t>Ibulo</t>
        </is>
      </c>
    </row>
    <row r="6863" spans="1:1">
      <c r="A6863" t="inlineStr">
        <is>
          <t>Imurung</t>
        </is>
      </c>
    </row>
    <row r="6864" spans="1:1">
      <c r="A6864" t="inlineStr">
        <is>
          <t>J. Pallagao</t>
        </is>
      </c>
    </row>
    <row r="6865" spans="1:1">
      <c r="A6865" t="inlineStr">
        <is>
          <t>Lasilat</t>
        </is>
      </c>
    </row>
    <row r="6866" spans="1:1">
      <c r="A6866" t="inlineStr">
        <is>
          <t>Mabini</t>
        </is>
      </c>
    </row>
    <row r="6867" spans="1:1">
      <c r="A6867" t="inlineStr">
        <is>
          <t>Masical</t>
        </is>
      </c>
    </row>
    <row r="6868" spans="1:1">
      <c r="A6868" t="inlineStr">
        <is>
          <t>Mocag</t>
        </is>
      </c>
    </row>
    <row r="6869" spans="1:1">
      <c r="A6869" t="inlineStr">
        <is>
          <t>Nangalinan</t>
        </is>
      </c>
    </row>
    <row r="6870" spans="1:1">
      <c r="A6870" t="inlineStr">
        <is>
          <t>Poblacion</t>
        </is>
      </c>
    </row>
    <row r="6871" spans="1:1">
      <c r="A6871" t="inlineStr">
        <is>
          <t>Remus</t>
        </is>
      </c>
    </row>
    <row r="6872" spans="1:1">
      <c r="A6872" t="inlineStr">
        <is>
          <t>San Antonio</t>
        </is>
      </c>
    </row>
    <row r="6873" spans="1:1">
      <c r="A6873" t="inlineStr">
        <is>
          <t>San Francisco</t>
        </is>
      </c>
    </row>
    <row r="6874" spans="1:1">
      <c r="A6874" t="inlineStr">
        <is>
          <t>San Isidro</t>
        </is>
      </c>
    </row>
    <row r="6875" spans="1:1">
      <c r="A6875" t="inlineStr">
        <is>
          <t>San Jose</t>
        </is>
      </c>
    </row>
    <row r="6876" spans="1:1">
      <c r="A6876" t="inlineStr">
        <is>
          <t>San Miguel</t>
        </is>
      </c>
    </row>
    <row r="6877" spans="1:1">
      <c r="A6877" t="inlineStr">
        <is>
          <t>San Vicente</t>
        </is>
      </c>
    </row>
    <row r="6878" spans="1:1">
      <c r="A6878" t="inlineStr">
        <is>
          <t>Santa Margarita</t>
        </is>
      </c>
    </row>
    <row r="6879" spans="1:1">
      <c r="A6879" t="inlineStr">
        <is>
          <t>Santor</t>
        </is>
      </c>
    </row>
    <row r="6880" spans="1:1">
      <c r="A6880" t="inlineStr">
        <is>
          <t>Taguing</t>
        </is>
      </c>
    </row>
    <row r="6881" spans="1:1">
      <c r="A6881" t="inlineStr">
        <is>
          <t>Taguntungan</t>
        </is>
      </c>
    </row>
    <row r="6882" spans="1:1">
      <c r="A6882" t="inlineStr">
        <is>
          <t>Tallang</t>
        </is>
      </c>
    </row>
    <row r="6883" spans="1:1">
      <c r="A6883" t="inlineStr">
        <is>
          <t>Taytay</t>
        </is>
      </c>
    </row>
    <row r="6884" spans="1:1">
      <c r="A6884" t="inlineStr">
        <is>
          <t>Temblique</t>
        </is>
      </c>
    </row>
    <row r="6885" spans="1:1">
      <c r="A6885" t="inlineStr">
        <is>
          <t>Tungel</t>
        </is>
      </c>
    </row>
    <row r="6886" spans="1:1">
      <c r="A6886" t="inlineStr">
        <is>
          <t>Ammubuan</t>
        </is>
      </c>
    </row>
    <row r="6887" spans="1:1">
      <c r="A6887" t="inlineStr">
        <is>
          <t>Baran</t>
        </is>
      </c>
    </row>
    <row r="6888" spans="1:1">
      <c r="A6888" t="inlineStr">
        <is>
          <t>Cabaritan East</t>
        </is>
      </c>
    </row>
    <row r="6889" spans="1:1">
      <c r="A6889" t="inlineStr">
        <is>
          <t>Cabaritan West</t>
        </is>
      </c>
    </row>
    <row r="6890" spans="1:1">
      <c r="A6890" t="inlineStr">
        <is>
          <t>Cabayu</t>
        </is>
      </c>
    </row>
    <row r="6891" spans="1:1">
      <c r="A6891" t="inlineStr">
        <is>
          <t>Cabuluan East</t>
        </is>
      </c>
    </row>
    <row r="6892" spans="1:1">
      <c r="A6892" t="inlineStr">
        <is>
          <t>Cabuluan West</t>
        </is>
      </c>
    </row>
    <row r="6893" spans="1:1">
      <c r="A6893" t="inlineStr">
        <is>
          <t>Centro East</t>
        </is>
      </c>
    </row>
    <row r="6894" spans="1:1">
      <c r="A6894" t="inlineStr">
        <is>
          <t>Centro West</t>
        </is>
      </c>
    </row>
    <row r="6895" spans="1:1">
      <c r="A6895" t="inlineStr">
        <is>
          <t>Fugu</t>
        </is>
      </c>
    </row>
    <row r="6896" spans="1:1">
      <c r="A6896" t="inlineStr">
        <is>
          <t>Mabuttal East</t>
        </is>
      </c>
    </row>
    <row r="6897" spans="1:1">
      <c r="A6897" t="inlineStr">
        <is>
          <t>Mabuttal West</t>
        </is>
      </c>
    </row>
    <row r="6898" spans="1:1">
      <c r="A6898" t="inlineStr">
        <is>
          <t>Nararagan</t>
        </is>
      </c>
    </row>
    <row r="6899" spans="1:1">
      <c r="A6899" t="inlineStr">
        <is>
          <t>Palloc</t>
        </is>
      </c>
    </row>
    <row r="6900" spans="1:1">
      <c r="A6900" t="inlineStr">
        <is>
          <t>Payagan East</t>
        </is>
      </c>
    </row>
    <row r="6901" spans="1:1">
      <c r="A6901" t="inlineStr">
        <is>
          <t>Payagan West</t>
        </is>
      </c>
    </row>
    <row r="6902" spans="1:1">
      <c r="A6902" t="inlineStr">
        <is>
          <t>San Juan</t>
        </is>
      </c>
    </row>
    <row r="6903" spans="1:1">
      <c r="A6903" t="inlineStr">
        <is>
          <t>Santa Cruz</t>
        </is>
      </c>
    </row>
    <row r="6904" spans="1:1">
      <c r="A6904" t="inlineStr">
        <is>
          <t>Zitanga</t>
        </is>
      </c>
    </row>
    <row r="6905" spans="1:1">
      <c r="A6905" t="inlineStr">
        <is>
          <t>Ballang</t>
        </is>
      </c>
    </row>
    <row r="6906" spans="1:1">
      <c r="A6906" t="inlineStr">
        <is>
          <t>Balza</t>
        </is>
      </c>
    </row>
    <row r="6907" spans="1:1">
      <c r="A6907" t="inlineStr">
        <is>
          <t>Cabaritan</t>
        </is>
      </c>
    </row>
    <row r="6908" spans="1:1">
      <c r="A6908" t="inlineStr">
        <is>
          <t>Calamegatan</t>
        </is>
      </c>
    </row>
    <row r="6909" spans="1:1">
      <c r="A6909" t="inlineStr">
        <is>
          <t>Centro</t>
        </is>
      </c>
    </row>
    <row r="6910" spans="1:1">
      <c r="A6910" t="inlineStr">
        <is>
          <t>Centro West</t>
        </is>
      </c>
    </row>
    <row r="6911" spans="1:1">
      <c r="A6911" t="inlineStr">
        <is>
          <t>Dalaya</t>
        </is>
      </c>
    </row>
    <row r="6912" spans="1:1">
      <c r="A6912" t="inlineStr">
        <is>
          <t>Fula</t>
        </is>
      </c>
    </row>
    <row r="6913" spans="1:1">
      <c r="A6913" t="inlineStr">
        <is>
          <t>Leron</t>
        </is>
      </c>
    </row>
    <row r="6914" spans="1:1">
      <c r="A6914" t="inlineStr">
        <is>
          <t>M. Antiporda</t>
        </is>
      </c>
    </row>
    <row r="6915" spans="1:1">
      <c r="A6915" t="inlineStr">
        <is>
          <t>Maddalero</t>
        </is>
      </c>
    </row>
    <row r="6916" spans="1:1">
      <c r="A6916" t="inlineStr">
        <is>
          <t>Mala Este</t>
        </is>
      </c>
    </row>
    <row r="6917" spans="1:1">
      <c r="A6917" t="inlineStr">
        <is>
          <t>Mala Weste</t>
        </is>
      </c>
    </row>
    <row r="6918" spans="1:1">
      <c r="A6918" t="inlineStr">
        <is>
          <t>Minanga Este</t>
        </is>
      </c>
    </row>
    <row r="6919" spans="1:1">
      <c r="A6919" t="inlineStr">
        <is>
          <t>Minanga Weste</t>
        </is>
      </c>
    </row>
    <row r="6920" spans="1:1">
      <c r="A6920" t="inlineStr">
        <is>
          <t>Paddaya Este</t>
        </is>
      </c>
    </row>
    <row r="6921" spans="1:1">
      <c r="A6921" t="inlineStr">
        <is>
          <t>Paddaya Weste</t>
        </is>
      </c>
    </row>
    <row r="6922" spans="1:1">
      <c r="A6922" t="inlineStr">
        <is>
          <t>Pattao</t>
        </is>
      </c>
    </row>
    <row r="6923" spans="1:1">
      <c r="A6923" t="inlineStr">
        <is>
          <t>Quinawegan</t>
        </is>
      </c>
    </row>
    <row r="6924" spans="1:1">
      <c r="A6924" t="inlineStr">
        <is>
          <t>Remebella</t>
        </is>
      </c>
    </row>
    <row r="6925" spans="1:1">
      <c r="A6925" t="inlineStr">
        <is>
          <t>San Isidro</t>
        </is>
      </c>
    </row>
    <row r="6926" spans="1:1">
      <c r="A6926" t="inlineStr">
        <is>
          <t>San Juan</t>
        </is>
      </c>
    </row>
    <row r="6927" spans="1:1">
      <c r="A6927" t="inlineStr">
        <is>
          <t>San Lorenzo</t>
        </is>
      </c>
    </row>
    <row r="6928" spans="1:1">
      <c r="A6928" t="inlineStr">
        <is>
          <t>San Vicente</t>
        </is>
      </c>
    </row>
    <row r="6929" spans="1:1">
      <c r="A6929" t="inlineStr">
        <is>
          <t>Santa Isabel</t>
        </is>
      </c>
    </row>
    <row r="6930" spans="1:1">
      <c r="A6930" t="inlineStr">
        <is>
          <t>Santa Maria</t>
        </is>
      </c>
    </row>
    <row r="6931" spans="1:1">
      <c r="A6931" t="inlineStr">
        <is>
          <t>Tabbac</t>
        </is>
      </c>
    </row>
    <row r="6932" spans="1:1">
      <c r="A6932" t="inlineStr">
        <is>
          <t>Villa Cielo</t>
        </is>
      </c>
    </row>
    <row r="6933" spans="1:1">
      <c r="A6933" t="inlineStr">
        <is>
          <t>Villa Gracia</t>
        </is>
      </c>
    </row>
    <row r="6934" spans="1:1">
      <c r="A6934" t="inlineStr">
        <is>
          <t>Villa Leonora</t>
        </is>
      </c>
    </row>
    <row r="6935" spans="1:1">
      <c r="A6935" t="inlineStr">
        <is>
          <t>Babuyan Claro</t>
        </is>
      </c>
    </row>
    <row r="6936" spans="1:1">
      <c r="A6936" t="inlineStr">
        <is>
          <t>Balatubat</t>
        </is>
      </c>
    </row>
    <row r="6937" spans="1:1">
      <c r="A6937" t="inlineStr">
        <is>
          <t>Cabudadan</t>
        </is>
      </c>
    </row>
    <row r="6938" spans="1:1">
      <c r="A6938" t="inlineStr">
        <is>
          <t>Centro II</t>
        </is>
      </c>
    </row>
    <row r="6939" spans="1:1">
      <c r="A6939" t="inlineStr">
        <is>
          <t>Dadao</t>
        </is>
      </c>
    </row>
    <row r="6940" spans="1:1">
      <c r="A6940" t="inlineStr">
        <is>
          <t>Dalupiri</t>
        </is>
      </c>
    </row>
    <row r="6941" spans="1:1">
      <c r="A6941" t="inlineStr">
        <is>
          <t>Dibay</t>
        </is>
      </c>
    </row>
    <row r="6942" spans="1:1">
      <c r="A6942" t="inlineStr">
        <is>
          <t>Dilam</t>
        </is>
      </c>
    </row>
    <row r="6943" spans="1:1">
      <c r="A6943" t="inlineStr">
        <is>
          <t>Magsidel</t>
        </is>
      </c>
    </row>
    <row r="6944" spans="1:1">
      <c r="A6944" t="inlineStr">
        <is>
          <t>Minabel</t>
        </is>
      </c>
    </row>
    <row r="6945" spans="1:1">
      <c r="A6945" t="inlineStr">
        <is>
          <t>Naguilian</t>
        </is>
      </c>
    </row>
    <row r="6946" spans="1:1">
      <c r="A6946" t="inlineStr">
        <is>
          <t>Poblacion</t>
        </is>
      </c>
    </row>
    <row r="6947" spans="1:1">
      <c r="A6947" t="inlineStr">
        <is>
          <t>Abagao</t>
        </is>
      </c>
    </row>
    <row r="6948" spans="1:1">
      <c r="A6948" t="inlineStr">
        <is>
          <t>Afunan Cabayu</t>
        </is>
      </c>
    </row>
    <row r="6949" spans="1:1">
      <c r="A6949" t="inlineStr">
        <is>
          <t>Agusi</t>
        </is>
      </c>
    </row>
    <row r="6950" spans="1:1">
      <c r="A6950" t="inlineStr">
        <is>
          <t>Alilinu</t>
        </is>
      </c>
    </row>
    <row r="6951" spans="1:1">
      <c r="A6951" t="inlineStr">
        <is>
          <t>Baggao</t>
        </is>
      </c>
    </row>
    <row r="6952" spans="1:1">
      <c r="A6952" t="inlineStr">
        <is>
          <t>Bantay</t>
        </is>
      </c>
    </row>
    <row r="6953" spans="1:1">
      <c r="A6953" t="inlineStr">
        <is>
          <t>Bulala</t>
        </is>
      </c>
    </row>
    <row r="6954" spans="1:1">
      <c r="A6954" t="inlineStr">
        <is>
          <t>Casili Norte</t>
        </is>
      </c>
    </row>
    <row r="6955" spans="1:1">
      <c r="A6955" t="inlineStr">
        <is>
          <t>Casili Sur</t>
        </is>
      </c>
    </row>
    <row r="6956" spans="1:1">
      <c r="A6956" t="inlineStr">
        <is>
          <t>Catotoran Norte</t>
        </is>
      </c>
    </row>
    <row r="6957" spans="1:1">
      <c r="A6957" t="inlineStr">
        <is>
          <t>Catotoran Sur</t>
        </is>
      </c>
    </row>
    <row r="6958" spans="1:1">
      <c r="A6958" t="inlineStr">
        <is>
          <t>Centro Norte</t>
        </is>
      </c>
    </row>
    <row r="6959" spans="1:1">
      <c r="A6959" t="inlineStr">
        <is>
          <t>Centro Sur</t>
        </is>
      </c>
    </row>
    <row r="6960" spans="1:1">
      <c r="A6960" t="inlineStr">
        <is>
          <t>Cullit</t>
        </is>
      </c>
    </row>
    <row r="6961" spans="1:1">
      <c r="A6961" t="inlineStr">
        <is>
          <t>Dacalla-Fugu</t>
        </is>
      </c>
    </row>
    <row r="6962" spans="1:1">
      <c r="A6962" t="inlineStr">
        <is>
          <t>Dammang Norte</t>
        </is>
      </c>
    </row>
    <row r="6963" spans="1:1">
      <c r="A6963" t="inlineStr">
        <is>
          <t>Dammang Sur</t>
        </is>
      </c>
    </row>
    <row r="6964" spans="1:1">
      <c r="A6964" t="inlineStr">
        <is>
          <t>Dugo</t>
        </is>
      </c>
    </row>
    <row r="6965" spans="1:1">
      <c r="A6965" t="inlineStr">
        <is>
          <t>Fusina</t>
        </is>
      </c>
    </row>
    <row r="6966" spans="1:1">
      <c r="A6966" t="inlineStr">
        <is>
          <t>Gang-ngo</t>
        </is>
      </c>
    </row>
    <row r="6967" spans="1:1">
      <c r="A6967" t="inlineStr">
        <is>
          <t>Jurisdiccion</t>
        </is>
      </c>
    </row>
    <row r="6968" spans="1:1">
      <c r="A6968" t="inlineStr">
        <is>
          <t>Luec</t>
        </is>
      </c>
    </row>
    <row r="6969" spans="1:1">
      <c r="A6969" t="inlineStr">
        <is>
          <t>Minanga</t>
        </is>
      </c>
    </row>
    <row r="6970" spans="1:1">
      <c r="A6970" t="inlineStr">
        <is>
          <t>Paragat</t>
        </is>
      </c>
    </row>
    <row r="6971" spans="1:1">
      <c r="A6971" t="inlineStr">
        <is>
          <t>Sapping</t>
        </is>
      </c>
    </row>
    <row r="6972" spans="1:1">
      <c r="A6972" t="inlineStr">
        <is>
          <t>Tagum</t>
        </is>
      </c>
    </row>
    <row r="6973" spans="1:1">
      <c r="A6973" t="inlineStr">
        <is>
          <t>Tulutuging</t>
        </is>
      </c>
    </row>
    <row r="6974" spans="1:1">
      <c r="A6974" t="inlineStr">
        <is>
          <t>Ziminila</t>
        </is>
      </c>
    </row>
    <row r="6975" spans="1:1">
      <c r="A6975" t="inlineStr">
        <is>
          <t>Alimoan</t>
        </is>
      </c>
    </row>
    <row r="6976" spans="1:1">
      <c r="A6976" t="inlineStr">
        <is>
          <t>Bacsay Cataraoan Norte</t>
        </is>
      </c>
    </row>
    <row r="6977" spans="1:1">
      <c r="A6977" t="inlineStr">
        <is>
          <t>Bacsay Cataraoan Sur</t>
        </is>
      </c>
    </row>
    <row r="6978" spans="1:1">
      <c r="A6978" t="inlineStr">
        <is>
          <t>Bacsay Mapulapula</t>
        </is>
      </c>
    </row>
    <row r="6979" spans="1:1">
      <c r="A6979" t="inlineStr">
        <is>
          <t>Bilibigao</t>
        </is>
      </c>
    </row>
    <row r="6980" spans="1:1">
      <c r="A6980" t="inlineStr">
        <is>
          <t>Buenavista</t>
        </is>
      </c>
    </row>
    <row r="6981" spans="1:1">
      <c r="A6981" t="inlineStr">
        <is>
          <t>Cadcadir East</t>
        </is>
      </c>
    </row>
    <row r="6982" spans="1:1">
      <c r="A6982" t="inlineStr">
        <is>
          <t>Cadcadir West</t>
        </is>
      </c>
    </row>
    <row r="6983" spans="1:1">
      <c r="A6983" t="inlineStr">
        <is>
          <t>Camalaggoan/D Leaño</t>
        </is>
      </c>
    </row>
    <row r="6984" spans="1:1">
      <c r="A6984" t="inlineStr">
        <is>
          <t>Capannikian</t>
        </is>
      </c>
    </row>
    <row r="6985" spans="1:1">
      <c r="A6985" t="inlineStr">
        <is>
          <t>Centro I</t>
        </is>
      </c>
    </row>
    <row r="6986" spans="1:1">
      <c r="A6986" t="inlineStr">
        <is>
          <t>Centro II</t>
        </is>
      </c>
    </row>
    <row r="6987" spans="1:1">
      <c r="A6987" t="inlineStr">
        <is>
          <t>Centro III</t>
        </is>
      </c>
    </row>
    <row r="6988" spans="1:1">
      <c r="A6988" t="inlineStr">
        <is>
          <t>Centro IV</t>
        </is>
      </c>
    </row>
    <row r="6989" spans="1:1">
      <c r="A6989" t="inlineStr">
        <is>
          <t>Centro V</t>
        </is>
      </c>
    </row>
    <row r="6990" spans="1:1">
      <c r="A6990" t="inlineStr">
        <is>
          <t>Centro VI</t>
        </is>
      </c>
    </row>
    <row r="6991" spans="1:1">
      <c r="A6991" t="inlineStr">
        <is>
          <t>Centro VII</t>
        </is>
      </c>
    </row>
    <row r="6992" spans="1:1">
      <c r="A6992" t="inlineStr">
        <is>
          <t>Centro VIII</t>
        </is>
      </c>
    </row>
    <row r="6993" spans="1:1">
      <c r="A6993" t="inlineStr">
        <is>
          <t>Culao</t>
        </is>
      </c>
    </row>
    <row r="6994" spans="1:1">
      <c r="A6994" t="inlineStr">
        <is>
          <t>Dibalio</t>
        </is>
      </c>
    </row>
    <row r="6995" spans="1:1">
      <c r="A6995" t="inlineStr">
        <is>
          <t>Kilkiling</t>
        </is>
      </c>
    </row>
    <row r="6996" spans="1:1">
      <c r="A6996" t="inlineStr">
        <is>
          <t>Lablabig</t>
        </is>
      </c>
    </row>
    <row r="6997" spans="1:1">
      <c r="A6997" t="inlineStr">
        <is>
          <t>Luzon</t>
        </is>
      </c>
    </row>
    <row r="6998" spans="1:1">
      <c r="A6998" t="inlineStr">
        <is>
          <t>Mabnang</t>
        </is>
      </c>
    </row>
    <row r="6999" spans="1:1">
      <c r="A6999" t="inlineStr">
        <is>
          <t>Magdalena</t>
        </is>
      </c>
    </row>
    <row r="7000" spans="1:1">
      <c r="A7000" t="inlineStr">
        <is>
          <t>Malilitao</t>
        </is>
      </c>
    </row>
    <row r="7001" spans="1:1">
      <c r="A7001" t="inlineStr">
        <is>
          <t>Nagsabaran</t>
        </is>
      </c>
    </row>
    <row r="7002" spans="1:1">
      <c r="A7002" t="inlineStr">
        <is>
          <t>Pata East</t>
        </is>
      </c>
    </row>
    <row r="7003" spans="1:1">
      <c r="A7003" t="inlineStr">
        <is>
          <t>Pata West</t>
        </is>
      </c>
    </row>
    <row r="7004" spans="1:1">
      <c r="A7004" t="inlineStr">
        <is>
          <t>Pinas</t>
        </is>
      </c>
    </row>
    <row r="7005" spans="1:1">
      <c r="A7005" t="inlineStr">
        <is>
          <t>San Antonio</t>
        </is>
      </c>
    </row>
    <row r="7006" spans="1:1">
      <c r="A7006" t="inlineStr">
        <is>
          <t>San Isidro</t>
        </is>
      </c>
    </row>
    <row r="7007" spans="1:1">
      <c r="A7007" t="inlineStr">
        <is>
          <t>San Vicente</t>
        </is>
      </c>
    </row>
    <row r="7008" spans="1:1">
      <c r="A7008" t="inlineStr">
        <is>
          <t>Santiago</t>
        </is>
      </c>
    </row>
    <row r="7009" spans="1:1">
      <c r="A7009" t="inlineStr">
        <is>
          <t>Sta. Maria</t>
        </is>
      </c>
    </row>
    <row r="7010" spans="1:1">
      <c r="A7010" t="inlineStr">
        <is>
          <t>Sto. Niño</t>
        </is>
      </c>
    </row>
    <row r="7011" spans="1:1">
      <c r="A7011" t="inlineStr">
        <is>
          <t>Sto. Tomas</t>
        </is>
      </c>
    </row>
    <row r="7012" spans="1:1">
      <c r="A7012" t="inlineStr">
        <is>
          <t>Tabbugan</t>
        </is>
      </c>
    </row>
    <row r="7013" spans="1:1">
      <c r="A7013" t="inlineStr">
        <is>
          <t>Taggat Norte</t>
        </is>
      </c>
    </row>
    <row r="7014" spans="1:1">
      <c r="A7014" t="inlineStr">
        <is>
          <t>Taggat Sur</t>
        </is>
      </c>
    </row>
    <row r="7015" spans="1:1">
      <c r="A7015" t="inlineStr">
        <is>
          <t>Union</t>
        </is>
      </c>
    </row>
    <row r="7016" spans="1:1">
      <c r="A7016" t="inlineStr">
        <is>
          <t>Alibago</t>
        </is>
      </c>
    </row>
    <row r="7017" spans="1:1">
      <c r="A7017" t="inlineStr">
        <is>
          <t>Barangay I</t>
        </is>
      </c>
    </row>
    <row r="7018" spans="1:1">
      <c r="A7018" t="inlineStr">
        <is>
          <t>Barangay II</t>
        </is>
      </c>
    </row>
    <row r="7019" spans="1:1">
      <c r="A7019" t="inlineStr">
        <is>
          <t>Barangay III</t>
        </is>
      </c>
    </row>
    <row r="7020" spans="1:1">
      <c r="A7020" t="inlineStr">
        <is>
          <t>Barangay III-A</t>
        </is>
      </c>
    </row>
    <row r="7021" spans="1:1">
      <c r="A7021" t="inlineStr">
        <is>
          <t>Barangay IV</t>
        </is>
      </c>
    </row>
    <row r="7022" spans="1:1">
      <c r="A7022" t="inlineStr">
        <is>
          <t>Batu</t>
        </is>
      </c>
    </row>
    <row r="7023" spans="1:1">
      <c r="A7023" t="inlineStr">
        <is>
          <t>Divisoria</t>
        </is>
      </c>
    </row>
    <row r="7024" spans="1:1">
      <c r="A7024" t="inlineStr">
        <is>
          <t>Inga</t>
        </is>
      </c>
    </row>
    <row r="7025" spans="1:1">
      <c r="A7025" t="inlineStr">
        <is>
          <t>Lanna</t>
        </is>
      </c>
    </row>
    <row r="7026" spans="1:1">
      <c r="A7026" t="inlineStr">
        <is>
          <t>Lemu Norte</t>
        </is>
      </c>
    </row>
    <row r="7027" spans="1:1">
      <c r="A7027" t="inlineStr">
        <is>
          <t>Lemu Sur</t>
        </is>
      </c>
    </row>
    <row r="7028" spans="1:1">
      <c r="A7028" t="inlineStr">
        <is>
          <t>Liwan Norte</t>
        </is>
      </c>
    </row>
    <row r="7029" spans="1:1">
      <c r="A7029" t="inlineStr">
        <is>
          <t>Liwan Sur</t>
        </is>
      </c>
    </row>
    <row r="7030" spans="1:1">
      <c r="A7030" t="inlineStr">
        <is>
          <t>Maddarulug Norte</t>
        </is>
      </c>
    </row>
    <row r="7031" spans="1:1">
      <c r="A7031" t="inlineStr">
        <is>
          <t>Maddarulug Sur</t>
        </is>
      </c>
    </row>
    <row r="7032" spans="1:1">
      <c r="A7032" t="inlineStr">
        <is>
          <t>Magalalag East</t>
        </is>
      </c>
    </row>
    <row r="7033" spans="1:1">
      <c r="A7033" t="inlineStr">
        <is>
          <t>Magalalag West</t>
        </is>
      </c>
    </row>
    <row r="7034" spans="1:1">
      <c r="A7034" t="inlineStr">
        <is>
          <t>Marracuru</t>
        </is>
      </c>
    </row>
    <row r="7035" spans="1:1">
      <c r="A7035" t="inlineStr">
        <is>
          <t>Roma Norte</t>
        </is>
      </c>
    </row>
    <row r="7036" spans="1:1">
      <c r="A7036" t="inlineStr">
        <is>
          <t>Roma Sur</t>
        </is>
      </c>
    </row>
    <row r="7037" spans="1:1">
      <c r="A7037" t="inlineStr">
        <is>
          <t>San Antonio</t>
        </is>
      </c>
    </row>
    <row r="7038" spans="1:1">
      <c r="A7038" t="inlineStr">
        <is>
          <t>Abra</t>
        </is>
      </c>
    </row>
    <row r="7039" spans="1:1">
      <c r="A7039" t="inlineStr">
        <is>
          <t>Aguiguican</t>
        </is>
      </c>
    </row>
    <row r="7040" spans="1:1">
      <c r="A7040" t="inlineStr">
        <is>
          <t>Bangatan Ngagan</t>
        </is>
      </c>
    </row>
    <row r="7041" spans="1:1">
      <c r="A7041" t="inlineStr">
        <is>
          <t>Baracaoit</t>
        </is>
      </c>
    </row>
    <row r="7042" spans="1:1">
      <c r="A7042" t="inlineStr">
        <is>
          <t>Baraoidan</t>
        </is>
      </c>
    </row>
    <row r="7043" spans="1:1">
      <c r="A7043" t="inlineStr">
        <is>
          <t>Barbarit</t>
        </is>
      </c>
    </row>
    <row r="7044" spans="1:1">
      <c r="A7044" t="inlineStr">
        <is>
          <t>Basao</t>
        </is>
      </c>
    </row>
    <row r="7045" spans="1:1">
      <c r="A7045" t="inlineStr">
        <is>
          <t>Bolos Point</t>
        </is>
      </c>
    </row>
    <row r="7046" spans="1:1">
      <c r="A7046" t="inlineStr">
        <is>
          <t>Cabayu</t>
        </is>
      </c>
    </row>
    <row r="7047" spans="1:1">
      <c r="A7047" t="inlineStr">
        <is>
          <t>Calaoagan Bassit</t>
        </is>
      </c>
    </row>
    <row r="7048" spans="1:1">
      <c r="A7048" t="inlineStr">
        <is>
          <t>Calaoagan Dackel</t>
        </is>
      </c>
    </row>
    <row r="7049" spans="1:1">
      <c r="A7049" t="inlineStr">
        <is>
          <t>Capiddigan</t>
        </is>
      </c>
    </row>
    <row r="7050" spans="1:1">
      <c r="A7050" t="inlineStr">
        <is>
          <t>Capissayan Norte</t>
        </is>
      </c>
    </row>
    <row r="7051" spans="1:1">
      <c r="A7051" t="inlineStr">
        <is>
          <t>Capissayan Sur</t>
        </is>
      </c>
    </row>
    <row r="7052" spans="1:1">
      <c r="A7052" t="inlineStr">
        <is>
          <t>Casicallan Norte</t>
        </is>
      </c>
    </row>
    <row r="7053" spans="1:1">
      <c r="A7053" t="inlineStr">
        <is>
          <t>Casicallan Sur</t>
        </is>
      </c>
    </row>
    <row r="7054" spans="1:1">
      <c r="A7054" t="inlineStr">
        <is>
          <t>Centro Norte</t>
        </is>
      </c>
    </row>
    <row r="7055" spans="1:1">
      <c r="A7055" t="inlineStr">
        <is>
          <t>Centro Sur</t>
        </is>
      </c>
    </row>
    <row r="7056" spans="1:1">
      <c r="A7056" t="inlineStr">
        <is>
          <t>Cullit</t>
        </is>
      </c>
    </row>
    <row r="7057" spans="1:1">
      <c r="A7057" t="inlineStr">
        <is>
          <t>Cumao</t>
        </is>
      </c>
    </row>
    <row r="7058" spans="1:1">
      <c r="A7058" t="inlineStr">
        <is>
          <t>Cunig</t>
        </is>
      </c>
    </row>
    <row r="7059" spans="1:1">
      <c r="A7059" t="inlineStr">
        <is>
          <t>Dummun</t>
        </is>
      </c>
    </row>
    <row r="7060" spans="1:1">
      <c r="A7060" t="inlineStr">
        <is>
          <t>Fugu</t>
        </is>
      </c>
    </row>
    <row r="7061" spans="1:1">
      <c r="A7061" t="inlineStr">
        <is>
          <t>Ganzano</t>
        </is>
      </c>
    </row>
    <row r="7062" spans="1:1">
      <c r="A7062" t="inlineStr">
        <is>
          <t>Guising</t>
        </is>
      </c>
    </row>
    <row r="7063" spans="1:1">
      <c r="A7063" t="inlineStr">
        <is>
          <t>L. Adviento</t>
        </is>
      </c>
    </row>
    <row r="7064" spans="1:1">
      <c r="A7064" t="inlineStr">
        <is>
          <t>Langgan</t>
        </is>
      </c>
    </row>
    <row r="7065" spans="1:1">
      <c r="A7065" t="inlineStr">
        <is>
          <t>Lapogan</t>
        </is>
      </c>
    </row>
    <row r="7066" spans="1:1">
      <c r="A7066" t="inlineStr">
        <is>
          <t>Mabuno</t>
        </is>
      </c>
    </row>
    <row r="7067" spans="1:1">
      <c r="A7067" t="inlineStr">
        <is>
          <t>Nabaccayan</t>
        </is>
      </c>
    </row>
    <row r="7068" spans="1:1">
      <c r="A7068" t="inlineStr">
        <is>
          <t>Naddungan</t>
        </is>
      </c>
    </row>
    <row r="7069" spans="1:1">
      <c r="A7069" t="inlineStr">
        <is>
          <t>Nagatutuan</t>
        </is>
      </c>
    </row>
    <row r="7070" spans="1:1">
      <c r="A7070" t="inlineStr">
        <is>
          <t>Nassiping</t>
        </is>
      </c>
    </row>
    <row r="7071" spans="1:1">
      <c r="A7071" t="inlineStr">
        <is>
          <t>Newagac</t>
        </is>
      </c>
    </row>
    <row r="7072" spans="1:1">
      <c r="A7072" t="inlineStr">
        <is>
          <t>Palagao Norte</t>
        </is>
      </c>
    </row>
    <row r="7073" spans="1:1">
      <c r="A7073" t="inlineStr">
        <is>
          <t>Palagao Sur</t>
        </is>
      </c>
    </row>
    <row r="7074" spans="1:1">
      <c r="A7074" t="inlineStr">
        <is>
          <t>Piña Este</t>
        </is>
      </c>
    </row>
    <row r="7075" spans="1:1">
      <c r="A7075" t="inlineStr">
        <is>
          <t>Piña Weste</t>
        </is>
      </c>
    </row>
    <row r="7076" spans="1:1">
      <c r="A7076" t="inlineStr">
        <is>
          <t>San Carlos</t>
        </is>
      </c>
    </row>
    <row r="7077" spans="1:1">
      <c r="A7077" t="inlineStr">
        <is>
          <t>San Vicente</t>
        </is>
      </c>
    </row>
    <row r="7078" spans="1:1">
      <c r="A7078" t="inlineStr">
        <is>
          <t>Santa Maria</t>
        </is>
      </c>
    </row>
    <row r="7079" spans="1:1">
      <c r="A7079" t="inlineStr">
        <is>
          <t>Sidem</t>
        </is>
      </c>
    </row>
    <row r="7080" spans="1:1">
      <c r="A7080" t="inlineStr">
        <is>
          <t>Sta. Ana</t>
        </is>
      </c>
    </row>
    <row r="7081" spans="1:1">
      <c r="A7081" t="inlineStr">
        <is>
          <t>T. Elizaga</t>
        </is>
      </c>
    </row>
    <row r="7082" spans="1:1">
      <c r="A7082" t="inlineStr">
        <is>
          <t>Tagumay</t>
        </is>
      </c>
    </row>
    <row r="7083" spans="1:1">
      <c r="A7083" t="inlineStr">
        <is>
          <t>Takiki</t>
        </is>
      </c>
    </row>
    <row r="7084" spans="1:1">
      <c r="A7084" t="inlineStr">
        <is>
          <t>Taligan</t>
        </is>
      </c>
    </row>
    <row r="7085" spans="1:1">
      <c r="A7085" t="inlineStr">
        <is>
          <t>Tanglagan</t>
        </is>
      </c>
    </row>
    <row r="7086" spans="1:1">
      <c r="A7086" t="inlineStr">
        <is>
          <t>Tubungan Este</t>
        </is>
      </c>
    </row>
    <row r="7087" spans="1:1">
      <c r="A7087" t="inlineStr">
        <is>
          <t>Tubungan Weste</t>
        </is>
      </c>
    </row>
    <row r="7088" spans="1:1">
      <c r="A7088" t="inlineStr">
        <is>
          <t>Amunitan</t>
        </is>
      </c>
    </row>
    <row r="7089" spans="1:1">
      <c r="A7089" t="inlineStr">
        <is>
          <t>Batangan</t>
        </is>
      </c>
    </row>
    <row r="7090" spans="1:1">
      <c r="A7090" t="inlineStr">
        <is>
          <t>Baua</t>
        </is>
      </c>
    </row>
    <row r="7091" spans="1:1">
      <c r="A7091" t="inlineStr">
        <is>
          <t>Cabanbanan Norte</t>
        </is>
      </c>
    </row>
    <row r="7092" spans="1:1">
      <c r="A7092" t="inlineStr">
        <is>
          <t>Cabanbanan Sur</t>
        </is>
      </c>
    </row>
    <row r="7093" spans="1:1">
      <c r="A7093" t="inlineStr">
        <is>
          <t>Cabiraoan</t>
        </is>
      </c>
    </row>
    <row r="7094" spans="1:1">
      <c r="A7094" t="inlineStr">
        <is>
          <t>Calayan</t>
        </is>
      </c>
    </row>
    <row r="7095" spans="1:1">
      <c r="A7095" t="inlineStr">
        <is>
          <t>Callao</t>
        </is>
      </c>
    </row>
    <row r="7096" spans="1:1">
      <c r="A7096" t="inlineStr">
        <is>
          <t>Caroan</t>
        </is>
      </c>
    </row>
    <row r="7097" spans="1:1">
      <c r="A7097" t="inlineStr">
        <is>
          <t>Casitan</t>
        </is>
      </c>
    </row>
    <row r="7098" spans="1:1">
      <c r="A7098" t="inlineStr">
        <is>
          <t>Flourishing</t>
        </is>
      </c>
    </row>
    <row r="7099" spans="1:1">
      <c r="A7099" t="inlineStr">
        <is>
          <t>Ipil</t>
        </is>
      </c>
    </row>
    <row r="7100" spans="1:1">
      <c r="A7100" t="inlineStr">
        <is>
          <t>Isca</t>
        </is>
      </c>
    </row>
    <row r="7101" spans="1:1">
      <c r="A7101" t="inlineStr">
        <is>
          <t>Magrafil</t>
        </is>
      </c>
    </row>
    <row r="7102" spans="1:1">
      <c r="A7102" t="inlineStr">
        <is>
          <t>Minanga</t>
        </is>
      </c>
    </row>
    <row r="7103" spans="1:1">
      <c r="A7103" t="inlineStr">
        <is>
          <t>Paradise</t>
        </is>
      </c>
    </row>
    <row r="7104" spans="1:1">
      <c r="A7104" t="inlineStr">
        <is>
          <t>Pateng</t>
        </is>
      </c>
    </row>
    <row r="7105" spans="1:1">
      <c r="A7105" t="inlineStr">
        <is>
          <t>Progressive</t>
        </is>
      </c>
    </row>
    <row r="7106" spans="1:1">
      <c r="A7106" t="inlineStr">
        <is>
          <t>Rebecca</t>
        </is>
      </c>
    </row>
    <row r="7107" spans="1:1">
      <c r="A7107" t="inlineStr">
        <is>
          <t>San Jose</t>
        </is>
      </c>
    </row>
    <row r="7108" spans="1:1">
      <c r="A7108" t="inlineStr">
        <is>
          <t>Santa Clara</t>
        </is>
      </c>
    </row>
    <row r="7109" spans="1:1">
      <c r="A7109" t="inlineStr">
        <is>
          <t>Santa Cruz</t>
        </is>
      </c>
    </row>
    <row r="7110" spans="1:1">
      <c r="A7110" t="inlineStr">
        <is>
          <t>Santa Maria</t>
        </is>
      </c>
    </row>
    <row r="7111" spans="1:1">
      <c r="A7111" t="inlineStr">
        <is>
          <t>Smart</t>
        </is>
      </c>
    </row>
    <row r="7112" spans="1:1">
      <c r="A7112" t="inlineStr">
        <is>
          <t>Tapel</t>
        </is>
      </c>
    </row>
    <row r="7113" spans="1:1">
      <c r="A7113" t="inlineStr">
        <is>
          <t>Ajat</t>
        </is>
      </c>
    </row>
    <row r="7114" spans="1:1">
      <c r="A7114" t="inlineStr">
        <is>
          <t>Atulu</t>
        </is>
      </c>
    </row>
    <row r="7115" spans="1:1">
      <c r="A7115" t="inlineStr">
        <is>
          <t>Baculud</t>
        </is>
      </c>
    </row>
    <row r="7116" spans="1:1">
      <c r="A7116" t="inlineStr">
        <is>
          <t>Bayo</t>
        </is>
      </c>
    </row>
    <row r="7117" spans="1:1">
      <c r="A7117" t="inlineStr">
        <is>
          <t>Campo</t>
        </is>
      </c>
    </row>
    <row r="7118" spans="1:1">
      <c r="A7118" t="inlineStr">
        <is>
          <t>Dumpao</t>
        </is>
      </c>
    </row>
    <row r="7119" spans="1:1">
      <c r="A7119" t="inlineStr">
        <is>
          <t>Gammad</t>
        </is>
      </c>
    </row>
    <row r="7120" spans="1:1">
      <c r="A7120" t="inlineStr">
        <is>
          <t>Garab</t>
        </is>
      </c>
    </row>
    <row r="7121" spans="1:1">
      <c r="A7121" t="inlineStr">
        <is>
          <t>Malabbac</t>
        </is>
      </c>
    </row>
    <row r="7122" spans="1:1">
      <c r="A7122" t="inlineStr">
        <is>
          <t>Manaoag</t>
        </is>
      </c>
    </row>
    <row r="7123" spans="1:1">
      <c r="A7123" t="inlineStr">
        <is>
          <t>Minanga Norte</t>
        </is>
      </c>
    </row>
    <row r="7124" spans="1:1">
      <c r="A7124" t="inlineStr">
        <is>
          <t>Minanga Sur</t>
        </is>
      </c>
    </row>
    <row r="7125" spans="1:1">
      <c r="A7125" t="inlineStr">
        <is>
          <t>Nattanzan</t>
        </is>
      </c>
    </row>
    <row r="7126" spans="1:1">
      <c r="A7126" t="inlineStr">
        <is>
          <t>Redondo</t>
        </is>
      </c>
    </row>
    <row r="7127" spans="1:1">
      <c r="A7127" t="inlineStr">
        <is>
          <t>Salamague</t>
        </is>
      </c>
    </row>
    <row r="7128" spans="1:1">
      <c r="A7128" t="inlineStr">
        <is>
          <t>San Esteban</t>
        </is>
      </c>
    </row>
    <row r="7129" spans="1:1">
      <c r="A7129" t="inlineStr">
        <is>
          <t>San Isidro</t>
        </is>
      </c>
    </row>
    <row r="7130" spans="1:1">
      <c r="A7130" t="inlineStr">
        <is>
          <t>San Lorenzo</t>
        </is>
      </c>
    </row>
    <row r="7131" spans="1:1">
      <c r="A7131" t="inlineStr">
        <is>
          <t>San Vicente</t>
        </is>
      </c>
    </row>
    <row r="7132" spans="1:1">
      <c r="A7132" t="inlineStr">
        <is>
          <t>Santa Barbara</t>
        </is>
      </c>
    </row>
    <row r="7133" spans="1:1">
      <c r="A7133" t="inlineStr">
        <is>
          <t>Santa Rosa</t>
        </is>
      </c>
    </row>
    <row r="7134" spans="1:1">
      <c r="A7134" t="inlineStr">
        <is>
          <t>Santa Teresa</t>
        </is>
      </c>
    </row>
    <row r="7135" spans="1:1">
      <c r="A7135" t="inlineStr">
        <is>
          <t>Santiago</t>
        </is>
      </c>
    </row>
    <row r="7136" spans="1:1">
      <c r="A7136" t="inlineStr">
        <is>
          <t>Abagao</t>
        </is>
      </c>
    </row>
    <row r="7137" spans="1:1">
      <c r="A7137" t="inlineStr">
        <is>
          <t>Alaguia</t>
        </is>
      </c>
    </row>
    <row r="7138" spans="1:1">
      <c r="A7138" t="inlineStr">
        <is>
          <t>Bagumbayan</t>
        </is>
      </c>
    </row>
    <row r="7139" spans="1:1">
      <c r="A7139" t="inlineStr">
        <is>
          <t>Bangag</t>
        </is>
      </c>
    </row>
    <row r="7140" spans="1:1">
      <c r="A7140" t="inlineStr">
        <is>
          <t>Bical</t>
        </is>
      </c>
    </row>
    <row r="7141" spans="1:1">
      <c r="A7141" t="inlineStr">
        <is>
          <t>Bicud</t>
        </is>
      </c>
    </row>
    <row r="7142" spans="1:1">
      <c r="A7142" t="inlineStr">
        <is>
          <t>Binag</t>
        </is>
      </c>
    </row>
    <row r="7143" spans="1:1">
      <c r="A7143" t="inlineStr">
        <is>
          <t>Cabayabasan</t>
        </is>
      </c>
    </row>
    <row r="7144" spans="1:1">
      <c r="A7144" t="inlineStr">
        <is>
          <t>Cagoran</t>
        </is>
      </c>
    </row>
    <row r="7145" spans="1:1">
      <c r="A7145" t="inlineStr">
        <is>
          <t>Cambong</t>
        </is>
      </c>
    </row>
    <row r="7146" spans="1:1">
      <c r="A7146" t="inlineStr">
        <is>
          <t>Catayauan</t>
        </is>
      </c>
    </row>
    <row r="7147" spans="1:1">
      <c r="A7147" t="inlineStr">
        <is>
          <t>Catugan</t>
        </is>
      </c>
    </row>
    <row r="7148" spans="1:1">
      <c r="A7148" t="inlineStr">
        <is>
          <t>Centro</t>
        </is>
      </c>
    </row>
    <row r="7149" spans="1:1">
      <c r="A7149" t="inlineStr">
        <is>
          <t>Cullit</t>
        </is>
      </c>
    </row>
    <row r="7150" spans="1:1">
      <c r="A7150" t="inlineStr">
        <is>
          <t>Dagupan</t>
        </is>
      </c>
    </row>
    <row r="7151" spans="1:1">
      <c r="A7151" t="inlineStr">
        <is>
          <t>Dalaya</t>
        </is>
      </c>
    </row>
    <row r="7152" spans="1:1">
      <c r="A7152" t="inlineStr">
        <is>
          <t>Fabrica</t>
        </is>
      </c>
    </row>
    <row r="7153" spans="1:1">
      <c r="A7153" t="inlineStr">
        <is>
          <t>Fusina</t>
        </is>
      </c>
    </row>
    <row r="7154" spans="1:1">
      <c r="A7154" t="inlineStr">
        <is>
          <t>Jurisdiction</t>
        </is>
      </c>
    </row>
    <row r="7155" spans="1:1">
      <c r="A7155" t="inlineStr">
        <is>
          <t>Lalafugan</t>
        </is>
      </c>
    </row>
    <row r="7156" spans="1:1">
      <c r="A7156" t="inlineStr">
        <is>
          <t>Logac</t>
        </is>
      </c>
    </row>
    <row r="7157" spans="1:1">
      <c r="A7157" t="inlineStr">
        <is>
          <t>Magallungon (Sta. Teresa)</t>
        </is>
      </c>
    </row>
    <row r="7158" spans="1:1">
      <c r="A7158" t="inlineStr">
        <is>
          <t>Magapit</t>
        </is>
      </c>
    </row>
    <row r="7159" spans="1:1">
      <c r="A7159" t="inlineStr">
        <is>
          <t>Malanao</t>
        </is>
      </c>
    </row>
    <row r="7160" spans="1:1">
      <c r="A7160" t="inlineStr">
        <is>
          <t>Maxingal</t>
        </is>
      </c>
    </row>
    <row r="7161" spans="1:1">
      <c r="A7161" t="inlineStr">
        <is>
          <t>Naguilian</t>
        </is>
      </c>
    </row>
    <row r="7162" spans="1:1">
      <c r="A7162" t="inlineStr">
        <is>
          <t>Paranum</t>
        </is>
      </c>
    </row>
    <row r="7163" spans="1:1">
      <c r="A7163" t="inlineStr">
        <is>
          <t>Rosario</t>
        </is>
      </c>
    </row>
    <row r="7164" spans="1:1">
      <c r="A7164" t="inlineStr">
        <is>
          <t>San Antonio</t>
        </is>
      </c>
    </row>
    <row r="7165" spans="1:1">
      <c r="A7165" t="inlineStr">
        <is>
          <t>San Jose</t>
        </is>
      </c>
    </row>
    <row r="7166" spans="1:1">
      <c r="A7166" t="inlineStr">
        <is>
          <t>San Juan</t>
        </is>
      </c>
    </row>
    <row r="7167" spans="1:1">
      <c r="A7167" t="inlineStr">
        <is>
          <t>San Lorenzo</t>
        </is>
      </c>
    </row>
    <row r="7168" spans="1:1">
      <c r="A7168" t="inlineStr">
        <is>
          <t>San Mariano</t>
        </is>
      </c>
    </row>
    <row r="7169" spans="1:1">
      <c r="A7169" t="inlineStr">
        <is>
          <t>Sta. Maria</t>
        </is>
      </c>
    </row>
    <row r="7170" spans="1:1">
      <c r="A7170" t="inlineStr">
        <is>
          <t>Tucalana</t>
        </is>
      </c>
    </row>
    <row r="7171" spans="1:1">
      <c r="A7171" t="inlineStr">
        <is>
          <t>Aggunetan</t>
        </is>
      </c>
    </row>
    <row r="7172" spans="1:1">
      <c r="A7172" t="inlineStr">
        <is>
          <t>Alannay</t>
        </is>
      </c>
    </row>
    <row r="7173" spans="1:1">
      <c r="A7173" t="inlineStr">
        <is>
          <t>Battalan</t>
        </is>
      </c>
    </row>
    <row r="7174" spans="1:1">
      <c r="A7174" t="inlineStr">
        <is>
          <t>Cabatacan East</t>
        </is>
      </c>
    </row>
    <row r="7175" spans="1:1">
      <c r="A7175" t="inlineStr">
        <is>
          <t>Cabatacan West</t>
        </is>
      </c>
    </row>
    <row r="7176" spans="1:1">
      <c r="A7176" t="inlineStr">
        <is>
          <t>Calapangan Norte</t>
        </is>
      </c>
    </row>
    <row r="7177" spans="1:1">
      <c r="A7177" t="inlineStr">
        <is>
          <t>Calapangan Sur</t>
        </is>
      </c>
    </row>
    <row r="7178" spans="1:1">
      <c r="A7178" t="inlineStr">
        <is>
          <t>Callao Norte</t>
        </is>
      </c>
    </row>
    <row r="7179" spans="1:1">
      <c r="A7179" t="inlineStr">
        <is>
          <t>Callao Sur</t>
        </is>
      </c>
    </row>
    <row r="7180" spans="1:1">
      <c r="A7180" t="inlineStr">
        <is>
          <t>Cataliganan</t>
        </is>
      </c>
    </row>
    <row r="7181" spans="1:1">
      <c r="A7181" t="inlineStr">
        <is>
          <t>Centro I</t>
        </is>
      </c>
    </row>
    <row r="7182" spans="1:1">
      <c r="A7182" t="inlineStr">
        <is>
          <t>Centro II</t>
        </is>
      </c>
    </row>
    <row r="7183" spans="1:1">
      <c r="A7183" t="inlineStr">
        <is>
          <t>Centro III</t>
        </is>
      </c>
    </row>
    <row r="7184" spans="1:1">
      <c r="A7184" t="inlineStr">
        <is>
          <t>Finugo Norte</t>
        </is>
      </c>
    </row>
    <row r="7185" spans="1:1">
      <c r="A7185" t="inlineStr">
        <is>
          <t>Gabun</t>
        </is>
      </c>
    </row>
    <row r="7186" spans="1:1">
      <c r="A7186" t="inlineStr">
        <is>
          <t>Ignacio Jurado</t>
        </is>
      </c>
    </row>
    <row r="7187" spans="1:1">
      <c r="A7187" t="inlineStr">
        <is>
          <t>Magsaysay</t>
        </is>
      </c>
    </row>
    <row r="7188" spans="1:1">
      <c r="A7188" t="inlineStr">
        <is>
          <t>Malinta</t>
        </is>
      </c>
    </row>
    <row r="7189" spans="1:1">
      <c r="A7189" t="inlineStr">
        <is>
          <t>Minanga Norte</t>
        </is>
      </c>
    </row>
    <row r="7190" spans="1:1">
      <c r="A7190" t="inlineStr">
        <is>
          <t>Minanga Sur</t>
        </is>
      </c>
    </row>
    <row r="7191" spans="1:1">
      <c r="A7191" t="inlineStr">
        <is>
          <t>Nabannagan East</t>
        </is>
      </c>
    </row>
    <row r="7192" spans="1:1">
      <c r="A7192" t="inlineStr">
        <is>
          <t>Nabannagan West</t>
        </is>
      </c>
    </row>
    <row r="7193" spans="1:1">
      <c r="A7193" t="inlineStr">
        <is>
          <t>New Orlins</t>
        </is>
      </c>
    </row>
    <row r="7194" spans="1:1">
      <c r="A7194" t="inlineStr">
        <is>
          <t>Nicolas Agatep</t>
        </is>
      </c>
    </row>
    <row r="7195" spans="1:1">
      <c r="A7195" t="inlineStr">
        <is>
          <t>Peru</t>
        </is>
      </c>
    </row>
    <row r="7196" spans="1:1">
      <c r="A7196" t="inlineStr">
        <is>
          <t>San Pedro</t>
        </is>
      </c>
    </row>
    <row r="7197" spans="1:1">
      <c r="A7197" t="inlineStr">
        <is>
          <t>Sicalao</t>
        </is>
      </c>
    </row>
    <row r="7198" spans="1:1">
      <c r="A7198" t="inlineStr">
        <is>
          <t>Tagao</t>
        </is>
      </c>
    </row>
    <row r="7199" spans="1:1">
      <c r="A7199" t="inlineStr">
        <is>
          <t>Tucalan Passing</t>
        </is>
      </c>
    </row>
    <row r="7200" spans="1:1">
      <c r="A7200" t="inlineStr">
        <is>
          <t>Viga</t>
        </is>
      </c>
    </row>
    <row r="7201" spans="1:1">
      <c r="A7201" t="inlineStr">
        <is>
          <t>Abanqueruan</t>
        </is>
      </c>
    </row>
    <row r="7202" spans="1:1">
      <c r="A7202" t="inlineStr">
        <is>
          <t>Allasitan</t>
        </is>
      </c>
    </row>
    <row r="7203" spans="1:1">
      <c r="A7203" t="inlineStr">
        <is>
          <t>Bagu</t>
        </is>
      </c>
    </row>
    <row r="7204" spans="1:1">
      <c r="A7204" t="inlineStr">
        <is>
          <t>Balingit</t>
        </is>
      </c>
    </row>
    <row r="7205" spans="1:1">
      <c r="A7205" t="inlineStr">
        <is>
          <t>Bidduang</t>
        </is>
      </c>
    </row>
    <row r="7206" spans="1:1">
      <c r="A7206" t="inlineStr">
        <is>
          <t>Cabaggan</t>
        </is>
      </c>
    </row>
    <row r="7207" spans="1:1">
      <c r="A7207" t="inlineStr">
        <is>
          <t>Capalalian</t>
        </is>
      </c>
    </row>
    <row r="7208" spans="1:1">
      <c r="A7208" t="inlineStr">
        <is>
          <t>Casitan</t>
        </is>
      </c>
    </row>
    <row r="7209" spans="1:1">
      <c r="A7209" t="inlineStr">
        <is>
          <t>Centro</t>
        </is>
      </c>
    </row>
    <row r="7210" spans="1:1">
      <c r="A7210" t="inlineStr">
        <is>
          <t>Curva</t>
        </is>
      </c>
    </row>
    <row r="7211" spans="1:1">
      <c r="A7211" t="inlineStr">
        <is>
          <t>Gattu</t>
        </is>
      </c>
    </row>
    <row r="7212" spans="1:1">
      <c r="A7212" t="inlineStr">
        <is>
          <t>Masi</t>
        </is>
      </c>
    </row>
    <row r="7213" spans="1:1">
      <c r="A7213" t="inlineStr">
        <is>
          <t>Nagattatan</t>
        </is>
      </c>
    </row>
    <row r="7214" spans="1:1">
      <c r="A7214" t="inlineStr">
        <is>
          <t>Nagtupacan</t>
        </is>
      </c>
    </row>
    <row r="7215" spans="1:1">
      <c r="A7215" t="inlineStr">
        <is>
          <t>San Juan</t>
        </is>
      </c>
    </row>
    <row r="7216" spans="1:1">
      <c r="A7216" t="inlineStr">
        <is>
          <t>Santa Cruz</t>
        </is>
      </c>
    </row>
    <row r="7217" spans="1:1">
      <c r="A7217" t="inlineStr">
        <is>
          <t>Tabba</t>
        </is>
      </c>
    </row>
    <row r="7218" spans="1:1">
      <c r="A7218" t="inlineStr">
        <is>
          <t>Tupanna</t>
        </is>
      </c>
    </row>
    <row r="7219" spans="1:1">
      <c r="A7219" t="inlineStr">
        <is>
          <t>Aggugaddan</t>
        </is>
      </c>
    </row>
    <row r="7220" spans="1:1">
      <c r="A7220" t="inlineStr">
        <is>
          <t>Alimannao</t>
        </is>
      </c>
    </row>
    <row r="7221" spans="1:1">
      <c r="A7221" t="inlineStr">
        <is>
          <t>Baliuag</t>
        </is>
      </c>
    </row>
    <row r="7222" spans="1:1">
      <c r="A7222" t="inlineStr">
        <is>
          <t>Bical</t>
        </is>
      </c>
    </row>
    <row r="7223" spans="1:1">
      <c r="A7223" t="inlineStr">
        <is>
          <t>Bugatay</t>
        </is>
      </c>
    </row>
    <row r="7224" spans="1:1">
      <c r="A7224" t="inlineStr">
        <is>
          <t>Buyun</t>
        </is>
      </c>
    </row>
    <row r="7225" spans="1:1">
      <c r="A7225" t="inlineStr">
        <is>
          <t>Cabasan</t>
        </is>
      </c>
    </row>
    <row r="7226" spans="1:1">
      <c r="A7226" t="inlineStr">
        <is>
          <t>Cabbo</t>
        </is>
      </c>
    </row>
    <row r="7227" spans="1:1">
      <c r="A7227" t="inlineStr">
        <is>
          <t>Callao</t>
        </is>
      </c>
    </row>
    <row r="7228" spans="1:1">
      <c r="A7228" t="inlineStr">
        <is>
          <t>Camasi</t>
        </is>
      </c>
    </row>
    <row r="7229" spans="1:1">
      <c r="A7229" t="inlineStr">
        <is>
          <t>Centro</t>
        </is>
      </c>
    </row>
    <row r="7230" spans="1:1">
      <c r="A7230" t="inlineStr">
        <is>
          <t>Dodan</t>
        </is>
      </c>
    </row>
    <row r="7231" spans="1:1">
      <c r="A7231" t="inlineStr">
        <is>
          <t>Lapi</t>
        </is>
      </c>
    </row>
    <row r="7232" spans="1:1">
      <c r="A7232" t="inlineStr">
        <is>
          <t>Malibabag</t>
        </is>
      </c>
    </row>
    <row r="7233" spans="1:1">
      <c r="A7233" t="inlineStr">
        <is>
          <t>Manga</t>
        </is>
      </c>
    </row>
    <row r="7234" spans="1:1">
      <c r="A7234" t="inlineStr">
        <is>
          <t>Minanga</t>
        </is>
      </c>
    </row>
    <row r="7235" spans="1:1">
      <c r="A7235" t="inlineStr">
        <is>
          <t>Nabbabalayan</t>
        </is>
      </c>
    </row>
    <row r="7236" spans="1:1">
      <c r="A7236" t="inlineStr">
        <is>
          <t>Nanguilattan</t>
        </is>
      </c>
    </row>
    <row r="7237" spans="1:1">
      <c r="A7237" t="inlineStr">
        <is>
          <t>Nannarian</t>
        </is>
      </c>
    </row>
    <row r="7238" spans="1:1">
      <c r="A7238" t="inlineStr">
        <is>
          <t>Parabba</t>
        </is>
      </c>
    </row>
    <row r="7239" spans="1:1">
      <c r="A7239" t="inlineStr">
        <is>
          <t>Patagueleg</t>
        </is>
      </c>
    </row>
    <row r="7240" spans="1:1">
      <c r="A7240" t="inlineStr">
        <is>
          <t>Quibal</t>
        </is>
      </c>
    </row>
    <row r="7241" spans="1:1">
      <c r="A7241" t="inlineStr">
        <is>
          <t>San Roque</t>
        </is>
      </c>
    </row>
    <row r="7242" spans="1:1">
      <c r="A7242" t="inlineStr">
        <is>
          <t>Sisim</t>
        </is>
      </c>
    </row>
    <row r="7243" spans="1:1">
      <c r="A7243" t="inlineStr">
        <is>
          <t>Apayao</t>
        </is>
      </c>
    </row>
    <row r="7244" spans="1:1">
      <c r="A7244" t="inlineStr">
        <is>
          <t>Aquib</t>
        </is>
      </c>
    </row>
    <row r="7245" spans="1:1">
      <c r="A7245" t="inlineStr">
        <is>
          <t>Baung</t>
        </is>
      </c>
    </row>
    <row r="7246" spans="1:1">
      <c r="A7246" t="inlineStr">
        <is>
          <t>Calaoagan</t>
        </is>
      </c>
    </row>
    <row r="7247" spans="1:1">
      <c r="A7247" t="inlineStr">
        <is>
          <t>Catarauan</t>
        </is>
      </c>
    </row>
    <row r="7248" spans="1:1">
      <c r="A7248" t="inlineStr">
        <is>
          <t>Dugayung</t>
        </is>
      </c>
    </row>
    <row r="7249" spans="1:1">
      <c r="A7249" t="inlineStr">
        <is>
          <t>Gumarueng</t>
        </is>
      </c>
    </row>
    <row r="7250" spans="1:1">
      <c r="A7250" t="inlineStr">
        <is>
          <t>Macapil</t>
        </is>
      </c>
    </row>
    <row r="7251" spans="1:1">
      <c r="A7251" t="inlineStr">
        <is>
          <t>Maguilling</t>
        </is>
      </c>
    </row>
    <row r="7252" spans="1:1">
      <c r="A7252" t="inlineStr">
        <is>
          <t>Minanga</t>
        </is>
      </c>
    </row>
    <row r="7253" spans="1:1">
      <c r="A7253" t="inlineStr">
        <is>
          <t>Poblacion I</t>
        </is>
      </c>
    </row>
    <row r="7254" spans="1:1">
      <c r="A7254" t="inlineStr">
        <is>
          <t>Poblacion II</t>
        </is>
      </c>
    </row>
    <row r="7255" spans="1:1">
      <c r="A7255" t="inlineStr">
        <is>
          <t>Santa Barbara</t>
        </is>
      </c>
    </row>
    <row r="7256" spans="1:1">
      <c r="A7256" t="inlineStr">
        <is>
          <t>Santo Domingo</t>
        </is>
      </c>
    </row>
    <row r="7257" spans="1:1">
      <c r="A7257" t="inlineStr">
        <is>
          <t>Sicatna</t>
        </is>
      </c>
    </row>
    <row r="7258" spans="1:1">
      <c r="A7258" t="inlineStr">
        <is>
          <t>Villa Rey</t>
        </is>
      </c>
    </row>
    <row r="7259" spans="1:1">
      <c r="A7259" t="inlineStr">
        <is>
          <t>Villa Reyno</t>
        </is>
      </c>
    </row>
    <row r="7260" spans="1:1">
      <c r="A7260" t="inlineStr">
        <is>
          <t>Warat</t>
        </is>
      </c>
    </row>
    <row r="7261" spans="1:1">
      <c r="A7261" t="inlineStr">
        <is>
          <t>Anagguan</t>
        </is>
      </c>
    </row>
    <row r="7262" spans="1:1">
      <c r="A7262" t="inlineStr">
        <is>
          <t>Anungu</t>
        </is>
      </c>
    </row>
    <row r="7263" spans="1:1">
      <c r="A7263" t="inlineStr">
        <is>
          <t>Anurturu</t>
        </is>
      </c>
    </row>
    <row r="7264" spans="1:1">
      <c r="A7264" t="inlineStr">
        <is>
          <t>Baluncanag</t>
        </is>
      </c>
    </row>
    <row r="7265" spans="1:1">
      <c r="A7265" t="inlineStr">
        <is>
          <t>Battut</t>
        </is>
      </c>
    </row>
    <row r="7266" spans="1:1">
      <c r="A7266" t="inlineStr">
        <is>
          <t>Batu</t>
        </is>
      </c>
    </row>
    <row r="7267" spans="1:1">
      <c r="A7267" t="inlineStr">
        <is>
          <t>Bural</t>
        </is>
      </c>
    </row>
    <row r="7268" spans="1:1">
      <c r="A7268" t="inlineStr">
        <is>
          <t>Cambabangan</t>
        </is>
      </c>
    </row>
    <row r="7269" spans="1:1">
      <c r="A7269" t="inlineStr">
        <is>
          <t>Capaccuan</t>
        </is>
      </c>
    </row>
    <row r="7270" spans="1:1">
      <c r="A7270" t="inlineStr">
        <is>
          <t>Dungan</t>
        </is>
      </c>
    </row>
    <row r="7271" spans="1:1">
      <c r="A7271" t="inlineStr">
        <is>
          <t>Duyun</t>
        </is>
      </c>
    </row>
    <row r="7272" spans="1:1">
      <c r="A7272" t="inlineStr">
        <is>
          <t>Gaddangao</t>
        </is>
      </c>
    </row>
    <row r="7273" spans="1:1">
      <c r="A7273" t="inlineStr">
        <is>
          <t>Gaggabutan East</t>
        </is>
      </c>
    </row>
    <row r="7274" spans="1:1">
      <c r="A7274" t="inlineStr">
        <is>
          <t>Gaggabutan West</t>
        </is>
      </c>
    </row>
    <row r="7275" spans="1:1">
      <c r="A7275" t="inlineStr">
        <is>
          <t>Illuru Norte</t>
        </is>
      </c>
    </row>
    <row r="7276" spans="1:1">
      <c r="A7276" t="inlineStr">
        <is>
          <t>Illuru Sur</t>
        </is>
      </c>
    </row>
    <row r="7277" spans="1:1">
      <c r="A7277" t="inlineStr">
        <is>
          <t>Lattut</t>
        </is>
      </c>
    </row>
    <row r="7278" spans="1:1">
      <c r="A7278" t="inlineStr">
        <is>
          <t>Linno-C</t>
        </is>
      </c>
    </row>
    <row r="7279" spans="1:1">
      <c r="A7279" t="inlineStr">
        <is>
          <t>Liuan</t>
        </is>
      </c>
    </row>
    <row r="7280" spans="1:1">
      <c r="A7280" t="inlineStr">
        <is>
          <t>Mabbang</t>
        </is>
      </c>
    </row>
    <row r="7281" spans="1:1">
      <c r="A7281" t="inlineStr">
        <is>
          <t>Masi</t>
        </is>
      </c>
    </row>
    <row r="7282" spans="1:1">
      <c r="A7282" t="inlineStr">
        <is>
          <t>Mauanan</t>
        </is>
      </c>
    </row>
    <row r="7283" spans="1:1">
      <c r="A7283" t="inlineStr">
        <is>
          <t>Minanga</t>
        </is>
      </c>
    </row>
    <row r="7284" spans="1:1">
      <c r="A7284" t="inlineStr">
        <is>
          <t>Nanauatan</t>
        </is>
      </c>
    </row>
    <row r="7285" spans="1:1">
      <c r="A7285" t="inlineStr">
        <is>
          <t>Nanungaran</t>
        </is>
      </c>
    </row>
    <row r="7286" spans="1:1">
      <c r="A7286" t="inlineStr">
        <is>
          <t>Pasingan</t>
        </is>
      </c>
    </row>
    <row r="7287" spans="1:1">
      <c r="A7287" t="inlineStr">
        <is>
          <t>Poblacion</t>
        </is>
      </c>
    </row>
    <row r="7288" spans="1:1">
      <c r="A7288" t="inlineStr">
        <is>
          <t>San Juan</t>
        </is>
      </c>
    </row>
    <row r="7289" spans="1:1">
      <c r="A7289" t="inlineStr">
        <is>
          <t>Sinicking</t>
        </is>
      </c>
    </row>
    <row r="7290" spans="1:1">
      <c r="A7290" t="inlineStr">
        <is>
          <t>Bangan</t>
        </is>
      </c>
    </row>
    <row r="7291" spans="1:1">
      <c r="A7291" t="inlineStr">
        <is>
          <t>Callungan</t>
        </is>
      </c>
    </row>
    <row r="7292" spans="1:1">
      <c r="A7292" t="inlineStr">
        <is>
          <t>Centro I</t>
        </is>
      </c>
    </row>
    <row r="7293" spans="1:1">
      <c r="A7293" t="inlineStr">
        <is>
          <t>Centro II</t>
        </is>
      </c>
    </row>
    <row r="7294" spans="1:1">
      <c r="A7294" t="inlineStr">
        <is>
          <t>Dacal</t>
        </is>
      </c>
    </row>
    <row r="7295" spans="1:1">
      <c r="A7295" t="inlineStr">
        <is>
          <t>Dagueray</t>
        </is>
      </c>
    </row>
    <row r="7296" spans="1:1">
      <c r="A7296" t="inlineStr">
        <is>
          <t>Dammang</t>
        </is>
      </c>
    </row>
    <row r="7297" spans="1:1">
      <c r="A7297" t="inlineStr">
        <is>
          <t>Kittag</t>
        </is>
      </c>
    </row>
    <row r="7298" spans="1:1">
      <c r="A7298" t="inlineStr">
        <is>
          <t>Langagan</t>
        </is>
      </c>
    </row>
    <row r="7299" spans="1:1">
      <c r="A7299" t="inlineStr">
        <is>
          <t>Magacan</t>
        </is>
      </c>
    </row>
    <row r="7300" spans="1:1">
      <c r="A7300" t="inlineStr">
        <is>
          <t>Marzan</t>
        </is>
      </c>
    </row>
    <row r="7301" spans="1:1">
      <c r="A7301" t="inlineStr">
        <is>
          <t>Masisit</t>
        </is>
      </c>
    </row>
    <row r="7302" spans="1:1">
      <c r="A7302" t="inlineStr">
        <is>
          <t>Nagrangtayan</t>
        </is>
      </c>
    </row>
    <row r="7303" spans="1:1">
      <c r="A7303" t="inlineStr">
        <is>
          <t>Namuac</t>
        </is>
      </c>
    </row>
    <row r="7304" spans="1:1">
      <c r="A7304" t="inlineStr">
        <is>
          <t>San Andres</t>
        </is>
      </c>
    </row>
    <row r="7305" spans="1:1">
      <c r="A7305" t="inlineStr">
        <is>
          <t>Santiago</t>
        </is>
      </c>
    </row>
    <row r="7306" spans="1:1">
      <c r="A7306" t="inlineStr">
        <is>
          <t>Santor</t>
        </is>
      </c>
    </row>
    <row r="7307" spans="1:1">
      <c r="A7307" t="inlineStr">
        <is>
          <t>Tokitok</t>
        </is>
      </c>
    </row>
    <row r="7308" spans="1:1">
      <c r="A7308" t="inlineStr">
        <is>
          <t>Batu-Parada</t>
        </is>
      </c>
    </row>
    <row r="7309" spans="1:1">
      <c r="A7309" t="inlineStr">
        <is>
          <t>Casagan</t>
        </is>
      </c>
    </row>
    <row r="7310" spans="1:1">
      <c r="A7310" t="inlineStr">
        <is>
          <t>Casambalangan</t>
        </is>
      </c>
    </row>
    <row r="7311" spans="1:1">
      <c r="A7311" t="inlineStr">
        <is>
          <t>Centro</t>
        </is>
      </c>
    </row>
    <row r="7312" spans="1:1">
      <c r="A7312" t="inlineStr">
        <is>
          <t>Diora-Zinungan</t>
        </is>
      </c>
    </row>
    <row r="7313" spans="1:1">
      <c r="A7313" t="inlineStr">
        <is>
          <t>Dungeg</t>
        </is>
      </c>
    </row>
    <row r="7314" spans="1:1">
      <c r="A7314" t="inlineStr">
        <is>
          <t>Kapanikian</t>
        </is>
      </c>
    </row>
    <row r="7315" spans="1:1">
      <c r="A7315" t="inlineStr">
        <is>
          <t>Marede</t>
        </is>
      </c>
    </row>
    <row r="7316" spans="1:1">
      <c r="A7316" t="inlineStr">
        <is>
          <t>Palawig</t>
        </is>
      </c>
    </row>
    <row r="7317" spans="1:1">
      <c r="A7317" t="inlineStr">
        <is>
          <t>Patunungan</t>
        </is>
      </c>
    </row>
    <row r="7318" spans="1:1">
      <c r="A7318" t="inlineStr">
        <is>
          <t>Rapuli</t>
        </is>
      </c>
    </row>
    <row r="7319" spans="1:1">
      <c r="A7319" t="inlineStr">
        <is>
          <t>San Vicente</t>
        </is>
      </c>
    </row>
    <row r="7320" spans="1:1">
      <c r="A7320" t="inlineStr">
        <is>
          <t>Santa Clara</t>
        </is>
      </c>
    </row>
    <row r="7321" spans="1:1">
      <c r="A7321" t="inlineStr">
        <is>
          <t>Santa Cruz</t>
        </is>
      </c>
    </row>
    <row r="7322" spans="1:1">
      <c r="A7322" t="inlineStr">
        <is>
          <t>Tangatan</t>
        </is>
      </c>
    </row>
    <row r="7323" spans="1:1">
      <c r="A7323" t="inlineStr">
        <is>
          <t>Visitacion</t>
        </is>
      </c>
    </row>
    <row r="7324" spans="1:1">
      <c r="A7324" t="inlineStr">
        <is>
          <t>Cadongdongan</t>
        </is>
      </c>
    </row>
    <row r="7325" spans="1:1">
      <c r="A7325" t="inlineStr">
        <is>
          <t>Capacuan</t>
        </is>
      </c>
    </row>
    <row r="7326" spans="1:1">
      <c r="A7326" t="inlineStr">
        <is>
          <t>Centro I</t>
        </is>
      </c>
    </row>
    <row r="7327" spans="1:1">
      <c r="A7327" t="inlineStr">
        <is>
          <t>Centro II</t>
        </is>
      </c>
    </row>
    <row r="7328" spans="1:1">
      <c r="A7328" t="inlineStr">
        <is>
          <t>Macatel</t>
        </is>
      </c>
    </row>
    <row r="7329" spans="1:1">
      <c r="A7329" t="inlineStr">
        <is>
          <t>Portabaga</t>
        </is>
      </c>
    </row>
    <row r="7330" spans="1:1">
      <c r="A7330" t="inlineStr">
        <is>
          <t>Salungsong</t>
        </is>
      </c>
    </row>
    <row r="7331" spans="1:1">
      <c r="A7331" t="inlineStr">
        <is>
          <t>San Juan</t>
        </is>
      </c>
    </row>
    <row r="7332" spans="1:1">
      <c r="A7332" t="inlineStr">
        <is>
          <t>San Miguel</t>
        </is>
      </c>
    </row>
    <row r="7333" spans="1:1">
      <c r="A7333" t="inlineStr">
        <is>
          <t>Sicul</t>
        </is>
      </c>
    </row>
    <row r="7334" spans="1:1">
      <c r="A7334" t="inlineStr">
        <is>
          <t>Alucao</t>
        </is>
      </c>
    </row>
    <row r="7335" spans="1:1">
      <c r="A7335" t="inlineStr">
        <is>
          <t>Aridowen</t>
        </is>
      </c>
    </row>
    <row r="7336" spans="1:1">
      <c r="A7336" t="inlineStr">
        <is>
          <t>Buyun</t>
        </is>
      </c>
    </row>
    <row r="7337" spans="1:1">
      <c r="A7337" t="inlineStr">
        <is>
          <t>Caniugan</t>
        </is>
      </c>
    </row>
    <row r="7338" spans="1:1">
      <c r="A7338" t="inlineStr">
        <is>
          <t>Centro East</t>
        </is>
      </c>
    </row>
    <row r="7339" spans="1:1">
      <c r="A7339" t="inlineStr">
        <is>
          <t>Centro West</t>
        </is>
      </c>
    </row>
    <row r="7340" spans="1:1">
      <c r="A7340" t="inlineStr">
        <is>
          <t>Dungeg</t>
        </is>
      </c>
    </row>
    <row r="7341" spans="1:1">
      <c r="A7341" t="inlineStr">
        <is>
          <t>Luga</t>
        </is>
      </c>
    </row>
    <row r="7342" spans="1:1">
      <c r="A7342" t="inlineStr">
        <is>
          <t>Masi</t>
        </is>
      </c>
    </row>
    <row r="7343" spans="1:1">
      <c r="A7343" t="inlineStr">
        <is>
          <t>Mission</t>
        </is>
      </c>
    </row>
    <row r="7344" spans="1:1">
      <c r="A7344" t="inlineStr">
        <is>
          <t>Simbaluca</t>
        </is>
      </c>
    </row>
    <row r="7345" spans="1:1">
      <c r="A7345" t="inlineStr">
        <is>
          <t>Simpatuyo</t>
        </is>
      </c>
    </row>
    <row r="7346" spans="1:1">
      <c r="A7346" t="inlineStr">
        <is>
          <t>Villa</t>
        </is>
      </c>
    </row>
    <row r="7347" spans="1:1">
      <c r="A7347" t="inlineStr">
        <is>
          <t>Abariongan Ruar</t>
        </is>
      </c>
    </row>
    <row r="7348" spans="1:1">
      <c r="A7348" t="inlineStr">
        <is>
          <t>Abariongan Uneg</t>
        </is>
      </c>
    </row>
    <row r="7349" spans="1:1">
      <c r="A7349" t="inlineStr">
        <is>
          <t>Balagan</t>
        </is>
      </c>
    </row>
    <row r="7350" spans="1:1">
      <c r="A7350" t="inlineStr">
        <is>
          <t>Balanni</t>
        </is>
      </c>
    </row>
    <row r="7351" spans="1:1">
      <c r="A7351" t="inlineStr">
        <is>
          <t>Cabayo</t>
        </is>
      </c>
    </row>
    <row r="7352" spans="1:1">
      <c r="A7352" t="inlineStr">
        <is>
          <t>Calapangan</t>
        </is>
      </c>
    </row>
    <row r="7353" spans="1:1">
      <c r="A7353" t="inlineStr">
        <is>
          <t>Calassitan</t>
        </is>
      </c>
    </row>
    <row r="7354" spans="1:1">
      <c r="A7354" t="inlineStr">
        <is>
          <t>Campo</t>
        </is>
      </c>
    </row>
    <row r="7355" spans="1:1">
      <c r="A7355" t="inlineStr">
        <is>
          <t>Centro Norte</t>
        </is>
      </c>
    </row>
    <row r="7356" spans="1:1">
      <c r="A7356" t="inlineStr">
        <is>
          <t>Centro Sur</t>
        </is>
      </c>
    </row>
    <row r="7357" spans="1:1">
      <c r="A7357" t="inlineStr">
        <is>
          <t>Dungao</t>
        </is>
      </c>
    </row>
    <row r="7358" spans="1:1">
      <c r="A7358" t="inlineStr">
        <is>
          <t>Lattac</t>
        </is>
      </c>
    </row>
    <row r="7359" spans="1:1">
      <c r="A7359" t="inlineStr">
        <is>
          <t>Lipatan</t>
        </is>
      </c>
    </row>
    <row r="7360" spans="1:1">
      <c r="A7360" t="inlineStr">
        <is>
          <t>Lubo</t>
        </is>
      </c>
    </row>
    <row r="7361" spans="1:1">
      <c r="A7361" t="inlineStr">
        <is>
          <t>Mabitbitnong</t>
        </is>
      </c>
    </row>
    <row r="7362" spans="1:1">
      <c r="A7362" t="inlineStr">
        <is>
          <t>Mapitac</t>
        </is>
      </c>
    </row>
    <row r="7363" spans="1:1">
      <c r="A7363" t="inlineStr">
        <is>
          <t>Masical</t>
        </is>
      </c>
    </row>
    <row r="7364" spans="1:1">
      <c r="A7364" t="inlineStr">
        <is>
          <t>Matalao</t>
        </is>
      </c>
    </row>
    <row r="7365" spans="1:1">
      <c r="A7365" t="inlineStr">
        <is>
          <t>Nag-uma</t>
        </is>
      </c>
    </row>
    <row r="7366" spans="1:1">
      <c r="A7366" t="inlineStr">
        <is>
          <t>Namuccayan</t>
        </is>
      </c>
    </row>
    <row r="7367" spans="1:1">
      <c r="A7367" t="inlineStr">
        <is>
          <t>Niug Norte</t>
        </is>
      </c>
    </row>
    <row r="7368" spans="1:1">
      <c r="A7368" t="inlineStr">
        <is>
          <t>Niug Sur</t>
        </is>
      </c>
    </row>
    <row r="7369" spans="1:1">
      <c r="A7369" t="inlineStr">
        <is>
          <t>Palusao</t>
        </is>
      </c>
    </row>
    <row r="7370" spans="1:1">
      <c r="A7370" t="inlineStr">
        <is>
          <t>San Manuel</t>
        </is>
      </c>
    </row>
    <row r="7371" spans="1:1">
      <c r="A7371" t="inlineStr">
        <is>
          <t>San Roque</t>
        </is>
      </c>
    </row>
    <row r="7372" spans="1:1">
      <c r="A7372" t="inlineStr">
        <is>
          <t>Santa Felicitas</t>
        </is>
      </c>
    </row>
    <row r="7373" spans="1:1">
      <c r="A7373" t="inlineStr">
        <is>
          <t>Santa Maria</t>
        </is>
      </c>
    </row>
    <row r="7374" spans="1:1">
      <c r="A7374" t="inlineStr">
        <is>
          <t>Sidiran</t>
        </is>
      </c>
    </row>
    <row r="7375" spans="1:1">
      <c r="A7375" t="inlineStr">
        <is>
          <t>Tabang</t>
        </is>
      </c>
    </row>
    <row r="7376" spans="1:1">
      <c r="A7376" t="inlineStr">
        <is>
          <t>Tamucco</t>
        </is>
      </c>
    </row>
    <row r="7377" spans="1:1">
      <c r="A7377" t="inlineStr">
        <is>
          <t>Virginia</t>
        </is>
      </c>
    </row>
    <row r="7378" spans="1:1">
      <c r="A7378" t="inlineStr">
        <is>
          <t>Andarayan North</t>
        </is>
      </c>
    </row>
    <row r="7379" spans="1:1">
      <c r="A7379" t="inlineStr">
        <is>
          <t>Andarayan South</t>
        </is>
      </c>
    </row>
    <row r="7380" spans="1:1">
      <c r="A7380" t="inlineStr">
        <is>
          <t>Bangag</t>
        </is>
      </c>
    </row>
    <row r="7381" spans="1:1">
      <c r="A7381" t="inlineStr">
        <is>
          <t>Bantay</t>
        </is>
      </c>
    </row>
    <row r="7382" spans="1:1">
      <c r="A7382" t="inlineStr">
        <is>
          <t>Basi East</t>
        </is>
      </c>
    </row>
    <row r="7383" spans="1:1">
      <c r="A7383" t="inlineStr">
        <is>
          <t>Basi West</t>
        </is>
      </c>
    </row>
    <row r="7384" spans="1:1">
      <c r="A7384" t="inlineStr">
        <is>
          <t>Bauan East</t>
        </is>
      </c>
    </row>
    <row r="7385" spans="1:1">
      <c r="A7385" t="inlineStr">
        <is>
          <t>Bauan West</t>
        </is>
      </c>
    </row>
    <row r="7386" spans="1:1">
      <c r="A7386" t="inlineStr">
        <is>
          <t>Cadaanan</t>
        </is>
      </c>
    </row>
    <row r="7387" spans="1:1">
      <c r="A7387" t="inlineStr">
        <is>
          <t>Calamagui</t>
        </is>
      </c>
    </row>
    <row r="7388" spans="1:1">
      <c r="A7388" t="inlineStr">
        <is>
          <t>Calillauan</t>
        </is>
      </c>
    </row>
    <row r="7389" spans="1:1">
      <c r="A7389" t="inlineStr">
        <is>
          <t>Carilucud</t>
        </is>
      </c>
    </row>
    <row r="7390" spans="1:1">
      <c r="A7390" t="inlineStr">
        <is>
          <t>Cattaran</t>
        </is>
      </c>
    </row>
    <row r="7391" spans="1:1">
      <c r="A7391" t="inlineStr">
        <is>
          <t>Centro Northeast</t>
        </is>
      </c>
    </row>
    <row r="7392" spans="1:1">
      <c r="A7392" t="inlineStr">
        <is>
          <t>Centro Northwest</t>
        </is>
      </c>
    </row>
    <row r="7393" spans="1:1">
      <c r="A7393" t="inlineStr">
        <is>
          <t>Centro Southeast</t>
        </is>
      </c>
    </row>
    <row r="7394" spans="1:1">
      <c r="A7394" t="inlineStr">
        <is>
          <t>Centro Southwest</t>
        </is>
      </c>
    </row>
    <row r="7395" spans="1:1">
      <c r="A7395" t="inlineStr">
        <is>
          <t>Dassun</t>
        </is>
      </c>
    </row>
    <row r="7396" spans="1:1">
      <c r="A7396" t="inlineStr">
        <is>
          <t>Furagui</t>
        </is>
      </c>
    </row>
    <row r="7397" spans="1:1">
      <c r="A7397" t="inlineStr">
        <is>
          <t>Gadu</t>
        </is>
      </c>
    </row>
    <row r="7398" spans="1:1">
      <c r="A7398" t="inlineStr">
        <is>
          <t>Gen. Eulogio Balao</t>
        </is>
      </c>
    </row>
    <row r="7399" spans="1:1">
      <c r="A7399" t="inlineStr">
        <is>
          <t>Iraga</t>
        </is>
      </c>
    </row>
    <row r="7400" spans="1:1">
      <c r="A7400" t="inlineStr">
        <is>
          <t>Lanna</t>
        </is>
      </c>
    </row>
    <row r="7401" spans="1:1">
      <c r="A7401" t="inlineStr">
        <is>
          <t>Lannig</t>
        </is>
      </c>
    </row>
    <row r="7402" spans="1:1">
      <c r="A7402" t="inlineStr">
        <is>
          <t>Lingu</t>
        </is>
      </c>
    </row>
    <row r="7403" spans="1:1">
      <c r="A7403" t="inlineStr">
        <is>
          <t>Maddarulug</t>
        </is>
      </c>
    </row>
    <row r="7404" spans="1:1">
      <c r="A7404" t="inlineStr">
        <is>
          <t>Maguirig</t>
        </is>
      </c>
    </row>
    <row r="7405" spans="1:1">
      <c r="A7405" t="inlineStr">
        <is>
          <t>Malalam-Malacabibi</t>
        </is>
      </c>
    </row>
    <row r="7406" spans="1:1">
      <c r="A7406" t="inlineStr">
        <is>
          <t>Nabbotuan</t>
        </is>
      </c>
    </row>
    <row r="7407" spans="1:1">
      <c r="A7407" t="inlineStr">
        <is>
          <t>Nangalisan</t>
        </is>
      </c>
    </row>
    <row r="7408" spans="1:1">
      <c r="A7408" t="inlineStr">
        <is>
          <t>Natappian East</t>
        </is>
      </c>
    </row>
    <row r="7409" spans="1:1">
      <c r="A7409" t="inlineStr">
        <is>
          <t>Natappian West</t>
        </is>
      </c>
    </row>
    <row r="7410" spans="1:1">
      <c r="A7410" t="inlineStr">
        <is>
          <t>Padul</t>
        </is>
      </c>
    </row>
    <row r="7411" spans="1:1">
      <c r="A7411" t="inlineStr">
        <is>
          <t>Palao</t>
        </is>
      </c>
    </row>
    <row r="7412" spans="1:1">
      <c r="A7412" t="inlineStr">
        <is>
          <t>Parug-parug</t>
        </is>
      </c>
    </row>
    <row r="7413" spans="1:1">
      <c r="A7413" t="inlineStr">
        <is>
          <t>Pataya</t>
        </is>
      </c>
    </row>
    <row r="7414" spans="1:1">
      <c r="A7414" t="inlineStr">
        <is>
          <t>Sampaguita</t>
        </is>
      </c>
    </row>
    <row r="7415" spans="1:1">
      <c r="A7415" t="inlineStr">
        <is>
          <t>Ubong</t>
        </is>
      </c>
    </row>
    <row r="7416" spans="1:1">
      <c r="A7416" t="inlineStr">
        <is>
          <t>Accusilian</t>
        </is>
      </c>
    </row>
    <row r="7417" spans="1:1">
      <c r="A7417" t="inlineStr">
        <is>
          <t>Alabiao</t>
        </is>
      </c>
    </row>
    <row r="7418" spans="1:1">
      <c r="A7418" t="inlineStr">
        <is>
          <t>Alabug</t>
        </is>
      </c>
    </row>
    <row r="7419" spans="1:1">
      <c r="A7419" t="inlineStr">
        <is>
          <t>Angang</t>
        </is>
      </c>
    </row>
    <row r="7420" spans="1:1">
      <c r="A7420" t="inlineStr">
        <is>
          <t>Bagumbayan</t>
        </is>
      </c>
    </row>
    <row r="7421" spans="1:1">
      <c r="A7421" t="inlineStr">
        <is>
          <t>Barancuag</t>
        </is>
      </c>
    </row>
    <row r="7422" spans="1:1">
      <c r="A7422" t="inlineStr">
        <is>
          <t>Battung</t>
        </is>
      </c>
    </row>
    <row r="7423" spans="1:1">
      <c r="A7423" t="inlineStr">
        <is>
          <t>Bicok</t>
        </is>
      </c>
    </row>
    <row r="7424" spans="1:1">
      <c r="A7424" t="inlineStr">
        <is>
          <t>Bugnay</t>
        </is>
      </c>
    </row>
    <row r="7425" spans="1:1">
      <c r="A7425" t="inlineStr">
        <is>
          <t>Bulagao</t>
        </is>
      </c>
    </row>
    <row r="7426" spans="1:1">
      <c r="A7426" t="inlineStr">
        <is>
          <t>Cagumitan</t>
        </is>
      </c>
    </row>
    <row r="7427" spans="1:1">
      <c r="A7427" t="inlineStr">
        <is>
          <t>Cato</t>
        </is>
      </c>
    </row>
    <row r="7428" spans="1:1">
      <c r="A7428" t="inlineStr">
        <is>
          <t>Culung</t>
        </is>
      </c>
    </row>
    <row r="7429" spans="1:1">
      <c r="A7429" t="inlineStr">
        <is>
          <t>Dagupan</t>
        </is>
      </c>
    </row>
    <row r="7430" spans="1:1">
      <c r="A7430" t="inlineStr">
        <is>
          <t>Fugu</t>
        </is>
      </c>
    </row>
    <row r="7431" spans="1:1">
      <c r="A7431" t="inlineStr">
        <is>
          <t>Lakambini</t>
        </is>
      </c>
    </row>
    <row r="7432" spans="1:1">
      <c r="A7432" t="inlineStr">
        <is>
          <t>Lallayug</t>
        </is>
      </c>
    </row>
    <row r="7433" spans="1:1">
      <c r="A7433" t="inlineStr">
        <is>
          <t>Malalinta</t>
        </is>
      </c>
    </row>
    <row r="7434" spans="1:1">
      <c r="A7434" t="inlineStr">
        <is>
          <t>Malummin</t>
        </is>
      </c>
    </row>
    <row r="7435" spans="1:1">
      <c r="A7435" t="inlineStr">
        <is>
          <t>Mambacag</t>
        </is>
      </c>
    </row>
    <row r="7436" spans="1:1">
      <c r="A7436" t="inlineStr">
        <is>
          <t>Mungo</t>
        </is>
      </c>
    </row>
    <row r="7437" spans="1:1">
      <c r="A7437" t="inlineStr">
        <is>
          <t>Naruangan</t>
        </is>
      </c>
    </row>
    <row r="7438" spans="1:1">
      <c r="A7438" t="inlineStr">
        <is>
          <t>Palca</t>
        </is>
      </c>
    </row>
    <row r="7439" spans="1:1">
      <c r="A7439" t="inlineStr">
        <is>
          <t>Pata</t>
        </is>
      </c>
    </row>
    <row r="7440" spans="1:1">
      <c r="A7440" t="inlineStr">
        <is>
          <t>Poblacion I</t>
        </is>
      </c>
    </row>
    <row r="7441" spans="1:1">
      <c r="A7441" t="inlineStr">
        <is>
          <t>Poblacion II</t>
        </is>
      </c>
    </row>
    <row r="7442" spans="1:1">
      <c r="A7442" t="inlineStr">
        <is>
          <t>San Juan</t>
        </is>
      </c>
    </row>
    <row r="7443" spans="1:1">
      <c r="A7443" t="inlineStr">
        <is>
          <t>San Luis</t>
        </is>
      </c>
    </row>
    <row r="7444" spans="1:1">
      <c r="A7444" t="inlineStr">
        <is>
          <t>San Vicente</t>
        </is>
      </c>
    </row>
    <row r="7445" spans="1:1">
      <c r="A7445" t="inlineStr">
        <is>
          <t>Sto. Tomas</t>
        </is>
      </c>
    </row>
    <row r="7446" spans="1:1">
      <c r="A7446" t="inlineStr">
        <is>
          <t>Taribubu</t>
        </is>
      </c>
    </row>
    <row r="7447" spans="1:1">
      <c r="A7447" t="inlineStr">
        <is>
          <t>Villalaida</t>
        </is>
      </c>
    </row>
    <row r="7448" spans="1:1">
      <c r="A7448" t="inlineStr">
        <is>
          <t>Annafunan East</t>
        </is>
      </c>
    </row>
    <row r="7449" spans="1:1">
      <c r="A7449" t="inlineStr">
        <is>
          <t>Annafunan West</t>
        </is>
      </c>
    </row>
    <row r="7450" spans="1:1">
      <c r="A7450" t="inlineStr">
        <is>
          <t>Atulayan Norte</t>
        </is>
      </c>
    </row>
    <row r="7451" spans="1:1">
      <c r="A7451" t="inlineStr">
        <is>
          <t>Atulayan Sur</t>
        </is>
      </c>
    </row>
    <row r="7452" spans="1:1">
      <c r="A7452" t="inlineStr">
        <is>
          <t>Bagay</t>
        </is>
      </c>
    </row>
    <row r="7453" spans="1:1">
      <c r="A7453" t="inlineStr">
        <is>
          <t>Buntun</t>
        </is>
      </c>
    </row>
    <row r="7454" spans="1:1">
      <c r="A7454" t="inlineStr">
        <is>
          <t>Caggay</t>
        </is>
      </c>
    </row>
    <row r="7455" spans="1:1">
      <c r="A7455" t="inlineStr">
        <is>
          <t>Capatan</t>
        </is>
      </c>
    </row>
    <row r="7456" spans="1:1">
      <c r="A7456" t="inlineStr">
        <is>
          <t>Carig</t>
        </is>
      </c>
    </row>
    <row r="7457" spans="1:1">
      <c r="A7457" t="inlineStr">
        <is>
          <t>Caritan Centro</t>
        </is>
      </c>
    </row>
    <row r="7458" spans="1:1">
      <c r="A7458" t="inlineStr">
        <is>
          <t>Caritan Norte</t>
        </is>
      </c>
    </row>
    <row r="7459" spans="1:1">
      <c r="A7459" t="inlineStr">
        <is>
          <t>Caritan Sur</t>
        </is>
      </c>
    </row>
    <row r="7460" spans="1:1">
      <c r="A7460" t="inlineStr">
        <is>
          <t>Cataggaman Nuevo</t>
        </is>
      </c>
    </row>
    <row r="7461" spans="1:1">
      <c r="A7461" t="inlineStr">
        <is>
          <t>Cataggaman Pardo</t>
        </is>
      </c>
    </row>
    <row r="7462" spans="1:1">
      <c r="A7462" t="inlineStr">
        <is>
          <t>Cataggaman Viejo</t>
        </is>
      </c>
    </row>
    <row r="7463" spans="1:1">
      <c r="A7463" t="inlineStr">
        <is>
          <t>Centro 1</t>
        </is>
      </c>
    </row>
    <row r="7464" spans="1:1">
      <c r="A7464" t="inlineStr">
        <is>
          <t>Centro 10</t>
        </is>
      </c>
    </row>
    <row r="7465" spans="1:1">
      <c r="A7465" t="inlineStr">
        <is>
          <t>Centro 11</t>
        </is>
      </c>
    </row>
    <row r="7466" spans="1:1">
      <c r="A7466" t="inlineStr">
        <is>
          <t>Centro 12</t>
        </is>
      </c>
    </row>
    <row r="7467" spans="1:1">
      <c r="A7467" t="inlineStr">
        <is>
          <t>Centro 2</t>
        </is>
      </c>
    </row>
    <row r="7468" spans="1:1">
      <c r="A7468" t="inlineStr">
        <is>
          <t>Centro 3</t>
        </is>
      </c>
    </row>
    <row r="7469" spans="1:1">
      <c r="A7469" t="inlineStr">
        <is>
          <t>Centro 4</t>
        </is>
      </c>
    </row>
    <row r="7470" spans="1:1">
      <c r="A7470" t="inlineStr">
        <is>
          <t>Centro 5</t>
        </is>
      </c>
    </row>
    <row r="7471" spans="1:1">
      <c r="A7471" t="inlineStr">
        <is>
          <t>Centro 6</t>
        </is>
      </c>
    </row>
    <row r="7472" spans="1:1">
      <c r="A7472" t="inlineStr">
        <is>
          <t>Centro 7</t>
        </is>
      </c>
    </row>
    <row r="7473" spans="1:1">
      <c r="A7473" t="inlineStr">
        <is>
          <t>Centro 8</t>
        </is>
      </c>
    </row>
    <row r="7474" spans="1:1">
      <c r="A7474" t="inlineStr">
        <is>
          <t>Centro 9</t>
        </is>
      </c>
    </row>
    <row r="7475" spans="1:1">
      <c r="A7475" t="inlineStr">
        <is>
          <t>Dadda</t>
        </is>
      </c>
    </row>
    <row r="7476" spans="1:1">
      <c r="A7476" t="inlineStr">
        <is>
          <t>Gosi Norte</t>
        </is>
      </c>
    </row>
    <row r="7477" spans="1:1">
      <c r="A7477" t="inlineStr">
        <is>
          <t>Gosi Sur</t>
        </is>
      </c>
    </row>
    <row r="7478" spans="1:1">
      <c r="A7478" t="inlineStr">
        <is>
          <t>Larion Alto</t>
        </is>
      </c>
    </row>
    <row r="7479" spans="1:1">
      <c r="A7479" t="inlineStr">
        <is>
          <t>Larion Bajo</t>
        </is>
      </c>
    </row>
    <row r="7480" spans="1:1">
      <c r="A7480" t="inlineStr">
        <is>
          <t>Leonarda</t>
        </is>
      </c>
    </row>
    <row r="7481" spans="1:1">
      <c r="A7481" t="inlineStr">
        <is>
          <t>Libag Norte</t>
        </is>
      </c>
    </row>
    <row r="7482" spans="1:1">
      <c r="A7482" t="inlineStr">
        <is>
          <t>Libag Sur</t>
        </is>
      </c>
    </row>
    <row r="7483" spans="1:1">
      <c r="A7483" t="inlineStr">
        <is>
          <t>Linao East</t>
        </is>
      </c>
    </row>
    <row r="7484" spans="1:1">
      <c r="A7484" t="inlineStr">
        <is>
          <t>Linao Norte</t>
        </is>
      </c>
    </row>
    <row r="7485" spans="1:1">
      <c r="A7485" t="inlineStr">
        <is>
          <t>Linao West</t>
        </is>
      </c>
    </row>
    <row r="7486" spans="1:1">
      <c r="A7486" t="inlineStr">
        <is>
          <t>Namabbalan Norte</t>
        </is>
      </c>
    </row>
    <row r="7487" spans="1:1">
      <c r="A7487" t="inlineStr">
        <is>
          <t>Namabbalan Sur</t>
        </is>
      </c>
    </row>
    <row r="7488" spans="1:1">
      <c r="A7488" t="inlineStr">
        <is>
          <t>Pallua Norte</t>
        </is>
      </c>
    </row>
    <row r="7489" spans="1:1">
      <c r="A7489" t="inlineStr">
        <is>
          <t>Pallua Sur</t>
        </is>
      </c>
    </row>
    <row r="7490" spans="1:1">
      <c r="A7490" t="inlineStr">
        <is>
          <t>Pengue</t>
        </is>
      </c>
    </row>
    <row r="7491" spans="1:1">
      <c r="A7491" t="inlineStr">
        <is>
          <t>Reyes</t>
        </is>
      </c>
    </row>
    <row r="7492" spans="1:1">
      <c r="A7492" t="inlineStr">
        <is>
          <t>San Gabriel</t>
        </is>
      </c>
    </row>
    <row r="7493" spans="1:1">
      <c r="A7493" t="inlineStr">
        <is>
          <t>Tagga</t>
        </is>
      </c>
    </row>
    <row r="7494" spans="1:1">
      <c r="A7494" t="inlineStr">
        <is>
          <t>Tanza</t>
        </is>
      </c>
    </row>
    <row r="7495" spans="1:1">
      <c r="A7495" t="inlineStr">
        <is>
          <t>Ugac Norte</t>
        </is>
      </c>
    </row>
    <row r="7496" spans="1:1">
      <c r="A7496" t="inlineStr">
        <is>
          <t>Ugac Sur</t>
        </is>
      </c>
    </row>
    <row r="7497" spans="1:1">
      <c r="A7497" t="inlineStr">
        <is>
          <t>Angas</t>
        </is>
      </c>
    </row>
    <row r="7498" spans="1:1">
      <c r="A7498" t="inlineStr">
        <is>
          <t>Bactas</t>
        </is>
      </c>
    </row>
    <row r="7499" spans="1:1">
      <c r="A7499" t="inlineStr">
        <is>
          <t>Binatagan</t>
        </is>
      </c>
    </row>
    <row r="7500" spans="1:1">
      <c r="A7500" t="inlineStr">
        <is>
          <t>Caayunan</t>
        </is>
      </c>
    </row>
    <row r="7501" spans="1:1">
      <c r="A7501" t="inlineStr">
        <is>
          <t>Guinatungan</t>
        </is>
      </c>
    </row>
    <row r="7502" spans="1:1">
      <c r="A7502" t="inlineStr">
        <is>
          <t>Hinampacan</t>
        </is>
      </c>
    </row>
    <row r="7503" spans="1:1">
      <c r="A7503" t="inlineStr">
        <is>
          <t>Langa</t>
        </is>
      </c>
    </row>
    <row r="7504" spans="1:1">
      <c r="A7504" t="inlineStr">
        <is>
          <t>Laniton</t>
        </is>
      </c>
    </row>
    <row r="7505" spans="1:1">
      <c r="A7505" t="inlineStr">
        <is>
          <t>Lidong</t>
        </is>
      </c>
    </row>
    <row r="7506" spans="1:1">
      <c r="A7506" t="inlineStr">
        <is>
          <t>Mampili</t>
        </is>
      </c>
    </row>
    <row r="7507" spans="1:1">
      <c r="A7507" t="inlineStr">
        <is>
          <t>Mandazo</t>
        </is>
      </c>
    </row>
    <row r="7508" spans="1:1">
      <c r="A7508" t="inlineStr">
        <is>
          <t>Mangcamagong</t>
        </is>
      </c>
    </row>
    <row r="7509" spans="1:1">
      <c r="A7509" t="inlineStr">
        <is>
          <t>Manmuntay</t>
        </is>
      </c>
    </row>
    <row r="7510" spans="1:1">
      <c r="A7510" t="inlineStr">
        <is>
          <t>Mantugawe</t>
        </is>
      </c>
    </row>
    <row r="7511" spans="1:1">
      <c r="A7511" t="inlineStr">
        <is>
          <t>Matnog</t>
        </is>
      </c>
    </row>
    <row r="7512" spans="1:1">
      <c r="A7512" t="inlineStr">
        <is>
          <t>Mocong</t>
        </is>
      </c>
    </row>
    <row r="7513" spans="1:1">
      <c r="A7513" t="inlineStr">
        <is>
          <t>Oliva</t>
        </is>
      </c>
    </row>
    <row r="7514" spans="1:1">
      <c r="A7514" t="inlineStr">
        <is>
          <t>Pagsangahan</t>
        </is>
      </c>
    </row>
    <row r="7515" spans="1:1">
      <c r="A7515" t="inlineStr">
        <is>
          <t>Pinagwarasan</t>
        </is>
      </c>
    </row>
    <row r="7516" spans="1:1">
      <c r="A7516" t="inlineStr">
        <is>
          <t>Plaridel</t>
        </is>
      </c>
    </row>
    <row r="7517" spans="1:1">
      <c r="A7517" t="inlineStr">
        <is>
          <t>Poblacion 1</t>
        </is>
      </c>
    </row>
    <row r="7518" spans="1:1">
      <c r="A7518" t="inlineStr">
        <is>
          <t>Poblacion 2</t>
        </is>
      </c>
    </row>
    <row r="7519" spans="1:1">
      <c r="A7519" t="inlineStr">
        <is>
          <t>San Felipe</t>
        </is>
      </c>
    </row>
    <row r="7520" spans="1:1">
      <c r="A7520" t="inlineStr">
        <is>
          <t>San Jose</t>
        </is>
      </c>
    </row>
    <row r="7521" spans="1:1">
      <c r="A7521" t="inlineStr">
        <is>
          <t>San Pascual</t>
        </is>
      </c>
    </row>
    <row r="7522" spans="1:1">
      <c r="A7522" t="inlineStr">
        <is>
          <t>Taba-taba</t>
        </is>
      </c>
    </row>
    <row r="7523" spans="1:1">
      <c r="A7523" t="inlineStr">
        <is>
          <t>Tacad</t>
        </is>
      </c>
    </row>
    <row r="7524" spans="1:1">
      <c r="A7524" t="inlineStr">
        <is>
          <t>Taisan</t>
        </is>
      </c>
    </row>
    <row r="7525" spans="1:1">
      <c r="A7525" t="inlineStr">
        <is>
          <t>Tuaca</t>
        </is>
      </c>
    </row>
    <row r="7526" spans="1:1">
      <c r="A7526" t="inlineStr">
        <is>
          <t>Alayao</t>
        </is>
      </c>
    </row>
    <row r="7527" spans="1:1">
      <c r="A7527" t="inlineStr">
        <is>
          <t>Binawangan</t>
        </is>
      </c>
    </row>
    <row r="7528" spans="1:1">
      <c r="A7528" t="inlineStr">
        <is>
          <t>Calabaca</t>
        </is>
      </c>
    </row>
    <row r="7529" spans="1:1">
      <c r="A7529" t="inlineStr">
        <is>
          <t>Camagsaan</t>
        </is>
      </c>
    </row>
    <row r="7530" spans="1:1">
      <c r="A7530" t="inlineStr">
        <is>
          <t>Catabaguangan</t>
        </is>
      </c>
    </row>
    <row r="7531" spans="1:1">
      <c r="A7531" t="inlineStr">
        <is>
          <t>Catioan</t>
        </is>
      </c>
    </row>
    <row r="7532" spans="1:1">
      <c r="A7532" t="inlineStr">
        <is>
          <t>Del Pilar</t>
        </is>
      </c>
    </row>
    <row r="7533" spans="1:1">
      <c r="A7533" t="inlineStr">
        <is>
          <t>Itok</t>
        </is>
      </c>
    </row>
    <row r="7534" spans="1:1">
      <c r="A7534" t="inlineStr">
        <is>
          <t>Lucbanan</t>
        </is>
      </c>
    </row>
    <row r="7535" spans="1:1">
      <c r="A7535" t="inlineStr">
        <is>
          <t>Mabini</t>
        </is>
      </c>
    </row>
    <row r="7536" spans="1:1">
      <c r="A7536" t="inlineStr">
        <is>
          <t>Mactang</t>
        </is>
      </c>
    </row>
    <row r="7537" spans="1:1">
      <c r="A7537" t="inlineStr">
        <is>
          <t>Magsaysay</t>
        </is>
      </c>
    </row>
    <row r="7538" spans="1:1">
      <c r="A7538" t="inlineStr">
        <is>
          <t>Mataque</t>
        </is>
      </c>
    </row>
    <row r="7539" spans="1:1">
      <c r="A7539" t="inlineStr">
        <is>
          <t>Old Camp</t>
        </is>
      </c>
    </row>
    <row r="7540" spans="1:1">
      <c r="A7540" t="inlineStr">
        <is>
          <t>Poblacion</t>
        </is>
      </c>
    </row>
    <row r="7541" spans="1:1">
      <c r="A7541" t="inlineStr">
        <is>
          <t>San Antonio</t>
        </is>
      </c>
    </row>
    <row r="7542" spans="1:1">
      <c r="A7542" t="inlineStr">
        <is>
          <t>San Isidro</t>
        </is>
      </c>
    </row>
    <row r="7543" spans="1:1">
      <c r="A7543" t="inlineStr">
        <is>
          <t>San Roque</t>
        </is>
      </c>
    </row>
    <row r="7544" spans="1:1">
      <c r="A7544" t="inlineStr">
        <is>
          <t>Tanawan</t>
        </is>
      </c>
    </row>
    <row r="7545" spans="1:1">
      <c r="A7545" t="inlineStr">
        <is>
          <t>Ubang</t>
        </is>
      </c>
    </row>
    <row r="7546" spans="1:1">
      <c r="A7546" t="inlineStr">
        <is>
          <t>Villa Aurora</t>
        </is>
      </c>
    </row>
    <row r="7547" spans="1:1">
      <c r="A7547" t="inlineStr">
        <is>
          <t>Villa Belen</t>
        </is>
      </c>
    </row>
    <row r="7548" spans="1:1">
      <c r="A7548" t="inlineStr">
        <is>
          <t>Alawihao</t>
        </is>
      </c>
    </row>
    <row r="7549" spans="1:1">
      <c r="A7549" t="inlineStr">
        <is>
          <t>Awitan</t>
        </is>
      </c>
    </row>
    <row r="7550" spans="1:1">
      <c r="A7550" t="inlineStr">
        <is>
          <t>Bagasbas</t>
        </is>
      </c>
    </row>
    <row r="7551" spans="1:1">
      <c r="A7551" t="inlineStr">
        <is>
          <t>Barangay I</t>
        </is>
      </c>
    </row>
    <row r="7552" spans="1:1">
      <c r="A7552" t="inlineStr">
        <is>
          <t>Barangay II</t>
        </is>
      </c>
    </row>
    <row r="7553" spans="1:1">
      <c r="A7553" t="inlineStr">
        <is>
          <t>Barangay III</t>
        </is>
      </c>
    </row>
    <row r="7554" spans="1:1">
      <c r="A7554" t="inlineStr">
        <is>
          <t>Barangay IV</t>
        </is>
      </c>
    </row>
    <row r="7555" spans="1:1">
      <c r="A7555" t="inlineStr">
        <is>
          <t>Barangay V</t>
        </is>
      </c>
    </row>
    <row r="7556" spans="1:1">
      <c r="A7556" t="inlineStr">
        <is>
          <t>Barangay VI</t>
        </is>
      </c>
    </row>
    <row r="7557" spans="1:1">
      <c r="A7557" t="inlineStr">
        <is>
          <t>Barangay VII</t>
        </is>
      </c>
    </row>
    <row r="7558" spans="1:1">
      <c r="A7558" t="inlineStr">
        <is>
          <t>Barangay VIII</t>
        </is>
      </c>
    </row>
    <row r="7559" spans="1:1">
      <c r="A7559" t="inlineStr">
        <is>
          <t>Bibirao</t>
        </is>
      </c>
    </row>
    <row r="7560" spans="1:1">
      <c r="A7560" t="inlineStr">
        <is>
          <t>Borabod</t>
        </is>
      </c>
    </row>
    <row r="7561" spans="1:1">
      <c r="A7561" t="inlineStr">
        <is>
          <t>Calasgasan</t>
        </is>
      </c>
    </row>
    <row r="7562" spans="1:1">
      <c r="A7562" t="inlineStr">
        <is>
          <t>Camambugan</t>
        </is>
      </c>
    </row>
    <row r="7563" spans="1:1">
      <c r="A7563" t="inlineStr">
        <is>
          <t>Cobangbang</t>
        </is>
      </c>
    </row>
    <row r="7564" spans="1:1">
      <c r="A7564" t="inlineStr">
        <is>
          <t>Dogongan</t>
        </is>
      </c>
    </row>
    <row r="7565" spans="1:1">
      <c r="A7565" t="inlineStr">
        <is>
          <t>Gahonon</t>
        </is>
      </c>
    </row>
    <row r="7566" spans="1:1">
      <c r="A7566" t="inlineStr">
        <is>
          <t>Gubat</t>
        </is>
      </c>
    </row>
    <row r="7567" spans="1:1">
      <c r="A7567" t="inlineStr">
        <is>
          <t>Lag-On</t>
        </is>
      </c>
    </row>
    <row r="7568" spans="1:1">
      <c r="A7568" t="inlineStr">
        <is>
          <t>Magang</t>
        </is>
      </c>
    </row>
    <row r="7569" spans="1:1">
      <c r="A7569" t="inlineStr">
        <is>
          <t>Mambalite</t>
        </is>
      </c>
    </row>
    <row r="7570" spans="1:1">
      <c r="A7570" t="inlineStr">
        <is>
          <t>Mancruz</t>
        </is>
      </c>
    </row>
    <row r="7571" spans="1:1">
      <c r="A7571" t="inlineStr">
        <is>
          <t>Pamorangon</t>
        </is>
      </c>
    </row>
    <row r="7572" spans="1:1">
      <c r="A7572" t="inlineStr">
        <is>
          <t>San Isidro</t>
        </is>
      </c>
    </row>
    <row r="7573" spans="1:1">
      <c r="A7573" t="inlineStr">
        <is>
          <t>Bagong Bayan</t>
        </is>
      </c>
    </row>
    <row r="7574" spans="1:1">
      <c r="A7574" t="inlineStr">
        <is>
          <t>Calero</t>
        </is>
      </c>
    </row>
    <row r="7575" spans="1:1">
      <c r="A7575" t="inlineStr">
        <is>
          <t>Dahican</t>
        </is>
      </c>
    </row>
    <row r="7576" spans="1:1">
      <c r="A7576" t="inlineStr">
        <is>
          <t>Dayhagan</t>
        </is>
      </c>
    </row>
    <row r="7577" spans="1:1">
      <c r="A7577" t="inlineStr">
        <is>
          <t>Larap</t>
        </is>
      </c>
    </row>
    <row r="7578" spans="1:1">
      <c r="A7578" t="inlineStr">
        <is>
          <t>Luklukan Norte</t>
        </is>
      </c>
    </row>
    <row r="7579" spans="1:1">
      <c r="A7579" t="inlineStr">
        <is>
          <t>Luklukan Sur</t>
        </is>
      </c>
    </row>
    <row r="7580" spans="1:1">
      <c r="A7580" t="inlineStr">
        <is>
          <t>Motherlode</t>
        </is>
      </c>
    </row>
    <row r="7581" spans="1:1">
      <c r="A7581" t="inlineStr">
        <is>
          <t>Nakalaya</t>
        </is>
      </c>
    </row>
    <row r="7582" spans="1:1">
      <c r="A7582" t="inlineStr">
        <is>
          <t>North Poblacion</t>
        </is>
      </c>
    </row>
    <row r="7583" spans="1:1">
      <c r="A7583" t="inlineStr">
        <is>
          <t>Osmeña</t>
        </is>
      </c>
    </row>
    <row r="7584" spans="1:1">
      <c r="A7584" t="inlineStr">
        <is>
          <t>Pag-Asa</t>
        </is>
      </c>
    </row>
    <row r="7585" spans="1:1">
      <c r="A7585" t="inlineStr">
        <is>
          <t>Parang</t>
        </is>
      </c>
    </row>
    <row r="7586" spans="1:1">
      <c r="A7586" t="inlineStr">
        <is>
          <t>Plaridel</t>
        </is>
      </c>
    </row>
    <row r="7587" spans="1:1">
      <c r="A7587" t="inlineStr">
        <is>
          <t>Salvacion</t>
        </is>
      </c>
    </row>
    <row r="7588" spans="1:1">
      <c r="A7588" t="inlineStr">
        <is>
          <t>San Isidro</t>
        </is>
      </c>
    </row>
    <row r="7589" spans="1:1">
      <c r="A7589" t="inlineStr">
        <is>
          <t>San Jose</t>
        </is>
      </c>
    </row>
    <row r="7590" spans="1:1">
      <c r="A7590" t="inlineStr">
        <is>
          <t>San Martin</t>
        </is>
      </c>
    </row>
    <row r="7591" spans="1:1">
      <c r="A7591" t="inlineStr">
        <is>
          <t>San Pedro</t>
        </is>
      </c>
    </row>
    <row r="7592" spans="1:1">
      <c r="A7592" t="inlineStr">
        <is>
          <t>San Rafael</t>
        </is>
      </c>
    </row>
    <row r="7593" spans="1:1">
      <c r="A7593" t="inlineStr">
        <is>
          <t>Santa Cruz</t>
        </is>
      </c>
    </row>
    <row r="7594" spans="1:1">
      <c r="A7594" t="inlineStr">
        <is>
          <t>Santa Elena</t>
        </is>
      </c>
    </row>
    <row r="7595" spans="1:1">
      <c r="A7595" t="inlineStr">
        <is>
          <t>Santa Milagrosa</t>
        </is>
      </c>
    </row>
    <row r="7596" spans="1:1">
      <c r="A7596" t="inlineStr">
        <is>
          <t>Santa Rosa Norte</t>
        </is>
      </c>
    </row>
    <row r="7597" spans="1:1">
      <c r="A7597" t="inlineStr">
        <is>
          <t>Santa Rosa Sur</t>
        </is>
      </c>
    </row>
    <row r="7598" spans="1:1">
      <c r="A7598" t="inlineStr">
        <is>
          <t>South Poblacion</t>
        </is>
      </c>
    </row>
    <row r="7599" spans="1:1">
      <c r="A7599" t="inlineStr">
        <is>
          <t>Tamisan</t>
        </is>
      </c>
    </row>
    <row r="7600" spans="1:1">
      <c r="A7600" t="inlineStr">
        <is>
          <t>Anahaw</t>
        </is>
      </c>
    </row>
    <row r="7601" spans="1:1">
      <c r="A7601" t="inlineStr">
        <is>
          <t>Anameam</t>
        </is>
      </c>
    </row>
    <row r="7602" spans="1:1">
      <c r="A7602" t="inlineStr">
        <is>
          <t>Awitan</t>
        </is>
      </c>
    </row>
    <row r="7603" spans="1:1">
      <c r="A7603" t="inlineStr">
        <is>
          <t>Baay</t>
        </is>
      </c>
    </row>
    <row r="7604" spans="1:1">
      <c r="A7604" t="inlineStr">
        <is>
          <t>Bagacay</t>
        </is>
      </c>
    </row>
    <row r="7605" spans="1:1">
      <c r="A7605" t="inlineStr">
        <is>
          <t>Bagong Silang I</t>
        </is>
      </c>
    </row>
    <row r="7606" spans="1:1">
      <c r="A7606" t="inlineStr">
        <is>
          <t>Bagong Silang II</t>
        </is>
      </c>
    </row>
    <row r="7607" spans="1:1">
      <c r="A7607" t="inlineStr">
        <is>
          <t>Bagong Silang III</t>
        </is>
      </c>
    </row>
    <row r="7608" spans="1:1">
      <c r="A7608" t="inlineStr">
        <is>
          <t>Bakiad</t>
        </is>
      </c>
    </row>
    <row r="7609" spans="1:1">
      <c r="A7609" t="inlineStr">
        <is>
          <t>Bautista</t>
        </is>
      </c>
    </row>
    <row r="7610" spans="1:1">
      <c r="A7610" t="inlineStr">
        <is>
          <t>Bayabas</t>
        </is>
      </c>
    </row>
    <row r="7611" spans="1:1">
      <c r="A7611" t="inlineStr">
        <is>
          <t>Bayan-bayan</t>
        </is>
      </c>
    </row>
    <row r="7612" spans="1:1">
      <c r="A7612" t="inlineStr">
        <is>
          <t>Benit</t>
        </is>
      </c>
    </row>
    <row r="7613" spans="1:1">
      <c r="A7613" t="inlineStr">
        <is>
          <t>Bulhao</t>
        </is>
      </c>
    </row>
    <row r="7614" spans="1:1">
      <c r="A7614" t="inlineStr">
        <is>
          <t>Cabatuhan</t>
        </is>
      </c>
    </row>
    <row r="7615" spans="1:1">
      <c r="A7615" t="inlineStr">
        <is>
          <t>Cabusay</t>
        </is>
      </c>
    </row>
    <row r="7616" spans="1:1">
      <c r="A7616" t="inlineStr">
        <is>
          <t>Calabasa</t>
        </is>
      </c>
    </row>
    <row r="7617" spans="1:1">
      <c r="A7617" t="inlineStr">
        <is>
          <t>Canapawan</t>
        </is>
      </c>
    </row>
    <row r="7618" spans="1:1">
      <c r="A7618" t="inlineStr">
        <is>
          <t>Daguit</t>
        </is>
      </c>
    </row>
    <row r="7619" spans="1:1">
      <c r="A7619" t="inlineStr">
        <is>
          <t>Dalas</t>
        </is>
      </c>
    </row>
    <row r="7620" spans="1:1">
      <c r="A7620" t="inlineStr">
        <is>
          <t>Dumagmang</t>
        </is>
      </c>
    </row>
    <row r="7621" spans="1:1">
      <c r="A7621" t="inlineStr">
        <is>
          <t>Exciban</t>
        </is>
      </c>
    </row>
    <row r="7622" spans="1:1">
      <c r="A7622" t="inlineStr">
        <is>
          <t>Fundado</t>
        </is>
      </c>
    </row>
    <row r="7623" spans="1:1">
      <c r="A7623" t="inlineStr">
        <is>
          <t>Guinacutan</t>
        </is>
      </c>
    </row>
    <row r="7624" spans="1:1">
      <c r="A7624" t="inlineStr">
        <is>
          <t>Guisican</t>
        </is>
      </c>
    </row>
    <row r="7625" spans="1:1">
      <c r="A7625" t="inlineStr">
        <is>
          <t>Gumamela</t>
        </is>
      </c>
    </row>
    <row r="7626" spans="1:1">
      <c r="A7626" t="inlineStr">
        <is>
          <t>Iberica</t>
        </is>
      </c>
    </row>
    <row r="7627" spans="1:1">
      <c r="A7627" t="inlineStr">
        <is>
          <t>Kalamunding</t>
        </is>
      </c>
    </row>
    <row r="7628" spans="1:1">
      <c r="A7628" t="inlineStr">
        <is>
          <t>Lugui</t>
        </is>
      </c>
    </row>
    <row r="7629" spans="1:1">
      <c r="A7629" t="inlineStr">
        <is>
          <t>Mabilo I</t>
        </is>
      </c>
    </row>
    <row r="7630" spans="1:1">
      <c r="A7630" t="inlineStr">
        <is>
          <t>Mabilo II</t>
        </is>
      </c>
    </row>
    <row r="7631" spans="1:1">
      <c r="A7631" t="inlineStr">
        <is>
          <t>Macogon</t>
        </is>
      </c>
    </row>
    <row r="7632" spans="1:1">
      <c r="A7632" t="inlineStr">
        <is>
          <t>Mahawan-hawan</t>
        </is>
      </c>
    </row>
    <row r="7633" spans="1:1">
      <c r="A7633" t="inlineStr">
        <is>
          <t>Malangcao-Basud</t>
        </is>
      </c>
    </row>
    <row r="7634" spans="1:1">
      <c r="A7634" t="inlineStr">
        <is>
          <t>Malasugui</t>
        </is>
      </c>
    </row>
    <row r="7635" spans="1:1">
      <c r="A7635" t="inlineStr">
        <is>
          <t>Malatap</t>
        </is>
      </c>
    </row>
    <row r="7636" spans="1:1">
      <c r="A7636" t="inlineStr">
        <is>
          <t>Malaya</t>
        </is>
      </c>
    </row>
    <row r="7637" spans="1:1">
      <c r="A7637" t="inlineStr">
        <is>
          <t>Malibago</t>
        </is>
      </c>
    </row>
    <row r="7638" spans="1:1">
      <c r="A7638" t="inlineStr">
        <is>
          <t>Maot</t>
        </is>
      </c>
    </row>
    <row r="7639" spans="1:1">
      <c r="A7639" t="inlineStr">
        <is>
          <t>Masalong</t>
        </is>
      </c>
    </row>
    <row r="7640" spans="1:1">
      <c r="A7640" t="inlineStr">
        <is>
          <t>Matanlang</t>
        </is>
      </c>
    </row>
    <row r="7641" spans="1:1">
      <c r="A7641" t="inlineStr">
        <is>
          <t>Napaod</t>
        </is>
      </c>
    </row>
    <row r="7642" spans="1:1">
      <c r="A7642" t="inlineStr">
        <is>
          <t>Pag-Asa</t>
        </is>
      </c>
    </row>
    <row r="7643" spans="1:1">
      <c r="A7643" t="inlineStr">
        <is>
          <t>Pangpang</t>
        </is>
      </c>
    </row>
    <row r="7644" spans="1:1">
      <c r="A7644" t="inlineStr">
        <is>
          <t>Pinya</t>
        </is>
      </c>
    </row>
    <row r="7645" spans="1:1">
      <c r="A7645" t="inlineStr">
        <is>
          <t>San Antonio</t>
        </is>
      </c>
    </row>
    <row r="7646" spans="1:1">
      <c r="A7646" t="inlineStr">
        <is>
          <t>San Francisco</t>
        </is>
      </c>
    </row>
    <row r="7647" spans="1:1">
      <c r="A7647" t="inlineStr">
        <is>
          <t>Santa Cruz</t>
        </is>
      </c>
    </row>
    <row r="7648" spans="1:1">
      <c r="A7648" t="inlineStr">
        <is>
          <t>Submakin</t>
        </is>
      </c>
    </row>
    <row r="7649" spans="1:1">
      <c r="A7649" t="inlineStr">
        <is>
          <t>Talobatib</t>
        </is>
      </c>
    </row>
    <row r="7650" spans="1:1">
      <c r="A7650" t="inlineStr">
        <is>
          <t>Tigbinan</t>
        </is>
      </c>
    </row>
    <row r="7651" spans="1:1">
      <c r="A7651" t="inlineStr">
        <is>
          <t>Tulay Na Lupa</t>
        </is>
      </c>
    </row>
    <row r="7652" spans="1:1">
      <c r="A7652" t="inlineStr">
        <is>
          <t>Apuao</t>
        </is>
      </c>
    </row>
    <row r="7653" spans="1:1">
      <c r="A7653" t="inlineStr">
        <is>
          <t>Barangay I</t>
        </is>
      </c>
    </row>
    <row r="7654" spans="1:1">
      <c r="A7654" t="inlineStr">
        <is>
          <t>Barangay II</t>
        </is>
      </c>
    </row>
    <row r="7655" spans="1:1">
      <c r="A7655" t="inlineStr">
        <is>
          <t>Barangay III</t>
        </is>
      </c>
    </row>
    <row r="7656" spans="1:1">
      <c r="A7656" t="inlineStr">
        <is>
          <t>Barangay IV</t>
        </is>
      </c>
    </row>
    <row r="7657" spans="1:1">
      <c r="A7657" t="inlineStr">
        <is>
          <t>Barangay V</t>
        </is>
      </c>
    </row>
    <row r="7658" spans="1:1">
      <c r="A7658" t="inlineStr">
        <is>
          <t>Barangay VI</t>
        </is>
      </c>
    </row>
    <row r="7659" spans="1:1">
      <c r="A7659" t="inlineStr">
        <is>
          <t>Barangay VII</t>
        </is>
      </c>
    </row>
    <row r="7660" spans="1:1">
      <c r="A7660" t="inlineStr">
        <is>
          <t>Caringo</t>
        </is>
      </c>
    </row>
    <row r="7661" spans="1:1">
      <c r="A7661" t="inlineStr">
        <is>
          <t>Catandunganon</t>
        </is>
      </c>
    </row>
    <row r="7662" spans="1:1">
      <c r="A7662" t="inlineStr">
        <is>
          <t>Cayucyucan</t>
        </is>
      </c>
    </row>
    <row r="7663" spans="1:1">
      <c r="A7663" t="inlineStr">
        <is>
          <t>Colasi</t>
        </is>
      </c>
    </row>
    <row r="7664" spans="1:1">
      <c r="A7664" t="inlineStr">
        <is>
          <t>Del Rosario</t>
        </is>
      </c>
    </row>
    <row r="7665" spans="1:1">
      <c r="A7665" t="inlineStr">
        <is>
          <t>Gaboc</t>
        </is>
      </c>
    </row>
    <row r="7666" spans="1:1">
      <c r="A7666" t="inlineStr">
        <is>
          <t>Hamoraon</t>
        </is>
      </c>
    </row>
    <row r="7667" spans="1:1">
      <c r="A7667" t="inlineStr">
        <is>
          <t>Hinipaan</t>
        </is>
      </c>
    </row>
    <row r="7668" spans="1:1">
      <c r="A7668" t="inlineStr">
        <is>
          <t>Lalawigan</t>
        </is>
      </c>
    </row>
    <row r="7669" spans="1:1">
      <c r="A7669" t="inlineStr">
        <is>
          <t>Lanot</t>
        </is>
      </c>
    </row>
    <row r="7670" spans="1:1">
      <c r="A7670" t="inlineStr">
        <is>
          <t>Mambungalon</t>
        </is>
      </c>
    </row>
    <row r="7671" spans="1:1">
      <c r="A7671" t="inlineStr">
        <is>
          <t>Manguisoc</t>
        </is>
      </c>
    </row>
    <row r="7672" spans="1:1">
      <c r="A7672" t="inlineStr">
        <is>
          <t>Masalongsalong</t>
        </is>
      </c>
    </row>
    <row r="7673" spans="1:1">
      <c r="A7673" t="inlineStr">
        <is>
          <t>Matoogtoog</t>
        </is>
      </c>
    </row>
    <row r="7674" spans="1:1">
      <c r="A7674" t="inlineStr">
        <is>
          <t>Pambuhan</t>
        </is>
      </c>
    </row>
    <row r="7675" spans="1:1">
      <c r="A7675" t="inlineStr">
        <is>
          <t>Quinapaguian</t>
        </is>
      </c>
    </row>
    <row r="7676" spans="1:1">
      <c r="A7676" t="inlineStr">
        <is>
          <t>San Roque</t>
        </is>
      </c>
    </row>
    <row r="7677" spans="1:1">
      <c r="A7677" t="inlineStr">
        <is>
          <t>Tarum</t>
        </is>
      </c>
    </row>
    <row r="7678" spans="1:1">
      <c r="A7678" t="inlineStr">
        <is>
          <t>Awitan</t>
        </is>
      </c>
    </row>
    <row r="7679" spans="1:1">
      <c r="A7679" t="inlineStr">
        <is>
          <t>Bagumbayan</t>
        </is>
      </c>
    </row>
    <row r="7680" spans="1:1">
      <c r="A7680" t="inlineStr">
        <is>
          <t>Bakal</t>
        </is>
      </c>
    </row>
    <row r="7681" spans="1:1">
      <c r="A7681" t="inlineStr">
        <is>
          <t>Batobalani</t>
        </is>
      </c>
    </row>
    <row r="7682" spans="1:1">
      <c r="A7682" t="inlineStr">
        <is>
          <t>Calaburnay</t>
        </is>
      </c>
    </row>
    <row r="7683" spans="1:1">
      <c r="A7683" t="inlineStr">
        <is>
          <t>Capacuan</t>
        </is>
      </c>
    </row>
    <row r="7684" spans="1:1">
      <c r="A7684" t="inlineStr">
        <is>
          <t>Casalugan</t>
        </is>
      </c>
    </row>
    <row r="7685" spans="1:1">
      <c r="A7685" t="inlineStr">
        <is>
          <t>Dagang</t>
        </is>
      </c>
    </row>
    <row r="7686" spans="1:1">
      <c r="A7686" t="inlineStr">
        <is>
          <t>Dalnac</t>
        </is>
      </c>
    </row>
    <row r="7687" spans="1:1">
      <c r="A7687" t="inlineStr">
        <is>
          <t>Dancalan</t>
        </is>
      </c>
    </row>
    <row r="7688" spans="1:1">
      <c r="A7688" t="inlineStr">
        <is>
          <t>Gumaus</t>
        </is>
      </c>
    </row>
    <row r="7689" spans="1:1">
      <c r="A7689" t="inlineStr">
        <is>
          <t>Labnig</t>
        </is>
      </c>
    </row>
    <row r="7690" spans="1:1">
      <c r="A7690" t="inlineStr">
        <is>
          <t>Macolabo Island</t>
        </is>
      </c>
    </row>
    <row r="7691" spans="1:1">
      <c r="A7691" t="inlineStr">
        <is>
          <t>Malacbang</t>
        </is>
      </c>
    </row>
    <row r="7692" spans="1:1">
      <c r="A7692" t="inlineStr">
        <is>
          <t>Malaguit</t>
        </is>
      </c>
    </row>
    <row r="7693" spans="1:1">
      <c r="A7693" t="inlineStr">
        <is>
          <t>Mampungo</t>
        </is>
      </c>
    </row>
    <row r="7694" spans="1:1">
      <c r="A7694" t="inlineStr">
        <is>
          <t>Mangkasay</t>
        </is>
      </c>
    </row>
    <row r="7695" spans="1:1">
      <c r="A7695" t="inlineStr">
        <is>
          <t>Maybato</t>
        </is>
      </c>
    </row>
    <row r="7696" spans="1:1">
      <c r="A7696" t="inlineStr">
        <is>
          <t>Palanas</t>
        </is>
      </c>
    </row>
    <row r="7697" spans="1:1">
      <c r="A7697" t="inlineStr">
        <is>
          <t>Pinagbirayan Malaki</t>
        </is>
      </c>
    </row>
    <row r="7698" spans="1:1">
      <c r="A7698" t="inlineStr">
        <is>
          <t>Pinagbirayan Munti</t>
        </is>
      </c>
    </row>
    <row r="7699" spans="1:1">
      <c r="A7699" t="inlineStr">
        <is>
          <t>Poblacion Norte</t>
        </is>
      </c>
    </row>
    <row r="7700" spans="1:1">
      <c r="A7700" t="inlineStr">
        <is>
          <t>Poblacion Sur</t>
        </is>
      </c>
    </row>
    <row r="7701" spans="1:1">
      <c r="A7701" t="inlineStr">
        <is>
          <t>Tabas</t>
        </is>
      </c>
    </row>
    <row r="7702" spans="1:1">
      <c r="A7702" t="inlineStr">
        <is>
          <t>Talusan</t>
        </is>
      </c>
    </row>
    <row r="7703" spans="1:1">
      <c r="A7703" t="inlineStr">
        <is>
          <t>Tawig</t>
        </is>
      </c>
    </row>
    <row r="7704" spans="1:1">
      <c r="A7704" t="inlineStr">
        <is>
          <t>Tugos</t>
        </is>
      </c>
    </row>
    <row r="7705" spans="1:1">
      <c r="A7705" t="inlineStr">
        <is>
          <t>Daculang Bolo</t>
        </is>
      </c>
    </row>
    <row r="7706" spans="1:1">
      <c r="A7706" t="inlineStr">
        <is>
          <t>Dagotdotan</t>
        </is>
      </c>
    </row>
    <row r="7707" spans="1:1">
      <c r="A7707" t="inlineStr">
        <is>
          <t>Langga</t>
        </is>
      </c>
    </row>
    <row r="7708" spans="1:1">
      <c r="A7708" t="inlineStr">
        <is>
          <t>Laniton</t>
        </is>
      </c>
    </row>
    <row r="7709" spans="1:1">
      <c r="A7709" t="inlineStr">
        <is>
          <t>Maisog</t>
        </is>
      </c>
    </row>
    <row r="7710" spans="1:1">
      <c r="A7710" t="inlineStr">
        <is>
          <t>Mampurog</t>
        </is>
      </c>
    </row>
    <row r="7711" spans="1:1">
      <c r="A7711" t="inlineStr">
        <is>
          <t>Manlimonsito</t>
        </is>
      </c>
    </row>
    <row r="7712" spans="1:1">
      <c r="A7712" t="inlineStr">
        <is>
          <t>Matacong</t>
        </is>
      </c>
    </row>
    <row r="7713" spans="1:1">
      <c r="A7713" t="inlineStr">
        <is>
          <t>Salvacion</t>
        </is>
      </c>
    </row>
    <row r="7714" spans="1:1">
      <c r="A7714" t="inlineStr">
        <is>
          <t>San Antonio</t>
        </is>
      </c>
    </row>
    <row r="7715" spans="1:1">
      <c r="A7715" t="inlineStr">
        <is>
          <t>San Isidro</t>
        </is>
      </c>
    </row>
    <row r="7716" spans="1:1">
      <c r="A7716" t="inlineStr">
        <is>
          <t>San Ramon</t>
        </is>
      </c>
    </row>
    <row r="7717" spans="1:1">
      <c r="A7717" t="inlineStr">
        <is>
          <t>Asdum</t>
        </is>
      </c>
    </row>
    <row r="7718" spans="1:1">
      <c r="A7718" t="inlineStr">
        <is>
          <t>Cabanbanan</t>
        </is>
      </c>
    </row>
    <row r="7719" spans="1:1">
      <c r="A7719" t="inlineStr">
        <is>
          <t>Calabagas</t>
        </is>
      </c>
    </row>
    <row r="7720" spans="1:1">
      <c r="A7720" t="inlineStr">
        <is>
          <t>Fabrica</t>
        </is>
      </c>
    </row>
    <row r="7721" spans="1:1">
      <c r="A7721" t="inlineStr">
        <is>
          <t>Iraya Sur</t>
        </is>
      </c>
    </row>
    <row r="7722" spans="1:1">
      <c r="A7722" t="inlineStr">
        <is>
          <t>Man-Ogob</t>
        </is>
      </c>
    </row>
    <row r="7723" spans="1:1">
      <c r="A7723" t="inlineStr">
        <is>
          <t>Poblacion District I</t>
        </is>
      </c>
    </row>
    <row r="7724" spans="1:1">
      <c r="A7724" t="inlineStr">
        <is>
          <t>Poblacion District II</t>
        </is>
      </c>
    </row>
    <row r="7725" spans="1:1">
      <c r="A7725" t="inlineStr">
        <is>
          <t>San Jose</t>
        </is>
      </c>
    </row>
    <row r="7726" spans="1:1">
      <c r="A7726" t="inlineStr">
        <is>
          <t>Basiad</t>
        </is>
      </c>
    </row>
    <row r="7727" spans="1:1">
      <c r="A7727" t="inlineStr">
        <is>
          <t>Bulala</t>
        </is>
      </c>
    </row>
    <row r="7728" spans="1:1">
      <c r="A7728" t="inlineStr">
        <is>
          <t>Don Tomas</t>
        </is>
      </c>
    </row>
    <row r="7729" spans="1:1">
      <c r="A7729" t="inlineStr">
        <is>
          <t>Guitol</t>
        </is>
      </c>
    </row>
    <row r="7730" spans="1:1">
      <c r="A7730" t="inlineStr">
        <is>
          <t>Kabuluan</t>
        </is>
      </c>
    </row>
    <row r="7731" spans="1:1">
      <c r="A7731" t="inlineStr">
        <is>
          <t>Kagtalaba</t>
        </is>
      </c>
    </row>
    <row r="7732" spans="1:1">
      <c r="A7732" t="inlineStr">
        <is>
          <t>Maulawin</t>
        </is>
      </c>
    </row>
    <row r="7733" spans="1:1">
      <c r="A7733" t="inlineStr">
        <is>
          <t>Patag Ibaba</t>
        </is>
      </c>
    </row>
    <row r="7734" spans="1:1">
      <c r="A7734" t="inlineStr">
        <is>
          <t>Patag Iraya</t>
        </is>
      </c>
    </row>
    <row r="7735" spans="1:1">
      <c r="A7735" t="inlineStr">
        <is>
          <t>Plaridel</t>
        </is>
      </c>
    </row>
    <row r="7736" spans="1:1">
      <c r="A7736" t="inlineStr">
        <is>
          <t>Polungguitguit</t>
        </is>
      </c>
    </row>
    <row r="7737" spans="1:1">
      <c r="A7737" t="inlineStr">
        <is>
          <t>Rizal</t>
        </is>
      </c>
    </row>
    <row r="7738" spans="1:1">
      <c r="A7738" t="inlineStr">
        <is>
          <t>Salvacion</t>
        </is>
      </c>
    </row>
    <row r="7739" spans="1:1">
      <c r="A7739" t="inlineStr">
        <is>
          <t>San Lorenzo</t>
        </is>
      </c>
    </row>
    <row r="7740" spans="1:1">
      <c r="A7740" t="inlineStr">
        <is>
          <t>San Pedro</t>
        </is>
      </c>
    </row>
    <row r="7741" spans="1:1">
      <c r="A7741" t="inlineStr">
        <is>
          <t>San Vicente</t>
        </is>
      </c>
    </row>
    <row r="7742" spans="1:1">
      <c r="A7742" t="inlineStr">
        <is>
          <t>Santa Elena</t>
        </is>
      </c>
    </row>
    <row r="7743" spans="1:1">
      <c r="A7743" t="inlineStr">
        <is>
          <t>Tabugon</t>
        </is>
      </c>
    </row>
    <row r="7744" spans="1:1">
      <c r="A7744" t="inlineStr">
        <is>
          <t>Villa San Isidro</t>
        </is>
      </c>
    </row>
    <row r="7745" spans="1:1">
      <c r="A7745" t="inlineStr">
        <is>
          <t>Binanuaan</t>
        </is>
      </c>
    </row>
    <row r="7746" spans="1:1">
      <c r="A7746" t="inlineStr">
        <is>
          <t>Caawigan</t>
        </is>
      </c>
    </row>
    <row r="7747" spans="1:1">
      <c r="A7747" t="inlineStr">
        <is>
          <t>Cahabaan</t>
        </is>
      </c>
    </row>
    <row r="7748" spans="1:1">
      <c r="A7748" t="inlineStr">
        <is>
          <t>Calintaan</t>
        </is>
      </c>
    </row>
    <row r="7749" spans="1:1">
      <c r="A7749" t="inlineStr">
        <is>
          <t>Del Carmen</t>
        </is>
      </c>
    </row>
    <row r="7750" spans="1:1">
      <c r="A7750" t="inlineStr">
        <is>
          <t>Gabon</t>
        </is>
      </c>
    </row>
    <row r="7751" spans="1:1">
      <c r="A7751" t="inlineStr">
        <is>
          <t>Itomang</t>
        </is>
      </c>
    </row>
    <row r="7752" spans="1:1">
      <c r="A7752" t="inlineStr">
        <is>
          <t>Poblacion</t>
        </is>
      </c>
    </row>
    <row r="7753" spans="1:1">
      <c r="A7753" t="inlineStr">
        <is>
          <t>San Francisco</t>
        </is>
      </c>
    </row>
    <row r="7754" spans="1:1">
      <c r="A7754" t="inlineStr">
        <is>
          <t>San Isidro</t>
        </is>
      </c>
    </row>
    <row r="7755" spans="1:1">
      <c r="A7755" t="inlineStr">
        <is>
          <t>San Jose</t>
        </is>
      </c>
    </row>
    <row r="7756" spans="1:1">
      <c r="A7756" t="inlineStr">
        <is>
          <t>San Nicolas</t>
        </is>
      </c>
    </row>
    <row r="7757" spans="1:1">
      <c r="A7757" t="inlineStr">
        <is>
          <t>Santa Cruz</t>
        </is>
      </c>
    </row>
    <row r="7758" spans="1:1">
      <c r="A7758" t="inlineStr">
        <is>
          <t>Santa Elena</t>
        </is>
      </c>
    </row>
    <row r="7759" spans="1:1">
      <c r="A7759" t="inlineStr">
        <is>
          <t>Santo Niño</t>
        </is>
      </c>
    </row>
    <row r="7760" spans="1:1">
      <c r="A7760" t="inlineStr">
        <is>
          <t>Aguit-It</t>
        </is>
      </c>
    </row>
    <row r="7761" spans="1:1">
      <c r="A7761" t="inlineStr">
        <is>
          <t>Banocboc</t>
        </is>
      </c>
    </row>
    <row r="7762" spans="1:1">
      <c r="A7762" t="inlineStr">
        <is>
          <t>Barangay I</t>
        </is>
      </c>
    </row>
    <row r="7763" spans="1:1">
      <c r="A7763" t="inlineStr">
        <is>
          <t>Barangay II</t>
        </is>
      </c>
    </row>
    <row r="7764" spans="1:1">
      <c r="A7764" t="inlineStr">
        <is>
          <t>Barangay III</t>
        </is>
      </c>
    </row>
    <row r="7765" spans="1:1">
      <c r="A7765" t="inlineStr">
        <is>
          <t>Cagbalogo</t>
        </is>
      </c>
    </row>
    <row r="7766" spans="1:1">
      <c r="A7766" t="inlineStr">
        <is>
          <t>Calangcawan Norte</t>
        </is>
      </c>
    </row>
    <row r="7767" spans="1:1">
      <c r="A7767" t="inlineStr">
        <is>
          <t>Calangcawan Sur</t>
        </is>
      </c>
    </row>
    <row r="7768" spans="1:1">
      <c r="A7768" t="inlineStr">
        <is>
          <t>Guinacutan</t>
        </is>
      </c>
    </row>
    <row r="7769" spans="1:1">
      <c r="A7769" t="inlineStr">
        <is>
          <t>Mangcawayan</t>
        </is>
      </c>
    </row>
    <row r="7770" spans="1:1">
      <c r="A7770" t="inlineStr">
        <is>
          <t>Mangcayo</t>
        </is>
      </c>
    </row>
    <row r="7771" spans="1:1">
      <c r="A7771" t="inlineStr">
        <is>
          <t>Manlucugan</t>
        </is>
      </c>
    </row>
    <row r="7772" spans="1:1">
      <c r="A7772" t="inlineStr">
        <is>
          <t>Matango</t>
        </is>
      </c>
    </row>
    <row r="7773" spans="1:1">
      <c r="A7773" t="inlineStr">
        <is>
          <t>Napilihan</t>
        </is>
      </c>
    </row>
    <row r="7774" spans="1:1">
      <c r="A7774" t="inlineStr">
        <is>
          <t>Pinagtigasan</t>
        </is>
      </c>
    </row>
    <row r="7775" spans="1:1">
      <c r="A7775" t="inlineStr">
        <is>
          <t>Sabang</t>
        </is>
      </c>
    </row>
    <row r="7776" spans="1:1">
      <c r="A7776" t="inlineStr">
        <is>
          <t>Santo Domingo</t>
        </is>
      </c>
    </row>
    <row r="7777" spans="1:1">
      <c r="A7777" t="inlineStr">
        <is>
          <t>Singi</t>
        </is>
      </c>
    </row>
    <row r="7778" spans="1:1">
      <c r="A7778" t="inlineStr">
        <is>
          <t>Sula</t>
        </is>
      </c>
    </row>
    <row r="7779" spans="1:1">
      <c r="A7779" t="inlineStr">
        <is>
          <t>Agdangan Pob.</t>
        </is>
      </c>
    </row>
    <row r="7780" spans="1:1">
      <c r="A7780" t="inlineStr">
        <is>
          <t>Antipolo</t>
        </is>
      </c>
    </row>
    <row r="7781" spans="1:1">
      <c r="A7781" t="inlineStr">
        <is>
          <t>Bagumbayan</t>
        </is>
      </c>
    </row>
    <row r="7782" spans="1:1">
      <c r="A7782" t="inlineStr">
        <is>
          <t>Buluang</t>
        </is>
      </c>
    </row>
    <row r="7783" spans="1:1">
      <c r="A7783" t="inlineStr">
        <is>
          <t>Caranday</t>
        </is>
      </c>
    </row>
    <row r="7784" spans="1:1">
      <c r="A7784" t="inlineStr">
        <is>
          <t>Cristo Rey</t>
        </is>
      </c>
    </row>
    <row r="7785" spans="1:1">
      <c r="A7785" t="inlineStr">
        <is>
          <t>Del Pilar</t>
        </is>
      </c>
    </row>
    <row r="7786" spans="1:1">
      <c r="A7786" t="inlineStr">
        <is>
          <t>Del Rosario</t>
        </is>
      </c>
    </row>
    <row r="7787" spans="1:1">
      <c r="A7787" t="inlineStr">
        <is>
          <t>Iyagan</t>
        </is>
      </c>
    </row>
    <row r="7788" spans="1:1">
      <c r="A7788" t="inlineStr">
        <is>
          <t>La Medalla</t>
        </is>
      </c>
    </row>
    <row r="7789" spans="1:1">
      <c r="A7789" t="inlineStr">
        <is>
          <t>Lourdes</t>
        </is>
      </c>
    </row>
    <row r="7790" spans="1:1">
      <c r="A7790" t="inlineStr">
        <is>
          <t>Nababarera</t>
        </is>
      </c>
    </row>
    <row r="7791" spans="1:1">
      <c r="A7791" t="inlineStr">
        <is>
          <t>Pugay</t>
        </is>
      </c>
    </row>
    <row r="7792" spans="1:1">
      <c r="A7792" t="inlineStr">
        <is>
          <t>Sagrada</t>
        </is>
      </c>
    </row>
    <row r="7793" spans="1:1">
      <c r="A7793" t="inlineStr">
        <is>
          <t>Salvacion</t>
        </is>
      </c>
    </row>
    <row r="7794" spans="1:1">
      <c r="A7794" t="inlineStr">
        <is>
          <t>San Francisco</t>
        </is>
      </c>
    </row>
    <row r="7795" spans="1:1">
      <c r="A7795" t="inlineStr">
        <is>
          <t>San Isidro</t>
        </is>
      </c>
    </row>
    <row r="7796" spans="1:1">
      <c r="A7796" t="inlineStr">
        <is>
          <t>San Jose</t>
        </is>
      </c>
    </row>
    <row r="7797" spans="1:1">
      <c r="A7797" t="inlineStr">
        <is>
          <t>San Juan</t>
        </is>
      </c>
    </row>
    <row r="7798" spans="1:1">
      <c r="A7798" t="inlineStr">
        <is>
          <t>San Nicolas</t>
        </is>
      </c>
    </row>
    <row r="7799" spans="1:1">
      <c r="A7799" t="inlineStr">
        <is>
          <t>San Rafael</t>
        </is>
      </c>
    </row>
    <row r="7800" spans="1:1">
      <c r="A7800" t="inlineStr">
        <is>
          <t>San Ramon</t>
        </is>
      </c>
    </row>
    <row r="7801" spans="1:1">
      <c r="A7801" t="inlineStr">
        <is>
          <t>San Roque</t>
        </is>
      </c>
    </row>
    <row r="7802" spans="1:1">
      <c r="A7802" t="inlineStr">
        <is>
          <t>San Vicente</t>
        </is>
      </c>
    </row>
    <row r="7803" spans="1:1">
      <c r="A7803" t="inlineStr">
        <is>
          <t>Santa Cruz</t>
        </is>
      </c>
    </row>
    <row r="7804" spans="1:1">
      <c r="A7804" t="inlineStr">
        <is>
          <t>Santa Eulalia</t>
        </is>
      </c>
    </row>
    <row r="7805" spans="1:1">
      <c r="A7805" t="inlineStr">
        <is>
          <t>Santa Isabel</t>
        </is>
      </c>
    </row>
    <row r="7806" spans="1:1">
      <c r="A7806" t="inlineStr">
        <is>
          <t>Santa Teresa</t>
        </is>
      </c>
    </row>
    <row r="7807" spans="1:1">
      <c r="A7807" t="inlineStr">
        <is>
          <t>Santa Teresita</t>
        </is>
      </c>
    </row>
    <row r="7808" spans="1:1">
      <c r="A7808" t="inlineStr">
        <is>
          <t>Tapol</t>
        </is>
      </c>
    </row>
    <row r="7809" spans="1:1">
      <c r="A7809" t="inlineStr">
        <is>
          <t>Cabanbanan</t>
        </is>
      </c>
    </row>
    <row r="7810" spans="1:1">
      <c r="A7810" t="inlineStr">
        <is>
          <t>Cabungan</t>
        </is>
      </c>
    </row>
    <row r="7811" spans="1:1">
      <c r="A7811" t="inlineStr">
        <is>
          <t>Camangahan</t>
        </is>
      </c>
    </row>
    <row r="7812" spans="1:1">
      <c r="A7812" t="inlineStr">
        <is>
          <t>Cayogcog</t>
        </is>
      </c>
    </row>
    <row r="7813" spans="1:1">
      <c r="A7813" t="inlineStr">
        <is>
          <t>Coguit</t>
        </is>
      </c>
    </row>
    <row r="7814" spans="1:1">
      <c r="A7814" t="inlineStr">
        <is>
          <t>Duran</t>
        </is>
      </c>
    </row>
    <row r="7815" spans="1:1">
      <c r="A7815" t="inlineStr">
        <is>
          <t>Laganac</t>
        </is>
      </c>
    </row>
    <row r="7816" spans="1:1">
      <c r="A7816" t="inlineStr">
        <is>
          <t>Luluasan</t>
        </is>
      </c>
    </row>
    <row r="7817" spans="1:1">
      <c r="A7817" t="inlineStr">
        <is>
          <t>Montenegro</t>
        </is>
      </c>
    </row>
    <row r="7818" spans="1:1">
      <c r="A7818" t="inlineStr">
        <is>
          <t>Pararao</t>
        </is>
      </c>
    </row>
    <row r="7819" spans="1:1">
      <c r="A7819" t="inlineStr">
        <is>
          <t>Pulang Daga</t>
        </is>
      </c>
    </row>
    <row r="7820" spans="1:1">
      <c r="A7820" t="inlineStr">
        <is>
          <t>Sagrada Nacacale</t>
        </is>
      </c>
    </row>
    <row r="7821" spans="1:1">
      <c r="A7821" t="inlineStr">
        <is>
          <t>San Francisco</t>
        </is>
      </c>
    </row>
    <row r="7822" spans="1:1">
      <c r="A7822" t="inlineStr">
        <is>
          <t>Santiago Nacacale</t>
        </is>
      </c>
    </row>
    <row r="7823" spans="1:1">
      <c r="A7823" t="inlineStr">
        <is>
          <t>Siramag</t>
        </is>
      </c>
    </row>
    <row r="7824" spans="1:1">
      <c r="A7824" t="inlineStr">
        <is>
          <t>Tapayas</t>
        </is>
      </c>
    </row>
    <row r="7825" spans="1:1">
      <c r="A7825" t="inlineStr">
        <is>
          <t>Tomatarayo</t>
        </is>
      </c>
    </row>
    <row r="7826" spans="1:1">
      <c r="A7826" t="inlineStr">
        <is>
          <t>Agos</t>
        </is>
      </c>
    </row>
    <row r="7827" spans="1:1">
      <c r="A7827" t="inlineStr">
        <is>
          <t>Bacolod</t>
        </is>
      </c>
    </row>
    <row r="7828" spans="1:1">
      <c r="A7828" t="inlineStr">
        <is>
          <t>Buluang</t>
        </is>
      </c>
    </row>
    <row r="7829" spans="1:1">
      <c r="A7829" t="inlineStr">
        <is>
          <t>Caricot</t>
        </is>
      </c>
    </row>
    <row r="7830" spans="1:1">
      <c r="A7830" t="inlineStr">
        <is>
          <t>Cawacagan</t>
        </is>
      </c>
    </row>
    <row r="7831" spans="1:1">
      <c r="A7831" t="inlineStr">
        <is>
          <t>Cotmon</t>
        </is>
      </c>
    </row>
    <row r="7832" spans="1:1">
      <c r="A7832" t="inlineStr">
        <is>
          <t>Cristo Rey</t>
        </is>
      </c>
    </row>
    <row r="7833" spans="1:1">
      <c r="A7833" t="inlineStr">
        <is>
          <t>Del Rosario</t>
        </is>
      </c>
    </row>
    <row r="7834" spans="1:1">
      <c r="A7834" t="inlineStr">
        <is>
          <t>Divina Pastora</t>
        </is>
      </c>
    </row>
    <row r="7835" spans="1:1">
      <c r="A7835" t="inlineStr">
        <is>
          <t>Goyudan</t>
        </is>
      </c>
    </row>
    <row r="7836" spans="1:1">
      <c r="A7836" t="inlineStr">
        <is>
          <t>Lobong</t>
        </is>
      </c>
    </row>
    <row r="7837" spans="1:1">
      <c r="A7837" t="inlineStr">
        <is>
          <t>Lubigan</t>
        </is>
      </c>
    </row>
    <row r="7838" spans="1:1">
      <c r="A7838" t="inlineStr">
        <is>
          <t>Mainit</t>
        </is>
      </c>
    </row>
    <row r="7839" spans="1:1">
      <c r="A7839" t="inlineStr">
        <is>
          <t>Manga</t>
        </is>
      </c>
    </row>
    <row r="7840" spans="1:1">
      <c r="A7840" t="inlineStr">
        <is>
          <t>Masoli</t>
        </is>
      </c>
    </row>
    <row r="7841" spans="1:1">
      <c r="A7841" t="inlineStr">
        <is>
          <t>Neighborhood</t>
        </is>
      </c>
    </row>
    <row r="7842" spans="1:1">
      <c r="A7842" t="inlineStr">
        <is>
          <t>Niño Jesus</t>
        </is>
      </c>
    </row>
    <row r="7843" spans="1:1">
      <c r="A7843" t="inlineStr">
        <is>
          <t>Pagatpatan</t>
        </is>
      </c>
    </row>
    <row r="7844" spans="1:1">
      <c r="A7844" t="inlineStr">
        <is>
          <t>Palo</t>
        </is>
      </c>
    </row>
    <row r="7845" spans="1:1">
      <c r="A7845" t="inlineStr">
        <is>
          <t>Payak</t>
        </is>
      </c>
    </row>
    <row r="7846" spans="1:1">
      <c r="A7846" t="inlineStr">
        <is>
          <t>Sagrada</t>
        </is>
      </c>
    </row>
    <row r="7847" spans="1:1">
      <c r="A7847" t="inlineStr">
        <is>
          <t>Salvacion</t>
        </is>
      </c>
    </row>
    <row r="7848" spans="1:1">
      <c r="A7848" t="inlineStr">
        <is>
          <t>San Isidro</t>
        </is>
      </c>
    </row>
    <row r="7849" spans="1:1">
      <c r="A7849" t="inlineStr">
        <is>
          <t>San Juan</t>
        </is>
      </c>
    </row>
    <row r="7850" spans="1:1">
      <c r="A7850" t="inlineStr">
        <is>
          <t>San Miguel</t>
        </is>
      </c>
    </row>
    <row r="7851" spans="1:1">
      <c r="A7851" t="inlineStr">
        <is>
          <t>San Rafael</t>
        </is>
      </c>
    </row>
    <row r="7852" spans="1:1">
      <c r="A7852" t="inlineStr">
        <is>
          <t>San Roque</t>
        </is>
      </c>
    </row>
    <row r="7853" spans="1:1">
      <c r="A7853" t="inlineStr">
        <is>
          <t>San Vicente</t>
        </is>
      </c>
    </row>
    <row r="7854" spans="1:1">
      <c r="A7854" t="inlineStr">
        <is>
          <t>Santa Cruz</t>
        </is>
      </c>
    </row>
    <row r="7855" spans="1:1">
      <c r="A7855" t="inlineStr">
        <is>
          <t>Santiago</t>
        </is>
      </c>
    </row>
    <row r="7856" spans="1:1">
      <c r="A7856" t="inlineStr">
        <is>
          <t>Sooc</t>
        </is>
      </c>
    </row>
    <row r="7857" spans="1:1">
      <c r="A7857" t="inlineStr">
        <is>
          <t>Tagpolo</t>
        </is>
      </c>
    </row>
    <row r="7858" spans="1:1">
      <c r="A7858" t="inlineStr">
        <is>
          <t>Tres Reyes</t>
        </is>
      </c>
    </row>
    <row r="7859" spans="1:1">
      <c r="A7859" t="inlineStr">
        <is>
          <t>Pagao</t>
        </is>
      </c>
    </row>
    <row r="7860" spans="1:1">
      <c r="A7860" t="inlineStr">
        <is>
          <t>San Antonio</t>
        </is>
      </c>
    </row>
    <row r="7861" spans="1:1">
      <c r="A7861" t="inlineStr">
        <is>
          <t>San Francisco</t>
        </is>
      </c>
    </row>
    <row r="7862" spans="1:1">
      <c r="A7862" t="inlineStr">
        <is>
          <t>San Isidro</t>
        </is>
      </c>
    </row>
    <row r="7863" spans="1:1">
      <c r="A7863" t="inlineStr">
        <is>
          <t>San Jose</t>
        </is>
      </c>
    </row>
    <row r="7864" spans="1:1">
      <c r="A7864" t="inlineStr">
        <is>
          <t>San Roque</t>
        </is>
      </c>
    </row>
    <row r="7865" spans="1:1">
      <c r="A7865" t="inlineStr">
        <is>
          <t>Santo Domingo</t>
        </is>
      </c>
    </row>
    <row r="7866" spans="1:1">
      <c r="A7866" t="inlineStr">
        <is>
          <t>Siembre</t>
        </is>
      </c>
    </row>
    <row r="7867" spans="1:1">
      <c r="A7867" t="inlineStr">
        <is>
          <t>Amlongan</t>
        </is>
      </c>
    </row>
    <row r="7868" spans="1:1">
      <c r="A7868" t="inlineStr">
        <is>
          <t>Antipolo</t>
        </is>
      </c>
    </row>
    <row r="7869" spans="1:1">
      <c r="A7869" t="inlineStr">
        <is>
          <t>Burocbusoc</t>
        </is>
      </c>
    </row>
    <row r="7870" spans="1:1">
      <c r="A7870" t="inlineStr">
        <is>
          <t>Cabatuan</t>
        </is>
      </c>
    </row>
    <row r="7871" spans="1:1">
      <c r="A7871" t="inlineStr">
        <is>
          <t>Cagmaslog</t>
        </is>
      </c>
    </row>
    <row r="7872" spans="1:1">
      <c r="A7872" t="inlineStr">
        <is>
          <t>De La Fe</t>
        </is>
      </c>
    </row>
    <row r="7873" spans="1:1">
      <c r="A7873" t="inlineStr">
        <is>
          <t>Delos Angeles</t>
        </is>
      </c>
    </row>
    <row r="7874" spans="1:1">
      <c r="A7874" t="inlineStr">
        <is>
          <t>Divino Rostro</t>
        </is>
      </c>
    </row>
    <row r="7875" spans="1:1">
      <c r="A7875" t="inlineStr">
        <is>
          <t>Gabas</t>
        </is>
      </c>
    </row>
    <row r="7876" spans="1:1">
      <c r="A7876" t="inlineStr">
        <is>
          <t>Ibayugan</t>
        </is>
      </c>
    </row>
    <row r="7877" spans="1:1">
      <c r="A7877" t="inlineStr">
        <is>
          <t>Igbac</t>
        </is>
      </c>
    </row>
    <row r="7878" spans="1:1">
      <c r="A7878" t="inlineStr">
        <is>
          <t>Ipil</t>
        </is>
      </c>
    </row>
    <row r="7879" spans="1:1">
      <c r="A7879" t="inlineStr">
        <is>
          <t>Iraya</t>
        </is>
      </c>
    </row>
    <row r="7880" spans="1:1">
      <c r="A7880" t="inlineStr">
        <is>
          <t>Labawon</t>
        </is>
      </c>
    </row>
    <row r="7881" spans="1:1">
      <c r="A7881" t="inlineStr">
        <is>
          <t>Lourdes</t>
        </is>
      </c>
    </row>
    <row r="7882" spans="1:1">
      <c r="A7882" t="inlineStr">
        <is>
          <t>Macaangay</t>
        </is>
      </c>
    </row>
    <row r="7883" spans="1:1">
      <c r="A7883" t="inlineStr">
        <is>
          <t>Monte Calvario</t>
        </is>
      </c>
    </row>
    <row r="7884" spans="1:1">
      <c r="A7884" t="inlineStr">
        <is>
          <t>Namurabod</t>
        </is>
      </c>
    </row>
    <row r="7885" spans="1:1">
      <c r="A7885" t="inlineStr">
        <is>
          <t>Sagrada Familia</t>
        </is>
      </c>
    </row>
    <row r="7886" spans="1:1">
      <c r="A7886" t="inlineStr">
        <is>
          <t>Salvacion</t>
        </is>
      </c>
    </row>
    <row r="7887" spans="1:1">
      <c r="A7887" t="inlineStr">
        <is>
          <t>San Antonio</t>
        </is>
      </c>
    </row>
    <row r="7888" spans="1:1">
      <c r="A7888" t="inlineStr">
        <is>
          <t>San Buenaventura</t>
        </is>
      </c>
    </row>
    <row r="7889" spans="1:1">
      <c r="A7889" t="inlineStr">
        <is>
          <t>San Francisco</t>
        </is>
      </c>
    </row>
    <row r="7890" spans="1:1">
      <c r="A7890" t="inlineStr">
        <is>
          <t>San Isidro</t>
        </is>
      </c>
    </row>
    <row r="7891" spans="1:1">
      <c r="A7891" t="inlineStr">
        <is>
          <t>San Jose Baybayon</t>
        </is>
      </c>
    </row>
    <row r="7892" spans="1:1">
      <c r="A7892" t="inlineStr">
        <is>
          <t>San Jose Salay</t>
        </is>
      </c>
    </row>
    <row r="7893" spans="1:1">
      <c r="A7893" t="inlineStr">
        <is>
          <t>San Pascual</t>
        </is>
      </c>
    </row>
    <row r="7894" spans="1:1">
      <c r="A7894" t="inlineStr">
        <is>
          <t>San Pedro</t>
        </is>
      </c>
    </row>
    <row r="7895" spans="1:1">
      <c r="A7895" t="inlineStr">
        <is>
          <t>San Rafael</t>
        </is>
      </c>
    </row>
    <row r="7896" spans="1:1">
      <c r="A7896" t="inlineStr">
        <is>
          <t>San Ramon</t>
        </is>
      </c>
    </row>
    <row r="7897" spans="1:1">
      <c r="A7897" t="inlineStr">
        <is>
          <t>San Roque</t>
        </is>
      </c>
    </row>
    <row r="7898" spans="1:1">
      <c r="A7898" t="inlineStr">
        <is>
          <t>San Vicente</t>
        </is>
      </c>
    </row>
    <row r="7899" spans="1:1">
      <c r="A7899" t="inlineStr">
        <is>
          <t>Santa Clara</t>
        </is>
      </c>
    </row>
    <row r="7900" spans="1:1">
      <c r="A7900" t="inlineStr">
        <is>
          <t>Santa Cruz</t>
        </is>
      </c>
    </row>
    <row r="7901" spans="1:1">
      <c r="A7901" t="inlineStr">
        <is>
          <t>Santa Elena</t>
        </is>
      </c>
    </row>
    <row r="7902" spans="1:1">
      <c r="A7902" t="inlineStr">
        <is>
          <t>Santa Isabel</t>
        </is>
      </c>
    </row>
    <row r="7903" spans="1:1">
      <c r="A7903" t="inlineStr">
        <is>
          <t>Santa Justina</t>
        </is>
      </c>
    </row>
    <row r="7904" spans="1:1">
      <c r="A7904" t="inlineStr">
        <is>
          <t>Tambo</t>
        </is>
      </c>
    </row>
    <row r="7905" spans="1:1">
      <c r="A7905" t="inlineStr">
        <is>
          <t>Bagoladio</t>
        </is>
      </c>
    </row>
    <row r="7906" spans="1:1">
      <c r="A7906" t="inlineStr">
        <is>
          <t>Bagumbayan</t>
        </is>
      </c>
    </row>
    <row r="7907" spans="1:1">
      <c r="A7907" t="inlineStr">
        <is>
          <t>Balaogan</t>
        </is>
      </c>
    </row>
    <row r="7908" spans="1:1">
      <c r="A7908" t="inlineStr">
        <is>
          <t>Caorasan</t>
        </is>
      </c>
    </row>
    <row r="7909" spans="1:1">
      <c r="A7909" t="inlineStr">
        <is>
          <t>Casugad</t>
        </is>
      </c>
    </row>
    <row r="7910" spans="1:1">
      <c r="A7910" t="inlineStr">
        <is>
          <t>Causip</t>
        </is>
      </c>
    </row>
    <row r="7911" spans="1:1">
      <c r="A7911" t="inlineStr">
        <is>
          <t>Fabrica</t>
        </is>
      </c>
    </row>
    <row r="7912" spans="1:1">
      <c r="A7912" t="inlineStr">
        <is>
          <t>Inoyonan</t>
        </is>
      </c>
    </row>
    <row r="7913" spans="1:1">
      <c r="A7913" t="inlineStr">
        <is>
          <t>Itangon</t>
        </is>
      </c>
    </row>
    <row r="7914" spans="1:1">
      <c r="A7914" t="inlineStr">
        <is>
          <t>Kinalabasahan</t>
        </is>
      </c>
    </row>
    <row r="7915" spans="1:1">
      <c r="A7915" t="inlineStr">
        <is>
          <t>La Purisima</t>
        </is>
      </c>
    </row>
    <row r="7916" spans="1:1">
      <c r="A7916" t="inlineStr">
        <is>
          <t>La Victoria</t>
        </is>
      </c>
    </row>
    <row r="7917" spans="1:1">
      <c r="A7917" t="inlineStr">
        <is>
          <t>Lanipga</t>
        </is>
      </c>
    </row>
    <row r="7918" spans="1:1">
      <c r="A7918" t="inlineStr">
        <is>
          <t>Lubgan</t>
        </is>
      </c>
    </row>
    <row r="7919" spans="1:1">
      <c r="A7919" t="inlineStr">
        <is>
          <t>Ombao Heights</t>
        </is>
      </c>
    </row>
    <row r="7920" spans="1:1">
      <c r="A7920" t="inlineStr">
        <is>
          <t>Ombao Polpog</t>
        </is>
      </c>
    </row>
    <row r="7921" spans="1:1">
      <c r="A7921" t="inlineStr">
        <is>
          <t>Palsong</t>
        </is>
      </c>
    </row>
    <row r="7922" spans="1:1">
      <c r="A7922" t="inlineStr">
        <is>
          <t>Panoypoyan</t>
        </is>
      </c>
    </row>
    <row r="7923" spans="1:1">
      <c r="A7923" t="inlineStr">
        <is>
          <t>Pawili</t>
        </is>
      </c>
    </row>
    <row r="7924" spans="1:1">
      <c r="A7924" t="inlineStr">
        <is>
          <t>Sagrada</t>
        </is>
      </c>
    </row>
    <row r="7925" spans="1:1">
      <c r="A7925" t="inlineStr">
        <is>
          <t>Salvacion</t>
        </is>
      </c>
    </row>
    <row r="7926" spans="1:1">
      <c r="A7926" t="inlineStr">
        <is>
          <t>San Agustin</t>
        </is>
      </c>
    </row>
    <row r="7927" spans="1:1">
      <c r="A7927" t="inlineStr">
        <is>
          <t>San Francisco</t>
        </is>
      </c>
    </row>
    <row r="7928" spans="1:1">
      <c r="A7928" t="inlineStr">
        <is>
          <t>San Isidro</t>
        </is>
      </c>
    </row>
    <row r="7929" spans="1:1">
      <c r="A7929" t="inlineStr">
        <is>
          <t>San Jose</t>
        </is>
      </c>
    </row>
    <row r="7930" spans="1:1">
      <c r="A7930" t="inlineStr">
        <is>
          <t>San Miguel</t>
        </is>
      </c>
    </row>
    <row r="7931" spans="1:1">
      <c r="A7931" t="inlineStr">
        <is>
          <t>San Ramon</t>
        </is>
      </c>
    </row>
    <row r="7932" spans="1:1">
      <c r="A7932" t="inlineStr">
        <is>
          <t>San Roque</t>
        </is>
      </c>
    </row>
    <row r="7933" spans="1:1">
      <c r="A7933" t="inlineStr">
        <is>
          <t>San Roque Heights</t>
        </is>
      </c>
    </row>
    <row r="7934" spans="1:1">
      <c r="A7934" t="inlineStr">
        <is>
          <t>Santa Elena</t>
        </is>
      </c>
    </row>
    <row r="7935" spans="1:1">
      <c r="A7935" t="inlineStr">
        <is>
          <t>Santo Domingo</t>
        </is>
      </c>
    </row>
    <row r="7936" spans="1:1">
      <c r="A7936" t="inlineStr">
        <is>
          <t>Santo Niño</t>
        </is>
      </c>
    </row>
    <row r="7937" spans="1:1">
      <c r="A7937" t="inlineStr">
        <is>
          <t>Taisan</t>
        </is>
      </c>
    </row>
    <row r="7938" spans="1:1">
      <c r="A7938" t="inlineStr">
        <is>
          <t>Barcelonita</t>
        </is>
      </c>
    </row>
    <row r="7939" spans="1:1">
      <c r="A7939" t="inlineStr">
        <is>
          <t>Biong</t>
        </is>
      </c>
    </row>
    <row r="7940" spans="1:1">
      <c r="A7940" t="inlineStr">
        <is>
          <t>Camagong</t>
        </is>
      </c>
    </row>
    <row r="7941" spans="1:1">
      <c r="A7941" t="inlineStr">
        <is>
          <t>Castillo</t>
        </is>
      </c>
    </row>
    <row r="7942" spans="1:1">
      <c r="A7942" t="inlineStr">
        <is>
          <t>New Poblacion</t>
        </is>
      </c>
    </row>
    <row r="7943" spans="1:1">
      <c r="A7943" t="inlineStr">
        <is>
          <t>Pandan</t>
        </is>
      </c>
    </row>
    <row r="7944" spans="1:1">
      <c r="A7944" t="inlineStr">
        <is>
          <t>San Pedro</t>
        </is>
      </c>
    </row>
    <row r="7945" spans="1:1">
      <c r="A7945" t="inlineStr">
        <is>
          <t>Santa Cruz</t>
        </is>
      </c>
    </row>
    <row r="7946" spans="1:1">
      <c r="A7946" t="inlineStr">
        <is>
          <t>Santa Lutgarda</t>
        </is>
      </c>
    </row>
    <row r="7947" spans="1:1">
      <c r="A7947" t="inlineStr">
        <is>
          <t>Balatasan</t>
        </is>
      </c>
    </row>
    <row r="7948" spans="1:1">
      <c r="A7948" t="inlineStr">
        <is>
          <t>Balombon</t>
        </is>
      </c>
    </row>
    <row r="7949" spans="1:1">
      <c r="A7949" t="inlineStr">
        <is>
          <t>Balongay</t>
        </is>
      </c>
    </row>
    <row r="7950" spans="1:1">
      <c r="A7950" t="inlineStr">
        <is>
          <t>Belen</t>
        </is>
      </c>
    </row>
    <row r="7951" spans="1:1">
      <c r="A7951" t="inlineStr">
        <is>
          <t>Bigaas</t>
        </is>
      </c>
    </row>
    <row r="7952" spans="1:1">
      <c r="A7952" t="inlineStr">
        <is>
          <t>Binaliw</t>
        </is>
      </c>
    </row>
    <row r="7953" spans="1:1">
      <c r="A7953" t="inlineStr">
        <is>
          <t>Binanuaanan Grande</t>
        </is>
      </c>
    </row>
    <row r="7954" spans="1:1">
      <c r="A7954" t="inlineStr">
        <is>
          <t>Binanuaanan Pequeño</t>
        </is>
      </c>
    </row>
    <row r="7955" spans="1:1">
      <c r="A7955" t="inlineStr">
        <is>
          <t>Bonot-Santa Rosa</t>
        </is>
      </c>
    </row>
    <row r="7956" spans="1:1">
      <c r="A7956" t="inlineStr">
        <is>
          <t>Burabod</t>
        </is>
      </c>
    </row>
    <row r="7957" spans="1:1">
      <c r="A7957" t="inlineStr">
        <is>
          <t>Cabanbanan</t>
        </is>
      </c>
    </row>
    <row r="7958" spans="1:1">
      <c r="A7958" t="inlineStr">
        <is>
          <t>Cagsao</t>
        </is>
      </c>
    </row>
    <row r="7959" spans="1:1">
      <c r="A7959" t="inlineStr">
        <is>
          <t>Camuning</t>
        </is>
      </c>
    </row>
    <row r="7960" spans="1:1">
      <c r="A7960" t="inlineStr">
        <is>
          <t>Comaguingking</t>
        </is>
      </c>
    </row>
    <row r="7961" spans="1:1">
      <c r="A7961" t="inlineStr">
        <is>
          <t>Del Carmen</t>
        </is>
      </c>
    </row>
    <row r="7962" spans="1:1">
      <c r="A7962" t="inlineStr">
        <is>
          <t>Dominorog</t>
        </is>
      </c>
    </row>
    <row r="7963" spans="1:1">
      <c r="A7963" t="inlineStr">
        <is>
          <t>Fabrica</t>
        </is>
      </c>
    </row>
    <row r="7964" spans="1:1">
      <c r="A7964" t="inlineStr">
        <is>
          <t>Harobay</t>
        </is>
      </c>
    </row>
    <row r="7965" spans="1:1">
      <c r="A7965" t="inlineStr">
        <is>
          <t>La Purisima</t>
        </is>
      </c>
    </row>
    <row r="7966" spans="1:1">
      <c r="A7966" t="inlineStr">
        <is>
          <t>Lugsad</t>
        </is>
      </c>
    </row>
    <row r="7967" spans="1:1">
      <c r="A7967" t="inlineStr">
        <is>
          <t>Manguiring</t>
        </is>
      </c>
    </row>
    <row r="7968" spans="1:1">
      <c r="A7968" t="inlineStr">
        <is>
          <t>Pagatpat</t>
        </is>
      </c>
    </row>
    <row r="7969" spans="1:1">
      <c r="A7969" t="inlineStr">
        <is>
          <t>Paolbo</t>
        </is>
      </c>
    </row>
    <row r="7970" spans="1:1">
      <c r="A7970" t="inlineStr">
        <is>
          <t>Pinada</t>
        </is>
      </c>
    </row>
    <row r="7971" spans="1:1">
      <c r="A7971" t="inlineStr">
        <is>
          <t>Punta Tarawal</t>
        </is>
      </c>
    </row>
    <row r="7972" spans="1:1">
      <c r="A7972" t="inlineStr">
        <is>
          <t>Quinale</t>
        </is>
      </c>
    </row>
    <row r="7973" spans="1:1">
      <c r="A7973" t="inlineStr">
        <is>
          <t>Sabang</t>
        </is>
      </c>
    </row>
    <row r="7974" spans="1:1">
      <c r="A7974" t="inlineStr">
        <is>
          <t>Salvacion-Baybay</t>
        </is>
      </c>
    </row>
    <row r="7975" spans="1:1">
      <c r="A7975" t="inlineStr">
        <is>
          <t>San Antonio</t>
        </is>
      </c>
    </row>
    <row r="7976" spans="1:1">
      <c r="A7976" t="inlineStr">
        <is>
          <t>San Antonio Poblacion</t>
        </is>
      </c>
    </row>
    <row r="7977" spans="1:1">
      <c r="A7977" t="inlineStr">
        <is>
          <t>San Bernardino</t>
        </is>
      </c>
    </row>
    <row r="7978" spans="1:1">
      <c r="A7978" t="inlineStr">
        <is>
          <t>San Francisco</t>
        </is>
      </c>
    </row>
    <row r="7979" spans="1:1">
      <c r="A7979" t="inlineStr">
        <is>
          <t>San Isidro</t>
        </is>
      </c>
    </row>
    <row r="7980" spans="1:1">
      <c r="A7980" t="inlineStr">
        <is>
          <t>San Lucas</t>
        </is>
      </c>
    </row>
    <row r="7981" spans="1:1">
      <c r="A7981" t="inlineStr">
        <is>
          <t>San Miguel</t>
        </is>
      </c>
    </row>
    <row r="7982" spans="1:1">
      <c r="A7982" t="inlineStr">
        <is>
          <t>San Pablo</t>
        </is>
      </c>
    </row>
    <row r="7983" spans="1:1">
      <c r="A7983" t="inlineStr">
        <is>
          <t>San Roque</t>
        </is>
      </c>
    </row>
    <row r="7984" spans="1:1">
      <c r="A7984" t="inlineStr">
        <is>
          <t>San Vicente</t>
        </is>
      </c>
    </row>
    <row r="7985" spans="1:1">
      <c r="A7985" t="inlineStr">
        <is>
          <t>Santa Cruz Poblacion</t>
        </is>
      </c>
    </row>
    <row r="7986" spans="1:1">
      <c r="A7986" t="inlineStr">
        <is>
          <t>Santa Cruz Ratay</t>
        </is>
      </c>
    </row>
    <row r="7987" spans="1:1">
      <c r="A7987" t="inlineStr">
        <is>
          <t>Santa Isabel</t>
        </is>
      </c>
    </row>
    <row r="7988" spans="1:1">
      <c r="A7988" t="inlineStr">
        <is>
          <t>Santa Salud</t>
        </is>
      </c>
    </row>
    <row r="7989" spans="1:1">
      <c r="A7989" t="inlineStr">
        <is>
          <t>Santo Domingo</t>
        </is>
      </c>
    </row>
    <row r="7990" spans="1:1">
      <c r="A7990" t="inlineStr">
        <is>
          <t>Santo Niño</t>
        </is>
      </c>
    </row>
    <row r="7991" spans="1:1">
      <c r="A7991" t="inlineStr">
        <is>
          <t>Siba-o</t>
        </is>
      </c>
    </row>
    <row r="7992" spans="1:1">
      <c r="A7992" t="inlineStr">
        <is>
          <t>Sibobo</t>
        </is>
      </c>
    </row>
    <row r="7993" spans="1:1">
      <c r="A7993" t="inlineStr">
        <is>
          <t>Sogod</t>
        </is>
      </c>
    </row>
    <row r="7994" spans="1:1">
      <c r="A7994" t="inlineStr">
        <is>
          <t>Tomagodtod</t>
        </is>
      </c>
    </row>
    <row r="7995" spans="1:1">
      <c r="A7995" t="inlineStr">
        <is>
          <t>Dugcal</t>
        </is>
      </c>
    </row>
    <row r="7996" spans="1:1">
      <c r="A7996" t="inlineStr">
        <is>
          <t>Marupit</t>
        </is>
      </c>
    </row>
    <row r="7997" spans="1:1">
      <c r="A7997" t="inlineStr">
        <is>
          <t>San Francisco</t>
        </is>
      </c>
    </row>
    <row r="7998" spans="1:1">
      <c r="A7998" t="inlineStr">
        <is>
          <t>San Jose-San Pablo</t>
        </is>
      </c>
    </row>
    <row r="7999" spans="1:1">
      <c r="A7999" t="inlineStr">
        <is>
          <t>San Juan-San Ramon</t>
        </is>
      </c>
    </row>
    <row r="8000" spans="1:1">
      <c r="A8000" t="inlineStr">
        <is>
          <t>San Lucas</t>
        </is>
      </c>
    </row>
    <row r="8001" spans="1:1">
      <c r="A8001" t="inlineStr">
        <is>
          <t>San Marcos</t>
        </is>
      </c>
    </row>
    <row r="8002" spans="1:1">
      <c r="A8002" t="inlineStr">
        <is>
          <t>San Mateo</t>
        </is>
      </c>
    </row>
    <row r="8003" spans="1:1">
      <c r="A8003" t="inlineStr">
        <is>
          <t>San Roque</t>
        </is>
      </c>
    </row>
    <row r="8004" spans="1:1">
      <c r="A8004" t="inlineStr">
        <is>
          <t>Santo Domingo</t>
        </is>
      </c>
    </row>
    <row r="8005" spans="1:1">
      <c r="A8005" t="inlineStr">
        <is>
          <t>Santo Tomas</t>
        </is>
      </c>
    </row>
    <row r="8006" spans="1:1">
      <c r="A8006" t="inlineStr">
        <is>
          <t>Sua</t>
        </is>
      </c>
    </row>
    <row r="8007" spans="1:1">
      <c r="A8007" t="inlineStr">
        <is>
          <t>Tarosanan</t>
        </is>
      </c>
    </row>
    <row r="8008" spans="1:1">
      <c r="A8008" t="inlineStr">
        <is>
          <t>Baras</t>
        </is>
      </c>
    </row>
    <row r="8009" spans="1:1">
      <c r="A8009" t="inlineStr">
        <is>
          <t>Del Rosario</t>
        </is>
      </c>
    </row>
    <row r="8010" spans="1:1">
      <c r="A8010" t="inlineStr">
        <is>
          <t>Dinaga</t>
        </is>
      </c>
    </row>
    <row r="8011" spans="1:1">
      <c r="A8011" t="inlineStr">
        <is>
          <t>Fundado</t>
        </is>
      </c>
    </row>
    <row r="8012" spans="1:1">
      <c r="A8012" t="inlineStr">
        <is>
          <t>Haring</t>
        </is>
      </c>
    </row>
    <row r="8013" spans="1:1">
      <c r="A8013" t="inlineStr">
        <is>
          <t>Iquin</t>
        </is>
      </c>
    </row>
    <row r="8014" spans="1:1">
      <c r="A8014" t="inlineStr">
        <is>
          <t>Linaga</t>
        </is>
      </c>
    </row>
    <row r="8015" spans="1:1">
      <c r="A8015" t="inlineStr">
        <is>
          <t>Mangayawan</t>
        </is>
      </c>
    </row>
    <row r="8016" spans="1:1">
      <c r="A8016" t="inlineStr">
        <is>
          <t>Palo</t>
        </is>
      </c>
    </row>
    <row r="8017" spans="1:1">
      <c r="A8017" t="inlineStr">
        <is>
          <t>Pangpang</t>
        </is>
      </c>
    </row>
    <row r="8018" spans="1:1">
      <c r="A8018" t="inlineStr">
        <is>
          <t>Poro</t>
        </is>
      </c>
    </row>
    <row r="8019" spans="1:1">
      <c r="A8019" t="inlineStr">
        <is>
          <t>San Agustin</t>
        </is>
      </c>
    </row>
    <row r="8020" spans="1:1">
      <c r="A8020" t="inlineStr">
        <is>
          <t>San Francisco</t>
        </is>
      </c>
    </row>
    <row r="8021" spans="1:1">
      <c r="A8021" t="inlineStr">
        <is>
          <t>San Jose East</t>
        </is>
      </c>
    </row>
    <row r="8022" spans="1:1">
      <c r="A8022" t="inlineStr">
        <is>
          <t>San Jose West</t>
        </is>
      </c>
    </row>
    <row r="8023" spans="1:1">
      <c r="A8023" t="inlineStr">
        <is>
          <t>San Juan</t>
        </is>
      </c>
    </row>
    <row r="8024" spans="1:1">
      <c r="A8024" t="inlineStr">
        <is>
          <t>San Nicolas</t>
        </is>
      </c>
    </row>
    <row r="8025" spans="1:1">
      <c r="A8025" t="inlineStr">
        <is>
          <t>San Roque</t>
        </is>
      </c>
    </row>
    <row r="8026" spans="1:1">
      <c r="A8026" t="inlineStr">
        <is>
          <t>San Vicente</t>
        </is>
      </c>
    </row>
    <row r="8027" spans="1:1">
      <c r="A8027" t="inlineStr">
        <is>
          <t>Santa Cruz</t>
        </is>
      </c>
    </row>
    <row r="8028" spans="1:1">
      <c r="A8028" t="inlineStr">
        <is>
          <t>Santa Teresita</t>
        </is>
      </c>
    </row>
    <row r="8029" spans="1:1">
      <c r="A8029" t="inlineStr">
        <is>
          <t>Sua</t>
        </is>
      </c>
    </row>
    <row r="8030" spans="1:1">
      <c r="A8030" t="inlineStr">
        <is>
          <t>Talidtid</t>
        </is>
      </c>
    </row>
    <row r="8031" spans="1:1">
      <c r="A8031" t="inlineStr">
        <is>
          <t>Tibgao</t>
        </is>
      </c>
    </row>
    <row r="8032" spans="1:1">
      <c r="A8032" t="inlineStr">
        <is>
          <t>Agaas</t>
        </is>
      </c>
    </row>
    <row r="8033" spans="1:1">
      <c r="A8033" t="inlineStr">
        <is>
          <t>Antolon</t>
        </is>
      </c>
    </row>
    <row r="8034" spans="1:1">
      <c r="A8034" t="inlineStr">
        <is>
          <t>Bacgong</t>
        </is>
      </c>
    </row>
    <row r="8035" spans="1:1">
      <c r="A8035" t="inlineStr">
        <is>
          <t>Bahay</t>
        </is>
      </c>
    </row>
    <row r="8036" spans="1:1">
      <c r="A8036" t="inlineStr">
        <is>
          <t>Bikal</t>
        </is>
      </c>
    </row>
    <row r="8037" spans="1:1">
      <c r="A8037" t="inlineStr">
        <is>
          <t>Binanuahan</t>
        </is>
      </c>
    </row>
    <row r="8038" spans="1:1">
      <c r="A8038" t="inlineStr">
        <is>
          <t>Cabacongan</t>
        </is>
      </c>
    </row>
    <row r="8039" spans="1:1">
      <c r="A8039" t="inlineStr">
        <is>
          <t>Cadong</t>
        </is>
      </c>
    </row>
    <row r="8040" spans="1:1">
      <c r="A8040" t="inlineStr">
        <is>
          <t>Canatuan</t>
        </is>
      </c>
    </row>
    <row r="8041" spans="1:1">
      <c r="A8041" t="inlineStr">
        <is>
          <t>Caputatan</t>
        </is>
      </c>
    </row>
    <row r="8042" spans="1:1">
      <c r="A8042" t="inlineStr">
        <is>
          <t>Colongcogong</t>
        </is>
      </c>
    </row>
    <row r="8043" spans="1:1">
      <c r="A8043" t="inlineStr">
        <is>
          <t>Daraga</t>
        </is>
      </c>
    </row>
    <row r="8044" spans="1:1">
      <c r="A8044" t="inlineStr">
        <is>
          <t>Gata</t>
        </is>
      </c>
    </row>
    <row r="8045" spans="1:1">
      <c r="A8045" t="inlineStr">
        <is>
          <t>Gibgos</t>
        </is>
      </c>
    </row>
    <row r="8046" spans="1:1">
      <c r="A8046" t="inlineStr">
        <is>
          <t>Gogon</t>
        </is>
      </c>
    </row>
    <row r="8047" spans="1:1">
      <c r="A8047" t="inlineStr">
        <is>
          <t>Guijalo</t>
        </is>
      </c>
    </row>
    <row r="8048" spans="1:1">
      <c r="A8048" t="inlineStr">
        <is>
          <t>Hanopol</t>
        </is>
      </c>
    </row>
    <row r="8049" spans="1:1">
      <c r="A8049" t="inlineStr">
        <is>
          <t>Hanoy</t>
        </is>
      </c>
    </row>
    <row r="8050" spans="1:1">
      <c r="A8050" t="inlineStr">
        <is>
          <t>Haponan</t>
        </is>
      </c>
    </row>
    <row r="8051" spans="1:1">
      <c r="A8051" t="inlineStr">
        <is>
          <t>Ilawod</t>
        </is>
      </c>
    </row>
    <row r="8052" spans="1:1">
      <c r="A8052" t="inlineStr">
        <is>
          <t>Ili-Centro</t>
        </is>
      </c>
    </row>
    <row r="8053" spans="1:1">
      <c r="A8053" t="inlineStr">
        <is>
          <t>Lidong</t>
        </is>
      </c>
    </row>
    <row r="8054" spans="1:1">
      <c r="A8054" t="inlineStr">
        <is>
          <t>Lubas</t>
        </is>
      </c>
    </row>
    <row r="8055" spans="1:1">
      <c r="A8055" t="inlineStr">
        <is>
          <t>Malabog</t>
        </is>
      </c>
    </row>
    <row r="8056" spans="1:1">
      <c r="A8056" t="inlineStr">
        <is>
          <t>Maligaya</t>
        </is>
      </c>
    </row>
    <row r="8057" spans="1:1">
      <c r="A8057" t="inlineStr">
        <is>
          <t>Mampirao</t>
        </is>
      </c>
    </row>
    <row r="8058" spans="1:1">
      <c r="A8058" t="inlineStr">
        <is>
          <t>Mandiclum</t>
        </is>
      </c>
    </row>
    <row r="8059" spans="1:1">
      <c r="A8059" t="inlineStr">
        <is>
          <t>Maqueda</t>
        </is>
      </c>
    </row>
    <row r="8060" spans="1:1">
      <c r="A8060" t="inlineStr">
        <is>
          <t>Minalaba</t>
        </is>
      </c>
    </row>
    <row r="8061" spans="1:1">
      <c r="A8061" t="inlineStr">
        <is>
          <t>Oring</t>
        </is>
      </c>
    </row>
    <row r="8062" spans="1:1">
      <c r="A8062" t="inlineStr">
        <is>
          <t>Oroc-Osoc</t>
        </is>
      </c>
    </row>
    <row r="8063" spans="1:1">
      <c r="A8063" t="inlineStr">
        <is>
          <t>Pagolinan</t>
        </is>
      </c>
    </row>
    <row r="8064" spans="1:1">
      <c r="A8064" t="inlineStr">
        <is>
          <t>Pandanan</t>
        </is>
      </c>
    </row>
    <row r="8065" spans="1:1">
      <c r="A8065" t="inlineStr">
        <is>
          <t>Paniman</t>
        </is>
      </c>
    </row>
    <row r="8066" spans="1:1">
      <c r="A8066" t="inlineStr">
        <is>
          <t>Patag-Belen</t>
        </is>
      </c>
    </row>
    <row r="8067" spans="1:1">
      <c r="A8067" t="inlineStr">
        <is>
          <t>Pili-Centro</t>
        </is>
      </c>
    </row>
    <row r="8068" spans="1:1">
      <c r="A8068" t="inlineStr">
        <is>
          <t>Pili-Tabiguian</t>
        </is>
      </c>
    </row>
    <row r="8069" spans="1:1">
      <c r="A8069" t="inlineStr">
        <is>
          <t>Poloan</t>
        </is>
      </c>
    </row>
    <row r="8070" spans="1:1">
      <c r="A8070" t="inlineStr">
        <is>
          <t>Salvacion</t>
        </is>
      </c>
    </row>
    <row r="8071" spans="1:1">
      <c r="A8071" t="inlineStr">
        <is>
          <t>San Roque</t>
        </is>
      </c>
    </row>
    <row r="8072" spans="1:1">
      <c r="A8072" t="inlineStr">
        <is>
          <t>San Vicente</t>
        </is>
      </c>
    </row>
    <row r="8073" spans="1:1">
      <c r="A8073" t="inlineStr">
        <is>
          <t>Santa Cruz</t>
        </is>
      </c>
    </row>
    <row r="8074" spans="1:1">
      <c r="A8074" t="inlineStr">
        <is>
          <t>Solnopan</t>
        </is>
      </c>
    </row>
    <row r="8075" spans="1:1">
      <c r="A8075" t="inlineStr">
        <is>
          <t>Tabgon</t>
        </is>
      </c>
    </row>
    <row r="8076" spans="1:1">
      <c r="A8076" t="inlineStr">
        <is>
          <t>Tabiguian</t>
        </is>
      </c>
    </row>
    <row r="8077" spans="1:1">
      <c r="A8077" t="inlineStr">
        <is>
          <t>Tabog</t>
        </is>
      </c>
    </row>
    <row r="8078" spans="1:1">
      <c r="A8078" t="inlineStr">
        <is>
          <t>Tawog</t>
        </is>
      </c>
    </row>
    <row r="8079" spans="1:1">
      <c r="A8079" t="inlineStr">
        <is>
          <t>Terogo</t>
        </is>
      </c>
    </row>
    <row r="8080" spans="1:1">
      <c r="A8080" t="inlineStr">
        <is>
          <t>Toboan</t>
        </is>
      </c>
    </row>
    <row r="8081" spans="1:1">
      <c r="A8081" t="inlineStr">
        <is>
          <t>Antipolo</t>
        </is>
      </c>
    </row>
    <row r="8082" spans="1:1">
      <c r="A8082" t="inlineStr">
        <is>
          <t>Cristo Rey</t>
        </is>
      </c>
    </row>
    <row r="8083" spans="1:1">
      <c r="A8083" t="inlineStr">
        <is>
          <t>Del Rosario</t>
        </is>
      </c>
    </row>
    <row r="8084" spans="1:1">
      <c r="A8084" t="inlineStr">
        <is>
          <t>Francia</t>
        </is>
      </c>
    </row>
    <row r="8085" spans="1:1">
      <c r="A8085" t="inlineStr">
        <is>
          <t>La Anunciacion</t>
        </is>
      </c>
    </row>
    <row r="8086" spans="1:1">
      <c r="A8086" t="inlineStr">
        <is>
          <t>La Medalla</t>
        </is>
      </c>
    </row>
    <row r="8087" spans="1:1">
      <c r="A8087" t="inlineStr">
        <is>
          <t>La Purisima</t>
        </is>
      </c>
    </row>
    <row r="8088" spans="1:1">
      <c r="A8088" t="inlineStr">
        <is>
          <t>La Trinidad</t>
        </is>
      </c>
    </row>
    <row r="8089" spans="1:1">
      <c r="A8089" t="inlineStr">
        <is>
          <t>Niño Jesus</t>
        </is>
      </c>
    </row>
    <row r="8090" spans="1:1">
      <c r="A8090" t="inlineStr">
        <is>
          <t>Perpetual Help</t>
        </is>
      </c>
    </row>
    <row r="8091" spans="1:1">
      <c r="A8091" t="inlineStr">
        <is>
          <t>Sagrada</t>
        </is>
      </c>
    </row>
    <row r="8092" spans="1:1">
      <c r="A8092" t="inlineStr">
        <is>
          <t>Salvacion</t>
        </is>
      </c>
    </row>
    <row r="8093" spans="1:1">
      <c r="A8093" t="inlineStr">
        <is>
          <t>San Agustin</t>
        </is>
      </c>
    </row>
    <row r="8094" spans="1:1">
      <c r="A8094" t="inlineStr">
        <is>
          <t>San Andres</t>
        </is>
      </c>
    </row>
    <row r="8095" spans="1:1">
      <c r="A8095" t="inlineStr">
        <is>
          <t>San Antonio</t>
        </is>
      </c>
    </row>
    <row r="8096" spans="1:1">
      <c r="A8096" t="inlineStr">
        <is>
          <t>San Francisco</t>
        </is>
      </c>
    </row>
    <row r="8097" spans="1:1">
      <c r="A8097" t="inlineStr">
        <is>
          <t>San Isidro</t>
        </is>
      </c>
    </row>
    <row r="8098" spans="1:1">
      <c r="A8098" t="inlineStr">
        <is>
          <t>San Jose</t>
        </is>
      </c>
    </row>
    <row r="8099" spans="1:1">
      <c r="A8099" t="inlineStr">
        <is>
          <t>San Juan</t>
        </is>
      </c>
    </row>
    <row r="8100" spans="1:1">
      <c r="A8100" t="inlineStr">
        <is>
          <t>San Miguel</t>
        </is>
      </c>
    </row>
    <row r="8101" spans="1:1">
      <c r="A8101" t="inlineStr">
        <is>
          <t>San Nicolas</t>
        </is>
      </c>
    </row>
    <row r="8102" spans="1:1">
      <c r="A8102" t="inlineStr">
        <is>
          <t>San Pedro</t>
        </is>
      </c>
    </row>
    <row r="8103" spans="1:1">
      <c r="A8103" t="inlineStr">
        <is>
          <t>San Rafael</t>
        </is>
      </c>
    </row>
    <row r="8104" spans="1:1">
      <c r="A8104" t="inlineStr">
        <is>
          <t>San Ramon</t>
        </is>
      </c>
    </row>
    <row r="8105" spans="1:1">
      <c r="A8105" t="inlineStr">
        <is>
          <t>San Roque</t>
        </is>
      </c>
    </row>
    <row r="8106" spans="1:1">
      <c r="A8106" t="inlineStr">
        <is>
          <t>San Vicente Norte</t>
        </is>
      </c>
    </row>
    <row r="8107" spans="1:1">
      <c r="A8107" t="inlineStr">
        <is>
          <t>San Vicente Sur</t>
        </is>
      </c>
    </row>
    <row r="8108" spans="1:1">
      <c r="A8108" t="inlineStr">
        <is>
          <t>Santa Cruz Norte</t>
        </is>
      </c>
    </row>
    <row r="8109" spans="1:1">
      <c r="A8109" t="inlineStr">
        <is>
          <t>Santa Cruz Sur</t>
        </is>
      </c>
    </row>
    <row r="8110" spans="1:1">
      <c r="A8110" t="inlineStr">
        <is>
          <t>Santa Elena</t>
        </is>
      </c>
    </row>
    <row r="8111" spans="1:1">
      <c r="A8111" t="inlineStr">
        <is>
          <t>Santa Isabel</t>
        </is>
      </c>
    </row>
    <row r="8112" spans="1:1">
      <c r="A8112" t="inlineStr">
        <is>
          <t>Santa Maria</t>
        </is>
      </c>
    </row>
    <row r="8113" spans="1:1">
      <c r="A8113" t="inlineStr">
        <is>
          <t>Santa Teresita</t>
        </is>
      </c>
    </row>
    <row r="8114" spans="1:1">
      <c r="A8114" t="inlineStr">
        <is>
          <t>Santiago</t>
        </is>
      </c>
    </row>
    <row r="8115" spans="1:1">
      <c r="A8115" t="inlineStr">
        <is>
          <t>Santo Domingo</t>
        </is>
      </c>
    </row>
    <row r="8116" spans="1:1">
      <c r="A8116" t="inlineStr">
        <is>
          <t>Santo Niño</t>
        </is>
      </c>
    </row>
    <row r="8117" spans="1:1">
      <c r="A8117" t="inlineStr">
        <is>
          <t>Abella</t>
        </is>
      </c>
    </row>
    <row r="8118" spans="1:1">
      <c r="A8118" t="inlineStr">
        <is>
          <t>Bagumbayan Norte</t>
        </is>
      </c>
    </row>
    <row r="8119" spans="1:1">
      <c r="A8119" t="inlineStr">
        <is>
          <t>Bagumbayan Sur</t>
        </is>
      </c>
    </row>
    <row r="8120" spans="1:1">
      <c r="A8120" t="inlineStr">
        <is>
          <t>Balatas</t>
        </is>
      </c>
    </row>
    <row r="8121" spans="1:1">
      <c r="A8121" t="inlineStr">
        <is>
          <t>Calauag</t>
        </is>
      </c>
    </row>
    <row r="8122" spans="1:1">
      <c r="A8122" t="inlineStr">
        <is>
          <t>Cararayan</t>
        </is>
      </c>
    </row>
    <row r="8123" spans="1:1">
      <c r="A8123" t="inlineStr">
        <is>
          <t>Carolina</t>
        </is>
      </c>
    </row>
    <row r="8124" spans="1:1">
      <c r="A8124" t="inlineStr">
        <is>
          <t>Concepcion Grande</t>
        </is>
      </c>
    </row>
    <row r="8125" spans="1:1">
      <c r="A8125" t="inlineStr">
        <is>
          <t>Concepcion Pequeña</t>
        </is>
      </c>
    </row>
    <row r="8126" spans="1:1">
      <c r="A8126" t="inlineStr">
        <is>
          <t>Dayangdang</t>
        </is>
      </c>
    </row>
    <row r="8127" spans="1:1">
      <c r="A8127" t="inlineStr">
        <is>
          <t>Del Rosario</t>
        </is>
      </c>
    </row>
    <row r="8128" spans="1:1">
      <c r="A8128" t="inlineStr">
        <is>
          <t>Dinaga</t>
        </is>
      </c>
    </row>
    <row r="8129" spans="1:1">
      <c r="A8129" t="inlineStr">
        <is>
          <t>Igualdad Interior</t>
        </is>
      </c>
    </row>
    <row r="8130" spans="1:1">
      <c r="A8130" t="inlineStr">
        <is>
          <t>Lerma</t>
        </is>
      </c>
    </row>
    <row r="8131" spans="1:1">
      <c r="A8131" t="inlineStr">
        <is>
          <t>Liboton</t>
        </is>
      </c>
    </row>
    <row r="8132" spans="1:1">
      <c r="A8132" t="inlineStr">
        <is>
          <t>Mabolo</t>
        </is>
      </c>
    </row>
    <row r="8133" spans="1:1">
      <c r="A8133" t="inlineStr">
        <is>
          <t>Pacol</t>
        </is>
      </c>
    </row>
    <row r="8134" spans="1:1">
      <c r="A8134" t="inlineStr">
        <is>
          <t>Panicuason</t>
        </is>
      </c>
    </row>
    <row r="8135" spans="1:1">
      <c r="A8135" t="inlineStr">
        <is>
          <t>Peñafrancia</t>
        </is>
      </c>
    </row>
    <row r="8136" spans="1:1">
      <c r="A8136" t="inlineStr">
        <is>
          <t>Sabang</t>
        </is>
      </c>
    </row>
    <row r="8137" spans="1:1">
      <c r="A8137" t="inlineStr">
        <is>
          <t>San Felipe</t>
        </is>
      </c>
    </row>
    <row r="8138" spans="1:1">
      <c r="A8138" t="inlineStr">
        <is>
          <t>San Francisco</t>
        </is>
      </c>
    </row>
    <row r="8139" spans="1:1">
      <c r="A8139" t="inlineStr">
        <is>
          <t>San Isidro</t>
        </is>
      </c>
    </row>
    <row r="8140" spans="1:1">
      <c r="A8140" t="inlineStr">
        <is>
          <t>Santa Cruz</t>
        </is>
      </c>
    </row>
    <row r="8141" spans="1:1">
      <c r="A8141" t="inlineStr">
        <is>
          <t>Tabuco</t>
        </is>
      </c>
    </row>
    <row r="8142" spans="1:1">
      <c r="A8142" t="inlineStr">
        <is>
          <t>Tinago</t>
        </is>
      </c>
    </row>
    <row r="8143" spans="1:1">
      <c r="A8143" t="inlineStr">
        <is>
          <t>Triangulo</t>
        </is>
      </c>
    </row>
    <row r="8144" spans="1:1">
      <c r="A8144" t="inlineStr">
        <is>
          <t>Bagong Silang</t>
        </is>
      </c>
    </row>
    <row r="8145" spans="1:1">
      <c r="A8145" t="inlineStr">
        <is>
          <t>Bucal</t>
        </is>
      </c>
    </row>
    <row r="8146" spans="1:1">
      <c r="A8146" t="inlineStr">
        <is>
          <t>Cabasag</t>
        </is>
      </c>
    </row>
    <row r="8147" spans="1:1">
      <c r="A8147" t="inlineStr">
        <is>
          <t>Comadaycaday</t>
        </is>
      </c>
    </row>
    <row r="8148" spans="1:1">
      <c r="A8148" t="inlineStr">
        <is>
          <t>Comadogcadog</t>
        </is>
      </c>
    </row>
    <row r="8149" spans="1:1">
      <c r="A8149" t="inlineStr">
        <is>
          <t>Domagondong</t>
        </is>
      </c>
    </row>
    <row r="8150" spans="1:1">
      <c r="A8150" t="inlineStr">
        <is>
          <t>Kinalangan</t>
        </is>
      </c>
    </row>
    <row r="8151" spans="1:1">
      <c r="A8151" t="inlineStr">
        <is>
          <t>Mabini</t>
        </is>
      </c>
    </row>
    <row r="8152" spans="1:1">
      <c r="A8152" t="inlineStr">
        <is>
          <t>Magais I</t>
        </is>
      </c>
    </row>
    <row r="8153" spans="1:1">
      <c r="A8153" t="inlineStr">
        <is>
          <t>Magais II</t>
        </is>
      </c>
    </row>
    <row r="8154" spans="1:1">
      <c r="A8154" t="inlineStr">
        <is>
          <t>Mansalaya</t>
        </is>
      </c>
    </row>
    <row r="8155" spans="1:1">
      <c r="A8155" t="inlineStr">
        <is>
          <t>Nagkalit</t>
        </is>
      </c>
    </row>
    <row r="8156" spans="1:1">
      <c r="A8156" t="inlineStr">
        <is>
          <t>Palaspas</t>
        </is>
      </c>
    </row>
    <row r="8157" spans="1:1">
      <c r="A8157" t="inlineStr">
        <is>
          <t>Pamplona</t>
        </is>
      </c>
    </row>
    <row r="8158" spans="1:1">
      <c r="A8158" t="inlineStr">
        <is>
          <t>Pasay</t>
        </is>
      </c>
    </row>
    <row r="8159" spans="1:1">
      <c r="A8159" t="inlineStr">
        <is>
          <t>Pinagdapian</t>
        </is>
      </c>
    </row>
    <row r="8160" spans="1:1">
      <c r="A8160" t="inlineStr">
        <is>
          <t>Pinugusan</t>
        </is>
      </c>
    </row>
    <row r="8161" spans="1:1">
      <c r="A8161" t="inlineStr">
        <is>
          <t>Poblacion Zone III</t>
        </is>
      </c>
    </row>
    <row r="8162" spans="1:1">
      <c r="A8162" t="inlineStr">
        <is>
          <t>Sabang</t>
        </is>
      </c>
    </row>
    <row r="8163" spans="1:1">
      <c r="A8163" t="inlineStr">
        <is>
          <t>Salvacion</t>
        </is>
      </c>
    </row>
    <row r="8164" spans="1:1">
      <c r="A8164" t="inlineStr">
        <is>
          <t>San Juan</t>
        </is>
      </c>
    </row>
    <row r="8165" spans="1:1">
      <c r="A8165" t="inlineStr">
        <is>
          <t>San Pablo</t>
        </is>
      </c>
    </row>
    <row r="8166" spans="1:1">
      <c r="A8166" t="inlineStr">
        <is>
          <t>Santa Rita I</t>
        </is>
      </c>
    </row>
    <row r="8167" spans="1:1">
      <c r="A8167" t="inlineStr">
        <is>
          <t>Santa Rita II</t>
        </is>
      </c>
    </row>
    <row r="8168" spans="1:1">
      <c r="A8168" t="inlineStr">
        <is>
          <t>Sinagawsawan</t>
        </is>
      </c>
    </row>
    <row r="8169" spans="1:1">
      <c r="A8169" t="inlineStr">
        <is>
          <t>Sinuknipan I</t>
        </is>
      </c>
    </row>
    <row r="8170" spans="1:1">
      <c r="A8170" t="inlineStr">
        <is>
          <t>Sinuknipan II</t>
        </is>
      </c>
    </row>
    <row r="8171" spans="1:1">
      <c r="A8171" t="inlineStr">
        <is>
          <t>Sugsugin</t>
        </is>
      </c>
    </row>
    <row r="8172" spans="1:1">
      <c r="A8172" t="inlineStr">
        <is>
          <t>Tabion</t>
        </is>
      </c>
    </row>
    <row r="8173" spans="1:1">
      <c r="A8173" t="inlineStr">
        <is>
          <t>Tomagoktok</t>
        </is>
      </c>
    </row>
    <row r="8174" spans="1:1">
      <c r="A8174" t="inlineStr">
        <is>
          <t>Zone I Fatima</t>
        </is>
      </c>
    </row>
    <row r="8175" spans="1:1">
      <c r="A8175" t="inlineStr">
        <is>
          <t>Zone II San Antonio</t>
        </is>
      </c>
    </row>
    <row r="8176" spans="1:1">
      <c r="A8176" t="inlineStr">
        <is>
          <t>Cagbunga</t>
        </is>
      </c>
    </row>
    <row r="8177" spans="1:1">
      <c r="A8177" t="inlineStr">
        <is>
          <t>Dahilig</t>
        </is>
      </c>
    </row>
    <row r="8178" spans="1:1">
      <c r="A8178" t="inlineStr">
        <is>
          <t>District I</t>
        </is>
      </c>
    </row>
    <row r="8179" spans="1:1">
      <c r="A8179" t="inlineStr">
        <is>
          <t>District II</t>
        </is>
      </c>
    </row>
    <row r="8180" spans="1:1">
      <c r="A8180" t="inlineStr">
        <is>
          <t>Loob</t>
        </is>
      </c>
    </row>
    <row r="8181" spans="1:1">
      <c r="A8181" t="inlineStr">
        <is>
          <t>Malbong</t>
        </is>
      </c>
    </row>
    <row r="8182" spans="1:1">
      <c r="A8182" t="inlineStr">
        <is>
          <t>Namuat</t>
        </is>
      </c>
    </row>
    <row r="8183" spans="1:1">
      <c r="A8183" t="inlineStr">
        <is>
          <t>Sampaloc</t>
        </is>
      </c>
    </row>
    <row r="8184" spans="1:1">
      <c r="A8184" t="inlineStr">
        <is>
          <t>Ason</t>
        </is>
      </c>
    </row>
    <row r="8185" spans="1:1">
      <c r="A8185" t="inlineStr">
        <is>
          <t>Bahi</t>
        </is>
      </c>
    </row>
    <row r="8186" spans="1:1">
      <c r="A8186" t="inlineStr">
        <is>
          <t>Barangay I</t>
        </is>
      </c>
    </row>
    <row r="8187" spans="1:1">
      <c r="A8187" t="inlineStr">
        <is>
          <t>Barangay II</t>
        </is>
      </c>
    </row>
    <row r="8188" spans="1:1">
      <c r="A8188" t="inlineStr">
        <is>
          <t>Barangay III</t>
        </is>
      </c>
    </row>
    <row r="8189" spans="1:1">
      <c r="A8189" t="inlineStr">
        <is>
          <t>Barangay IV</t>
        </is>
      </c>
    </row>
    <row r="8190" spans="1:1">
      <c r="A8190" t="inlineStr">
        <is>
          <t>Binagasbasan</t>
        </is>
      </c>
    </row>
    <row r="8191" spans="1:1">
      <c r="A8191" t="inlineStr">
        <is>
          <t>Burabod</t>
        </is>
      </c>
    </row>
    <row r="8192" spans="1:1">
      <c r="A8192" t="inlineStr">
        <is>
          <t>Cagamutan</t>
        </is>
      </c>
    </row>
    <row r="8193" spans="1:1">
      <c r="A8193" t="inlineStr">
        <is>
          <t>Cagnipa</t>
        </is>
      </c>
    </row>
    <row r="8194" spans="1:1">
      <c r="A8194" t="inlineStr">
        <is>
          <t>Canlong</t>
        </is>
      </c>
    </row>
    <row r="8195" spans="1:1">
      <c r="A8195" t="inlineStr">
        <is>
          <t>Dangla</t>
        </is>
      </c>
    </row>
    <row r="8196" spans="1:1">
      <c r="A8196" t="inlineStr">
        <is>
          <t>Del Pilar</t>
        </is>
      </c>
    </row>
    <row r="8197" spans="1:1">
      <c r="A8197" t="inlineStr">
        <is>
          <t>Denrica</t>
        </is>
      </c>
    </row>
    <row r="8198" spans="1:1">
      <c r="A8198" t="inlineStr">
        <is>
          <t>Harrison</t>
        </is>
      </c>
    </row>
    <row r="8199" spans="1:1">
      <c r="A8199" t="inlineStr">
        <is>
          <t>Mansangat</t>
        </is>
      </c>
    </row>
    <row r="8200" spans="1:1">
      <c r="A8200" t="inlineStr">
        <is>
          <t>Pambuhan</t>
        </is>
      </c>
    </row>
    <row r="8201" spans="1:1">
      <c r="A8201" t="inlineStr">
        <is>
          <t>Sagrada</t>
        </is>
      </c>
    </row>
    <row r="8202" spans="1:1">
      <c r="A8202" t="inlineStr">
        <is>
          <t>Salvacion</t>
        </is>
      </c>
    </row>
    <row r="8203" spans="1:1">
      <c r="A8203" t="inlineStr">
        <is>
          <t>San Vicente</t>
        </is>
      </c>
    </row>
    <row r="8204" spans="1:1">
      <c r="A8204" t="inlineStr">
        <is>
          <t>Sumaoy</t>
        </is>
      </c>
    </row>
    <row r="8205" spans="1:1">
      <c r="A8205" t="inlineStr">
        <is>
          <t>Tamiawon</t>
        </is>
      </c>
    </row>
    <row r="8206" spans="1:1">
      <c r="A8206" t="inlineStr">
        <is>
          <t>Toytoy</t>
        </is>
      </c>
    </row>
    <row r="8207" spans="1:1">
      <c r="A8207" t="inlineStr">
        <is>
          <t>Abucayan</t>
        </is>
      </c>
    </row>
    <row r="8208" spans="1:1">
      <c r="A8208" t="inlineStr">
        <is>
          <t>Bagumbayan Grande</t>
        </is>
      </c>
    </row>
    <row r="8209" spans="1:1">
      <c r="A8209" t="inlineStr">
        <is>
          <t>Bagumbayan Pequeño</t>
        </is>
      </c>
    </row>
    <row r="8210" spans="1:1">
      <c r="A8210" t="inlineStr">
        <is>
          <t>Balaynan</t>
        </is>
      </c>
    </row>
    <row r="8211" spans="1:1">
      <c r="A8211" t="inlineStr">
        <is>
          <t>Belen</t>
        </is>
      </c>
    </row>
    <row r="8212" spans="1:1">
      <c r="A8212" t="inlineStr">
        <is>
          <t>Buyo</t>
        </is>
      </c>
    </row>
    <row r="8213" spans="1:1">
      <c r="A8213" t="inlineStr">
        <is>
          <t>Cagaycay</t>
        </is>
      </c>
    </row>
    <row r="8214" spans="1:1">
      <c r="A8214" t="inlineStr">
        <is>
          <t>Catagbacan</t>
        </is>
      </c>
    </row>
    <row r="8215" spans="1:1">
      <c r="A8215" t="inlineStr">
        <is>
          <t>Digdigon</t>
        </is>
      </c>
    </row>
    <row r="8216" spans="1:1">
      <c r="A8216" t="inlineStr">
        <is>
          <t>Gimaga</t>
        </is>
      </c>
    </row>
    <row r="8217" spans="1:1">
      <c r="A8217" t="inlineStr">
        <is>
          <t>Halawig-Gogon</t>
        </is>
      </c>
    </row>
    <row r="8218" spans="1:1">
      <c r="A8218" t="inlineStr">
        <is>
          <t>Hiwacloy</t>
        </is>
      </c>
    </row>
    <row r="8219" spans="1:1">
      <c r="A8219" t="inlineStr">
        <is>
          <t>La Purisima</t>
        </is>
      </c>
    </row>
    <row r="8220" spans="1:1">
      <c r="A8220" t="inlineStr">
        <is>
          <t>Lamon</t>
        </is>
      </c>
    </row>
    <row r="8221" spans="1:1">
      <c r="A8221" t="inlineStr">
        <is>
          <t>Matacla</t>
        </is>
      </c>
    </row>
    <row r="8222" spans="1:1">
      <c r="A8222" t="inlineStr">
        <is>
          <t>Maymatan</t>
        </is>
      </c>
    </row>
    <row r="8223" spans="1:1">
      <c r="A8223" t="inlineStr">
        <is>
          <t>Maysalay</t>
        </is>
      </c>
    </row>
    <row r="8224" spans="1:1">
      <c r="A8224" t="inlineStr">
        <is>
          <t>Napawon</t>
        </is>
      </c>
    </row>
    <row r="8225" spans="1:1">
      <c r="A8225" t="inlineStr">
        <is>
          <t>Panday</t>
        </is>
      </c>
    </row>
    <row r="8226" spans="1:1">
      <c r="A8226" t="inlineStr">
        <is>
          <t>Payatan</t>
        </is>
      </c>
    </row>
    <row r="8227" spans="1:1">
      <c r="A8227" t="inlineStr">
        <is>
          <t>Pinaglabanan</t>
        </is>
      </c>
    </row>
    <row r="8228" spans="1:1">
      <c r="A8228" t="inlineStr">
        <is>
          <t>Salog</t>
        </is>
      </c>
    </row>
    <row r="8229" spans="1:1">
      <c r="A8229" t="inlineStr">
        <is>
          <t>San Benito</t>
        </is>
      </c>
    </row>
    <row r="8230" spans="1:1">
      <c r="A8230" t="inlineStr">
        <is>
          <t>San Isidro</t>
        </is>
      </c>
    </row>
    <row r="8231" spans="1:1">
      <c r="A8231" t="inlineStr">
        <is>
          <t>San Isidro West</t>
        </is>
      </c>
    </row>
    <row r="8232" spans="1:1">
      <c r="A8232" t="inlineStr">
        <is>
          <t>San Jose</t>
        </is>
      </c>
    </row>
    <row r="8233" spans="1:1">
      <c r="A8233" t="inlineStr">
        <is>
          <t>San Juan Bautista</t>
        </is>
      </c>
    </row>
    <row r="8234" spans="1:1">
      <c r="A8234" t="inlineStr">
        <is>
          <t>San Juan Evangelista</t>
        </is>
      </c>
    </row>
    <row r="8235" spans="1:1">
      <c r="A8235" t="inlineStr">
        <is>
          <t>San Pedro</t>
        </is>
      </c>
    </row>
    <row r="8236" spans="1:1">
      <c r="A8236" t="inlineStr">
        <is>
          <t>Scout Fuentebella</t>
        </is>
      </c>
    </row>
    <row r="8237" spans="1:1">
      <c r="A8237" t="inlineStr">
        <is>
          <t>Tabgon</t>
        </is>
      </c>
    </row>
    <row r="8238" spans="1:1">
      <c r="A8238" t="inlineStr">
        <is>
          <t>Tagongtong</t>
        </is>
      </c>
    </row>
    <row r="8239" spans="1:1">
      <c r="A8239" t="inlineStr">
        <is>
          <t>Tamban</t>
        </is>
      </c>
    </row>
    <row r="8240" spans="1:1">
      <c r="A8240" t="inlineStr">
        <is>
          <t>Taytay</t>
        </is>
      </c>
    </row>
    <row r="8241" spans="1:1">
      <c r="A8241" t="inlineStr">
        <is>
          <t>Agosais</t>
        </is>
      </c>
    </row>
    <row r="8242" spans="1:1">
      <c r="A8242" t="inlineStr">
        <is>
          <t>Agpo-Camagong-Tabog</t>
        </is>
      </c>
    </row>
    <row r="8243" spans="1:1">
      <c r="A8243" t="inlineStr">
        <is>
          <t>Amoguis</t>
        </is>
      </c>
    </row>
    <row r="8244" spans="1:1">
      <c r="A8244" t="inlineStr">
        <is>
          <t>Balaton</t>
        </is>
      </c>
    </row>
    <row r="8245" spans="1:1">
      <c r="A8245" t="inlineStr">
        <is>
          <t>Binanuahan</t>
        </is>
      </c>
    </row>
    <row r="8246" spans="1:1">
      <c r="A8246" t="inlineStr">
        <is>
          <t>Bocogan</t>
        </is>
      </c>
    </row>
    <row r="8247" spans="1:1">
      <c r="A8247" t="inlineStr">
        <is>
          <t>Burabod</t>
        </is>
      </c>
    </row>
    <row r="8248" spans="1:1">
      <c r="A8248" t="inlineStr">
        <is>
          <t>Cabotonan</t>
        </is>
      </c>
    </row>
    <row r="8249" spans="1:1">
      <c r="A8249" t="inlineStr">
        <is>
          <t>Dahat</t>
        </is>
      </c>
    </row>
    <row r="8250" spans="1:1">
      <c r="A8250" t="inlineStr">
        <is>
          <t>Del Carmen</t>
        </is>
      </c>
    </row>
    <row r="8251" spans="1:1">
      <c r="A8251" t="inlineStr">
        <is>
          <t>Gimagtocon</t>
        </is>
      </c>
    </row>
    <row r="8252" spans="1:1">
      <c r="A8252" t="inlineStr">
        <is>
          <t>Ginorangan</t>
        </is>
      </c>
    </row>
    <row r="8253" spans="1:1">
      <c r="A8253" t="inlineStr">
        <is>
          <t>Gubat</t>
        </is>
      </c>
    </row>
    <row r="8254" spans="1:1">
      <c r="A8254" t="inlineStr">
        <is>
          <t>Guibahoy</t>
        </is>
      </c>
    </row>
    <row r="8255" spans="1:1">
      <c r="A8255" t="inlineStr">
        <is>
          <t>Himanag</t>
        </is>
      </c>
    </row>
    <row r="8256" spans="1:1">
      <c r="A8256" t="inlineStr">
        <is>
          <t>Kinahologan</t>
        </is>
      </c>
    </row>
    <row r="8257" spans="1:1">
      <c r="A8257" t="inlineStr">
        <is>
          <t>Loho</t>
        </is>
      </c>
    </row>
    <row r="8258" spans="1:1">
      <c r="A8258" t="inlineStr">
        <is>
          <t>Manamoc</t>
        </is>
      </c>
    </row>
    <row r="8259" spans="1:1">
      <c r="A8259" t="inlineStr">
        <is>
          <t>Mangogon</t>
        </is>
      </c>
    </row>
    <row r="8260" spans="1:1">
      <c r="A8260" t="inlineStr">
        <is>
          <t>Mapid</t>
        </is>
      </c>
    </row>
    <row r="8261" spans="1:1">
      <c r="A8261" t="inlineStr">
        <is>
          <t>Olas</t>
        </is>
      </c>
    </row>
    <row r="8262" spans="1:1">
      <c r="A8262" t="inlineStr">
        <is>
          <t>Omalo</t>
        </is>
      </c>
    </row>
    <row r="8263" spans="1:1">
      <c r="A8263" t="inlineStr">
        <is>
          <t>Panagan</t>
        </is>
      </c>
    </row>
    <row r="8264" spans="1:1">
      <c r="A8264" t="inlineStr">
        <is>
          <t>Panicuan</t>
        </is>
      </c>
    </row>
    <row r="8265" spans="1:1">
      <c r="A8265" t="inlineStr">
        <is>
          <t>Pinamihagan</t>
        </is>
      </c>
    </row>
    <row r="8266" spans="1:1">
      <c r="A8266" t="inlineStr">
        <is>
          <t>San Francisco</t>
        </is>
      </c>
    </row>
    <row r="8267" spans="1:1">
      <c r="A8267" t="inlineStr">
        <is>
          <t>San Isidro</t>
        </is>
      </c>
    </row>
    <row r="8268" spans="1:1">
      <c r="A8268" t="inlineStr">
        <is>
          <t>San Isidro Norte</t>
        </is>
      </c>
    </row>
    <row r="8269" spans="1:1">
      <c r="A8269" t="inlineStr">
        <is>
          <t>San Isidro Sur</t>
        </is>
      </c>
    </row>
    <row r="8270" spans="1:1">
      <c r="A8270" t="inlineStr">
        <is>
          <t>San Rafael</t>
        </is>
      </c>
    </row>
    <row r="8271" spans="1:1">
      <c r="A8271" t="inlineStr">
        <is>
          <t>San Ramon</t>
        </is>
      </c>
    </row>
    <row r="8272" spans="1:1">
      <c r="A8272" t="inlineStr">
        <is>
          <t>San Roque</t>
        </is>
      </c>
    </row>
    <row r="8273" spans="1:1">
      <c r="A8273" t="inlineStr">
        <is>
          <t>San Sebastian</t>
        </is>
      </c>
    </row>
    <row r="8274" spans="1:1">
      <c r="A8274" t="inlineStr">
        <is>
          <t>San Vicente</t>
        </is>
      </c>
    </row>
    <row r="8275" spans="1:1">
      <c r="A8275" t="inlineStr">
        <is>
          <t>Santa Cruz</t>
        </is>
      </c>
    </row>
    <row r="8276" spans="1:1">
      <c r="A8276" t="inlineStr">
        <is>
          <t>Santa Maria</t>
        </is>
      </c>
    </row>
    <row r="8277" spans="1:1">
      <c r="A8277" t="inlineStr">
        <is>
          <t>Saripongpong</t>
        </is>
      </c>
    </row>
    <row r="8278" spans="1:1">
      <c r="A8278" t="inlineStr">
        <is>
          <t>Sipaco</t>
        </is>
      </c>
    </row>
    <row r="8279" spans="1:1">
      <c r="A8279" t="inlineStr">
        <is>
          <t>Aslong</t>
        </is>
      </c>
    </row>
    <row r="8280" spans="1:1">
      <c r="A8280" t="inlineStr">
        <is>
          <t>Awayan</t>
        </is>
      </c>
    </row>
    <row r="8281" spans="1:1">
      <c r="A8281" t="inlineStr">
        <is>
          <t>Bagacay</t>
        </is>
      </c>
    </row>
    <row r="8282" spans="1:1">
      <c r="A8282" t="inlineStr">
        <is>
          <t>Bagadion</t>
        </is>
      </c>
    </row>
    <row r="8283" spans="1:1">
      <c r="A8283" t="inlineStr">
        <is>
          <t>Bagamelon</t>
        </is>
      </c>
    </row>
    <row r="8284" spans="1:1">
      <c r="A8284" t="inlineStr">
        <is>
          <t>Bagumbayan</t>
        </is>
      </c>
    </row>
    <row r="8285" spans="1:1">
      <c r="A8285" t="inlineStr">
        <is>
          <t>Bahao</t>
        </is>
      </c>
    </row>
    <row r="8286" spans="1:1">
      <c r="A8286" t="inlineStr">
        <is>
          <t>Bahay</t>
        </is>
      </c>
    </row>
    <row r="8287" spans="1:1">
      <c r="A8287" t="inlineStr">
        <is>
          <t>Begajo Norte</t>
        </is>
      </c>
    </row>
    <row r="8288" spans="1:1">
      <c r="A8288" t="inlineStr">
        <is>
          <t>Begajo Sur</t>
        </is>
      </c>
    </row>
    <row r="8289" spans="1:1">
      <c r="A8289" t="inlineStr">
        <is>
          <t>Beguito Nuevo</t>
        </is>
      </c>
    </row>
    <row r="8290" spans="1:1">
      <c r="A8290" t="inlineStr">
        <is>
          <t>Beguito Viejo</t>
        </is>
      </c>
    </row>
    <row r="8291" spans="1:1">
      <c r="A8291" t="inlineStr">
        <is>
          <t>Bikal</t>
        </is>
      </c>
    </row>
    <row r="8292" spans="1:1">
      <c r="A8292" t="inlineStr">
        <is>
          <t>Busak</t>
        </is>
      </c>
    </row>
    <row r="8293" spans="1:1">
      <c r="A8293" t="inlineStr">
        <is>
          <t>Caima</t>
        </is>
      </c>
    </row>
    <row r="8294" spans="1:1">
      <c r="A8294" t="inlineStr">
        <is>
          <t>Calabnigan</t>
        </is>
      </c>
    </row>
    <row r="8295" spans="1:1">
      <c r="A8295" t="inlineStr">
        <is>
          <t>Camambugan</t>
        </is>
      </c>
    </row>
    <row r="8296" spans="1:1">
      <c r="A8296" t="inlineStr">
        <is>
          <t>Cambalidio</t>
        </is>
      </c>
    </row>
    <row r="8297" spans="1:1">
      <c r="A8297" t="inlineStr">
        <is>
          <t>Candami</t>
        </is>
      </c>
    </row>
    <row r="8298" spans="1:1">
      <c r="A8298" t="inlineStr">
        <is>
          <t>Candato</t>
        </is>
      </c>
    </row>
    <row r="8299" spans="1:1">
      <c r="A8299" t="inlineStr">
        <is>
          <t>Cawayan</t>
        </is>
      </c>
    </row>
    <row r="8300" spans="1:1">
      <c r="A8300" t="inlineStr">
        <is>
          <t>Concepcion</t>
        </is>
      </c>
    </row>
    <row r="8301" spans="1:1">
      <c r="A8301" t="inlineStr">
        <is>
          <t>Cuyapi</t>
        </is>
      </c>
    </row>
    <row r="8302" spans="1:1">
      <c r="A8302" t="inlineStr">
        <is>
          <t>Danawan</t>
        </is>
      </c>
    </row>
    <row r="8303" spans="1:1">
      <c r="A8303" t="inlineStr">
        <is>
          <t>Duang Niog</t>
        </is>
      </c>
    </row>
    <row r="8304" spans="1:1">
      <c r="A8304" t="inlineStr">
        <is>
          <t>Handong</t>
        </is>
      </c>
    </row>
    <row r="8305" spans="1:1">
      <c r="A8305" t="inlineStr">
        <is>
          <t>Ibid</t>
        </is>
      </c>
    </row>
    <row r="8306" spans="1:1">
      <c r="A8306" t="inlineStr">
        <is>
          <t>Inalahan</t>
        </is>
      </c>
    </row>
    <row r="8307" spans="1:1">
      <c r="A8307" t="inlineStr">
        <is>
          <t>Labao</t>
        </is>
      </c>
    </row>
    <row r="8308" spans="1:1">
      <c r="A8308" t="inlineStr">
        <is>
          <t>Libod I</t>
        </is>
      </c>
    </row>
    <row r="8309" spans="1:1">
      <c r="A8309" t="inlineStr">
        <is>
          <t>Libod II</t>
        </is>
      </c>
    </row>
    <row r="8310" spans="1:1">
      <c r="A8310" t="inlineStr">
        <is>
          <t>Loba-loba</t>
        </is>
      </c>
    </row>
    <row r="8311" spans="1:1">
      <c r="A8311" t="inlineStr">
        <is>
          <t>Mabini</t>
        </is>
      </c>
    </row>
    <row r="8312" spans="1:1">
      <c r="A8312" t="inlineStr">
        <is>
          <t>Malansad Nuevo</t>
        </is>
      </c>
    </row>
    <row r="8313" spans="1:1">
      <c r="A8313" t="inlineStr">
        <is>
          <t>Malansad Viejo</t>
        </is>
      </c>
    </row>
    <row r="8314" spans="1:1">
      <c r="A8314" t="inlineStr">
        <is>
          <t>Malbogon</t>
        </is>
      </c>
    </row>
    <row r="8315" spans="1:1">
      <c r="A8315" t="inlineStr">
        <is>
          <t>Malinao</t>
        </is>
      </c>
    </row>
    <row r="8316" spans="1:1">
      <c r="A8316" t="inlineStr">
        <is>
          <t>Mambalite</t>
        </is>
      </c>
    </row>
    <row r="8317" spans="1:1">
      <c r="A8317" t="inlineStr">
        <is>
          <t>Mambayawas</t>
        </is>
      </c>
    </row>
    <row r="8318" spans="1:1">
      <c r="A8318" t="inlineStr">
        <is>
          <t>Mambulo Nuevo</t>
        </is>
      </c>
    </row>
    <row r="8319" spans="1:1">
      <c r="A8319" t="inlineStr">
        <is>
          <t>Mambulo Viejo</t>
        </is>
      </c>
    </row>
    <row r="8320" spans="1:1">
      <c r="A8320" t="inlineStr">
        <is>
          <t>Mancawayan</t>
        </is>
      </c>
    </row>
    <row r="8321" spans="1:1">
      <c r="A8321" t="inlineStr">
        <is>
          <t>Mandacanan</t>
        </is>
      </c>
    </row>
    <row r="8322" spans="1:1">
      <c r="A8322" t="inlineStr">
        <is>
          <t>Mantalisay</t>
        </is>
      </c>
    </row>
    <row r="8323" spans="1:1">
      <c r="A8323" t="inlineStr">
        <is>
          <t>Padlos</t>
        </is>
      </c>
    </row>
    <row r="8324" spans="1:1">
      <c r="A8324" t="inlineStr">
        <is>
          <t>Pag-Oring Nuevo</t>
        </is>
      </c>
    </row>
    <row r="8325" spans="1:1">
      <c r="A8325" t="inlineStr">
        <is>
          <t>Pag-Oring Viejo</t>
        </is>
      </c>
    </row>
    <row r="8326" spans="1:1">
      <c r="A8326" t="inlineStr">
        <is>
          <t>Palangon</t>
        </is>
      </c>
    </row>
    <row r="8327" spans="1:1">
      <c r="A8327" t="inlineStr">
        <is>
          <t>Palong</t>
        </is>
      </c>
    </row>
    <row r="8328" spans="1:1">
      <c r="A8328" t="inlineStr">
        <is>
          <t>Patag</t>
        </is>
      </c>
    </row>
    <row r="8329" spans="1:1">
      <c r="A8329" t="inlineStr">
        <is>
          <t>Planza</t>
        </is>
      </c>
    </row>
    <row r="8330" spans="1:1">
      <c r="A8330" t="inlineStr">
        <is>
          <t>Poblacion</t>
        </is>
      </c>
    </row>
    <row r="8331" spans="1:1">
      <c r="A8331" t="inlineStr">
        <is>
          <t>Potot</t>
        </is>
      </c>
    </row>
    <row r="8332" spans="1:1">
      <c r="A8332" t="inlineStr">
        <is>
          <t>Puro-Batia</t>
        </is>
      </c>
    </row>
    <row r="8333" spans="1:1">
      <c r="A8333" t="inlineStr">
        <is>
          <t>Rongos</t>
        </is>
      </c>
    </row>
    <row r="8334" spans="1:1">
      <c r="A8334" t="inlineStr">
        <is>
          <t>Salvacion</t>
        </is>
      </c>
    </row>
    <row r="8335" spans="1:1">
      <c r="A8335" t="inlineStr">
        <is>
          <t>San Isidro</t>
        </is>
      </c>
    </row>
    <row r="8336" spans="1:1">
      <c r="A8336" t="inlineStr">
        <is>
          <t>San Juan</t>
        </is>
      </c>
    </row>
    <row r="8337" spans="1:1">
      <c r="A8337" t="inlineStr">
        <is>
          <t>San Pablo</t>
        </is>
      </c>
    </row>
    <row r="8338" spans="1:1">
      <c r="A8338" t="inlineStr">
        <is>
          <t>San Vicente</t>
        </is>
      </c>
    </row>
    <row r="8339" spans="1:1">
      <c r="A8339" t="inlineStr">
        <is>
          <t>Sibujo</t>
        </is>
      </c>
    </row>
    <row r="8340" spans="1:1">
      <c r="A8340" t="inlineStr">
        <is>
          <t>Sigamot</t>
        </is>
      </c>
    </row>
    <row r="8341" spans="1:1">
      <c r="A8341" t="inlineStr">
        <is>
          <t>Station-Church Site</t>
        </is>
      </c>
    </row>
    <row r="8342" spans="1:1">
      <c r="A8342" t="inlineStr">
        <is>
          <t>Taban-Fundado</t>
        </is>
      </c>
    </row>
    <row r="8343" spans="1:1">
      <c r="A8343" t="inlineStr">
        <is>
          <t>Tampuhan</t>
        </is>
      </c>
    </row>
    <row r="8344" spans="1:1">
      <c r="A8344" t="inlineStr">
        <is>
          <t>Tanag</t>
        </is>
      </c>
    </row>
    <row r="8345" spans="1:1">
      <c r="A8345" t="inlineStr">
        <is>
          <t>Tarum</t>
        </is>
      </c>
    </row>
    <row r="8346" spans="1:1">
      <c r="A8346" t="inlineStr">
        <is>
          <t>Tinalmud Nuevo</t>
        </is>
      </c>
    </row>
    <row r="8347" spans="1:1">
      <c r="A8347" t="inlineStr">
        <is>
          <t>Tinalmud Viejo</t>
        </is>
      </c>
    </row>
    <row r="8348" spans="1:1">
      <c r="A8348" t="inlineStr">
        <is>
          <t>Tinangkihan</t>
        </is>
      </c>
    </row>
    <row r="8349" spans="1:1">
      <c r="A8349" t="inlineStr">
        <is>
          <t>Udoc</t>
        </is>
      </c>
    </row>
    <row r="8350" spans="1:1">
      <c r="A8350" t="inlineStr">
        <is>
          <t>Umalo</t>
        </is>
      </c>
    </row>
    <row r="8351" spans="1:1">
      <c r="A8351" t="inlineStr">
        <is>
          <t>Uson</t>
        </is>
      </c>
    </row>
    <row r="8352" spans="1:1">
      <c r="A8352" t="inlineStr">
        <is>
          <t>Villadima</t>
        </is>
      </c>
    </row>
    <row r="8353" spans="1:1">
      <c r="A8353" t="inlineStr">
        <is>
          <t>Villasocorro</t>
        </is>
      </c>
    </row>
    <row r="8354" spans="1:1">
      <c r="A8354" t="inlineStr">
        <is>
          <t>Alleomar</t>
        </is>
      </c>
    </row>
    <row r="8355" spans="1:1">
      <c r="A8355" t="inlineStr">
        <is>
          <t>Bagangan Sr.</t>
        </is>
      </c>
    </row>
    <row r="8356" spans="1:1">
      <c r="A8356" t="inlineStr">
        <is>
          <t>Bagong Sikat</t>
        </is>
      </c>
    </row>
    <row r="8357" spans="1:1">
      <c r="A8357" t="inlineStr">
        <is>
          <t>Bangon</t>
        </is>
      </c>
    </row>
    <row r="8358" spans="1:1">
      <c r="A8358" t="inlineStr">
        <is>
          <t>Barrera Jr.</t>
        </is>
      </c>
    </row>
    <row r="8359" spans="1:1">
      <c r="A8359" t="inlineStr">
        <is>
          <t>Barrera Sr.</t>
        </is>
      </c>
    </row>
    <row r="8360" spans="1:1">
      <c r="A8360" t="inlineStr">
        <is>
          <t>Bel-Cruz</t>
        </is>
      </c>
    </row>
    <row r="8361" spans="1:1">
      <c r="A8361" t="inlineStr">
        <is>
          <t>Belwang</t>
        </is>
      </c>
    </row>
    <row r="8362" spans="1:1">
      <c r="A8362" t="inlineStr">
        <is>
          <t>Buenasuerte</t>
        </is>
      </c>
    </row>
    <row r="8363" spans="1:1">
      <c r="A8363" t="inlineStr">
        <is>
          <t>Bulawan Jr.</t>
        </is>
      </c>
    </row>
    <row r="8364" spans="1:1">
      <c r="A8364" t="inlineStr">
        <is>
          <t>Bulawan Sr.</t>
        </is>
      </c>
    </row>
    <row r="8365" spans="1:1">
      <c r="A8365" t="inlineStr">
        <is>
          <t>Cabutagan</t>
        </is>
      </c>
    </row>
    <row r="8366" spans="1:1">
      <c r="A8366" t="inlineStr">
        <is>
          <t>Casay</t>
        </is>
      </c>
    </row>
    <row r="8367" spans="1:1">
      <c r="A8367" t="inlineStr">
        <is>
          <t>Colacling</t>
        </is>
      </c>
    </row>
    <row r="8368" spans="1:1">
      <c r="A8368" t="inlineStr">
        <is>
          <t>Cristo Rey</t>
        </is>
      </c>
    </row>
    <row r="8369" spans="1:1">
      <c r="A8369" t="inlineStr">
        <is>
          <t>Del Carmen</t>
        </is>
      </c>
    </row>
    <row r="8370" spans="1:1">
      <c r="A8370" t="inlineStr">
        <is>
          <t>Haguimit</t>
        </is>
      </c>
    </row>
    <row r="8371" spans="1:1">
      <c r="A8371" t="inlineStr">
        <is>
          <t>Haluban</t>
        </is>
      </c>
    </row>
    <row r="8372" spans="1:1">
      <c r="A8372" t="inlineStr">
        <is>
          <t>Kaibigan</t>
        </is>
      </c>
    </row>
    <row r="8373" spans="1:1">
      <c r="A8373" t="inlineStr">
        <is>
          <t>La Purisima</t>
        </is>
      </c>
    </row>
    <row r="8374" spans="1:1">
      <c r="A8374" t="inlineStr">
        <is>
          <t>Lourdes</t>
        </is>
      </c>
    </row>
    <row r="8375" spans="1:1">
      <c r="A8375" t="inlineStr">
        <is>
          <t>Mangcawayan</t>
        </is>
      </c>
    </row>
    <row r="8376" spans="1:1">
      <c r="A8376" t="inlineStr">
        <is>
          <t>Napolidan</t>
        </is>
      </c>
    </row>
    <row r="8377" spans="1:1">
      <c r="A8377" t="inlineStr">
        <is>
          <t>Poblacion</t>
        </is>
      </c>
    </row>
    <row r="8378" spans="1:1">
      <c r="A8378" t="inlineStr">
        <is>
          <t>Polantuna</t>
        </is>
      </c>
    </row>
    <row r="8379" spans="1:1">
      <c r="A8379" t="inlineStr">
        <is>
          <t>Sagrada</t>
        </is>
      </c>
    </row>
    <row r="8380" spans="1:1">
      <c r="A8380" t="inlineStr">
        <is>
          <t>Salvacion</t>
        </is>
      </c>
    </row>
    <row r="8381" spans="1:1">
      <c r="A8381" t="inlineStr">
        <is>
          <t>San Isidro</t>
        </is>
      </c>
    </row>
    <row r="8382" spans="1:1">
      <c r="A8382" t="inlineStr">
        <is>
          <t>San Jose</t>
        </is>
      </c>
    </row>
    <row r="8383" spans="1:1">
      <c r="A8383" t="inlineStr">
        <is>
          <t>San Pedro</t>
        </is>
      </c>
    </row>
    <row r="8384" spans="1:1">
      <c r="A8384" t="inlineStr">
        <is>
          <t>San Rafael Norte</t>
        </is>
      </c>
    </row>
    <row r="8385" spans="1:1">
      <c r="A8385" t="inlineStr">
        <is>
          <t>San Rafael Sur</t>
        </is>
      </c>
    </row>
    <row r="8386" spans="1:1">
      <c r="A8386" t="inlineStr">
        <is>
          <t>San Ramon</t>
        </is>
      </c>
    </row>
    <row r="8387" spans="1:1">
      <c r="A8387" t="inlineStr">
        <is>
          <t>San Vicente</t>
        </is>
      </c>
    </row>
    <row r="8388" spans="1:1">
      <c r="A8388" t="inlineStr">
        <is>
          <t>Sooc</t>
        </is>
      </c>
    </row>
    <row r="8389" spans="1:1">
      <c r="A8389" t="inlineStr">
        <is>
          <t>Tanawan</t>
        </is>
      </c>
    </row>
    <row r="8390" spans="1:1">
      <c r="A8390" t="inlineStr">
        <is>
          <t>Tapi</t>
        </is>
      </c>
    </row>
    <row r="8391" spans="1:1">
      <c r="A8391" t="inlineStr">
        <is>
          <t>Tible</t>
        </is>
      </c>
    </row>
    <row r="8392" spans="1:1">
      <c r="A8392" t="inlineStr">
        <is>
          <t>Barobaybay</t>
        </is>
      </c>
    </row>
    <row r="8393" spans="1:1">
      <c r="A8393" t="inlineStr">
        <is>
          <t>Bell</t>
        </is>
      </c>
    </row>
    <row r="8394" spans="1:1">
      <c r="A8394" t="inlineStr">
        <is>
          <t>Carangcang</t>
        </is>
      </c>
    </row>
    <row r="8395" spans="1:1">
      <c r="A8395" t="inlineStr">
        <is>
          <t>Carigsa</t>
        </is>
      </c>
    </row>
    <row r="8396" spans="1:1">
      <c r="A8396" t="inlineStr">
        <is>
          <t>Casuray</t>
        </is>
      </c>
    </row>
    <row r="8397" spans="1:1">
      <c r="A8397" t="inlineStr">
        <is>
          <t>Monserrat</t>
        </is>
      </c>
    </row>
    <row r="8398" spans="1:1">
      <c r="A8398" t="inlineStr">
        <is>
          <t>Ponong</t>
        </is>
      </c>
    </row>
    <row r="8399" spans="1:1">
      <c r="A8399" t="inlineStr">
        <is>
          <t>San Francisco</t>
        </is>
      </c>
    </row>
    <row r="8400" spans="1:1">
      <c r="A8400" t="inlineStr">
        <is>
          <t>San Isidro</t>
        </is>
      </c>
    </row>
    <row r="8401" spans="1:1">
      <c r="A8401" t="inlineStr">
        <is>
          <t>San Juan</t>
        </is>
      </c>
    </row>
    <row r="8402" spans="1:1">
      <c r="A8402" t="inlineStr">
        <is>
          <t>San Miguel</t>
        </is>
      </c>
    </row>
    <row r="8403" spans="1:1">
      <c r="A8403" t="inlineStr">
        <is>
          <t>San Pantaleon</t>
        </is>
      </c>
    </row>
    <row r="8404" spans="1:1">
      <c r="A8404" t="inlineStr">
        <is>
          <t>Santa Lucia</t>
        </is>
      </c>
    </row>
    <row r="8405" spans="1:1">
      <c r="A8405" t="inlineStr">
        <is>
          <t>Santa Rosa</t>
        </is>
      </c>
    </row>
    <row r="8406" spans="1:1">
      <c r="A8406" t="inlineStr">
        <is>
          <t>Santo Tomas</t>
        </is>
      </c>
    </row>
    <row r="8407" spans="1:1">
      <c r="A8407" t="inlineStr">
        <is>
          <t>Alimbuyog</t>
        </is>
      </c>
    </row>
    <row r="8408" spans="1:1">
      <c r="A8408" t="inlineStr">
        <is>
          <t>Amparado</t>
        </is>
      </c>
    </row>
    <row r="8409" spans="1:1">
      <c r="A8409" t="inlineStr">
        <is>
          <t>Balagbag</t>
        </is>
      </c>
    </row>
    <row r="8410" spans="1:1">
      <c r="A8410" t="inlineStr">
        <is>
          <t>Borongborongan</t>
        </is>
      </c>
    </row>
    <row r="8411" spans="1:1">
      <c r="A8411" t="inlineStr">
        <is>
          <t>Cabugao</t>
        </is>
      </c>
    </row>
    <row r="8412" spans="1:1">
      <c r="A8412" t="inlineStr">
        <is>
          <t>Capucnasan</t>
        </is>
      </c>
    </row>
    <row r="8413" spans="1:1">
      <c r="A8413" t="inlineStr">
        <is>
          <t>Dalipay</t>
        </is>
      </c>
    </row>
    <row r="8414" spans="1:1">
      <c r="A8414" t="inlineStr">
        <is>
          <t>Del Rosario</t>
        </is>
      </c>
    </row>
    <row r="8415" spans="1:1">
      <c r="A8415" t="inlineStr">
        <is>
          <t>Flordeliz</t>
        </is>
      </c>
    </row>
    <row r="8416" spans="1:1">
      <c r="A8416" t="inlineStr">
        <is>
          <t>Lipot</t>
        </is>
      </c>
    </row>
    <row r="8417" spans="1:1">
      <c r="A8417" t="inlineStr">
        <is>
          <t>Mayaopayawan</t>
        </is>
      </c>
    </row>
    <row r="8418" spans="1:1">
      <c r="A8418" t="inlineStr">
        <is>
          <t>Maycatmon</t>
        </is>
      </c>
    </row>
    <row r="8419" spans="1:1">
      <c r="A8419" t="inlineStr">
        <is>
          <t>Maydaso</t>
        </is>
      </c>
    </row>
    <row r="8420" spans="1:1">
      <c r="A8420" t="inlineStr">
        <is>
          <t>San Antonio</t>
        </is>
      </c>
    </row>
    <row r="8421" spans="1:1">
      <c r="A8421" t="inlineStr">
        <is>
          <t>San Jose</t>
        </is>
      </c>
    </row>
    <row r="8422" spans="1:1">
      <c r="A8422" t="inlineStr">
        <is>
          <t>San Miguel</t>
        </is>
      </c>
    </row>
    <row r="8423" spans="1:1">
      <c r="A8423" t="inlineStr">
        <is>
          <t>San Roque</t>
        </is>
      </c>
    </row>
    <row r="8424" spans="1:1">
      <c r="A8424" t="inlineStr">
        <is>
          <t>San Vicente</t>
        </is>
      </c>
    </row>
    <row r="8425" spans="1:1">
      <c r="A8425" t="inlineStr">
        <is>
          <t>Santo Domingo</t>
        </is>
      </c>
    </row>
    <row r="8426" spans="1:1">
      <c r="A8426" t="inlineStr">
        <is>
          <t>Tarusanan</t>
        </is>
      </c>
    </row>
    <row r="8427" spans="1:1">
      <c r="A8427" t="inlineStr">
        <is>
          <t>Antipolo</t>
        </is>
      </c>
    </row>
    <row r="8428" spans="1:1">
      <c r="A8428" t="inlineStr">
        <is>
          <t>Bagolatao</t>
        </is>
      </c>
    </row>
    <row r="8429" spans="1:1">
      <c r="A8429" t="inlineStr">
        <is>
          <t>Bagongbong</t>
        </is>
      </c>
    </row>
    <row r="8430" spans="1:1">
      <c r="A8430" t="inlineStr">
        <is>
          <t>Baliuag Nuevo</t>
        </is>
      </c>
    </row>
    <row r="8431" spans="1:1">
      <c r="A8431" t="inlineStr">
        <is>
          <t>Baliuag Viejo</t>
        </is>
      </c>
    </row>
    <row r="8432" spans="1:1">
      <c r="A8432" t="inlineStr">
        <is>
          <t>Catanusan</t>
        </is>
      </c>
    </row>
    <row r="8433" spans="1:1">
      <c r="A8433" t="inlineStr">
        <is>
          <t>Del Carmen-Del Rosario</t>
        </is>
      </c>
    </row>
    <row r="8434" spans="1:1">
      <c r="A8434" t="inlineStr">
        <is>
          <t>Del Socorro</t>
        </is>
      </c>
    </row>
    <row r="8435" spans="1:1">
      <c r="A8435" t="inlineStr">
        <is>
          <t>Hamoraon</t>
        </is>
      </c>
    </row>
    <row r="8436" spans="1:1">
      <c r="A8436" t="inlineStr">
        <is>
          <t>Hobo</t>
        </is>
      </c>
    </row>
    <row r="8437" spans="1:1">
      <c r="A8437" t="inlineStr">
        <is>
          <t>Irayang Solong</t>
        </is>
      </c>
    </row>
    <row r="8438" spans="1:1">
      <c r="A8438" t="inlineStr">
        <is>
          <t>Magadap</t>
        </is>
      </c>
    </row>
    <row r="8439" spans="1:1">
      <c r="A8439" t="inlineStr">
        <is>
          <t>Malitbog</t>
        </is>
      </c>
    </row>
    <row r="8440" spans="1:1">
      <c r="A8440" t="inlineStr">
        <is>
          <t>Manapao</t>
        </is>
      </c>
    </row>
    <row r="8441" spans="1:1">
      <c r="A8441" t="inlineStr">
        <is>
          <t>Mataoroc</t>
        </is>
      </c>
    </row>
    <row r="8442" spans="1:1">
      <c r="A8442" t="inlineStr">
        <is>
          <t>Sagrada</t>
        </is>
      </c>
    </row>
    <row r="8443" spans="1:1">
      <c r="A8443" t="inlineStr">
        <is>
          <t>Salingogon</t>
        </is>
      </c>
    </row>
    <row r="8444" spans="1:1">
      <c r="A8444" t="inlineStr">
        <is>
          <t>San Antonio</t>
        </is>
      </c>
    </row>
    <row r="8445" spans="1:1">
      <c r="A8445" t="inlineStr">
        <is>
          <t>San Felipe-Santiago</t>
        </is>
      </c>
    </row>
    <row r="8446" spans="1:1">
      <c r="A8446" t="inlineStr">
        <is>
          <t>San Francisco</t>
        </is>
      </c>
    </row>
    <row r="8447" spans="1:1">
      <c r="A8447" t="inlineStr">
        <is>
          <t>San Jose</t>
        </is>
      </c>
    </row>
    <row r="8448" spans="1:1">
      <c r="A8448" t="inlineStr">
        <is>
          <t>San Juan-San Lorenzo</t>
        </is>
      </c>
    </row>
    <row r="8449" spans="1:1">
      <c r="A8449" t="inlineStr">
        <is>
          <t>Taban</t>
        </is>
      </c>
    </row>
    <row r="8450" spans="1:1">
      <c r="A8450" t="inlineStr">
        <is>
          <t>Tariric</t>
        </is>
      </c>
    </row>
    <row r="8451" spans="1:1">
      <c r="A8451" t="inlineStr">
        <is>
          <t>Timbang</t>
        </is>
      </c>
    </row>
    <row r="8452" spans="1:1">
      <c r="A8452" t="inlineStr">
        <is>
          <t>Angustia</t>
        </is>
      </c>
    </row>
    <row r="8453" spans="1:1">
      <c r="A8453" t="inlineStr">
        <is>
          <t>Antipolo Old</t>
        </is>
      </c>
    </row>
    <row r="8454" spans="1:1">
      <c r="A8454" t="inlineStr">
        <is>
          <t>Antipolo Young</t>
        </is>
      </c>
    </row>
    <row r="8455" spans="1:1">
      <c r="A8455" t="inlineStr">
        <is>
          <t>Aro-aldao</t>
        </is>
      </c>
    </row>
    <row r="8456" spans="1:1">
      <c r="A8456" t="inlineStr">
        <is>
          <t>Bustrac</t>
        </is>
      </c>
    </row>
    <row r="8457" spans="1:1">
      <c r="A8457" t="inlineStr">
        <is>
          <t>Dolorosa</t>
        </is>
      </c>
    </row>
    <row r="8458" spans="1:1">
      <c r="A8458" t="inlineStr">
        <is>
          <t>Duran</t>
        </is>
      </c>
    </row>
    <row r="8459" spans="1:1">
      <c r="A8459" t="inlineStr">
        <is>
          <t>Inapatan</t>
        </is>
      </c>
    </row>
    <row r="8460" spans="1:1">
      <c r="A8460" t="inlineStr">
        <is>
          <t>La Opinion</t>
        </is>
      </c>
    </row>
    <row r="8461" spans="1:1">
      <c r="A8461" t="inlineStr">
        <is>
          <t>La Purisima</t>
        </is>
      </c>
    </row>
    <row r="8462" spans="1:1">
      <c r="A8462" t="inlineStr">
        <is>
          <t>Lourdes Old</t>
        </is>
      </c>
    </row>
    <row r="8463" spans="1:1">
      <c r="A8463" t="inlineStr">
        <is>
          <t>Lourdes Young</t>
        </is>
      </c>
    </row>
    <row r="8464" spans="1:1">
      <c r="A8464" t="inlineStr">
        <is>
          <t>Malawag</t>
        </is>
      </c>
    </row>
    <row r="8465" spans="1:1">
      <c r="A8465" t="inlineStr">
        <is>
          <t>Paloyon Oriental</t>
        </is>
      </c>
    </row>
    <row r="8466" spans="1:1">
      <c r="A8466" t="inlineStr">
        <is>
          <t>Paloyon Proper</t>
        </is>
      </c>
    </row>
    <row r="8467" spans="1:1">
      <c r="A8467" t="inlineStr">
        <is>
          <t>Salvacion Que Gatos</t>
        </is>
      </c>
    </row>
    <row r="8468" spans="1:1">
      <c r="A8468" t="inlineStr">
        <is>
          <t>San Antonio</t>
        </is>
      </c>
    </row>
    <row r="8469" spans="1:1">
      <c r="A8469" t="inlineStr">
        <is>
          <t>San Antonio Ogbon</t>
        </is>
      </c>
    </row>
    <row r="8470" spans="1:1">
      <c r="A8470" t="inlineStr">
        <is>
          <t>San Esteban</t>
        </is>
      </c>
    </row>
    <row r="8471" spans="1:1">
      <c r="A8471" t="inlineStr">
        <is>
          <t>San Francisco</t>
        </is>
      </c>
    </row>
    <row r="8472" spans="1:1">
      <c r="A8472" t="inlineStr">
        <is>
          <t>San Isidro</t>
        </is>
      </c>
    </row>
    <row r="8473" spans="1:1">
      <c r="A8473" t="inlineStr">
        <is>
          <t>San Isidro Inapatan</t>
        </is>
      </c>
    </row>
    <row r="8474" spans="1:1">
      <c r="A8474" t="inlineStr">
        <is>
          <t>San Jose</t>
        </is>
      </c>
    </row>
    <row r="8475" spans="1:1">
      <c r="A8475" t="inlineStr">
        <is>
          <t>San Juan</t>
        </is>
      </c>
    </row>
    <row r="8476" spans="1:1">
      <c r="A8476" t="inlineStr">
        <is>
          <t>San Luis</t>
        </is>
      </c>
    </row>
    <row r="8477" spans="1:1">
      <c r="A8477" t="inlineStr">
        <is>
          <t>San Miguel</t>
        </is>
      </c>
    </row>
    <row r="8478" spans="1:1">
      <c r="A8478" t="inlineStr">
        <is>
          <t>San Nicolas</t>
        </is>
      </c>
    </row>
    <row r="8479" spans="1:1">
      <c r="A8479" t="inlineStr">
        <is>
          <t>San Roque</t>
        </is>
      </c>
    </row>
    <row r="8480" spans="1:1">
      <c r="A8480" t="inlineStr">
        <is>
          <t>San Roque Madawon</t>
        </is>
      </c>
    </row>
    <row r="8481" spans="1:1">
      <c r="A8481" t="inlineStr">
        <is>
          <t>San Roque Sagumay</t>
        </is>
      </c>
    </row>
    <row r="8482" spans="1:1">
      <c r="A8482" t="inlineStr">
        <is>
          <t>San Vicente Gorong-Gorong</t>
        </is>
      </c>
    </row>
    <row r="8483" spans="1:1">
      <c r="A8483" t="inlineStr">
        <is>
          <t>San Vicente Ogbon</t>
        </is>
      </c>
    </row>
    <row r="8484" spans="1:1">
      <c r="A8484" t="inlineStr">
        <is>
          <t>Santa Barbara</t>
        </is>
      </c>
    </row>
    <row r="8485" spans="1:1">
      <c r="A8485" t="inlineStr">
        <is>
          <t>Santa Cruz</t>
        </is>
      </c>
    </row>
    <row r="8486" spans="1:1">
      <c r="A8486" t="inlineStr">
        <is>
          <t>Santa Elena Baras</t>
        </is>
      </c>
    </row>
    <row r="8487" spans="1:1">
      <c r="A8487" t="inlineStr">
        <is>
          <t>Santa Lucia Baras</t>
        </is>
      </c>
    </row>
    <row r="8488" spans="1:1">
      <c r="A8488" t="inlineStr">
        <is>
          <t>Santiago Old</t>
        </is>
      </c>
    </row>
    <row r="8489" spans="1:1">
      <c r="A8489" t="inlineStr">
        <is>
          <t>Santiago Young</t>
        </is>
      </c>
    </row>
    <row r="8490" spans="1:1">
      <c r="A8490" t="inlineStr">
        <is>
          <t>Santo Domingo</t>
        </is>
      </c>
    </row>
    <row r="8491" spans="1:1">
      <c r="A8491" t="inlineStr">
        <is>
          <t>Tandaay</t>
        </is>
      </c>
    </row>
    <row r="8492" spans="1:1">
      <c r="A8492" t="inlineStr">
        <is>
          <t>Topas Proper</t>
        </is>
      </c>
    </row>
    <row r="8493" spans="1:1">
      <c r="A8493" t="inlineStr">
        <is>
          <t>Topas Sogod</t>
        </is>
      </c>
    </row>
    <row r="8494" spans="1:1">
      <c r="A8494" t="inlineStr">
        <is>
          <t>Ayugan</t>
        </is>
      </c>
    </row>
    <row r="8495" spans="1:1">
      <c r="A8495" t="inlineStr">
        <is>
          <t>Cabariwan</t>
        </is>
      </c>
    </row>
    <row r="8496" spans="1:1">
      <c r="A8496" t="inlineStr">
        <is>
          <t>Cagmanaba</t>
        </is>
      </c>
    </row>
    <row r="8497" spans="1:1">
      <c r="A8497" t="inlineStr">
        <is>
          <t>Del Rosario</t>
        </is>
      </c>
    </row>
    <row r="8498" spans="1:1">
      <c r="A8498" t="inlineStr">
        <is>
          <t>Gatbo</t>
        </is>
      </c>
    </row>
    <row r="8499" spans="1:1">
      <c r="A8499" t="inlineStr">
        <is>
          <t>Guinaban</t>
        </is>
      </c>
    </row>
    <row r="8500" spans="1:1">
      <c r="A8500" t="inlineStr">
        <is>
          <t>Hanawan</t>
        </is>
      </c>
    </row>
    <row r="8501" spans="1:1">
      <c r="A8501" t="inlineStr">
        <is>
          <t>Hibago</t>
        </is>
      </c>
    </row>
    <row r="8502" spans="1:1">
      <c r="A8502" t="inlineStr">
        <is>
          <t>La Purisima Nuevo</t>
        </is>
      </c>
    </row>
    <row r="8503" spans="1:1">
      <c r="A8503" t="inlineStr">
        <is>
          <t>May-Ogob</t>
        </is>
      </c>
    </row>
    <row r="8504" spans="1:1">
      <c r="A8504" t="inlineStr">
        <is>
          <t>New Moriones</t>
        </is>
      </c>
    </row>
    <row r="8505" spans="1:1">
      <c r="A8505" t="inlineStr">
        <is>
          <t>Old Moriones</t>
        </is>
      </c>
    </row>
    <row r="8506" spans="1:1">
      <c r="A8506" t="inlineStr">
        <is>
          <t>Pinit</t>
        </is>
      </c>
    </row>
    <row r="8507" spans="1:1">
      <c r="A8507" t="inlineStr">
        <is>
          <t>Poblacion Central</t>
        </is>
      </c>
    </row>
    <row r="8508" spans="1:1">
      <c r="A8508" t="inlineStr">
        <is>
          <t>Poblacion East</t>
        </is>
      </c>
    </row>
    <row r="8509" spans="1:1">
      <c r="A8509" t="inlineStr">
        <is>
          <t>Poblacion West</t>
        </is>
      </c>
    </row>
    <row r="8510" spans="1:1">
      <c r="A8510" t="inlineStr">
        <is>
          <t>Salvacion</t>
        </is>
      </c>
    </row>
    <row r="8511" spans="1:1">
      <c r="A8511" t="inlineStr">
        <is>
          <t>San Antonio</t>
        </is>
      </c>
    </row>
    <row r="8512" spans="1:1">
      <c r="A8512" t="inlineStr">
        <is>
          <t>San Francisco</t>
        </is>
      </c>
    </row>
    <row r="8513" spans="1:1">
      <c r="A8513" t="inlineStr">
        <is>
          <t>San Jose Oras</t>
        </is>
      </c>
    </row>
    <row r="8514" spans="1:1">
      <c r="A8514" t="inlineStr">
        <is>
          <t>San Roque Commonal</t>
        </is>
      </c>
    </row>
    <row r="8515" spans="1:1">
      <c r="A8515" t="inlineStr">
        <is>
          <t>San Vicente</t>
        </is>
      </c>
    </row>
    <row r="8516" spans="1:1">
      <c r="A8516" t="inlineStr">
        <is>
          <t>Santa Cruz</t>
        </is>
      </c>
    </row>
    <row r="8517" spans="1:1">
      <c r="A8517" t="inlineStr">
        <is>
          <t>Santo Niño</t>
        </is>
      </c>
    </row>
    <row r="8518" spans="1:1">
      <c r="A8518" t="inlineStr">
        <is>
          <t>Villaflorida</t>
        </is>
      </c>
    </row>
    <row r="8519" spans="1:1">
      <c r="A8519" t="inlineStr">
        <is>
          <t>Batang</t>
        </is>
      </c>
    </row>
    <row r="8520" spans="1:1">
      <c r="A8520" t="inlineStr">
        <is>
          <t>Burabod</t>
        </is>
      </c>
    </row>
    <row r="8521" spans="1:1">
      <c r="A8521" t="inlineStr">
        <is>
          <t>Cagbibi</t>
        </is>
      </c>
    </row>
    <row r="8522" spans="1:1">
      <c r="A8522" t="inlineStr">
        <is>
          <t>Cagbunga</t>
        </is>
      </c>
    </row>
    <row r="8523" spans="1:1">
      <c r="A8523" t="inlineStr">
        <is>
          <t>Calawat</t>
        </is>
      </c>
    </row>
    <row r="8524" spans="1:1">
      <c r="A8524" t="inlineStr">
        <is>
          <t>Del Rosario</t>
        </is>
      </c>
    </row>
    <row r="8525" spans="1:1">
      <c r="A8525" t="inlineStr">
        <is>
          <t>Patong</t>
        </is>
      </c>
    </row>
    <row r="8526" spans="1:1">
      <c r="A8526" t="inlineStr">
        <is>
          <t>Poblacion</t>
        </is>
      </c>
    </row>
    <row r="8527" spans="1:1">
      <c r="A8527" t="inlineStr">
        <is>
          <t>Salvacion</t>
        </is>
      </c>
    </row>
    <row r="8528" spans="1:1">
      <c r="A8528" t="inlineStr">
        <is>
          <t>San Gabriel</t>
        </is>
      </c>
    </row>
    <row r="8529" spans="1:1">
      <c r="A8529" t="inlineStr">
        <is>
          <t>San Isidro</t>
        </is>
      </c>
    </row>
    <row r="8530" spans="1:1">
      <c r="A8530" t="inlineStr">
        <is>
          <t>San Rafael</t>
        </is>
      </c>
    </row>
    <row r="8531" spans="1:1">
      <c r="A8531" t="inlineStr">
        <is>
          <t>San Ramon</t>
        </is>
      </c>
    </row>
    <row r="8532" spans="1:1">
      <c r="A8532" t="inlineStr">
        <is>
          <t>San Vicente</t>
        </is>
      </c>
    </row>
    <row r="8533" spans="1:1">
      <c r="A8533" t="inlineStr">
        <is>
          <t>Tambo</t>
        </is>
      </c>
    </row>
    <row r="8534" spans="1:1">
      <c r="A8534" t="inlineStr">
        <is>
          <t>Tampadong</t>
        </is>
      </c>
    </row>
    <row r="8535" spans="1:1">
      <c r="A8535" t="inlineStr">
        <is>
          <t>Veneracion</t>
        </is>
      </c>
    </row>
    <row r="8536" spans="1:1">
      <c r="A8536" t="inlineStr">
        <is>
          <t>Antipolo</t>
        </is>
      </c>
    </row>
    <row r="8537" spans="1:1">
      <c r="A8537" t="inlineStr">
        <is>
          <t>Bagong Silang</t>
        </is>
      </c>
    </row>
    <row r="8538" spans="1:1">
      <c r="A8538" t="inlineStr">
        <is>
          <t>Bahay</t>
        </is>
      </c>
    </row>
    <row r="8539" spans="1:1">
      <c r="A8539" t="inlineStr">
        <is>
          <t>Balogo</t>
        </is>
      </c>
    </row>
    <row r="8540" spans="1:1">
      <c r="A8540" t="inlineStr">
        <is>
          <t>Caranan</t>
        </is>
      </c>
    </row>
    <row r="8541" spans="1:1">
      <c r="A8541" t="inlineStr">
        <is>
          <t>Cuco</t>
        </is>
      </c>
    </row>
    <row r="8542" spans="1:1">
      <c r="A8542" t="inlineStr">
        <is>
          <t>Dalupaon</t>
        </is>
      </c>
    </row>
    <row r="8543" spans="1:1">
      <c r="A8543" t="inlineStr">
        <is>
          <t>Hubo</t>
        </is>
      </c>
    </row>
    <row r="8544" spans="1:1">
      <c r="A8544" t="inlineStr">
        <is>
          <t>Itulan</t>
        </is>
      </c>
    </row>
    <row r="8545" spans="1:1">
      <c r="A8545" t="inlineStr">
        <is>
          <t>Macad</t>
        </is>
      </c>
    </row>
    <row r="8546" spans="1:1">
      <c r="A8546" t="inlineStr">
        <is>
          <t>Odicon</t>
        </is>
      </c>
    </row>
    <row r="8547" spans="1:1">
      <c r="A8547" t="inlineStr">
        <is>
          <t>Quitang</t>
        </is>
      </c>
    </row>
    <row r="8548" spans="1:1">
      <c r="A8548" t="inlineStr">
        <is>
          <t>Salvacion</t>
        </is>
      </c>
    </row>
    <row r="8549" spans="1:1">
      <c r="A8549" t="inlineStr">
        <is>
          <t>San Antonio</t>
        </is>
      </c>
    </row>
    <row r="8550" spans="1:1">
      <c r="A8550" t="inlineStr">
        <is>
          <t>San Cirilo</t>
        </is>
      </c>
    </row>
    <row r="8551" spans="1:1">
      <c r="A8551" t="inlineStr">
        <is>
          <t>Santa Rosa Del Norte</t>
        </is>
      </c>
    </row>
    <row r="8552" spans="1:1">
      <c r="A8552" t="inlineStr">
        <is>
          <t>Santa Rosa Del Sur</t>
        </is>
      </c>
    </row>
    <row r="8553" spans="1:1">
      <c r="A8553" t="inlineStr">
        <is>
          <t>Tilnac</t>
        </is>
      </c>
    </row>
    <row r="8554" spans="1:1">
      <c r="A8554" t="inlineStr">
        <is>
          <t>Tinalmud</t>
        </is>
      </c>
    </row>
    <row r="8555" spans="1:1">
      <c r="A8555" t="inlineStr">
        <is>
          <t>Anayan</t>
        </is>
      </c>
    </row>
    <row r="8556" spans="1:1">
      <c r="A8556" t="inlineStr">
        <is>
          <t>Bagong Sirang</t>
        </is>
      </c>
    </row>
    <row r="8557" spans="1:1">
      <c r="A8557" t="inlineStr">
        <is>
          <t>Binanwaanan</t>
        </is>
      </c>
    </row>
    <row r="8558" spans="1:1">
      <c r="A8558" t="inlineStr">
        <is>
          <t>Binobong</t>
        </is>
      </c>
    </row>
    <row r="8559" spans="1:1">
      <c r="A8559" t="inlineStr">
        <is>
          <t>Cadlan</t>
        </is>
      </c>
    </row>
    <row r="8560" spans="1:1">
      <c r="A8560" t="inlineStr">
        <is>
          <t>Caroyroyan</t>
        </is>
      </c>
    </row>
    <row r="8561" spans="1:1">
      <c r="A8561" t="inlineStr">
        <is>
          <t>Curry</t>
        </is>
      </c>
    </row>
    <row r="8562" spans="1:1">
      <c r="A8562" t="inlineStr">
        <is>
          <t>Del Rosario</t>
        </is>
      </c>
    </row>
    <row r="8563" spans="1:1">
      <c r="A8563" t="inlineStr">
        <is>
          <t>Himaao</t>
        </is>
      </c>
    </row>
    <row r="8564" spans="1:1">
      <c r="A8564" t="inlineStr">
        <is>
          <t>La Purisima</t>
        </is>
      </c>
    </row>
    <row r="8565" spans="1:1">
      <c r="A8565" t="inlineStr">
        <is>
          <t>New San Roque</t>
        </is>
      </c>
    </row>
    <row r="8566" spans="1:1">
      <c r="A8566" t="inlineStr">
        <is>
          <t>Old San Roque</t>
        </is>
      </c>
    </row>
    <row r="8567" spans="1:1">
      <c r="A8567" t="inlineStr">
        <is>
          <t>Palestina</t>
        </is>
      </c>
    </row>
    <row r="8568" spans="1:1">
      <c r="A8568" t="inlineStr">
        <is>
          <t>Pawili</t>
        </is>
      </c>
    </row>
    <row r="8569" spans="1:1">
      <c r="A8569" t="inlineStr">
        <is>
          <t>Sagrada</t>
        </is>
      </c>
    </row>
    <row r="8570" spans="1:1">
      <c r="A8570" t="inlineStr">
        <is>
          <t>Sagurong</t>
        </is>
      </c>
    </row>
    <row r="8571" spans="1:1">
      <c r="A8571" t="inlineStr">
        <is>
          <t>San Agustin</t>
        </is>
      </c>
    </row>
    <row r="8572" spans="1:1">
      <c r="A8572" t="inlineStr">
        <is>
          <t>San Antonio</t>
        </is>
      </c>
    </row>
    <row r="8573" spans="1:1">
      <c r="A8573" t="inlineStr">
        <is>
          <t>San Isidro</t>
        </is>
      </c>
    </row>
    <row r="8574" spans="1:1">
      <c r="A8574" t="inlineStr">
        <is>
          <t>San Jose</t>
        </is>
      </c>
    </row>
    <row r="8575" spans="1:1">
      <c r="A8575" t="inlineStr">
        <is>
          <t>San Juan</t>
        </is>
      </c>
    </row>
    <row r="8576" spans="1:1">
      <c r="A8576" t="inlineStr">
        <is>
          <t>San Vicente</t>
        </is>
      </c>
    </row>
    <row r="8577" spans="1:1">
      <c r="A8577" t="inlineStr">
        <is>
          <t>Santiago</t>
        </is>
      </c>
    </row>
    <row r="8578" spans="1:1">
      <c r="A8578" t="inlineStr">
        <is>
          <t>Santo Niño</t>
        </is>
      </c>
    </row>
    <row r="8579" spans="1:1">
      <c r="A8579" t="inlineStr">
        <is>
          <t>Tagbong</t>
        </is>
      </c>
    </row>
    <row r="8580" spans="1:1">
      <c r="A8580" t="inlineStr">
        <is>
          <t>Tinangis</t>
        </is>
      </c>
    </row>
    <row r="8581" spans="1:1">
      <c r="A8581" t="inlineStr">
        <is>
          <t>Ayugao</t>
        </is>
      </c>
    </row>
    <row r="8582" spans="1:1">
      <c r="A8582" t="inlineStr">
        <is>
          <t>Bagong Sirang</t>
        </is>
      </c>
    </row>
    <row r="8583" spans="1:1">
      <c r="A8583" t="inlineStr">
        <is>
          <t>Baliguian</t>
        </is>
      </c>
    </row>
    <row r="8584" spans="1:1">
      <c r="A8584" t="inlineStr">
        <is>
          <t>Bantugan</t>
        </is>
      </c>
    </row>
    <row r="8585" spans="1:1">
      <c r="A8585" t="inlineStr">
        <is>
          <t>Bicalen</t>
        </is>
      </c>
    </row>
    <row r="8586" spans="1:1">
      <c r="A8586" t="inlineStr">
        <is>
          <t>Bitaogan</t>
        </is>
      </c>
    </row>
    <row r="8587" spans="1:1">
      <c r="A8587" t="inlineStr">
        <is>
          <t>Buenavista</t>
        </is>
      </c>
    </row>
    <row r="8588" spans="1:1">
      <c r="A8588" t="inlineStr">
        <is>
          <t>Bulalacao</t>
        </is>
      </c>
    </row>
    <row r="8589" spans="1:1">
      <c r="A8589" t="inlineStr">
        <is>
          <t>Cagnipa</t>
        </is>
      </c>
    </row>
    <row r="8590" spans="1:1">
      <c r="A8590" t="inlineStr">
        <is>
          <t>Lagha</t>
        </is>
      </c>
    </row>
    <row r="8591" spans="1:1">
      <c r="A8591" t="inlineStr">
        <is>
          <t>Lidong</t>
        </is>
      </c>
    </row>
    <row r="8592" spans="1:1">
      <c r="A8592" t="inlineStr">
        <is>
          <t>Liwacsa</t>
        </is>
      </c>
    </row>
    <row r="8593" spans="1:1">
      <c r="A8593" t="inlineStr">
        <is>
          <t>Maangas</t>
        </is>
      </c>
    </row>
    <row r="8594" spans="1:1">
      <c r="A8594" t="inlineStr">
        <is>
          <t>Pagsangaan</t>
        </is>
      </c>
    </row>
    <row r="8595" spans="1:1">
      <c r="A8595" t="inlineStr">
        <is>
          <t>Patrocinio</t>
        </is>
      </c>
    </row>
    <row r="8596" spans="1:1">
      <c r="A8596" t="inlineStr">
        <is>
          <t>Pili</t>
        </is>
      </c>
    </row>
    <row r="8597" spans="1:1">
      <c r="A8597" t="inlineStr">
        <is>
          <t>Sta. Maria</t>
        </is>
      </c>
    </row>
    <row r="8598" spans="1:1">
      <c r="A8598" t="inlineStr">
        <is>
          <t>Tanawan</t>
        </is>
      </c>
    </row>
    <row r="8599" spans="1:1">
      <c r="A8599" t="inlineStr">
        <is>
          <t>Agao-ao</t>
        </is>
      </c>
    </row>
    <row r="8600" spans="1:1">
      <c r="A8600" t="inlineStr">
        <is>
          <t>Agrupacion</t>
        </is>
      </c>
    </row>
    <row r="8601" spans="1:1">
      <c r="A8601" t="inlineStr">
        <is>
          <t>Amomokpok</t>
        </is>
      </c>
    </row>
    <row r="8602" spans="1:1">
      <c r="A8602" t="inlineStr">
        <is>
          <t>Apad</t>
        </is>
      </c>
    </row>
    <row r="8603" spans="1:1">
      <c r="A8603" t="inlineStr">
        <is>
          <t>Apale</t>
        </is>
      </c>
    </row>
    <row r="8604" spans="1:1">
      <c r="A8604" t="inlineStr">
        <is>
          <t>Banga Caves</t>
        </is>
      </c>
    </row>
    <row r="8605" spans="1:1">
      <c r="A8605" t="inlineStr">
        <is>
          <t>Baya</t>
        </is>
      </c>
    </row>
    <row r="8606" spans="1:1">
      <c r="A8606" t="inlineStr">
        <is>
          <t>Binahan Proper</t>
        </is>
      </c>
    </row>
    <row r="8607" spans="1:1">
      <c r="A8607" t="inlineStr">
        <is>
          <t>Binahan Upper</t>
        </is>
      </c>
    </row>
    <row r="8608" spans="1:1">
      <c r="A8608" t="inlineStr">
        <is>
          <t>Buenasuerte</t>
        </is>
      </c>
    </row>
    <row r="8609" spans="1:1">
      <c r="A8609" t="inlineStr">
        <is>
          <t>Cabadisan</t>
        </is>
      </c>
    </row>
    <row r="8610" spans="1:1">
      <c r="A8610" t="inlineStr">
        <is>
          <t>Cabinitan</t>
        </is>
      </c>
    </row>
    <row r="8611" spans="1:1">
      <c r="A8611" t="inlineStr">
        <is>
          <t>Cabugao</t>
        </is>
      </c>
    </row>
    <row r="8612" spans="1:1">
      <c r="A8612" t="inlineStr">
        <is>
          <t>Caditaan</t>
        </is>
      </c>
    </row>
    <row r="8613" spans="1:1">
      <c r="A8613" t="inlineStr">
        <is>
          <t>Cale</t>
        </is>
      </c>
    </row>
    <row r="8614" spans="1:1">
      <c r="A8614" t="inlineStr">
        <is>
          <t>Catabangan Proper</t>
        </is>
      </c>
    </row>
    <row r="8615" spans="1:1">
      <c r="A8615" t="inlineStr">
        <is>
          <t>F. Simeon</t>
        </is>
      </c>
    </row>
    <row r="8616" spans="1:1">
      <c r="A8616" t="inlineStr">
        <is>
          <t>Godofredo Reyes Sr.</t>
        </is>
      </c>
    </row>
    <row r="8617" spans="1:1">
      <c r="A8617" t="inlineStr">
        <is>
          <t>Inandawa</t>
        </is>
      </c>
    </row>
    <row r="8618" spans="1:1">
      <c r="A8618" t="inlineStr">
        <is>
          <t>Laguio</t>
        </is>
      </c>
    </row>
    <row r="8619" spans="1:1">
      <c r="A8619" t="inlineStr">
        <is>
          <t>Lanipga-Cawayan</t>
        </is>
      </c>
    </row>
    <row r="8620" spans="1:1">
      <c r="A8620" t="inlineStr">
        <is>
          <t>Liboro</t>
        </is>
      </c>
    </row>
    <row r="8621" spans="1:1">
      <c r="A8621" t="inlineStr">
        <is>
          <t>Lohong</t>
        </is>
      </c>
    </row>
    <row r="8622" spans="1:1">
      <c r="A8622" t="inlineStr">
        <is>
          <t>Lower Omon</t>
        </is>
      </c>
    </row>
    <row r="8623" spans="1:1">
      <c r="A8623" t="inlineStr">
        <is>
          <t>Lower Santa Cruz</t>
        </is>
      </c>
    </row>
    <row r="8624" spans="1:1">
      <c r="A8624" t="inlineStr">
        <is>
          <t>Panaytayan</t>
        </is>
      </c>
    </row>
    <row r="8625" spans="1:1">
      <c r="A8625" t="inlineStr">
        <is>
          <t>Panaytayan Nuevo</t>
        </is>
      </c>
    </row>
    <row r="8626" spans="1:1">
      <c r="A8626" t="inlineStr">
        <is>
          <t>Patalunan</t>
        </is>
      </c>
    </row>
    <row r="8627" spans="1:1">
      <c r="A8627" t="inlineStr">
        <is>
          <t>Poblacion Ilaod</t>
        </is>
      </c>
    </row>
    <row r="8628" spans="1:1">
      <c r="A8628" t="inlineStr">
        <is>
          <t>Poblacion Iraya</t>
        </is>
      </c>
    </row>
    <row r="8629" spans="1:1">
      <c r="A8629" t="inlineStr">
        <is>
          <t>Port Junction Norte</t>
        </is>
      </c>
    </row>
    <row r="8630" spans="1:1">
      <c r="A8630" t="inlineStr">
        <is>
          <t>Port Junction Sur</t>
        </is>
      </c>
    </row>
    <row r="8631" spans="1:1">
      <c r="A8631" t="inlineStr">
        <is>
          <t>Salvacion</t>
        </is>
      </c>
    </row>
    <row r="8632" spans="1:1">
      <c r="A8632" t="inlineStr">
        <is>
          <t>Samay</t>
        </is>
      </c>
    </row>
    <row r="8633" spans="1:1">
      <c r="A8633" t="inlineStr">
        <is>
          <t>San Rafael</t>
        </is>
      </c>
    </row>
    <row r="8634" spans="1:1">
      <c r="A8634" t="inlineStr">
        <is>
          <t>Tagbac</t>
        </is>
      </c>
    </row>
    <row r="8635" spans="1:1">
      <c r="A8635" t="inlineStr">
        <is>
          <t>Upper Omon</t>
        </is>
      </c>
    </row>
    <row r="8636" spans="1:1">
      <c r="A8636" t="inlineStr">
        <is>
          <t>Upper Santa Cruz</t>
        </is>
      </c>
    </row>
    <row r="8637" spans="1:1">
      <c r="A8637" t="inlineStr">
        <is>
          <t>Aniog</t>
        </is>
      </c>
    </row>
    <row r="8638" spans="1:1">
      <c r="A8638" t="inlineStr">
        <is>
          <t>Atulayan</t>
        </is>
      </c>
    </row>
    <row r="8639" spans="1:1">
      <c r="A8639" t="inlineStr">
        <is>
          <t>Bongalon</t>
        </is>
      </c>
    </row>
    <row r="8640" spans="1:1">
      <c r="A8640" t="inlineStr">
        <is>
          <t>Buracan</t>
        </is>
      </c>
    </row>
    <row r="8641" spans="1:1">
      <c r="A8641" t="inlineStr">
        <is>
          <t>Catalotoan</t>
        </is>
      </c>
    </row>
    <row r="8642" spans="1:1">
      <c r="A8642" t="inlineStr">
        <is>
          <t>Del Carmen</t>
        </is>
      </c>
    </row>
    <row r="8643" spans="1:1">
      <c r="A8643" t="inlineStr">
        <is>
          <t>Kilantaao</t>
        </is>
      </c>
    </row>
    <row r="8644" spans="1:1">
      <c r="A8644" t="inlineStr">
        <is>
          <t>Kilomaon</t>
        </is>
      </c>
    </row>
    <row r="8645" spans="1:1">
      <c r="A8645" t="inlineStr">
        <is>
          <t>Mabca</t>
        </is>
      </c>
    </row>
    <row r="8646" spans="1:1">
      <c r="A8646" t="inlineStr">
        <is>
          <t>Minadongjol</t>
        </is>
      </c>
    </row>
    <row r="8647" spans="1:1">
      <c r="A8647" t="inlineStr">
        <is>
          <t>Nato</t>
        </is>
      </c>
    </row>
    <row r="8648" spans="1:1">
      <c r="A8648" t="inlineStr">
        <is>
          <t>Patitinan</t>
        </is>
      </c>
    </row>
    <row r="8649" spans="1:1">
      <c r="A8649" t="inlineStr">
        <is>
          <t>San Antonio</t>
        </is>
      </c>
    </row>
    <row r="8650" spans="1:1">
      <c r="A8650" t="inlineStr">
        <is>
          <t>San Isidro</t>
        </is>
      </c>
    </row>
    <row r="8651" spans="1:1">
      <c r="A8651" t="inlineStr">
        <is>
          <t>San Roque</t>
        </is>
      </c>
    </row>
    <row r="8652" spans="1:1">
      <c r="A8652" t="inlineStr">
        <is>
          <t>Santo Niño</t>
        </is>
      </c>
    </row>
    <row r="8653" spans="1:1">
      <c r="A8653" t="inlineStr">
        <is>
          <t>Sibaguan</t>
        </is>
      </c>
    </row>
    <row r="8654" spans="1:1">
      <c r="A8654" t="inlineStr">
        <is>
          <t>Tinorongan</t>
        </is>
      </c>
    </row>
    <row r="8655" spans="1:1">
      <c r="A8655" t="inlineStr">
        <is>
          <t>Turague</t>
        </is>
      </c>
    </row>
    <row r="8656" spans="1:1">
      <c r="A8656" t="inlineStr">
        <is>
          <t>Alianza</t>
        </is>
      </c>
    </row>
    <row r="8657" spans="1:1">
      <c r="A8657" t="inlineStr">
        <is>
          <t>Beberon</t>
        </is>
      </c>
    </row>
    <row r="8658" spans="1:1">
      <c r="A8658" t="inlineStr">
        <is>
          <t>Bical</t>
        </is>
      </c>
    </row>
    <row r="8659" spans="1:1">
      <c r="A8659" t="inlineStr">
        <is>
          <t>Bocal</t>
        </is>
      </c>
    </row>
    <row r="8660" spans="1:1">
      <c r="A8660" t="inlineStr">
        <is>
          <t>Bonifacio</t>
        </is>
      </c>
    </row>
    <row r="8661" spans="1:1">
      <c r="A8661" t="inlineStr">
        <is>
          <t>Buenavista</t>
        </is>
      </c>
    </row>
    <row r="8662" spans="1:1">
      <c r="A8662" t="inlineStr">
        <is>
          <t>Calascagas</t>
        </is>
      </c>
    </row>
    <row r="8663" spans="1:1">
      <c r="A8663" t="inlineStr">
        <is>
          <t>Cotmo</t>
        </is>
      </c>
    </row>
    <row r="8664" spans="1:1">
      <c r="A8664" t="inlineStr">
        <is>
          <t>Daculang Tubig</t>
        </is>
      </c>
    </row>
    <row r="8665" spans="1:1">
      <c r="A8665" t="inlineStr">
        <is>
          <t>Del Pilar</t>
        </is>
      </c>
    </row>
    <row r="8666" spans="1:1">
      <c r="A8666" t="inlineStr">
        <is>
          <t>Grijalvo</t>
        </is>
      </c>
    </row>
    <row r="8667" spans="1:1">
      <c r="A8667" t="inlineStr">
        <is>
          <t>Gñaran</t>
        </is>
      </c>
    </row>
    <row r="8668" spans="1:1">
      <c r="A8668" t="inlineStr">
        <is>
          <t>Lupi</t>
        </is>
      </c>
    </row>
    <row r="8669" spans="1:1">
      <c r="A8669" t="inlineStr">
        <is>
          <t>Maragñi</t>
        </is>
      </c>
    </row>
    <row r="8670" spans="1:1">
      <c r="A8670" t="inlineStr">
        <is>
          <t>Pamukid</t>
        </is>
      </c>
    </row>
    <row r="8671" spans="1:1">
      <c r="A8671" t="inlineStr">
        <is>
          <t>Pinamasagan</t>
        </is>
      </c>
    </row>
    <row r="8672" spans="1:1">
      <c r="A8672" t="inlineStr">
        <is>
          <t>Pipian</t>
        </is>
      </c>
    </row>
    <row r="8673" spans="1:1">
      <c r="A8673" t="inlineStr">
        <is>
          <t>Planza</t>
        </is>
      </c>
    </row>
    <row r="8674" spans="1:1">
      <c r="A8674" t="inlineStr">
        <is>
          <t>Rizal</t>
        </is>
      </c>
    </row>
    <row r="8675" spans="1:1">
      <c r="A8675" t="inlineStr">
        <is>
          <t>San Joaquin</t>
        </is>
      </c>
    </row>
    <row r="8676" spans="1:1">
      <c r="A8676" t="inlineStr">
        <is>
          <t>Santa Cruz</t>
        </is>
      </c>
    </row>
    <row r="8677" spans="1:1">
      <c r="A8677" t="inlineStr">
        <is>
          <t>Tagpocol</t>
        </is>
      </c>
    </row>
    <row r="8678" spans="1:1">
      <c r="A8678" t="inlineStr">
        <is>
          <t>Adiangao</t>
        </is>
      </c>
    </row>
    <row r="8679" spans="1:1">
      <c r="A8679" t="inlineStr">
        <is>
          <t>Bagacay</t>
        </is>
      </c>
    </row>
    <row r="8680" spans="1:1">
      <c r="A8680" t="inlineStr">
        <is>
          <t>Bahay</t>
        </is>
      </c>
    </row>
    <row r="8681" spans="1:1">
      <c r="A8681" t="inlineStr">
        <is>
          <t>Boclod</t>
        </is>
      </c>
    </row>
    <row r="8682" spans="1:1">
      <c r="A8682" t="inlineStr">
        <is>
          <t>Calalahan</t>
        </is>
      </c>
    </row>
    <row r="8683" spans="1:1">
      <c r="A8683" t="inlineStr">
        <is>
          <t>Calawit</t>
        </is>
      </c>
    </row>
    <row r="8684" spans="1:1">
      <c r="A8684" t="inlineStr">
        <is>
          <t>Camagong</t>
        </is>
      </c>
    </row>
    <row r="8685" spans="1:1">
      <c r="A8685" t="inlineStr">
        <is>
          <t>Catalotoan</t>
        </is>
      </c>
    </row>
    <row r="8686" spans="1:1">
      <c r="A8686" t="inlineStr">
        <is>
          <t>Danlog</t>
        </is>
      </c>
    </row>
    <row r="8687" spans="1:1">
      <c r="A8687" t="inlineStr">
        <is>
          <t>Del Carmen</t>
        </is>
      </c>
    </row>
    <row r="8688" spans="1:1">
      <c r="A8688" t="inlineStr">
        <is>
          <t>Dolo</t>
        </is>
      </c>
    </row>
    <row r="8689" spans="1:1">
      <c r="A8689" t="inlineStr">
        <is>
          <t>Kinalansan</t>
        </is>
      </c>
    </row>
    <row r="8690" spans="1:1">
      <c r="A8690" t="inlineStr">
        <is>
          <t>Mampirao</t>
        </is>
      </c>
    </row>
    <row r="8691" spans="1:1">
      <c r="A8691" t="inlineStr">
        <is>
          <t>Manzana</t>
        </is>
      </c>
    </row>
    <row r="8692" spans="1:1">
      <c r="A8692" t="inlineStr">
        <is>
          <t>Minoro</t>
        </is>
      </c>
    </row>
    <row r="8693" spans="1:1">
      <c r="A8693" t="inlineStr">
        <is>
          <t>Palale</t>
        </is>
      </c>
    </row>
    <row r="8694" spans="1:1">
      <c r="A8694" t="inlineStr">
        <is>
          <t>Ponglon</t>
        </is>
      </c>
    </row>
    <row r="8695" spans="1:1">
      <c r="A8695" t="inlineStr">
        <is>
          <t>Pugay</t>
        </is>
      </c>
    </row>
    <row r="8696" spans="1:1">
      <c r="A8696" t="inlineStr">
        <is>
          <t>Sabang</t>
        </is>
      </c>
    </row>
    <row r="8697" spans="1:1">
      <c r="A8697" t="inlineStr">
        <is>
          <t>Salogon</t>
        </is>
      </c>
    </row>
    <row r="8698" spans="1:1">
      <c r="A8698" t="inlineStr">
        <is>
          <t>San Antonio</t>
        </is>
      </c>
    </row>
    <row r="8699" spans="1:1">
      <c r="A8699" t="inlineStr">
        <is>
          <t>San Juan</t>
        </is>
      </c>
    </row>
    <row r="8700" spans="1:1">
      <c r="A8700" t="inlineStr">
        <is>
          <t>San Vicente</t>
        </is>
      </c>
    </row>
    <row r="8701" spans="1:1">
      <c r="A8701" t="inlineStr">
        <is>
          <t>Santa Cruz</t>
        </is>
      </c>
    </row>
    <row r="8702" spans="1:1">
      <c r="A8702" t="inlineStr">
        <is>
          <t>Soledad</t>
        </is>
      </c>
    </row>
    <row r="8703" spans="1:1">
      <c r="A8703" t="inlineStr">
        <is>
          <t>Tagas</t>
        </is>
      </c>
    </row>
    <row r="8704" spans="1:1">
      <c r="A8704" t="inlineStr">
        <is>
          <t>Tambangan</t>
        </is>
      </c>
    </row>
    <row r="8705" spans="1:1">
      <c r="A8705" t="inlineStr">
        <is>
          <t>Telegrafo</t>
        </is>
      </c>
    </row>
    <row r="8706" spans="1:1">
      <c r="A8706" t="inlineStr">
        <is>
          <t>Tominawog</t>
        </is>
      </c>
    </row>
    <row r="8707" spans="1:1">
      <c r="A8707" t="inlineStr">
        <is>
          <t>Aldezar</t>
        </is>
      </c>
    </row>
    <row r="8708" spans="1:1">
      <c r="A8708" t="inlineStr">
        <is>
          <t>Alteza</t>
        </is>
      </c>
    </row>
    <row r="8709" spans="1:1">
      <c r="A8709" t="inlineStr">
        <is>
          <t>Anib</t>
        </is>
      </c>
    </row>
    <row r="8710" spans="1:1">
      <c r="A8710" t="inlineStr">
        <is>
          <t>Awayan</t>
        </is>
      </c>
    </row>
    <row r="8711" spans="1:1">
      <c r="A8711" t="inlineStr">
        <is>
          <t>Azucena</t>
        </is>
      </c>
    </row>
    <row r="8712" spans="1:1">
      <c r="A8712" t="inlineStr">
        <is>
          <t>Bagong Sirang</t>
        </is>
      </c>
    </row>
    <row r="8713" spans="1:1">
      <c r="A8713" t="inlineStr">
        <is>
          <t>Binahian</t>
        </is>
      </c>
    </row>
    <row r="8714" spans="1:1">
      <c r="A8714" t="inlineStr">
        <is>
          <t>Bolo Norte</t>
        </is>
      </c>
    </row>
    <row r="8715" spans="1:1">
      <c r="A8715" t="inlineStr">
        <is>
          <t>Bolo Sur</t>
        </is>
      </c>
    </row>
    <row r="8716" spans="1:1">
      <c r="A8716" t="inlineStr">
        <is>
          <t>Bulan</t>
        </is>
      </c>
    </row>
    <row r="8717" spans="1:1">
      <c r="A8717" t="inlineStr">
        <is>
          <t>Bulawan</t>
        </is>
      </c>
    </row>
    <row r="8718" spans="1:1">
      <c r="A8718" t="inlineStr">
        <is>
          <t>Cabuyao</t>
        </is>
      </c>
    </row>
    <row r="8719" spans="1:1">
      <c r="A8719" t="inlineStr">
        <is>
          <t>Caima</t>
        </is>
      </c>
    </row>
    <row r="8720" spans="1:1">
      <c r="A8720" t="inlineStr">
        <is>
          <t>Calagbangan</t>
        </is>
      </c>
    </row>
    <row r="8721" spans="1:1">
      <c r="A8721" t="inlineStr">
        <is>
          <t>Calampinay</t>
        </is>
      </c>
    </row>
    <row r="8722" spans="1:1">
      <c r="A8722" t="inlineStr">
        <is>
          <t>Carayrayan</t>
        </is>
      </c>
    </row>
    <row r="8723" spans="1:1">
      <c r="A8723" t="inlineStr">
        <is>
          <t>Cotmo</t>
        </is>
      </c>
    </row>
    <row r="8724" spans="1:1">
      <c r="A8724" t="inlineStr">
        <is>
          <t>Gabi</t>
        </is>
      </c>
    </row>
    <row r="8725" spans="1:1">
      <c r="A8725" t="inlineStr">
        <is>
          <t>Gaongan</t>
        </is>
      </c>
    </row>
    <row r="8726" spans="1:1">
      <c r="A8726" t="inlineStr">
        <is>
          <t>Impig</t>
        </is>
      </c>
    </row>
    <row r="8727" spans="1:1">
      <c r="A8727" t="inlineStr">
        <is>
          <t>Lipilip</t>
        </is>
      </c>
    </row>
    <row r="8728" spans="1:1">
      <c r="A8728" t="inlineStr">
        <is>
          <t>Lubigan Jr.</t>
        </is>
      </c>
    </row>
    <row r="8729" spans="1:1">
      <c r="A8729" t="inlineStr">
        <is>
          <t>Lubigan Sr.</t>
        </is>
      </c>
    </row>
    <row r="8730" spans="1:1">
      <c r="A8730" t="inlineStr">
        <is>
          <t>Malaguico</t>
        </is>
      </c>
    </row>
    <row r="8731" spans="1:1">
      <c r="A8731" t="inlineStr">
        <is>
          <t>Malubago</t>
        </is>
      </c>
    </row>
    <row r="8732" spans="1:1">
      <c r="A8732" t="inlineStr">
        <is>
          <t>Manangle</t>
        </is>
      </c>
    </row>
    <row r="8733" spans="1:1">
      <c r="A8733" t="inlineStr">
        <is>
          <t>Mangapo</t>
        </is>
      </c>
    </row>
    <row r="8734" spans="1:1">
      <c r="A8734" t="inlineStr">
        <is>
          <t>Mangga</t>
        </is>
      </c>
    </row>
    <row r="8735" spans="1:1">
      <c r="A8735" t="inlineStr">
        <is>
          <t>Manlubang</t>
        </is>
      </c>
    </row>
    <row r="8736" spans="1:1">
      <c r="A8736" t="inlineStr">
        <is>
          <t>Mantila</t>
        </is>
      </c>
    </row>
    <row r="8737" spans="1:1">
      <c r="A8737" t="inlineStr">
        <is>
          <t>North Centro</t>
        </is>
      </c>
    </row>
    <row r="8738" spans="1:1">
      <c r="A8738" t="inlineStr">
        <is>
          <t>North Villazar</t>
        </is>
      </c>
    </row>
    <row r="8739" spans="1:1">
      <c r="A8739" t="inlineStr">
        <is>
          <t>Sagrada Familia</t>
        </is>
      </c>
    </row>
    <row r="8740" spans="1:1">
      <c r="A8740" t="inlineStr">
        <is>
          <t>Salanda</t>
        </is>
      </c>
    </row>
    <row r="8741" spans="1:1">
      <c r="A8741" t="inlineStr">
        <is>
          <t>Salvacion</t>
        </is>
      </c>
    </row>
    <row r="8742" spans="1:1">
      <c r="A8742" t="inlineStr">
        <is>
          <t>San Isidro</t>
        </is>
      </c>
    </row>
    <row r="8743" spans="1:1">
      <c r="A8743" t="inlineStr">
        <is>
          <t>San Vicente</t>
        </is>
      </c>
    </row>
    <row r="8744" spans="1:1">
      <c r="A8744" t="inlineStr">
        <is>
          <t>Serranzana</t>
        </is>
      </c>
    </row>
    <row r="8745" spans="1:1">
      <c r="A8745" t="inlineStr">
        <is>
          <t>South Centro</t>
        </is>
      </c>
    </row>
    <row r="8746" spans="1:1">
      <c r="A8746" t="inlineStr">
        <is>
          <t>South Villazar</t>
        </is>
      </c>
    </row>
    <row r="8747" spans="1:1">
      <c r="A8747" t="inlineStr">
        <is>
          <t>Taisan</t>
        </is>
      </c>
    </row>
    <row r="8748" spans="1:1">
      <c r="A8748" t="inlineStr">
        <is>
          <t>Tara</t>
        </is>
      </c>
    </row>
    <row r="8749" spans="1:1">
      <c r="A8749" t="inlineStr">
        <is>
          <t>Tible</t>
        </is>
      </c>
    </row>
    <row r="8750" spans="1:1">
      <c r="A8750" t="inlineStr">
        <is>
          <t>Tula-tula</t>
        </is>
      </c>
    </row>
    <row r="8751" spans="1:1">
      <c r="A8751" t="inlineStr">
        <is>
          <t>Vigaan</t>
        </is>
      </c>
    </row>
    <row r="8752" spans="1:1">
      <c r="A8752" t="inlineStr">
        <is>
          <t>Yabo</t>
        </is>
      </c>
    </row>
    <row r="8753" spans="1:1">
      <c r="A8753" t="inlineStr">
        <is>
          <t>Bagong Sirang</t>
        </is>
      </c>
    </row>
    <row r="8754" spans="1:1">
      <c r="A8754" t="inlineStr">
        <is>
          <t>Bahao</t>
        </is>
      </c>
    </row>
    <row r="8755" spans="1:1">
      <c r="A8755" t="inlineStr">
        <is>
          <t>Boboan</t>
        </is>
      </c>
    </row>
    <row r="8756" spans="1:1">
      <c r="A8756" t="inlineStr">
        <is>
          <t>Butawanan</t>
        </is>
      </c>
    </row>
    <row r="8757" spans="1:1">
      <c r="A8757" t="inlineStr">
        <is>
          <t>Cabugao</t>
        </is>
      </c>
    </row>
    <row r="8758" spans="1:1">
      <c r="A8758" t="inlineStr">
        <is>
          <t>Fundado</t>
        </is>
      </c>
    </row>
    <row r="8759" spans="1:1">
      <c r="A8759" t="inlineStr">
        <is>
          <t>Homestead</t>
        </is>
      </c>
    </row>
    <row r="8760" spans="1:1">
      <c r="A8760" t="inlineStr">
        <is>
          <t>La Purisima</t>
        </is>
      </c>
    </row>
    <row r="8761" spans="1:1">
      <c r="A8761" t="inlineStr">
        <is>
          <t>Mabuhay</t>
        </is>
      </c>
    </row>
    <row r="8762" spans="1:1">
      <c r="A8762" t="inlineStr">
        <is>
          <t>Malaconini</t>
        </is>
      </c>
    </row>
    <row r="8763" spans="1:1">
      <c r="A8763" t="inlineStr">
        <is>
          <t>Matandang Siruma</t>
        </is>
      </c>
    </row>
    <row r="8764" spans="1:1">
      <c r="A8764" t="inlineStr">
        <is>
          <t>Nalayahan</t>
        </is>
      </c>
    </row>
    <row r="8765" spans="1:1">
      <c r="A8765" t="inlineStr">
        <is>
          <t>Pamintan-Bantilan</t>
        </is>
      </c>
    </row>
    <row r="8766" spans="1:1">
      <c r="A8766" t="inlineStr">
        <is>
          <t>Pinitan</t>
        </is>
      </c>
    </row>
    <row r="8767" spans="1:1">
      <c r="A8767" t="inlineStr">
        <is>
          <t>Poblacion</t>
        </is>
      </c>
    </row>
    <row r="8768" spans="1:1">
      <c r="A8768" t="inlineStr">
        <is>
          <t>Salvacion</t>
        </is>
      </c>
    </row>
    <row r="8769" spans="1:1">
      <c r="A8769" t="inlineStr">
        <is>
          <t>San Andres</t>
        </is>
      </c>
    </row>
    <row r="8770" spans="1:1">
      <c r="A8770" t="inlineStr">
        <is>
          <t>San Ramon</t>
        </is>
      </c>
    </row>
    <row r="8771" spans="1:1">
      <c r="A8771" t="inlineStr">
        <is>
          <t>Sulpa</t>
        </is>
      </c>
    </row>
    <row r="8772" spans="1:1">
      <c r="A8772" t="inlineStr">
        <is>
          <t>Tandoc</t>
        </is>
      </c>
    </row>
    <row r="8773" spans="1:1">
      <c r="A8773" t="inlineStr">
        <is>
          <t>Tongo-Bantigue</t>
        </is>
      </c>
    </row>
    <row r="8774" spans="1:1">
      <c r="A8774" t="inlineStr">
        <is>
          <t>Vito</t>
        </is>
      </c>
    </row>
    <row r="8775" spans="1:1">
      <c r="A8775" t="inlineStr">
        <is>
          <t>Abo</t>
        </is>
      </c>
    </row>
    <row r="8776" spans="1:1">
      <c r="A8776" t="inlineStr">
        <is>
          <t>Cabalinadan</t>
        </is>
      </c>
    </row>
    <row r="8777" spans="1:1">
      <c r="A8777" t="inlineStr">
        <is>
          <t>Caraycayon</t>
        </is>
      </c>
    </row>
    <row r="8778" spans="1:1">
      <c r="A8778" t="inlineStr">
        <is>
          <t>Casuna</t>
        </is>
      </c>
    </row>
    <row r="8779" spans="1:1">
      <c r="A8779" t="inlineStr">
        <is>
          <t>Consocep</t>
        </is>
      </c>
    </row>
    <row r="8780" spans="1:1">
      <c r="A8780" t="inlineStr">
        <is>
          <t>Coyaoyao</t>
        </is>
      </c>
    </row>
    <row r="8781" spans="1:1">
      <c r="A8781" t="inlineStr">
        <is>
          <t>Gaao</t>
        </is>
      </c>
    </row>
    <row r="8782" spans="1:1">
      <c r="A8782" t="inlineStr">
        <is>
          <t>Gingaroy</t>
        </is>
      </c>
    </row>
    <row r="8783" spans="1:1">
      <c r="A8783" t="inlineStr">
        <is>
          <t>Gubat</t>
        </is>
      </c>
    </row>
    <row r="8784" spans="1:1">
      <c r="A8784" t="inlineStr">
        <is>
          <t>Huyonhuyon</t>
        </is>
      </c>
    </row>
    <row r="8785" spans="1:1">
      <c r="A8785" t="inlineStr">
        <is>
          <t>Libod</t>
        </is>
      </c>
    </row>
    <row r="8786" spans="1:1">
      <c r="A8786" t="inlineStr">
        <is>
          <t>Mabalodbalod</t>
        </is>
      </c>
    </row>
    <row r="8787" spans="1:1">
      <c r="A8787" t="inlineStr">
        <is>
          <t>May-Anao</t>
        </is>
      </c>
    </row>
    <row r="8788" spans="1:1">
      <c r="A8788" t="inlineStr">
        <is>
          <t>Panagan</t>
        </is>
      </c>
    </row>
    <row r="8789" spans="1:1">
      <c r="A8789" t="inlineStr">
        <is>
          <t>Poblacion</t>
        </is>
      </c>
    </row>
    <row r="8790" spans="1:1">
      <c r="A8790" t="inlineStr">
        <is>
          <t>Salvacion</t>
        </is>
      </c>
    </row>
    <row r="8791" spans="1:1">
      <c r="A8791" t="inlineStr">
        <is>
          <t>San Antonio</t>
        </is>
      </c>
    </row>
    <row r="8792" spans="1:1">
      <c r="A8792" t="inlineStr">
        <is>
          <t>San Francisco</t>
        </is>
      </c>
    </row>
    <row r="8793" spans="1:1">
      <c r="A8793" t="inlineStr">
        <is>
          <t>San Miguel</t>
        </is>
      </c>
    </row>
    <row r="8794" spans="1:1">
      <c r="A8794" t="inlineStr">
        <is>
          <t>San Rafael</t>
        </is>
      </c>
    </row>
    <row r="8795" spans="1:1">
      <c r="A8795" t="inlineStr">
        <is>
          <t>Talojongon</t>
        </is>
      </c>
    </row>
    <row r="8796" spans="1:1">
      <c r="A8796" t="inlineStr">
        <is>
          <t>Tinawagan</t>
        </is>
      </c>
    </row>
    <row r="8797" spans="1:1">
      <c r="A8797" t="inlineStr">
        <is>
          <t>Vinagre</t>
        </is>
      </c>
    </row>
    <row r="8798" spans="1:1">
      <c r="A8798" t="inlineStr">
        <is>
          <t>Agay-Ayan</t>
        </is>
      </c>
    </row>
    <row r="8799" spans="1:1">
      <c r="A8799" t="inlineStr">
        <is>
          <t>Antipolo</t>
        </is>
      </c>
    </row>
    <row r="8800" spans="1:1">
      <c r="A8800" t="inlineStr">
        <is>
          <t>Bagacay</t>
        </is>
      </c>
    </row>
    <row r="8801" spans="1:1">
      <c r="A8801" t="inlineStr">
        <is>
          <t>Banga</t>
        </is>
      </c>
    </row>
    <row r="8802" spans="1:1">
      <c r="A8802" t="inlineStr">
        <is>
          <t>Bani</t>
        </is>
      </c>
    </row>
    <row r="8803" spans="1:1">
      <c r="A8803" t="inlineStr">
        <is>
          <t>Bataan</t>
        </is>
      </c>
    </row>
    <row r="8804" spans="1:1">
      <c r="A8804" t="inlineStr">
        <is>
          <t>Binalay</t>
        </is>
      </c>
    </row>
    <row r="8805" spans="1:1">
      <c r="A8805" t="inlineStr">
        <is>
          <t>Bolaobalite</t>
        </is>
      </c>
    </row>
    <row r="8806" spans="1:1">
      <c r="A8806" t="inlineStr">
        <is>
          <t>Buenavista</t>
        </is>
      </c>
    </row>
    <row r="8807" spans="1:1">
      <c r="A8807" t="inlineStr">
        <is>
          <t>Buyo</t>
        </is>
      </c>
    </row>
    <row r="8808" spans="1:1">
      <c r="A8808" t="inlineStr">
        <is>
          <t>Cagliliog</t>
        </is>
      </c>
    </row>
    <row r="8809" spans="1:1">
      <c r="A8809" t="inlineStr">
        <is>
          <t>Caloco</t>
        </is>
      </c>
    </row>
    <row r="8810" spans="1:1">
      <c r="A8810" t="inlineStr">
        <is>
          <t>Camagong</t>
        </is>
      </c>
    </row>
    <row r="8811" spans="1:1">
      <c r="A8811" t="inlineStr">
        <is>
          <t>Canayonan</t>
        </is>
      </c>
    </row>
    <row r="8812" spans="1:1">
      <c r="A8812" t="inlineStr">
        <is>
          <t>Cawaynan</t>
        </is>
      </c>
    </row>
    <row r="8813" spans="1:1">
      <c r="A8813" t="inlineStr">
        <is>
          <t>Daligan</t>
        </is>
      </c>
    </row>
    <row r="8814" spans="1:1">
      <c r="A8814" t="inlineStr">
        <is>
          <t>Filarca</t>
        </is>
      </c>
    </row>
    <row r="8815" spans="1:1">
      <c r="A8815" t="inlineStr">
        <is>
          <t>La Medalla</t>
        </is>
      </c>
    </row>
    <row r="8816" spans="1:1">
      <c r="A8816" t="inlineStr">
        <is>
          <t>La Purisima</t>
        </is>
      </c>
    </row>
    <row r="8817" spans="1:1">
      <c r="A8817" t="inlineStr">
        <is>
          <t>Lupi</t>
        </is>
      </c>
    </row>
    <row r="8818" spans="1:1">
      <c r="A8818" t="inlineStr">
        <is>
          <t>Magsaysay</t>
        </is>
      </c>
    </row>
    <row r="8819" spans="1:1">
      <c r="A8819" t="inlineStr">
        <is>
          <t>Magtang</t>
        </is>
      </c>
    </row>
    <row r="8820" spans="1:1">
      <c r="A8820" t="inlineStr">
        <is>
          <t>Mananao</t>
        </is>
      </c>
    </row>
    <row r="8821" spans="1:1">
      <c r="A8821" t="inlineStr">
        <is>
          <t>New Caaluan</t>
        </is>
      </c>
    </row>
    <row r="8822" spans="1:1">
      <c r="A8822" t="inlineStr">
        <is>
          <t>Olag Grande</t>
        </is>
      </c>
    </row>
    <row r="8823" spans="1:1">
      <c r="A8823" t="inlineStr">
        <is>
          <t>Olag Pequeño</t>
        </is>
      </c>
    </row>
    <row r="8824" spans="1:1">
      <c r="A8824" t="inlineStr">
        <is>
          <t>Old Caaluan</t>
        </is>
      </c>
    </row>
    <row r="8825" spans="1:1">
      <c r="A8825" t="inlineStr">
        <is>
          <t>Pag-Asa</t>
        </is>
      </c>
    </row>
    <row r="8826" spans="1:1">
      <c r="A8826" t="inlineStr">
        <is>
          <t>Pantat</t>
        </is>
      </c>
    </row>
    <row r="8827" spans="1:1">
      <c r="A8827" t="inlineStr">
        <is>
          <t>Sagrada</t>
        </is>
      </c>
    </row>
    <row r="8828" spans="1:1">
      <c r="A8828" t="inlineStr">
        <is>
          <t>Salvacion</t>
        </is>
      </c>
    </row>
    <row r="8829" spans="1:1">
      <c r="A8829" t="inlineStr">
        <is>
          <t>Salvacion Poblacion</t>
        </is>
      </c>
    </row>
    <row r="8830" spans="1:1">
      <c r="A8830" t="inlineStr">
        <is>
          <t>San Antonio</t>
        </is>
      </c>
    </row>
    <row r="8831" spans="1:1">
      <c r="A8831" t="inlineStr">
        <is>
          <t>San Isidro</t>
        </is>
      </c>
    </row>
    <row r="8832" spans="1:1">
      <c r="A8832" t="inlineStr">
        <is>
          <t>San Jose</t>
        </is>
      </c>
    </row>
    <row r="8833" spans="1:1">
      <c r="A8833" t="inlineStr">
        <is>
          <t>San Pascual</t>
        </is>
      </c>
    </row>
    <row r="8834" spans="1:1">
      <c r="A8834" t="inlineStr">
        <is>
          <t>San Ramon</t>
        </is>
      </c>
    </row>
    <row r="8835" spans="1:1">
      <c r="A8835" t="inlineStr">
        <is>
          <t>San Roque</t>
        </is>
      </c>
    </row>
    <row r="8836" spans="1:1">
      <c r="A8836" t="inlineStr">
        <is>
          <t>San Vicente</t>
        </is>
      </c>
    </row>
    <row r="8837" spans="1:1">
      <c r="A8837" t="inlineStr">
        <is>
          <t>Santa Cruz</t>
        </is>
      </c>
    </row>
    <row r="8838" spans="1:1">
      <c r="A8838" t="inlineStr">
        <is>
          <t>Sogod</t>
        </is>
      </c>
    </row>
    <row r="8839" spans="1:1">
      <c r="A8839" t="inlineStr">
        <is>
          <t>Tambang</t>
        </is>
      </c>
    </row>
    <row r="8840" spans="1:1">
      <c r="A8840" t="inlineStr">
        <is>
          <t>Tierra Nevada</t>
        </is>
      </c>
    </row>
    <row r="8841" spans="1:1">
      <c r="A8841" t="inlineStr">
        <is>
          <t>Union</t>
        </is>
      </c>
    </row>
    <row r="8842" spans="1:1">
      <c r="A8842" t="inlineStr">
        <is>
          <t>Alga</t>
        </is>
      </c>
    </row>
    <row r="8843" spans="1:1">
      <c r="A8843" t="inlineStr">
        <is>
          <t>Bonbon</t>
        </is>
      </c>
    </row>
    <row r="8844" spans="1:1">
      <c r="A8844" t="inlineStr">
        <is>
          <t>Bura</t>
        </is>
      </c>
    </row>
    <row r="8845" spans="1:1">
      <c r="A8845" t="inlineStr">
        <is>
          <t>Catibac</t>
        </is>
      </c>
    </row>
    <row r="8846" spans="1:1">
      <c r="A8846" t="inlineStr">
        <is>
          <t>Compol</t>
        </is>
      </c>
    </row>
    <row r="8847" spans="1:1">
      <c r="A8847" t="inlineStr">
        <is>
          <t>Lawigan</t>
        </is>
      </c>
    </row>
    <row r="8848" spans="1:1">
      <c r="A8848" t="inlineStr">
        <is>
          <t>Liloan</t>
        </is>
      </c>
    </row>
    <row r="8849" spans="1:1">
      <c r="A8849" t="inlineStr">
        <is>
          <t>Looc</t>
        </is>
      </c>
    </row>
    <row r="8850" spans="1:1">
      <c r="A8850" t="inlineStr">
        <is>
          <t>Mainit</t>
        </is>
      </c>
    </row>
    <row r="8851" spans="1:1">
      <c r="A8851" t="inlineStr">
        <is>
          <t>Manduao</t>
        </is>
      </c>
    </row>
    <row r="8852" spans="1:1">
      <c r="A8852" t="inlineStr">
        <is>
          <t>Panghiawan</t>
        </is>
      </c>
    </row>
    <row r="8853" spans="1:1">
      <c r="A8853" t="inlineStr">
        <is>
          <t>Poblacion</t>
        </is>
      </c>
    </row>
    <row r="8854" spans="1:1">
      <c r="A8854" t="inlineStr">
        <is>
          <t>Santo Niño</t>
        </is>
      </c>
    </row>
    <row r="8855" spans="1:1">
      <c r="A8855" t="inlineStr">
        <is>
          <t>Tangaro</t>
        </is>
      </c>
    </row>
    <row r="8856" spans="1:1">
      <c r="A8856" t="inlineStr">
        <is>
          <t>Butay</t>
        </is>
      </c>
    </row>
    <row r="8857" spans="1:1">
      <c r="A8857" t="inlineStr">
        <is>
          <t>Cabuan</t>
        </is>
      </c>
    </row>
    <row r="8858" spans="1:1">
      <c r="A8858" t="inlineStr">
        <is>
          <t>Cantaan</t>
        </is>
      </c>
    </row>
    <row r="8859" spans="1:1">
      <c r="A8859" t="inlineStr">
        <is>
          <t>Liong</t>
        </is>
      </c>
    </row>
    <row r="8860" spans="1:1">
      <c r="A8860" t="inlineStr">
        <is>
          <t>Maac</t>
        </is>
      </c>
    </row>
    <row r="8861" spans="1:1">
      <c r="A8861" t="inlineStr">
        <is>
          <t>North Poblacion</t>
        </is>
      </c>
    </row>
    <row r="8862" spans="1:1">
      <c r="A8862" t="inlineStr">
        <is>
          <t>South Poblacion</t>
        </is>
      </c>
    </row>
    <row r="8863" spans="1:1">
      <c r="A8863" t="inlineStr">
        <is>
          <t>Benoni</t>
        </is>
      </c>
    </row>
    <row r="8864" spans="1:1">
      <c r="A8864" t="inlineStr">
        <is>
          <t>Binatubo</t>
        </is>
      </c>
    </row>
    <row r="8865" spans="1:1">
      <c r="A8865" t="inlineStr">
        <is>
          <t>Catohugan</t>
        </is>
      </c>
    </row>
    <row r="8866" spans="1:1">
      <c r="A8866" t="inlineStr">
        <is>
          <t>Hubangon</t>
        </is>
      </c>
    </row>
    <row r="8867" spans="1:1">
      <c r="A8867" t="inlineStr">
        <is>
          <t>Owakan</t>
        </is>
      </c>
    </row>
    <row r="8868" spans="1:1">
      <c r="A8868" t="inlineStr">
        <is>
          <t>Poblacion</t>
        </is>
      </c>
    </row>
    <row r="8869" spans="1:1">
      <c r="A8869" t="inlineStr">
        <is>
          <t>Puntod</t>
        </is>
      </c>
    </row>
    <row r="8870" spans="1:1">
      <c r="A8870" t="inlineStr">
        <is>
          <t>San Isidro</t>
        </is>
      </c>
    </row>
    <row r="8871" spans="1:1">
      <c r="A8871" t="inlineStr">
        <is>
          <t>San Jose</t>
        </is>
      </c>
    </row>
    <row r="8872" spans="1:1">
      <c r="A8872" t="inlineStr">
        <is>
          <t>San Miguel</t>
        </is>
      </c>
    </row>
    <row r="8873" spans="1:1">
      <c r="A8873" t="inlineStr">
        <is>
          <t>San Roque</t>
        </is>
      </c>
    </row>
    <row r="8874" spans="1:1">
      <c r="A8874" t="inlineStr">
        <is>
          <t>Tubod</t>
        </is>
      </c>
    </row>
    <row r="8875" spans="1:1">
      <c r="A8875" t="inlineStr">
        <is>
          <t>Tupsan Pequeño</t>
        </is>
      </c>
    </row>
    <row r="8876" spans="1:1">
      <c r="A8876" t="inlineStr">
        <is>
          <t>Agoho</t>
        </is>
      </c>
    </row>
    <row r="8877" spans="1:1">
      <c r="A8877" t="inlineStr">
        <is>
          <t>Anito</t>
        </is>
      </c>
    </row>
    <row r="8878" spans="1:1">
      <c r="A8878" t="inlineStr">
        <is>
          <t>Balbagon</t>
        </is>
      </c>
    </row>
    <row r="8879" spans="1:1">
      <c r="A8879" t="inlineStr">
        <is>
          <t>Baylao</t>
        </is>
      </c>
    </row>
    <row r="8880" spans="1:1">
      <c r="A8880" t="inlineStr">
        <is>
          <t>Benhaan</t>
        </is>
      </c>
    </row>
    <row r="8881" spans="1:1">
      <c r="A8881" t="inlineStr">
        <is>
          <t>Bug-ong</t>
        </is>
      </c>
    </row>
    <row r="8882" spans="1:1">
      <c r="A8882" t="inlineStr">
        <is>
          <t>Kuguita</t>
        </is>
      </c>
    </row>
    <row r="8883" spans="1:1">
      <c r="A8883" t="inlineStr">
        <is>
          <t>Magting</t>
        </is>
      </c>
    </row>
    <row r="8884" spans="1:1">
      <c r="A8884" t="inlineStr">
        <is>
          <t>Naasag</t>
        </is>
      </c>
    </row>
    <row r="8885" spans="1:1">
      <c r="A8885" t="inlineStr">
        <is>
          <t>Pandan</t>
        </is>
      </c>
    </row>
    <row r="8886" spans="1:1">
      <c r="A8886" t="inlineStr">
        <is>
          <t>Poblacion</t>
        </is>
      </c>
    </row>
    <row r="8887" spans="1:1">
      <c r="A8887" t="inlineStr">
        <is>
          <t>Soro-soro</t>
        </is>
      </c>
    </row>
    <row r="8888" spans="1:1">
      <c r="A8888" t="inlineStr">
        <is>
          <t>Tagdo</t>
        </is>
      </c>
    </row>
    <row r="8889" spans="1:1">
      <c r="A8889" t="inlineStr">
        <is>
          <t>Tupsan</t>
        </is>
      </c>
    </row>
    <row r="8890" spans="1:1">
      <c r="A8890" t="inlineStr">
        <is>
          <t>Yumbing</t>
        </is>
      </c>
    </row>
    <row r="8891" spans="1:1">
      <c r="A8891" t="inlineStr">
        <is>
          <t>Alangilan</t>
        </is>
      </c>
    </row>
    <row r="8892" spans="1:1">
      <c r="A8892" t="inlineStr">
        <is>
          <t>Bacnit</t>
        </is>
      </c>
    </row>
    <row r="8893" spans="1:1">
      <c r="A8893" t="inlineStr">
        <is>
          <t>Balite</t>
        </is>
      </c>
    </row>
    <row r="8894" spans="1:1">
      <c r="A8894" t="inlineStr">
        <is>
          <t>Bonbon</t>
        </is>
      </c>
    </row>
    <row r="8895" spans="1:1">
      <c r="A8895" t="inlineStr">
        <is>
          <t>Bugang</t>
        </is>
      </c>
    </row>
    <row r="8896" spans="1:1">
      <c r="A8896" t="inlineStr">
        <is>
          <t>Cuna</t>
        </is>
      </c>
    </row>
    <row r="8897" spans="1:1">
      <c r="A8897" t="inlineStr">
        <is>
          <t>Manuyog</t>
        </is>
      </c>
    </row>
    <row r="8898" spans="1:1">
      <c r="A8898" t="inlineStr">
        <is>
          <t>Mayana</t>
        </is>
      </c>
    </row>
    <row r="8899" spans="1:1">
      <c r="A8899" t="inlineStr">
        <is>
          <t>Poblacion</t>
        </is>
      </c>
    </row>
    <row r="8900" spans="1:1">
      <c r="A8900" t="inlineStr">
        <is>
          <t>Adlawan</t>
        </is>
      </c>
    </row>
    <row r="8901" spans="1:1">
      <c r="A8901" t="inlineStr">
        <is>
          <t>Bago</t>
        </is>
      </c>
    </row>
    <row r="8902" spans="1:1">
      <c r="A8902" t="inlineStr">
        <is>
          <t>Balijuagan</t>
        </is>
      </c>
    </row>
    <row r="8903" spans="1:1">
      <c r="A8903" t="inlineStr">
        <is>
          <t>Banica</t>
        </is>
      </c>
    </row>
    <row r="8904" spans="1:1">
      <c r="A8904" t="inlineStr">
        <is>
          <t>Barra</t>
        </is>
      </c>
    </row>
    <row r="8905" spans="1:1">
      <c r="A8905" t="inlineStr">
        <is>
          <t>Bato</t>
        </is>
      </c>
    </row>
    <row r="8906" spans="1:1">
      <c r="A8906" t="inlineStr">
        <is>
          <t>Baybay</t>
        </is>
      </c>
    </row>
    <row r="8907" spans="1:1">
      <c r="A8907" t="inlineStr">
        <is>
          <t>Bolo</t>
        </is>
      </c>
    </row>
    <row r="8908" spans="1:1">
      <c r="A8908" t="inlineStr">
        <is>
          <t>Cabugao</t>
        </is>
      </c>
    </row>
    <row r="8909" spans="1:1">
      <c r="A8909" t="inlineStr">
        <is>
          <t>Cagay</t>
        </is>
      </c>
    </row>
    <row r="8910" spans="1:1">
      <c r="A8910" t="inlineStr">
        <is>
          <t>Cogon</t>
        </is>
      </c>
    </row>
    <row r="8911" spans="1:1">
      <c r="A8911" t="inlineStr">
        <is>
          <t>Culajao</t>
        </is>
      </c>
    </row>
    <row r="8912" spans="1:1">
      <c r="A8912" t="inlineStr">
        <is>
          <t>Culasi</t>
        </is>
      </c>
    </row>
    <row r="8913" spans="1:1">
      <c r="A8913" t="inlineStr">
        <is>
          <t>Dayao</t>
        </is>
      </c>
    </row>
    <row r="8914" spans="1:1">
      <c r="A8914" t="inlineStr">
        <is>
          <t>Dinginan</t>
        </is>
      </c>
    </row>
    <row r="8915" spans="1:1">
      <c r="A8915" t="inlineStr">
        <is>
          <t>Dumolog</t>
        </is>
      </c>
    </row>
    <row r="8916" spans="1:1">
      <c r="A8916" t="inlineStr">
        <is>
          <t>Gabu-an</t>
        </is>
      </c>
    </row>
    <row r="8917" spans="1:1">
      <c r="A8917" t="inlineStr">
        <is>
          <t>Inzo Arnaldo Village</t>
        </is>
      </c>
    </row>
    <row r="8918" spans="1:1">
      <c r="A8918" t="inlineStr">
        <is>
          <t>Jumaguicjic</t>
        </is>
      </c>
    </row>
    <row r="8919" spans="1:1">
      <c r="A8919" t="inlineStr">
        <is>
          <t>Lanot</t>
        </is>
      </c>
    </row>
    <row r="8920" spans="1:1">
      <c r="A8920" t="inlineStr">
        <is>
          <t>Lawa-an</t>
        </is>
      </c>
    </row>
    <row r="8921" spans="1:1">
      <c r="A8921" t="inlineStr">
        <is>
          <t>Libas</t>
        </is>
      </c>
    </row>
    <row r="8922" spans="1:1">
      <c r="A8922" t="inlineStr">
        <is>
          <t>Liong</t>
        </is>
      </c>
    </row>
    <row r="8923" spans="1:1">
      <c r="A8923" t="inlineStr">
        <is>
          <t>Loctugan</t>
        </is>
      </c>
    </row>
    <row r="8924" spans="1:1">
      <c r="A8924" t="inlineStr">
        <is>
          <t>Lonoy</t>
        </is>
      </c>
    </row>
    <row r="8925" spans="1:1">
      <c r="A8925" t="inlineStr">
        <is>
          <t>Milibili</t>
        </is>
      </c>
    </row>
    <row r="8926" spans="1:1">
      <c r="A8926" t="inlineStr">
        <is>
          <t>Mongpong</t>
        </is>
      </c>
    </row>
    <row r="8927" spans="1:1">
      <c r="A8927" t="inlineStr">
        <is>
          <t>Olotayan</t>
        </is>
      </c>
    </row>
    <row r="8928" spans="1:1">
      <c r="A8928" t="inlineStr">
        <is>
          <t>Poblacion I</t>
        </is>
      </c>
    </row>
    <row r="8929" spans="1:1">
      <c r="A8929" t="inlineStr">
        <is>
          <t>Poblacion II</t>
        </is>
      </c>
    </row>
    <row r="8930" spans="1:1">
      <c r="A8930" t="inlineStr">
        <is>
          <t>Poblacion III</t>
        </is>
      </c>
    </row>
    <row r="8931" spans="1:1">
      <c r="A8931" t="inlineStr">
        <is>
          <t>Poblacion IV</t>
        </is>
      </c>
    </row>
    <row r="8932" spans="1:1">
      <c r="A8932" t="inlineStr">
        <is>
          <t>Poblacion IX</t>
        </is>
      </c>
    </row>
    <row r="8933" spans="1:1">
      <c r="A8933" t="inlineStr">
        <is>
          <t>Poblacion V</t>
        </is>
      </c>
    </row>
    <row r="8934" spans="1:1">
      <c r="A8934" t="inlineStr">
        <is>
          <t>Poblacion VI</t>
        </is>
      </c>
    </row>
    <row r="8935" spans="1:1">
      <c r="A8935" t="inlineStr">
        <is>
          <t>Poblacion VII</t>
        </is>
      </c>
    </row>
    <row r="8936" spans="1:1">
      <c r="A8936" t="inlineStr">
        <is>
          <t>Poblacion VIII</t>
        </is>
      </c>
    </row>
    <row r="8937" spans="1:1">
      <c r="A8937" t="inlineStr">
        <is>
          <t>Poblacion X</t>
        </is>
      </c>
    </row>
    <row r="8938" spans="1:1">
      <c r="A8938" t="inlineStr">
        <is>
          <t>Poblacion XI</t>
        </is>
      </c>
    </row>
    <row r="8939" spans="1:1">
      <c r="A8939" t="inlineStr">
        <is>
          <t>Punta Cogon</t>
        </is>
      </c>
    </row>
    <row r="8940" spans="1:1">
      <c r="A8940" t="inlineStr">
        <is>
          <t>Punta Tabuc</t>
        </is>
      </c>
    </row>
    <row r="8941" spans="1:1">
      <c r="A8941" t="inlineStr">
        <is>
          <t>San Jose</t>
        </is>
      </c>
    </row>
    <row r="8942" spans="1:1">
      <c r="A8942" t="inlineStr">
        <is>
          <t>Sibaguan</t>
        </is>
      </c>
    </row>
    <row r="8943" spans="1:1">
      <c r="A8943" t="inlineStr">
        <is>
          <t>Talon</t>
        </is>
      </c>
    </row>
    <row r="8944" spans="1:1">
      <c r="A8944" t="inlineStr">
        <is>
          <t>Tanque</t>
        </is>
      </c>
    </row>
    <row r="8945" spans="1:1">
      <c r="A8945" t="inlineStr">
        <is>
          <t>Tanza</t>
        </is>
      </c>
    </row>
    <row r="8946" spans="1:1">
      <c r="A8946" t="inlineStr">
        <is>
          <t>Tiza</t>
        </is>
      </c>
    </row>
    <row r="8947" spans="1:1">
      <c r="A8947" t="inlineStr">
        <is>
          <t>Agcabugao</t>
        </is>
      </c>
    </row>
    <row r="8948" spans="1:1">
      <c r="A8948" t="inlineStr">
        <is>
          <t>Agdahon</t>
        </is>
      </c>
    </row>
    <row r="8949" spans="1:1">
      <c r="A8949" t="inlineStr">
        <is>
          <t>Agnaga</t>
        </is>
      </c>
    </row>
    <row r="8950" spans="1:1">
      <c r="A8950" t="inlineStr">
        <is>
          <t>Angub</t>
        </is>
      </c>
    </row>
    <row r="8951" spans="1:1">
      <c r="A8951" t="inlineStr">
        <is>
          <t>Balingasag</t>
        </is>
      </c>
    </row>
    <row r="8952" spans="1:1">
      <c r="A8952" t="inlineStr">
        <is>
          <t>Bito-on Ilawod</t>
        </is>
      </c>
    </row>
    <row r="8953" spans="1:1">
      <c r="A8953" t="inlineStr">
        <is>
          <t>Bito-on Ilaya</t>
        </is>
      </c>
    </row>
    <row r="8954" spans="1:1">
      <c r="A8954" t="inlineStr">
        <is>
          <t>Bun-od</t>
        </is>
      </c>
    </row>
    <row r="8955" spans="1:1">
      <c r="A8955" t="inlineStr">
        <is>
          <t>Carataya</t>
        </is>
      </c>
    </row>
    <row r="8956" spans="1:1">
      <c r="A8956" t="inlineStr">
        <is>
          <t>Lunayan</t>
        </is>
      </c>
    </row>
    <row r="8957" spans="1:1">
      <c r="A8957" t="inlineStr">
        <is>
          <t>Mahabang Sapa</t>
        </is>
      </c>
    </row>
    <row r="8958" spans="1:1">
      <c r="A8958" t="inlineStr">
        <is>
          <t>Mahunodhunod</t>
        </is>
      </c>
    </row>
    <row r="8959" spans="1:1">
      <c r="A8959" t="inlineStr">
        <is>
          <t>Maindang</t>
        </is>
      </c>
    </row>
    <row r="8960" spans="1:1">
      <c r="A8960" t="inlineStr">
        <is>
          <t>Mainit</t>
        </is>
      </c>
    </row>
    <row r="8961" spans="1:1">
      <c r="A8961" t="inlineStr">
        <is>
          <t>Malagab-i</t>
        </is>
      </c>
    </row>
    <row r="8962" spans="1:1">
      <c r="A8962" t="inlineStr">
        <is>
          <t>Nagba</t>
        </is>
      </c>
    </row>
    <row r="8963" spans="1:1">
      <c r="A8963" t="inlineStr">
        <is>
          <t>Poblacion Ilawod</t>
        </is>
      </c>
    </row>
    <row r="8964" spans="1:1">
      <c r="A8964" t="inlineStr">
        <is>
          <t>Poblacion Ilaya</t>
        </is>
      </c>
    </row>
    <row r="8965" spans="1:1">
      <c r="A8965" t="inlineStr">
        <is>
          <t>Poblacion Takas</t>
        </is>
      </c>
    </row>
    <row r="8966" spans="1:1">
      <c r="A8966" t="inlineStr">
        <is>
          <t>Puti-an</t>
        </is>
      </c>
    </row>
    <row r="8967" spans="1:1">
      <c r="A8967" t="inlineStr">
        <is>
          <t>San Antonio</t>
        </is>
      </c>
    </row>
    <row r="8968" spans="1:1">
      <c r="A8968" t="inlineStr">
        <is>
          <t>Sinabsaban</t>
        </is>
      </c>
    </row>
    <row r="8969" spans="1:1">
      <c r="A8969" t="inlineStr">
        <is>
          <t>Aganan</t>
        </is>
      </c>
    </row>
    <row r="8970" spans="1:1">
      <c r="A8970" t="inlineStr">
        <is>
          <t>Agtambi</t>
        </is>
      </c>
    </row>
    <row r="8971" spans="1:1">
      <c r="A8971" t="inlineStr">
        <is>
          <t>Agtanguay</t>
        </is>
      </c>
    </row>
    <row r="8972" spans="1:1">
      <c r="A8972" t="inlineStr">
        <is>
          <t>Balucuan</t>
        </is>
      </c>
    </row>
    <row r="8973" spans="1:1">
      <c r="A8973" t="inlineStr">
        <is>
          <t>Bita</t>
        </is>
      </c>
    </row>
    <row r="8974" spans="1:1">
      <c r="A8974" t="inlineStr">
        <is>
          <t>Centro</t>
        </is>
      </c>
    </row>
    <row r="8975" spans="1:1">
      <c r="A8975" t="inlineStr">
        <is>
          <t>Daplas</t>
        </is>
      </c>
    </row>
    <row r="8976" spans="1:1">
      <c r="A8976" t="inlineStr">
        <is>
          <t>Duyoc</t>
        </is>
      </c>
    </row>
    <row r="8977" spans="1:1">
      <c r="A8977" t="inlineStr">
        <is>
          <t>Ilas Sur</t>
        </is>
      </c>
    </row>
    <row r="8978" spans="1:1">
      <c r="A8978" t="inlineStr">
        <is>
          <t>Lacaron</t>
        </is>
      </c>
    </row>
    <row r="8979" spans="1:1">
      <c r="A8979" t="inlineStr">
        <is>
          <t>Malonoy</t>
        </is>
      </c>
    </row>
    <row r="8980" spans="1:1">
      <c r="A8980" t="inlineStr">
        <is>
          <t>Manhoy</t>
        </is>
      </c>
    </row>
    <row r="8981" spans="1:1">
      <c r="A8981" t="inlineStr">
        <is>
          <t>Mapulang Bato</t>
        </is>
      </c>
    </row>
    <row r="8982" spans="1:1">
      <c r="A8982" t="inlineStr">
        <is>
          <t>Matagnop</t>
        </is>
      </c>
    </row>
    <row r="8983" spans="1:1">
      <c r="A8983" t="inlineStr">
        <is>
          <t>Nasunogan</t>
        </is>
      </c>
    </row>
    <row r="8984" spans="1:1">
      <c r="A8984" t="inlineStr">
        <is>
          <t>Poblacion Ilawod</t>
        </is>
      </c>
    </row>
    <row r="8985" spans="1:1">
      <c r="A8985" t="inlineStr">
        <is>
          <t>Poblacion Ilaya</t>
        </is>
      </c>
    </row>
    <row r="8986" spans="1:1">
      <c r="A8986" t="inlineStr">
        <is>
          <t>Quinabcaban</t>
        </is>
      </c>
    </row>
    <row r="8987" spans="1:1">
      <c r="A8987" t="inlineStr">
        <is>
          <t>Quinayuya</t>
        </is>
      </c>
    </row>
    <row r="8988" spans="1:1">
      <c r="A8988" t="inlineStr">
        <is>
          <t>San Agustin</t>
        </is>
      </c>
    </row>
    <row r="8989" spans="1:1">
      <c r="A8989" t="inlineStr">
        <is>
          <t>Concepcion</t>
        </is>
      </c>
    </row>
    <row r="8990" spans="1:1">
      <c r="A8990" t="inlineStr">
        <is>
          <t>Consolacion</t>
        </is>
      </c>
    </row>
    <row r="8991" spans="1:1">
      <c r="A8991" t="inlineStr">
        <is>
          <t>Dolores</t>
        </is>
      </c>
    </row>
    <row r="8992" spans="1:1">
      <c r="A8992" t="inlineStr">
        <is>
          <t>Duran</t>
        </is>
      </c>
    </row>
    <row r="8993" spans="1:1">
      <c r="A8993" t="inlineStr">
        <is>
          <t>Poblacion</t>
        </is>
      </c>
    </row>
    <row r="8994" spans="1:1">
      <c r="A8994" t="inlineStr">
        <is>
          <t>San Agustin</t>
        </is>
      </c>
    </row>
    <row r="8995" spans="1:1">
      <c r="A8995" t="inlineStr">
        <is>
          <t>San Jose</t>
        </is>
      </c>
    </row>
    <row r="8996" spans="1:1">
      <c r="A8996" t="inlineStr">
        <is>
          <t>San Martin</t>
        </is>
      </c>
    </row>
    <row r="8997" spans="1:1">
      <c r="A8997" t="inlineStr">
        <is>
          <t>San Miguel</t>
        </is>
      </c>
    </row>
    <row r="8998" spans="1:1">
      <c r="A8998" t="inlineStr">
        <is>
          <t>San Rafael</t>
        </is>
      </c>
    </row>
    <row r="8999" spans="1:1">
      <c r="A8999" t="inlineStr">
        <is>
          <t>San Roque</t>
        </is>
      </c>
    </row>
    <row r="9000" spans="1:1">
      <c r="A9000" t="inlineStr">
        <is>
          <t>Santa Carmen</t>
        </is>
      </c>
    </row>
    <row r="9001" spans="1:1">
      <c r="A9001" t="inlineStr">
        <is>
          <t>Santa Cruz</t>
        </is>
      </c>
    </row>
    <row r="9002" spans="1:1">
      <c r="A9002" t="inlineStr">
        <is>
          <t>Santa Monica</t>
        </is>
      </c>
    </row>
    <row r="9003" spans="1:1">
      <c r="A9003" t="inlineStr">
        <is>
          <t>Santa Rita</t>
        </is>
      </c>
    </row>
    <row r="9004" spans="1:1">
      <c r="A9004" t="inlineStr">
        <is>
          <t>Santa Teresa</t>
        </is>
      </c>
    </row>
    <row r="9005" spans="1:1">
      <c r="A9005" t="inlineStr">
        <is>
          <t>Santo Angel</t>
        </is>
      </c>
    </row>
    <row r="9006" spans="1:1">
      <c r="A9006" t="inlineStr">
        <is>
          <t>Santo Niño</t>
        </is>
      </c>
    </row>
    <row r="9007" spans="1:1">
      <c r="A9007" t="inlineStr">
        <is>
          <t>Santo Rosario</t>
        </is>
      </c>
    </row>
    <row r="9008" spans="1:1">
      <c r="A9008" t="inlineStr">
        <is>
          <t>Agbatuan</t>
        </is>
      </c>
    </row>
    <row r="9009" spans="1:1">
      <c r="A9009" t="inlineStr">
        <is>
          <t>Aglalana</t>
        </is>
      </c>
    </row>
    <row r="9010" spans="1:1">
      <c r="A9010" t="inlineStr">
        <is>
          <t>Aglanot</t>
        </is>
      </c>
    </row>
    <row r="9011" spans="1:1">
      <c r="A9011" t="inlineStr">
        <is>
          <t>Agsirab</t>
        </is>
      </c>
    </row>
    <row r="9012" spans="1:1">
      <c r="A9012" t="inlineStr">
        <is>
          <t>Alipasiawan</t>
        </is>
      </c>
    </row>
    <row r="9013" spans="1:1">
      <c r="A9013" t="inlineStr">
        <is>
          <t>Astorga</t>
        </is>
      </c>
    </row>
    <row r="9014" spans="1:1">
      <c r="A9014" t="inlineStr">
        <is>
          <t>Bayog</t>
        </is>
      </c>
    </row>
    <row r="9015" spans="1:1">
      <c r="A9015" t="inlineStr">
        <is>
          <t>Bungsuan</t>
        </is>
      </c>
    </row>
    <row r="9016" spans="1:1">
      <c r="A9016" t="inlineStr">
        <is>
          <t>Calapawan</t>
        </is>
      </c>
    </row>
    <row r="9017" spans="1:1">
      <c r="A9017" t="inlineStr">
        <is>
          <t>Codingle</t>
        </is>
      </c>
    </row>
    <row r="9018" spans="1:1">
      <c r="A9018" t="inlineStr">
        <is>
          <t>Cubi</t>
        </is>
      </c>
    </row>
    <row r="9019" spans="1:1">
      <c r="A9019" t="inlineStr">
        <is>
          <t>Dacuton</t>
        </is>
      </c>
    </row>
    <row r="9020" spans="1:1">
      <c r="A9020" t="inlineStr">
        <is>
          <t>Dangula</t>
        </is>
      </c>
    </row>
    <row r="9021" spans="1:1">
      <c r="A9021" t="inlineStr">
        <is>
          <t>Gibato</t>
        </is>
      </c>
    </row>
    <row r="9022" spans="1:1">
      <c r="A9022" t="inlineStr">
        <is>
          <t>Guinotos</t>
        </is>
      </c>
    </row>
    <row r="9023" spans="1:1">
      <c r="A9023" t="inlineStr">
        <is>
          <t>Jambad</t>
        </is>
      </c>
    </row>
    <row r="9024" spans="1:1">
      <c r="A9024" t="inlineStr">
        <is>
          <t>Janguslob</t>
        </is>
      </c>
    </row>
    <row r="9025" spans="1:1">
      <c r="A9025" t="inlineStr">
        <is>
          <t>Lawaan</t>
        </is>
      </c>
    </row>
    <row r="9026" spans="1:1">
      <c r="A9026" t="inlineStr">
        <is>
          <t>Malonoy</t>
        </is>
      </c>
    </row>
    <row r="9027" spans="1:1">
      <c r="A9027" t="inlineStr">
        <is>
          <t>Nagsulang</t>
        </is>
      </c>
    </row>
    <row r="9028" spans="1:1">
      <c r="A9028" t="inlineStr">
        <is>
          <t>Ongol Ilawod</t>
        </is>
      </c>
    </row>
    <row r="9029" spans="1:1">
      <c r="A9029" t="inlineStr">
        <is>
          <t>Ongol Ilaya</t>
        </is>
      </c>
    </row>
    <row r="9030" spans="1:1">
      <c r="A9030" t="inlineStr">
        <is>
          <t>Poblacion Ilawod</t>
        </is>
      </c>
    </row>
    <row r="9031" spans="1:1">
      <c r="A9031" t="inlineStr">
        <is>
          <t>Poblacion Ilaya</t>
        </is>
      </c>
    </row>
    <row r="9032" spans="1:1">
      <c r="A9032" t="inlineStr">
        <is>
          <t>Sagrada Familia</t>
        </is>
      </c>
    </row>
    <row r="9033" spans="1:1">
      <c r="A9033" t="inlineStr">
        <is>
          <t>Salcedo</t>
        </is>
      </c>
    </row>
    <row r="9034" spans="1:1">
      <c r="A9034" t="inlineStr">
        <is>
          <t>San Juan</t>
        </is>
      </c>
    </row>
    <row r="9035" spans="1:1">
      <c r="A9035" t="inlineStr">
        <is>
          <t>Sibariwan</t>
        </is>
      </c>
    </row>
    <row r="9036" spans="1:1">
      <c r="A9036" t="inlineStr">
        <is>
          <t>Tamulalod</t>
        </is>
      </c>
    </row>
    <row r="9037" spans="1:1">
      <c r="A9037" t="inlineStr">
        <is>
          <t>Taslan</t>
        </is>
      </c>
    </row>
    <row r="9038" spans="1:1">
      <c r="A9038" t="inlineStr">
        <is>
          <t>Tina</t>
        </is>
      </c>
    </row>
    <row r="9039" spans="1:1">
      <c r="A9039" t="inlineStr">
        <is>
          <t>Tinaytayan</t>
        </is>
      </c>
    </row>
    <row r="9040" spans="1:1">
      <c r="A9040" t="inlineStr">
        <is>
          <t>Traciano</t>
        </is>
      </c>
    </row>
    <row r="9041" spans="1:1">
      <c r="A9041" t="inlineStr">
        <is>
          <t>Agmalobo</t>
        </is>
      </c>
    </row>
    <row r="9042" spans="1:1">
      <c r="A9042" t="inlineStr">
        <is>
          <t>Agustin Navarra</t>
        </is>
      </c>
    </row>
    <row r="9043" spans="1:1">
      <c r="A9043" t="inlineStr">
        <is>
          <t>Balaring</t>
        </is>
      </c>
    </row>
    <row r="9044" spans="1:1">
      <c r="A9044" t="inlineStr">
        <is>
          <t>Basiao</t>
        </is>
      </c>
    </row>
    <row r="9045" spans="1:1">
      <c r="A9045" t="inlineStr">
        <is>
          <t>Cabugao</t>
        </is>
      </c>
    </row>
    <row r="9046" spans="1:1">
      <c r="A9046" t="inlineStr">
        <is>
          <t>Cudian</t>
        </is>
      </c>
    </row>
    <row r="9047" spans="1:1">
      <c r="A9047" t="inlineStr">
        <is>
          <t>Ilaya-Ivisan</t>
        </is>
      </c>
    </row>
    <row r="9048" spans="1:1">
      <c r="A9048" t="inlineStr">
        <is>
          <t>Malocloc Norte</t>
        </is>
      </c>
    </row>
    <row r="9049" spans="1:1">
      <c r="A9049" t="inlineStr">
        <is>
          <t>Malocloc Sur</t>
        </is>
      </c>
    </row>
    <row r="9050" spans="1:1">
      <c r="A9050" t="inlineStr">
        <is>
          <t>Matnog</t>
        </is>
      </c>
    </row>
    <row r="9051" spans="1:1">
      <c r="A9051" t="inlineStr">
        <is>
          <t>Mianay</t>
        </is>
      </c>
    </row>
    <row r="9052" spans="1:1">
      <c r="A9052" t="inlineStr">
        <is>
          <t>Ondoy</t>
        </is>
      </c>
    </row>
    <row r="9053" spans="1:1">
      <c r="A9053" t="inlineStr">
        <is>
          <t>Poblacion Norte</t>
        </is>
      </c>
    </row>
    <row r="9054" spans="1:1">
      <c r="A9054" t="inlineStr">
        <is>
          <t>Poblacion Sur</t>
        </is>
      </c>
    </row>
    <row r="9055" spans="1:1">
      <c r="A9055" t="inlineStr">
        <is>
          <t>Santa Cruz</t>
        </is>
      </c>
    </row>
    <row r="9056" spans="1:1">
      <c r="A9056" t="inlineStr">
        <is>
          <t>Agambulong</t>
        </is>
      </c>
    </row>
    <row r="9057" spans="1:1">
      <c r="A9057" t="inlineStr">
        <is>
          <t>Agbun-od</t>
        </is>
      </c>
    </row>
    <row r="9058" spans="1:1">
      <c r="A9058" t="inlineStr">
        <is>
          <t>Agcagay</t>
        </is>
      </c>
    </row>
    <row r="9059" spans="1:1">
      <c r="A9059" t="inlineStr">
        <is>
          <t>Aglibacao</t>
        </is>
      </c>
    </row>
    <row r="9060" spans="1:1">
      <c r="A9060" t="inlineStr">
        <is>
          <t>Agloloway</t>
        </is>
      </c>
    </row>
    <row r="9061" spans="1:1">
      <c r="A9061" t="inlineStr">
        <is>
          <t>Bayebaye</t>
        </is>
      </c>
    </row>
    <row r="9062" spans="1:1">
      <c r="A9062" t="inlineStr">
        <is>
          <t>Caridad</t>
        </is>
      </c>
    </row>
    <row r="9063" spans="1:1">
      <c r="A9063" t="inlineStr">
        <is>
          <t>Esperanza</t>
        </is>
      </c>
    </row>
    <row r="9064" spans="1:1">
      <c r="A9064" t="inlineStr">
        <is>
          <t>Fe</t>
        </is>
      </c>
    </row>
    <row r="9065" spans="1:1">
      <c r="A9065" t="inlineStr">
        <is>
          <t>Ganzon</t>
        </is>
      </c>
    </row>
    <row r="9066" spans="1:1">
      <c r="A9066" t="inlineStr">
        <is>
          <t>Guintas</t>
        </is>
      </c>
    </row>
    <row r="9067" spans="1:1">
      <c r="A9067" t="inlineStr">
        <is>
          <t>Igang</t>
        </is>
      </c>
    </row>
    <row r="9068" spans="1:1">
      <c r="A9068" t="inlineStr">
        <is>
          <t>Jaena Norte</t>
        </is>
      </c>
    </row>
    <row r="9069" spans="1:1">
      <c r="A9069" t="inlineStr">
        <is>
          <t>Jaena Sur</t>
        </is>
      </c>
    </row>
    <row r="9070" spans="1:1">
      <c r="A9070" t="inlineStr">
        <is>
          <t>Jagnaya</t>
        </is>
      </c>
    </row>
    <row r="9071" spans="1:1">
      <c r="A9071" t="inlineStr">
        <is>
          <t>Lapaz</t>
        </is>
      </c>
    </row>
    <row r="9072" spans="1:1">
      <c r="A9072" t="inlineStr">
        <is>
          <t>Linambasan</t>
        </is>
      </c>
    </row>
    <row r="9073" spans="1:1">
      <c r="A9073" t="inlineStr">
        <is>
          <t>Lucero</t>
        </is>
      </c>
    </row>
    <row r="9074" spans="1:1">
      <c r="A9074" t="inlineStr">
        <is>
          <t>Maantol</t>
        </is>
      </c>
    </row>
    <row r="9075" spans="1:1">
      <c r="A9075" t="inlineStr">
        <is>
          <t>Masgrau</t>
        </is>
      </c>
    </row>
    <row r="9076" spans="1:1">
      <c r="A9076" t="inlineStr">
        <is>
          <t>Milan</t>
        </is>
      </c>
    </row>
    <row r="9077" spans="1:1">
      <c r="A9077" t="inlineStr">
        <is>
          <t>Molet</t>
        </is>
      </c>
    </row>
    <row r="9078" spans="1:1">
      <c r="A9078" t="inlineStr">
        <is>
          <t>Pangabat</t>
        </is>
      </c>
    </row>
    <row r="9079" spans="1:1">
      <c r="A9079" t="inlineStr">
        <is>
          <t>Pangabuan</t>
        </is>
      </c>
    </row>
    <row r="9080" spans="1:1">
      <c r="A9080" t="inlineStr">
        <is>
          <t>Pasol-o</t>
        </is>
      </c>
    </row>
    <row r="9081" spans="1:1">
      <c r="A9081" t="inlineStr">
        <is>
          <t>Poblacion</t>
        </is>
      </c>
    </row>
    <row r="9082" spans="1:1">
      <c r="A9082" t="inlineStr">
        <is>
          <t>San Jose</t>
        </is>
      </c>
    </row>
    <row r="9083" spans="1:1">
      <c r="A9083" t="inlineStr">
        <is>
          <t>San Juan</t>
        </is>
      </c>
    </row>
    <row r="9084" spans="1:1">
      <c r="A9084" t="inlineStr">
        <is>
          <t>San Vicente</t>
        </is>
      </c>
    </row>
    <row r="9085" spans="1:1">
      <c r="A9085" t="inlineStr">
        <is>
          <t>Santo Rosario</t>
        </is>
      </c>
    </row>
    <row r="9086" spans="1:1">
      <c r="A9086" t="inlineStr">
        <is>
          <t>Aglimocon</t>
        </is>
      </c>
    </row>
    <row r="9087" spans="1:1">
      <c r="A9087" t="inlineStr">
        <is>
          <t>Alasaging</t>
        </is>
      </c>
    </row>
    <row r="9088" spans="1:1">
      <c r="A9088" t="inlineStr">
        <is>
          <t>Alayunan</t>
        </is>
      </c>
    </row>
    <row r="9089" spans="1:1">
      <c r="A9089" t="inlineStr">
        <is>
          <t>Balighot</t>
        </is>
      </c>
    </row>
    <row r="9090" spans="1:1">
      <c r="A9090" t="inlineStr">
        <is>
          <t>Batabat</t>
        </is>
      </c>
    </row>
    <row r="9091" spans="1:1">
      <c r="A9091" t="inlineStr">
        <is>
          <t>Bongbongan</t>
        </is>
      </c>
    </row>
    <row r="9092" spans="1:1">
      <c r="A9092" t="inlineStr">
        <is>
          <t>Cabungahan</t>
        </is>
      </c>
    </row>
    <row r="9093" spans="1:1">
      <c r="A9093" t="inlineStr">
        <is>
          <t>Canapian</t>
        </is>
      </c>
    </row>
    <row r="9094" spans="1:1">
      <c r="A9094" t="inlineStr">
        <is>
          <t>Carataya</t>
        </is>
      </c>
    </row>
    <row r="9095" spans="1:1">
      <c r="A9095" t="inlineStr">
        <is>
          <t>Duluan</t>
        </is>
      </c>
    </row>
    <row r="9096" spans="1:1">
      <c r="A9096" t="inlineStr">
        <is>
          <t>East Villaflores</t>
        </is>
      </c>
    </row>
    <row r="9097" spans="1:1">
      <c r="A9097" t="inlineStr">
        <is>
          <t>Fernandez</t>
        </is>
      </c>
    </row>
    <row r="9098" spans="1:1">
      <c r="A9098" t="inlineStr">
        <is>
          <t>Guinbi-alan</t>
        </is>
      </c>
    </row>
    <row r="9099" spans="1:1">
      <c r="A9099" t="inlineStr">
        <is>
          <t>Indayagan</t>
        </is>
      </c>
    </row>
    <row r="9100" spans="1:1">
      <c r="A9100" t="inlineStr">
        <is>
          <t>Jebaca</t>
        </is>
      </c>
    </row>
    <row r="9101" spans="1:1">
      <c r="A9101" t="inlineStr">
        <is>
          <t>Maalan</t>
        </is>
      </c>
    </row>
    <row r="9102" spans="1:1">
      <c r="A9102" t="inlineStr">
        <is>
          <t>Manayupit</t>
        </is>
      </c>
    </row>
    <row r="9103" spans="1:1">
      <c r="A9103" t="inlineStr">
        <is>
          <t>New Guia</t>
        </is>
      </c>
    </row>
    <row r="9104" spans="1:1">
      <c r="A9104" t="inlineStr">
        <is>
          <t>Old Guia</t>
        </is>
      </c>
    </row>
    <row r="9105" spans="1:1">
      <c r="A9105" t="inlineStr">
        <is>
          <t>Palaguian</t>
        </is>
      </c>
    </row>
    <row r="9106" spans="1:1">
      <c r="A9106" t="inlineStr">
        <is>
          <t>Parallan</t>
        </is>
      </c>
    </row>
    <row r="9107" spans="1:1">
      <c r="A9107" t="inlineStr">
        <is>
          <t>Piña</t>
        </is>
      </c>
    </row>
    <row r="9108" spans="1:1">
      <c r="A9108" t="inlineStr">
        <is>
          <t>Poblacion Ilawod</t>
        </is>
      </c>
    </row>
    <row r="9109" spans="1:1">
      <c r="A9109" t="inlineStr">
        <is>
          <t>Poblacion Ilaya</t>
        </is>
      </c>
    </row>
    <row r="9110" spans="1:1">
      <c r="A9110" t="inlineStr">
        <is>
          <t>Poblacion Tabuc</t>
        </is>
      </c>
    </row>
    <row r="9111" spans="1:1">
      <c r="A9111" t="inlineStr">
        <is>
          <t>Quevedo</t>
        </is>
      </c>
    </row>
    <row r="9112" spans="1:1">
      <c r="A9112" t="inlineStr">
        <is>
          <t>Quinabonglan</t>
        </is>
      </c>
    </row>
    <row r="9113" spans="1:1">
      <c r="A9113" t="inlineStr">
        <is>
          <t>Quinat-uyan</t>
        </is>
      </c>
    </row>
    <row r="9114" spans="1:1">
      <c r="A9114" t="inlineStr">
        <is>
          <t>Salgan</t>
        </is>
      </c>
    </row>
    <row r="9115" spans="1:1">
      <c r="A9115" t="inlineStr">
        <is>
          <t>Tapulang</t>
        </is>
      </c>
    </row>
    <row r="9116" spans="1:1">
      <c r="A9116" t="inlineStr">
        <is>
          <t>Tuburan</t>
        </is>
      </c>
    </row>
    <row r="9117" spans="1:1">
      <c r="A9117" t="inlineStr">
        <is>
          <t>West Villaflores</t>
        </is>
      </c>
    </row>
    <row r="9118" spans="1:1">
      <c r="A9118" t="inlineStr">
        <is>
          <t>Atiplo</t>
        </is>
      </c>
    </row>
    <row r="9119" spans="1:1">
      <c r="A9119" t="inlineStr">
        <is>
          <t>Balat-an</t>
        </is>
      </c>
    </row>
    <row r="9120" spans="1:1">
      <c r="A9120" t="inlineStr">
        <is>
          <t>Balit</t>
        </is>
      </c>
    </row>
    <row r="9121" spans="1:1">
      <c r="A9121" t="inlineStr">
        <is>
          <t>Batiano</t>
        </is>
      </c>
    </row>
    <row r="9122" spans="1:1">
      <c r="A9122" t="inlineStr">
        <is>
          <t>Bating</t>
        </is>
      </c>
    </row>
    <row r="9123" spans="1:1">
      <c r="A9123" t="inlineStr">
        <is>
          <t>Bato Bato</t>
        </is>
      </c>
    </row>
    <row r="9124" spans="1:1">
      <c r="A9124" t="inlineStr">
        <is>
          <t>Baye</t>
        </is>
      </c>
    </row>
    <row r="9125" spans="1:1">
      <c r="A9125" t="inlineStr">
        <is>
          <t>Bergante</t>
        </is>
      </c>
    </row>
    <row r="9126" spans="1:1">
      <c r="A9126" t="inlineStr">
        <is>
          <t>Bula</t>
        </is>
      </c>
    </row>
    <row r="9127" spans="1:1">
      <c r="A9127" t="inlineStr">
        <is>
          <t>Bunga</t>
        </is>
      </c>
    </row>
    <row r="9128" spans="1:1">
      <c r="A9128" t="inlineStr">
        <is>
          <t>Bungsi</t>
        </is>
      </c>
    </row>
    <row r="9129" spans="1:1">
      <c r="A9129" t="inlineStr">
        <is>
          <t>Burias</t>
        </is>
      </c>
    </row>
    <row r="9130" spans="1:1">
      <c r="A9130" t="inlineStr">
        <is>
          <t>Caidquid</t>
        </is>
      </c>
    </row>
    <row r="9131" spans="1:1">
      <c r="A9131" t="inlineStr">
        <is>
          <t>Cala-agus</t>
        </is>
      </c>
    </row>
    <row r="9132" spans="1:1">
      <c r="A9132" t="inlineStr">
        <is>
          <t>Libo-o</t>
        </is>
      </c>
    </row>
    <row r="9133" spans="1:1">
      <c r="A9133" t="inlineStr">
        <is>
          <t>Manibad</t>
        </is>
      </c>
    </row>
    <row r="9134" spans="1:1">
      <c r="A9134" t="inlineStr">
        <is>
          <t>Maralag</t>
        </is>
      </c>
    </row>
    <row r="9135" spans="1:1">
      <c r="A9135" t="inlineStr">
        <is>
          <t>Najus-an</t>
        </is>
      </c>
    </row>
    <row r="9136" spans="1:1">
      <c r="A9136" t="inlineStr">
        <is>
          <t>Pangpang Norte</t>
        </is>
      </c>
    </row>
    <row r="9137" spans="1:1">
      <c r="A9137" t="inlineStr">
        <is>
          <t>Pangpang Sur</t>
        </is>
      </c>
    </row>
    <row r="9138" spans="1:1">
      <c r="A9138" t="inlineStr">
        <is>
          <t>Pinay</t>
        </is>
      </c>
    </row>
    <row r="9139" spans="1:1">
      <c r="A9139" t="inlineStr">
        <is>
          <t>Poblacion Proper</t>
        </is>
      </c>
    </row>
    <row r="9140" spans="1:1">
      <c r="A9140" t="inlineStr">
        <is>
          <t>Poblacion Tabuc</t>
        </is>
      </c>
    </row>
    <row r="9141" spans="1:1">
      <c r="A9141" t="inlineStr">
        <is>
          <t>Sinondojan</t>
        </is>
      </c>
    </row>
    <row r="9142" spans="1:1">
      <c r="A9142" t="inlineStr">
        <is>
          <t>Tugas</t>
        </is>
      </c>
    </row>
    <row r="9143" spans="1:1">
      <c r="A9143" t="inlineStr">
        <is>
          <t>Tumalalud</t>
        </is>
      </c>
    </row>
    <row r="9144" spans="1:1">
      <c r="A9144" t="inlineStr">
        <is>
          <t>Agbalo</t>
        </is>
      </c>
    </row>
    <row r="9145" spans="1:1">
      <c r="A9145" t="inlineStr">
        <is>
          <t>Agbanban</t>
        </is>
      </c>
    </row>
    <row r="9146" spans="1:1">
      <c r="A9146" t="inlineStr">
        <is>
          <t>Agojo</t>
        </is>
      </c>
    </row>
    <row r="9147" spans="1:1">
      <c r="A9147" t="inlineStr">
        <is>
          <t>Anhawon</t>
        </is>
      </c>
    </row>
    <row r="9148" spans="1:1">
      <c r="A9148" t="inlineStr">
        <is>
          <t>Bagacay</t>
        </is>
      </c>
    </row>
    <row r="9149" spans="1:1">
      <c r="A9149" t="inlineStr">
        <is>
          <t>Bago Chiquito</t>
        </is>
      </c>
    </row>
    <row r="9150" spans="1:1">
      <c r="A9150" t="inlineStr">
        <is>
          <t>Bago Grande</t>
        </is>
      </c>
    </row>
    <row r="9151" spans="1:1">
      <c r="A9151" t="inlineStr">
        <is>
          <t>Bahit</t>
        </is>
      </c>
    </row>
    <row r="9152" spans="1:1">
      <c r="A9152" t="inlineStr">
        <is>
          <t>Bantique</t>
        </is>
      </c>
    </row>
    <row r="9153" spans="1:1">
      <c r="A9153" t="inlineStr">
        <is>
          <t>Bato</t>
        </is>
      </c>
    </row>
    <row r="9154" spans="1:1">
      <c r="A9154" t="inlineStr">
        <is>
          <t>Binangig</t>
        </is>
      </c>
    </row>
    <row r="9155" spans="1:1">
      <c r="A9155" t="inlineStr">
        <is>
          <t>Binantuan</t>
        </is>
      </c>
    </row>
    <row r="9156" spans="1:1">
      <c r="A9156" t="inlineStr">
        <is>
          <t>Bonga</t>
        </is>
      </c>
    </row>
    <row r="9157" spans="1:1">
      <c r="A9157" t="inlineStr">
        <is>
          <t>Buntod</t>
        </is>
      </c>
    </row>
    <row r="9158" spans="1:1">
      <c r="A9158" t="inlineStr">
        <is>
          <t>Butacal</t>
        </is>
      </c>
    </row>
    <row r="9159" spans="1:1">
      <c r="A9159" t="inlineStr">
        <is>
          <t>Cabugao Este</t>
        </is>
      </c>
    </row>
    <row r="9160" spans="1:1">
      <c r="A9160" t="inlineStr">
        <is>
          <t>Cabugao Oeste</t>
        </is>
      </c>
    </row>
    <row r="9161" spans="1:1">
      <c r="A9161" t="inlineStr">
        <is>
          <t>Calapawan</t>
        </is>
      </c>
    </row>
    <row r="9162" spans="1:1">
      <c r="A9162" t="inlineStr">
        <is>
          <t>Calitan</t>
        </is>
      </c>
    </row>
    <row r="9163" spans="1:1">
      <c r="A9163" t="inlineStr">
        <is>
          <t>Candual</t>
        </is>
      </c>
    </row>
    <row r="9164" spans="1:1">
      <c r="A9164" t="inlineStr">
        <is>
          <t>Cogon</t>
        </is>
      </c>
    </row>
    <row r="9165" spans="1:1">
      <c r="A9165" t="inlineStr">
        <is>
          <t>Daga</t>
        </is>
      </c>
    </row>
    <row r="9166" spans="1:1">
      <c r="A9166" t="inlineStr">
        <is>
          <t>Ilamnay</t>
        </is>
      </c>
    </row>
    <row r="9167" spans="1:1">
      <c r="A9167" t="inlineStr">
        <is>
          <t>Jamul-awon</t>
        </is>
      </c>
    </row>
    <row r="9168" spans="1:1">
      <c r="A9168" t="inlineStr">
        <is>
          <t>Lanipga</t>
        </is>
      </c>
    </row>
    <row r="9169" spans="1:1">
      <c r="A9169" t="inlineStr">
        <is>
          <t>Lat-Asan</t>
        </is>
      </c>
    </row>
    <row r="9170" spans="1:1">
      <c r="A9170" t="inlineStr">
        <is>
          <t>Libon</t>
        </is>
      </c>
    </row>
    <row r="9171" spans="1:1">
      <c r="A9171" t="inlineStr">
        <is>
          <t>Linao</t>
        </is>
      </c>
    </row>
    <row r="9172" spans="1:1">
      <c r="A9172" t="inlineStr">
        <is>
          <t>Linateran</t>
        </is>
      </c>
    </row>
    <row r="9173" spans="1:1">
      <c r="A9173" t="inlineStr">
        <is>
          <t>Lomboy</t>
        </is>
      </c>
    </row>
    <row r="9174" spans="1:1">
      <c r="A9174" t="inlineStr">
        <is>
          <t>Lus-Onan</t>
        </is>
      </c>
    </row>
    <row r="9175" spans="1:1">
      <c r="A9175" t="inlineStr">
        <is>
          <t>Magubilan</t>
        </is>
      </c>
    </row>
    <row r="9176" spans="1:1">
      <c r="A9176" t="inlineStr">
        <is>
          <t>Navitas</t>
        </is>
      </c>
    </row>
    <row r="9177" spans="1:1">
      <c r="A9177" t="inlineStr">
        <is>
          <t>Pawa</t>
        </is>
      </c>
    </row>
    <row r="9178" spans="1:1">
      <c r="A9178" t="inlineStr">
        <is>
          <t>Pili</t>
        </is>
      </c>
    </row>
    <row r="9179" spans="1:1">
      <c r="A9179" t="inlineStr">
        <is>
          <t>Poblacion Ilawod</t>
        </is>
      </c>
    </row>
    <row r="9180" spans="1:1">
      <c r="A9180" t="inlineStr">
        <is>
          <t>Poblacion Ilaya</t>
        </is>
      </c>
    </row>
    <row r="9181" spans="1:1">
      <c r="A9181" t="inlineStr">
        <is>
          <t>Poblacion Tabuc</t>
        </is>
      </c>
    </row>
    <row r="9182" spans="1:1">
      <c r="A9182" t="inlineStr">
        <is>
          <t>Talasa</t>
        </is>
      </c>
    </row>
    <row r="9183" spans="1:1">
      <c r="A9183" t="inlineStr">
        <is>
          <t>Tanza Norte</t>
        </is>
      </c>
    </row>
    <row r="9184" spans="1:1">
      <c r="A9184" t="inlineStr">
        <is>
          <t>Tanza Sur</t>
        </is>
      </c>
    </row>
    <row r="9185" spans="1:1">
      <c r="A9185" t="inlineStr">
        <is>
          <t>Tico</t>
        </is>
      </c>
    </row>
    <row r="9186" spans="1:1">
      <c r="A9186" t="inlineStr">
        <is>
          <t>Agbabadiang</t>
        </is>
      </c>
    </row>
    <row r="9187" spans="1:1">
      <c r="A9187" t="inlineStr">
        <is>
          <t>Agkilo</t>
        </is>
      </c>
    </row>
    <row r="9188" spans="1:1">
      <c r="A9188" t="inlineStr">
        <is>
          <t>Agloway</t>
        </is>
      </c>
    </row>
    <row r="9189" spans="1:1">
      <c r="A9189" t="inlineStr">
        <is>
          <t>Ambilay</t>
        </is>
      </c>
    </row>
    <row r="9190" spans="1:1">
      <c r="A9190" t="inlineStr">
        <is>
          <t>Bahit</t>
        </is>
      </c>
    </row>
    <row r="9191" spans="1:1">
      <c r="A9191" t="inlineStr">
        <is>
          <t>Balatucan</t>
        </is>
      </c>
    </row>
    <row r="9192" spans="1:1">
      <c r="A9192" t="inlineStr">
        <is>
          <t>Banga-an</t>
        </is>
      </c>
    </row>
    <row r="9193" spans="1:1">
      <c r="A9193" t="inlineStr">
        <is>
          <t>Cabangahan</t>
        </is>
      </c>
    </row>
    <row r="9194" spans="1:1">
      <c r="A9194" t="inlineStr">
        <is>
          <t>Cabugao</t>
        </is>
      </c>
    </row>
    <row r="9195" spans="1:1">
      <c r="A9195" t="inlineStr">
        <is>
          <t>Cadio</t>
        </is>
      </c>
    </row>
    <row r="9196" spans="1:1">
      <c r="A9196" t="inlineStr">
        <is>
          <t>Cala-an</t>
        </is>
      </c>
    </row>
    <row r="9197" spans="1:1">
      <c r="A9197" t="inlineStr">
        <is>
          <t>Capagao</t>
        </is>
      </c>
    </row>
    <row r="9198" spans="1:1">
      <c r="A9198" t="inlineStr">
        <is>
          <t>Cogon</t>
        </is>
      </c>
    </row>
    <row r="9199" spans="1:1">
      <c r="A9199" t="inlineStr">
        <is>
          <t>Conciencia</t>
        </is>
      </c>
    </row>
    <row r="9200" spans="1:1">
      <c r="A9200" t="inlineStr">
        <is>
          <t>Ensenagan</t>
        </is>
      </c>
    </row>
    <row r="9201" spans="1:1">
      <c r="A9201" t="inlineStr">
        <is>
          <t>Intampilan</t>
        </is>
      </c>
    </row>
    <row r="9202" spans="1:1">
      <c r="A9202" t="inlineStr">
        <is>
          <t>Pasugue</t>
        </is>
      </c>
    </row>
    <row r="9203" spans="1:1">
      <c r="A9203" t="inlineStr">
        <is>
          <t>Poblacion Ilawod</t>
        </is>
      </c>
    </row>
    <row r="9204" spans="1:1">
      <c r="A9204" t="inlineStr">
        <is>
          <t>Poblacion Ilaya</t>
        </is>
      </c>
    </row>
    <row r="9205" spans="1:1">
      <c r="A9205" t="inlineStr">
        <is>
          <t>Quios</t>
        </is>
      </c>
    </row>
    <row r="9206" spans="1:1">
      <c r="A9206" t="inlineStr">
        <is>
          <t>Salocon</t>
        </is>
      </c>
    </row>
    <row r="9207" spans="1:1">
      <c r="A9207" t="inlineStr">
        <is>
          <t>Tabuc Norte</t>
        </is>
      </c>
    </row>
    <row r="9208" spans="1:1">
      <c r="A9208" t="inlineStr">
        <is>
          <t>Tabuc Sur</t>
        </is>
      </c>
    </row>
    <row r="9209" spans="1:1">
      <c r="A9209" t="inlineStr">
        <is>
          <t>Timpas</t>
        </is>
      </c>
    </row>
    <row r="9210" spans="1:1">
      <c r="A9210" t="inlineStr">
        <is>
          <t>Tincupon</t>
        </is>
      </c>
    </row>
    <row r="9211" spans="1:1">
      <c r="A9211" t="inlineStr">
        <is>
          <t>Tinigban</t>
        </is>
      </c>
    </row>
    <row r="9212" spans="1:1">
      <c r="A9212" t="inlineStr">
        <is>
          <t>Balogo</t>
        </is>
      </c>
    </row>
    <row r="9213" spans="1:1">
      <c r="A9213" t="inlineStr">
        <is>
          <t>Binaobawan</t>
        </is>
      </c>
    </row>
    <row r="9214" spans="1:1">
      <c r="A9214" t="inlineStr">
        <is>
          <t>Blasco</t>
        </is>
      </c>
    </row>
    <row r="9215" spans="1:1">
      <c r="A9215" t="inlineStr">
        <is>
          <t>Casanayan</t>
        </is>
      </c>
    </row>
    <row r="9216" spans="1:1">
      <c r="A9216" t="inlineStr">
        <is>
          <t>Cayus</t>
        </is>
      </c>
    </row>
    <row r="9217" spans="1:1">
      <c r="A9217" t="inlineStr">
        <is>
          <t>Dayhagan</t>
        </is>
      </c>
    </row>
    <row r="9218" spans="1:1">
      <c r="A9218" t="inlineStr">
        <is>
          <t>Dulangan</t>
        </is>
      </c>
    </row>
    <row r="9219" spans="1:1">
      <c r="A9219" t="inlineStr">
        <is>
          <t>Monteflor</t>
        </is>
      </c>
    </row>
    <row r="9220" spans="1:1">
      <c r="A9220" t="inlineStr">
        <is>
          <t>Natividad</t>
        </is>
      </c>
    </row>
    <row r="9221" spans="1:1">
      <c r="A9221" t="inlineStr">
        <is>
          <t>Olalo</t>
        </is>
      </c>
    </row>
    <row r="9222" spans="1:1">
      <c r="A9222" t="inlineStr">
        <is>
          <t>Poblacion</t>
        </is>
      </c>
    </row>
    <row r="9223" spans="1:1">
      <c r="A9223" t="inlineStr">
        <is>
          <t>Rosario</t>
        </is>
      </c>
    </row>
    <row r="9224" spans="1:1">
      <c r="A9224" t="inlineStr">
        <is>
          <t>San Antonio</t>
        </is>
      </c>
    </row>
    <row r="9225" spans="1:1">
      <c r="A9225" t="inlineStr">
        <is>
          <t>San Blas</t>
        </is>
      </c>
    </row>
    <row r="9226" spans="1:1">
      <c r="A9226" t="inlineStr">
        <is>
          <t>San Esteban</t>
        </is>
      </c>
    </row>
    <row r="9227" spans="1:1">
      <c r="A9227" t="inlineStr">
        <is>
          <t>San Fernando</t>
        </is>
      </c>
    </row>
    <row r="9228" spans="1:1">
      <c r="A9228" t="inlineStr">
        <is>
          <t>San Nicolas</t>
        </is>
      </c>
    </row>
    <row r="9229" spans="1:1">
      <c r="A9229" t="inlineStr">
        <is>
          <t>San Pedro</t>
        </is>
      </c>
    </row>
    <row r="9230" spans="1:1">
      <c r="A9230" t="inlineStr">
        <is>
          <t>San Ramon</t>
        </is>
      </c>
    </row>
    <row r="9231" spans="1:1">
      <c r="A9231" t="inlineStr">
        <is>
          <t>San Silvestre</t>
        </is>
      </c>
    </row>
    <row r="9232" spans="1:1">
      <c r="A9232" t="inlineStr">
        <is>
          <t>Santa Fe</t>
        </is>
      </c>
    </row>
    <row r="9233" spans="1:1">
      <c r="A9233" t="inlineStr">
        <is>
          <t>Sinamongan</t>
        </is>
      </c>
    </row>
    <row r="9234" spans="1:1">
      <c r="A9234" t="inlineStr">
        <is>
          <t>Tabun-acan</t>
        </is>
      </c>
    </row>
    <row r="9235" spans="1:1">
      <c r="A9235" t="inlineStr">
        <is>
          <t>Yating</t>
        </is>
      </c>
    </row>
    <row r="9236" spans="1:1">
      <c r="A9236" t="inlineStr">
        <is>
          <t>Agbanog</t>
        </is>
      </c>
    </row>
    <row r="9237" spans="1:1">
      <c r="A9237" t="inlineStr">
        <is>
          <t>Agdalipe</t>
        </is>
      </c>
    </row>
    <row r="9238" spans="1:1">
      <c r="A9238" t="inlineStr">
        <is>
          <t>Ameligan</t>
        </is>
      </c>
    </row>
    <row r="9239" spans="1:1">
      <c r="A9239" t="inlineStr">
        <is>
          <t>Bailan</t>
        </is>
      </c>
    </row>
    <row r="9240" spans="1:1">
      <c r="A9240" t="inlineStr">
        <is>
          <t>Banate</t>
        </is>
      </c>
    </row>
    <row r="9241" spans="1:1">
      <c r="A9241" t="inlineStr">
        <is>
          <t>Bantigue</t>
        </is>
      </c>
    </row>
    <row r="9242" spans="1:1">
      <c r="A9242" t="inlineStr">
        <is>
          <t>Binuntucan</t>
        </is>
      </c>
    </row>
    <row r="9243" spans="1:1">
      <c r="A9243" t="inlineStr">
        <is>
          <t>Cabugao</t>
        </is>
      </c>
    </row>
    <row r="9244" spans="1:1">
      <c r="A9244" t="inlineStr">
        <is>
          <t>Gabuc</t>
        </is>
      </c>
    </row>
    <row r="9245" spans="1:1">
      <c r="A9245" t="inlineStr">
        <is>
          <t>Guba</t>
        </is>
      </c>
    </row>
    <row r="9246" spans="1:1">
      <c r="A9246" t="inlineStr">
        <is>
          <t>Hipona</t>
        </is>
      </c>
    </row>
    <row r="9247" spans="1:1">
      <c r="A9247" t="inlineStr">
        <is>
          <t>Ilawod</t>
        </is>
      </c>
    </row>
    <row r="9248" spans="1:1">
      <c r="A9248" t="inlineStr">
        <is>
          <t>Ilaya</t>
        </is>
      </c>
    </row>
    <row r="9249" spans="1:1">
      <c r="A9249" t="inlineStr">
        <is>
          <t>Intungcan</t>
        </is>
      </c>
    </row>
    <row r="9250" spans="1:1">
      <c r="A9250" t="inlineStr">
        <is>
          <t>Jolongajog</t>
        </is>
      </c>
    </row>
    <row r="9251" spans="1:1">
      <c r="A9251" t="inlineStr">
        <is>
          <t>Lantangan</t>
        </is>
      </c>
    </row>
    <row r="9252" spans="1:1">
      <c r="A9252" t="inlineStr">
        <is>
          <t>Linampongan</t>
        </is>
      </c>
    </row>
    <row r="9253" spans="1:1">
      <c r="A9253" t="inlineStr">
        <is>
          <t>Malag-it</t>
        </is>
      </c>
    </row>
    <row r="9254" spans="1:1">
      <c r="A9254" t="inlineStr">
        <is>
          <t>Manapao</t>
        </is>
      </c>
    </row>
    <row r="9255" spans="1:1">
      <c r="A9255" t="inlineStr">
        <is>
          <t>Rizal</t>
        </is>
      </c>
    </row>
    <row r="9256" spans="1:1">
      <c r="A9256" t="inlineStr">
        <is>
          <t>San Pedro</t>
        </is>
      </c>
    </row>
    <row r="9257" spans="1:1">
      <c r="A9257" t="inlineStr">
        <is>
          <t>Solo</t>
        </is>
      </c>
    </row>
    <row r="9258" spans="1:1">
      <c r="A9258" t="inlineStr">
        <is>
          <t>Sublangon</t>
        </is>
      </c>
    </row>
    <row r="9259" spans="1:1">
      <c r="A9259" t="inlineStr">
        <is>
          <t>Tabuc</t>
        </is>
      </c>
    </row>
    <row r="9260" spans="1:1">
      <c r="A9260" t="inlineStr">
        <is>
          <t>Tacas</t>
        </is>
      </c>
    </row>
    <row r="9261" spans="1:1">
      <c r="A9261" t="inlineStr">
        <is>
          <t>Yatingan</t>
        </is>
      </c>
    </row>
    <row r="9262" spans="1:1">
      <c r="A9262" t="inlineStr">
        <is>
          <t>Aranguel</t>
        </is>
      </c>
    </row>
    <row r="9263" spans="1:1">
      <c r="A9263" t="inlineStr">
        <is>
          <t>Badiangon</t>
        </is>
      </c>
    </row>
    <row r="9264" spans="1:1">
      <c r="A9264" t="inlineStr">
        <is>
          <t>Bayuyan</t>
        </is>
      </c>
    </row>
    <row r="9265" spans="1:1">
      <c r="A9265" t="inlineStr">
        <is>
          <t>Cabugcabug</t>
        </is>
      </c>
    </row>
    <row r="9266" spans="1:1">
      <c r="A9266" t="inlineStr">
        <is>
          <t>Carmencita</t>
        </is>
      </c>
    </row>
    <row r="9267" spans="1:1">
      <c r="A9267" t="inlineStr">
        <is>
          <t>Cubay</t>
        </is>
      </c>
    </row>
    <row r="9268" spans="1:1">
      <c r="A9268" t="inlineStr">
        <is>
          <t>Culilang</t>
        </is>
      </c>
    </row>
    <row r="9269" spans="1:1">
      <c r="A9269" t="inlineStr">
        <is>
          <t>Goce</t>
        </is>
      </c>
    </row>
    <row r="9270" spans="1:1">
      <c r="A9270" t="inlineStr">
        <is>
          <t>Hanglid</t>
        </is>
      </c>
    </row>
    <row r="9271" spans="1:1">
      <c r="A9271" t="inlineStr">
        <is>
          <t>Ibaca</t>
        </is>
      </c>
    </row>
    <row r="9272" spans="1:1">
      <c r="A9272" t="inlineStr">
        <is>
          <t>Madulano</t>
        </is>
      </c>
    </row>
    <row r="9273" spans="1:1">
      <c r="A9273" t="inlineStr">
        <is>
          <t>Manoling</t>
        </is>
      </c>
    </row>
    <row r="9274" spans="1:1">
      <c r="A9274" t="inlineStr">
        <is>
          <t>Marita</t>
        </is>
      </c>
    </row>
    <row r="9275" spans="1:1">
      <c r="A9275" t="inlineStr">
        <is>
          <t>Pandan</t>
        </is>
      </c>
    </row>
    <row r="9276" spans="1:1">
      <c r="A9276" t="inlineStr">
        <is>
          <t>Pantalan Cabugcabug</t>
        </is>
      </c>
    </row>
    <row r="9277" spans="1:1">
      <c r="A9277" t="inlineStr">
        <is>
          <t>Pinamihagan</t>
        </is>
      </c>
    </row>
    <row r="9278" spans="1:1">
      <c r="A9278" t="inlineStr">
        <is>
          <t>Poblacion</t>
        </is>
      </c>
    </row>
    <row r="9279" spans="1:1">
      <c r="A9279" t="inlineStr">
        <is>
          <t>Pondol</t>
        </is>
      </c>
    </row>
    <row r="9280" spans="1:1">
      <c r="A9280" t="inlineStr">
        <is>
          <t>Quiajo</t>
        </is>
      </c>
    </row>
    <row r="9281" spans="1:1">
      <c r="A9281" t="inlineStr">
        <is>
          <t>Sangkal</t>
        </is>
      </c>
    </row>
    <row r="9282" spans="1:1">
      <c r="A9282" t="inlineStr">
        <is>
          <t>Santo Niño</t>
        </is>
      </c>
    </row>
    <row r="9283" spans="1:1">
      <c r="A9283" t="inlineStr">
        <is>
          <t>Vizcaya</t>
        </is>
      </c>
    </row>
    <row r="9284" spans="1:1">
      <c r="A9284" t="inlineStr">
        <is>
          <t>Agsilab</t>
        </is>
      </c>
    </row>
    <row r="9285" spans="1:1">
      <c r="A9285" t="inlineStr">
        <is>
          <t>Agtatacay Norte</t>
        </is>
      </c>
    </row>
    <row r="9286" spans="1:1">
      <c r="A9286" t="inlineStr">
        <is>
          <t>Agtatacay Sur</t>
        </is>
      </c>
    </row>
    <row r="9287" spans="1:1">
      <c r="A9287" t="inlineStr">
        <is>
          <t>Bilao</t>
        </is>
      </c>
    </row>
    <row r="9288" spans="1:1">
      <c r="A9288" t="inlineStr">
        <is>
          <t>Damayan</t>
        </is>
      </c>
    </row>
    <row r="9289" spans="1:1">
      <c r="A9289" t="inlineStr">
        <is>
          <t>Dapdapan</t>
        </is>
      </c>
    </row>
    <row r="9290" spans="1:1">
      <c r="A9290" t="inlineStr">
        <is>
          <t>Lonoy</t>
        </is>
      </c>
    </row>
    <row r="9291" spans="1:1">
      <c r="A9291" t="inlineStr">
        <is>
          <t>Majanlud</t>
        </is>
      </c>
    </row>
    <row r="9292" spans="1:1">
      <c r="A9292" t="inlineStr">
        <is>
          <t>Maninang</t>
        </is>
      </c>
    </row>
    <row r="9293" spans="1:1">
      <c r="A9293" t="inlineStr">
        <is>
          <t>Poblacion</t>
        </is>
      </c>
    </row>
    <row r="9294" spans="1:1">
      <c r="A9294" t="inlineStr">
        <is>
          <t>Acbo</t>
        </is>
      </c>
    </row>
    <row r="9295" spans="1:1">
      <c r="A9295" t="inlineStr">
        <is>
          <t>Amaga</t>
        </is>
      </c>
    </row>
    <row r="9296" spans="1:1">
      <c r="A9296" t="inlineStr">
        <is>
          <t>Balucuan</t>
        </is>
      </c>
    </row>
    <row r="9297" spans="1:1">
      <c r="A9297" t="inlineStr">
        <is>
          <t>Bangonbangon</t>
        </is>
      </c>
    </row>
    <row r="9298" spans="1:1">
      <c r="A9298" t="inlineStr">
        <is>
          <t>Capuyhan</t>
        </is>
      </c>
    </row>
    <row r="9299" spans="1:1">
      <c r="A9299" t="inlineStr">
        <is>
          <t>Cogon</t>
        </is>
      </c>
    </row>
    <row r="9300" spans="1:1">
      <c r="A9300" t="inlineStr">
        <is>
          <t>Dayhagon</t>
        </is>
      </c>
    </row>
    <row r="9301" spans="1:1">
      <c r="A9301" t="inlineStr">
        <is>
          <t>Guintas</t>
        </is>
      </c>
    </row>
    <row r="9302" spans="1:1">
      <c r="A9302" t="inlineStr">
        <is>
          <t>Malapad Cogon</t>
        </is>
      </c>
    </row>
    <row r="9303" spans="1:1">
      <c r="A9303" t="inlineStr">
        <is>
          <t>Mangoso</t>
        </is>
      </c>
    </row>
    <row r="9304" spans="1:1">
      <c r="A9304" t="inlineStr">
        <is>
          <t>Mansacul</t>
        </is>
      </c>
    </row>
    <row r="9305" spans="1:1">
      <c r="A9305" t="inlineStr">
        <is>
          <t>Matangcong</t>
        </is>
      </c>
    </row>
    <row r="9306" spans="1:1">
      <c r="A9306" t="inlineStr">
        <is>
          <t>Matinabus</t>
        </is>
      </c>
    </row>
    <row r="9307" spans="1:1">
      <c r="A9307" t="inlineStr">
        <is>
          <t>Mianay</t>
        </is>
      </c>
    </row>
    <row r="9308" spans="1:1">
      <c r="A9308" t="inlineStr">
        <is>
          <t>Oyong</t>
        </is>
      </c>
    </row>
    <row r="9309" spans="1:1">
      <c r="A9309" t="inlineStr">
        <is>
          <t>Pagbunitan</t>
        </is>
      </c>
    </row>
    <row r="9310" spans="1:1">
      <c r="A9310" t="inlineStr">
        <is>
          <t>Parian</t>
        </is>
      </c>
    </row>
    <row r="9311" spans="1:1">
      <c r="A9311" t="inlineStr">
        <is>
          <t>Pinamalatican</t>
        </is>
      </c>
    </row>
    <row r="9312" spans="1:1">
      <c r="A9312" t="inlineStr">
        <is>
          <t>Poblacion Norte</t>
        </is>
      </c>
    </row>
    <row r="9313" spans="1:1">
      <c r="A9313" t="inlineStr">
        <is>
          <t>Poblacion Sur</t>
        </is>
      </c>
    </row>
    <row r="9314" spans="1:1">
      <c r="A9314" t="inlineStr">
        <is>
          <t>Tawog</t>
        </is>
      </c>
    </row>
    <row r="9315" spans="1:1">
      <c r="A9315" t="inlineStr">
        <is>
          <t>Abangay</t>
        </is>
      </c>
    </row>
    <row r="9316" spans="1:1">
      <c r="A9316" t="inlineStr">
        <is>
          <t>Acuña</t>
        </is>
      </c>
    </row>
    <row r="9317" spans="1:1">
      <c r="A9317" t="inlineStr">
        <is>
          <t>Agcococ</t>
        </is>
      </c>
    </row>
    <row r="9318" spans="1:1">
      <c r="A9318" t="inlineStr">
        <is>
          <t>Aglinab</t>
        </is>
      </c>
    </row>
    <row r="9319" spans="1:1">
      <c r="A9319" t="inlineStr">
        <is>
          <t>Aglupacan</t>
        </is>
      </c>
    </row>
    <row r="9320" spans="1:1">
      <c r="A9320" t="inlineStr">
        <is>
          <t>Agpalali</t>
        </is>
      </c>
    </row>
    <row r="9321" spans="1:1">
      <c r="A9321" t="inlineStr">
        <is>
          <t>Apero</t>
        </is>
      </c>
    </row>
    <row r="9322" spans="1:1">
      <c r="A9322" t="inlineStr">
        <is>
          <t>Artuz</t>
        </is>
      </c>
    </row>
    <row r="9323" spans="1:1">
      <c r="A9323" t="inlineStr">
        <is>
          <t>Bag-Ong Barrio</t>
        </is>
      </c>
    </row>
    <row r="9324" spans="1:1">
      <c r="A9324" t="inlineStr">
        <is>
          <t>Bato-bato</t>
        </is>
      </c>
    </row>
    <row r="9325" spans="1:1">
      <c r="A9325" t="inlineStr">
        <is>
          <t>Buri</t>
        </is>
      </c>
    </row>
    <row r="9326" spans="1:1">
      <c r="A9326" t="inlineStr">
        <is>
          <t>Camburanan</t>
        </is>
      </c>
    </row>
    <row r="9327" spans="1:1">
      <c r="A9327" t="inlineStr">
        <is>
          <t>Candelaria</t>
        </is>
      </c>
    </row>
    <row r="9328" spans="1:1">
      <c r="A9328" t="inlineStr">
        <is>
          <t>Carida</t>
        </is>
      </c>
    </row>
    <row r="9329" spans="1:1">
      <c r="A9329" t="inlineStr">
        <is>
          <t>Cristina</t>
        </is>
      </c>
    </row>
    <row r="9330" spans="1:1">
      <c r="A9330" t="inlineStr">
        <is>
          <t>Da-an Banwa</t>
        </is>
      </c>
    </row>
    <row r="9331" spans="1:1">
      <c r="A9331" t="inlineStr">
        <is>
          <t>Da-an Norte</t>
        </is>
      </c>
    </row>
    <row r="9332" spans="1:1">
      <c r="A9332" t="inlineStr">
        <is>
          <t>Da-an Sur</t>
        </is>
      </c>
    </row>
    <row r="9333" spans="1:1">
      <c r="A9333" t="inlineStr">
        <is>
          <t>Garcia</t>
        </is>
      </c>
    </row>
    <row r="9334" spans="1:1">
      <c r="A9334" t="inlineStr">
        <is>
          <t>Gebio-an</t>
        </is>
      </c>
    </row>
    <row r="9335" spans="1:1">
      <c r="A9335" t="inlineStr">
        <is>
          <t>Hilwan</t>
        </is>
      </c>
    </row>
    <row r="9336" spans="1:1">
      <c r="A9336" t="inlineStr">
        <is>
          <t>Initan</t>
        </is>
      </c>
    </row>
    <row r="9337" spans="1:1">
      <c r="A9337" t="inlineStr">
        <is>
          <t>Katipunan</t>
        </is>
      </c>
    </row>
    <row r="9338" spans="1:1">
      <c r="A9338" t="inlineStr">
        <is>
          <t>Lagdungan</t>
        </is>
      </c>
    </row>
    <row r="9339" spans="1:1">
      <c r="A9339" t="inlineStr">
        <is>
          <t>Lahug</t>
        </is>
      </c>
    </row>
    <row r="9340" spans="1:1">
      <c r="A9340" t="inlineStr">
        <is>
          <t>Libertad</t>
        </is>
      </c>
    </row>
    <row r="9341" spans="1:1">
      <c r="A9341" t="inlineStr">
        <is>
          <t>Mabini</t>
        </is>
      </c>
    </row>
    <row r="9342" spans="1:1">
      <c r="A9342" t="inlineStr">
        <is>
          <t>Maliao</t>
        </is>
      </c>
    </row>
    <row r="9343" spans="1:1">
      <c r="A9343" t="inlineStr">
        <is>
          <t>Malitbog</t>
        </is>
      </c>
    </row>
    <row r="9344" spans="1:1">
      <c r="A9344" t="inlineStr">
        <is>
          <t>Minan</t>
        </is>
      </c>
    </row>
    <row r="9345" spans="1:1">
      <c r="A9345" t="inlineStr">
        <is>
          <t>Nayawan</t>
        </is>
      </c>
    </row>
    <row r="9346" spans="1:1">
      <c r="A9346" t="inlineStr">
        <is>
          <t>Poblacion</t>
        </is>
      </c>
    </row>
    <row r="9347" spans="1:1">
      <c r="A9347" t="inlineStr">
        <is>
          <t>Rizal Norte</t>
        </is>
      </c>
    </row>
    <row r="9348" spans="1:1">
      <c r="A9348" t="inlineStr">
        <is>
          <t>Rizal Sur</t>
        </is>
      </c>
    </row>
    <row r="9349" spans="1:1">
      <c r="A9349" t="inlineStr">
        <is>
          <t>Roosevelt</t>
        </is>
      </c>
    </row>
    <row r="9350" spans="1:1">
      <c r="A9350" t="inlineStr">
        <is>
          <t>Roxas</t>
        </is>
      </c>
    </row>
    <row r="9351" spans="1:1">
      <c r="A9351" t="inlineStr">
        <is>
          <t>Salong</t>
        </is>
      </c>
    </row>
    <row r="9352" spans="1:1">
      <c r="A9352" t="inlineStr">
        <is>
          <t>San Antonio</t>
        </is>
      </c>
    </row>
    <row r="9353" spans="1:1">
      <c r="A9353" t="inlineStr">
        <is>
          <t>San Francisco</t>
        </is>
      </c>
    </row>
    <row r="9354" spans="1:1">
      <c r="A9354" t="inlineStr">
        <is>
          <t>San Jose</t>
        </is>
      </c>
    </row>
    <row r="9355" spans="1:1">
      <c r="A9355" t="inlineStr">
        <is>
          <t>San Julian</t>
        </is>
      </c>
    </row>
    <row r="9356" spans="1:1">
      <c r="A9356" t="inlineStr">
        <is>
          <t>San Miguel Ilawod</t>
        </is>
      </c>
    </row>
    <row r="9357" spans="1:1">
      <c r="A9357" t="inlineStr">
        <is>
          <t>San Miguel Ilaya</t>
        </is>
      </c>
    </row>
    <row r="9358" spans="1:1">
      <c r="A9358" t="inlineStr">
        <is>
          <t>San Nicolas</t>
        </is>
      </c>
    </row>
    <row r="9359" spans="1:1">
      <c r="A9359" t="inlineStr">
        <is>
          <t>San Pedro</t>
        </is>
      </c>
    </row>
    <row r="9360" spans="1:1">
      <c r="A9360" t="inlineStr">
        <is>
          <t>San Roque</t>
        </is>
      </c>
    </row>
    <row r="9361" spans="1:1">
      <c r="A9361" t="inlineStr">
        <is>
          <t>San Vicente</t>
        </is>
      </c>
    </row>
    <row r="9362" spans="1:1">
      <c r="A9362" t="inlineStr">
        <is>
          <t>Santa Ana</t>
        </is>
      </c>
    </row>
    <row r="9363" spans="1:1">
      <c r="A9363" t="inlineStr">
        <is>
          <t>Santa Petronila</t>
        </is>
      </c>
    </row>
    <row r="9364" spans="1:1">
      <c r="A9364" t="inlineStr">
        <is>
          <t>Senonod</t>
        </is>
      </c>
    </row>
    <row r="9365" spans="1:1">
      <c r="A9365" t="inlineStr">
        <is>
          <t>Siya</t>
        </is>
      </c>
    </row>
    <row r="9366" spans="1:1">
      <c r="A9366" t="inlineStr">
        <is>
          <t>Switch</t>
        </is>
      </c>
    </row>
    <row r="9367" spans="1:1">
      <c r="A9367" t="inlineStr">
        <is>
          <t>Tabon</t>
        </is>
      </c>
    </row>
    <row r="9368" spans="1:1">
      <c r="A9368" t="inlineStr">
        <is>
          <t>Tacayan</t>
        </is>
      </c>
    </row>
    <row r="9369" spans="1:1">
      <c r="A9369" t="inlineStr">
        <is>
          <t>Taft</t>
        </is>
      </c>
    </row>
    <row r="9370" spans="1:1">
      <c r="A9370" t="inlineStr">
        <is>
          <t>Taganghin</t>
        </is>
      </c>
    </row>
    <row r="9371" spans="1:1">
      <c r="A9371" t="inlineStr">
        <is>
          <t>Taslan</t>
        </is>
      </c>
    </row>
    <row r="9372" spans="1:1">
      <c r="A9372" t="inlineStr">
        <is>
          <t>Wright</t>
        </is>
      </c>
    </row>
    <row r="9373" spans="1:1">
      <c r="A9373" t="inlineStr">
        <is>
          <t>Antipolo</t>
        </is>
      </c>
    </row>
    <row r="9374" spans="1:1">
      <c r="A9374" t="inlineStr">
        <is>
          <t>Bacak</t>
        </is>
      </c>
    </row>
    <row r="9375" spans="1:1">
      <c r="A9375" t="inlineStr">
        <is>
          <t>Bagatabao</t>
        </is>
      </c>
    </row>
    <row r="9376" spans="1:1">
      <c r="A9376" t="inlineStr">
        <is>
          <t>Bugao</t>
        </is>
      </c>
    </row>
    <row r="9377" spans="1:1">
      <c r="A9377" t="inlineStr">
        <is>
          <t>Cahan</t>
        </is>
      </c>
    </row>
    <row r="9378" spans="1:1">
      <c r="A9378" t="inlineStr">
        <is>
          <t>Hinipaan</t>
        </is>
      </c>
    </row>
    <row r="9379" spans="1:1">
      <c r="A9379" t="inlineStr">
        <is>
          <t>Magsaysay</t>
        </is>
      </c>
    </row>
    <row r="9380" spans="1:1">
      <c r="A9380" t="inlineStr">
        <is>
          <t>Poblacion</t>
        </is>
      </c>
    </row>
    <row r="9381" spans="1:1">
      <c r="A9381" t="inlineStr">
        <is>
          <t>Quezon</t>
        </is>
      </c>
    </row>
    <row r="9382" spans="1:1">
      <c r="A9382" t="inlineStr">
        <is>
          <t>Quigaray</t>
        </is>
      </c>
    </row>
    <row r="9383" spans="1:1">
      <c r="A9383" t="inlineStr">
        <is>
          <t>Sagrada</t>
        </is>
      </c>
    </row>
    <row r="9384" spans="1:1">
      <c r="A9384" t="inlineStr">
        <is>
          <t>Salvacion</t>
        </is>
      </c>
    </row>
    <row r="9385" spans="1:1">
      <c r="A9385" t="inlineStr">
        <is>
          <t>San Isidro</t>
        </is>
      </c>
    </row>
    <row r="9386" spans="1:1">
      <c r="A9386" t="inlineStr">
        <is>
          <t>San Rafael</t>
        </is>
      </c>
    </row>
    <row r="9387" spans="1:1">
      <c r="A9387" t="inlineStr">
        <is>
          <t>San Vicente</t>
        </is>
      </c>
    </row>
    <row r="9388" spans="1:1">
      <c r="A9388" t="inlineStr">
        <is>
          <t>Santa Mesa</t>
        </is>
      </c>
    </row>
    <row r="9389" spans="1:1">
      <c r="A9389" t="inlineStr">
        <is>
          <t>Santa Teresa</t>
        </is>
      </c>
    </row>
    <row r="9390" spans="1:1">
      <c r="A9390" t="inlineStr">
        <is>
          <t>Suchan</t>
        </is>
      </c>
    </row>
    <row r="9391" spans="1:1">
      <c r="A9391" t="inlineStr">
        <is>
          <t>Abihao</t>
        </is>
      </c>
    </row>
    <row r="9392" spans="1:1">
      <c r="A9392" t="inlineStr">
        <is>
          <t>Agban</t>
        </is>
      </c>
    </row>
    <row r="9393" spans="1:1">
      <c r="A9393" t="inlineStr">
        <is>
          <t>Bagong Sirang</t>
        </is>
      </c>
    </row>
    <row r="9394" spans="1:1">
      <c r="A9394" t="inlineStr">
        <is>
          <t>Batolinao</t>
        </is>
      </c>
    </row>
    <row r="9395" spans="1:1">
      <c r="A9395" t="inlineStr">
        <is>
          <t>Benticayan</t>
        </is>
      </c>
    </row>
    <row r="9396" spans="1:1">
      <c r="A9396" t="inlineStr">
        <is>
          <t>Buenavista</t>
        </is>
      </c>
    </row>
    <row r="9397" spans="1:1">
      <c r="A9397" t="inlineStr">
        <is>
          <t>Caragumihan</t>
        </is>
      </c>
    </row>
    <row r="9398" spans="1:1">
      <c r="A9398" t="inlineStr">
        <is>
          <t>Danao</t>
        </is>
      </c>
    </row>
    <row r="9399" spans="1:1">
      <c r="A9399" t="inlineStr">
        <is>
          <t>Eastern Poblacion</t>
        </is>
      </c>
    </row>
    <row r="9400" spans="1:1">
      <c r="A9400" t="inlineStr">
        <is>
          <t>Genitligan</t>
        </is>
      </c>
    </row>
    <row r="9401" spans="1:1">
      <c r="A9401" t="inlineStr">
        <is>
          <t>Guinsaanan</t>
        </is>
      </c>
    </row>
    <row r="9402" spans="1:1">
      <c r="A9402" t="inlineStr">
        <is>
          <t>J. M. Alberto</t>
        </is>
      </c>
    </row>
    <row r="9403" spans="1:1">
      <c r="A9403" t="inlineStr">
        <is>
          <t>Macutal</t>
        </is>
      </c>
    </row>
    <row r="9404" spans="1:1">
      <c r="A9404" t="inlineStr">
        <is>
          <t>Moning</t>
        </is>
      </c>
    </row>
    <row r="9405" spans="1:1">
      <c r="A9405" t="inlineStr">
        <is>
          <t>Nagbarorong</t>
        </is>
      </c>
    </row>
    <row r="9406" spans="1:1">
      <c r="A9406" t="inlineStr">
        <is>
          <t>Osmeña</t>
        </is>
      </c>
    </row>
    <row r="9407" spans="1:1">
      <c r="A9407" t="inlineStr">
        <is>
          <t>P. Teston</t>
        </is>
      </c>
    </row>
    <row r="9408" spans="1:1">
      <c r="A9408" t="inlineStr">
        <is>
          <t>Paniquihan</t>
        </is>
      </c>
    </row>
    <row r="9409" spans="1:1">
      <c r="A9409" t="inlineStr">
        <is>
          <t>Puraran</t>
        </is>
      </c>
    </row>
    <row r="9410" spans="1:1">
      <c r="A9410" t="inlineStr">
        <is>
          <t>Putsan</t>
        </is>
      </c>
    </row>
    <row r="9411" spans="1:1">
      <c r="A9411" t="inlineStr">
        <is>
          <t>Quezon</t>
        </is>
      </c>
    </row>
    <row r="9412" spans="1:1">
      <c r="A9412" t="inlineStr">
        <is>
          <t>Rizal</t>
        </is>
      </c>
    </row>
    <row r="9413" spans="1:1">
      <c r="A9413" t="inlineStr">
        <is>
          <t>Sagrada</t>
        </is>
      </c>
    </row>
    <row r="9414" spans="1:1">
      <c r="A9414" t="inlineStr">
        <is>
          <t>Salvacion</t>
        </is>
      </c>
    </row>
    <row r="9415" spans="1:1">
      <c r="A9415" t="inlineStr">
        <is>
          <t>San Lorenzo</t>
        </is>
      </c>
    </row>
    <row r="9416" spans="1:1">
      <c r="A9416" t="inlineStr">
        <is>
          <t>San Miguel</t>
        </is>
      </c>
    </row>
    <row r="9417" spans="1:1">
      <c r="A9417" t="inlineStr">
        <is>
          <t>Santa Maria</t>
        </is>
      </c>
    </row>
    <row r="9418" spans="1:1">
      <c r="A9418" t="inlineStr">
        <is>
          <t>Tilod</t>
        </is>
      </c>
    </row>
    <row r="9419" spans="1:1">
      <c r="A9419" t="inlineStr">
        <is>
          <t>Western Poblacion</t>
        </is>
      </c>
    </row>
    <row r="9420" spans="1:1">
      <c r="A9420" t="inlineStr">
        <is>
          <t>Aroyao Pequeño</t>
        </is>
      </c>
    </row>
    <row r="9421" spans="1:1">
      <c r="A9421" t="inlineStr">
        <is>
          <t>Bagumbayan</t>
        </is>
      </c>
    </row>
    <row r="9422" spans="1:1">
      <c r="A9422" t="inlineStr">
        <is>
          <t>Banawang</t>
        </is>
      </c>
    </row>
    <row r="9423" spans="1:1">
      <c r="A9423" t="inlineStr">
        <is>
          <t>Batalay</t>
        </is>
      </c>
    </row>
    <row r="9424" spans="1:1">
      <c r="A9424" t="inlineStr">
        <is>
          <t>Binanuahan</t>
        </is>
      </c>
    </row>
    <row r="9425" spans="1:1">
      <c r="A9425" t="inlineStr">
        <is>
          <t>Bote</t>
        </is>
      </c>
    </row>
    <row r="9426" spans="1:1">
      <c r="A9426" t="inlineStr">
        <is>
          <t>Buenavista</t>
        </is>
      </c>
    </row>
    <row r="9427" spans="1:1">
      <c r="A9427" t="inlineStr">
        <is>
          <t>Cabugao</t>
        </is>
      </c>
    </row>
    <row r="9428" spans="1:1">
      <c r="A9428" t="inlineStr">
        <is>
          <t>Cagraray</t>
        </is>
      </c>
    </row>
    <row r="9429" spans="1:1">
      <c r="A9429" t="inlineStr">
        <is>
          <t>Carorian</t>
        </is>
      </c>
    </row>
    <row r="9430" spans="1:1">
      <c r="A9430" t="inlineStr">
        <is>
          <t>Guinobatan</t>
        </is>
      </c>
    </row>
    <row r="9431" spans="1:1">
      <c r="A9431" t="inlineStr">
        <is>
          <t>Ilawod</t>
        </is>
      </c>
    </row>
    <row r="9432" spans="1:1">
      <c r="A9432" t="inlineStr">
        <is>
          <t>Libjo</t>
        </is>
      </c>
    </row>
    <row r="9433" spans="1:1">
      <c r="A9433" t="inlineStr">
        <is>
          <t>Libod Poblacion</t>
        </is>
      </c>
    </row>
    <row r="9434" spans="1:1">
      <c r="A9434" t="inlineStr">
        <is>
          <t>Marinawa</t>
        </is>
      </c>
    </row>
    <row r="9435" spans="1:1">
      <c r="A9435" t="inlineStr">
        <is>
          <t>Mintay</t>
        </is>
      </c>
    </row>
    <row r="9436" spans="1:1">
      <c r="A9436" t="inlineStr">
        <is>
          <t>Oguis</t>
        </is>
      </c>
    </row>
    <row r="9437" spans="1:1">
      <c r="A9437" t="inlineStr">
        <is>
          <t>Pananaogan</t>
        </is>
      </c>
    </row>
    <row r="9438" spans="1:1">
      <c r="A9438" t="inlineStr">
        <is>
          <t>San Andres</t>
        </is>
      </c>
    </row>
    <row r="9439" spans="1:1">
      <c r="A9439" t="inlineStr">
        <is>
          <t>San Pedro</t>
        </is>
      </c>
    </row>
    <row r="9440" spans="1:1">
      <c r="A9440" t="inlineStr">
        <is>
          <t>San Roque</t>
        </is>
      </c>
    </row>
    <row r="9441" spans="1:1">
      <c r="A9441" t="inlineStr">
        <is>
          <t>Santa Isabel</t>
        </is>
      </c>
    </row>
    <row r="9442" spans="1:1">
      <c r="A9442" t="inlineStr">
        <is>
          <t>Sibacungan</t>
        </is>
      </c>
    </row>
    <row r="9443" spans="1:1">
      <c r="A9443" t="inlineStr">
        <is>
          <t>Sipi</t>
        </is>
      </c>
    </row>
    <row r="9444" spans="1:1">
      <c r="A9444" t="inlineStr">
        <is>
          <t>Talisay</t>
        </is>
      </c>
    </row>
    <row r="9445" spans="1:1">
      <c r="A9445" t="inlineStr">
        <is>
          <t>Tamburan</t>
        </is>
      </c>
    </row>
    <row r="9446" spans="1:1">
      <c r="A9446" t="inlineStr">
        <is>
          <t>Tilis</t>
        </is>
      </c>
    </row>
    <row r="9447" spans="1:1">
      <c r="A9447" t="inlineStr">
        <is>
          <t>Baybay</t>
        </is>
      </c>
    </row>
    <row r="9448" spans="1:1">
      <c r="A9448" t="inlineStr">
        <is>
          <t>Bocon</t>
        </is>
      </c>
    </row>
    <row r="9449" spans="1:1">
      <c r="A9449" t="inlineStr">
        <is>
          <t>Bothoan</t>
        </is>
      </c>
    </row>
    <row r="9450" spans="1:1">
      <c r="A9450" t="inlineStr">
        <is>
          <t>Buenavista</t>
        </is>
      </c>
    </row>
    <row r="9451" spans="1:1">
      <c r="A9451" t="inlineStr">
        <is>
          <t>Bulalacao</t>
        </is>
      </c>
    </row>
    <row r="9452" spans="1:1">
      <c r="A9452" t="inlineStr">
        <is>
          <t>Camburo</t>
        </is>
      </c>
    </row>
    <row r="9453" spans="1:1">
      <c r="A9453" t="inlineStr">
        <is>
          <t>Dariao</t>
        </is>
      </c>
    </row>
    <row r="9454" spans="1:1">
      <c r="A9454" t="inlineStr">
        <is>
          <t>Datag East</t>
        </is>
      </c>
    </row>
    <row r="9455" spans="1:1">
      <c r="A9455" t="inlineStr">
        <is>
          <t>Datag West</t>
        </is>
      </c>
    </row>
    <row r="9456" spans="1:1">
      <c r="A9456" t="inlineStr">
        <is>
          <t>Guiamlong</t>
        </is>
      </c>
    </row>
    <row r="9457" spans="1:1">
      <c r="A9457" t="inlineStr">
        <is>
          <t>Hitoma</t>
        </is>
      </c>
    </row>
    <row r="9458" spans="1:1">
      <c r="A9458" t="inlineStr">
        <is>
          <t>Icanbato</t>
        </is>
      </c>
    </row>
    <row r="9459" spans="1:1">
      <c r="A9459" t="inlineStr">
        <is>
          <t>Inalmasinan</t>
        </is>
      </c>
    </row>
    <row r="9460" spans="1:1">
      <c r="A9460" t="inlineStr">
        <is>
          <t>Iyao</t>
        </is>
      </c>
    </row>
    <row r="9461" spans="1:1">
      <c r="A9461" t="inlineStr">
        <is>
          <t>Mabini</t>
        </is>
      </c>
    </row>
    <row r="9462" spans="1:1">
      <c r="A9462" t="inlineStr">
        <is>
          <t>Maui</t>
        </is>
      </c>
    </row>
    <row r="9463" spans="1:1">
      <c r="A9463" t="inlineStr">
        <is>
          <t>Maysuran</t>
        </is>
      </c>
    </row>
    <row r="9464" spans="1:1">
      <c r="A9464" t="inlineStr">
        <is>
          <t>Milaviga</t>
        </is>
      </c>
    </row>
    <row r="9465" spans="1:1">
      <c r="A9465" t="inlineStr">
        <is>
          <t>Obi</t>
        </is>
      </c>
    </row>
    <row r="9466" spans="1:1">
      <c r="A9466" t="inlineStr">
        <is>
          <t>Panique</t>
        </is>
      </c>
    </row>
    <row r="9467" spans="1:1">
      <c r="A9467" t="inlineStr">
        <is>
          <t>Sabangan</t>
        </is>
      </c>
    </row>
    <row r="9468" spans="1:1">
      <c r="A9468" t="inlineStr">
        <is>
          <t>Sabloyon</t>
        </is>
      </c>
    </row>
    <row r="9469" spans="1:1">
      <c r="A9469" t="inlineStr">
        <is>
          <t>Salvacion</t>
        </is>
      </c>
    </row>
    <row r="9470" spans="1:1">
      <c r="A9470" t="inlineStr">
        <is>
          <t>Supang</t>
        </is>
      </c>
    </row>
    <row r="9471" spans="1:1">
      <c r="A9471" t="inlineStr">
        <is>
          <t>Toytoy</t>
        </is>
      </c>
    </row>
    <row r="9472" spans="1:1">
      <c r="A9472" t="inlineStr">
        <is>
          <t>Tubli</t>
        </is>
      </c>
    </row>
    <row r="9473" spans="1:1">
      <c r="A9473" t="inlineStr">
        <is>
          <t>Tucao</t>
        </is>
      </c>
    </row>
    <row r="9474" spans="1:1">
      <c r="A9474" t="inlineStr">
        <is>
          <t>Biong</t>
        </is>
      </c>
    </row>
    <row r="9475" spans="1:1">
      <c r="A9475" t="inlineStr">
        <is>
          <t>Dororian</t>
        </is>
      </c>
    </row>
    <row r="9476" spans="1:1">
      <c r="A9476" t="inlineStr">
        <is>
          <t>Poblacion District I</t>
        </is>
      </c>
    </row>
    <row r="9477" spans="1:1">
      <c r="A9477" t="inlineStr">
        <is>
          <t>Poblacion District II</t>
        </is>
      </c>
    </row>
    <row r="9478" spans="1:1">
      <c r="A9478" t="inlineStr">
        <is>
          <t>Poblacion District III</t>
        </is>
      </c>
    </row>
    <row r="9479" spans="1:1">
      <c r="A9479" t="inlineStr">
        <is>
          <t>San Pedro</t>
        </is>
      </c>
    </row>
    <row r="9480" spans="1:1">
      <c r="A9480" t="inlineStr">
        <is>
          <t>San Vicente</t>
        </is>
      </c>
    </row>
    <row r="9481" spans="1:1">
      <c r="A9481" t="inlineStr">
        <is>
          <t>Sicmil</t>
        </is>
      </c>
    </row>
    <row r="9482" spans="1:1">
      <c r="A9482" t="inlineStr">
        <is>
          <t>Sioron</t>
        </is>
      </c>
    </row>
    <row r="9483" spans="1:1">
      <c r="A9483" t="inlineStr">
        <is>
          <t>Bagawang</t>
        </is>
      </c>
    </row>
    <row r="9484" spans="1:1">
      <c r="A9484" t="inlineStr">
        <is>
          <t>Balagñonan</t>
        </is>
      </c>
    </row>
    <row r="9485" spans="1:1">
      <c r="A9485" t="inlineStr">
        <is>
          <t>Baldoc</t>
        </is>
      </c>
    </row>
    <row r="9486" spans="1:1">
      <c r="A9486" t="inlineStr">
        <is>
          <t>Canlubi</t>
        </is>
      </c>
    </row>
    <row r="9487" spans="1:1">
      <c r="A9487" t="inlineStr">
        <is>
          <t>Catamban</t>
        </is>
      </c>
    </row>
    <row r="9488" spans="1:1">
      <c r="A9488" t="inlineStr">
        <is>
          <t>Cobo</t>
        </is>
      </c>
    </row>
    <row r="9489" spans="1:1">
      <c r="A9489" t="inlineStr">
        <is>
          <t>Hiyop</t>
        </is>
      </c>
    </row>
    <row r="9490" spans="1:1">
      <c r="A9490" t="inlineStr">
        <is>
          <t>Libod</t>
        </is>
      </c>
    </row>
    <row r="9491" spans="1:1">
      <c r="A9491" t="inlineStr">
        <is>
          <t>Lourdes</t>
        </is>
      </c>
    </row>
    <row r="9492" spans="1:1">
      <c r="A9492" t="inlineStr">
        <is>
          <t>Lumabao</t>
        </is>
      </c>
    </row>
    <row r="9493" spans="1:1">
      <c r="A9493" t="inlineStr">
        <is>
          <t>Marambong</t>
        </is>
      </c>
    </row>
    <row r="9494" spans="1:1">
      <c r="A9494" t="inlineStr">
        <is>
          <t>Napo</t>
        </is>
      </c>
    </row>
    <row r="9495" spans="1:1">
      <c r="A9495" t="inlineStr">
        <is>
          <t>Oga</t>
        </is>
      </c>
    </row>
    <row r="9496" spans="1:1">
      <c r="A9496" t="inlineStr">
        <is>
          <t>Pandan Del Norte</t>
        </is>
      </c>
    </row>
    <row r="9497" spans="1:1">
      <c r="A9497" t="inlineStr">
        <is>
          <t>Pandan Del Sur</t>
        </is>
      </c>
    </row>
    <row r="9498" spans="1:1">
      <c r="A9498" t="inlineStr">
        <is>
          <t>Panuto</t>
        </is>
      </c>
    </row>
    <row r="9499" spans="1:1">
      <c r="A9499" t="inlineStr">
        <is>
          <t>Porot</t>
        </is>
      </c>
    </row>
    <row r="9500" spans="1:1">
      <c r="A9500" t="inlineStr">
        <is>
          <t>Salvacion</t>
        </is>
      </c>
    </row>
    <row r="9501" spans="1:1">
      <c r="A9501" t="inlineStr">
        <is>
          <t>San Andres</t>
        </is>
      </c>
    </row>
    <row r="9502" spans="1:1">
      <c r="A9502" t="inlineStr">
        <is>
          <t>San Isidro</t>
        </is>
      </c>
    </row>
    <row r="9503" spans="1:1">
      <c r="A9503" t="inlineStr">
        <is>
          <t>San Rafael</t>
        </is>
      </c>
    </row>
    <row r="9504" spans="1:1">
      <c r="A9504" t="inlineStr">
        <is>
          <t>San Roque</t>
        </is>
      </c>
    </row>
    <row r="9505" spans="1:1">
      <c r="A9505" t="inlineStr">
        <is>
          <t>Santa Cruz</t>
        </is>
      </c>
    </row>
    <row r="9506" spans="1:1">
      <c r="A9506" t="inlineStr">
        <is>
          <t>Tabugoc</t>
        </is>
      </c>
    </row>
    <row r="9507" spans="1:1">
      <c r="A9507" t="inlineStr">
        <is>
          <t>Tokio</t>
        </is>
      </c>
    </row>
    <row r="9508" spans="1:1">
      <c r="A9508" t="inlineStr">
        <is>
          <t>Wagdas</t>
        </is>
      </c>
    </row>
    <row r="9509" spans="1:1">
      <c r="A9509" t="inlineStr">
        <is>
          <t>Alinawan</t>
        </is>
      </c>
    </row>
    <row r="9510" spans="1:1">
      <c r="A9510" t="inlineStr">
        <is>
          <t>Babaguan</t>
        </is>
      </c>
    </row>
    <row r="9511" spans="1:1">
      <c r="A9511" t="inlineStr">
        <is>
          <t>Bagong Bayan</t>
        </is>
      </c>
    </row>
    <row r="9512" spans="1:1">
      <c r="A9512" t="inlineStr">
        <is>
          <t>Burabod</t>
        </is>
      </c>
    </row>
    <row r="9513" spans="1:1">
      <c r="A9513" t="inlineStr">
        <is>
          <t>Cabuyoan</t>
        </is>
      </c>
    </row>
    <row r="9514" spans="1:1">
      <c r="A9514" t="inlineStr">
        <is>
          <t>Cagdarao</t>
        </is>
      </c>
    </row>
    <row r="9515" spans="1:1">
      <c r="A9515" t="inlineStr">
        <is>
          <t>Mabini</t>
        </is>
      </c>
    </row>
    <row r="9516" spans="1:1">
      <c r="A9516" t="inlineStr">
        <is>
          <t>Maculiw</t>
        </is>
      </c>
    </row>
    <row r="9517" spans="1:1">
      <c r="A9517" t="inlineStr">
        <is>
          <t>Panay</t>
        </is>
      </c>
    </row>
    <row r="9518" spans="1:1">
      <c r="A9518" t="inlineStr">
        <is>
          <t>Salvacion</t>
        </is>
      </c>
    </row>
    <row r="9519" spans="1:1">
      <c r="A9519" t="inlineStr">
        <is>
          <t>San Antonio</t>
        </is>
      </c>
    </row>
    <row r="9520" spans="1:1">
      <c r="A9520" t="inlineStr">
        <is>
          <t>San Joaquin</t>
        </is>
      </c>
    </row>
    <row r="9521" spans="1:1">
      <c r="A9521" t="inlineStr">
        <is>
          <t>San Jose</t>
        </is>
      </c>
    </row>
    <row r="9522" spans="1:1">
      <c r="A9522" t="inlineStr">
        <is>
          <t>San Juan</t>
        </is>
      </c>
    </row>
    <row r="9523" spans="1:1">
      <c r="A9523" t="inlineStr">
        <is>
          <t>San Miguel</t>
        </is>
      </c>
    </row>
    <row r="9524" spans="1:1">
      <c r="A9524" t="inlineStr">
        <is>
          <t>San Nicolas</t>
        </is>
      </c>
    </row>
    <row r="9525" spans="1:1">
      <c r="A9525" t="inlineStr">
        <is>
          <t>San Pedro</t>
        </is>
      </c>
    </row>
    <row r="9526" spans="1:1">
      <c r="A9526" t="inlineStr">
        <is>
          <t>San Vicente</t>
        </is>
      </c>
    </row>
    <row r="9527" spans="1:1">
      <c r="A9527" t="inlineStr">
        <is>
          <t>Santa Ana</t>
        </is>
      </c>
    </row>
    <row r="9528" spans="1:1">
      <c r="A9528" t="inlineStr">
        <is>
          <t>Santa Maria</t>
        </is>
      </c>
    </row>
    <row r="9529" spans="1:1">
      <c r="A9529" t="inlineStr">
        <is>
          <t>Santo Santiago</t>
        </is>
      </c>
    </row>
    <row r="9530" spans="1:1">
      <c r="A9530" t="inlineStr">
        <is>
          <t>Taopon</t>
        </is>
      </c>
    </row>
    <row r="9531" spans="1:1">
      <c r="A9531" t="inlineStr">
        <is>
          <t>Tibo</t>
        </is>
      </c>
    </row>
    <row r="9532" spans="1:1">
      <c r="A9532" t="inlineStr">
        <is>
          <t>Agojo</t>
        </is>
      </c>
    </row>
    <row r="9533" spans="1:1">
      <c r="A9533" t="inlineStr">
        <is>
          <t>Alibuag</t>
        </is>
      </c>
    </row>
    <row r="9534" spans="1:1">
      <c r="A9534" t="inlineStr">
        <is>
          <t>Asgad</t>
        </is>
      </c>
    </row>
    <row r="9535" spans="1:1">
      <c r="A9535" t="inlineStr">
        <is>
          <t>Bagong Sirang</t>
        </is>
      </c>
    </row>
    <row r="9536" spans="1:1">
      <c r="A9536" t="inlineStr">
        <is>
          <t>Barihay</t>
        </is>
      </c>
    </row>
    <row r="9537" spans="1:1">
      <c r="A9537" t="inlineStr">
        <is>
          <t>Batong Paloway</t>
        </is>
      </c>
    </row>
    <row r="9538" spans="1:1">
      <c r="A9538" t="inlineStr">
        <is>
          <t>Belmonte</t>
        </is>
      </c>
    </row>
    <row r="9539" spans="1:1">
      <c r="A9539" t="inlineStr">
        <is>
          <t>Bislig</t>
        </is>
      </c>
    </row>
    <row r="9540" spans="1:1">
      <c r="A9540" t="inlineStr">
        <is>
          <t>Bon-ot</t>
        </is>
      </c>
    </row>
    <row r="9541" spans="1:1">
      <c r="A9541" t="inlineStr">
        <is>
          <t>Cabcab</t>
        </is>
      </c>
    </row>
    <row r="9542" spans="1:1">
      <c r="A9542" t="inlineStr">
        <is>
          <t>Cabungahan</t>
        </is>
      </c>
    </row>
    <row r="9543" spans="1:1">
      <c r="A9543" t="inlineStr">
        <is>
          <t>Carangag</t>
        </is>
      </c>
    </row>
    <row r="9544" spans="1:1">
      <c r="A9544" t="inlineStr">
        <is>
          <t>Catagbacan</t>
        </is>
      </c>
    </row>
    <row r="9545" spans="1:1">
      <c r="A9545" t="inlineStr">
        <is>
          <t>Codon</t>
        </is>
      </c>
    </row>
    <row r="9546" spans="1:1">
      <c r="A9546" t="inlineStr">
        <is>
          <t>Comagaycay</t>
        </is>
      </c>
    </row>
    <row r="9547" spans="1:1">
      <c r="A9547" t="inlineStr">
        <is>
          <t>Datag</t>
        </is>
      </c>
    </row>
    <row r="9548" spans="1:1">
      <c r="A9548" t="inlineStr">
        <is>
          <t>Divino Rostro</t>
        </is>
      </c>
    </row>
    <row r="9549" spans="1:1">
      <c r="A9549" t="inlineStr">
        <is>
          <t>Esperanza</t>
        </is>
      </c>
    </row>
    <row r="9550" spans="1:1">
      <c r="A9550" t="inlineStr">
        <is>
          <t>Hilawan</t>
        </is>
      </c>
    </row>
    <row r="9551" spans="1:1">
      <c r="A9551" t="inlineStr">
        <is>
          <t>Lictin</t>
        </is>
      </c>
    </row>
    <row r="9552" spans="1:1">
      <c r="A9552" t="inlineStr">
        <is>
          <t>Lubas</t>
        </is>
      </c>
    </row>
    <row r="9553" spans="1:1">
      <c r="A9553" t="inlineStr">
        <is>
          <t>Manambrag</t>
        </is>
      </c>
    </row>
    <row r="9554" spans="1:1">
      <c r="A9554" t="inlineStr">
        <is>
          <t>Mayngaway</t>
        </is>
      </c>
    </row>
    <row r="9555" spans="1:1">
      <c r="A9555" t="inlineStr">
        <is>
          <t>Palawig</t>
        </is>
      </c>
    </row>
    <row r="9556" spans="1:1">
      <c r="A9556" t="inlineStr">
        <is>
          <t>Puting Baybay</t>
        </is>
      </c>
    </row>
    <row r="9557" spans="1:1">
      <c r="A9557" t="inlineStr">
        <is>
          <t>Rizal</t>
        </is>
      </c>
    </row>
    <row r="9558" spans="1:1">
      <c r="A9558" t="inlineStr">
        <is>
          <t>Salvacion</t>
        </is>
      </c>
    </row>
    <row r="9559" spans="1:1">
      <c r="A9559" t="inlineStr">
        <is>
          <t>San Isidro</t>
        </is>
      </c>
    </row>
    <row r="9560" spans="1:1">
      <c r="A9560" t="inlineStr">
        <is>
          <t>San Jose</t>
        </is>
      </c>
    </row>
    <row r="9561" spans="1:1">
      <c r="A9561" t="inlineStr">
        <is>
          <t>San Roque</t>
        </is>
      </c>
    </row>
    <row r="9562" spans="1:1">
      <c r="A9562" t="inlineStr">
        <is>
          <t>San Vicente</t>
        </is>
      </c>
    </row>
    <row r="9563" spans="1:1">
      <c r="A9563" t="inlineStr">
        <is>
          <t>Santa Cruz</t>
        </is>
      </c>
    </row>
    <row r="9564" spans="1:1">
      <c r="A9564" t="inlineStr">
        <is>
          <t>Sapang Palay</t>
        </is>
      </c>
    </row>
    <row r="9565" spans="1:1">
      <c r="A9565" t="inlineStr">
        <is>
          <t>Tibang</t>
        </is>
      </c>
    </row>
    <row r="9566" spans="1:1">
      <c r="A9566" t="inlineStr">
        <is>
          <t>Timbaan</t>
        </is>
      </c>
    </row>
    <row r="9567" spans="1:1">
      <c r="A9567" t="inlineStr">
        <is>
          <t>Tominawog</t>
        </is>
      </c>
    </row>
    <row r="9568" spans="1:1">
      <c r="A9568" t="inlineStr">
        <is>
          <t>Wagdas</t>
        </is>
      </c>
    </row>
    <row r="9569" spans="1:1">
      <c r="A9569" t="inlineStr">
        <is>
          <t>Yocti</t>
        </is>
      </c>
    </row>
    <row r="9570" spans="1:1">
      <c r="A9570" t="inlineStr">
        <is>
          <t>Atsan</t>
        </is>
      </c>
    </row>
    <row r="9571" spans="1:1">
      <c r="A9571" t="inlineStr">
        <is>
          <t>Balatohan</t>
        </is>
      </c>
    </row>
    <row r="9572" spans="1:1">
      <c r="A9572" t="inlineStr">
        <is>
          <t>Boton</t>
        </is>
      </c>
    </row>
    <row r="9573" spans="1:1">
      <c r="A9573" t="inlineStr">
        <is>
          <t>Buhi</t>
        </is>
      </c>
    </row>
    <row r="9574" spans="1:1">
      <c r="A9574" t="inlineStr">
        <is>
          <t>Dayawa</t>
        </is>
      </c>
    </row>
    <row r="9575" spans="1:1">
      <c r="A9575" t="inlineStr">
        <is>
          <t>J. M. Alberto</t>
        </is>
      </c>
    </row>
    <row r="9576" spans="1:1">
      <c r="A9576" t="inlineStr">
        <is>
          <t>Katipunan</t>
        </is>
      </c>
    </row>
    <row r="9577" spans="1:1">
      <c r="A9577" t="inlineStr">
        <is>
          <t>Kilikilihan</t>
        </is>
      </c>
    </row>
    <row r="9578" spans="1:1">
      <c r="A9578" t="inlineStr">
        <is>
          <t>Mabato</t>
        </is>
      </c>
    </row>
    <row r="9579" spans="1:1">
      <c r="A9579" t="inlineStr">
        <is>
          <t>Obo</t>
        </is>
      </c>
    </row>
    <row r="9580" spans="1:1">
      <c r="A9580" t="inlineStr">
        <is>
          <t>Pacogon</t>
        </is>
      </c>
    </row>
    <row r="9581" spans="1:1">
      <c r="A9581" t="inlineStr">
        <is>
          <t>Pagsangahan</t>
        </is>
      </c>
    </row>
    <row r="9582" spans="1:1">
      <c r="A9582" t="inlineStr">
        <is>
          <t>Pangilao</t>
        </is>
      </c>
    </row>
    <row r="9583" spans="1:1">
      <c r="A9583" t="inlineStr">
        <is>
          <t>Paraiso</t>
        </is>
      </c>
    </row>
    <row r="9584" spans="1:1">
      <c r="A9584" t="inlineStr">
        <is>
          <t>Poblacion District II</t>
        </is>
      </c>
    </row>
    <row r="9585" spans="1:1">
      <c r="A9585" t="inlineStr">
        <is>
          <t>Poblacion District III</t>
        </is>
      </c>
    </row>
    <row r="9586" spans="1:1">
      <c r="A9586" t="inlineStr">
        <is>
          <t>Progreso</t>
        </is>
      </c>
    </row>
    <row r="9587" spans="1:1">
      <c r="A9587" t="inlineStr">
        <is>
          <t>Salvacion</t>
        </is>
      </c>
    </row>
    <row r="9588" spans="1:1">
      <c r="A9588" t="inlineStr">
        <is>
          <t>San Juan</t>
        </is>
      </c>
    </row>
    <row r="9589" spans="1:1">
      <c r="A9589" t="inlineStr">
        <is>
          <t>San Marcos</t>
        </is>
      </c>
    </row>
    <row r="9590" spans="1:1">
      <c r="A9590" t="inlineStr">
        <is>
          <t>Santa Elena</t>
        </is>
      </c>
    </row>
    <row r="9591" spans="1:1">
      <c r="A9591" t="inlineStr">
        <is>
          <t>Siay</t>
        </is>
      </c>
    </row>
    <row r="9592" spans="1:1">
      <c r="A9592" t="inlineStr">
        <is>
          <t>Solong</t>
        </is>
      </c>
    </row>
    <row r="9593" spans="1:1">
      <c r="A9593" t="inlineStr">
        <is>
          <t>Tobrehon</t>
        </is>
      </c>
    </row>
    <row r="9594" spans="1:1">
      <c r="A9594" t="inlineStr">
        <is>
          <t>Almojuela</t>
        </is>
      </c>
    </row>
    <row r="9595" spans="1:1">
      <c r="A9595" t="inlineStr">
        <is>
          <t>Ananong</t>
        </is>
      </c>
    </row>
    <row r="9596" spans="1:1">
      <c r="A9596" t="inlineStr">
        <is>
          <t>Asuncion</t>
        </is>
      </c>
    </row>
    <row r="9597" spans="1:1">
      <c r="A9597" t="inlineStr">
        <is>
          <t>Batohonan</t>
        </is>
      </c>
    </row>
    <row r="9598" spans="1:1">
      <c r="A9598" t="inlineStr">
        <is>
          <t>Begonia</t>
        </is>
      </c>
    </row>
    <row r="9599" spans="1:1">
      <c r="A9599" t="inlineStr">
        <is>
          <t>Botinagan</t>
        </is>
      </c>
    </row>
    <row r="9600" spans="1:1">
      <c r="A9600" t="inlineStr">
        <is>
          <t>Buenavista</t>
        </is>
      </c>
    </row>
    <row r="9601" spans="1:1">
      <c r="A9601" t="inlineStr">
        <is>
          <t>Burgos</t>
        </is>
      </c>
    </row>
    <row r="9602" spans="1:1">
      <c r="A9602" t="inlineStr">
        <is>
          <t>Del Pilar</t>
        </is>
      </c>
    </row>
    <row r="9603" spans="1:1">
      <c r="A9603" t="inlineStr">
        <is>
          <t>Mabini</t>
        </is>
      </c>
    </row>
    <row r="9604" spans="1:1">
      <c r="A9604" t="inlineStr">
        <is>
          <t>Magsaysay</t>
        </is>
      </c>
    </row>
    <row r="9605" spans="1:1">
      <c r="A9605" t="inlineStr">
        <is>
          <t>Ogbong</t>
        </is>
      </c>
    </row>
    <row r="9606" spans="1:1">
      <c r="A9606" t="inlineStr">
        <is>
          <t>Osmeña</t>
        </is>
      </c>
    </row>
    <row r="9607" spans="1:1">
      <c r="A9607" t="inlineStr">
        <is>
          <t>Pedro Vera</t>
        </is>
      </c>
    </row>
    <row r="9608" spans="1:1">
      <c r="A9608" t="inlineStr">
        <is>
          <t>Peñafrancia</t>
        </is>
      </c>
    </row>
    <row r="9609" spans="1:1">
      <c r="A9609" t="inlineStr">
        <is>
          <t>Quezon</t>
        </is>
      </c>
    </row>
    <row r="9610" spans="1:1">
      <c r="A9610" t="inlineStr">
        <is>
          <t>Quirino</t>
        </is>
      </c>
    </row>
    <row r="9611" spans="1:1">
      <c r="A9611" t="inlineStr">
        <is>
          <t>Rizal</t>
        </is>
      </c>
    </row>
    <row r="9612" spans="1:1">
      <c r="A9612" t="inlineStr">
        <is>
          <t>Roxas</t>
        </is>
      </c>
    </row>
    <row r="9613" spans="1:1">
      <c r="A9613" t="inlineStr">
        <is>
          <t>Sagrada</t>
        </is>
      </c>
    </row>
    <row r="9614" spans="1:1">
      <c r="A9614" t="inlineStr">
        <is>
          <t>San Isidro</t>
        </is>
      </c>
    </row>
    <row r="9615" spans="1:1">
      <c r="A9615" t="inlineStr">
        <is>
          <t>San Jose Oco</t>
        </is>
      </c>
    </row>
    <row r="9616" spans="1:1">
      <c r="A9616" t="inlineStr">
        <is>
          <t>San Jose Poblacion</t>
        </is>
      </c>
    </row>
    <row r="9617" spans="1:1">
      <c r="A9617" t="inlineStr">
        <is>
          <t>San Pedro</t>
        </is>
      </c>
    </row>
    <row r="9618" spans="1:1">
      <c r="A9618" t="inlineStr">
        <is>
          <t>San Roque</t>
        </is>
      </c>
    </row>
    <row r="9619" spans="1:1">
      <c r="A9619" t="inlineStr">
        <is>
          <t>San Vicente</t>
        </is>
      </c>
    </row>
    <row r="9620" spans="1:1">
      <c r="A9620" t="inlineStr">
        <is>
          <t>Santa Rosa</t>
        </is>
      </c>
    </row>
    <row r="9621" spans="1:1">
      <c r="A9621" t="inlineStr">
        <is>
          <t>Soboc</t>
        </is>
      </c>
    </row>
    <row r="9622" spans="1:1">
      <c r="A9622" t="inlineStr">
        <is>
          <t>Tambongon</t>
        </is>
      </c>
    </row>
    <row r="9623" spans="1:1">
      <c r="A9623" t="inlineStr">
        <is>
          <t>Tinago</t>
        </is>
      </c>
    </row>
    <row r="9624" spans="1:1">
      <c r="A9624" t="inlineStr">
        <is>
          <t>Villa Aurora</t>
        </is>
      </c>
    </row>
    <row r="9625" spans="1:1">
      <c r="A9625" t="inlineStr">
        <is>
          <t>Antipolo Del Norte</t>
        </is>
      </c>
    </row>
    <row r="9626" spans="1:1">
      <c r="A9626" t="inlineStr">
        <is>
          <t>Antipolo Del Sur</t>
        </is>
      </c>
    </row>
    <row r="9627" spans="1:1">
      <c r="A9627" t="inlineStr">
        <is>
          <t>Balite</t>
        </is>
      </c>
    </row>
    <row r="9628" spans="1:1">
      <c r="A9628" t="inlineStr">
        <is>
          <t>Batag</t>
        </is>
      </c>
    </row>
    <row r="9629" spans="1:1">
      <c r="A9629" t="inlineStr">
        <is>
          <t>Bigaa</t>
        </is>
      </c>
    </row>
    <row r="9630" spans="1:1">
      <c r="A9630" t="inlineStr">
        <is>
          <t>Buenavista</t>
        </is>
      </c>
    </row>
    <row r="9631" spans="1:1">
      <c r="A9631" t="inlineStr">
        <is>
          <t>Buyo</t>
        </is>
      </c>
    </row>
    <row r="9632" spans="1:1">
      <c r="A9632" t="inlineStr">
        <is>
          <t>Cabihian</t>
        </is>
      </c>
    </row>
    <row r="9633" spans="1:1">
      <c r="A9633" t="inlineStr">
        <is>
          <t>Calabnigan</t>
        </is>
      </c>
    </row>
    <row r="9634" spans="1:1">
      <c r="A9634" t="inlineStr">
        <is>
          <t>Calampong</t>
        </is>
      </c>
    </row>
    <row r="9635" spans="1:1">
      <c r="A9635" t="inlineStr">
        <is>
          <t>Calatagan Proper</t>
        </is>
      </c>
    </row>
    <row r="9636" spans="1:1">
      <c r="A9636" t="inlineStr">
        <is>
          <t>Calatagan Tibang</t>
        </is>
      </c>
    </row>
    <row r="9637" spans="1:1">
      <c r="A9637" t="inlineStr">
        <is>
          <t>Capilihan</t>
        </is>
      </c>
    </row>
    <row r="9638" spans="1:1">
      <c r="A9638" t="inlineStr">
        <is>
          <t>Casoocan</t>
        </is>
      </c>
    </row>
    <row r="9639" spans="1:1">
      <c r="A9639" t="inlineStr">
        <is>
          <t>Cavinitan</t>
        </is>
      </c>
    </row>
    <row r="9640" spans="1:1">
      <c r="A9640" t="inlineStr">
        <is>
          <t>Concepcion</t>
        </is>
      </c>
    </row>
    <row r="9641" spans="1:1">
      <c r="A9641" t="inlineStr">
        <is>
          <t>Constantino</t>
        </is>
      </c>
    </row>
    <row r="9642" spans="1:1">
      <c r="A9642" t="inlineStr">
        <is>
          <t>Danicop</t>
        </is>
      </c>
    </row>
    <row r="9643" spans="1:1">
      <c r="A9643" t="inlineStr">
        <is>
          <t>Dugui San Isidro</t>
        </is>
      </c>
    </row>
    <row r="9644" spans="1:1">
      <c r="A9644" t="inlineStr">
        <is>
          <t>Dugui San Vicente</t>
        </is>
      </c>
    </row>
    <row r="9645" spans="1:1">
      <c r="A9645" t="inlineStr">
        <is>
          <t>Dugui Too</t>
        </is>
      </c>
    </row>
    <row r="9646" spans="1:1">
      <c r="A9646" t="inlineStr">
        <is>
          <t>F. Tacorda Village</t>
        </is>
      </c>
    </row>
    <row r="9647" spans="1:1">
      <c r="A9647" t="inlineStr">
        <is>
          <t>Francia</t>
        </is>
      </c>
    </row>
    <row r="9648" spans="1:1">
      <c r="A9648" t="inlineStr">
        <is>
          <t>Gogon Centro</t>
        </is>
      </c>
    </row>
    <row r="9649" spans="1:1">
      <c r="A9649" t="inlineStr">
        <is>
          <t>Gogon Sirangan</t>
        </is>
      </c>
    </row>
    <row r="9650" spans="1:1">
      <c r="A9650" t="inlineStr">
        <is>
          <t>Hawan Grande</t>
        </is>
      </c>
    </row>
    <row r="9651" spans="1:1">
      <c r="A9651" t="inlineStr">
        <is>
          <t>Hawan Ilaya</t>
        </is>
      </c>
    </row>
    <row r="9652" spans="1:1">
      <c r="A9652" t="inlineStr">
        <is>
          <t>Hicming</t>
        </is>
      </c>
    </row>
    <row r="9653" spans="1:1">
      <c r="A9653" t="inlineStr">
        <is>
          <t>Ibong Sapa</t>
        </is>
      </c>
    </row>
    <row r="9654" spans="1:1">
      <c r="A9654" t="inlineStr">
        <is>
          <t>Igang</t>
        </is>
      </c>
    </row>
    <row r="9655" spans="1:1">
      <c r="A9655" t="inlineStr">
        <is>
          <t>Juan M. Alberto</t>
        </is>
      </c>
    </row>
    <row r="9656" spans="1:1">
      <c r="A9656" t="inlineStr">
        <is>
          <t>Lanao</t>
        </is>
      </c>
    </row>
    <row r="9657" spans="1:1">
      <c r="A9657" t="inlineStr">
        <is>
          <t>Magnesia Del Norte</t>
        </is>
      </c>
    </row>
    <row r="9658" spans="1:1">
      <c r="A9658" t="inlineStr">
        <is>
          <t>Magnesia Del Sur</t>
        </is>
      </c>
    </row>
    <row r="9659" spans="1:1">
      <c r="A9659" t="inlineStr">
        <is>
          <t>Marcelo Alberto</t>
        </is>
      </c>
    </row>
    <row r="9660" spans="1:1">
      <c r="A9660" t="inlineStr">
        <is>
          <t>Marilima</t>
        </is>
      </c>
    </row>
    <row r="9661" spans="1:1">
      <c r="A9661" t="inlineStr">
        <is>
          <t>Pajo Baguio</t>
        </is>
      </c>
    </row>
    <row r="9662" spans="1:1">
      <c r="A9662" t="inlineStr">
        <is>
          <t>Pajo San Isidro</t>
        </is>
      </c>
    </row>
    <row r="9663" spans="1:1">
      <c r="A9663" t="inlineStr">
        <is>
          <t>Palnab Del Norte</t>
        </is>
      </c>
    </row>
    <row r="9664" spans="1:1">
      <c r="A9664" t="inlineStr">
        <is>
          <t>Palnab Del Sur</t>
        </is>
      </c>
    </row>
    <row r="9665" spans="1:1">
      <c r="A9665" t="inlineStr">
        <is>
          <t>Palta Big</t>
        </is>
      </c>
    </row>
    <row r="9666" spans="1:1">
      <c r="A9666" t="inlineStr">
        <is>
          <t>Palta Salvacion</t>
        </is>
      </c>
    </row>
    <row r="9667" spans="1:1">
      <c r="A9667" t="inlineStr">
        <is>
          <t>Palta Small</t>
        </is>
      </c>
    </row>
    <row r="9668" spans="1:1">
      <c r="A9668" t="inlineStr">
        <is>
          <t>Rawis</t>
        </is>
      </c>
    </row>
    <row r="9669" spans="1:1">
      <c r="A9669" t="inlineStr">
        <is>
          <t>Salvacion</t>
        </is>
      </c>
    </row>
    <row r="9670" spans="1:1">
      <c r="A9670" t="inlineStr">
        <is>
          <t>San Isidro Village</t>
        </is>
      </c>
    </row>
    <row r="9671" spans="1:1">
      <c r="A9671" t="inlineStr">
        <is>
          <t>San Jose</t>
        </is>
      </c>
    </row>
    <row r="9672" spans="1:1">
      <c r="A9672" t="inlineStr">
        <is>
          <t>San Juan</t>
        </is>
      </c>
    </row>
    <row r="9673" spans="1:1">
      <c r="A9673" t="inlineStr">
        <is>
          <t>San Pablo</t>
        </is>
      </c>
    </row>
    <row r="9674" spans="1:1">
      <c r="A9674" t="inlineStr">
        <is>
          <t>San Pedro</t>
        </is>
      </c>
    </row>
    <row r="9675" spans="1:1">
      <c r="A9675" t="inlineStr">
        <is>
          <t>San Roque</t>
        </is>
      </c>
    </row>
    <row r="9676" spans="1:1">
      <c r="A9676" t="inlineStr">
        <is>
          <t>San Vicente</t>
        </is>
      </c>
    </row>
    <row r="9677" spans="1:1">
      <c r="A9677" t="inlineStr">
        <is>
          <t>Santa Cruz</t>
        </is>
      </c>
    </row>
    <row r="9678" spans="1:1">
      <c r="A9678" t="inlineStr">
        <is>
          <t>Santa Elena</t>
        </is>
      </c>
    </row>
    <row r="9679" spans="1:1">
      <c r="A9679" t="inlineStr">
        <is>
          <t>Santo Cristo</t>
        </is>
      </c>
    </row>
    <row r="9680" spans="1:1">
      <c r="A9680" t="inlineStr">
        <is>
          <t>Santo Domingo</t>
        </is>
      </c>
    </row>
    <row r="9681" spans="1:1">
      <c r="A9681" t="inlineStr">
        <is>
          <t>Santo Niño</t>
        </is>
      </c>
    </row>
    <row r="9682" spans="1:1">
      <c r="A9682" t="inlineStr">
        <is>
          <t>Simamla</t>
        </is>
      </c>
    </row>
    <row r="9683" spans="1:1">
      <c r="A9683" t="inlineStr">
        <is>
          <t>Sogod-Simamla</t>
        </is>
      </c>
    </row>
    <row r="9684" spans="1:1">
      <c r="A9684" t="inlineStr">
        <is>
          <t>Sogod-Tibgao</t>
        </is>
      </c>
    </row>
    <row r="9685" spans="1:1">
      <c r="A9685" t="inlineStr">
        <is>
          <t>Talisoy</t>
        </is>
      </c>
    </row>
    <row r="9686" spans="1:1">
      <c r="A9686" t="inlineStr">
        <is>
          <t>Tubaon</t>
        </is>
      </c>
    </row>
    <row r="9687" spans="1:1">
      <c r="A9687" t="inlineStr">
        <is>
          <t>Valencia</t>
        </is>
      </c>
    </row>
    <row r="9688" spans="1:1">
      <c r="A9688" t="inlineStr">
        <is>
          <t>Amuyong</t>
        </is>
      </c>
    </row>
    <row r="9689" spans="1:1">
      <c r="A9689" t="inlineStr">
        <is>
          <t>Barangay I</t>
        </is>
      </c>
    </row>
    <row r="9690" spans="1:1">
      <c r="A9690" t="inlineStr">
        <is>
          <t>Barangay II</t>
        </is>
      </c>
    </row>
    <row r="9691" spans="1:1">
      <c r="A9691" t="inlineStr">
        <is>
          <t>Barangay III</t>
        </is>
      </c>
    </row>
    <row r="9692" spans="1:1">
      <c r="A9692" t="inlineStr">
        <is>
          <t>Barangay IV</t>
        </is>
      </c>
    </row>
    <row r="9693" spans="1:1">
      <c r="A9693" t="inlineStr">
        <is>
          <t>Barangay V</t>
        </is>
      </c>
    </row>
    <row r="9694" spans="1:1">
      <c r="A9694" t="inlineStr">
        <is>
          <t>Bilog</t>
        </is>
      </c>
    </row>
    <row r="9695" spans="1:1">
      <c r="A9695" t="inlineStr">
        <is>
          <t>Buck Estate</t>
        </is>
      </c>
    </row>
    <row r="9696" spans="1:1">
      <c r="A9696" t="inlineStr">
        <is>
          <t>Esperanza Ibaba</t>
        </is>
      </c>
    </row>
    <row r="9697" spans="1:1">
      <c r="A9697" t="inlineStr">
        <is>
          <t>Esperanza Ilaya</t>
        </is>
      </c>
    </row>
    <row r="9698" spans="1:1">
      <c r="A9698" t="inlineStr">
        <is>
          <t>Kaysuyo</t>
        </is>
      </c>
    </row>
    <row r="9699" spans="1:1">
      <c r="A9699" t="inlineStr">
        <is>
          <t>Kaytitinga I</t>
        </is>
      </c>
    </row>
    <row r="9700" spans="1:1">
      <c r="A9700" t="inlineStr">
        <is>
          <t>Kaytitinga II</t>
        </is>
      </c>
    </row>
    <row r="9701" spans="1:1">
      <c r="A9701" t="inlineStr">
        <is>
          <t>Kaytitinga III</t>
        </is>
      </c>
    </row>
    <row r="9702" spans="1:1">
      <c r="A9702" t="inlineStr">
        <is>
          <t>Luksuhin</t>
        </is>
      </c>
    </row>
    <row r="9703" spans="1:1">
      <c r="A9703" t="inlineStr">
        <is>
          <t>Luksuhin Ilaya</t>
        </is>
      </c>
    </row>
    <row r="9704" spans="1:1">
      <c r="A9704" t="inlineStr">
        <is>
          <t>Mangas I</t>
        </is>
      </c>
    </row>
    <row r="9705" spans="1:1">
      <c r="A9705" t="inlineStr">
        <is>
          <t>Mangas II</t>
        </is>
      </c>
    </row>
    <row r="9706" spans="1:1">
      <c r="A9706" t="inlineStr">
        <is>
          <t>Marahan I</t>
        </is>
      </c>
    </row>
    <row r="9707" spans="1:1">
      <c r="A9707" t="inlineStr">
        <is>
          <t>Marahan II</t>
        </is>
      </c>
    </row>
    <row r="9708" spans="1:1">
      <c r="A9708" t="inlineStr">
        <is>
          <t>Matagbak I</t>
        </is>
      </c>
    </row>
    <row r="9709" spans="1:1">
      <c r="A9709" t="inlineStr">
        <is>
          <t>Matagbak II</t>
        </is>
      </c>
    </row>
    <row r="9710" spans="1:1">
      <c r="A9710" t="inlineStr">
        <is>
          <t>Pajo</t>
        </is>
      </c>
    </row>
    <row r="9711" spans="1:1">
      <c r="A9711" t="inlineStr">
        <is>
          <t>Palumlum</t>
        </is>
      </c>
    </row>
    <row r="9712" spans="1:1">
      <c r="A9712" t="inlineStr">
        <is>
          <t>Santa Teresa</t>
        </is>
      </c>
    </row>
    <row r="9713" spans="1:1">
      <c r="A9713" t="inlineStr">
        <is>
          <t>Sikat</t>
        </is>
      </c>
    </row>
    <row r="9714" spans="1:1">
      <c r="A9714" t="inlineStr">
        <is>
          <t>Sinaliw Malaki</t>
        </is>
      </c>
    </row>
    <row r="9715" spans="1:1">
      <c r="A9715" t="inlineStr">
        <is>
          <t>Sinaliw na Munti</t>
        </is>
      </c>
    </row>
    <row r="9716" spans="1:1">
      <c r="A9716" t="inlineStr">
        <is>
          <t>Sulsugin</t>
        </is>
      </c>
    </row>
    <row r="9717" spans="1:1">
      <c r="A9717" t="inlineStr">
        <is>
          <t>Taywanak Ibaba</t>
        </is>
      </c>
    </row>
    <row r="9718" spans="1:1">
      <c r="A9718" t="inlineStr">
        <is>
          <t>Taywanak Ilaya</t>
        </is>
      </c>
    </row>
    <row r="9719" spans="1:1">
      <c r="A9719" t="inlineStr">
        <is>
          <t>Upli</t>
        </is>
      </c>
    </row>
    <row r="9720" spans="1:1">
      <c r="A9720" t="inlineStr">
        <is>
          <t>Banaybanay</t>
        </is>
      </c>
    </row>
    <row r="9721" spans="1:1">
      <c r="A9721" t="inlineStr">
        <is>
          <t>Barangay I</t>
        </is>
      </c>
    </row>
    <row r="9722" spans="1:1">
      <c r="A9722" t="inlineStr">
        <is>
          <t>Barangay II</t>
        </is>
      </c>
    </row>
    <row r="9723" spans="1:1">
      <c r="A9723" t="inlineStr">
        <is>
          <t>Barangay III</t>
        </is>
      </c>
    </row>
    <row r="9724" spans="1:1">
      <c r="A9724" t="inlineStr">
        <is>
          <t>Barangay IV</t>
        </is>
      </c>
    </row>
    <row r="9725" spans="1:1">
      <c r="A9725" t="inlineStr">
        <is>
          <t>Barangay IX</t>
        </is>
      </c>
    </row>
    <row r="9726" spans="1:1">
      <c r="A9726" t="inlineStr">
        <is>
          <t>Barangay V</t>
        </is>
      </c>
    </row>
    <row r="9727" spans="1:1">
      <c r="A9727" t="inlineStr">
        <is>
          <t>Barangay VI</t>
        </is>
      </c>
    </row>
    <row r="9728" spans="1:1">
      <c r="A9728" t="inlineStr">
        <is>
          <t>Barangay VII</t>
        </is>
      </c>
    </row>
    <row r="9729" spans="1:1">
      <c r="A9729" t="inlineStr">
        <is>
          <t>Barangay VIII</t>
        </is>
      </c>
    </row>
    <row r="9730" spans="1:1">
      <c r="A9730" t="inlineStr">
        <is>
          <t>Barangay X</t>
        </is>
      </c>
    </row>
    <row r="9731" spans="1:1">
      <c r="A9731" t="inlineStr">
        <is>
          <t>Barangay XI</t>
        </is>
      </c>
    </row>
    <row r="9732" spans="1:1">
      <c r="A9732" t="inlineStr">
        <is>
          <t>Barangay XII</t>
        </is>
      </c>
    </row>
    <row r="9733" spans="1:1">
      <c r="A9733" t="inlineStr">
        <is>
          <t>Bucal</t>
        </is>
      </c>
    </row>
    <row r="9734" spans="1:1">
      <c r="A9734" t="inlineStr">
        <is>
          <t>Buho</t>
        </is>
      </c>
    </row>
    <row r="9735" spans="1:1">
      <c r="A9735" t="inlineStr">
        <is>
          <t>Dagatan</t>
        </is>
      </c>
    </row>
    <row r="9736" spans="1:1">
      <c r="A9736" t="inlineStr">
        <is>
          <t>Halang</t>
        </is>
      </c>
    </row>
    <row r="9737" spans="1:1">
      <c r="A9737" t="inlineStr">
        <is>
          <t>Loma</t>
        </is>
      </c>
    </row>
    <row r="9738" spans="1:1">
      <c r="A9738" t="inlineStr">
        <is>
          <t>Maitim I</t>
        </is>
      </c>
    </row>
    <row r="9739" spans="1:1">
      <c r="A9739" t="inlineStr">
        <is>
          <t>Maymangga</t>
        </is>
      </c>
    </row>
    <row r="9740" spans="1:1">
      <c r="A9740" t="inlineStr">
        <is>
          <t>Minantok Kanluran</t>
        </is>
      </c>
    </row>
    <row r="9741" spans="1:1">
      <c r="A9741" t="inlineStr">
        <is>
          <t>Minantok Silangan</t>
        </is>
      </c>
    </row>
    <row r="9742" spans="1:1">
      <c r="A9742" t="inlineStr">
        <is>
          <t>Pangil</t>
        </is>
      </c>
    </row>
    <row r="9743" spans="1:1">
      <c r="A9743" t="inlineStr">
        <is>
          <t>Salaban</t>
        </is>
      </c>
    </row>
    <row r="9744" spans="1:1">
      <c r="A9744" t="inlineStr">
        <is>
          <t>Talon</t>
        </is>
      </c>
    </row>
    <row r="9745" spans="1:1">
      <c r="A9745" t="inlineStr">
        <is>
          <t>Tamacan</t>
        </is>
      </c>
    </row>
    <row r="9746" spans="1:1">
      <c r="A9746" t="inlineStr">
        <is>
          <t>Aniban 1</t>
        </is>
      </c>
    </row>
    <row r="9747" spans="1:1">
      <c r="A9747" t="inlineStr">
        <is>
          <t>Aniban 2</t>
        </is>
      </c>
    </row>
    <row r="9748" spans="1:1">
      <c r="A9748" t="inlineStr">
        <is>
          <t>Bayanan</t>
        </is>
      </c>
    </row>
    <row r="9749" spans="1:1">
      <c r="A9749" t="inlineStr">
        <is>
          <t>Dulong Bayan</t>
        </is>
      </c>
    </row>
    <row r="9750" spans="1:1">
      <c r="A9750" t="inlineStr">
        <is>
          <t>Habay I</t>
        </is>
      </c>
    </row>
    <row r="9751" spans="1:1">
      <c r="A9751" t="inlineStr">
        <is>
          <t>Habay II</t>
        </is>
      </c>
    </row>
    <row r="9752" spans="1:1">
      <c r="A9752" t="inlineStr">
        <is>
          <t>Kaingin Digman</t>
        </is>
      </c>
    </row>
    <row r="9753" spans="1:1">
      <c r="A9753" t="inlineStr">
        <is>
          <t>Ligas 1</t>
        </is>
      </c>
    </row>
    <row r="9754" spans="1:1">
      <c r="A9754" t="inlineStr">
        <is>
          <t>Ligas 2</t>
        </is>
      </c>
    </row>
    <row r="9755" spans="1:1">
      <c r="A9755" t="inlineStr">
        <is>
          <t>Mabolo</t>
        </is>
      </c>
    </row>
    <row r="9756" spans="1:1">
      <c r="A9756" t="inlineStr">
        <is>
          <t>Maliksi 1</t>
        </is>
      </c>
    </row>
    <row r="9757" spans="1:1">
      <c r="A9757" t="inlineStr">
        <is>
          <t>Maliksi 2</t>
        </is>
      </c>
    </row>
    <row r="9758" spans="1:1">
      <c r="A9758" t="inlineStr">
        <is>
          <t>Mambog 1</t>
        </is>
      </c>
    </row>
    <row r="9759" spans="1:1">
      <c r="A9759" t="inlineStr">
        <is>
          <t>Mambog 2</t>
        </is>
      </c>
    </row>
    <row r="9760" spans="1:1">
      <c r="A9760" t="inlineStr">
        <is>
          <t>Mambog 3</t>
        </is>
      </c>
    </row>
    <row r="9761" spans="1:1">
      <c r="A9761" t="inlineStr">
        <is>
          <t>Mambog 4</t>
        </is>
      </c>
    </row>
    <row r="9762" spans="1:1">
      <c r="A9762" t="inlineStr">
        <is>
          <t>Molino I</t>
        </is>
      </c>
    </row>
    <row r="9763" spans="1:1">
      <c r="A9763" t="inlineStr">
        <is>
          <t>Molino II</t>
        </is>
      </c>
    </row>
    <row r="9764" spans="1:1">
      <c r="A9764" t="inlineStr">
        <is>
          <t>Molino III</t>
        </is>
      </c>
    </row>
    <row r="9765" spans="1:1">
      <c r="A9765" t="inlineStr">
        <is>
          <t>Molino IV</t>
        </is>
      </c>
    </row>
    <row r="9766" spans="1:1">
      <c r="A9766" t="inlineStr">
        <is>
          <t>Molino V</t>
        </is>
      </c>
    </row>
    <row r="9767" spans="1:1">
      <c r="A9767" t="inlineStr">
        <is>
          <t>Molino VI</t>
        </is>
      </c>
    </row>
    <row r="9768" spans="1:1">
      <c r="A9768" t="inlineStr">
        <is>
          <t>Molino VII</t>
        </is>
      </c>
    </row>
    <row r="9769" spans="1:1">
      <c r="A9769" t="inlineStr">
        <is>
          <t>Niog</t>
        </is>
      </c>
    </row>
    <row r="9770" spans="1:1">
      <c r="A9770" t="inlineStr">
        <is>
          <t>P.F. Espiritu 1</t>
        </is>
      </c>
    </row>
    <row r="9771" spans="1:1">
      <c r="A9771" t="inlineStr">
        <is>
          <t>P.F. Espiritu 2</t>
        </is>
      </c>
    </row>
    <row r="9772" spans="1:1">
      <c r="A9772" t="inlineStr">
        <is>
          <t>P.F. Espiritu 3</t>
        </is>
      </c>
    </row>
    <row r="9773" spans="1:1">
      <c r="A9773" t="inlineStr">
        <is>
          <t>P.F. Espiritu 4</t>
        </is>
      </c>
    </row>
    <row r="9774" spans="1:1">
      <c r="A9774" t="inlineStr">
        <is>
          <t>P.F. Espiritu 5</t>
        </is>
      </c>
    </row>
    <row r="9775" spans="1:1">
      <c r="A9775" t="inlineStr">
        <is>
          <t>P.F. Espiritu 6</t>
        </is>
      </c>
    </row>
    <row r="9776" spans="1:1">
      <c r="A9776" t="inlineStr">
        <is>
          <t>Poblacion</t>
        </is>
      </c>
    </row>
    <row r="9777" spans="1:1">
      <c r="A9777" t="inlineStr">
        <is>
          <t>Queens Row Central</t>
        </is>
      </c>
    </row>
    <row r="9778" spans="1:1">
      <c r="A9778" t="inlineStr">
        <is>
          <t>Queens Row East</t>
        </is>
      </c>
    </row>
    <row r="9779" spans="1:1">
      <c r="A9779" t="inlineStr">
        <is>
          <t>Queens Row West</t>
        </is>
      </c>
    </row>
    <row r="9780" spans="1:1">
      <c r="A9780" t="inlineStr">
        <is>
          <t>Real</t>
        </is>
      </c>
    </row>
    <row r="9781" spans="1:1">
      <c r="A9781" t="inlineStr">
        <is>
          <t>Salinas 2</t>
        </is>
      </c>
    </row>
    <row r="9782" spans="1:1">
      <c r="A9782" t="inlineStr">
        <is>
          <t>Salinas I</t>
        </is>
      </c>
    </row>
    <row r="9783" spans="1:1">
      <c r="A9783" t="inlineStr">
        <is>
          <t>San Nicolas 1</t>
        </is>
      </c>
    </row>
    <row r="9784" spans="1:1">
      <c r="A9784" t="inlineStr">
        <is>
          <t>San Nicolas II</t>
        </is>
      </c>
    </row>
    <row r="9785" spans="1:1">
      <c r="A9785" t="inlineStr">
        <is>
          <t>San Nicolas III</t>
        </is>
      </c>
    </row>
    <row r="9786" spans="1:1">
      <c r="A9786" t="inlineStr">
        <is>
          <t>Sinbanali</t>
        </is>
      </c>
    </row>
    <row r="9787" spans="1:1">
      <c r="A9787" t="inlineStr">
        <is>
          <t>Talaba 1</t>
        </is>
      </c>
    </row>
    <row r="9788" spans="1:1">
      <c r="A9788" t="inlineStr">
        <is>
          <t>Talaba 2</t>
        </is>
      </c>
    </row>
    <row r="9789" spans="1:1">
      <c r="A9789" t="inlineStr">
        <is>
          <t>Talaba 3</t>
        </is>
      </c>
    </row>
    <row r="9790" spans="1:1">
      <c r="A9790" t="inlineStr">
        <is>
          <t>Zapote 1</t>
        </is>
      </c>
    </row>
    <row r="9791" spans="1:1">
      <c r="A9791" t="inlineStr">
        <is>
          <t>Zapote 2</t>
        </is>
      </c>
    </row>
    <row r="9792" spans="1:1">
      <c r="A9792" t="inlineStr">
        <is>
          <t>Zapote 3</t>
        </is>
      </c>
    </row>
    <row r="9793" spans="1:1">
      <c r="A9793" t="inlineStr">
        <is>
          <t>Bancal</t>
        </is>
      </c>
    </row>
    <row r="9794" spans="1:1">
      <c r="A9794" t="inlineStr">
        <is>
          <t>Barangay 1</t>
        </is>
      </c>
    </row>
    <row r="9795" spans="1:1">
      <c r="A9795" t="inlineStr">
        <is>
          <t>Barangay 2</t>
        </is>
      </c>
    </row>
    <row r="9796" spans="1:1">
      <c r="A9796" t="inlineStr">
        <is>
          <t>Barangay 3</t>
        </is>
      </c>
    </row>
    <row r="9797" spans="1:1">
      <c r="A9797" t="inlineStr">
        <is>
          <t>Barangay 4</t>
        </is>
      </c>
    </row>
    <row r="9798" spans="1:1">
      <c r="A9798" t="inlineStr">
        <is>
          <t>Barangay 5</t>
        </is>
      </c>
    </row>
    <row r="9799" spans="1:1">
      <c r="A9799" t="inlineStr">
        <is>
          <t>Barangay 6</t>
        </is>
      </c>
    </row>
    <row r="9800" spans="1:1">
      <c r="A9800" t="inlineStr">
        <is>
          <t>Barangay 7</t>
        </is>
      </c>
    </row>
    <row r="9801" spans="1:1">
      <c r="A9801" t="inlineStr">
        <is>
          <t>Barangay 8</t>
        </is>
      </c>
    </row>
    <row r="9802" spans="1:1">
      <c r="A9802" t="inlineStr">
        <is>
          <t>Cabilang Baybay</t>
        </is>
      </c>
    </row>
    <row r="9803" spans="1:1">
      <c r="A9803" t="inlineStr">
        <is>
          <t>Lantic</t>
        </is>
      </c>
    </row>
    <row r="9804" spans="1:1">
      <c r="A9804" t="inlineStr">
        <is>
          <t>Mabuhay</t>
        </is>
      </c>
    </row>
    <row r="9805" spans="1:1">
      <c r="A9805" t="inlineStr">
        <is>
          <t>Maduya</t>
        </is>
      </c>
    </row>
    <row r="9806" spans="1:1">
      <c r="A9806" t="inlineStr">
        <is>
          <t>Milagrosa</t>
        </is>
      </c>
    </row>
    <row r="9807" spans="1:1">
      <c r="A9807" t="inlineStr">
        <is>
          <t>Barangay 1</t>
        </is>
      </c>
    </row>
    <row r="9808" spans="1:1">
      <c r="A9808" t="inlineStr">
        <is>
          <t>Barangay 10</t>
        </is>
      </c>
    </row>
    <row r="9809" spans="1:1">
      <c r="A9809" t="inlineStr">
        <is>
          <t>Barangay 10-A</t>
        </is>
      </c>
    </row>
    <row r="9810" spans="1:1">
      <c r="A9810" t="inlineStr">
        <is>
          <t>Barangay 10-B</t>
        </is>
      </c>
    </row>
    <row r="9811" spans="1:1">
      <c r="A9811" t="inlineStr">
        <is>
          <t>Barangay 11</t>
        </is>
      </c>
    </row>
    <row r="9812" spans="1:1">
      <c r="A9812" t="inlineStr">
        <is>
          <t>Barangay 12</t>
        </is>
      </c>
    </row>
    <row r="9813" spans="1:1">
      <c r="A9813" t="inlineStr">
        <is>
          <t>Barangay 13</t>
        </is>
      </c>
    </row>
    <row r="9814" spans="1:1">
      <c r="A9814" t="inlineStr">
        <is>
          <t>Barangay 14</t>
        </is>
      </c>
    </row>
    <row r="9815" spans="1:1">
      <c r="A9815" t="inlineStr">
        <is>
          <t>Barangay 15</t>
        </is>
      </c>
    </row>
    <row r="9816" spans="1:1">
      <c r="A9816" t="inlineStr">
        <is>
          <t>Barangay 16</t>
        </is>
      </c>
    </row>
    <row r="9817" spans="1:1">
      <c r="A9817" t="inlineStr">
        <is>
          <t>Barangay 17</t>
        </is>
      </c>
    </row>
    <row r="9818" spans="1:1">
      <c r="A9818" t="inlineStr">
        <is>
          <t>Barangay 18</t>
        </is>
      </c>
    </row>
    <row r="9819" spans="1:1">
      <c r="A9819" t="inlineStr">
        <is>
          <t>Barangay 19</t>
        </is>
      </c>
    </row>
    <row r="9820" spans="1:1">
      <c r="A9820" t="inlineStr">
        <is>
          <t>Barangay 2</t>
        </is>
      </c>
    </row>
    <row r="9821" spans="1:1">
      <c r="A9821" t="inlineStr">
        <is>
          <t>Barangay 20</t>
        </is>
      </c>
    </row>
    <row r="9822" spans="1:1">
      <c r="A9822" t="inlineStr">
        <is>
          <t>Barangay 21</t>
        </is>
      </c>
    </row>
    <row r="9823" spans="1:1">
      <c r="A9823" t="inlineStr">
        <is>
          <t>Barangay 22</t>
        </is>
      </c>
    </row>
    <row r="9824" spans="1:1">
      <c r="A9824" t="inlineStr">
        <is>
          <t>Barangay 22-A</t>
        </is>
      </c>
    </row>
    <row r="9825" spans="1:1">
      <c r="A9825" t="inlineStr">
        <is>
          <t>Barangay 23</t>
        </is>
      </c>
    </row>
    <row r="9826" spans="1:1">
      <c r="A9826" t="inlineStr">
        <is>
          <t>Barangay 24</t>
        </is>
      </c>
    </row>
    <row r="9827" spans="1:1">
      <c r="A9827" t="inlineStr">
        <is>
          <t>Barangay 25</t>
        </is>
      </c>
    </row>
    <row r="9828" spans="1:1">
      <c r="A9828" t="inlineStr">
        <is>
          <t>Barangay 26</t>
        </is>
      </c>
    </row>
    <row r="9829" spans="1:1">
      <c r="A9829" t="inlineStr">
        <is>
          <t>Barangay 27</t>
        </is>
      </c>
    </row>
    <row r="9830" spans="1:1">
      <c r="A9830" t="inlineStr">
        <is>
          <t>Barangay 28</t>
        </is>
      </c>
    </row>
    <row r="9831" spans="1:1">
      <c r="A9831" t="inlineStr">
        <is>
          <t>Barangay 29</t>
        </is>
      </c>
    </row>
    <row r="9832" spans="1:1">
      <c r="A9832" t="inlineStr">
        <is>
          <t>Barangay 29-A</t>
        </is>
      </c>
    </row>
    <row r="9833" spans="1:1">
      <c r="A9833" t="inlineStr">
        <is>
          <t>Barangay 3</t>
        </is>
      </c>
    </row>
    <row r="9834" spans="1:1">
      <c r="A9834" t="inlineStr">
        <is>
          <t>Barangay 30</t>
        </is>
      </c>
    </row>
    <row r="9835" spans="1:1">
      <c r="A9835" t="inlineStr">
        <is>
          <t>Barangay 31</t>
        </is>
      </c>
    </row>
    <row r="9836" spans="1:1">
      <c r="A9836" t="inlineStr">
        <is>
          <t>Barangay 32</t>
        </is>
      </c>
    </row>
    <row r="9837" spans="1:1">
      <c r="A9837" t="inlineStr">
        <is>
          <t>Barangay 33</t>
        </is>
      </c>
    </row>
    <row r="9838" spans="1:1">
      <c r="A9838" t="inlineStr">
        <is>
          <t>Barangay 34</t>
        </is>
      </c>
    </row>
    <row r="9839" spans="1:1">
      <c r="A9839" t="inlineStr">
        <is>
          <t>Barangay 35</t>
        </is>
      </c>
    </row>
    <row r="9840" spans="1:1">
      <c r="A9840" t="inlineStr">
        <is>
          <t>Barangay 36</t>
        </is>
      </c>
    </row>
    <row r="9841" spans="1:1">
      <c r="A9841" t="inlineStr">
        <is>
          <t>Barangay 36-A</t>
        </is>
      </c>
    </row>
    <row r="9842" spans="1:1">
      <c r="A9842" t="inlineStr">
        <is>
          <t>Barangay 37</t>
        </is>
      </c>
    </row>
    <row r="9843" spans="1:1">
      <c r="A9843" t="inlineStr">
        <is>
          <t>Barangay 37-A</t>
        </is>
      </c>
    </row>
    <row r="9844" spans="1:1">
      <c r="A9844" t="inlineStr">
        <is>
          <t>Barangay 38</t>
        </is>
      </c>
    </row>
    <row r="9845" spans="1:1">
      <c r="A9845" t="inlineStr">
        <is>
          <t>Barangay 38-A</t>
        </is>
      </c>
    </row>
    <row r="9846" spans="1:1">
      <c r="A9846" t="inlineStr">
        <is>
          <t>Barangay 39</t>
        </is>
      </c>
    </row>
    <row r="9847" spans="1:1">
      <c r="A9847" t="inlineStr">
        <is>
          <t>Barangay 4</t>
        </is>
      </c>
    </row>
    <row r="9848" spans="1:1">
      <c r="A9848" t="inlineStr">
        <is>
          <t>Barangay 40</t>
        </is>
      </c>
    </row>
    <row r="9849" spans="1:1">
      <c r="A9849" t="inlineStr">
        <is>
          <t>Barangay 41</t>
        </is>
      </c>
    </row>
    <row r="9850" spans="1:1">
      <c r="A9850" t="inlineStr">
        <is>
          <t>Barangay 42</t>
        </is>
      </c>
    </row>
    <row r="9851" spans="1:1">
      <c r="A9851" t="inlineStr">
        <is>
          <t>Barangay 42-A</t>
        </is>
      </c>
    </row>
    <row r="9852" spans="1:1">
      <c r="A9852" t="inlineStr">
        <is>
          <t>Barangay 42-B</t>
        </is>
      </c>
    </row>
    <row r="9853" spans="1:1">
      <c r="A9853" t="inlineStr">
        <is>
          <t>Barangay 42-C</t>
        </is>
      </c>
    </row>
    <row r="9854" spans="1:1">
      <c r="A9854" t="inlineStr">
        <is>
          <t>Barangay 43</t>
        </is>
      </c>
    </row>
    <row r="9855" spans="1:1">
      <c r="A9855" t="inlineStr">
        <is>
          <t>Barangay 44</t>
        </is>
      </c>
    </row>
    <row r="9856" spans="1:1">
      <c r="A9856" t="inlineStr">
        <is>
          <t>Barangay 45</t>
        </is>
      </c>
    </row>
    <row r="9857" spans="1:1">
      <c r="A9857" t="inlineStr">
        <is>
          <t>Barangay 45-A</t>
        </is>
      </c>
    </row>
    <row r="9858" spans="1:1">
      <c r="A9858" t="inlineStr">
        <is>
          <t>Barangay 46</t>
        </is>
      </c>
    </row>
    <row r="9859" spans="1:1">
      <c r="A9859" t="inlineStr">
        <is>
          <t>Barangay 47</t>
        </is>
      </c>
    </row>
    <row r="9860" spans="1:1">
      <c r="A9860" t="inlineStr">
        <is>
          <t>Barangay 47-A</t>
        </is>
      </c>
    </row>
    <row r="9861" spans="1:1">
      <c r="A9861" t="inlineStr">
        <is>
          <t>Barangay 47-B</t>
        </is>
      </c>
    </row>
    <row r="9862" spans="1:1">
      <c r="A9862" t="inlineStr">
        <is>
          <t>Barangay 48</t>
        </is>
      </c>
    </row>
    <row r="9863" spans="1:1">
      <c r="A9863" t="inlineStr">
        <is>
          <t>Barangay 48-A</t>
        </is>
      </c>
    </row>
    <row r="9864" spans="1:1">
      <c r="A9864" t="inlineStr">
        <is>
          <t>Barangay 49</t>
        </is>
      </c>
    </row>
    <row r="9865" spans="1:1">
      <c r="A9865" t="inlineStr">
        <is>
          <t>Barangay 49-A</t>
        </is>
      </c>
    </row>
    <row r="9866" spans="1:1">
      <c r="A9866" t="inlineStr">
        <is>
          <t>Barangay 5</t>
        </is>
      </c>
    </row>
    <row r="9867" spans="1:1">
      <c r="A9867" t="inlineStr">
        <is>
          <t>Barangay 50</t>
        </is>
      </c>
    </row>
    <row r="9868" spans="1:1">
      <c r="A9868" t="inlineStr">
        <is>
          <t>Barangay 51</t>
        </is>
      </c>
    </row>
    <row r="9869" spans="1:1">
      <c r="A9869" t="inlineStr">
        <is>
          <t>Barangay 52</t>
        </is>
      </c>
    </row>
    <row r="9870" spans="1:1">
      <c r="A9870" t="inlineStr">
        <is>
          <t>Barangay 53</t>
        </is>
      </c>
    </row>
    <row r="9871" spans="1:1">
      <c r="A9871" t="inlineStr">
        <is>
          <t>Barangay 53-A</t>
        </is>
      </c>
    </row>
    <row r="9872" spans="1:1">
      <c r="A9872" t="inlineStr">
        <is>
          <t>Barangay 53-B</t>
        </is>
      </c>
    </row>
    <row r="9873" spans="1:1">
      <c r="A9873" t="inlineStr">
        <is>
          <t>Barangay 54</t>
        </is>
      </c>
    </row>
    <row r="9874" spans="1:1">
      <c r="A9874" t="inlineStr">
        <is>
          <t>Barangay 54-A</t>
        </is>
      </c>
    </row>
    <row r="9875" spans="1:1">
      <c r="A9875" t="inlineStr">
        <is>
          <t>Barangay 55</t>
        </is>
      </c>
    </row>
    <row r="9876" spans="1:1">
      <c r="A9876" t="inlineStr">
        <is>
          <t>Barangay 56</t>
        </is>
      </c>
    </row>
    <row r="9877" spans="1:1">
      <c r="A9877" t="inlineStr">
        <is>
          <t>Barangay 57</t>
        </is>
      </c>
    </row>
    <row r="9878" spans="1:1">
      <c r="A9878" t="inlineStr">
        <is>
          <t>Barangay 58</t>
        </is>
      </c>
    </row>
    <row r="9879" spans="1:1">
      <c r="A9879" t="inlineStr">
        <is>
          <t>Barangay 58-A</t>
        </is>
      </c>
    </row>
    <row r="9880" spans="1:1">
      <c r="A9880" t="inlineStr">
        <is>
          <t>Barangay 59</t>
        </is>
      </c>
    </row>
    <row r="9881" spans="1:1">
      <c r="A9881" t="inlineStr">
        <is>
          <t>Barangay 6</t>
        </is>
      </c>
    </row>
    <row r="9882" spans="1:1">
      <c r="A9882" t="inlineStr">
        <is>
          <t>Barangay 60</t>
        </is>
      </c>
    </row>
    <row r="9883" spans="1:1">
      <c r="A9883" t="inlineStr">
        <is>
          <t>Barangay 61</t>
        </is>
      </c>
    </row>
    <row r="9884" spans="1:1">
      <c r="A9884" t="inlineStr">
        <is>
          <t>Barangay 61-A</t>
        </is>
      </c>
    </row>
    <row r="9885" spans="1:1">
      <c r="A9885" t="inlineStr">
        <is>
          <t>Barangay 62</t>
        </is>
      </c>
    </row>
    <row r="9886" spans="1:1">
      <c r="A9886" t="inlineStr">
        <is>
          <t>Barangay 62-A</t>
        </is>
      </c>
    </row>
    <row r="9887" spans="1:1">
      <c r="A9887" t="inlineStr">
        <is>
          <t>Barangay 62-B</t>
        </is>
      </c>
    </row>
    <row r="9888" spans="1:1">
      <c r="A9888" t="inlineStr">
        <is>
          <t>Barangay 7</t>
        </is>
      </c>
    </row>
    <row r="9889" spans="1:1">
      <c r="A9889" t="inlineStr">
        <is>
          <t>Barangay 8</t>
        </is>
      </c>
    </row>
    <row r="9890" spans="1:1">
      <c r="A9890" t="inlineStr">
        <is>
          <t>Barangay 9</t>
        </is>
      </c>
    </row>
    <row r="9891" spans="1:1">
      <c r="A9891" t="inlineStr">
        <is>
          <t>Burol</t>
        </is>
      </c>
    </row>
    <row r="9892" spans="1:1">
      <c r="A9892" t="inlineStr">
        <is>
          <t>Burol I</t>
        </is>
      </c>
    </row>
    <row r="9893" spans="1:1">
      <c r="A9893" t="inlineStr">
        <is>
          <t>Burol II</t>
        </is>
      </c>
    </row>
    <row r="9894" spans="1:1">
      <c r="A9894" t="inlineStr">
        <is>
          <t>Burol III</t>
        </is>
      </c>
    </row>
    <row r="9895" spans="1:1">
      <c r="A9895" t="inlineStr">
        <is>
          <t>Datu Esmael</t>
        </is>
      </c>
    </row>
    <row r="9896" spans="1:1">
      <c r="A9896" t="inlineStr">
        <is>
          <t>Emmanuel Bergado I</t>
        </is>
      </c>
    </row>
    <row r="9897" spans="1:1">
      <c r="A9897" t="inlineStr">
        <is>
          <t>Emmanuel Bergado II</t>
        </is>
      </c>
    </row>
    <row r="9898" spans="1:1">
      <c r="A9898" t="inlineStr">
        <is>
          <t>Fatima I</t>
        </is>
      </c>
    </row>
    <row r="9899" spans="1:1">
      <c r="A9899" t="inlineStr">
        <is>
          <t>Fatima II</t>
        </is>
      </c>
    </row>
    <row r="9900" spans="1:1">
      <c r="A9900" t="inlineStr">
        <is>
          <t>Fatima III</t>
        </is>
      </c>
    </row>
    <row r="9901" spans="1:1">
      <c r="A9901" t="inlineStr">
        <is>
          <t>H-2</t>
        </is>
      </c>
    </row>
    <row r="9902" spans="1:1">
      <c r="A9902" t="inlineStr">
        <is>
          <t>Langkaan I</t>
        </is>
      </c>
    </row>
    <row r="9903" spans="1:1">
      <c r="A9903" t="inlineStr">
        <is>
          <t>Langkaan II</t>
        </is>
      </c>
    </row>
    <row r="9904" spans="1:1">
      <c r="A9904" t="inlineStr">
        <is>
          <t>Luzviminda I</t>
        </is>
      </c>
    </row>
    <row r="9905" spans="1:1">
      <c r="A9905" t="inlineStr">
        <is>
          <t>Luzviminda II</t>
        </is>
      </c>
    </row>
    <row r="9906" spans="1:1">
      <c r="A9906" t="inlineStr">
        <is>
          <t>Paliparan I</t>
        </is>
      </c>
    </row>
    <row r="9907" spans="1:1">
      <c r="A9907" t="inlineStr">
        <is>
          <t>Paliparan II</t>
        </is>
      </c>
    </row>
    <row r="9908" spans="1:1">
      <c r="A9908" t="inlineStr">
        <is>
          <t>Paliparan III</t>
        </is>
      </c>
    </row>
    <row r="9909" spans="1:1">
      <c r="A9909" t="inlineStr">
        <is>
          <t>Sabang</t>
        </is>
      </c>
    </row>
    <row r="9910" spans="1:1">
      <c r="A9910" t="inlineStr">
        <is>
          <t>Saint Peter I</t>
        </is>
      </c>
    </row>
    <row r="9911" spans="1:1">
      <c r="A9911" t="inlineStr">
        <is>
          <t>Saint Peter II</t>
        </is>
      </c>
    </row>
    <row r="9912" spans="1:1">
      <c r="A9912" t="inlineStr">
        <is>
          <t>Salawag</t>
        </is>
      </c>
    </row>
    <row r="9913" spans="1:1">
      <c r="A9913" t="inlineStr">
        <is>
          <t>Salitran I</t>
        </is>
      </c>
    </row>
    <row r="9914" spans="1:1">
      <c r="A9914" t="inlineStr">
        <is>
          <t>Salitran II</t>
        </is>
      </c>
    </row>
    <row r="9915" spans="1:1">
      <c r="A9915" t="inlineStr">
        <is>
          <t>Salitran III</t>
        </is>
      </c>
    </row>
    <row r="9916" spans="1:1">
      <c r="A9916" t="inlineStr">
        <is>
          <t>Salitran IV</t>
        </is>
      </c>
    </row>
    <row r="9917" spans="1:1">
      <c r="A9917" t="inlineStr">
        <is>
          <t>Sampaloc I</t>
        </is>
      </c>
    </row>
    <row r="9918" spans="1:1">
      <c r="A9918" t="inlineStr">
        <is>
          <t>Sampaloc II</t>
        </is>
      </c>
    </row>
    <row r="9919" spans="1:1">
      <c r="A9919" t="inlineStr">
        <is>
          <t>Sampaloc III</t>
        </is>
      </c>
    </row>
    <row r="9920" spans="1:1">
      <c r="A9920" t="inlineStr">
        <is>
          <t>Sampaloc IV</t>
        </is>
      </c>
    </row>
    <row r="9921" spans="1:1">
      <c r="A9921" t="inlineStr">
        <is>
          <t>Sampaloc V</t>
        </is>
      </c>
    </row>
    <row r="9922" spans="1:1">
      <c r="A9922" t="inlineStr">
        <is>
          <t>San Agustin I</t>
        </is>
      </c>
    </row>
    <row r="9923" spans="1:1">
      <c r="A9923" t="inlineStr">
        <is>
          <t>San Agustin II</t>
        </is>
      </c>
    </row>
    <row r="9924" spans="1:1">
      <c r="A9924" t="inlineStr">
        <is>
          <t>San Agustin III</t>
        </is>
      </c>
    </row>
    <row r="9925" spans="1:1">
      <c r="A9925" t="inlineStr">
        <is>
          <t>San Andres I</t>
        </is>
      </c>
    </row>
    <row r="9926" spans="1:1">
      <c r="A9926" t="inlineStr">
        <is>
          <t>San Andres II</t>
        </is>
      </c>
    </row>
    <row r="9927" spans="1:1">
      <c r="A9927" t="inlineStr">
        <is>
          <t>San Antonio De Padua I</t>
        </is>
      </c>
    </row>
    <row r="9928" spans="1:1">
      <c r="A9928" t="inlineStr">
        <is>
          <t>San Antonio De Padua II</t>
        </is>
      </c>
    </row>
    <row r="9929" spans="1:1">
      <c r="A9929" t="inlineStr">
        <is>
          <t>San Dionisio</t>
        </is>
      </c>
    </row>
    <row r="9930" spans="1:1">
      <c r="A9930" t="inlineStr">
        <is>
          <t>San Esteban</t>
        </is>
      </c>
    </row>
    <row r="9931" spans="1:1">
      <c r="A9931" t="inlineStr">
        <is>
          <t>San Francisco I</t>
        </is>
      </c>
    </row>
    <row r="9932" spans="1:1">
      <c r="A9932" t="inlineStr">
        <is>
          <t>San Francisco II</t>
        </is>
      </c>
    </row>
    <row r="9933" spans="1:1">
      <c r="A9933" t="inlineStr">
        <is>
          <t>San Isidro Labrador I</t>
        </is>
      </c>
    </row>
    <row r="9934" spans="1:1">
      <c r="A9934" t="inlineStr">
        <is>
          <t>San Isidro Labrador II</t>
        </is>
      </c>
    </row>
    <row r="9935" spans="1:1">
      <c r="A9935" t="inlineStr">
        <is>
          <t>San Jose</t>
        </is>
      </c>
    </row>
    <row r="9936" spans="1:1">
      <c r="A9936" t="inlineStr">
        <is>
          <t>San Juan</t>
        </is>
      </c>
    </row>
    <row r="9937" spans="1:1">
      <c r="A9937" t="inlineStr">
        <is>
          <t>San Lorenzo Ruiz I</t>
        </is>
      </c>
    </row>
    <row r="9938" spans="1:1">
      <c r="A9938" t="inlineStr">
        <is>
          <t>San Lorenzo Ruiz II</t>
        </is>
      </c>
    </row>
    <row r="9939" spans="1:1">
      <c r="A9939" t="inlineStr">
        <is>
          <t>San Luis I</t>
        </is>
      </c>
    </row>
    <row r="9940" spans="1:1">
      <c r="A9940" t="inlineStr">
        <is>
          <t>San Luis II</t>
        </is>
      </c>
    </row>
    <row r="9941" spans="1:1">
      <c r="A9941" t="inlineStr">
        <is>
          <t>San Manuel I</t>
        </is>
      </c>
    </row>
    <row r="9942" spans="1:1">
      <c r="A9942" t="inlineStr">
        <is>
          <t>San Manuel II</t>
        </is>
      </c>
    </row>
    <row r="9943" spans="1:1">
      <c r="A9943" t="inlineStr">
        <is>
          <t>San Mateo</t>
        </is>
      </c>
    </row>
    <row r="9944" spans="1:1">
      <c r="A9944" t="inlineStr">
        <is>
          <t>San Miguel</t>
        </is>
      </c>
    </row>
    <row r="9945" spans="1:1">
      <c r="A9945" t="inlineStr">
        <is>
          <t>San Miguel II</t>
        </is>
      </c>
    </row>
    <row r="9946" spans="1:1">
      <c r="A9946" t="inlineStr">
        <is>
          <t>San Nicolas I</t>
        </is>
      </c>
    </row>
    <row r="9947" spans="1:1">
      <c r="A9947" t="inlineStr">
        <is>
          <t>San Nicolas II</t>
        </is>
      </c>
    </row>
    <row r="9948" spans="1:1">
      <c r="A9948" t="inlineStr">
        <is>
          <t>San Roque</t>
        </is>
      </c>
    </row>
    <row r="9949" spans="1:1">
      <c r="A9949" t="inlineStr">
        <is>
          <t>San Simon</t>
        </is>
      </c>
    </row>
    <row r="9950" spans="1:1">
      <c r="A9950" t="inlineStr">
        <is>
          <t>Santa Cristina I</t>
        </is>
      </c>
    </row>
    <row r="9951" spans="1:1">
      <c r="A9951" t="inlineStr">
        <is>
          <t>Santa Cristina II</t>
        </is>
      </c>
    </row>
    <row r="9952" spans="1:1">
      <c r="A9952" t="inlineStr">
        <is>
          <t>Santa Cruz I</t>
        </is>
      </c>
    </row>
    <row r="9953" spans="1:1">
      <c r="A9953" t="inlineStr">
        <is>
          <t>Santa Cruz II</t>
        </is>
      </c>
    </row>
    <row r="9954" spans="1:1">
      <c r="A9954" t="inlineStr">
        <is>
          <t>Santa Fe</t>
        </is>
      </c>
    </row>
    <row r="9955" spans="1:1">
      <c r="A9955" t="inlineStr">
        <is>
          <t>Santa Lucia</t>
        </is>
      </c>
    </row>
    <row r="9956" spans="1:1">
      <c r="A9956" t="inlineStr">
        <is>
          <t>Santa Maria</t>
        </is>
      </c>
    </row>
    <row r="9957" spans="1:1">
      <c r="A9957" t="inlineStr">
        <is>
          <t>Santo Cristo</t>
        </is>
      </c>
    </row>
    <row r="9958" spans="1:1">
      <c r="A9958" t="inlineStr">
        <is>
          <t>Santo Niño I</t>
        </is>
      </c>
    </row>
    <row r="9959" spans="1:1">
      <c r="A9959" t="inlineStr">
        <is>
          <t>Santo Niño II</t>
        </is>
      </c>
    </row>
    <row r="9960" spans="1:1">
      <c r="A9960" t="inlineStr">
        <is>
          <t>Victoria Reyes</t>
        </is>
      </c>
    </row>
    <row r="9961" spans="1:1">
      <c r="A9961" t="inlineStr">
        <is>
          <t>Zone I</t>
        </is>
      </c>
    </row>
    <row r="9962" spans="1:1">
      <c r="A9962" t="inlineStr">
        <is>
          <t>Zone I-B</t>
        </is>
      </c>
    </row>
    <row r="9963" spans="1:1">
      <c r="A9963" t="inlineStr">
        <is>
          <t>Zone II</t>
        </is>
      </c>
    </row>
    <row r="9964" spans="1:1">
      <c r="A9964" t="inlineStr">
        <is>
          <t>Zone III</t>
        </is>
      </c>
    </row>
    <row r="9965" spans="1:1">
      <c r="A9965" t="inlineStr">
        <is>
          <t>Zone IV</t>
        </is>
      </c>
    </row>
    <row r="9966" spans="1:1">
      <c r="A9966" t="inlineStr">
        <is>
          <t>Alingaro</t>
        </is>
      </c>
    </row>
    <row r="9967" spans="1:1">
      <c r="A9967" t="inlineStr">
        <is>
          <t>Arnaldo Pob.</t>
        </is>
      </c>
    </row>
    <row r="9968" spans="1:1">
      <c r="A9968" t="inlineStr">
        <is>
          <t>Bacao I</t>
        </is>
      </c>
    </row>
    <row r="9969" spans="1:1">
      <c r="A9969" t="inlineStr">
        <is>
          <t>Bacao II</t>
        </is>
      </c>
    </row>
    <row r="9970" spans="1:1">
      <c r="A9970" t="inlineStr">
        <is>
          <t>Bagumbayan Pob.</t>
        </is>
      </c>
    </row>
    <row r="9971" spans="1:1">
      <c r="A9971" t="inlineStr">
        <is>
          <t>Biclatan</t>
        </is>
      </c>
    </row>
    <row r="9972" spans="1:1">
      <c r="A9972" t="inlineStr">
        <is>
          <t>Buenavista I</t>
        </is>
      </c>
    </row>
    <row r="9973" spans="1:1">
      <c r="A9973" t="inlineStr">
        <is>
          <t>Buenavista II</t>
        </is>
      </c>
    </row>
    <row r="9974" spans="1:1">
      <c r="A9974" t="inlineStr">
        <is>
          <t>Buenavista III</t>
        </is>
      </c>
    </row>
    <row r="9975" spans="1:1">
      <c r="A9975" t="inlineStr">
        <is>
          <t>Corregidor Pob.</t>
        </is>
      </c>
    </row>
    <row r="9976" spans="1:1">
      <c r="A9976" t="inlineStr">
        <is>
          <t>Dulong Bayan Pob.</t>
        </is>
      </c>
    </row>
    <row r="9977" spans="1:1">
      <c r="A9977" t="inlineStr">
        <is>
          <t>Gov. Ferrer Pob.</t>
        </is>
      </c>
    </row>
    <row r="9978" spans="1:1">
      <c r="A9978" t="inlineStr">
        <is>
          <t>Javalera</t>
        </is>
      </c>
    </row>
    <row r="9979" spans="1:1">
      <c r="A9979" t="inlineStr">
        <is>
          <t>Manggahan</t>
        </is>
      </c>
    </row>
    <row r="9980" spans="1:1">
      <c r="A9980" t="inlineStr">
        <is>
          <t>Navarro</t>
        </is>
      </c>
    </row>
    <row r="9981" spans="1:1">
      <c r="A9981" t="inlineStr">
        <is>
          <t>Ninety Sixth Pob.</t>
        </is>
      </c>
    </row>
    <row r="9982" spans="1:1">
      <c r="A9982" t="inlineStr">
        <is>
          <t>Panungyanan</t>
        </is>
      </c>
    </row>
    <row r="9983" spans="1:1">
      <c r="A9983" t="inlineStr">
        <is>
          <t>Pasong Camachile I</t>
        </is>
      </c>
    </row>
    <row r="9984" spans="1:1">
      <c r="A9984" t="inlineStr">
        <is>
          <t>Pasong Camachile II</t>
        </is>
      </c>
    </row>
    <row r="9985" spans="1:1">
      <c r="A9985" t="inlineStr">
        <is>
          <t>Pasong Kawayan I</t>
        </is>
      </c>
    </row>
    <row r="9986" spans="1:1">
      <c r="A9986" t="inlineStr">
        <is>
          <t>Pasong Kawayan II</t>
        </is>
      </c>
    </row>
    <row r="9987" spans="1:1">
      <c r="A9987" t="inlineStr">
        <is>
          <t>Pinagtipunan</t>
        </is>
      </c>
    </row>
    <row r="9988" spans="1:1">
      <c r="A9988" t="inlineStr">
        <is>
          <t>Prinza Pob.</t>
        </is>
      </c>
    </row>
    <row r="9989" spans="1:1">
      <c r="A9989" t="inlineStr">
        <is>
          <t>Sampalucan Pob.</t>
        </is>
      </c>
    </row>
    <row r="9990" spans="1:1">
      <c r="A9990" t="inlineStr">
        <is>
          <t>San Francisco</t>
        </is>
      </c>
    </row>
    <row r="9991" spans="1:1">
      <c r="A9991" t="inlineStr">
        <is>
          <t>San Gabriel Pob.</t>
        </is>
      </c>
    </row>
    <row r="9992" spans="1:1">
      <c r="A9992" t="inlineStr">
        <is>
          <t>San Juan I</t>
        </is>
      </c>
    </row>
    <row r="9993" spans="1:1">
      <c r="A9993" t="inlineStr">
        <is>
          <t>San Juan II</t>
        </is>
      </c>
    </row>
    <row r="9994" spans="1:1">
      <c r="A9994" t="inlineStr">
        <is>
          <t>Santa Clara</t>
        </is>
      </c>
    </row>
    <row r="9995" spans="1:1">
      <c r="A9995" t="inlineStr">
        <is>
          <t>Santiago</t>
        </is>
      </c>
    </row>
    <row r="9996" spans="1:1">
      <c r="A9996" t="inlineStr">
        <is>
          <t>Tapia</t>
        </is>
      </c>
    </row>
    <row r="9997" spans="1:1">
      <c r="A9997" t="inlineStr">
        <is>
          <t>Tejero</t>
        </is>
      </c>
    </row>
    <row r="9998" spans="1:1">
      <c r="A9998" t="inlineStr">
        <is>
          <t>Vibora Pob.</t>
        </is>
      </c>
    </row>
    <row r="9999" spans="1:1">
      <c r="A9999" t="inlineStr">
        <is>
          <t>Alapan I-A</t>
        </is>
      </c>
    </row>
    <row r="10000" spans="1:1">
      <c r="A10000" t="inlineStr">
        <is>
          <t>Alapan I-B</t>
        </is>
      </c>
    </row>
    <row r="10001" spans="1:1">
      <c r="A10001" t="inlineStr">
        <is>
          <t>Alapan I-C</t>
        </is>
      </c>
    </row>
    <row r="10002" spans="1:1">
      <c r="A10002" t="inlineStr">
        <is>
          <t>Alapan II-A</t>
        </is>
      </c>
    </row>
    <row r="10003" spans="1:1">
      <c r="A10003" t="inlineStr">
        <is>
          <t>Alapan II-B</t>
        </is>
      </c>
    </row>
    <row r="10004" spans="1:1">
      <c r="A10004" t="inlineStr">
        <is>
          <t>Anabu I-A</t>
        </is>
      </c>
    </row>
    <row r="10005" spans="1:1">
      <c r="A10005" t="inlineStr">
        <is>
          <t>Anabu I-B</t>
        </is>
      </c>
    </row>
    <row r="10006" spans="1:1">
      <c r="A10006" t="inlineStr">
        <is>
          <t>Anabu I-C</t>
        </is>
      </c>
    </row>
    <row r="10007" spans="1:1">
      <c r="A10007" t="inlineStr">
        <is>
          <t>Anabu I-D</t>
        </is>
      </c>
    </row>
    <row r="10008" spans="1:1">
      <c r="A10008" t="inlineStr">
        <is>
          <t>Anabu I-E</t>
        </is>
      </c>
    </row>
    <row r="10009" spans="1:1">
      <c r="A10009" t="inlineStr">
        <is>
          <t>Anabu I-F</t>
        </is>
      </c>
    </row>
    <row r="10010" spans="1:1">
      <c r="A10010" t="inlineStr">
        <is>
          <t>Anabu I-G</t>
        </is>
      </c>
    </row>
    <row r="10011" spans="1:1">
      <c r="A10011" t="inlineStr">
        <is>
          <t>Anabu II-A</t>
        </is>
      </c>
    </row>
    <row r="10012" spans="1:1">
      <c r="A10012" t="inlineStr">
        <is>
          <t>Anabu II-B</t>
        </is>
      </c>
    </row>
    <row r="10013" spans="1:1">
      <c r="A10013" t="inlineStr">
        <is>
          <t>Anabu II-C</t>
        </is>
      </c>
    </row>
    <row r="10014" spans="1:1">
      <c r="A10014" t="inlineStr">
        <is>
          <t>Anabu II-D</t>
        </is>
      </c>
    </row>
    <row r="10015" spans="1:1">
      <c r="A10015" t="inlineStr">
        <is>
          <t>Anabu II-E</t>
        </is>
      </c>
    </row>
    <row r="10016" spans="1:1">
      <c r="A10016" t="inlineStr">
        <is>
          <t>Anabu II-F</t>
        </is>
      </c>
    </row>
    <row r="10017" spans="1:1">
      <c r="A10017" t="inlineStr">
        <is>
          <t>Bagong Silang</t>
        </is>
      </c>
    </row>
    <row r="10018" spans="1:1">
      <c r="A10018" t="inlineStr">
        <is>
          <t>Bayan Luma I</t>
        </is>
      </c>
    </row>
    <row r="10019" spans="1:1">
      <c r="A10019" t="inlineStr">
        <is>
          <t>Bayan Luma II</t>
        </is>
      </c>
    </row>
    <row r="10020" spans="1:1">
      <c r="A10020" t="inlineStr">
        <is>
          <t>Bayan Luma III</t>
        </is>
      </c>
    </row>
    <row r="10021" spans="1:1">
      <c r="A10021" t="inlineStr">
        <is>
          <t>Bayan Luma IV</t>
        </is>
      </c>
    </row>
    <row r="10022" spans="1:1">
      <c r="A10022" t="inlineStr">
        <is>
          <t>Bayan Luma IX</t>
        </is>
      </c>
    </row>
    <row r="10023" spans="1:1">
      <c r="A10023" t="inlineStr">
        <is>
          <t>Bayan Luma V</t>
        </is>
      </c>
    </row>
    <row r="10024" spans="1:1">
      <c r="A10024" t="inlineStr">
        <is>
          <t>Bayan Luma VI</t>
        </is>
      </c>
    </row>
    <row r="10025" spans="1:1">
      <c r="A10025" t="inlineStr">
        <is>
          <t>Bayan Luma VII</t>
        </is>
      </c>
    </row>
    <row r="10026" spans="1:1">
      <c r="A10026" t="inlineStr">
        <is>
          <t>Bayan Luma VIII</t>
        </is>
      </c>
    </row>
    <row r="10027" spans="1:1">
      <c r="A10027" t="inlineStr">
        <is>
          <t>Bucandala I</t>
        </is>
      </c>
    </row>
    <row r="10028" spans="1:1">
      <c r="A10028" t="inlineStr">
        <is>
          <t>Bucandala II</t>
        </is>
      </c>
    </row>
    <row r="10029" spans="1:1">
      <c r="A10029" t="inlineStr">
        <is>
          <t>Bucandala III</t>
        </is>
      </c>
    </row>
    <row r="10030" spans="1:1">
      <c r="A10030" t="inlineStr">
        <is>
          <t>Bucandala IV</t>
        </is>
      </c>
    </row>
    <row r="10031" spans="1:1">
      <c r="A10031" t="inlineStr">
        <is>
          <t>Bucandala V</t>
        </is>
      </c>
    </row>
    <row r="10032" spans="1:1">
      <c r="A10032" t="inlineStr">
        <is>
          <t>Buhay na Tubig</t>
        </is>
      </c>
    </row>
    <row r="10033" spans="1:1">
      <c r="A10033" t="inlineStr">
        <is>
          <t>Carsadang Bago I</t>
        </is>
      </c>
    </row>
    <row r="10034" spans="1:1">
      <c r="A10034" t="inlineStr">
        <is>
          <t>Carsadang Bago II</t>
        </is>
      </c>
    </row>
    <row r="10035" spans="1:1">
      <c r="A10035" t="inlineStr">
        <is>
          <t>Magdalo</t>
        </is>
      </c>
    </row>
    <row r="10036" spans="1:1">
      <c r="A10036" t="inlineStr">
        <is>
          <t>Maharlika</t>
        </is>
      </c>
    </row>
    <row r="10037" spans="1:1">
      <c r="A10037" t="inlineStr">
        <is>
          <t>Malagasang I-A</t>
        </is>
      </c>
    </row>
    <row r="10038" spans="1:1">
      <c r="A10038" t="inlineStr">
        <is>
          <t>Malagasang I-B</t>
        </is>
      </c>
    </row>
    <row r="10039" spans="1:1">
      <c r="A10039" t="inlineStr">
        <is>
          <t>Malagasang I-C</t>
        </is>
      </c>
    </row>
    <row r="10040" spans="1:1">
      <c r="A10040" t="inlineStr">
        <is>
          <t>Malagasang I-D</t>
        </is>
      </c>
    </row>
    <row r="10041" spans="1:1">
      <c r="A10041" t="inlineStr">
        <is>
          <t>Malagasang I-E</t>
        </is>
      </c>
    </row>
    <row r="10042" spans="1:1">
      <c r="A10042" t="inlineStr">
        <is>
          <t>Malagasang I-F</t>
        </is>
      </c>
    </row>
    <row r="10043" spans="1:1">
      <c r="A10043" t="inlineStr">
        <is>
          <t>Malagasang I-G</t>
        </is>
      </c>
    </row>
    <row r="10044" spans="1:1">
      <c r="A10044" t="inlineStr">
        <is>
          <t>Malagasang II-A</t>
        </is>
      </c>
    </row>
    <row r="10045" spans="1:1">
      <c r="A10045" t="inlineStr">
        <is>
          <t>Malagasang II-B</t>
        </is>
      </c>
    </row>
    <row r="10046" spans="1:1">
      <c r="A10046" t="inlineStr">
        <is>
          <t>Malagasang II-C</t>
        </is>
      </c>
    </row>
    <row r="10047" spans="1:1">
      <c r="A10047" t="inlineStr">
        <is>
          <t>Malagasang II-D</t>
        </is>
      </c>
    </row>
    <row r="10048" spans="1:1">
      <c r="A10048" t="inlineStr">
        <is>
          <t>Malagasang II-E</t>
        </is>
      </c>
    </row>
    <row r="10049" spans="1:1">
      <c r="A10049" t="inlineStr">
        <is>
          <t>Malagasang II-F</t>
        </is>
      </c>
    </row>
    <row r="10050" spans="1:1">
      <c r="A10050" t="inlineStr">
        <is>
          <t>Malagasang II-G</t>
        </is>
      </c>
    </row>
    <row r="10051" spans="1:1">
      <c r="A10051" t="inlineStr">
        <is>
          <t>Mariano Espeleta I</t>
        </is>
      </c>
    </row>
    <row r="10052" spans="1:1">
      <c r="A10052" t="inlineStr">
        <is>
          <t>Mariano Espeleta II</t>
        </is>
      </c>
    </row>
    <row r="10053" spans="1:1">
      <c r="A10053" t="inlineStr">
        <is>
          <t>Mariano Espeleta III</t>
        </is>
      </c>
    </row>
    <row r="10054" spans="1:1">
      <c r="A10054" t="inlineStr">
        <is>
          <t>Medicion I-A</t>
        </is>
      </c>
    </row>
    <row r="10055" spans="1:1">
      <c r="A10055" t="inlineStr">
        <is>
          <t>Medicion I-B</t>
        </is>
      </c>
    </row>
    <row r="10056" spans="1:1">
      <c r="A10056" t="inlineStr">
        <is>
          <t>Medicion I-C</t>
        </is>
      </c>
    </row>
    <row r="10057" spans="1:1">
      <c r="A10057" t="inlineStr">
        <is>
          <t>Medicion I-D</t>
        </is>
      </c>
    </row>
    <row r="10058" spans="1:1">
      <c r="A10058" t="inlineStr">
        <is>
          <t>Medicion II-A</t>
        </is>
      </c>
    </row>
    <row r="10059" spans="1:1">
      <c r="A10059" t="inlineStr">
        <is>
          <t>Medicion II-B</t>
        </is>
      </c>
    </row>
    <row r="10060" spans="1:1">
      <c r="A10060" t="inlineStr">
        <is>
          <t>Medicion II-C</t>
        </is>
      </c>
    </row>
    <row r="10061" spans="1:1">
      <c r="A10061" t="inlineStr">
        <is>
          <t>Medicion II-D</t>
        </is>
      </c>
    </row>
    <row r="10062" spans="1:1">
      <c r="A10062" t="inlineStr">
        <is>
          <t>Medicion II-E</t>
        </is>
      </c>
    </row>
    <row r="10063" spans="1:1">
      <c r="A10063" t="inlineStr">
        <is>
          <t>Medicion II-F</t>
        </is>
      </c>
    </row>
    <row r="10064" spans="1:1">
      <c r="A10064" t="inlineStr">
        <is>
          <t>Pag-Asa I</t>
        </is>
      </c>
    </row>
    <row r="10065" spans="1:1">
      <c r="A10065" t="inlineStr">
        <is>
          <t>Pag-Asa II</t>
        </is>
      </c>
    </row>
    <row r="10066" spans="1:1">
      <c r="A10066" t="inlineStr">
        <is>
          <t>Pag-Asa III</t>
        </is>
      </c>
    </row>
    <row r="10067" spans="1:1">
      <c r="A10067" t="inlineStr">
        <is>
          <t>Palico I</t>
        </is>
      </c>
    </row>
    <row r="10068" spans="1:1">
      <c r="A10068" t="inlineStr">
        <is>
          <t>Palico II</t>
        </is>
      </c>
    </row>
    <row r="10069" spans="1:1">
      <c r="A10069" t="inlineStr">
        <is>
          <t>Palico III</t>
        </is>
      </c>
    </row>
    <row r="10070" spans="1:1">
      <c r="A10070" t="inlineStr">
        <is>
          <t>Palico IV</t>
        </is>
      </c>
    </row>
    <row r="10071" spans="1:1">
      <c r="A10071" t="inlineStr">
        <is>
          <t>Pasong Buaya I</t>
        </is>
      </c>
    </row>
    <row r="10072" spans="1:1">
      <c r="A10072" t="inlineStr">
        <is>
          <t>Pasong Buaya II</t>
        </is>
      </c>
    </row>
    <row r="10073" spans="1:1">
      <c r="A10073" t="inlineStr">
        <is>
          <t>Pinagbuklod</t>
        </is>
      </c>
    </row>
    <row r="10074" spans="1:1">
      <c r="A10074" t="inlineStr">
        <is>
          <t>Poblacion I-A</t>
        </is>
      </c>
    </row>
    <row r="10075" spans="1:1">
      <c r="A10075" t="inlineStr">
        <is>
          <t>Poblacion I-B</t>
        </is>
      </c>
    </row>
    <row r="10076" spans="1:1">
      <c r="A10076" t="inlineStr">
        <is>
          <t>Poblacion I-C</t>
        </is>
      </c>
    </row>
    <row r="10077" spans="1:1">
      <c r="A10077" t="inlineStr">
        <is>
          <t>Poblacion II-A</t>
        </is>
      </c>
    </row>
    <row r="10078" spans="1:1">
      <c r="A10078" t="inlineStr">
        <is>
          <t>Poblacion II-B</t>
        </is>
      </c>
    </row>
    <row r="10079" spans="1:1">
      <c r="A10079" t="inlineStr">
        <is>
          <t>Poblacion III-A</t>
        </is>
      </c>
    </row>
    <row r="10080" spans="1:1">
      <c r="A10080" t="inlineStr">
        <is>
          <t>Poblacion III-B</t>
        </is>
      </c>
    </row>
    <row r="10081" spans="1:1">
      <c r="A10081" t="inlineStr">
        <is>
          <t>Poblacion IV-A</t>
        </is>
      </c>
    </row>
    <row r="10082" spans="1:1">
      <c r="A10082" t="inlineStr">
        <is>
          <t>Poblacion IV-B</t>
        </is>
      </c>
    </row>
    <row r="10083" spans="1:1">
      <c r="A10083" t="inlineStr">
        <is>
          <t>Poblacion IV-C</t>
        </is>
      </c>
    </row>
    <row r="10084" spans="1:1">
      <c r="A10084" t="inlineStr">
        <is>
          <t>Poblacion IV-D</t>
        </is>
      </c>
    </row>
    <row r="10085" spans="1:1">
      <c r="A10085" t="inlineStr">
        <is>
          <t>Tanzang Luma I</t>
        </is>
      </c>
    </row>
    <row r="10086" spans="1:1">
      <c r="A10086" t="inlineStr">
        <is>
          <t>Tanzang Luma II</t>
        </is>
      </c>
    </row>
    <row r="10087" spans="1:1">
      <c r="A10087" t="inlineStr">
        <is>
          <t>Tanzang Luma III</t>
        </is>
      </c>
    </row>
    <row r="10088" spans="1:1">
      <c r="A10088" t="inlineStr">
        <is>
          <t>Tanzang Luma IV</t>
        </is>
      </c>
    </row>
    <row r="10089" spans="1:1">
      <c r="A10089" t="inlineStr">
        <is>
          <t>Tanzang Luma V</t>
        </is>
      </c>
    </row>
    <row r="10090" spans="1:1">
      <c r="A10090" t="inlineStr">
        <is>
          <t>Tanzang Luma VI</t>
        </is>
      </c>
    </row>
    <row r="10091" spans="1:1">
      <c r="A10091" t="inlineStr">
        <is>
          <t>Toclong I-A</t>
        </is>
      </c>
    </row>
    <row r="10092" spans="1:1">
      <c r="A10092" t="inlineStr">
        <is>
          <t>Toclong I-B</t>
        </is>
      </c>
    </row>
    <row r="10093" spans="1:1">
      <c r="A10093" t="inlineStr">
        <is>
          <t>Toclong I-C</t>
        </is>
      </c>
    </row>
    <row r="10094" spans="1:1">
      <c r="A10094" t="inlineStr">
        <is>
          <t>Toclong II-A</t>
        </is>
      </c>
    </row>
    <row r="10095" spans="1:1">
      <c r="A10095" t="inlineStr">
        <is>
          <t>Toclong II-B</t>
        </is>
      </c>
    </row>
    <row r="10096" spans="1:1">
      <c r="A10096" t="inlineStr">
        <is>
          <t>Asisan</t>
        </is>
      </c>
    </row>
    <row r="10097" spans="1:1">
      <c r="A10097" t="inlineStr">
        <is>
          <t>Bagong Tubig</t>
        </is>
      </c>
    </row>
    <row r="10098" spans="1:1">
      <c r="A10098" t="inlineStr">
        <is>
          <t>Calabuso</t>
        </is>
      </c>
    </row>
    <row r="10099" spans="1:1">
      <c r="A10099" t="inlineStr">
        <is>
          <t>Dapdap East</t>
        </is>
      </c>
    </row>
    <row r="10100" spans="1:1">
      <c r="A10100" t="inlineStr">
        <is>
          <t>Dapdap West</t>
        </is>
      </c>
    </row>
    <row r="10101" spans="1:1">
      <c r="A10101" t="inlineStr">
        <is>
          <t>Francisco</t>
        </is>
      </c>
    </row>
    <row r="10102" spans="1:1">
      <c r="A10102" t="inlineStr">
        <is>
          <t>Guinhawa North</t>
        </is>
      </c>
    </row>
    <row r="10103" spans="1:1">
      <c r="A10103" t="inlineStr">
        <is>
          <t>Guinhawa South</t>
        </is>
      </c>
    </row>
    <row r="10104" spans="1:1">
      <c r="A10104" t="inlineStr">
        <is>
          <t>Iruhin East</t>
        </is>
      </c>
    </row>
    <row r="10105" spans="1:1">
      <c r="A10105" t="inlineStr">
        <is>
          <t>Iruhin South</t>
        </is>
      </c>
    </row>
    <row r="10106" spans="1:1">
      <c r="A10106" t="inlineStr">
        <is>
          <t>Iruhin West</t>
        </is>
      </c>
    </row>
    <row r="10107" spans="1:1">
      <c r="A10107" t="inlineStr">
        <is>
          <t>Kaybagal East</t>
        </is>
      </c>
    </row>
    <row r="10108" spans="1:1">
      <c r="A10108" t="inlineStr">
        <is>
          <t>Kaybagal North</t>
        </is>
      </c>
    </row>
    <row r="10109" spans="1:1">
      <c r="A10109" t="inlineStr">
        <is>
          <t>Kaybagal South</t>
        </is>
      </c>
    </row>
    <row r="10110" spans="1:1">
      <c r="A10110" t="inlineStr">
        <is>
          <t>Mag-Asawang Ilat</t>
        </is>
      </c>
    </row>
    <row r="10111" spans="1:1">
      <c r="A10111" t="inlineStr">
        <is>
          <t>Maharlika East</t>
        </is>
      </c>
    </row>
    <row r="10112" spans="1:1">
      <c r="A10112" t="inlineStr">
        <is>
          <t>Maharlika West</t>
        </is>
      </c>
    </row>
    <row r="10113" spans="1:1">
      <c r="A10113" t="inlineStr">
        <is>
          <t>Maitim 2nd Central</t>
        </is>
      </c>
    </row>
    <row r="10114" spans="1:1">
      <c r="A10114" t="inlineStr">
        <is>
          <t>Maitim 2nd East</t>
        </is>
      </c>
    </row>
    <row r="10115" spans="1:1">
      <c r="A10115" t="inlineStr">
        <is>
          <t>Maitim 2nd West</t>
        </is>
      </c>
    </row>
    <row r="10116" spans="1:1">
      <c r="A10116" t="inlineStr">
        <is>
          <t>Mendez Crossing East</t>
        </is>
      </c>
    </row>
    <row r="10117" spans="1:1">
      <c r="A10117" t="inlineStr">
        <is>
          <t>Mendez Crossing West</t>
        </is>
      </c>
    </row>
    <row r="10118" spans="1:1">
      <c r="A10118" t="inlineStr">
        <is>
          <t>Neogan</t>
        </is>
      </c>
    </row>
    <row r="10119" spans="1:1">
      <c r="A10119" t="inlineStr">
        <is>
          <t>Patutong Malaki North</t>
        </is>
      </c>
    </row>
    <row r="10120" spans="1:1">
      <c r="A10120" t="inlineStr">
        <is>
          <t>Patutong Malaki South</t>
        </is>
      </c>
    </row>
    <row r="10121" spans="1:1">
      <c r="A10121" t="inlineStr">
        <is>
          <t>Sambong</t>
        </is>
      </c>
    </row>
    <row r="10122" spans="1:1">
      <c r="A10122" t="inlineStr">
        <is>
          <t>San Jose</t>
        </is>
      </c>
    </row>
    <row r="10123" spans="1:1">
      <c r="A10123" t="inlineStr">
        <is>
          <t>Silang Junction North</t>
        </is>
      </c>
    </row>
    <row r="10124" spans="1:1">
      <c r="A10124" t="inlineStr">
        <is>
          <t>Silang Junction South</t>
        </is>
      </c>
    </row>
    <row r="10125" spans="1:1">
      <c r="A10125" t="inlineStr">
        <is>
          <t>Sungay North</t>
        </is>
      </c>
    </row>
    <row r="10126" spans="1:1">
      <c r="A10126" t="inlineStr">
        <is>
          <t>Sungay South</t>
        </is>
      </c>
    </row>
    <row r="10127" spans="1:1">
      <c r="A10127" t="inlineStr">
        <is>
          <t>Tolentino East</t>
        </is>
      </c>
    </row>
    <row r="10128" spans="1:1">
      <c r="A10128" t="inlineStr">
        <is>
          <t>Tolentino West</t>
        </is>
      </c>
    </row>
    <row r="10129" spans="1:1">
      <c r="A10129" t="inlineStr">
        <is>
          <t>Zambal</t>
        </is>
      </c>
    </row>
    <row r="10130" spans="1:1">
      <c r="A10130" t="inlineStr">
        <is>
          <t>Aguado</t>
        </is>
      </c>
    </row>
    <row r="10131" spans="1:1">
      <c r="A10131" t="inlineStr">
        <is>
          <t>Cabezas</t>
        </is>
      </c>
    </row>
    <row r="10132" spans="1:1">
      <c r="A10132" t="inlineStr">
        <is>
          <t>Cabuco</t>
        </is>
      </c>
    </row>
    <row r="10133" spans="1:1">
      <c r="A10133" t="inlineStr">
        <is>
          <t>Conchu</t>
        </is>
      </c>
    </row>
    <row r="10134" spans="1:1">
      <c r="A10134" t="inlineStr">
        <is>
          <t>De Ocampo</t>
        </is>
      </c>
    </row>
    <row r="10135" spans="1:1">
      <c r="A10135" t="inlineStr">
        <is>
          <t>Gregorio</t>
        </is>
      </c>
    </row>
    <row r="10136" spans="1:1">
      <c r="A10136" t="inlineStr">
        <is>
          <t>Inocencio</t>
        </is>
      </c>
    </row>
    <row r="10137" spans="1:1">
      <c r="A10137" t="inlineStr">
        <is>
          <t>Lallana</t>
        </is>
      </c>
    </row>
    <row r="10138" spans="1:1">
      <c r="A10138" t="inlineStr">
        <is>
          <t>Lapidario</t>
        </is>
      </c>
    </row>
    <row r="10139" spans="1:1">
      <c r="A10139" t="inlineStr">
        <is>
          <t>Luciano</t>
        </is>
      </c>
    </row>
    <row r="10140" spans="1:1">
      <c r="A10140" t="inlineStr">
        <is>
          <t>Osorio</t>
        </is>
      </c>
    </row>
    <row r="10141" spans="1:1">
      <c r="A10141" t="inlineStr">
        <is>
          <t>Perez</t>
        </is>
      </c>
    </row>
    <row r="10142" spans="1:1">
      <c r="A10142" t="inlineStr">
        <is>
          <t>San Agustin</t>
        </is>
      </c>
    </row>
    <row r="10143" spans="1:1">
      <c r="A10143" t="inlineStr">
        <is>
          <t>Aldiano Olaes</t>
        </is>
      </c>
    </row>
    <row r="10144" spans="1:1">
      <c r="A10144" t="inlineStr">
        <is>
          <t>Barangay 1 Poblacion</t>
        </is>
      </c>
    </row>
    <row r="10145" spans="1:1">
      <c r="A10145" t="inlineStr">
        <is>
          <t>Barangay 2 Poblacion</t>
        </is>
      </c>
    </row>
    <row r="10146" spans="1:1">
      <c r="A10146" t="inlineStr">
        <is>
          <t>Barangay 3 Poblacion</t>
        </is>
      </c>
    </row>
    <row r="10147" spans="1:1">
      <c r="A10147" t="inlineStr">
        <is>
          <t>Barangay 4 Poblacion</t>
        </is>
      </c>
    </row>
    <row r="10148" spans="1:1">
      <c r="A10148" t="inlineStr">
        <is>
          <t>Barangay 5 Poblacion</t>
        </is>
      </c>
    </row>
    <row r="10149" spans="1:1">
      <c r="A10149" t="inlineStr">
        <is>
          <t>Benjamin Tirona</t>
        </is>
      </c>
    </row>
    <row r="10150" spans="1:1">
      <c r="A10150" t="inlineStr">
        <is>
          <t>Bernardo Pulido</t>
        </is>
      </c>
    </row>
    <row r="10151" spans="1:1">
      <c r="A10151" t="inlineStr">
        <is>
          <t>Epifanio Malia</t>
        </is>
      </c>
    </row>
    <row r="10152" spans="1:1">
      <c r="A10152" t="inlineStr">
        <is>
          <t>Fiorello Calimag</t>
        </is>
      </c>
    </row>
    <row r="10153" spans="1:1">
      <c r="A10153" t="inlineStr">
        <is>
          <t>Francisco De Castro</t>
        </is>
      </c>
    </row>
    <row r="10154" spans="1:1">
      <c r="A10154" t="inlineStr">
        <is>
          <t>Francisco Reyes</t>
        </is>
      </c>
    </row>
    <row r="10155" spans="1:1">
      <c r="A10155" t="inlineStr">
        <is>
          <t>Gavino Maderan</t>
        </is>
      </c>
    </row>
    <row r="10156" spans="1:1">
      <c r="A10156" t="inlineStr">
        <is>
          <t>Gregoria De Jesus</t>
        </is>
      </c>
    </row>
    <row r="10157" spans="1:1">
      <c r="A10157" t="inlineStr">
        <is>
          <t>Inocencio Salud</t>
        </is>
      </c>
    </row>
    <row r="10158" spans="1:1">
      <c r="A10158" t="inlineStr">
        <is>
          <t>Jacinto Lumbreras</t>
        </is>
      </c>
    </row>
    <row r="10159" spans="1:1">
      <c r="A10159" t="inlineStr">
        <is>
          <t>Kapitan Kua</t>
        </is>
      </c>
    </row>
    <row r="10160" spans="1:1">
      <c r="A10160" t="inlineStr">
        <is>
          <t>Koronel Jose P. Elises</t>
        </is>
      </c>
    </row>
    <row r="10161" spans="1:1">
      <c r="A10161" t="inlineStr">
        <is>
          <t>Macario Dacon</t>
        </is>
      </c>
    </row>
    <row r="10162" spans="1:1">
      <c r="A10162" t="inlineStr">
        <is>
          <t>Marcelino Memije</t>
        </is>
      </c>
    </row>
    <row r="10163" spans="1:1">
      <c r="A10163" t="inlineStr">
        <is>
          <t>Nicolasa Virata</t>
        </is>
      </c>
    </row>
    <row r="10164" spans="1:1">
      <c r="A10164" t="inlineStr">
        <is>
          <t>Pantaleon Granados</t>
        </is>
      </c>
    </row>
    <row r="10165" spans="1:1">
      <c r="A10165" t="inlineStr">
        <is>
          <t>Ramon Cruz</t>
        </is>
      </c>
    </row>
    <row r="10166" spans="1:1">
      <c r="A10166" t="inlineStr">
        <is>
          <t>San Gabriel</t>
        </is>
      </c>
    </row>
    <row r="10167" spans="1:1">
      <c r="A10167" t="inlineStr">
        <is>
          <t>San Jose</t>
        </is>
      </c>
    </row>
    <row r="10168" spans="1:1">
      <c r="A10168" t="inlineStr">
        <is>
          <t>Severino De Las Alas</t>
        </is>
      </c>
    </row>
    <row r="10169" spans="1:1">
      <c r="A10169" t="inlineStr">
        <is>
          <t>Tiniente Tiago</t>
        </is>
      </c>
    </row>
    <row r="10170" spans="1:1">
      <c r="A10170" t="inlineStr">
        <is>
          <t>A. Dalusag</t>
        </is>
      </c>
    </row>
    <row r="10171" spans="1:1">
      <c r="A10171" t="inlineStr">
        <is>
          <t>Batas Dao</t>
        </is>
      </c>
    </row>
    <row r="10172" spans="1:1">
      <c r="A10172" t="inlineStr">
        <is>
          <t>Castaños Cerca</t>
        </is>
      </c>
    </row>
    <row r="10173" spans="1:1">
      <c r="A10173" t="inlineStr">
        <is>
          <t>Castaños Lejos</t>
        </is>
      </c>
    </row>
    <row r="10174" spans="1:1">
      <c r="A10174" t="inlineStr">
        <is>
          <t>Kabulusan</t>
        </is>
      </c>
    </row>
    <row r="10175" spans="1:1">
      <c r="A10175" t="inlineStr">
        <is>
          <t>Kaymisas</t>
        </is>
      </c>
    </row>
    <row r="10176" spans="1:1">
      <c r="A10176" t="inlineStr">
        <is>
          <t>Kaypaaba</t>
        </is>
      </c>
    </row>
    <row r="10177" spans="1:1">
      <c r="A10177" t="inlineStr">
        <is>
          <t>Lumipa</t>
        </is>
      </c>
    </row>
    <row r="10178" spans="1:1">
      <c r="A10178" t="inlineStr">
        <is>
          <t>Narvaez</t>
        </is>
      </c>
    </row>
    <row r="10179" spans="1:1">
      <c r="A10179" t="inlineStr">
        <is>
          <t>Poblacion I</t>
        </is>
      </c>
    </row>
    <row r="10180" spans="1:1">
      <c r="A10180" t="inlineStr">
        <is>
          <t>Poblacion II</t>
        </is>
      </c>
    </row>
    <row r="10181" spans="1:1">
      <c r="A10181" t="inlineStr">
        <is>
          <t>Poblacion III</t>
        </is>
      </c>
    </row>
    <row r="10182" spans="1:1">
      <c r="A10182" t="inlineStr">
        <is>
          <t>Poblacion IV</t>
        </is>
      </c>
    </row>
    <row r="10183" spans="1:1">
      <c r="A10183" t="inlineStr">
        <is>
          <t>Tabora</t>
        </is>
      </c>
    </row>
    <row r="10184" spans="1:1">
      <c r="A10184" t="inlineStr">
        <is>
          <t>Agus-us</t>
        </is>
      </c>
    </row>
    <row r="10185" spans="1:1">
      <c r="A10185" t="inlineStr">
        <is>
          <t>Alulod</t>
        </is>
      </c>
    </row>
    <row r="10186" spans="1:1">
      <c r="A10186" t="inlineStr">
        <is>
          <t>Banaba Cerca</t>
        </is>
      </c>
    </row>
    <row r="10187" spans="1:1">
      <c r="A10187" t="inlineStr">
        <is>
          <t>Banaba Lejos</t>
        </is>
      </c>
    </row>
    <row r="10188" spans="1:1">
      <c r="A10188" t="inlineStr">
        <is>
          <t>Bancod</t>
        </is>
      </c>
    </row>
    <row r="10189" spans="1:1">
      <c r="A10189" t="inlineStr">
        <is>
          <t>Barangay 1</t>
        </is>
      </c>
    </row>
    <row r="10190" spans="1:1">
      <c r="A10190" t="inlineStr">
        <is>
          <t>Barangay 2</t>
        </is>
      </c>
    </row>
    <row r="10191" spans="1:1">
      <c r="A10191" t="inlineStr">
        <is>
          <t>Barangay 3</t>
        </is>
      </c>
    </row>
    <row r="10192" spans="1:1">
      <c r="A10192" t="inlineStr">
        <is>
          <t>Barangay 4</t>
        </is>
      </c>
    </row>
    <row r="10193" spans="1:1">
      <c r="A10193" t="inlineStr">
        <is>
          <t>Buna Cerca</t>
        </is>
      </c>
    </row>
    <row r="10194" spans="1:1">
      <c r="A10194" t="inlineStr">
        <is>
          <t>Buna Lejos I</t>
        </is>
      </c>
    </row>
    <row r="10195" spans="1:1">
      <c r="A10195" t="inlineStr">
        <is>
          <t>Buna Lejos II</t>
        </is>
      </c>
    </row>
    <row r="10196" spans="1:1">
      <c r="A10196" t="inlineStr">
        <is>
          <t>Calumpang Cerca</t>
        </is>
      </c>
    </row>
    <row r="10197" spans="1:1">
      <c r="A10197" t="inlineStr">
        <is>
          <t>Calumpang Lejos I</t>
        </is>
      </c>
    </row>
    <row r="10198" spans="1:1">
      <c r="A10198" t="inlineStr">
        <is>
          <t>Carasuchi</t>
        </is>
      </c>
    </row>
    <row r="10199" spans="1:1">
      <c r="A10199" t="inlineStr">
        <is>
          <t>Daine I</t>
        </is>
      </c>
    </row>
    <row r="10200" spans="1:1">
      <c r="A10200" t="inlineStr">
        <is>
          <t>Daine II</t>
        </is>
      </c>
    </row>
    <row r="10201" spans="1:1">
      <c r="A10201" t="inlineStr">
        <is>
          <t>Guyam Malaki</t>
        </is>
      </c>
    </row>
    <row r="10202" spans="1:1">
      <c r="A10202" t="inlineStr">
        <is>
          <t>Guyam Munti</t>
        </is>
      </c>
    </row>
    <row r="10203" spans="1:1">
      <c r="A10203" t="inlineStr">
        <is>
          <t>Harasan</t>
        </is>
      </c>
    </row>
    <row r="10204" spans="1:1">
      <c r="A10204" t="inlineStr">
        <is>
          <t>Kayquit I</t>
        </is>
      </c>
    </row>
    <row r="10205" spans="1:1">
      <c r="A10205" t="inlineStr">
        <is>
          <t>Kayquit II</t>
        </is>
      </c>
    </row>
    <row r="10206" spans="1:1">
      <c r="A10206" t="inlineStr">
        <is>
          <t>Kayquit III</t>
        </is>
      </c>
    </row>
    <row r="10207" spans="1:1">
      <c r="A10207" t="inlineStr">
        <is>
          <t>Kaytambog</t>
        </is>
      </c>
    </row>
    <row r="10208" spans="1:1">
      <c r="A10208" t="inlineStr">
        <is>
          <t>Kaytapos</t>
        </is>
      </c>
    </row>
    <row r="10209" spans="1:1">
      <c r="A10209" t="inlineStr">
        <is>
          <t>Limbon</t>
        </is>
      </c>
    </row>
    <row r="10210" spans="1:1">
      <c r="A10210" t="inlineStr">
        <is>
          <t>Lumampong Balagbag</t>
        </is>
      </c>
    </row>
    <row r="10211" spans="1:1">
      <c r="A10211" t="inlineStr">
        <is>
          <t>Lumampong Halayhay</t>
        </is>
      </c>
    </row>
    <row r="10212" spans="1:1">
      <c r="A10212" t="inlineStr">
        <is>
          <t>Mahabangkahoy Cerca</t>
        </is>
      </c>
    </row>
    <row r="10213" spans="1:1">
      <c r="A10213" t="inlineStr">
        <is>
          <t>Mahabangkahoy Lejos</t>
        </is>
      </c>
    </row>
    <row r="10214" spans="1:1">
      <c r="A10214" t="inlineStr">
        <is>
          <t>Mataas na Lupa</t>
        </is>
      </c>
    </row>
    <row r="10215" spans="1:1">
      <c r="A10215" t="inlineStr">
        <is>
          <t>Pulo</t>
        </is>
      </c>
    </row>
    <row r="10216" spans="1:1">
      <c r="A10216" t="inlineStr">
        <is>
          <t>Tambo Balagbag</t>
        </is>
      </c>
    </row>
    <row r="10217" spans="1:1">
      <c r="A10217" t="inlineStr">
        <is>
          <t>Tambo Ilaya</t>
        </is>
      </c>
    </row>
    <row r="10218" spans="1:1">
      <c r="A10218" t="inlineStr">
        <is>
          <t>Tambo Kulit</t>
        </is>
      </c>
    </row>
    <row r="10219" spans="1:1">
      <c r="A10219" t="inlineStr">
        <is>
          <t>Tambo Malaki</t>
        </is>
      </c>
    </row>
    <row r="10220" spans="1:1">
      <c r="A10220" t="inlineStr">
        <is>
          <t>Balsahan-Bisita</t>
        </is>
      </c>
    </row>
    <row r="10221" spans="1:1">
      <c r="A10221" t="inlineStr">
        <is>
          <t>Batong Dalig</t>
        </is>
      </c>
    </row>
    <row r="10222" spans="1:1">
      <c r="A10222" t="inlineStr">
        <is>
          <t>Binakayan-Aplaya</t>
        </is>
      </c>
    </row>
    <row r="10223" spans="1:1">
      <c r="A10223" t="inlineStr">
        <is>
          <t>Binakayan-Kanluran</t>
        </is>
      </c>
    </row>
    <row r="10224" spans="1:1">
      <c r="A10224" t="inlineStr">
        <is>
          <t>Congbalay-Legaspi</t>
        </is>
      </c>
    </row>
    <row r="10225" spans="1:1">
      <c r="A10225" t="inlineStr">
        <is>
          <t>Gahak</t>
        </is>
      </c>
    </row>
    <row r="10226" spans="1:1">
      <c r="A10226" t="inlineStr">
        <is>
          <t>Kaingen</t>
        </is>
      </c>
    </row>
    <row r="10227" spans="1:1">
      <c r="A10227" t="inlineStr">
        <is>
          <t>Magdalo</t>
        </is>
      </c>
    </row>
    <row r="10228" spans="1:1">
      <c r="A10228" t="inlineStr">
        <is>
          <t>Manggahan-Lawin</t>
        </is>
      </c>
    </row>
    <row r="10229" spans="1:1">
      <c r="A10229" t="inlineStr">
        <is>
          <t>Marulas</t>
        </is>
      </c>
    </row>
    <row r="10230" spans="1:1">
      <c r="A10230" t="inlineStr">
        <is>
          <t>Panamitan</t>
        </is>
      </c>
    </row>
    <row r="10231" spans="1:1">
      <c r="A10231" t="inlineStr">
        <is>
          <t>Poblacion</t>
        </is>
      </c>
    </row>
    <row r="10232" spans="1:1">
      <c r="A10232" t="inlineStr">
        <is>
          <t>Pulvorista</t>
        </is>
      </c>
    </row>
    <row r="10233" spans="1:1">
      <c r="A10233" t="inlineStr">
        <is>
          <t>Samala-Marquez</t>
        </is>
      </c>
    </row>
    <row r="10234" spans="1:1">
      <c r="A10234" t="inlineStr">
        <is>
          <t>San Sebastian</t>
        </is>
      </c>
    </row>
    <row r="10235" spans="1:1">
      <c r="A10235" t="inlineStr">
        <is>
          <t>Santa Isabel</t>
        </is>
      </c>
    </row>
    <row r="10236" spans="1:1">
      <c r="A10236" t="inlineStr">
        <is>
          <t>Tabon I</t>
        </is>
      </c>
    </row>
    <row r="10237" spans="1:1">
      <c r="A10237" t="inlineStr">
        <is>
          <t>Tabon II</t>
        </is>
      </c>
    </row>
    <row r="10238" spans="1:1">
      <c r="A10238" t="inlineStr">
        <is>
          <t>Tabon III</t>
        </is>
      </c>
    </row>
    <row r="10239" spans="1:1">
      <c r="A10239" t="inlineStr">
        <is>
          <t>Toclong</t>
        </is>
      </c>
    </row>
    <row r="10240" spans="1:1">
      <c r="A10240" t="inlineStr">
        <is>
          <t>Tramo-Bantayan</t>
        </is>
      </c>
    </row>
    <row r="10241" spans="1:1">
      <c r="A10241" t="inlineStr">
        <is>
          <t>Wakas I</t>
        </is>
      </c>
    </row>
    <row r="10242" spans="1:1">
      <c r="A10242" t="inlineStr">
        <is>
          <t>Wakas II</t>
        </is>
      </c>
    </row>
    <row r="10243" spans="1:1">
      <c r="A10243" t="inlineStr">
        <is>
          <t>Baliwag</t>
        </is>
      </c>
    </row>
    <row r="10244" spans="1:1">
      <c r="A10244" t="inlineStr">
        <is>
          <t>Barangay 1</t>
        </is>
      </c>
    </row>
    <row r="10245" spans="1:1">
      <c r="A10245" t="inlineStr">
        <is>
          <t>Barangay 2</t>
        </is>
      </c>
    </row>
    <row r="10246" spans="1:1">
      <c r="A10246" t="inlineStr">
        <is>
          <t>Barangay 3</t>
        </is>
      </c>
    </row>
    <row r="10247" spans="1:1">
      <c r="A10247" t="inlineStr">
        <is>
          <t>Barangay 4</t>
        </is>
      </c>
    </row>
    <row r="10248" spans="1:1">
      <c r="A10248" t="inlineStr">
        <is>
          <t>Barangay 5</t>
        </is>
      </c>
    </row>
    <row r="10249" spans="1:1">
      <c r="A10249" t="inlineStr">
        <is>
          <t>Bendita I</t>
        </is>
      </c>
    </row>
    <row r="10250" spans="1:1">
      <c r="A10250" t="inlineStr">
        <is>
          <t>Bendita II</t>
        </is>
      </c>
    </row>
    <row r="10251" spans="1:1">
      <c r="A10251" t="inlineStr">
        <is>
          <t>Caluangan</t>
        </is>
      </c>
    </row>
    <row r="10252" spans="1:1">
      <c r="A10252" t="inlineStr">
        <is>
          <t>Kabulusan</t>
        </is>
      </c>
    </row>
    <row r="10253" spans="1:1">
      <c r="A10253" t="inlineStr">
        <is>
          <t>Medina</t>
        </is>
      </c>
    </row>
    <row r="10254" spans="1:1">
      <c r="A10254" t="inlineStr">
        <is>
          <t>Pacheco</t>
        </is>
      </c>
    </row>
    <row r="10255" spans="1:1">
      <c r="A10255" t="inlineStr">
        <is>
          <t>Ramirez</t>
        </is>
      </c>
    </row>
    <row r="10256" spans="1:1">
      <c r="A10256" t="inlineStr">
        <is>
          <t>San Agustin</t>
        </is>
      </c>
    </row>
    <row r="10257" spans="1:1">
      <c r="A10257" t="inlineStr">
        <is>
          <t>Tua</t>
        </is>
      </c>
    </row>
    <row r="10258" spans="1:1">
      <c r="A10258" t="inlineStr">
        <is>
          <t>Urdaneta</t>
        </is>
      </c>
    </row>
    <row r="10259" spans="1:1">
      <c r="A10259" t="inlineStr">
        <is>
          <t>Bucal I</t>
        </is>
      </c>
    </row>
    <row r="10260" spans="1:1">
      <c r="A10260" t="inlineStr">
        <is>
          <t>Bucal II</t>
        </is>
      </c>
    </row>
    <row r="10261" spans="1:1">
      <c r="A10261" t="inlineStr">
        <is>
          <t>Bucal III A</t>
        </is>
      </c>
    </row>
    <row r="10262" spans="1:1">
      <c r="A10262" t="inlineStr">
        <is>
          <t>Bucal III B</t>
        </is>
      </c>
    </row>
    <row r="10263" spans="1:1">
      <c r="A10263" t="inlineStr">
        <is>
          <t>Bucal IV A</t>
        </is>
      </c>
    </row>
    <row r="10264" spans="1:1">
      <c r="A10264" t="inlineStr">
        <is>
          <t>Bucal IV B</t>
        </is>
      </c>
    </row>
    <row r="10265" spans="1:1">
      <c r="A10265" t="inlineStr">
        <is>
          <t>Caingin Pob.</t>
        </is>
      </c>
    </row>
    <row r="10266" spans="1:1">
      <c r="A10266" t="inlineStr">
        <is>
          <t>Garita I A</t>
        </is>
      </c>
    </row>
    <row r="10267" spans="1:1">
      <c r="A10267" t="inlineStr">
        <is>
          <t>Garita I B</t>
        </is>
      </c>
    </row>
    <row r="10268" spans="1:1">
      <c r="A10268" t="inlineStr">
        <is>
          <t>Layong Mabilog</t>
        </is>
      </c>
    </row>
    <row r="10269" spans="1:1">
      <c r="A10269" t="inlineStr">
        <is>
          <t>Mabato</t>
        </is>
      </c>
    </row>
    <row r="10270" spans="1:1">
      <c r="A10270" t="inlineStr">
        <is>
          <t>Pantihan I</t>
        </is>
      </c>
    </row>
    <row r="10271" spans="1:1">
      <c r="A10271" t="inlineStr">
        <is>
          <t>Pantihan II</t>
        </is>
      </c>
    </row>
    <row r="10272" spans="1:1">
      <c r="A10272" t="inlineStr">
        <is>
          <t>Pantihan III</t>
        </is>
      </c>
    </row>
    <row r="10273" spans="1:1">
      <c r="A10273" t="inlineStr">
        <is>
          <t>Pantihan IV</t>
        </is>
      </c>
    </row>
    <row r="10274" spans="1:1">
      <c r="A10274" t="inlineStr">
        <is>
          <t>Patungan</t>
        </is>
      </c>
    </row>
    <row r="10275" spans="1:1">
      <c r="A10275" t="inlineStr">
        <is>
          <t>Pinagsanhan I A</t>
        </is>
      </c>
    </row>
    <row r="10276" spans="1:1">
      <c r="A10276" t="inlineStr">
        <is>
          <t>Pinagsanhan I B</t>
        </is>
      </c>
    </row>
    <row r="10277" spans="1:1">
      <c r="A10277" t="inlineStr">
        <is>
          <t>Poblacion I A</t>
        </is>
      </c>
    </row>
    <row r="10278" spans="1:1">
      <c r="A10278" t="inlineStr">
        <is>
          <t>Poblacion I B</t>
        </is>
      </c>
    </row>
    <row r="10279" spans="1:1">
      <c r="A10279" t="inlineStr">
        <is>
          <t>Poblacion II A</t>
        </is>
      </c>
    </row>
    <row r="10280" spans="1:1">
      <c r="A10280" t="inlineStr">
        <is>
          <t>Poblacion II B</t>
        </is>
      </c>
    </row>
    <row r="10281" spans="1:1">
      <c r="A10281" t="inlineStr">
        <is>
          <t>San Miguel I A</t>
        </is>
      </c>
    </row>
    <row r="10282" spans="1:1">
      <c r="A10282" t="inlineStr">
        <is>
          <t>San Miguel I B</t>
        </is>
      </c>
    </row>
    <row r="10283" spans="1:1">
      <c r="A10283" t="inlineStr">
        <is>
          <t>Talipusngo</t>
        </is>
      </c>
    </row>
    <row r="10284" spans="1:1">
      <c r="A10284" t="inlineStr">
        <is>
          <t>Tulay Kanluran</t>
        </is>
      </c>
    </row>
    <row r="10285" spans="1:1">
      <c r="A10285" t="inlineStr">
        <is>
          <t>Tulay Silangan</t>
        </is>
      </c>
    </row>
    <row r="10286" spans="1:1">
      <c r="A10286" t="inlineStr">
        <is>
          <t>Anuling Cerca I</t>
        </is>
      </c>
    </row>
    <row r="10287" spans="1:1">
      <c r="A10287" t="inlineStr">
        <is>
          <t>Anuling Cerca II</t>
        </is>
      </c>
    </row>
    <row r="10288" spans="1:1">
      <c r="A10288" t="inlineStr">
        <is>
          <t>Anuling Lejos I</t>
        </is>
      </c>
    </row>
    <row r="10289" spans="1:1">
      <c r="A10289" t="inlineStr">
        <is>
          <t>Anuling Lejos II</t>
        </is>
      </c>
    </row>
    <row r="10290" spans="1:1">
      <c r="A10290" t="inlineStr">
        <is>
          <t>Asis I</t>
        </is>
      </c>
    </row>
    <row r="10291" spans="1:1">
      <c r="A10291" t="inlineStr">
        <is>
          <t>Asis II</t>
        </is>
      </c>
    </row>
    <row r="10292" spans="1:1">
      <c r="A10292" t="inlineStr">
        <is>
          <t>Asis III</t>
        </is>
      </c>
    </row>
    <row r="10293" spans="1:1">
      <c r="A10293" t="inlineStr">
        <is>
          <t>Banayad</t>
        </is>
      </c>
    </row>
    <row r="10294" spans="1:1">
      <c r="A10294" t="inlineStr">
        <is>
          <t>Bukal</t>
        </is>
      </c>
    </row>
    <row r="10295" spans="1:1">
      <c r="A10295" t="inlineStr">
        <is>
          <t>Galicia I</t>
        </is>
      </c>
    </row>
    <row r="10296" spans="1:1">
      <c r="A10296" t="inlineStr">
        <is>
          <t>Galicia II</t>
        </is>
      </c>
    </row>
    <row r="10297" spans="1:1">
      <c r="A10297" t="inlineStr">
        <is>
          <t>Galicia III</t>
        </is>
      </c>
    </row>
    <row r="10298" spans="1:1">
      <c r="A10298" t="inlineStr">
        <is>
          <t>Miguel Mojica</t>
        </is>
      </c>
    </row>
    <row r="10299" spans="1:1">
      <c r="A10299" t="inlineStr">
        <is>
          <t>Palocpoc I</t>
        </is>
      </c>
    </row>
    <row r="10300" spans="1:1">
      <c r="A10300" t="inlineStr">
        <is>
          <t>Palocpoc II</t>
        </is>
      </c>
    </row>
    <row r="10301" spans="1:1">
      <c r="A10301" t="inlineStr">
        <is>
          <t>Panungyan I</t>
        </is>
      </c>
    </row>
    <row r="10302" spans="1:1">
      <c r="A10302" t="inlineStr">
        <is>
          <t>Panungyan II</t>
        </is>
      </c>
    </row>
    <row r="10303" spans="1:1">
      <c r="A10303" t="inlineStr">
        <is>
          <t>Poblacion I</t>
        </is>
      </c>
    </row>
    <row r="10304" spans="1:1">
      <c r="A10304" t="inlineStr">
        <is>
          <t>Poblacion II</t>
        </is>
      </c>
    </row>
    <row r="10305" spans="1:1">
      <c r="A10305" t="inlineStr">
        <is>
          <t>Poblacion III</t>
        </is>
      </c>
    </row>
    <row r="10306" spans="1:1">
      <c r="A10306" t="inlineStr">
        <is>
          <t>Poblacion IV</t>
        </is>
      </c>
    </row>
    <row r="10307" spans="1:1">
      <c r="A10307" t="inlineStr">
        <is>
          <t>Poblacion V</t>
        </is>
      </c>
    </row>
    <row r="10308" spans="1:1">
      <c r="A10308" t="inlineStr">
        <is>
          <t>Poblacion VI</t>
        </is>
      </c>
    </row>
    <row r="10309" spans="1:1">
      <c r="A10309" t="inlineStr">
        <is>
          <t>Poblacion VII</t>
        </is>
      </c>
    </row>
    <row r="10310" spans="1:1">
      <c r="A10310" t="inlineStr">
        <is>
          <t>Bagong Karsada</t>
        </is>
      </c>
    </row>
    <row r="10311" spans="1:1">
      <c r="A10311" t="inlineStr">
        <is>
          <t>Balsahan</t>
        </is>
      </c>
    </row>
    <row r="10312" spans="1:1">
      <c r="A10312" t="inlineStr">
        <is>
          <t>Bancaan</t>
        </is>
      </c>
    </row>
    <row r="10313" spans="1:1">
      <c r="A10313" t="inlineStr">
        <is>
          <t>Bucana Malaki</t>
        </is>
      </c>
    </row>
    <row r="10314" spans="1:1">
      <c r="A10314" t="inlineStr">
        <is>
          <t>Bucana Sasahan</t>
        </is>
      </c>
    </row>
    <row r="10315" spans="1:1">
      <c r="A10315" t="inlineStr">
        <is>
          <t>Calubcob</t>
        </is>
      </c>
    </row>
    <row r="10316" spans="1:1">
      <c r="A10316" t="inlineStr">
        <is>
          <t>Capt. C. Nazareno</t>
        </is>
      </c>
    </row>
    <row r="10317" spans="1:1">
      <c r="A10317" t="inlineStr">
        <is>
          <t>Gomez-Zamora</t>
        </is>
      </c>
    </row>
    <row r="10318" spans="1:1">
      <c r="A10318" t="inlineStr">
        <is>
          <t>Halang</t>
        </is>
      </c>
    </row>
    <row r="10319" spans="1:1">
      <c r="A10319" t="inlineStr">
        <is>
          <t>Humbac</t>
        </is>
      </c>
    </row>
    <row r="10320" spans="1:1">
      <c r="A10320" t="inlineStr">
        <is>
          <t>Ibayo Estacion</t>
        </is>
      </c>
    </row>
    <row r="10321" spans="1:1">
      <c r="A10321" t="inlineStr">
        <is>
          <t>Ibayo Silangan</t>
        </is>
      </c>
    </row>
    <row r="10322" spans="1:1">
      <c r="A10322" t="inlineStr">
        <is>
          <t>Kanluran</t>
        </is>
      </c>
    </row>
    <row r="10323" spans="1:1">
      <c r="A10323" t="inlineStr">
        <is>
          <t>Labac</t>
        </is>
      </c>
    </row>
    <row r="10324" spans="1:1">
      <c r="A10324" t="inlineStr">
        <is>
          <t>Latoria</t>
        </is>
      </c>
    </row>
    <row r="10325" spans="1:1">
      <c r="A10325" t="inlineStr">
        <is>
          <t>Mabolo</t>
        </is>
      </c>
    </row>
    <row r="10326" spans="1:1">
      <c r="A10326" t="inlineStr">
        <is>
          <t>Makina</t>
        </is>
      </c>
    </row>
    <row r="10327" spans="1:1">
      <c r="A10327" t="inlineStr">
        <is>
          <t>Malainen Bago</t>
        </is>
      </c>
    </row>
    <row r="10328" spans="1:1">
      <c r="A10328" t="inlineStr">
        <is>
          <t>Malainen Luma</t>
        </is>
      </c>
    </row>
    <row r="10329" spans="1:1">
      <c r="A10329" t="inlineStr">
        <is>
          <t>Molino</t>
        </is>
      </c>
    </row>
    <row r="10330" spans="1:1">
      <c r="A10330" t="inlineStr">
        <is>
          <t>Munting Mapino</t>
        </is>
      </c>
    </row>
    <row r="10331" spans="1:1">
      <c r="A10331" t="inlineStr">
        <is>
          <t>Muzon</t>
        </is>
      </c>
    </row>
    <row r="10332" spans="1:1">
      <c r="A10332" t="inlineStr">
        <is>
          <t>Palangue 1</t>
        </is>
      </c>
    </row>
    <row r="10333" spans="1:1">
      <c r="A10333" t="inlineStr">
        <is>
          <t>Palangue 2 &amp; 3</t>
        </is>
      </c>
    </row>
    <row r="10334" spans="1:1">
      <c r="A10334" t="inlineStr">
        <is>
          <t>Sabang</t>
        </is>
      </c>
    </row>
    <row r="10335" spans="1:1">
      <c r="A10335" t="inlineStr">
        <is>
          <t>San Roque</t>
        </is>
      </c>
    </row>
    <row r="10336" spans="1:1">
      <c r="A10336" t="inlineStr">
        <is>
          <t>Santulan</t>
        </is>
      </c>
    </row>
    <row r="10337" spans="1:1">
      <c r="A10337" t="inlineStr">
        <is>
          <t>Sapa</t>
        </is>
      </c>
    </row>
    <row r="10338" spans="1:1">
      <c r="A10338" t="inlineStr">
        <is>
          <t>Timalan Balsahan</t>
        </is>
      </c>
    </row>
    <row r="10339" spans="1:1">
      <c r="A10339" t="inlineStr">
        <is>
          <t>Timalan Concepcion</t>
        </is>
      </c>
    </row>
    <row r="10340" spans="1:1">
      <c r="A10340" t="inlineStr">
        <is>
          <t>Magdiwang</t>
        </is>
      </c>
    </row>
    <row r="10341" spans="1:1">
      <c r="A10341" t="inlineStr">
        <is>
          <t>Poblacion</t>
        </is>
      </c>
    </row>
    <row r="10342" spans="1:1">
      <c r="A10342" t="inlineStr">
        <is>
          <t>Salcedo I</t>
        </is>
      </c>
    </row>
    <row r="10343" spans="1:1">
      <c r="A10343" t="inlineStr">
        <is>
          <t>Salcedo II</t>
        </is>
      </c>
    </row>
    <row r="10344" spans="1:1">
      <c r="A10344" t="inlineStr">
        <is>
          <t>San Antonio I</t>
        </is>
      </c>
    </row>
    <row r="10345" spans="1:1">
      <c r="A10345" t="inlineStr">
        <is>
          <t>San Antonio II</t>
        </is>
      </c>
    </row>
    <row r="10346" spans="1:1">
      <c r="A10346" t="inlineStr">
        <is>
          <t>San Jose I</t>
        </is>
      </c>
    </row>
    <row r="10347" spans="1:1">
      <c r="A10347" t="inlineStr">
        <is>
          <t>San Jose II</t>
        </is>
      </c>
    </row>
    <row r="10348" spans="1:1">
      <c r="A10348" t="inlineStr">
        <is>
          <t>San Juan I</t>
        </is>
      </c>
    </row>
    <row r="10349" spans="1:1">
      <c r="A10349" t="inlineStr">
        <is>
          <t>San Juan II</t>
        </is>
      </c>
    </row>
    <row r="10350" spans="1:1">
      <c r="A10350" t="inlineStr">
        <is>
          <t>San Rafael I</t>
        </is>
      </c>
    </row>
    <row r="10351" spans="1:1">
      <c r="A10351" t="inlineStr">
        <is>
          <t>San Rafael II</t>
        </is>
      </c>
    </row>
    <row r="10352" spans="1:1">
      <c r="A10352" t="inlineStr">
        <is>
          <t>San Rafael III</t>
        </is>
      </c>
    </row>
    <row r="10353" spans="1:1">
      <c r="A10353" t="inlineStr">
        <is>
          <t>San Rafael IV</t>
        </is>
      </c>
    </row>
    <row r="10354" spans="1:1">
      <c r="A10354" t="inlineStr">
        <is>
          <t>Santa Rosa I</t>
        </is>
      </c>
    </row>
    <row r="10355" spans="1:1">
      <c r="A10355" t="inlineStr">
        <is>
          <t>Santa Rosa II</t>
        </is>
      </c>
    </row>
    <row r="10356" spans="1:1">
      <c r="A10356" t="inlineStr">
        <is>
          <t>Bagbag I</t>
        </is>
      </c>
    </row>
    <row r="10357" spans="1:1">
      <c r="A10357" t="inlineStr">
        <is>
          <t>Bagbag II</t>
        </is>
      </c>
    </row>
    <row r="10358" spans="1:1">
      <c r="A10358" t="inlineStr">
        <is>
          <t>Kanluran</t>
        </is>
      </c>
    </row>
    <row r="10359" spans="1:1">
      <c r="A10359" t="inlineStr">
        <is>
          <t>Ligtong I</t>
        </is>
      </c>
    </row>
    <row r="10360" spans="1:1">
      <c r="A10360" t="inlineStr">
        <is>
          <t>Ligtong II</t>
        </is>
      </c>
    </row>
    <row r="10361" spans="1:1">
      <c r="A10361" t="inlineStr">
        <is>
          <t>Ligtong III</t>
        </is>
      </c>
    </row>
    <row r="10362" spans="1:1">
      <c r="A10362" t="inlineStr">
        <is>
          <t>Ligtong IV</t>
        </is>
      </c>
    </row>
    <row r="10363" spans="1:1">
      <c r="A10363" t="inlineStr">
        <is>
          <t>Muzon I</t>
        </is>
      </c>
    </row>
    <row r="10364" spans="1:1">
      <c r="A10364" t="inlineStr">
        <is>
          <t>Muzon II</t>
        </is>
      </c>
    </row>
    <row r="10365" spans="1:1">
      <c r="A10365" t="inlineStr">
        <is>
          <t>Poblacion</t>
        </is>
      </c>
    </row>
    <row r="10366" spans="1:1">
      <c r="A10366" t="inlineStr">
        <is>
          <t>Sapa I</t>
        </is>
      </c>
    </row>
    <row r="10367" spans="1:1">
      <c r="A10367" t="inlineStr">
        <is>
          <t>Sapa II</t>
        </is>
      </c>
    </row>
    <row r="10368" spans="1:1">
      <c r="A10368" t="inlineStr">
        <is>
          <t>Sapa III</t>
        </is>
      </c>
    </row>
    <row r="10369" spans="1:1">
      <c r="A10369" t="inlineStr">
        <is>
          <t>Sapa IV</t>
        </is>
      </c>
    </row>
    <row r="10370" spans="1:1">
      <c r="A10370" t="inlineStr">
        <is>
          <t>Silangan I</t>
        </is>
      </c>
    </row>
    <row r="10371" spans="1:1">
      <c r="A10371" t="inlineStr">
        <is>
          <t>Silangan II</t>
        </is>
      </c>
    </row>
    <row r="10372" spans="1:1">
      <c r="A10372" t="inlineStr">
        <is>
          <t>Tejeros Convention</t>
        </is>
      </c>
    </row>
    <row r="10373" spans="1:1">
      <c r="A10373" t="inlineStr">
        <is>
          <t>Wawa I</t>
        </is>
      </c>
    </row>
    <row r="10374" spans="1:1">
      <c r="A10374" t="inlineStr">
        <is>
          <t>Wawa II</t>
        </is>
      </c>
    </row>
    <row r="10375" spans="1:1">
      <c r="A10375" t="inlineStr">
        <is>
          <t>Wawa III</t>
        </is>
      </c>
    </row>
    <row r="10376" spans="1:1">
      <c r="A10376" t="inlineStr">
        <is>
          <t>Acacia</t>
        </is>
      </c>
    </row>
    <row r="10377" spans="1:1">
      <c r="A10377" t="inlineStr">
        <is>
          <t>Adlas</t>
        </is>
      </c>
    </row>
    <row r="10378" spans="1:1">
      <c r="A10378" t="inlineStr">
        <is>
          <t>Anahaw I</t>
        </is>
      </c>
    </row>
    <row r="10379" spans="1:1">
      <c r="A10379" t="inlineStr">
        <is>
          <t>Anahaw II</t>
        </is>
      </c>
    </row>
    <row r="10380" spans="1:1">
      <c r="A10380" t="inlineStr">
        <is>
          <t>Balite I</t>
        </is>
      </c>
    </row>
    <row r="10381" spans="1:1">
      <c r="A10381" t="inlineStr">
        <is>
          <t>Balite II</t>
        </is>
      </c>
    </row>
    <row r="10382" spans="1:1">
      <c r="A10382" t="inlineStr">
        <is>
          <t>Balubad</t>
        </is>
      </c>
    </row>
    <row r="10383" spans="1:1">
      <c r="A10383" t="inlineStr">
        <is>
          <t>Banaba</t>
        </is>
      </c>
    </row>
    <row r="10384" spans="1:1">
      <c r="A10384" t="inlineStr">
        <is>
          <t>Barangay I</t>
        </is>
      </c>
    </row>
    <row r="10385" spans="1:1">
      <c r="A10385" t="inlineStr">
        <is>
          <t>Barangay II</t>
        </is>
      </c>
    </row>
    <row r="10386" spans="1:1">
      <c r="A10386" t="inlineStr">
        <is>
          <t>Barangay III</t>
        </is>
      </c>
    </row>
    <row r="10387" spans="1:1">
      <c r="A10387" t="inlineStr">
        <is>
          <t>Barangay IV</t>
        </is>
      </c>
    </row>
    <row r="10388" spans="1:1">
      <c r="A10388" t="inlineStr">
        <is>
          <t>Barangay V</t>
        </is>
      </c>
    </row>
    <row r="10389" spans="1:1">
      <c r="A10389" t="inlineStr">
        <is>
          <t>Batas</t>
        </is>
      </c>
    </row>
    <row r="10390" spans="1:1">
      <c r="A10390" t="inlineStr">
        <is>
          <t>Biga I</t>
        </is>
      </c>
    </row>
    <row r="10391" spans="1:1">
      <c r="A10391" t="inlineStr">
        <is>
          <t>Biga II</t>
        </is>
      </c>
    </row>
    <row r="10392" spans="1:1">
      <c r="A10392" t="inlineStr">
        <is>
          <t>Biluso</t>
        </is>
      </c>
    </row>
    <row r="10393" spans="1:1">
      <c r="A10393" t="inlineStr">
        <is>
          <t>Bucal</t>
        </is>
      </c>
    </row>
    <row r="10394" spans="1:1">
      <c r="A10394" t="inlineStr">
        <is>
          <t>Buho</t>
        </is>
      </c>
    </row>
    <row r="10395" spans="1:1">
      <c r="A10395" t="inlineStr">
        <is>
          <t>Bulihan</t>
        </is>
      </c>
    </row>
    <row r="10396" spans="1:1">
      <c r="A10396" t="inlineStr">
        <is>
          <t>Cabangaan</t>
        </is>
      </c>
    </row>
    <row r="10397" spans="1:1">
      <c r="A10397" t="inlineStr">
        <is>
          <t>Carmen</t>
        </is>
      </c>
    </row>
    <row r="10398" spans="1:1">
      <c r="A10398" t="inlineStr">
        <is>
          <t>Hoyo</t>
        </is>
      </c>
    </row>
    <row r="10399" spans="1:1">
      <c r="A10399" t="inlineStr">
        <is>
          <t>Hukay</t>
        </is>
      </c>
    </row>
    <row r="10400" spans="1:1">
      <c r="A10400" t="inlineStr">
        <is>
          <t>Iba</t>
        </is>
      </c>
    </row>
    <row r="10401" spans="1:1">
      <c r="A10401" t="inlineStr">
        <is>
          <t>Inchican</t>
        </is>
      </c>
    </row>
    <row r="10402" spans="1:1">
      <c r="A10402" t="inlineStr">
        <is>
          <t>Ipil I</t>
        </is>
      </c>
    </row>
    <row r="10403" spans="1:1">
      <c r="A10403" t="inlineStr">
        <is>
          <t>Ipil II</t>
        </is>
      </c>
    </row>
    <row r="10404" spans="1:1">
      <c r="A10404" t="inlineStr">
        <is>
          <t>Kalubkob</t>
        </is>
      </c>
    </row>
    <row r="10405" spans="1:1">
      <c r="A10405" t="inlineStr">
        <is>
          <t>Kaong</t>
        </is>
      </c>
    </row>
    <row r="10406" spans="1:1">
      <c r="A10406" t="inlineStr">
        <is>
          <t>Lalaan I</t>
        </is>
      </c>
    </row>
    <row r="10407" spans="1:1">
      <c r="A10407" t="inlineStr">
        <is>
          <t>Lalaan II</t>
        </is>
      </c>
    </row>
    <row r="10408" spans="1:1">
      <c r="A10408" t="inlineStr">
        <is>
          <t>Litlit</t>
        </is>
      </c>
    </row>
    <row r="10409" spans="1:1">
      <c r="A10409" t="inlineStr">
        <is>
          <t>Lucsuhin</t>
        </is>
      </c>
    </row>
    <row r="10410" spans="1:1">
      <c r="A10410" t="inlineStr">
        <is>
          <t>Lumil</t>
        </is>
      </c>
    </row>
    <row r="10411" spans="1:1">
      <c r="A10411" t="inlineStr">
        <is>
          <t>Maguyam</t>
        </is>
      </c>
    </row>
    <row r="10412" spans="1:1">
      <c r="A10412" t="inlineStr">
        <is>
          <t>Malabag</t>
        </is>
      </c>
    </row>
    <row r="10413" spans="1:1">
      <c r="A10413" t="inlineStr">
        <is>
          <t>Malaking Tatyao</t>
        </is>
      </c>
    </row>
    <row r="10414" spans="1:1">
      <c r="A10414" t="inlineStr">
        <is>
          <t>Mataas Na Burol</t>
        </is>
      </c>
    </row>
    <row r="10415" spans="1:1">
      <c r="A10415" t="inlineStr">
        <is>
          <t>Munting Ilog</t>
        </is>
      </c>
    </row>
    <row r="10416" spans="1:1">
      <c r="A10416" t="inlineStr">
        <is>
          <t>Narra I</t>
        </is>
      </c>
    </row>
    <row r="10417" spans="1:1">
      <c r="A10417" t="inlineStr">
        <is>
          <t>Narra II</t>
        </is>
      </c>
    </row>
    <row r="10418" spans="1:1">
      <c r="A10418" t="inlineStr">
        <is>
          <t>Narra III</t>
        </is>
      </c>
    </row>
    <row r="10419" spans="1:1">
      <c r="A10419" t="inlineStr">
        <is>
          <t>Paligawan</t>
        </is>
      </c>
    </row>
    <row r="10420" spans="1:1">
      <c r="A10420" t="inlineStr">
        <is>
          <t>Pasong Langka</t>
        </is>
      </c>
    </row>
    <row r="10421" spans="1:1">
      <c r="A10421" t="inlineStr">
        <is>
          <t>Pooc I</t>
        </is>
      </c>
    </row>
    <row r="10422" spans="1:1">
      <c r="A10422" t="inlineStr">
        <is>
          <t>Pooc II</t>
        </is>
      </c>
    </row>
    <row r="10423" spans="1:1">
      <c r="A10423" t="inlineStr">
        <is>
          <t>Pulong Bunga</t>
        </is>
      </c>
    </row>
    <row r="10424" spans="1:1">
      <c r="A10424" t="inlineStr">
        <is>
          <t>Pulong Saging</t>
        </is>
      </c>
    </row>
    <row r="10425" spans="1:1">
      <c r="A10425" t="inlineStr">
        <is>
          <t>Puting Kahoy</t>
        </is>
      </c>
    </row>
    <row r="10426" spans="1:1">
      <c r="A10426" t="inlineStr">
        <is>
          <t>Sabutan</t>
        </is>
      </c>
    </row>
    <row r="10427" spans="1:1">
      <c r="A10427" t="inlineStr">
        <is>
          <t>San Miguel I</t>
        </is>
      </c>
    </row>
    <row r="10428" spans="1:1">
      <c r="A10428" t="inlineStr">
        <is>
          <t>San Miguel II</t>
        </is>
      </c>
    </row>
    <row r="10429" spans="1:1">
      <c r="A10429" t="inlineStr">
        <is>
          <t>San Vicente I</t>
        </is>
      </c>
    </row>
    <row r="10430" spans="1:1">
      <c r="A10430" t="inlineStr">
        <is>
          <t>San Vicente II</t>
        </is>
      </c>
    </row>
    <row r="10431" spans="1:1">
      <c r="A10431" t="inlineStr">
        <is>
          <t>Santol</t>
        </is>
      </c>
    </row>
    <row r="10432" spans="1:1">
      <c r="A10432" t="inlineStr">
        <is>
          <t>Tartaria</t>
        </is>
      </c>
    </row>
    <row r="10433" spans="1:1">
      <c r="A10433" t="inlineStr">
        <is>
          <t>Tibig</t>
        </is>
      </c>
    </row>
    <row r="10434" spans="1:1">
      <c r="A10434" t="inlineStr">
        <is>
          <t>Toledo</t>
        </is>
      </c>
    </row>
    <row r="10435" spans="1:1">
      <c r="A10435" t="inlineStr">
        <is>
          <t>Tubuan I</t>
        </is>
      </c>
    </row>
    <row r="10436" spans="1:1">
      <c r="A10436" t="inlineStr">
        <is>
          <t>Tubuan II</t>
        </is>
      </c>
    </row>
    <row r="10437" spans="1:1">
      <c r="A10437" t="inlineStr">
        <is>
          <t>Tubuan III</t>
        </is>
      </c>
    </row>
    <row r="10438" spans="1:1">
      <c r="A10438" t="inlineStr">
        <is>
          <t>Ulat</t>
        </is>
      </c>
    </row>
    <row r="10439" spans="1:1">
      <c r="A10439" t="inlineStr">
        <is>
          <t>Yakal</t>
        </is>
      </c>
    </row>
    <row r="10440" spans="1:1">
      <c r="A10440" t="inlineStr">
        <is>
          <t>Amaya I</t>
        </is>
      </c>
    </row>
    <row r="10441" spans="1:1">
      <c r="A10441" t="inlineStr">
        <is>
          <t>Amaya II</t>
        </is>
      </c>
    </row>
    <row r="10442" spans="1:1">
      <c r="A10442" t="inlineStr">
        <is>
          <t>Amaya III</t>
        </is>
      </c>
    </row>
    <row r="10443" spans="1:1">
      <c r="A10443" t="inlineStr">
        <is>
          <t>Amaya IV</t>
        </is>
      </c>
    </row>
    <row r="10444" spans="1:1">
      <c r="A10444" t="inlineStr">
        <is>
          <t>Amaya V</t>
        </is>
      </c>
    </row>
    <row r="10445" spans="1:1">
      <c r="A10445" t="inlineStr">
        <is>
          <t>Amaya VI</t>
        </is>
      </c>
    </row>
    <row r="10446" spans="1:1">
      <c r="A10446" t="inlineStr">
        <is>
          <t>Amaya VII</t>
        </is>
      </c>
    </row>
    <row r="10447" spans="1:1">
      <c r="A10447" t="inlineStr">
        <is>
          <t>Bagtas</t>
        </is>
      </c>
    </row>
    <row r="10448" spans="1:1">
      <c r="A10448" t="inlineStr">
        <is>
          <t>Barangay I</t>
        </is>
      </c>
    </row>
    <row r="10449" spans="1:1">
      <c r="A10449" t="inlineStr">
        <is>
          <t>Barangay II</t>
        </is>
      </c>
    </row>
    <row r="10450" spans="1:1">
      <c r="A10450" t="inlineStr">
        <is>
          <t>Barangay III</t>
        </is>
      </c>
    </row>
    <row r="10451" spans="1:1">
      <c r="A10451" t="inlineStr">
        <is>
          <t>Barangay IV</t>
        </is>
      </c>
    </row>
    <row r="10452" spans="1:1">
      <c r="A10452" t="inlineStr">
        <is>
          <t>Biga</t>
        </is>
      </c>
    </row>
    <row r="10453" spans="1:1">
      <c r="A10453" t="inlineStr">
        <is>
          <t>Biwas</t>
        </is>
      </c>
    </row>
    <row r="10454" spans="1:1">
      <c r="A10454" t="inlineStr">
        <is>
          <t>Bucal</t>
        </is>
      </c>
    </row>
    <row r="10455" spans="1:1">
      <c r="A10455" t="inlineStr">
        <is>
          <t>Bunga</t>
        </is>
      </c>
    </row>
    <row r="10456" spans="1:1">
      <c r="A10456" t="inlineStr">
        <is>
          <t>Calibuyo</t>
        </is>
      </c>
    </row>
    <row r="10457" spans="1:1">
      <c r="A10457" t="inlineStr">
        <is>
          <t>Capipisa</t>
        </is>
      </c>
    </row>
    <row r="10458" spans="1:1">
      <c r="A10458" t="inlineStr">
        <is>
          <t>Daang Amaya I</t>
        </is>
      </c>
    </row>
    <row r="10459" spans="1:1">
      <c r="A10459" t="inlineStr">
        <is>
          <t>Daang Amaya II</t>
        </is>
      </c>
    </row>
    <row r="10460" spans="1:1">
      <c r="A10460" t="inlineStr">
        <is>
          <t>Daang Amaya III</t>
        </is>
      </c>
    </row>
    <row r="10461" spans="1:1">
      <c r="A10461" t="inlineStr">
        <is>
          <t>Halayhay</t>
        </is>
      </c>
    </row>
    <row r="10462" spans="1:1">
      <c r="A10462" t="inlineStr">
        <is>
          <t>Julugan I</t>
        </is>
      </c>
    </row>
    <row r="10463" spans="1:1">
      <c r="A10463" t="inlineStr">
        <is>
          <t>Julugan II</t>
        </is>
      </c>
    </row>
    <row r="10464" spans="1:1">
      <c r="A10464" t="inlineStr">
        <is>
          <t>Julugan III</t>
        </is>
      </c>
    </row>
    <row r="10465" spans="1:1">
      <c r="A10465" t="inlineStr">
        <is>
          <t>Julugan IV</t>
        </is>
      </c>
    </row>
    <row r="10466" spans="1:1">
      <c r="A10466" t="inlineStr">
        <is>
          <t>Julugan V</t>
        </is>
      </c>
    </row>
    <row r="10467" spans="1:1">
      <c r="A10467" t="inlineStr">
        <is>
          <t>Julugan VI</t>
        </is>
      </c>
    </row>
    <row r="10468" spans="1:1">
      <c r="A10468" t="inlineStr">
        <is>
          <t>Julugan VII</t>
        </is>
      </c>
    </row>
    <row r="10469" spans="1:1">
      <c r="A10469" t="inlineStr">
        <is>
          <t>Julugan VIII</t>
        </is>
      </c>
    </row>
    <row r="10470" spans="1:1">
      <c r="A10470" t="inlineStr">
        <is>
          <t>Lambingan</t>
        </is>
      </c>
    </row>
    <row r="10471" spans="1:1">
      <c r="A10471" t="inlineStr">
        <is>
          <t>Mulawin</t>
        </is>
      </c>
    </row>
    <row r="10472" spans="1:1">
      <c r="A10472" t="inlineStr">
        <is>
          <t>Paradahan I</t>
        </is>
      </c>
    </row>
    <row r="10473" spans="1:1">
      <c r="A10473" t="inlineStr">
        <is>
          <t>Paradahan II</t>
        </is>
      </c>
    </row>
    <row r="10474" spans="1:1">
      <c r="A10474" t="inlineStr">
        <is>
          <t>Punta I</t>
        </is>
      </c>
    </row>
    <row r="10475" spans="1:1">
      <c r="A10475" t="inlineStr">
        <is>
          <t>Punta II</t>
        </is>
      </c>
    </row>
    <row r="10476" spans="1:1">
      <c r="A10476" t="inlineStr">
        <is>
          <t>Sahud Ulan</t>
        </is>
      </c>
    </row>
    <row r="10477" spans="1:1">
      <c r="A10477" t="inlineStr">
        <is>
          <t>Sanja Mayor</t>
        </is>
      </c>
    </row>
    <row r="10478" spans="1:1">
      <c r="A10478" t="inlineStr">
        <is>
          <t>Santol</t>
        </is>
      </c>
    </row>
    <row r="10479" spans="1:1">
      <c r="A10479" t="inlineStr">
        <is>
          <t>Tanauan</t>
        </is>
      </c>
    </row>
    <row r="10480" spans="1:1">
      <c r="A10480" t="inlineStr">
        <is>
          <t>Tres Cruses</t>
        </is>
      </c>
    </row>
    <row r="10481" spans="1:1">
      <c r="A10481" t="inlineStr">
        <is>
          <t>Bucana</t>
        </is>
      </c>
    </row>
    <row r="10482" spans="1:1">
      <c r="A10482" t="inlineStr">
        <is>
          <t>Poblacion I</t>
        </is>
      </c>
    </row>
    <row r="10483" spans="1:1">
      <c r="A10483" t="inlineStr">
        <is>
          <t>Poblacion I A</t>
        </is>
      </c>
    </row>
    <row r="10484" spans="1:1">
      <c r="A10484" t="inlineStr">
        <is>
          <t>Poblacion II</t>
        </is>
      </c>
    </row>
    <row r="10485" spans="1:1">
      <c r="A10485" t="inlineStr">
        <is>
          <t>Poblacion III</t>
        </is>
      </c>
    </row>
    <row r="10486" spans="1:1">
      <c r="A10486" t="inlineStr">
        <is>
          <t>San Jose</t>
        </is>
      </c>
    </row>
    <row r="10487" spans="1:1">
      <c r="A10487" t="inlineStr">
        <is>
          <t>San Juan I</t>
        </is>
      </c>
    </row>
    <row r="10488" spans="1:1">
      <c r="A10488" t="inlineStr">
        <is>
          <t>San Juan II</t>
        </is>
      </c>
    </row>
    <row r="10489" spans="1:1">
      <c r="A10489" t="inlineStr">
        <is>
          <t>Sapang I</t>
        </is>
      </c>
    </row>
    <row r="10490" spans="1:1">
      <c r="A10490" t="inlineStr">
        <is>
          <t>Sapang II</t>
        </is>
      </c>
    </row>
    <row r="10491" spans="1:1">
      <c r="A10491" t="inlineStr">
        <is>
          <t>Cabadiangan</t>
        </is>
      </c>
    </row>
    <row r="10492" spans="1:1">
      <c r="A10492" t="inlineStr">
        <is>
          <t>Cabil-isan</t>
        </is>
      </c>
    </row>
    <row r="10493" spans="1:1">
      <c r="A10493" t="inlineStr">
        <is>
          <t>Candabong</t>
        </is>
      </c>
    </row>
    <row r="10494" spans="1:1">
      <c r="A10494" t="inlineStr">
        <is>
          <t>Lawaan</t>
        </is>
      </c>
    </row>
    <row r="10495" spans="1:1">
      <c r="A10495" t="inlineStr">
        <is>
          <t>Manga</t>
        </is>
      </c>
    </row>
    <row r="10496" spans="1:1">
      <c r="A10496" t="inlineStr">
        <is>
          <t>Palanas</t>
        </is>
      </c>
    </row>
    <row r="10497" spans="1:1">
      <c r="A10497" t="inlineStr">
        <is>
          <t>Poblacion</t>
        </is>
      </c>
    </row>
    <row r="10498" spans="1:1">
      <c r="A10498" t="inlineStr">
        <is>
          <t>Polo</t>
        </is>
      </c>
    </row>
    <row r="10499" spans="1:1">
      <c r="A10499" t="inlineStr">
        <is>
          <t>Salagmaya</t>
        </is>
      </c>
    </row>
    <row r="10500" spans="1:1">
      <c r="A10500" t="inlineStr">
        <is>
          <t>Atabay</t>
        </is>
      </c>
    </row>
    <row r="10501" spans="1:1">
      <c r="A10501" t="inlineStr">
        <is>
          <t>Daan-Lungsod</t>
        </is>
      </c>
    </row>
    <row r="10502" spans="1:1">
      <c r="A10502" t="inlineStr">
        <is>
          <t>Guiwang</t>
        </is>
      </c>
    </row>
    <row r="10503" spans="1:1">
      <c r="A10503" t="inlineStr">
        <is>
          <t>Nug-as</t>
        </is>
      </c>
    </row>
    <row r="10504" spans="1:1">
      <c r="A10504" t="inlineStr">
        <is>
          <t>Pasol</t>
        </is>
      </c>
    </row>
    <row r="10505" spans="1:1">
      <c r="A10505" t="inlineStr">
        <is>
          <t>Poblacion</t>
        </is>
      </c>
    </row>
    <row r="10506" spans="1:1">
      <c r="A10506" t="inlineStr">
        <is>
          <t>Pugalo</t>
        </is>
      </c>
    </row>
    <row r="10507" spans="1:1">
      <c r="A10507" t="inlineStr">
        <is>
          <t>San Agustin</t>
        </is>
      </c>
    </row>
    <row r="10508" spans="1:1">
      <c r="A10508" t="inlineStr">
        <is>
          <t>Compostela</t>
        </is>
      </c>
    </row>
    <row r="10509" spans="1:1">
      <c r="A10509" t="inlineStr">
        <is>
          <t>Guadalupe</t>
        </is>
      </c>
    </row>
    <row r="10510" spans="1:1">
      <c r="A10510" t="inlineStr">
        <is>
          <t>Legaspi</t>
        </is>
      </c>
    </row>
    <row r="10511" spans="1:1">
      <c r="A10511" t="inlineStr">
        <is>
          <t>Lepanto</t>
        </is>
      </c>
    </row>
    <row r="10512" spans="1:1">
      <c r="A10512" t="inlineStr">
        <is>
          <t>Madridejos</t>
        </is>
      </c>
    </row>
    <row r="10513" spans="1:1">
      <c r="A10513" t="inlineStr">
        <is>
          <t>Montpeller</t>
        </is>
      </c>
    </row>
    <row r="10514" spans="1:1">
      <c r="A10514" t="inlineStr">
        <is>
          <t>Poblacion</t>
        </is>
      </c>
    </row>
    <row r="10515" spans="1:1">
      <c r="A10515" t="inlineStr">
        <is>
          <t>Santa Filomena</t>
        </is>
      </c>
    </row>
    <row r="10516" spans="1:1">
      <c r="A10516" t="inlineStr">
        <is>
          <t>Valencia</t>
        </is>
      </c>
    </row>
    <row r="10517" spans="1:1">
      <c r="A10517" t="inlineStr">
        <is>
          <t>Angilan</t>
        </is>
      </c>
    </row>
    <row r="10518" spans="1:1">
      <c r="A10518" t="inlineStr">
        <is>
          <t>Bojo</t>
        </is>
      </c>
    </row>
    <row r="10519" spans="1:1">
      <c r="A10519" t="inlineStr">
        <is>
          <t>Bonbon</t>
        </is>
      </c>
    </row>
    <row r="10520" spans="1:1">
      <c r="A10520" t="inlineStr">
        <is>
          <t>Esperanza</t>
        </is>
      </c>
    </row>
    <row r="10521" spans="1:1">
      <c r="A10521" t="inlineStr">
        <is>
          <t>Kandingan</t>
        </is>
      </c>
    </row>
    <row r="10522" spans="1:1">
      <c r="A10522" t="inlineStr">
        <is>
          <t>Kantabogon</t>
        </is>
      </c>
    </row>
    <row r="10523" spans="1:1">
      <c r="A10523" t="inlineStr">
        <is>
          <t>Kawasan</t>
        </is>
      </c>
    </row>
    <row r="10524" spans="1:1">
      <c r="A10524" t="inlineStr">
        <is>
          <t>Olango</t>
        </is>
      </c>
    </row>
    <row r="10525" spans="1:1">
      <c r="A10525" t="inlineStr">
        <is>
          <t>Poblacion</t>
        </is>
      </c>
    </row>
    <row r="10526" spans="1:1">
      <c r="A10526" t="inlineStr">
        <is>
          <t>Punay</t>
        </is>
      </c>
    </row>
    <row r="10527" spans="1:1">
      <c r="A10527" t="inlineStr">
        <is>
          <t>Rosario</t>
        </is>
      </c>
    </row>
    <row r="10528" spans="1:1">
      <c r="A10528" t="inlineStr">
        <is>
          <t>Saksak</t>
        </is>
      </c>
    </row>
    <row r="10529" spans="1:1">
      <c r="A10529" t="inlineStr">
        <is>
          <t>Tampa-an</t>
        </is>
      </c>
    </row>
    <row r="10530" spans="1:1">
      <c r="A10530" t="inlineStr">
        <is>
          <t>Toyokon</t>
        </is>
      </c>
    </row>
    <row r="10531" spans="1:1">
      <c r="A10531" t="inlineStr">
        <is>
          <t>Zaragosa</t>
        </is>
      </c>
    </row>
    <row r="10532" spans="1:1">
      <c r="A10532" t="inlineStr">
        <is>
          <t>Alambijud</t>
        </is>
      </c>
    </row>
    <row r="10533" spans="1:1">
      <c r="A10533" t="inlineStr">
        <is>
          <t>Anajao</t>
        </is>
      </c>
    </row>
    <row r="10534" spans="1:1">
      <c r="A10534" t="inlineStr">
        <is>
          <t>Apo</t>
        </is>
      </c>
    </row>
    <row r="10535" spans="1:1">
      <c r="A10535" t="inlineStr">
        <is>
          <t>Balaas</t>
        </is>
      </c>
    </row>
    <row r="10536" spans="1:1">
      <c r="A10536" t="inlineStr">
        <is>
          <t>Balisong</t>
        </is>
      </c>
    </row>
    <row r="10537" spans="1:1">
      <c r="A10537" t="inlineStr">
        <is>
          <t>Binlod</t>
        </is>
      </c>
    </row>
    <row r="10538" spans="1:1">
      <c r="A10538" t="inlineStr">
        <is>
          <t>Bogo</t>
        </is>
      </c>
    </row>
    <row r="10539" spans="1:1">
      <c r="A10539" t="inlineStr">
        <is>
          <t>Bug-ot</t>
        </is>
      </c>
    </row>
    <row r="10540" spans="1:1">
      <c r="A10540" t="inlineStr">
        <is>
          <t>Bulasa</t>
        </is>
      </c>
    </row>
    <row r="10541" spans="1:1">
      <c r="A10541" t="inlineStr">
        <is>
          <t>Butong</t>
        </is>
      </c>
    </row>
    <row r="10542" spans="1:1">
      <c r="A10542" t="inlineStr">
        <is>
          <t>Calagasan</t>
        </is>
      </c>
    </row>
    <row r="10543" spans="1:1">
      <c r="A10543" t="inlineStr">
        <is>
          <t>Canbantug</t>
        </is>
      </c>
    </row>
    <row r="10544" spans="1:1">
      <c r="A10544" t="inlineStr">
        <is>
          <t>Canbanua</t>
        </is>
      </c>
    </row>
    <row r="10545" spans="1:1">
      <c r="A10545" t="inlineStr">
        <is>
          <t>Cansuje</t>
        </is>
      </c>
    </row>
    <row r="10546" spans="1:1">
      <c r="A10546" t="inlineStr">
        <is>
          <t>Capio-an</t>
        </is>
      </c>
    </row>
    <row r="10547" spans="1:1">
      <c r="A10547" t="inlineStr">
        <is>
          <t>Casay</t>
        </is>
      </c>
    </row>
    <row r="10548" spans="1:1">
      <c r="A10548" t="inlineStr">
        <is>
          <t>Catang</t>
        </is>
      </c>
    </row>
    <row r="10549" spans="1:1">
      <c r="A10549" t="inlineStr">
        <is>
          <t>Colawin</t>
        </is>
      </c>
    </row>
    <row r="10550" spans="1:1">
      <c r="A10550" t="inlineStr">
        <is>
          <t>Conalum</t>
        </is>
      </c>
    </row>
    <row r="10551" spans="1:1">
      <c r="A10551" t="inlineStr">
        <is>
          <t>Guiwanon</t>
        </is>
      </c>
    </row>
    <row r="10552" spans="1:1">
      <c r="A10552" t="inlineStr">
        <is>
          <t>Gutlang</t>
        </is>
      </c>
    </row>
    <row r="10553" spans="1:1">
      <c r="A10553" t="inlineStr">
        <is>
          <t>Jampang</t>
        </is>
      </c>
    </row>
    <row r="10554" spans="1:1">
      <c r="A10554" t="inlineStr">
        <is>
          <t>Jomgao</t>
        </is>
      </c>
    </row>
    <row r="10555" spans="1:1">
      <c r="A10555" t="inlineStr">
        <is>
          <t>Lamacan</t>
        </is>
      </c>
    </row>
    <row r="10556" spans="1:1">
      <c r="A10556" t="inlineStr">
        <is>
          <t>Langtad</t>
        </is>
      </c>
    </row>
    <row r="10557" spans="1:1">
      <c r="A10557" t="inlineStr">
        <is>
          <t>Langub</t>
        </is>
      </c>
    </row>
    <row r="10558" spans="1:1">
      <c r="A10558" t="inlineStr">
        <is>
          <t>Lapay</t>
        </is>
      </c>
    </row>
    <row r="10559" spans="1:1">
      <c r="A10559" t="inlineStr">
        <is>
          <t>Lengigon</t>
        </is>
      </c>
    </row>
    <row r="10560" spans="1:1">
      <c r="A10560" t="inlineStr">
        <is>
          <t>Linut-od</t>
        </is>
      </c>
    </row>
    <row r="10561" spans="1:1">
      <c r="A10561" t="inlineStr">
        <is>
          <t>Mabasa</t>
        </is>
      </c>
    </row>
    <row r="10562" spans="1:1">
      <c r="A10562" t="inlineStr">
        <is>
          <t>Mandilikit</t>
        </is>
      </c>
    </row>
    <row r="10563" spans="1:1">
      <c r="A10563" t="inlineStr">
        <is>
          <t>Mompeller</t>
        </is>
      </c>
    </row>
    <row r="10564" spans="1:1">
      <c r="A10564" t="inlineStr">
        <is>
          <t>Panadtaran</t>
        </is>
      </c>
    </row>
    <row r="10565" spans="1:1">
      <c r="A10565" t="inlineStr">
        <is>
          <t>Poblacion</t>
        </is>
      </c>
    </row>
    <row r="10566" spans="1:1">
      <c r="A10566" t="inlineStr">
        <is>
          <t>Sua</t>
        </is>
      </c>
    </row>
    <row r="10567" spans="1:1">
      <c r="A10567" t="inlineStr">
        <is>
          <t>Sumaguan</t>
        </is>
      </c>
    </row>
    <row r="10568" spans="1:1">
      <c r="A10568" t="inlineStr">
        <is>
          <t>Tabayag</t>
        </is>
      </c>
    </row>
    <row r="10569" spans="1:1">
      <c r="A10569" t="inlineStr">
        <is>
          <t>Talaga</t>
        </is>
      </c>
    </row>
    <row r="10570" spans="1:1">
      <c r="A10570" t="inlineStr">
        <is>
          <t>Talaytay</t>
        </is>
      </c>
    </row>
    <row r="10571" spans="1:1">
      <c r="A10571" t="inlineStr">
        <is>
          <t>Talo-ot</t>
        </is>
      </c>
    </row>
    <row r="10572" spans="1:1">
      <c r="A10572" t="inlineStr">
        <is>
          <t>Tiguib</t>
        </is>
      </c>
    </row>
    <row r="10573" spans="1:1">
      <c r="A10573" t="inlineStr">
        <is>
          <t>Tulang</t>
        </is>
      </c>
    </row>
    <row r="10574" spans="1:1">
      <c r="A10574" t="inlineStr">
        <is>
          <t>Tulic</t>
        </is>
      </c>
    </row>
    <row r="10575" spans="1:1">
      <c r="A10575" t="inlineStr">
        <is>
          <t>Ubaub</t>
        </is>
      </c>
    </row>
    <row r="10576" spans="1:1">
      <c r="A10576" t="inlineStr">
        <is>
          <t>Usmad</t>
        </is>
      </c>
    </row>
    <row r="10577" spans="1:1">
      <c r="A10577" t="inlineStr">
        <is>
          <t>Agbanga</t>
        </is>
      </c>
    </row>
    <row r="10578" spans="1:1">
      <c r="A10578" t="inlineStr">
        <is>
          <t>Agtugop</t>
        </is>
      </c>
    </row>
    <row r="10579" spans="1:1">
      <c r="A10579" t="inlineStr">
        <is>
          <t>Bago</t>
        </is>
      </c>
    </row>
    <row r="10580" spans="1:1">
      <c r="A10580" t="inlineStr">
        <is>
          <t>Bairan</t>
        </is>
      </c>
    </row>
    <row r="10581" spans="1:1">
      <c r="A10581" t="inlineStr">
        <is>
          <t>Banban</t>
        </is>
      </c>
    </row>
    <row r="10582" spans="1:1">
      <c r="A10582" t="inlineStr">
        <is>
          <t>Baye</t>
        </is>
      </c>
    </row>
    <row r="10583" spans="1:1">
      <c r="A10583" t="inlineStr">
        <is>
          <t>Bog-o</t>
        </is>
      </c>
    </row>
    <row r="10584" spans="1:1">
      <c r="A10584" t="inlineStr">
        <is>
          <t>Kaluangan</t>
        </is>
      </c>
    </row>
    <row r="10585" spans="1:1">
      <c r="A10585" t="inlineStr">
        <is>
          <t>Lanao</t>
        </is>
      </c>
    </row>
    <row r="10586" spans="1:1">
      <c r="A10586" t="inlineStr">
        <is>
          <t>Langub</t>
        </is>
      </c>
    </row>
    <row r="10587" spans="1:1">
      <c r="A10587" t="inlineStr">
        <is>
          <t>Looc Norte</t>
        </is>
      </c>
    </row>
    <row r="10588" spans="1:1">
      <c r="A10588" t="inlineStr">
        <is>
          <t>Lunas</t>
        </is>
      </c>
    </row>
    <row r="10589" spans="1:1">
      <c r="A10589" t="inlineStr">
        <is>
          <t>Magcalape</t>
        </is>
      </c>
    </row>
    <row r="10590" spans="1:1">
      <c r="A10590" t="inlineStr">
        <is>
          <t>Manguiao</t>
        </is>
      </c>
    </row>
    <row r="10591" spans="1:1">
      <c r="A10591" t="inlineStr">
        <is>
          <t>New Bago</t>
        </is>
      </c>
    </row>
    <row r="10592" spans="1:1">
      <c r="A10592" t="inlineStr">
        <is>
          <t>Owak</t>
        </is>
      </c>
    </row>
    <row r="10593" spans="1:1">
      <c r="A10593" t="inlineStr">
        <is>
          <t>Poblacion</t>
        </is>
      </c>
    </row>
    <row r="10594" spans="1:1">
      <c r="A10594" t="inlineStr">
        <is>
          <t>Saksak</t>
        </is>
      </c>
    </row>
    <row r="10595" spans="1:1">
      <c r="A10595" t="inlineStr">
        <is>
          <t>San Isidro</t>
        </is>
      </c>
    </row>
    <row r="10596" spans="1:1">
      <c r="A10596" t="inlineStr">
        <is>
          <t>San Roque</t>
        </is>
      </c>
    </row>
    <row r="10597" spans="1:1">
      <c r="A10597" t="inlineStr">
        <is>
          <t>Santa Lucia</t>
        </is>
      </c>
    </row>
    <row r="10598" spans="1:1">
      <c r="A10598" t="inlineStr">
        <is>
          <t>Santa Rita</t>
        </is>
      </c>
    </row>
    <row r="10599" spans="1:1">
      <c r="A10599" t="inlineStr">
        <is>
          <t>Tag-amakan</t>
        </is>
      </c>
    </row>
    <row r="10600" spans="1:1">
      <c r="A10600" t="inlineStr">
        <is>
          <t>Tagbubonga</t>
        </is>
      </c>
    </row>
    <row r="10601" spans="1:1">
      <c r="A10601" t="inlineStr">
        <is>
          <t>Tubigagmanok</t>
        </is>
      </c>
    </row>
    <row r="10602" spans="1:1">
      <c r="A10602" t="inlineStr">
        <is>
          <t>Tubod</t>
        </is>
      </c>
    </row>
    <row r="10603" spans="1:1">
      <c r="A10603" t="inlineStr">
        <is>
          <t>Ubogon</t>
        </is>
      </c>
    </row>
    <row r="10604" spans="1:1">
      <c r="A10604" t="inlineStr">
        <is>
          <t>Alawijao</t>
        </is>
      </c>
    </row>
    <row r="10605" spans="1:1">
      <c r="A10605" t="inlineStr">
        <is>
          <t>Balhaan</t>
        </is>
      </c>
    </row>
    <row r="10606" spans="1:1">
      <c r="A10606" t="inlineStr">
        <is>
          <t>Banhigan</t>
        </is>
      </c>
    </row>
    <row r="10607" spans="1:1">
      <c r="A10607" t="inlineStr">
        <is>
          <t>Basak</t>
        </is>
      </c>
    </row>
    <row r="10608" spans="1:1">
      <c r="A10608" t="inlineStr">
        <is>
          <t>Basiao</t>
        </is>
      </c>
    </row>
    <row r="10609" spans="1:1">
      <c r="A10609" t="inlineStr">
        <is>
          <t>Bato</t>
        </is>
      </c>
    </row>
    <row r="10610" spans="1:1">
      <c r="A10610" t="inlineStr">
        <is>
          <t>Bugas</t>
        </is>
      </c>
    </row>
    <row r="10611" spans="1:1">
      <c r="A10611" t="inlineStr">
        <is>
          <t>Calangcang</t>
        </is>
      </c>
    </row>
    <row r="10612" spans="1:1">
      <c r="A10612" t="inlineStr">
        <is>
          <t>Candiis</t>
        </is>
      </c>
    </row>
    <row r="10613" spans="1:1">
      <c r="A10613" t="inlineStr">
        <is>
          <t>Dagatan</t>
        </is>
      </c>
    </row>
    <row r="10614" spans="1:1">
      <c r="A10614" t="inlineStr">
        <is>
          <t>Dobdob</t>
        </is>
      </c>
    </row>
    <row r="10615" spans="1:1">
      <c r="A10615" t="inlineStr">
        <is>
          <t>Ginablan</t>
        </is>
      </c>
    </row>
    <row r="10616" spans="1:1">
      <c r="A10616" t="inlineStr">
        <is>
          <t>Lambug</t>
        </is>
      </c>
    </row>
    <row r="10617" spans="1:1">
      <c r="A10617" t="inlineStr">
        <is>
          <t>Malabago</t>
        </is>
      </c>
    </row>
    <row r="10618" spans="1:1">
      <c r="A10618" t="inlineStr">
        <is>
          <t>Malhiao</t>
        </is>
      </c>
    </row>
    <row r="10619" spans="1:1">
      <c r="A10619" t="inlineStr">
        <is>
          <t>Manduyong</t>
        </is>
      </c>
    </row>
    <row r="10620" spans="1:1">
      <c r="A10620" t="inlineStr">
        <is>
          <t>Matutinao</t>
        </is>
      </c>
    </row>
    <row r="10621" spans="1:1">
      <c r="A10621" t="inlineStr">
        <is>
          <t>Patong</t>
        </is>
      </c>
    </row>
    <row r="10622" spans="1:1">
      <c r="A10622" t="inlineStr">
        <is>
          <t>Poblacion</t>
        </is>
      </c>
    </row>
    <row r="10623" spans="1:1">
      <c r="A10623" t="inlineStr">
        <is>
          <t>Sanlagan</t>
        </is>
      </c>
    </row>
    <row r="10624" spans="1:1">
      <c r="A10624" t="inlineStr">
        <is>
          <t>Santicon</t>
        </is>
      </c>
    </row>
    <row r="10625" spans="1:1">
      <c r="A10625" t="inlineStr">
        <is>
          <t>Sohoton</t>
        </is>
      </c>
    </row>
    <row r="10626" spans="1:1">
      <c r="A10626" t="inlineStr">
        <is>
          <t>Sulsugan</t>
        </is>
      </c>
    </row>
    <row r="10627" spans="1:1">
      <c r="A10627" t="inlineStr">
        <is>
          <t>Talayong</t>
        </is>
      </c>
    </row>
    <row r="10628" spans="1:1">
      <c r="A10628" t="inlineStr">
        <is>
          <t>Taytay</t>
        </is>
      </c>
    </row>
    <row r="10629" spans="1:1">
      <c r="A10629" t="inlineStr">
        <is>
          <t>Tigbao</t>
        </is>
      </c>
    </row>
    <row r="10630" spans="1:1">
      <c r="A10630" t="inlineStr">
        <is>
          <t>Tiguib</t>
        </is>
      </c>
    </row>
    <row r="10631" spans="1:1">
      <c r="A10631" t="inlineStr">
        <is>
          <t>Tubod</t>
        </is>
      </c>
    </row>
    <row r="10632" spans="1:1">
      <c r="A10632" t="inlineStr">
        <is>
          <t>Zaragosa</t>
        </is>
      </c>
    </row>
    <row r="10633" spans="1:1">
      <c r="A10633" t="inlineStr">
        <is>
          <t>Abucayan</t>
        </is>
      </c>
    </row>
    <row r="10634" spans="1:1">
      <c r="A10634" t="inlineStr">
        <is>
          <t>Aliwanay</t>
        </is>
      </c>
    </row>
    <row r="10635" spans="1:1">
      <c r="A10635" t="inlineStr">
        <is>
          <t>Arpili</t>
        </is>
      </c>
    </row>
    <row r="10636" spans="1:1">
      <c r="A10636" t="inlineStr">
        <is>
          <t>Baliwagan</t>
        </is>
      </c>
    </row>
    <row r="10637" spans="1:1">
      <c r="A10637" t="inlineStr">
        <is>
          <t>Bayong</t>
        </is>
      </c>
    </row>
    <row r="10638" spans="1:1">
      <c r="A10638" t="inlineStr">
        <is>
          <t>Biasong</t>
        </is>
      </c>
    </row>
    <row r="10639" spans="1:1">
      <c r="A10639" t="inlineStr">
        <is>
          <t>Buanoy</t>
        </is>
      </c>
    </row>
    <row r="10640" spans="1:1">
      <c r="A10640" t="inlineStr">
        <is>
          <t>Cabagdalan</t>
        </is>
      </c>
    </row>
    <row r="10641" spans="1:1">
      <c r="A10641" t="inlineStr">
        <is>
          <t>Cabasiangan</t>
        </is>
      </c>
    </row>
    <row r="10642" spans="1:1">
      <c r="A10642" t="inlineStr">
        <is>
          <t>Cambuhawe</t>
        </is>
      </c>
    </row>
    <row r="10643" spans="1:1">
      <c r="A10643" t="inlineStr">
        <is>
          <t>Cansomoroy</t>
        </is>
      </c>
    </row>
    <row r="10644" spans="1:1">
      <c r="A10644" t="inlineStr">
        <is>
          <t>Cantibas</t>
        </is>
      </c>
    </row>
    <row r="10645" spans="1:1">
      <c r="A10645" t="inlineStr">
        <is>
          <t>Cantuod</t>
        </is>
      </c>
    </row>
    <row r="10646" spans="1:1">
      <c r="A10646" t="inlineStr">
        <is>
          <t>Duangan</t>
        </is>
      </c>
    </row>
    <row r="10647" spans="1:1">
      <c r="A10647" t="inlineStr">
        <is>
          <t>Gaas</t>
        </is>
      </c>
    </row>
    <row r="10648" spans="1:1">
      <c r="A10648" t="inlineStr">
        <is>
          <t>Ginatilan</t>
        </is>
      </c>
    </row>
    <row r="10649" spans="1:1">
      <c r="A10649" t="inlineStr">
        <is>
          <t>Hingatmonan</t>
        </is>
      </c>
    </row>
    <row r="10650" spans="1:1">
      <c r="A10650" t="inlineStr">
        <is>
          <t>Lamesa</t>
        </is>
      </c>
    </row>
    <row r="10651" spans="1:1">
      <c r="A10651" t="inlineStr">
        <is>
          <t>Liki</t>
        </is>
      </c>
    </row>
    <row r="10652" spans="1:1">
      <c r="A10652" t="inlineStr">
        <is>
          <t>Luca</t>
        </is>
      </c>
    </row>
    <row r="10653" spans="1:1">
      <c r="A10653" t="inlineStr">
        <is>
          <t>Matun-og</t>
        </is>
      </c>
    </row>
    <row r="10654" spans="1:1">
      <c r="A10654" t="inlineStr">
        <is>
          <t>Nangka</t>
        </is>
      </c>
    </row>
    <row r="10655" spans="1:1">
      <c r="A10655" t="inlineStr">
        <is>
          <t>Pondol</t>
        </is>
      </c>
    </row>
    <row r="10656" spans="1:1">
      <c r="A10656" t="inlineStr">
        <is>
          <t>Prenza</t>
        </is>
      </c>
    </row>
    <row r="10657" spans="1:1">
      <c r="A10657" t="inlineStr">
        <is>
          <t>Santa Cruz-Santo Niño</t>
        </is>
      </c>
    </row>
    <row r="10658" spans="1:1">
      <c r="A10658" t="inlineStr">
        <is>
          <t>Singsing</t>
        </is>
      </c>
    </row>
    <row r="10659" spans="1:1">
      <c r="A10659" t="inlineStr">
        <is>
          <t>Sunog</t>
        </is>
      </c>
    </row>
    <row r="10660" spans="1:1">
      <c r="A10660" t="inlineStr">
        <is>
          <t>Vito</t>
        </is>
      </c>
    </row>
    <row r="10661" spans="1:1">
      <c r="A10661" t="inlineStr">
        <is>
          <t>Atop-atop</t>
        </is>
      </c>
    </row>
    <row r="10662" spans="1:1">
      <c r="A10662" t="inlineStr">
        <is>
          <t>Baigad</t>
        </is>
      </c>
    </row>
    <row r="10663" spans="1:1">
      <c r="A10663" t="inlineStr">
        <is>
          <t>Bantigue</t>
        </is>
      </c>
    </row>
    <row r="10664" spans="1:1">
      <c r="A10664" t="inlineStr">
        <is>
          <t>Baod</t>
        </is>
      </c>
    </row>
    <row r="10665" spans="1:1">
      <c r="A10665" t="inlineStr">
        <is>
          <t>Binaobao</t>
        </is>
      </c>
    </row>
    <row r="10666" spans="1:1">
      <c r="A10666" t="inlineStr">
        <is>
          <t>Botigues</t>
        </is>
      </c>
    </row>
    <row r="10667" spans="1:1">
      <c r="A10667" t="inlineStr">
        <is>
          <t>Doong</t>
        </is>
      </c>
    </row>
    <row r="10668" spans="1:1">
      <c r="A10668" t="inlineStr">
        <is>
          <t>Guiwanon</t>
        </is>
      </c>
    </row>
    <row r="10669" spans="1:1">
      <c r="A10669" t="inlineStr">
        <is>
          <t>Hilotongan</t>
        </is>
      </c>
    </row>
    <row r="10670" spans="1:1">
      <c r="A10670" t="inlineStr">
        <is>
          <t>Kabac</t>
        </is>
      </c>
    </row>
    <row r="10671" spans="1:1">
      <c r="A10671" t="inlineStr">
        <is>
          <t>Kabangbang</t>
        </is>
      </c>
    </row>
    <row r="10672" spans="1:1">
      <c r="A10672" t="inlineStr">
        <is>
          <t>Kampingganon</t>
        </is>
      </c>
    </row>
    <row r="10673" spans="1:1">
      <c r="A10673" t="inlineStr">
        <is>
          <t>Kangkaibe</t>
        </is>
      </c>
    </row>
    <row r="10674" spans="1:1">
      <c r="A10674" t="inlineStr">
        <is>
          <t>Lipayran</t>
        </is>
      </c>
    </row>
    <row r="10675" spans="1:1">
      <c r="A10675" t="inlineStr">
        <is>
          <t>Luyongbaybay</t>
        </is>
      </c>
    </row>
    <row r="10676" spans="1:1">
      <c r="A10676" t="inlineStr">
        <is>
          <t>Mojon</t>
        </is>
      </c>
    </row>
    <row r="10677" spans="1:1">
      <c r="A10677" t="inlineStr">
        <is>
          <t>Obo-ob</t>
        </is>
      </c>
    </row>
    <row r="10678" spans="1:1">
      <c r="A10678" t="inlineStr">
        <is>
          <t>Patao</t>
        </is>
      </c>
    </row>
    <row r="10679" spans="1:1">
      <c r="A10679" t="inlineStr">
        <is>
          <t>Putian</t>
        </is>
      </c>
    </row>
    <row r="10680" spans="1:1">
      <c r="A10680" t="inlineStr">
        <is>
          <t>Sillon</t>
        </is>
      </c>
    </row>
    <row r="10681" spans="1:1">
      <c r="A10681" t="inlineStr">
        <is>
          <t>Suba</t>
        </is>
      </c>
    </row>
    <row r="10682" spans="1:1">
      <c r="A10682" t="inlineStr">
        <is>
          <t>Sulangan</t>
        </is>
      </c>
    </row>
    <row r="10683" spans="1:1">
      <c r="A10683" t="inlineStr">
        <is>
          <t>Sungko</t>
        </is>
      </c>
    </row>
    <row r="10684" spans="1:1">
      <c r="A10684" t="inlineStr">
        <is>
          <t>Tamiao</t>
        </is>
      </c>
    </row>
    <row r="10685" spans="1:1">
      <c r="A10685" t="inlineStr">
        <is>
          <t>Ticad</t>
        </is>
      </c>
    </row>
    <row r="10686" spans="1:1">
      <c r="A10686" t="inlineStr">
        <is>
          <t>Azucena</t>
        </is>
      </c>
    </row>
    <row r="10687" spans="1:1">
      <c r="A10687" t="inlineStr">
        <is>
          <t>Bagakay</t>
        </is>
      </c>
    </row>
    <row r="10688" spans="1:1">
      <c r="A10688" t="inlineStr">
        <is>
          <t>Balao</t>
        </is>
      </c>
    </row>
    <row r="10689" spans="1:1">
      <c r="A10689" t="inlineStr">
        <is>
          <t>Bolocboloc</t>
        </is>
      </c>
    </row>
    <row r="10690" spans="1:1">
      <c r="A10690" t="inlineStr">
        <is>
          <t>Budbud</t>
        </is>
      </c>
    </row>
    <row r="10691" spans="1:1">
      <c r="A10691" t="inlineStr">
        <is>
          <t>Bugtong Kawayan</t>
        </is>
      </c>
    </row>
    <row r="10692" spans="1:1">
      <c r="A10692" t="inlineStr">
        <is>
          <t>Cabcaban</t>
        </is>
      </c>
    </row>
    <row r="10693" spans="1:1">
      <c r="A10693" t="inlineStr">
        <is>
          <t>Cagay</t>
        </is>
      </c>
    </row>
    <row r="10694" spans="1:1">
      <c r="A10694" t="inlineStr">
        <is>
          <t>Campangga</t>
        </is>
      </c>
    </row>
    <row r="10695" spans="1:1">
      <c r="A10695" t="inlineStr">
        <is>
          <t>Candugay</t>
        </is>
      </c>
    </row>
    <row r="10696" spans="1:1">
      <c r="A10696" t="inlineStr">
        <is>
          <t>Dakit</t>
        </is>
      </c>
    </row>
    <row r="10697" spans="1:1">
      <c r="A10697" t="inlineStr">
        <is>
          <t>Giloctog</t>
        </is>
      </c>
    </row>
    <row r="10698" spans="1:1">
      <c r="A10698" t="inlineStr">
        <is>
          <t>Giwanon</t>
        </is>
      </c>
    </row>
    <row r="10699" spans="1:1">
      <c r="A10699" t="inlineStr">
        <is>
          <t>Guibuangan</t>
        </is>
      </c>
    </row>
    <row r="10700" spans="1:1">
      <c r="A10700" t="inlineStr">
        <is>
          <t>Gunting</t>
        </is>
      </c>
    </row>
    <row r="10701" spans="1:1">
      <c r="A10701" t="inlineStr">
        <is>
          <t>Hilasgasan</t>
        </is>
      </c>
    </row>
    <row r="10702" spans="1:1">
      <c r="A10702" t="inlineStr">
        <is>
          <t>Japitan</t>
        </is>
      </c>
    </row>
    <row r="10703" spans="1:1">
      <c r="A10703" t="inlineStr">
        <is>
          <t>Kalubihan</t>
        </is>
      </c>
    </row>
    <row r="10704" spans="1:1">
      <c r="A10704" t="inlineStr">
        <is>
          <t>Kangdampas</t>
        </is>
      </c>
    </row>
    <row r="10705" spans="1:1">
      <c r="A10705" t="inlineStr">
        <is>
          <t>Luhod</t>
        </is>
      </c>
    </row>
    <row r="10706" spans="1:1">
      <c r="A10706" t="inlineStr">
        <is>
          <t>Lupo</t>
        </is>
      </c>
    </row>
    <row r="10707" spans="1:1">
      <c r="A10707" t="inlineStr">
        <is>
          <t>Luyo</t>
        </is>
      </c>
    </row>
    <row r="10708" spans="1:1">
      <c r="A10708" t="inlineStr">
        <is>
          <t>Maghanoy</t>
        </is>
      </c>
    </row>
    <row r="10709" spans="1:1">
      <c r="A10709" t="inlineStr">
        <is>
          <t>Maigang</t>
        </is>
      </c>
    </row>
    <row r="10710" spans="1:1">
      <c r="A10710" t="inlineStr">
        <is>
          <t>Malolos</t>
        </is>
      </c>
    </row>
    <row r="10711" spans="1:1">
      <c r="A10711" t="inlineStr">
        <is>
          <t>Mantalongon</t>
        </is>
      </c>
    </row>
    <row r="10712" spans="1:1">
      <c r="A10712" t="inlineStr">
        <is>
          <t>Mantayupan</t>
        </is>
      </c>
    </row>
    <row r="10713" spans="1:1">
      <c r="A10713" t="inlineStr">
        <is>
          <t>Mayana</t>
        </is>
      </c>
    </row>
    <row r="10714" spans="1:1">
      <c r="A10714" t="inlineStr">
        <is>
          <t>Minolos</t>
        </is>
      </c>
    </row>
    <row r="10715" spans="1:1">
      <c r="A10715" t="inlineStr">
        <is>
          <t>Nabunturan</t>
        </is>
      </c>
    </row>
    <row r="10716" spans="1:1">
      <c r="A10716" t="inlineStr">
        <is>
          <t>Nasipit</t>
        </is>
      </c>
    </row>
    <row r="10717" spans="1:1">
      <c r="A10717" t="inlineStr">
        <is>
          <t>Pancil</t>
        </is>
      </c>
    </row>
    <row r="10718" spans="1:1">
      <c r="A10718" t="inlineStr">
        <is>
          <t>Pangpang</t>
        </is>
      </c>
    </row>
    <row r="10719" spans="1:1">
      <c r="A10719" t="inlineStr">
        <is>
          <t>Paril</t>
        </is>
      </c>
    </row>
    <row r="10720" spans="1:1">
      <c r="A10720" t="inlineStr">
        <is>
          <t>Patupat</t>
        </is>
      </c>
    </row>
    <row r="10721" spans="1:1">
      <c r="A10721" t="inlineStr">
        <is>
          <t>Poblacion</t>
        </is>
      </c>
    </row>
    <row r="10722" spans="1:1">
      <c r="A10722" t="inlineStr">
        <is>
          <t>San Rafael</t>
        </is>
      </c>
    </row>
    <row r="10723" spans="1:1">
      <c r="A10723" t="inlineStr">
        <is>
          <t>Santa Ana</t>
        </is>
      </c>
    </row>
    <row r="10724" spans="1:1">
      <c r="A10724" t="inlineStr">
        <is>
          <t>Sayaw</t>
        </is>
      </c>
    </row>
    <row r="10725" spans="1:1">
      <c r="A10725" t="inlineStr">
        <is>
          <t>Tal-ot</t>
        </is>
      </c>
    </row>
    <row r="10726" spans="1:1">
      <c r="A10726" t="inlineStr">
        <is>
          <t>Tubod</t>
        </is>
      </c>
    </row>
    <row r="10727" spans="1:1">
      <c r="A10727" t="inlineStr">
        <is>
          <t>Vito</t>
        </is>
      </c>
    </row>
    <row r="10728" spans="1:1">
      <c r="A10728" t="inlineStr">
        <is>
          <t>Arbor</t>
        </is>
      </c>
    </row>
    <row r="10729" spans="1:1">
      <c r="A10729" t="inlineStr">
        <is>
          <t>Baclayan</t>
        </is>
      </c>
    </row>
    <row r="10730" spans="1:1">
      <c r="A10730" t="inlineStr">
        <is>
          <t>El Pardo</t>
        </is>
      </c>
    </row>
    <row r="10731" spans="1:1">
      <c r="A10731" t="inlineStr">
        <is>
          <t>Granada</t>
        </is>
      </c>
    </row>
    <row r="10732" spans="1:1">
      <c r="A10732" t="inlineStr">
        <is>
          <t>Lower Becerril</t>
        </is>
      </c>
    </row>
    <row r="10733" spans="1:1">
      <c r="A10733" t="inlineStr">
        <is>
          <t>Lunop</t>
        </is>
      </c>
    </row>
    <row r="10734" spans="1:1">
      <c r="A10734" t="inlineStr">
        <is>
          <t>Nangka</t>
        </is>
      </c>
    </row>
    <row r="10735" spans="1:1">
      <c r="A10735" t="inlineStr">
        <is>
          <t>Poblacion</t>
        </is>
      </c>
    </row>
    <row r="10736" spans="1:1">
      <c r="A10736" t="inlineStr">
        <is>
          <t>San Antonio</t>
        </is>
      </c>
    </row>
    <row r="10737" spans="1:1">
      <c r="A10737" t="inlineStr">
        <is>
          <t>South Granada</t>
        </is>
      </c>
    </row>
    <row r="10738" spans="1:1">
      <c r="A10738" t="inlineStr">
        <is>
          <t>Upper Becerril</t>
        </is>
      </c>
    </row>
    <row r="10739" spans="1:1">
      <c r="A10739" t="inlineStr">
        <is>
          <t>Bagacay</t>
        </is>
      </c>
    </row>
    <row r="10740" spans="1:1">
      <c r="A10740" t="inlineStr">
        <is>
          <t>Bili</t>
        </is>
      </c>
    </row>
    <row r="10741" spans="1:1">
      <c r="A10741" t="inlineStr">
        <is>
          <t>Bingay</t>
        </is>
      </c>
    </row>
    <row r="10742" spans="1:1">
      <c r="A10742" t="inlineStr">
        <is>
          <t>Bongdo</t>
        </is>
      </c>
    </row>
    <row r="10743" spans="1:1">
      <c r="A10743" t="inlineStr">
        <is>
          <t>Bongdo Gua</t>
        </is>
      </c>
    </row>
    <row r="10744" spans="1:1">
      <c r="A10744" t="inlineStr">
        <is>
          <t>Bongoyan</t>
        </is>
      </c>
    </row>
    <row r="10745" spans="1:1">
      <c r="A10745" t="inlineStr">
        <is>
          <t>Cadaruhan</t>
        </is>
      </c>
    </row>
    <row r="10746" spans="1:1">
      <c r="A10746" t="inlineStr">
        <is>
          <t>Cajel</t>
        </is>
      </c>
    </row>
    <row r="10747" spans="1:1">
      <c r="A10747" t="inlineStr">
        <is>
          <t>Campusong</t>
        </is>
      </c>
    </row>
    <row r="10748" spans="1:1">
      <c r="A10748" t="inlineStr">
        <is>
          <t>Clavera</t>
        </is>
      </c>
    </row>
    <row r="10749" spans="1:1">
      <c r="A10749" t="inlineStr">
        <is>
          <t>Don Gregorio Antigua</t>
        </is>
      </c>
    </row>
    <row r="10750" spans="1:1">
      <c r="A10750" t="inlineStr">
        <is>
          <t>Laaw</t>
        </is>
      </c>
    </row>
    <row r="10751" spans="1:1">
      <c r="A10751" t="inlineStr">
        <is>
          <t>Lugo</t>
        </is>
      </c>
    </row>
    <row r="10752" spans="1:1">
      <c r="A10752" t="inlineStr">
        <is>
          <t>Managase</t>
        </is>
      </c>
    </row>
    <row r="10753" spans="1:1">
      <c r="A10753" t="inlineStr">
        <is>
          <t>Poblacion</t>
        </is>
      </c>
    </row>
    <row r="10754" spans="1:1">
      <c r="A10754" t="inlineStr">
        <is>
          <t>Sagay</t>
        </is>
      </c>
    </row>
    <row r="10755" spans="1:1">
      <c r="A10755" t="inlineStr">
        <is>
          <t>San Jose</t>
        </is>
      </c>
    </row>
    <row r="10756" spans="1:1">
      <c r="A10756" t="inlineStr">
        <is>
          <t>Tabunan</t>
        </is>
      </c>
    </row>
    <row r="10757" spans="1:1">
      <c r="A10757" t="inlineStr">
        <is>
          <t>Tagnucan</t>
        </is>
      </c>
    </row>
    <row r="10758" spans="1:1">
      <c r="A10758" t="inlineStr">
        <is>
          <t>Baring</t>
        </is>
      </c>
    </row>
    <row r="10759" spans="1:1">
      <c r="A10759" t="inlineStr">
        <is>
          <t>Cantipay</t>
        </is>
      </c>
    </row>
    <row r="10760" spans="1:1">
      <c r="A10760" t="inlineStr">
        <is>
          <t>Cantukong</t>
        </is>
      </c>
    </row>
    <row r="10761" spans="1:1">
      <c r="A10761" t="inlineStr">
        <is>
          <t>Cantumog</t>
        </is>
      </c>
    </row>
    <row r="10762" spans="1:1">
      <c r="A10762" t="inlineStr">
        <is>
          <t>Caurasan</t>
        </is>
      </c>
    </row>
    <row r="10763" spans="1:1">
      <c r="A10763" t="inlineStr">
        <is>
          <t>Cogon East</t>
        </is>
      </c>
    </row>
    <row r="10764" spans="1:1">
      <c r="A10764" t="inlineStr">
        <is>
          <t>Cogon West</t>
        </is>
      </c>
    </row>
    <row r="10765" spans="1:1">
      <c r="A10765" t="inlineStr">
        <is>
          <t>Corte</t>
        </is>
      </c>
    </row>
    <row r="10766" spans="1:1">
      <c r="A10766" t="inlineStr">
        <is>
          <t>Dawis Norte</t>
        </is>
      </c>
    </row>
    <row r="10767" spans="1:1">
      <c r="A10767" t="inlineStr">
        <is>
          <t>Dawis Sur</t>
        </is>
      </c>
    </row>
    <row r="10768" spans="1:1">
      <c r="A10768" t="inlineStr">
        <is>
          <t>Hagnaya</t>
        </is>
      </c>
    </row>
    <row r="10769" spans="1:1">
      <c r="A10769" t="inlineStr">
        <is>
          <t>Ipil</t>
        </is>
      </c>
    </row>
    <row r="10770" spans="1:1">
      <c r="A10770" t="inlineStr">
        <is>
          <t>Lanipga</t>
        </is>
      </c>
    </row>
    <row r="10771" spans="1:1">
      <c r="A10771" t="inlineStr">
        <is>
          <t>Liboron</t>
        </is>
      </c>
    </row>
    <row r="10772" spans="1:1">
      <c r="A10772" t="inlineStr">
        <is>
          <t>Lower Natimao-an</t>
        </is>
      </c>
    </row>
    <row r="10773" spans="1:1">
      <c r="A10773" t="inlineStr">
        <is>
          <t>Luyang</t>
        </is>
      </c>
    </row>
    <row r="10774" spans="1:1">
      <c r="A10774" t="inlineStr">
        <is>
          <t>Poblacion</t>
        </is>
      </c>
    </row>
    <row r="10775" spans="1:1">
      <c r="A10775" t="inlineStr">
        <is>
          <t>Puente</t>
        </is>
      </c>
    </row>
    <row r="10776" spans="1:1">
      <c r="A10776" t="inlineStr">
        <is>
          <t>Sac-on</t>
        </is>
      </c>
    </row>
    <row r="10777" spans="1:1">
      <c r="A10777" t="inlineStr">
        <is>
          <t>Triumfo</t>
        </is>
      </c>
    </row>
    <row r="10778" spans="1:1">
      <c r="A10778" t="inlineStr">
        <is>
          <t>Upper Natimao-an</t>
        </is>
      </c>
    </row>
    <row r="10779" spans="1:1">
      <c r="A10779" t="inlineStr">
        <is>
          <t>Agsuwao</t>
        </is>
      </c>
    </row>
    <row r="10780" spans="1:1">
      <c r="A10780" t="inlineStr">
        <is>
          <t>Amancion</t>
        </is>
      </c>
    </row>
    <row r="10781" spans="1:1">
      <c r="A10781" t="inlineStr">
        <is>
          <t>Anapog</t>
        </is>
      </c>
    </row>
    <row r="10782" spans="1:1">
      <c r="A10782" t="inlineStr">
        <is>
          <t>Bactas</t>
        </is>
      </c>
    </row>
    <row r="10783" spans="1:1">
      <c r="A10783" t="inlineStr">
        <is>
          <t>Basak</t>
        </is>
      </c>
    </row>
    <row r="10784" spans="1:1">
      <c r="A10784" t="inlineStr">
        <is>
          <t>Binongkalan</t>
        </is>
      </c>
    </row>
    <row r="10785" spans="1:1">
      <c r="A10785" t="inlineStr">
        <is>
          <t>Bongyas</t>
        </is>
      </c>
    </row>
    <row r="10786" spans="1:1">
      <c r="A10786" t="inlineStr">
        <is>
          <t>Cabungaan</t>
        </is>
      </c>
    </row>
    <row r="10787" spans="1:1">
      <c r="A10787" t="inlineStr">
        <is>
          <t>Cambangkaya</t>
        </is>
      </c>
    </row>
    <row r="10788" spans="1:1">
      <c r="A10788" t="inlineStr">
        <is>
          <t>Can-ibuang</t>
        </is>
      </c>
    </row>
    <row r="10789" spans="1:1">
      <c r="A10789" t="inlineStr">
        <is>
          <t>Catmondaan</t>
        </is>
      </c>
    </row>
    <row r="10790" spans="1:1">
      <c r="A10790" t="inlineStr">
        <is>
          <t>Corazon</t>
        </is>
      </c>
    </row>
    <row r="10791" spans="1:1">
      <c r="A10791" t="inlineStr">
        <is>
          <t>Duyan</t>
        </is>
      </c>
    </row>
    <row r="10792" spans="1:1">
      <c r="A10792" t="inlineStr">
        <is>
          <t>Flores</t>
        </is>
      </c>
    </row>
    <row r="10793" spans="1:1">
      <c r="A10793" t="inlineStr">
        <is>
          <t>Ginabucan</t>
        </is>
      </c>
    </row>
    <row r="10794" spans="1:1">
      <c r="A10794" t="inlineStr">
        <is>
          <t>Macaas</t>
        </is>
      </c>
    </row>
    <row r="10795" spans="1:1">
      <c r="A10795" t="inlineStr">
        <is>
          <t>Panalipan</t>
        </is>
      </c>
    </row>
    <row r="10796" spans="1:1">
      <c r="A10796" t="inlineStr">
        <is>
          <t>San Jose Pob.</t>
        </is>
      </c>
    </row>
    <row r="10797" spans="1:1">
      <c r="A10797" t="inlineStr">
        <is>
          <t>Tabili</t>
        </is>
      </c>
    </row>
    <row r="10798" spans="1:1">
      <c r="A10798" t="inlineStr">
        <is>
          <t>Tinabyonan</t>
        </is>
      </c>
    </row>
    <row r="10799" spans="1:1">
      <c r="A10799" t="inlineStr">
        <is>
          <t>Anonang Norte</t>
        </is>
      </c>
    </row>
    <row r="10800" spans="1:1">
      <c r="A10800" t="inlineStr">
        <is>
          <t>Anonang Sur</t>
        </is>
      </c>
    </row>
    <row r="10801" spans="1:1">
      <c r="A10801" t="inlineStr">
        <is>
          <t>Banban</t>
        </is>
      </c>
    </row>
    <row r="10802" spans="1:1">
      <c r="A10802" t="inlineStr">
        <is>
          <t>Binabag</t>
        </is>
      </c>
    </row>
    <row r="10803" spans="1:1">
      <c r="A10803" t="inlineStr">
        <is>
          <t>Bungtod</t>
        </is>
      </c>
    </row>
    <row r="10804" spans="1:1">
      <c r="A10804" t="inlineStr">
        <is>
          <t>Carbon</t>
        </is>
      </c>
    </row>
    <row r="10805" spans="1:1">
      <c r="A10805" t="inlineStr">
        <is>
          <t>Cayang</t>
        </is>
      </c>
    </row>
    <row r="10806" spans="1:1">
      <c r="A10806" t="inlineStr">
        <is>
          <t>Cogon</t>
        </is>
      </c>
    </row>
    <row r="10807" spans="1:1">
      <c r="A10807" t="inlineStr">
        <is>
          <t>Dakit</t>
        </is>
      </c>
    </row>
    <row r="10808" spans="1:1">
      <c r="A10808" t="inlineStr">
        <is>
          <t>Don Pedro Rodriguez</t>
        </is>
      </c>
    </row>
    <row r="10809" spans="1:1">
      <c r="A10809" t="inlineStr">
        <is>
          <t>Gairan</t>
        </is>
      </c>
    </row>
    <row r="10810" spans="1:1">
      <c r="A10810" t="inlineStr">
        <is>
          <t>Guadalupe</t>
        </is>
      </c>
    </row>
    <row r="10811" spans="1:1">
      <c r="A10811" t="inlineStr">
        <is>
          <t>La Paz</t>
        </is>
      </c>
    </row>
    <row r="10812" spans="1:1">
      <c r="A10812" t="inlineStr">
        <is>
          <t>La Purisima Concepcion</t>
        </is>
      </c>
    </row>
    <row r="10813" spans="1:1">
      <c r="A10813" t="inlineStr">
        <is>
          <t>Libertad</t>
        </is>
      </c>
    </row>
    <row r="10814" spans="1:1">
      <c r="A10814" t="inlineStr">
        <is>
          <t>Lourdes</t>
        </is>
      </c>
    </row>
    <row r="10815" spans="1:1">
      <c r="A10815" t="inlineStr">
        <is>
          <t>Malingin</t>
        </is>
      </c>
    </row>
    <row r="10816" spans="1:1">
      <c r="A10816" t="inlineStr">
        <is>
          <t>Marangog</t>
        </is>
      </c>
    </row>
    <row r="10817" spans="1:1">
      <c r="A10817" t="inlineStr">
        <is>
          <t>Nailon</t>
        </is>
      </c>
    </row>
    <row r="10818" spans="1:1">
      <c r="A10818" t="inlineStr">
        <is>
          <t>Odlot</t>
        </is>
      </c>
    </row>
    <row r="10819" spans="1:1">
      <c r="A10819" t="inlineStr">
        <is>
          <t>Pandan</t>
        </is>
      </c>
    </row>
    <row r="10820" spans="1:1">
      <c r="A10820" t="inlineStr">
        <is>
          <t>Polambato</t>
        </is>
      </c>
    </row>
    <row r="10821" spans="1:1">
      <c r="A10821" t="inlineStr">
        <is>
          <t>Sambag</t>
        </is>
      </c>
    </row>
    <row r="10822" spans="1:1">
      <c r="A10822" t="inlineStr">
        <is>
          <t>San Vicente</t>
        </is>
      </c>
    </row>
    <row r="10823" spans="1:1">
      <c r="A10823" t="inlineStr">
        <is>
          <t>Santo Niño</t>
        </is>
      </c>
    </row>
    <row r="10824" spans="1:1">
      <c r="A10824" t="inlineStr">
        <is>
          <t>Santo Rosario</t>
        </is>
      </c>
    </row>
    <row r="10825" spans="1:1">
      <c r="A10825" t="inlineStr">
        <is>
          <t>Siocon</t>
        </is>
      </c>
    </row>
    <row r="10826" spans="1:1">
      <c r="A10826" t="inlineStr">
        <is>
          <t>Sudlonon</t>
        </is>
      </c>
    </row>
    <row r="10827" spans="1:1">
      <c r="A10827" t="inlineStr">
        <is>
          <t>Taytayan</t>
        </is>
      </c>
    </row>
    <row r="10828" spans="1:1">
      <c r="A10828" t="inlineStr">
        <is>
          <t>Bolinawan</t>
        </is>
      </c>
    </row>
    <row r="10829" spans="1:1">
      <c r="A10829" t="inlineStr">
        <is>
          <t>Buenavista</t>
        </is>
      </c>
    </row>
    <row r="10830" spans="1:1">
      <c r="A10830" t="inlineStr">
        <is>
          <t>Calidngan</t>
        </is>
      </c>
    </row>
    <row r="10831" spans="1:1">
      <c r="A10831" t="inlineStr">
        <is>
          <t>Can-asujan</t>
        </is>
      </c>
    </row>
    <row r="10832" spans="1:1">
      <c r="A10832" t="inlineStr">
        <is>
          <t>Guadalupe</t>
        </is>
      </c>
    </row>
    <row r="10833" spans="1:1">
      <c r="A10833" t="inlineStr">
        <is>
          <t>Liburon</t>
        </is>
      </c>
    </row>
    <row r="10834" spans="1:1">
      <c r="A10834" t="inlineStr">
        <is>
          <t>Napo</t>
        </is>
      </c>
    </row>
    <row r="10835" spans="1:1">
      <c r="A10835" t="inlineStr">
        <is>
          <t>Ocana</t>
        </is>
      </c>
    </row>
    <row r="10836" spans="1:1">
      <c r="A10836" t="inlineStr">
        <is>
          <t>Perrelos</t>
        </is>
      </c>
    </row>
    <row r="10837" spans="1:1">
      <c r="A10837" t="inlineStr">
        <is>
          <t>Poblacion I</t>
        </is>
      </c>
    </row>
    <row r="10838" spans="1:1">
      <c r="A10838" t="inlineStr">
        <is>
          <t>Poblacion II</t>
        </is>
      </c>
    </row>
    <row r="10839" spans="1:1">
      <c r="A10839" t="inlineStr">
        <is>
          <t>Poblacion III</t>
        </is>
      </c>
    </row>
    <row r="10840" spans="1:1">
      <c r="A10840" t="inlineStr">
        <is>
          <t>Tuyom</t>
        </is>
      </c>
    </row>
    <row r="10841" spans="1:1">
      <c r="A10841" t="inlineStr">
        <is>
          <t>Valencia</t>
        </is>
      </c>
    </row>
    <row r="10842" spans="1:1">
      <c r="A10842" t="inlineStr">
        <is>
          <t>Valladolid</t>
        </is>
      </c>
    </row>
    <row r="10843" spans="1:1">
      <c r="A10843" t="inlineStr">
        <is>
          <t>Alfaco</t>
        </is>
      </c>
    </row>
    <row r="10844" spans="1:1">
      <c r="A10844" t="inlineStr">
        <is>
          <t>Bairan</t>
        </is>
      </c>
    </row>
    <row r="10845" spans="1:1">
      <c r="A10845" t="inlineStr">
        <is>
          <t>Balirong</t>
        </is>
      </c>
    </row>
    <row r="10846" spans="1:1">
      <c r="A10846" t="inlineStr">
        <is>
          <t>Cabungahan</t>
        </is>
      </c>
    </row>
    <row r="10847" spans="1:1">
      <c r="A10847" t="inlineStr">
        <is>
          <t>Cantao-an</t>
        </is>
      </c>
    </row>
    <row r="10848" spans="1:1">
      <c r="A10848" t="inlineStr">
        <is>
          <t>Central Poblacion</t>
        </is>
      </c>
    </row>
    <row r="10849" spans="1:1">
      <c r="A10849" t="inlineStr">
        <is>
          <t>Cogon</t>
        </is>
      </c>
    </row>
    <row r="10850" spans="1:1">
      <c r="A10850" t="inlineStr">
        <is>
          <t>Colon</t>
        </is>
      </c>
    </row>
    <row r="10851" spans="1:1">
      <c r="A10851" t="inlineStr">
        <is>
          <t>East Poblacion</t>
        </is>
      </c>
    </row>
    <row r="10852" spans="1:1">
      <c r="A10852" t="inlineStr">
        <is>
          <t>Inayagan</t>
        </is>
      </c>
    </row>
    <row r="10853" spans="1:1">
      <c r="A10853" t="inlineStr">
        <is>
          <t>Inoburan</t>
        </is>
      </c>
    </row>
    <row r="10854" spans="1:1">
      <c r="A10854" t="inlineStr">
        <is>
          <t>Jaguimit</t>
        </is>
      </c>
    </row>
    <row r="10855" spans="1:1">
      <c r="A10855" t="inlineStr">
        <is>
          <t>Lanas</t>
        </is>
      </c>
    </row>
    <row r="10856" spans="1:1">
      <c r="A10856" t="inlineStr">
        <is>
          <t>Langtad</t>
        </is>
      </c>
    </row>
    <row r="10857" spans="1:1">
      <c r="A10857" t="inlineStr">
        <is>
          <t>Lutac</t>
        </is>
      </c>
    </row>
    <row r="10858" spans="1:1">
      <c r="A10858" t="inlineStr">
        <is>
          <t>Mainit</t>
        </is>
      </c>
    </row>
    <row r="10859" spans="1:1">
      <c r="A10859" t="inlineStr">
        <is>
          <t>Mayana</t>
        </is>
      </c>
    </row>
    <row r="10860" spans="1:1">
      <c r="A10860" t="inlineStr">
        <is>
          <t>Naalad</t>
        </is>
      </c>
    </row>
    <row r="10861" spans="1:1">
      <c r="A10861" t="inlineStr">
        <is>
          <t>North Poblacion</t>
        </is>
      </c>
    </row>
    <row r="10862" spans="1:1">
      <c r="A10862" t="inlineStr">
        <is>
          <t>Pangdan</t>
        </is>
      </c>
    </row>
    <row r="10863" spans="1:1">
      <c r="A10863" t="inlineStr">
        <is>
          <t>Patag</t>
        </is>
      </c>
    </row>
    <row r="10864" spans="1:1">
      <c r="A10864" t="inlineStr">
        <is>
          <t>South Poblacion</t>
        </is>
      </c>
    </row>
    <row r="10865" spans="1:1">
      <c r="A10865" t="inlineStr">
        <is>
          <t>Tagjaguimit</t>
        </is>
      </c>
    </row>
    <row r="10866" spans="1:1">
      <c r="A10866" t="inlineStr">
        <is>
          <t>Tangke</t>
        </is>
      </c>
    </row>
    <row r="10867" spans="1:1">
      <c r="A10867" t="inlineStr">
        <is>
          <t>Tinaan</t>
        </is>
      </c>
    </row>
    <row r="10868" spans="1:1">
      <c r="A10868" t="inlineStr">
        <is>
          <t>Tuyan</t>
        </is>
      </c>
    </row>
    <row r="10869" spans="1:1">
      <c r="A10869" t="inlineStr">
        <is>
          <t>Uling</t>
        </is>
      </c>
    </row>
    <row r="10870" spans="1:1">
      <c r="A10870" t="inlineStr">
        <is>
          <t>West Poblacion</t>
        </is>
      </c>
    </row>
    <row r="10871" spans="1:1">
      <c r="A10871" t="inlineStr">
        <is>
          <t>Biasong</t>
        </is>
      </c>
    </row>
    <row r="10872" spans="1:1">
      <c r="A10872" t="inlineStr">
        <is>
          <t>Bulacao</t>
        </is>
      </c>
    </row>
    <row r="10873" spans="1:1">
      <c r="A10873" t="inlineStr">
        <is>
          <t>Cadulawan</t>
        </is>
      </c>
    </row>
    <row r="10874" spans="1:1">
      <c r="A10874" t="inlineStr">
        <is>
          <t>Camp IV</t>
        </is>
      </c>
    </row>
    <row r="10875" spans="1:1">
      <c r="A10875" t="inlineStr">
        <is>
          <t>Cansojong</t>
        </is>
      </c>
    </row>
    <row r="10876" spans="1:1">
      <c r="A10876" t="inlineStr">
        <is>
          <t>Dumlog</t>
        </is>
      </c>
    </row>
    <row r="10877" spans="1:1">
      <c r="A10877" t="inlineStr">
        <is>
          <t>Jaclupan</t>
        </is>
      </c>
    </row>
    <row r="10878" spans="1:1">
      <c r="A10878" t="inlineStr">
        <is>
          <t>Lagtang</t>
        </is>
      </c>
    </row>
    <row r="10879" spans="1:1">
      <c r="A10879" t="inlineStr">
        <is>
          <t>Lawaan I</t>
        </is>
      </c>
    </row>
    <row r="10880" spans="1:1">
      <c r="A10880" t="inlineStr">
        <is>
          <t>Lawaan II</t>
        </is>
      </c>
    </row>
    <row r="10881" spans="1:1">
      <c r="A10881" t="inlineStr">
        <is>
          <t>Lawaan III</t>
        </is>
      </c>
    </row>
    <row r="10882" spans="1:1">
      <c r="A10882" t="inlineStr">
        <is>
          <t>Linao</t>
        </is>
      </c>
    </row>
    <row r="10883" spans="1:1">
      <c r="A10883" t="inlineStr">
        <is>
          <t>Maghaway</t>
        </is>
      </c>
    </row>
    <row r="10884" spans="1:1">
      <c r="A10884" t="inlineStr">
        <is>
          <t>Manipis</t>
        </is>
      </c>
    </row>
    <row r="10885" spans="1:1">
      <c r="A10885" t="inlineStr">
        <is>
          <t>Mohon</t>
        </is>
      </c>
    </row>
    <row r="10886" spans="1:1">
      <c r="A10886" t="inlineStr">
        <is>
          <t>Poblacion</t>
        </is>
      </c>
    </row>
    <row r="10887" spans="1:1">
      <c r="A10887" t="inlineStr">
        <is>
          <t>Pooc</t>
        </is>
      </c>
    </row>
    <row r="10888" spans="1:1">
      <c r="A10888" t="inlineStr">
        <is>
          <t>San Isidro</t>
        </is>
      </c>
    </row>
    <row r="10889" spans="1:1">
      <c r="A10889" t="inlineStr">
        <is>
          <t>San Roque</t>
        </is>
      </c>
    </row>
    <row r="10890" spans="1:1">
      <c r="A10890" t="inlineStr">
        <is>
          <t>Tabunoc</t>
        </is>
      </c>
    </row>
    <row r="10891" spans="1:1">
      <c r="A10891" t="inlineStr">
        <is>
          <t>Tangke</t>
        </is>
      </c>
    </row>
    <row r="10892" spans="1:1">
      <c r="A10892" t="inlineStr">
        <is>
          <t>Tapul</t>
        </is>
      </c>
    </row>
    <row r="10893" spans="1:1">
      <c r="A10893" t="inlineStr">
        <is>
          <t>Awihao</t>
        </is>
      </c>
    </row>
    <row r="10894" spans="1:1">
      <c r="A10894" t="inlineStr">
        <is>
          <t>Bagakay</t>
        </is>
      </c>
    </row>
    <row r="10895" spans="1:1">
      <c r="A10895" t="inlineStr">
        <is>
          <t>Bato</t>
        </is>
      </c>
    </row>
    <row r="10896" spans="1:1">
      <c r="A10896" t="inlineStr">
        <is>
          <t>Biga</t>
        </is>
      </c>
    </row>
    <row r="10897" spans="1:1">
      <c r="A10897" t="inlineStr">
        <is>
          <t>Bulongan</t>
        </is>
      </c>
    </row>
    <row r="10898" spans="1:1">
      <c r="A10898" t="inlineStr">
        <is>
          <t>Bunga</t>
        </is>
      </c>
    </row>
    <row r="10899" spans="1:1">
      <c r="A10899" t="inlineStr">
        <is>
          <t>Cabitoonan</t>
        </is>
      </c>
    </row>
    <row r="10900" spans="1:1">
      <c r="A10900" t="inlineStr">
        <is>
          <t>Calongcalong</t>
        </is>
      </c>
    </row>
    <row r="10901" spans="1:1">
      <c r="A10901" t="inlineStr">
        <is>
          <t>Cambang-ug</t>
        </is>
      </c>
    </row>
    <row r="10902" spans="1:1">
      <c r="A10902" t="inlineStr">
        <is>
          <t>Camp 8</t>
        </is>
      </c>
    </row>
    <row r="10903" spans="1:1">
      <c r="A10903" t="inlineStr">
        <is>
          <t>Canlumampao</t>
        </is>
      </c>
    </row>
    <row r="10904" spans="1:1">
      <c r="A10904" t="inlineStr">
        <is>
          <t>Cantabaco</t>
        </is>
      </c>
    </row>
    <row r="10905" spans="1:1">
      <c r="A10905" t="inlineStr">
        <is>
          <t>Capitan Claudio</t>
        </is>
      </c>
    </row>
    <row r="10906" spans="1:1">
      <c r="A10906" t="inlineStr">
        <is>
          <t>Carmen</t>
        </is>
      </c>
    </row>
    <row r="10907" spans="1:1">
      <c r="A10907" t="inlineStr">
        <is>
          <t>Daanglungsod</t>
        </is>
      </c>
    </row>
    <row r="10908" spans="1:1">
      <c r="A10908" t="inlineStr">
        <is>
          <t>Don Andres Soriano</t>
        </is>
      </c>
    </row>
    <row r="10909" spans="1:1">
      <c r="A10909" t="inlineStr">
        <is>
          <t>Dumlog</t>
        </is>
      </c>
    </row>
    <row r="10910" spans="1:1">
      <c r="A10910" t="inlineStr">
        <is>
          <t>Gen. Climaco</t>
        </is>
      </c>
    </row>
    <row r="10911" spans="1:1">
      <c r="A10911" t="inlineStr">
        <is>
          <t>Ibo</t>
        </is>
      </c>
    </row>
    <row r="10912" spans="1:1">
      <c r="A10912" t="inlineStr">
        <is>
          <t>Ilihan</t>
        </is>
      </c>
    </row>
    <row r="10913" spans="1:1">
      <c r="A10913" t="inlineStr">
        <is>
          <t>Juan Climaco, Sr.</t>
        </is>
      </c>
    </row>
    <row r="10914" spans="1:1">
      <c r="A10914" t="inlineStr">
        <is>
          <t>Landahan</t>
        </is>
      </c>
    </row>
    <row r="10915" spans="1:1">
      <c r="A10915" t="inlineStr">
        <is>
          <t>Loay</t>
        </is>
      </c>
    </row>
    <row r="10916" spans="1:1">
      <c r="A10916" t="inlineStr">
        <is>
          <t>Luray II</t>
        </is>
      </c>
    </row>
    <row r="10917" spans="1:1">
      <c r="A10917" t="inlineStr">
        <is>
          <t>Matab-ang</t>
        </is>
      </c>
    </row>
    <row r="10918" spans="1:1">
      <c r="A10918" t="inlineStr">
        <is>
          <t>Media Once</t>
        </is>
      </c>
    </row>
    <row r="10919" spans="1:1">
      <c r="A10919" t="inlineStr">
        <is>
          <t>Pangamihan</t>
        </is>
      </c>
    </row>
    <row r="10920" spans="1:1">
      <c r="A10920" t="inlineStr">
        <is>
          <t>Poblacion</t>
        </is>
      </c>
    </row>
    <row r="10921" spans="1:1">
      <c r="A10921" t="inlineStr">
        <is>
          <t>Poog</t>
        </is>
      </c>
    </row>
    <row r="10922" spans="1:1">
      <c r="A10922" t="inlineStr">
        <is>
          <t>Putingbato</t>
        </is>
      </c>
    </row>
    <row r="10923" spans="1:1">
      <c r="A10923" t="inlineStr">
        <is>
          <t>Sagay</t>
        </is>
      </c>
    </row>
    <row r="10924" spans="1:1">
      <c r="A10924" t="inlineStr">
        <is>
          <t>Sam-ang</t>
        </is>
      </c>
    </row>
    <row r="10925" spans="1:1">
      <c r="A10925" t="inlineStr">
        <is>
          <t>Sangi</t>
        </is>
      </c>
    </row>
    <row r="10926" spans="1:1">
      <c r="A10926" t="inlineStr">
        <is>
          <t>Santo Niño</t>
        </is>
      </c>
    </row>
    <row r="10927" spans="1:1">
      <c r="A10927" t="inlineStr">
        <is>
          <t>Subayon</t>
        </is>
      </c>
    </row>
    <row r="10928" spans="1:1">
      <c r="A10928" t="inlineStr">
        <is>
          <t>Talavera</t>
        </is>
      </c>
    </row>
    <row r="10929" spans="1:1">
      <c r="A10929" t="inlineStr">
        <is>
          <t>Tubod</t>
        </is>
      </c>
    </row>
    <row r="10930" spans="1:1">
      <c r="A10930" t="inlineStr">
        <is>
          <t>Tungkay</t>
        </is>
      </c>
    </row>
    <row r="10931" spans="1:1">
      <c r="A10931" t="inlineStr">
        <is>
          <t>Bagalnga</t>
        </is>
      </c>
    </row>
    <row r="10932" spans="1:1">
      <c r="A10932" t="inlineStr">
        <is>
          <t>Basak</t>
        </is>
      </c>
    </row>
    <row r="10933" spans="1:1">
      <c r="A10933" t="inlineStr">
        <is>
          <t>Buluang</t>
        </is>
      </c>
    </row>
    <row r="10934" spans="1:1">
      <c r="A10934" t="inlineStr">
        <is>
          <t>Cabadiangan</t>
        </is>
      </c>
    </row>
    <row r="10935" spans="1:1">
      <c r="A10935" t="inlineStr">
        <is>
          <t>Cambayog</t>
        </is>
      </c>
    </row>
    <row r="10936" spans="1:1">
      <c r="A10936" t="inlineStr">
        <is>
          <t>Canamucan</t>
        </is>
      </c>
    </row>
    <row r="10937" spans="1:1">
      <c r="A10937" t="inlineStr">
        <is>
          <t>Cogon</t>
        </is>
      </c>
    </row>
    <row r="10938" spans="1:1">
      <c r="A10938" t="inlineStr">
        <is>
          <t>Dapdap</t>
        </is>
      </c>
    </row>
    <row r="10939" spans="1:1">
      <c r="A10939" t="inlineStr">
        <is>
          <t>Estaca</t>
        </is>
      </c>
    </row>
    <row r="10940" spans="1:1">
      <c r="A10940" t="inlineStr">
        <is>
          <t>Lupa</t>
        </is>
      </c>
    </row>
    <row r="10941" spans="1:1">
      <c r="A10941" t="inlineStr">
        <is>
          <t>Magay</t>
        </is>
      </c>
    </row>
    <row r="10942" spans="1:1">
      <c r="A10942" t="inlineStr">
        <is>
          <t>Mulao</t>
        </is>
      </c>
    </row>
    <row r="10943" spans="1:1">
      <c r="A10943" t="inlineStr">
        <is>
          <t>Panangban</t>
        </is>
      </c>
    </row>
    <row r="10944" spans="1:1">
      <c r="A10944" t="inlineStr">
        <is>
          <t>Poblacion</t>
        </is>
      </c>
    </row>
    <row r="10945" spans="1:1">
      <c r="A10945" t="inlineStr">
        <is>
          <t>Tag-ube</t>
        </is>
      </c>
    </row>
    <row r="10946" spans="1:1">
      <c r="A10946" t="inlineStr">
        <is>
          <t>Tamiao</t>
        </is>
      </c>
    </row>
    <row r="10947" spans="1:1">
      <c r="A10947" t="inlineStr">
        <is>
          <t>Tubigan</t>
        </is>
      </c>
    </row>
    <row r="10948" spans="1:1">
      <c r="A10948" t="inlineStr">
        <is>
          <t>Cabangahan</t>
        </is>
      </c>
    </row>
    <row r="10949" spans="1:1">
      <c r="A10949" t="inlineStr">
        <is>
          <t>Cansaga</t>
        </is>
      </c>
    </row>
    <row r="10950" spans="1:1">
      <c r="A10950" t="inlineStr">
        <is>
          <t>Casili</t>
        </is>
      </c>
    </row>
    <row r="10951" spans="1:1">
      <c r="A10951" t="inlineStr">
        <is>
          <t>Danglag</t>
        </is>
      </c>
    </row>
    <row r="10952" spans="1:1">
      <c r="A10952" t="inlineStr">
        <is>
          <t>Garing</t>
        </is>
      </c>
    </row>
    <row r="10953" spans="1:1">
      <c r="A10953" t="inlineStr">
        <is>
          <t>Jugan</t>
        </is>
      </c>
    </row>
    <row r="10954" spans="1:1">
      <c r="A10954" t="inlineStr">
        <is>
          <t>Lamac</t>
        </is>
      </c>
    </row>
    <row r="10955" spans="1:1">
      <c r="A10955" t="inlineStr">
        <is>
          <t>Lanipga</t>
        </is>
      </c>
    </row>
    <row r="10956" spans="1:1">
      <c r="A10956" t="inlineStr">
        <is>
          <t>Nangka</t>
        </is>
      </c>
    </row>
    <row r="10957" spans="1:1">
      <c r="A10957" t="inlineStr">
        <is>
          <t>Panas</t>
        </is>
      </c>
    </row>
    <row r="10958" spans="1:1">
      <c r="A10958" t="inlineStr">
        <is>
          <t>Panoypoy</t>
        </is>
      </c>
    </row>
    <row r="10959" spans="1:1">
      <c r="A10959" t="inlineStr">
        <is>
          <t>Pitogo</t>
        </is>
      </c>
    </row>
    <row r="10960" spans="1:1">
      <c r="A10960" t="inlineStr">
        <is>
          <t>Poblacion Occidental</t>
        </is>
      </c>
    </row>
    <row r="10961" spans="1:1">
      <c r="A10961" t="inlineStr">
        <is>
          <t>Poblacion Oriental</t>
        </is>
      </c>
    </row>
    <row r="10962" spans="1:1">
      <c r="A10962" t="inlineStr">
        <is>
          <t>Polog</t>
        </is>
      </c>
    </row>
    <row r="10963" spans="1:1">
      <c r="A10963" t="inlineStr">
        <is>
          <t>Pulpogan</t>
        </is>
      </c>
    </row>
    <row r="10964" spans="1:1">
      <c r="A10964" t="inlineStr">
        <is>
          <t>Sacsac</t>
        </is>
      </c>
    </row>
    <row r="10965" spans="1:1">
      <c r="A10965" t="inlineStr">
        <is>
          <t>Tayud</t>
        </is>
      </c>
    </row>
    <row r="10966" spans="1:1">
      <c r="A10966" t="inlineStr">
        <is>
          <t>Tilhaong</t>
        </is>
      </c>
    </row>
    <row r="10967" spans="1:1">
      <c r="A10967" t="inlineStr">
        <is>
          <t>Tolotolo</t>
        </is>
      </c>
    </row>
    <row r="10968" spans="1:1">
      <c r="A10968" t="inlineStr">
        <is>
          <t>Tugbongan</t>
        </is>
      </c>
    </row>
    <row r="10969" spans="1:1">
      <c r="A10969" t="inlineStr">
        <is>
          <t>Alegria</t>
        </is>
      </c>
    </row>
    <row r="10970" spans="1:1">
      <c r="A10970" t="inlineStr">
        <is>
          <t>Bangbang</t>
        </is>
      </c>
    </row>
    <row r="10971" spans="1:1">
      <c r="A10971" t="inlineStr">
        <is>
          <t>Buagsong</t>
        </is>
      </c>
    </row>
    <row r="10972" spans="1:1">
      <c r="A10972" t="inlineStr">
        <is>
          <t>Catarman</t>
        </is>
      </c>
    </row>
    <row r="10973" spans="1:1">
      <c r="A10973" t="inlineStr">
        <is>
          <t>Cogon</t>
        </is>
      </c>
    </row>
    <row r="10974" spans="1:1">
      <c r="A10974" t="inlineStr">
        <is>
          <t>Dapitan</t>
        </is>
      </c>
    </row>
    <row r="10975" spans="1:1">
      <c r="A10975" t="inlineStr">
        <is>
          <t>Day-as</t>
        </is>
      </c>
    </row>
    <row r="10976" spans="1:1">
      <c r="A10976" t="inlineStr">
        <is>
          <t>Gabi</t>
        </is>
      </c>
    </row>
    <row r="10977" spans="1:1">
      <c r="A10977" t="inlineStr">
        <is>
          <t>Gilutongan</t>
        </is>
      </c>
    </row>
    <row r="10978" spans="1:1">
      <c r="A10978" t="inlineStr">
        <is>
          <t>Ibabao</t>
        </is>
      </c>
    </row>
    <row r="10979" spans="1:1">
      <c r="A10979" t="inlineStr">
        <is>
          <t>Pilipog</t>
        </is>
      </c>
    </row>
    <row r="10980" spans="1:1">
      <c r="A10980" t="inlineStr">
        <is>
          <t>Poblacion</t>
        </is>
      </c>
    </row>
    <row r="10981" spans="1:1">
      <c r="A10981" t="inlineStr">
        <is>
          <t>San Miguel</t>
        </is>
      </c>
    </row>
    <row r="10982" spans="1:1">
      <c r="A10982" t="inlineStr">
        <is>
          <t>Aguho</t>
        </is>
      </c>
    </row>
    <row r="10983" spans="1:1">
      <c r="A10983" t="inlineStr">
        <is>
          <t>Bagay</t>
        </is>
      </c>
    </row>
    <row r="10984" spans="1:1">
      <c r="A10984" t="inlineStr">
        <is>
          <t>Bakhawan</t>
        </is>
      </c>
    </row>
    <row r="10985" spans="1:1">
      <c r="A10985" t="inlineStr">
        <is>
          <t>Bateria</t>
        </is>
      </c>
    </row>
    <row r="10986" spans="1:1">
      <c r="A10986" t="inlineStr">
        <is>
          <t>Bitoon</t>
        </is>
      </c>
    </row>
    <row r="10987" spans="1:1">
      <c r="A10987" t="inlineStr">
        <is>
          <t>Calape</t>
        </is>
      </c>
    </row>
    <row r="10988" spans="1:1">
      <c r="A10988" t="inlineStr">
        <is>
          <t>Carnaza</t>
        </is>
      </c>
    </row>
    <row r="10989" spans="1:1">
      <c r="A10989" t="inlineStr">
        <is>
          <t>Dalingding</t>
        </is>
      </c>
    </row>
    <row r="10990" spans="1:1">
      <c r="A10990" t="inlineStr">
        <is>
          <t>Lanao</t>
        </is>
      </c>
    </row>
    <row r="10991" spans="1:1">
      <c r="A10991" t="inlineStr">
        <is>
          <t>Logon</t>
        </is>
      </c>
    </row>
    <row r="10992" spans="1:1">
      <c r="A10992" t="inlineStr">
        <is>
          <t>Malbago</t>
        </is>
      </c>
    </row>
    <row r="10993" spans="1:1">
      <c r="A10993" t="inlineStr">
        <is>
          <t>Malingin</t>
        </is>
      </c>
    </row>
    <row r="10994" spans="1:1">
      <c r="A10994" t="inlineStr">
        <is>
          <t>Maya</t>
        </is>
      </c>
    </row>
    <row r="10995" spans="1:1">
      <c r="A10995" t="inlineStr">
        <is>
          <t>Pajo</t>
        </is>
      </c>
    </row>
    <row r="10996" spans="1:1">
      <c r="A10996" t="inlineStr">
        <is>
          <t>Paypay</t>
        </is>
      </c>
    </row>
    <row r="10997" spans="1:1">
      <c r="A10997" t="inlineStr">
        <is>
          <t>Poblacion</t>
        </is>
      </c>
    </row>
    <row r="10998" spans="1:1">
      <c r="A10998" t="inlineStr">
        <is>
          <t>Talisay</t>
        </is>
      </c>
    </row>
    <row r="10999" spans="1:1">
      <c r="A10999" t="inlineStr">
        <is>
          <t>Tapilon</t>
        </is>
      </c>
    </row>
    <row r="11000" spans="1:1">
      <c r="A11000" t="inlineStr">
        <is>
          <t>Tinubdan</t>
        </is>
      </c>
    </row>
    <row r="11001" spans="1:1">
      <c r="A11001" t="inlineStr">
        <is>
          <t>Tominjao</t>
        </is>
      </c>
    </row>
    <row r="11002" spans="1:1">
      <c r="A11002" t="inlineStr">
        <is>
          <t>Ablayan</t>
        </is>
      </c>
    </row>
    <row r="11003" spans="1:1">
      <c r="A11003" t="inlineStr">
        <is>
          <t>Babayongan</t>
        </is>
      </c>
    </row>
    <row r="11004" spans="1:1">
      <c r="A11004" t="inlineStr">
        <is>
          <t>Balud</t>
        </is>
      </c>
    </row>
    <row r="11005" spans="1:1">
      <c r="A11005" t="inlineStr">
        <is>
          <t>Banhigan</t>
        </is>
      </c>
    </row>
    <row r="11006" spans="1:1">
      <c r="A11006" t="inlineStr">
        <is>
          <t>Bulak</t>
        </is>
      </c>
    </row>
    <row r="11007" spans="1:1">
      <c r="A11007" t="inlineStr">
        <is>
          <t>Caleriohan</t>
        </is>
      </c>
    </row>
    <row r="11008" spans="1:1">
      <c r="A11008" t="inlineStr">
        <is>
          <t>Caliongan</t>
        </is>
      </c>
    </row>
    <row r="11009" spans="1:1">
      <c r="A11009" t="inlineStr">
        <is>
          <t>Casay</t>
        </is>
      </c>
    </row>
    <row r="11010" spans="1:1">
      <c r="A11010" t="inlineStr">
        <is>
          <t>Catolohan</t>
        </is>
      </c>
    </row>
    <row r="11011" spans="1:1">
      <c r="A11011" t="inlineStr">
        <is>
          <t>Cawayan</t>
        </is>
      </c>
    </row>
    <row r="11012" spans="1:1">
      <c r="A11012" t="inlineStr">
        <is>
          <t>Consolacion</t>
        </is>
      </c>
    </row>
    <row r="11013" spans="1:1">
      <c r="A11013" t="inlineStr">
        <is>
          <t>Coro</t>
        </is>
      </c>
    </row>
    <row r="11014" spans="1:1">
      <c r="A11014" t="inlineStr">
        <is>
          <t>Dugyan</t>
        </is>
      </c>
    </row>
    <row r="11015" spans="1:1">
      <c r="A11015" t="inlineStr">
        <is>
          <t>Dumalan</t>
        </is>
      </c>
    </row>
    <row r="11016" spans="1:1">
      <c r="A11016" t="inlineStr">
        <is>
          <t>Jolomaynon</t>
        </is>
      </c>
    </row>
    <row r="11017" spans="1:1">
      <c r="A11017" t="inlineStr">
        <is>
          <t>Lanao</t>
        </is>
      </c>
    </row>
    <row r="11018" spans="1:1">
      <c r="A11018" t="inlineStr">
        <is>
          <t>Langkas</t>
        </is>
      </c>
    </row>
    <row r="11019" spans="1:1">
      <c r="A11019" t="inlineStr">
        <is>
          <t>Lumbang</t>
        </is>
      </c>
    </row>
    <row r="11020" spans="1:1">
      <c r="A11020" t="inlineStr">
        <is>
          <t>Malones</t>
        </is>
      </c>
    </row>
    <row r="11021" spans="1:1">
      <c r="A11021" t="inlineStr">
        <is>
          <t>Maloray</t>
        </is>
      </c>
    </row>
    <row r="11022" spans="1:1">
      <c r="A11022" t="inlineStr">
        <is>
          <t>Mananggal</t>
        </is>
      </c>
    </row>
    <row r="11023" spans="1:1">
      <c r="A11023" t="inlineStr">
        <is>
          <t>Manlapay</t>
        </is>
      </c>
    </row>
    <row r="11024" spans="1:1">
      <c r="A11024" t="inlineStr">
        <is>
          <t>Mantalongon</t>
        </is>
      </c>
    </row>
    <row r="11025" spans="1:1">
      <c r="A11025" t="inlineStr">
        <is>
          <t>Nalhub</t>
        </is>
      </c>
    </row>
    <row r="11026" spans="1:1">
      <c r="A11026" t="inlineStr">
        <is>
          <t>Obo</t>
        </is>
      </c>
    </row>
    <row r="11027" spans="1:1">
      <c r="A11027" t="inlineStr">
        <is>
          <t>Obong</t>
        </is>
      </c>
    </row>
    <row r="11028" spans="1:1">
      <c r="A11028" t="inlineStr">
        <is>
          <t>Panas</t>
        </is>
      </c>
    </row>
    <row r="11029" spans="1:1">
      <c r="A11029" t="inlineStr">
        <is>
          <t>Poblacion</t>
        </is>
      </c>
    </row>
    <row r="11030" spans="1:1">
      <c r="A11030" t="inlineStr">
        <is>
          <t>Sacsac</t>
        </is>
      </c>
    </row>
    <row r="11031" spans="1:1">
      <c r="A11031" t="inlineStr">
        <is>
          <t>Salug</t>
        </is>
      </c>
    </row>
    <row r="11032" spans="1:1">
      <c r="A11032" t="inlineStr">
        <is>
          <t>Tabon</t>
        </is>
      </c>
    </row>
    <row r="11033" spans="1:1">
      <c r="A11033" t="inlineStr">
        <is>
          <t>Tapun</t>
        </is>
      </c>
    </row>
    <row r="11034" spans="1:1">
      <c r="A11034" t="inlineStr">
        <is>
          <t>Tuba</t>
        </is>
      </c>
    </row>
    <row r="11035" spans="1:1">
      <c r="A11035" t="inlineStr">
        <is>
          <t>Baliang</t>
        </is>
      </c>
    </row>
    <row r="11036" spans="1:1">
      <c r="A11036" t="inlineStr">
        <is>
          <t>Bayabas</t>
        </is>
      </c>
    </row>
    <row r="11037" spans="1:1">
      <c r="A11037" t="inlineStr">
        <is>
          <t>Binaliw</t>
        </is>
      </c>
    </row>
    <row r="11038" spans="1:1">
      <c r="A11038" t="inlineStr">
        <is>
          <t>Cabungahan</t>
        </is>
      </c>
    </row>
    <row r="11039" spans="1:1">
      <c r="A11039" t="inlineStr">
        <is>
          <t>Cagat-Lamac</t>
        </is>
      </c>
    </row>
    <row r="11040" spans="1:1">
      <c r="A11040" t="inlineStr">
        <is>
          <t>Cahumayan</t>
        </is>
      </c>
    </row>
    <row r="11041" spans="1:1">
      <c r="A11041" t="inlineStr">
        <is>
          <t>Cambanay</t>
        </is>
      </c>
    </row>
    <row r="11042" spans="1:1">
      <c r="A11042" t="inlineStr">
        <is>
          <t>Cambubho</t>
        </is>
      </c>
    </row>
    <row r="11043" spans="1:1">
      <c r="A11043" t="inlineStr">
        <is>
          <t>Cogon-Cruz</t>
        </is>
      </c>
    </row>
    <row r="11044" spans="1:1">
      <c r="A11044" t="inlineStr">
        <is>
          <t>Danasan</t>
        </is>
      </c>
    </row>
    <row r="11045" spans="1:1">
      <c r="A11045" t="inlineStr">
        <is>
          <t>Dungga</t>
        </is>
      </c>
    </row>
    <row r="11046" spans="1:1">
      <c r="A11046" t="inlineStr">
        <is>
          <t>Dunggoan</t>
        </is>
      </c>
    </row>
    <row r="11047" spans="1:1">
      <c r="A11047" t="inlineStr">
        <is>
          <t>Guinacot</t>
        </is>
      </c>
    </row>
    <row r="11048" spans="1:1">
      <c r="A11048" t="inlineStr">
        <is>
          <t>Guinsay</t>
        </is>
      </c>
    </row>
    <row r="11049" spans="1:1">
      <c r="A11049" t="inlineStr">
        <is>
          <t>Ibo</t>
        </is>
      </c>
    </row>
    <row r="11050" spans="1:1">
      <c r="A11050" t="inlineStr">
        <is>
          <t>Langosig</t>
        </is>
      </c>
    </row>
    <row r="11051" spans="1:1">
      <c r="A11051" t="inlineStr">
        <is>
          <t>Lawaan</t>
        </is>
      </c>
    </row>
    <row r="11052" spans="1:1">
      <c r="A11052" t="inlineStr">
        <is>
          <t>Licos</t>
        </is>
      </c>
    </row>
    <row r="11053" spans="1:1">
      <c r="A11053" t="inlineStr">
        <is>
          <t>Looc</t>
        </is>
      </c>
    </row>
    <row r="11054" spans="1:1">
      <c r="A11054" t="inlineStr">
        <is>
          <t>Magtagobtob</t>
        </is>
      </c>
    </row>
    <row r="11055" spans="1:1">
      <c r="A11055" t="inlineStr">
        <is>
          <t>Malapoc</t>
        </is>
      </c>
    </row>
    <row r="11056" spans="1:1">
      <c r="A11056" t="inlineStr">
        <is>
          <t>Manlayag</t>
        </is>
      </c>
    </row>
    <row r="11057" spans="1:1">
      <c r="A11057" t="inlineStr">
        <is>
          <t>Mantija</t>
        </is>
      </c>
    </row>
    <row r="11058" spans="1:1">
      <c r="A11058" t="inlineStr">
        <is>
          <t>Masaba</t>
        </is>
      </c>
    </row>
    <row r="11059" spans="1:1">
      <c r="A11059" t="inlineStr">
        <is>
          <t>Maslog</t>
        </is>
      </c>
    </row>
    <row r="11060" spans="1:1">
      <c r="A11060" t="inlineStr">
        <is>
          <t>Nangka</t>
        </is>
      </c>
    </row>
    <row r="11061" spans="1:1">
      <c r="A11061" t="inlineStr">
        <is>
          <t>Oguis</t>
        </is>
      </c>
    </row>
    <row r="11062" spans="1:1">
      <c r="A11062" t="inlineStr">
        <is>
          <t>Pili</t>
        </is>
      </c>
    </row>
    <row r="11063" spans="1:1">
      <c r="A11063" t="inlineStr">
        <is>
          <t>Poblacion</t>
        </is>
      </c>
    </row>
    <row r="11064" spans="1:1">
      <c r="A11064" t="inlineStr">
        <is>
          <t>Quisol</t>
        </is>
      </c>
    </row>
    <row r="11065" spans="1:1">
      <c r="A11065" t="inlineStr">
        <is>
          <t>Sabang</t>
        </is>
      </c>
    </row>
    <row r="11066" spans="1:1">
      <c r="A11066" t="inlineStr">
        <is>
          <t>Sacsac</t>
        </is>
      </c>
    </row>
    <row r="11067" spans="1:1">
      <c r="A11067" t="inlineStr">
        <is>
          <t>Sandayong Norte</t>
        </is>
      </c>
    </row>
    <row r="11068" spans="1:1">
      <c r="A11068" t="inlineStr">
        <is>
          <t>Sandayong Sur</t>
        </is>
      </c>
    </row>
    <row r="11069" spans="1:1">
      <c r="A11069" t="inlineStr">
        <is>
          <t>Santa Rosa</t>
        </is>
      </c>
    </row>
    <row r="11070" spans="1:1">
      <c r="A11070" t="inlineStr">
        <is>
          <t>Santican</t>
        </is>
      </c>
    </row>
    <row r="11071" spans="1:1">
      <c r="A11071" t="inlineStr">
        <is>
          <t>Sibacan</t>
        </is>
      </c>
    </row>
    <row r="11072" spans="1:1">
      <c r="A11072" t="inlineStr">
        <is>
          <t>Suba</t>
        </is>
      </c>
    </row>
    <row r="11073" spans="1:1">
      <c r="A11073" t="inlineStr">
        <is>
          <t>Taboc</t>
        </is>
      </c>
    </row>
    <row r="11074" spans="1:1">
      <c r="A11074" t="inlineStr">
        <is>
          <t>Taytay</t>
        </is>
      </c>
    </row>
    <row r="11075" spans="1:1">
      <c r="A11075" t="inlineStr">
        <is>
          <t>Togonon</t>
        </is>
      </c>
    </row>
    <row r="11076" spans="1:1">
      <c r="A11076" t="inlineStr">
        <is>
          <t>Tuburan Sur</t>
        </is>
      </c>
    </row>
    <row r="11077" spans="1:1">
      <c r="A11077" t="inlineStr">
        <is>
          <t>Balaygtiki</t>
        </is>
      </c>
    </row>
    <row r="11078" spans="1:1">
      <c r="A11078" t="inlineStr">
        <is>
          <t>Bitoon</t>
        </is>
      </c>
    </row>
    <row r="11079" spans="1:1">
      <c r="A11079" t="inlineStr">
        <is>
          <t>Bulak</t>
        </is>
      </c>
    </row>
    <row r="11080" spans="1:1">
      <c r="A11080" t="inlineStr">
        <is>
          <t>Bullogan</t>
        </is>
      </c>
    </row>
    <row r="11081" spans="1:1">
      <c r="A11081" t="inlineStr">
        <is>
          <t>Calaboon</t>
        </is>
      </c>
    </row>
    <row r="11082" spans="1:1">
      <c r="A11082" t="inlineStr">
        <is>
          <t>Camboang</t>
        </is>
      </c>
    </row>
    <row r="11083" spans="1:1">
      <c r="A11083" t="inlineStr">
        <is>
          <t>Candabong</t>
        </is>
      </c>
    </row>
    <row r="11084" spans="1:1">
      <c r="A11084" t="inlineStr">
        <is>
          <t>Cogon</t>
        </is>
      </c>
    </row>
    <row r="11085" spans="1:1">
      <c r="A11085" t="inlineStr">
        <is>
          <t>Cotcoton</t>
        </is>
      </c>
    </row>
    <row r="11086" spans="1:1">
      <c r="A11086" t="inlineStr">
        <is>
          <t>Doldol</t>
        </is>
      </c>
    </row>
    <row r="11087" spans="1:1">
      <c r="A11087" t="inlineStr">
        <is>
          <t>Ilaya</t>
        </is>
      </c>
    </row>
    <row r="11088" spans="1:1">
      <c r="A11088" t="inlineStr">
        <is>
          <t>Kabalaasnan</t>
        </is>
      </c>
    </row>
    <row r="11089" spans="1:1">
      <c r="A11089" t="inlineStr">
        <is>
          <t>Kabatbatan</t>
        </is>
      </c>
    </row>
    <row r="11090" spans="1:1">
      <c r="A11090" t="inlineStr">
        <is>
          <t>Kambanog</t>
        </is>
      </c>
    </row>
    <row r="11091" spans="1:1">
      <c r="A11091" t="inlineStr">
        <is>
          <t>Kang-actol</t>
        </is>
      </c>
    </row>
    <row r="11092" spans="1:1">
      <c r="A11092" t="inlineStr">
        <is>
          <t>Kanghalo</t>
        </is>
      </c>
    </row>
    <row r="11093" spans="1:1">
      <c r="A11093" t="inlineStr">
        <is>
          <t>Kanghumaod</t>
        </is>
      </c>
    </row>
    <row r="11094" spans="1:1">
      <c r="A11094" t="inlineStr">
        <is>
          <t>Kanguha</t>
        </is>
      </c>
    </row>
    <row r="11095" spans="1:1">
      <c r="A11095" t="inlineStr">
        <is>
          <t>Kantangkas</t>
        </is>
      </c>
    </row>
    <row r="11096" spans="1:1">
      <c r="A11096" t="inlineStr">
        <is>
          <t>Kanyuko</t>
        </is>
      </c>
    </row>
    <row r="11097" spans="1:1">
      <c r="A11097" t="inlineStr">
        <is>
          <t>Kolabtingon</t>
        </is>
      </c>
    </row>
    <row r="11098" spans="1:1">
      <c r="A11098" t="inlineStr">
        <is>
          <t>Lamak</t>
        </is>
      </c>
    </row>
    <row r="11099" spans="1:1">
      <c r="A11099" t="inlineStr">
        <is>
          <t>Lawaan</t>
        </is>
      </c>
    </row>
    <row r="11100" spans="1:1">
      <c r="A11100" t="inlineStr">
        <is>
          <t>Liong</t>
        </is>
      </c>
    </row>
    <row r="11101" spans="1:1">
      <c r="A11101" t="inlineStr">
        <is>
          <t>Manlapay</t>
        </is>
      </c>
    </row>
    <row r="11102" spans="1:1">
      <c r="A11102" t="inlineStr">
        <is>
          <t>Masa</t>
        </is>
      </c>
    </row>
    <row r="11103" spans="1:1">
      <c r="A11103" t="inlineStr">
        <is>
          <t>Matalao</t>
        </is>
      </c>
    </row>
    <row r="11104" spans="1:1">
      <c r="A11104" t="inlineStr">
        <is>
          <t>Paculob</t>
        </is>
      </c>
    </row>
    <row r="11105" spans="1:1">
      <c r="A11105" t="inlineStr">
        <is>
          <t>Panlaan</t>
        </is>
      </c>
    </row>
    <row r="11106" spans="1:1">
      <c r="A11106" t="inlineStr">
        <is>
          <t>Pawa</t>
        </is>
      </c>
    </row>
    <row r="11107" spans="1:1">
      <c r="A11107" t="inlineStr">
        <is>
          <t>Poblacion Central</t>
        </is>
      </c>
    </row>
    <row r="11108" spans="1:1">
      <c r="A11108" t="inlineStr">
        <is>
          <t>Poblacion Looc</t>
        </is>
      </c>
    </row>
    <row r="11109" spans="1:1">
      <c r="A11109" t="inlineStr">
        <is>
          <t>Poblacion Sima</t>
        </is>
      </c>
    </row>
    <row r="11110" spans="1:1">
      <c r="A11110" t="inlineStr">
        <is>
          <t>Tangil</t>
        </is>
      </c>
    </row>
    <row r="11111" spans="1:1">
      <c r="A11111" t="inlineStr">
        <is>
          <t>Tapon</t>
        </is>
      </c>
    </row>
    <row r="11112" spans="1:1">
      <c r="A11112" t="inlineStr">
        <is>
          <t>Tubod-Bitoon</t>
        </is>
      </c>
    </row>
    <row r="11113" spans="1:1">
      <c r="A11113" t="inlineStr">
        <is>
          <t>Tubod-Dugoan</t>
        </is>
      </c>
    </row>
    <row r="11114" spans="1:1">
      <c r="A11114" t="inlineStr">
        <is>
          <t>Anao</t>
        </is>
      </c>
    </row>
    <row r="11115" spans="1:1">
      <c r="A11115" t="inlineStr">
        <is>
          <t>Cagsing</t>
        </is>
      </c>
    </row>
    <row r="11116" spans="1:1">
      <c r="A11116" t="inlineStr">
        <is>
          <t>Calabawan</t>
        </is>
      </c>
    </row>
    <row r="11117" spans="1:1">
      <c r="A11117" t="inlineStr">
        <is>
          <t>Cambagte</t>
        </is>
      </c>
    </row>
    <row r="11118" spans="1:1">
      <c r="A11118" t="inlineStr">
        <is>
          <t>Campisong</t>
        </is>
      </c>
    </row>
    <row r="11119" spans="1:1">
      <c r="A11119" t="inlineStr">
        <is>
          <t>Canorong</t>
        </is>
      </c>
    </row>
    <row r="11120" spans="1:1">
      <c r="A11120" t="inlineStr">
        <is>
          <t>Guiwanon</t>
        </is>
      </c>
    </row>
    <row r="11121" spans="1:1">
      <c r="A11121" t="inlineStr">
        <is>
          <t>Looc</t>
        </is>
      </c>
    </row>
    <row r="11122" spans="1:1">
      <c r="A11122" t="inlineStr">
        <is>
          <t>Malatbo</t>
        </is>
      </c>
    </row>
    <row r="11123" spans="1:1">
      <c r="A11123" t="inlineStr">
        <is>
          <t>Mangaco</t>
        </is>
      </c>
    </row>
    <row r="11124" spans="1:1">
      <c r="A11124" t="inlineStr">
        <is>
          <t>Palanas</t>
        </is>
      </c>
    </row>
    <row r="11125" spans="1:1">
      <c r="A11125" t="inlineStr">
        <is>
          <t>Poblacion</t>
        </is>
      </c>
    </row>
    <row r="11126" spans="1:1">
      <c r="A11126" t="inlineStr">
        <is>
          <t>Salamanca</t>
        </is>
      </c>
    </row>
    <row r="11127" spans="1:1">
      <c r="A11127" t="inlineStr">
        <is>
          <t>San Roque</t>
        </is>
      </c>
    </row>
    <row r="11128" spans="1:1">
      <c r="A11128" t="inlineStr">
        <is>
          <t>Cabadiangan</t>
        </is>
      </c>
    </row>
    <row r="11129" spans="1:1">
      <c r="A11129" t="inlineStr">
        <is>
          <t>Calero</t>
        </is>
      </c>
    </row>
    <row r="11130" spans="1:1">
      <c r="A11130" t="inlineStr">
        <is>
          <t>Catarman</t>
        </is>
      </c>
    </row>
    <row r="11131" spans="1:1">
      <c r="A11131" t="inlineStr">
        <is>
          <t>Cotcot</t>
        </is>
      </c>
    </row>
    <row r="11132" spans="1:1">
      <c r="A11132" t="inlineStr">
        <is>
          <t>Jubay</t>
        </is>
      </c>
    </row>
    <row r="11133" spans="1:1">
      <c r="A11133" t="inlineStr">
        <is>
          <t>Lataban</t>
        </is>
      </c>
    </row>
    <row r="11134" spans="1:1">
      <c r="A11134" t="inlineStr">
        <is>
          <t>Mulao</t>
        </is>
      </c>
    </row>
    <row r="11135" spans="1:1">
      <c r="A11135" t="inlineStr">
        <is>
          <t>Poblacion</t>
        </is>
      </c>
    </row>
    <row r="11136" spans="1:1">
      <c r="A11136" t="inlineStr">
        <is>
          <t>San Roque</t>
        </is>
      </c>
    </row>
    <row r="11137" spans="1:1">
      <c r="A11137" t="inlineStr">
        <is>
          <t>San Vicente</t>
        </is>
      </c>
    </row>
    <row r="11138" spans="1:1">
      <c r="A11138" t="inlineStr">
        <is>
          <t>Santa Cruz</t>
        </is>
      </c>
    </row>
    <row r="11139" spans="1:1">
      <c r="A11139" t="inlineStr">
        <is>
          <t>Tabla</t>
        </is>
      </c>
    </row>
    <row r="11140" spans="1:1">
      <c r="A11140" t="inlineStr">
        <is>
          <t>Tayud</t>
        </is>
      </c>
    </row>
    <row r="11141" spans="1:1">
      <c r="A11141" t="inlineStr">
        <is>
          <t>Yati</t>
        </is>
      </c>
    </row>
    <row r="11142" spans="1:1">
      <c r="A11142" t="inlineStr">
        <is>
          <t>Bunakan</t>
        </is>
      </c>
    </row>
    <row r="11143" spans="1:1">
      <c r="A11143" t="inlineStr">
        <is>
          <t>Kangwayan</t>
        </is>
      </c>
    </row>
    <row r="11144" spans="1:1">
      <c r="A11144" t="inlineStr">
        <is>
          <t>Kaongkod</t>
        </is>
      </c>
    </row>
    <row r="11145" spans="1:1">
      <c r="A11145" t="inlineStr">
        <is>
          <t>Kodia</t>
        </is>
      </c>
    </row>
    <row r="11146" spans="1:1">
      <c r="A11146" t="inlineStr">
        <is>
          <t>Maalat</t>
        </is>
      </c>
    </row>
    <row r="11147" spans="1:1">
      <c r="A11147" t="inlineStr">
        <is>
          <t>Malbago</t>
        </is>
      </c>
    </row>
    <row r="11148" spans="1:1">
      <c r="A11148" t="inlineStr">
        <is>
          <t>Mancilang</t>
        </is>
      </c>
    </row>
    <row r="11149" spans="1:1">
      <c r="A11149" t="inlineStr">
        <is>
          <t>Pili</t>
        </is>
      </c>
    </row>
    <row r="11150" spans="1:1">
      <c r="A11150" t="inlineStr">
        <is>
          <t>Poblacion</t>
        </is>
      </c>
    </row>
    <row r="11151" spans="1:1">
      <c r="A11151" t="inlineStr">
        <is>
          <t>San Agustin</t>
        </is>
      </c>
    </row>
    <row r="11152" spans="1:1">
      <c r="A11152" t="inlineStr">
        <is>
          <t>Tabagak</t>
        </is>
      </c>
    </row>
    <row r="11153" spans="1:1">
      <c r="A11153" t="inlineStr">
        <is>
          <t>Talangnan</t>
        </is>
      </c>
    </row>
    <row r="11154" spans="1:1">
      <c r="A11154" t="inlineStr">
        <is>
          <t>Tarong</t>
        </is>
      </c>
    </row>
    <row r="11155" spans="1:1">
      <c r="A11155" t="inlineStr">
        <is>
          <t>Tugas</t>
        </is>
      </c>
    </row>
    <row r="11156" spans="1:1">
      <c r="A11156" t="inlineStr">
        <is>
          <t>Armeña</t>
        </is>
      </c>
    </row>
    <row r="11157" spans="1:1">
      <c r="A11157" t="inlineStr">
        <is>
          <t>Barangay I</t>
        </is>
      </c>
    </row>
    <row r="11158" spans="1:1">
      <c r="A11158" t="inlineStr">
        <is>
          <t>Barangay II</t>
        </is>
      </c>
    </row>
    <row r="11159" spans="1:1">
      <c r="A11159" t="inlineStr">
        <is>
          <t>Cerdeña</t>
        </is>
      </c>
    </row>
    <row r="11160" spans="1:1">
      <c r="A11160" t="inlineStr">
        <is>
          <t>Labrador</t>
        </is>
      </c>
    </row>
    <row r="11161" spans="1:1">
      <c r="A11161" t="inlineStr">
        <is>
          <t>Lombo</t>
        </is>
      </c>
    </row>
    <row r="11162" spans="1:1">
      <c r="A11162" t="inlineStr">
        <is>
          <t>Looc</t>
        </is>
      </c>
    </row>
    <row r="11163" spans="1:1">
      <c r="A11163" t="inlineStr">
        <is>
          <t>Mahanlud</t>
        </is>
      </c>
    </row>
    <row r="11164" spans="1:1">
      <c r="A11164" t="inlineStr">
        <is>
          <t>Mindanao</t>
        </is>
      </c>
    </row>
    <row r="11165" spans="1:1">
      <c r="A11165" t="inlineStr">
        <is>
          <t>Montañeza</t>
        </is>
      </c>
    </row>
    <row r="11166" spans="1:1">
      <c r="A11166" t="inlineStr">
        <is>
          <t>Salmeron</t>
        </is>
      </c>
    </row>
    <row r="11167" spans="1:1">
      <c r="A11167" t="inlineStr">
        <is>
          <t>Santo Niño</t>
        </is>
      </c>
    </row>
    <row r="11168" spans="1:1">
      <c r="A11168" t="inlineStr">
        <is>
          <t>Sorsogon</t>
        </is>
      </c>
    </row>
    <row r="11169" spans="1:1">
      <c r="A11169" t="inlineStr">
        <is>
          <t>Tolosa</t>
        </is>
      </c>
    </row>
    <row r="11170" spans="1:1">
      <c r="A11170" t="inlineStr">
        <is>
          <t>Antipolo</t>
        </is>
      </c>
    </row>
    <row r="11171" spans="1:1">
      <c r="A11171" t="inlineStr">
        <is>
          <t>Canhabagat</t>
        </is>
      </c>
    </row>
    <row r="11172" spans="1:1">
      <c r="A11172" t="inlineStr">
        <is>
          <t>Caputatan Norte</t>
        </is>
      </c>
    </row>
    <row r="11173" spans="1:1">
      <c r="A11173" t="inlineStr">
        <is>
          <t>Caputatan Sur</t>
        </is>
      </c>
    </row>
    <row r="11174" spans="1:1">
      <c r="A11174" t="inlineStr">
        <is>
          <t>Curva</t>
        </is>
      </c>
    </row>
    <row r="11175" spans="1:1">
      <c r="A11175" t="inlineStr">
        <is>
          <t>Daanlungsod</t>
        </is>
      </c>
    </row>
    <row r="11176" spans="1:1">
      <c r="A11176" t="inlineStr">
        <is>
          <t>Dalingding Sur</t>
        </is>
      </c>
    </row>
    <row r="11177" spans="1:1">
      <c r="A11177" t="inlineStr">
        <is>
          <t>Dayhagon</t>
        </is>
      </c>
    </row>
    <row r="11178" spans="1:1">
      <c r="A11178" t="inlineStr">
        <is>
          <t>Don Virgilio Gonzales</t>
        </is>
      </c>
    </row>
    <row r="11179" spans="1:1">
      <c r="A11179" t="inlineStr">
        <is>
          <t>Gibitngil</t>
        </is>
      </c>
    </row>
    <row r="11180" spans="1:1">
      <c r="A11180" t="inlineStr">
        <is>
          <t>Kawit</t>
        </is>
      </c>
    </row>
    <row r="11181" spans="1:1">
      <c r="A11181" t="inlineStr">
        <is>
          <t>Lamintak Norte</t>
        </is>
      </c>
    </row>
    <row r="11182" spans="1:1">
      <c r="A11182" t="inlineStr">
        <is>
          <t>Lamintak Sur</t>
        </is>
      </c>
    </row>
    <row r="11183" spans="1:1">
      <c r="A11183" t="inlineStr">
        <is>
          <t>Luy-a</t>
        </is>
      </c>
    </row>
    <row r="11184" spans="1:1">
      <c r="A11184" t="inlineStr">
        <is>
          <t>Maharuhay</t>
        </is>
      </c>
    </row>
    <row r="11185" spans="1:1">
      <c r="A11185" t="inlineStr">
        <is>
          <t>Mahawak</t>
        </is>
      </c>
    </row>
    <row r="11186" spans="1:1">
      <c r="A11186" t="inlineStr">
        <is>
          <t>Panugnawan</t>
        </is>
      </c>
    </row>
    <row r="11187" spans="1:1">
      <c r="A11187" t="inlineStr">
        <is>
          <t>Poblacion</t>
        </is>
      </c>
    </row>
    <row r="11188" spans="1:1">
      <c r="A11188" t="inlineStr">
        <is>
          <t>Tindog</t>
        </is>
      </c>
    </row>
    <row r="11189" spans="1:1">
      <c r="A11189" t="inlineStr">
        <is>
          <t>Cadulawan</t>
        </is>
      </c>
    </row>
    <row r="11190" spans="1:1">
      <c r="A11190" t="inlineStr">
        <is>
          <t>Calajo-an</t>
        </is>
      </c>
    </row>
    <row r="11191" spans="1:1">
      <c r="A11191" t="inlineStr">
        <is>
          <t>Camp 7</t>
        </is>
      </c>
    </row>
    <row r="11192" spans="1:1">
      <c r="A11192" t="inlineStr">
        <is>
          <t>Camp 8</t>
        </is>
      </c>
    </row>
    <row r="11193" spans="1:1">
      <c r="A11193" t="inlineStr">
        <is>
          <t>Cuanos</t>
        </is>
      </c>
    </row>
    <row r="11194" spans="1:1">
      <c r="A11194" t="inlineStr">
        <is>
          <t>Guindaruhan</t>
        </is>
      </c>
    </row>
    <row r="11195" spans="1:1">
      <c r="A11195" t="inlineStr">
        <is>
          <t>Linao</t>
        </is>
      </c>
    </row>
    <row r="11196" spans="1:1">
      <c r="A11196" t="inlineStr">
        <is>
          <t>Manduang</t>
        </is>
      </c>
    </row>
    <row r="11197" spans="1:1">
      <c r="A11197" t="inlineStr">
        <is>
          <t>Pakigne</t>
        </is>
      </c>
    </row>
    <row r="11198" spans="1:1">
      <c r="A11198" t="inlineStr">
        <is>
          <t>Poblacion Ward I</t>
        </is>
      </c>
    </row>
    <row r="11199" spans="1:1">
      <c r="A11199" t="inlineStr">
        <is>
          <t>Poblacion Ward II</t>
        </is>
      </c>
    </row>
    <row r="11200" spans="1:1">
      <c r="A11200" t="inlineStr">
        <is>
          <t>Poblacion Ward III</t>
        </is>
      </c>
    </row>
    <row r="11201" spans="1:1">
      <c r="A11201" t="inlineStr">
        <is>
          <t>Poblacion Ward IV</t>
        </is>
      </c>
    </row>
    <row r="11202" spans="1:1">
      <c r="A11202" t="inlineStr">
        <is>
          <t>Tubod</t>
        </is>
      </c>
    </row>
    <row r="11203" spans="1:1">
      <c r="A11203" t="inlineStr">
        <is>
          <t>Tulay</t>
        </is>
      </c>
    </row>
    <row r="11204" spans="1:1">
      <c r="A11204" t="inlineStr">
        <is>
          <t>Tunghaan</t>
        </is>
      </c>
    </row>
    <row r="11205" spans="1:1">
      <c r="A11205" t="inlineStr">
        <is>
          <t>Tungkil</t>
        </is>
      </c>
    </row>
    <row r="11206" spans="1:1">
      <c r="A11206" t="inlineStr">
        <is>
          <t>Tungkop</t>
        </is>
      </c>
    </row>
    <row r="11207" spans="1:1">
      <c r="A11207" t="inlineStr">
        <is>
          <t>Vito</t>
        </is>
      </c>
    </row>
    <row r="11208" spans="1:1">
      <c r="A11208" t="inlineStr">
        <is>
          <t>Agbalanga</t>
        </is>
      </c>
    </row>
    <row r="11209" spans="1:1">
      <c r="A11209" t="inlineStr">
        <is>
          <t>Bala</t>
        </is>
      </c>
    </row>
    <row r="11210" spans="1:1">
      <c r="A11210" t="inlineStr">
        <is>
          <t>Balabagon</t>
        </is>
      </c>
    </row>
    <row r="11211" spans="1:1">
      <c r="A11211" t="inlineStr">
        <is>
          <t>Basdiot</t>
        </is>
      </c>
    </row>
    <row r="11212" spans="1:1">
      <c r="A11212" t="inlineStr">
        <is>
          <t>Batadbatad</t>
        </is>
      </c>
    </row>
    <row r="11213" spans="1:1">
      <c r="A11213" t="inlineStr">
        <is>
          <t>Bugho</t>
        </is>
      </c>
    </row>
    <row r="11214" spans="1:1">
      <c r="A11214" t="inlineStr">
        <is>
          <t>Buguil</t>
        </is>
      </c>
    </row>
    <row r="11215" spans="1:1">
      <c r="A11215" t="inlineStr">
        <is>
          <t>Busay</t>
        </is>
      </c>
    </row>
    <row r="11216" spans="1:1">
      <c r="A11216" t="inlineStr">
        <is>
          <t>Lanao</t>
        </is>
      </c>
    </row>
    <row r="11217" spans="1:1">
      <c r="A11217" t="inlineStr">
        <is>
          <t>Poblacion East</t>
        </is>
      </c>
    </row>
    <row r="11218" spans="1:1">
      <c r="A11218" t="inlineStr">
        <is>
          <t>Poblacion West</t>
        </is>
      </c>
    </row>
    <row r="11219" spans="1:1">
      <c r="A11219" t="inlineStr">
        <is>
          <t>Saavedra</t>
        </is>
      </c>
    </row>
    <row r="11220" spans="1:1">
      <c r="A11220" t="inlineStr">
        <is>
          <t>Tomonoy</t>
        </is>
      </c>
    </row>
    <row r="11221" spans="1:1">
      <c r="A11221" t="inlineStr">
        <is>
          <t>Tuble</t>
        </is>
      </c>
    </row>
    <row r="11222" spans="1:1">
      <c r="A11222" t="inlineStr">
        <is>
          <t>Tunga</t>
        </is>
      </c>
    </row>
    <row r="11223" spans="1:1">
      <c r="A11223" t="inlineStr">
        <is>
          <t>Alo</t>
        </is>
      </c>
    </row>
    <row r="11224" spans="1:1">
      <c r="A11224" t="inlineStr">
        <is>
          <t>Bangcogon</t>
        </is>
      </c>
    </row>
    <row r="11225" spans="1:1">
      <c r="A11225" t="inlineStr">
        <is>
          <t>Bonbon</t>
        </is>
      </c>
    </row>
    <row r="11226" spans="1:1">
      <c r="A11226" t="inlineStr">
        <is>
          <t>Calumpang</t>
        </is>
      </c>
    </row>
    <row r="11227" spans="1:1">
      <c r="A11227" t="inlineStr">
        <is>
          <t>Can-ukban</t>
        </is>
      </c>
    </row>
    <row r="11228" spans="1:1">
      <c r="A11228" t="inlineStr">
        <is>
          <t>Canangca-an</t>
        </is>
      </c>
    </row>
    <row r="11229" spans="1:1">
      <c r="A11229" t="inlineStr">
        <is>
          <t>Cansalo-ay</t>
        </is>
      </c>
    </row>
    <row r="11230" spans="1:1">
      <c r="A11230" t="inlineStr">
        <is>
          <t>Cañang</t>
        </is>
      </c>
    </row>
    <row r="11231" spans="1:1">
      <c r="A11231" t="inlineStr">
        <is>
          <t>Daanlungsod</t>
        </is>
      </c>
    </row>
    <row r="11232" spans="1:1">
      <c r="A11232" t="inlineStr">
        <is>
          <t>Gawi</t>
        </is>
      </c>
    </row>
    <row r="11233" spans="1:1">
      <c r="A11233" t="inlineStr">
        <is>
          <t>Hagdan</t>
        </is>
      </c>
    </row>
    <row r="11234" spans="1:1">
      <c r="A11234" t="inlineStr">
        <is>
          <t>Lagunde</t>
        </is>
      </c>
    </row>
    <row r="11235" spans="1:1">
      <c r="A11235" t="inlineStr">
        <is>
          <t>Looc</t>
        </is>
      </c>
    </row>
    <row r="11236" spans="1:1">
      <c r="A11236" t="inlineStr">
        <is>
          <t>Luka</t>
        </is>
      </c>
    </row>
    <row r="11237" spans="1:1">
      <c r="A11237" t="inlineStr">
        <is>
          <t>Mainit</t>
        </is>
      </c>
    </row>
    <row r="11238" spans="1:1">
      <c r="A11238" t="inlineStr">
        <is>
          <t>Manlum</t>
        </is>
      </c>
    </row>
    <row r="11239" spans="1:1">
      <c r="A11239" t="inlineStr">
        <is>
          <t>Nueva Caceres</t>
        </is>
      </c>
    </row>
    <row r="11240" spans="1:1">
      <c r="A11240" t="inlineStr">
        <is>
          <t>Poblacion</t>
        </is>
      </c>
    </row>
    <row r="11241" spans="1:1">
      <c r="A11241" t="inlineStr">
        <is>
          <t>Pungtod</t>
        </is>
      </c>
    </row>
    <row r="11242" spans="1:1">
      <c r="A11242" t="inlineStr">
        <is>
          <t>Tan-awan</t>
        </is>
      </c>
    </row>
    <row r="11243" spans="1:1">
      <c r="A11243" t="inlineStr">
        <is>
          <t>Tumalog</t>
        </is>
      </c>
    </row>
    <row r="11244" spans="1:1">
      <c r="A11244" t="inlineStr">
        <is>
          <t>Biasong</t>
        </is>
      </c>
    </row>
    <row r="11245" spans="1:1">
      <c r="A11245" t="inlineStr">
        <is>
          <t>Cawit</t>
        </is>
      </c>
    </row>
    <row r="11246" spans="1:1">
      <c r="A11246" t="inlineStr">
        <is>
          <t>Dapdap</t>
        </is>
      </c>
    </row>
    <row r="11247" spans="1:1">
      <c r="A11247" t="inlineStr">
        <is>
          <t>Esperanza</t>
        </is>
      </c>
    </row>
    <row r="11248" spans="1:1">
      <c r="A11248" t="inlineStr">
        <is>
          <t>Imelda</t>
        </is>
      </c>
    </row>
    <row r="11249" spans="1:1">
      <c r="A11249" t="inlineStr">
        <is>
          <t>Lanao</t>
        </is>
      </c>
    </row>
    <row r="11250" spans="1:1">
      <c r="A11250" t="inlineStr">
        <is>
          <t>Lower Poblacion</t>
        </is>
      </c>
    </row>
    <row r="11251" spans="1:1">
      <c r="A11251" t="inlineStr">
        <is>
          <t>Moabog</t>
        </is>
      </c>
    </row>
    <row r="11252" spans="1:1">
      <c r="A11252" t="inlineStr">
        <is>
          <t>Montserrat</t>
        </is>
      </c>
    </row>
    <row r="11253" spans="1:1">
      <c r="A11253" t="inlineStr">
        <is>
          <t>San Isidro</t>
        </is>
      </c>
    </row>
    <row r="11254" spans="1:1">
      <c r="A11254" t="inlineStr">
        <is>
          <t>San Juan</t>
        </is>
      </c>
    </row>
    <row r="11255" spans="1:1">
      <c r="A11255" t="inlineStr">
        <is>
          <t>Upper Poblacion</t>
        </is>
      </c>
    </row>
    <row r="11256" spans="1:1">
      <c r="A11256" t="inlineStr">
        <is>
          <t>Villahermosa</t>
        </is>
      </c>
    </row>
    <row r="11257" spans="1:1">
      <c r="A11257" t="inlineStr">
        <is>
          <t>Anislag</t>
        </is>
      </c>
    </row>
    <row r="11258" spans="1:1">
      <c r="A11258" t="inlineStr">
        <is>
          <t>Anopog</t>
        </is>
      </c>
    </row>
    <row r="11259" spans="1:1">
      <c r="A11259" t="inlineStr">
        <is>
          <t>Binabag</t>
        </is>
      </c>
    </row>
    <row r="11260" spans="1:1">
      <c r="A11260" t="inlineStr">
        <is>
          <t>Buhingtubig</t>
        </is>
      </c>
    </row>
    <row r="11261" spans="1:1">
      <c r="A11261" t="inlineStr">
        <is>
          <t>Busay</t>
        </is>
      </c>
    </row>
    <row r="11262" spans="1:1">
      <c r="A11262" t="inlineStr">
        <is>
          <t>Butong</t>
        </is>
      </c>
    </row>
    <row r="11263" spans="1:1">
      <c r="A11263" t="inlineStr">
        <is>
          <t>Cabiangon</t>
        </is>
      </c>
    </row>
    <row r="11264" spans="1:1">
      <c r="A11264" t="inlineStr">
        <is>
          <t>Camugao</t>
        </is>
      </c>
    </row>
    <row r="11265" spans="1:1">
      <c r="A11265" t="inlineStr">
        <is>
          <t>Duangan</t>
        </is>
      </c>
    </row>
    <row r="11266" spans="1:1">
      <c r="A11266" t="inlineStr">
        <is>
          <t>Guimbawian</t>
        </is>
      </c>
    </row>
    <row r="11267" spans="1:1">
      <c r="A11267" t="inlineStr">
        <is>
          <t>Lamac</t>
        </is>
      </c>
    </row>
    <row r="11268" spans="1:1">
      <c r="A11268" t="inlineStr">
        <is>
          <t>Lut-od</t>
        </is>
      </c>
    </row>
    <row r="11269" spans="1:1">
      <c r="A11269" t="inlineStr">
        <is>
          <t>Mangoto</t>
        </is>
      </c>
    </row>
    <row r="11270" spans="1:1">
      <c r="A11270" t="inlineStr">
        <is>
          <t>Opao</t>
        </is>
      </c>
    </row>
    <row r="11271" spans="1:1">
      <c r="A11271" t="inlineStr">
        <is>
          <t>Pandacan</t>
        </is>
      </c>
    </row>
    <row r="11272" spans="1:1">
      <c r="A11272" t="inlineStr">
        <is>
          <t>Poblacion</t>
        </is>
      </c>
    </row>
    <row r="11273" spans="1:1">
      <c r="A11273" t="inlineStr">
        <is>
          <t>Punod</t>
        </is>
      </c>
    </row>
    <row r="11274" spans="1:1">
      <c r="A11274" t="inlineStr">
        <is>
          <t>Rizal</t>
        </is>
      </c>
    </row>
    <row r="11275" spans="1:1">
      <c r="A11275" t="inlineStr">
        <is>
          <t>Sacsac</t>
        </is>
      </c>
    </row>
    <row r="11276" spans="1:1">
      <c r="A11276" t="inlineStr">
        <is>
          <t>Sambagon</t>
        </is>
      </c>
    </row>
    <row r="11277" spans="1:1">
      <c r="A11277" t="inlineStr">
        <is>
          <t>Sibago</t>
        </is>
      </c>
    </row>
    <row r="11278" spans="1:1">
      <c r="A11278" t="inlineStr">
        <is>
          <t>Tajao</t>
        </is>
      </c>
    </row>
    <row r="11279" spans="1:1">
      <c r="A11279" t="inlineStr">
        <is>
          <t>Tangub</t>
        </is>
      </c>
    </row>
    <row r="11280" spans="1:1">
      <c r="A11280" t="inlineStr">
        <is>
          <t>Tanibag</t>
        </is>
      </c>
    </row>
    <row r="11281" spans="1:1">
      <c r="A11281" t="inlineStr">
        <is>
          <t>Tupas</t>
        </is>
      </c>
    </row>
    <row r="11282" spans="1:1">
      <c r="A11282" t="inlineStr">
        <is>
          <t>Tutay</t>
        </is>
      </c>
    </row>
    <row r="11283" spans="1:1">
      <c r="A11283" t="inlineStr">
        <is>
          <t>Adela</t>
        </is>
      </c>
    </row>
    <row r="11284" spans="1:1">
      <c r="A11284" t="inlineStr">
        <is>
          <t>Altavista</t>
        </is>
      </c>
    </row>
    <row r="11285" spans="1:1">
      <c r="A11285" t="inlineStr">
        <is>
          <t>Cagcagan</t>
        </is>
      </c>
    </row>
    <row r="11286" spans="1:1">
      <c r="A11286" t="inlineStr">
        <is>
          <t>Cansabusab</t>
        </is>
      </c>
    </row>
    <row r="11287" spans="1:1">
      <c r="A11287" t="inlineStr">
        <is>
          <t>Daan Paz</t>
        </is>
      </c>
    </row>
    <row r="11288" spans="1:1">
      <c r="A11288" t="inlineStr">
        <is>
          <t>Eastern Poblacion</t>
        </is>
      </c>
    </row>
    <row r="11289" spans="1:1">
      <c r="A11289" t="inlineStr">
        <is>
          <t>Esperanza</t>
        </is>
      </c>
    </row>
    <row r="11290" spans="1:1">
      <c r="A11290" t="inlineStr">
        <is>
          <t>Libertad</t>
        </is>
      </c>
    </row>
    <row r="11291" spans="1:1">
      <c r="A11291" t="inlineStr">
        <is>
          <t>Mabini</t>
        </is>
      </c>
    </row>
    <row r="11292" spans="1:1">
      <c r="A11292" t="inlineStr">
        <is>
          <t>Mercedes</t>
        </is>
      </c>
    </row>
    <row r="11293" spans="1:1">
      <c r="A11293" t="inlineStr">
        <is>
          <t>Pagsa</t>
        </is>
      </c>
    </row>
    <row r="11294" spans="1:1">
      <c r="A11294" t="inlineStr">
        <is>
          <t>Paz</t>
        </is>
      </c>
    </row>
    <row r="11295" spans="1:1">
      <c r="A11295" t="inlineStr">
        <is>
          <t>Rizal</t>
        </is>
      </c>
    </row>
    <row r="11296" spans="1:1">
      <c r="A11296" t="inlineStr">
        <is>
          <t>San Jose</t>
        </is>
      </c>
    </row>
    <row r="11297" spans="1:1">
      <c r="A11297" t="inlineStr">
        <is>
          <t>Santa Rita</t>
        </is>
      </c>
    </row>
    <row r="11298" spans="1:1">
      <c r="A11298" t="inlineStr">
        <is>
          <t>Teguis</t>
        </is>
      </c>
    </row>
    <row r="11299" spans="1:1">
      <c r="A11299" t="inlineStr">
        <is>
          <t>Western Poblacion</t>
        </is>
      </c>
    </row>
    <row r="11300" spans="1:1">
      <c r="A11300" t="inlineStr">
        <is>
          <t>Butong</t>
        </is>
      </c>
    </row>
    <row r="11301" spans="1:1">
      <c r="A11301" t="inlineStr">
        <is>
          <t>Can-abuhon</t>
        </is>
      </c>
    </row>
    <row r="11302" spans="1:1">
      <c r="A11302" t="inlineStr">
        <is>
          <t>Canduling</t>
        </is>
      </c>
    </row>
    <row r="11303" spans="1:1">
      <c r="A11303" t="inlineStr">
        <is>
          <t>Cansalonoy</t>
        </is>
      </c>
    </row>
    <row r="11304" spans="1:1">
      <c r="A11304" t="inlineStr">
        <is>
          <t>Cansayahon</t>
        </is>
      </c>
    </row>
    <row r="11305" spans="1:1">
      <c r="A11305" t="inlineStr">
        <is>
          <t>Ilaya</t>
        </is>
      </c>
    </row>
    <row r="11306" spans="1:1">
      <c r="A11306" t="inlineStr">
        <is>
          <t>Langin</t>
        </is>
      </c>
    </row>
    <row r="11307" spans="1:1">
      <c r="A11307" t="inlineStr">
        <is>
          <t>Libo-o</t>
        </is>
      </c>
    </row>
    <row r="11308" spans="1:1">
      <c r="A11308" t="inlineStr">
        <is>
          <t>Malalay</t>
        </is>
      </c>
    </row>
    <row r="11309" spans="1:1">
      <c r="A11309" t="inlineStr">
        <is>
          <t>Palanas</t>
        </is>
      </c>
    </row>
    <row r="11310" spans="1:1">
      <c r="A11310" t="inlineStr">
        <is>
          <t>Poblacion</t>
        </is>
      </c>
    </row>
    <row r="11311" spans="1:1">
      <c r="A11311" t="inlineStr">
        <is>
          <t>Santa Cruz</t>
        </is>
      </c>
    </row>
    <row r="11312" spans="1:1">
      <c r="A11312" t="inlineStr">
        <is>
          <t>Tupas</t>
        </is>
      </c>
    </row>
    <row r="11313" spans="1:1">
      <c r="A11313" t="inlineStr">
        <is>
          <t>Vive</t>
        </is>
      </c>
    </row>
    <row r="11314" spans="1:1">
      <c r="A11314" t="inlineStr">
        <is>
          <t>Basak</t>
        </is>
      </c>
    </row>
    <row r="11315" spans="1:1">
      <c r="A11315" t="inlineStr">
        <is>
          <t>Bonbon</t>
        </is>
      </c>
    </row>
    <row r="11316" spans="1:1">
      <c r="A11316" t="inlineStr">
        <is>
          <t>Bulangsuran</t>
        </is>
      </c>
    </row>
    <row r="11317" spans="1:1">
      <c r="A11317" t="inlineStr">
        <is>
          <t>Calatagan</t>
        </is>
      </c>
    </row>
    <row r="11318" spans="1:1">
      <c r="A11318" t="inlineStr">
        <is>
          <t>Cambigong</t>
        </is>
      </c>
    </row>
    <row r="11319" spans="1:1">
      <c r="A11319" t="inlineStr">
        <is>
          <t>Camburoy</t>
        </is>
      </c>
    </row>
    <row r="11320" spans="1:1">
      <c r="A11320" t="inlineStr">
        <is>
          <t>Canorong</t>
        </is>
      </c>
    </row>
    <row r="11321" spans="1:1">
      <c r="A11321" t="inlineStr">
        <is>
          <t>Colase</t>
        </is>
      </c>
    </row>
    <row r="11322" spans="1:1">
      <c r="A11322" t="inlineStr">
        <is>
          <t>Dalahikan</t>
        </is>
      </c>
    </row>
    <row r="11323" spans="1:1">
      <c r="A11323" t="inlineStr">
        <is>
          <t>Jumangpas</t>
        </is>
      </c>
    </row>
    <row r="11324" spans="1:1">
      <c r="A11324" t="inlineStr">
        <is>
          <t>Monteverde</t>
        </is>
      </c>
    </row>
    <row r="11325" spans="1:1">
      <c r="A11325" t="inlineStr">
        <is>
          <t>Poblacion</t>
        </is>
      </c>
    </row>
    <row r="11326" spans="1:1">
      <c r="A11326" t="inlineStr">
        <is>
          <t>San Sebastian</t>
        </is>
      </c>
    </row>
    <row r="11327" spans="1:1">
      <c r="A11327" t="inlineStr">
        <is>
          <t>Suba</t>
        </is>
      </c>
    </row>
    <row r="11328" spans="1:1">
      <c r="A11328" t="inlineStr">
        <is>
          <t>Tangbo</t>
        </is>
      </c>
    </row>
    <row r="11329" spans="1:1">
      <c r="A11329" t="inlineStr">
        <is>
          <t>Balud</t>
        </is>
      </c>
    </row>
    <row r="11330" spans="1:1">
      <c r="A11330" t="inlineStr">
        <is>
          <t>Balungag</t>
        </is>
      </c>
    </row>
    <row r="11331" spans="1:1">
      <c r="A11331" t="inlineStr">
        <is>
          <t>Basak</t>
        </is>
      </c>
    </row>
    <row r="11332" spans="1:1">
      <c r="A11332" t="inlineStr">
        <is>
          <t>Bugho</t>
        </is>
      </c>
    </row>
    <row r="11333" spans="1:1">
      <c r="A11333" t="inlineStr">
        <is>
          <t>Cabatbatan</t>
        </is>
      </c>
    </row>
    <row r="11334" spans="1:1">
      <c r="A11334" t="inlineStr">
        <is>
          <t>Greenhills</t>
        </is>
      </c>
    </row>
    <row r="11335" spans="1:1">
      <c r="A11335" t="inlineStr">
        <is>
          <t>Ilaya</t>
        </is>
      </c>
    </row>
    <row r="11336" spans="1:1">
      <c r="A11336" t="inlineStr">
        <is>
          <t>Lantawan</t>
        </is>
      </c>
    </row>
    <row r="11337" spans="1:1">
      <c r="A11337" t="inlineStr">
        <is>
          <t>Liburon</t>
        </is>
      </c>
    </row>
    <row r="11338" spans="1:1">
      <c r="A11338" t="inlineStr">
        <is>
          <t>Magsico</t>
        </is>
      </c>
    </row>
    <row r="11339" spans="1:1">
      <c r="A11339" t="inlineStr">
        <is>
          <t>Panadtaran</t>
        </is>
      </c>
    </row>
    <row r="11340" spans="1:1">
      <c r="A11340" t="inlineStr">
        <is>
          <t>Pitalo</t>
        </is>
      </c>
    </row>
    <row r="11341" spans="1:1">
      <c r="A11341" t="inlineStr">
        <is>
          <t>Poblacion North</t>
        </is>
      </c>
    </row>
    <row r="11342" spans="1:1">
      <c r="A11342" t="inlineStr">
        <is>
          <t>Poblacion South</t>
        </is>
      </c>
    </row>
    <row r="11343" spans="1:1">
      <c r="A11343" t="inlineStr">
        <is>
          <t>San Isidro</t>
        </is>
      </c>
    </row>
    <row r="11344" spans="1:1">
      <c r="A11344" t="inlineStr">
        <is>
          <t>Sangat</t>
        </is>
      </c>
    </row>
    <row r="11345" spans="1:1">
      <c r="A11345" t="inlineStr">
        <is>
          <t>Tabionan</t>
        </is>
      </c>
    </row>
    <row r="11346" spans="1:1">
      <c r="A11346" t="inlineStr">
        <is>
          <t>Tananas</t>
        </is>
      </c>
    </row>
    <row r="11347" spans="1:1">
      <c r="A11347" t="inlineStr">
        <is>
          <t>Tinubdan</t>
        </is>
      </c>
    </row>
    <row r="11348" spans="1:1">
      <c r="A11348" t="inlineStr">
        <is>
          <t>Tonggo</t>
        </is>
      </c>
    </row>
    <row r="11349" spans="1:1">
      <c r="A11349" t="inlineStr">
        <is>
          <t>Tubod</t>
        </is>
      </c>
    </row>
    <row r="11350" spans="1:1">
      <c r="A11350" t="inlineStr">
        <is>
          <t>Cabunga-an</t>
        </is>
      </c>
    </row>
    <row r="11351" spans="1:1">
      <c r="A11351" t="inlineStr">
        <is>
          <t>Campo</t>
        </is>
      </c>
    </row>
    <row r="11352" spans="1:1">
      <c r="A11352" t="inlineStr">
        <is>
          <t>Consuelo</t>
        </is>
      </c>
    </row>
    <row r="11353" spans="1:1">
      <c r="A11353" t="inlineStr">
        <is>
          <t>Esperanza</t>
        </is>
      </c>
    </row>
    <row r="11354" spans="1:1">
      <c r="A11354" t="inlineStr">
        <is>
          <t>Himensulan</t>
        </is>
      </c>
    </row>
    <row r="11355" spans="1:1">
      <c r="A11355" t="inlineStr">
        <is>
          <t>Montealegre</t>
        </is>
      </c>
    </row>
    <row r="11356" spans="1:1">
      <c r="A11356" t="inlineStr">
        <is>
          <t>Northern Poblacion</t>
        </is>
      </c>
    </row>
    <row r="11357" spans="1:1">
      <c r="A11357" t="inlineStr">
        <is>
          <t>San Isidro</t>
        </is>
      </c>
    </row>
    <row r="11358" spans="1:1">
      <c r="A11358" t="inlineStr">
        <is>
          <t>Santa Cruz</t>
        </is>
      </c>
    </row>
    <row r="11359" spans="1:1">
      <c r="A11359" t="inlineStr">
        <is>
          <t>Santiago</t>
        </is>
      </c>
    </row>
    <row r="11360" spans="1:1">
      <c r="A11360" t="inlineStr">
        <is>
          <t>Sonog</t>
        </is>
      </c>
    </row>
    <row r="11361" spans="1:1">
      <c r="A11361" t="inlineStr">
        <is>
          <t>Southern Poblacion</t>
        </is>
      </c>
    </row>
    <row r="11362" spans="1:1">
      <c r="A11362" t="inlineStr">
        <is>
          <t>Unidos</t>
        </is>
      </c>
    </row>
    <row r="11363" spans="1:1">
      <c r="A11363" t="inlineStr">
        <is>
          <t>Union</t>
        </is>
      </c>
    </row>
    <row r="11364" spans="1:1">
      <c r="A11364" t="inlineStr">
        <is>
          <t>Western Poblacion</t>
        </is>
      </c>
    </row>
    <row r="11365" spans="1:1">
      <c r="A11365" t="inlineStr">
        <is>
          <t>Anapog</t>
        </is>
      </c>
    </row>
    <row r="11366" spans="1:1">
      <c r="A11366" t="inlineStr">
        <is>
          <t>Argawanon</t>
        </is>
      </c>
    </row>
    <row r="11367" spans="1:1">
      <c r="A11367" t="inlineStr">
        <is>
          <t>Bagtic</t>
        </is>
      </c>
    </row>
    <row r="11368" spans="1:1">
      <c r="A11368" t="inlineStr">
        <is>
          <t>Bancasan</t>
        </is>
      </c>
    </row>
    <row r="11369" spans="1:1">
      <c r="A11369" t="inlineStr">
        <is>
          <t>Batad</t>
        </is>
      </c>
    </row>
    <row r="11370" spans="1:1">
      <c r="A11370" t="inlineStr">
        <is>
          <t>Busogon</t>
        </is>
      </c>
    </row>
    <row r="11371" spans="1:1">
      <c r="A11371" t="inlineStr">
        <is>
          <t>Calambua</t>
        </is>
      </c>
    </row>
    <row r="11372" spans="1:1">
      <c r="A11372" t="inlineStr">
        <is>
          <t>Canagahan</t>
        </is>
      </c>
    </row>
    <row r="11373" spans="1:1">
      <c r="A11373" t="inlineStr">
        <is>
          <t>Dapdap</t>
        </is>
      </c>
    </row>
    <row r="11374" spans="1:1">
      <c r="A11374" t="inlineStr">
        <is>
          <t>Gawaygaway</t>
        </is>
      </c>
    </row>
    <row r="11375" spans="1:1">
      <c r="A11375" t="inlineStr">
        <is>
          <t>Hagnaya</t>
        </is>
      </c>
    </row>
    <row r="11376" spans="1:1">
      <c r="A11376" t="inlineStr">
        <is>
          <t>Kayam</t>
        </is>
      </c>
    </row>
    <row r="11377" spans="1:1">
      <c r="A11377" t="inlineStr">
        <is>
          <t>Kinawahan</t>
        </is>
      </c>
    </row>
    <row r="11378" spans="1:1">
      <c r="A11378" t="inlineStr">
        <is>
          <t>Lambusan</t>
        </is>
      </c>
    </row>
    <row r="11379" spans="1:1">
      <c r="A11379" t="inlineStr">
        <is>
          <t>Lawis</t>
        </is>
      </c>
    </row>
    <row r="11380" spans="1:1">
      <c r="A11380" t="inlineStr">
        <is>
          <t>Libaong</t>
        </is>
      </c>
    </row>
    <row r="11381" spans="1:1">
      <c r="A11381" t="inlineStr">
        <is>
          <t>Looc</t>
        </is>
      </c>
    </row>
    <row r="11382" spans="1:1">
      <c r="A11382" t="inlineStr">
        <is>
          <t>Luyang</t>
        </is>
      </c>
    </row>
    <row r="11383" spans="1:1">
      <c r="A11383" t="inlineStr">
        <is>
          <t>Maño</t>
        </is>
      </c>
    </row>
    <row r="11384" spans="1:1">
      <c r="A11384" t="inlineStr">
        <is>
          <t>Poblacion</t>
        </is>
      </c>
    </row>
    <row r="11385" spans="1:1">
      <c r="A11385" t="inlineStr">
        <is>
          <t>Punta</t>
        </is>
      </c>
    </row>
    <row r="11386" spans="1:1">
      <c r="A11386" t="inlineStr">
        <is>
          <t>Sab-a</t>
        </is>
      </c>
    </row>
    <row r="11387" spans="1:1">
      <c r="A11387" t="inlineStr">
        <is>
          <t>San Miguel</t>
        </is>
      </c>
    </row>
    <row r="11388" spans="1:1">
      <c r="A11388" t="inlineStr">
        <is>
          <t>Tacup</t>
        </is>
      </c>
    </row>
    <row r="11389" spans="1:1">
      <c r="A11389" t="inlineStr">
        <is>
          <t>Tambongon</t>
        </is>
      </c>
    </row>
    <row r="11390" spans="1:1">
      <c r="A11390" t="inlineStr">
        <is>
          <t>To-ong</t>
        </is>
      </c>
    </row>
    <row r="11391" spans="1:1">
      <c r="A11391" t="inlineStr">
        <is>
          <t>Victoria</t>
        </is>
      </c>
    </row>
    <row r="11392" spans="1:1">
      <c r="A11392" t="inlineStr">
        <is>
          <t>Balidbid</t>
        </is>
      </c>
    </row>
    <row r="11393" spans="1:1">
      <c r="A11393" t="inlineStr">
        <is>
          <t>Hagdan</t>
        </is>
      </c>
    </row>
    <row r="11394" spans="1:1">
      <c r="A11394" t="inlineStr">
        <is>
          <t>Hilantagaan</t>
        </is>
      </c>
    </row>
    <row r="11395" spans="1:1">
      <c r="A11395" t="inlineStr">
        <is>
          <t>Kinatarkan</t>
        </is>
      </c>
    </row>
    <row r="11396" spans="1:1">
      <c r="A11396" t="inlineStr">
        <is>
          <t>Langub</t>
        </is>
      </c>
    </row>
    <row r="11397" spans="1:1">
      <c r="A11397" t="inlineStr">
        <is>
          <t>Maricaban</t>
        </is>
      </c>
    </row>
    <row r="11398" spans="1:1">
      <c r="A11398" t="inlineStr">
        <is>
          <t>Okoy</t>
        </is>
      </c>
    </row>
    <row r="11399" spans="1:1">
      <c r="A11399" t="inlineStr">
        <is>
          <t>Poblacion</t>
        </is>
      </c>
    </row>
    <row r="11400" spans="1:1">
      <c r="A11400" t="inlineStr">
        <is>
          <t>Pooc</t>
        </is>
      </c>
    </row>
    <row r="11401" spans="1:1">
      <c r="A11401" t="inlineStr">
        <is>
          <t>Talisay</t>
        </is>
      </c>
    </row>
    <row r="11402" spans="1:1">
      <c r="A11402" t="inlineStr">
        <is>
          <t>Bunlan</t>
        </is>
      </c>
    </row>
    <row r="11403" spans="1:1">
      <c r="A11403" t="inlineStr">
        <is>
          <t>Cabutongan</t>
        </is>
      </c>
    </row>
    <row r="11404" spans="1:1">
      <c r="A11404" t="inlineStr">
        <is>
          <t>Candamiang</t>
        </is>
      </c>
    </row>
    <row r="11405" spans="1:1">
      <c r="A11405" t="inlineStr">
        <is>
          <t>Canlumacad</t>
        </is>
      </c>
    </row>
    <row r="11406" spans="1:1">
      <c r="A11406" t="inlineStr">
        <is>
          <t>Liloan</t>
        </is>
      </c>
    </row>
    <row r="11407" spans="1:1">
      <c r="A11407" t="inlineStr">
        <is>
          <t>Lip-tong</t>
        </is>
      </c>
    </row>
    <row r="11408" spans="1:1">
      <c r="A11408" t="inlineStr">
        <is>
          <t>Looc</t>
        </is>
      </c>
    </row>
    <row r="11409" spans="1:1">
      <c r="A11409" t="inlineStr">
        <is>
          <t>Pasil</t>
        </is>
      </c>
    </row>
    <row r="11410" spans="1:1">
      <c r="A11410" t="inlineStr">
        <is>
          <t>Poblacion</t>
        </is>
      </c>
    </row>
    <row r="11411" spans="1:1">
      <c r="A11411" t="inlineStr">
        <is>
          <t>Talisay</t>
        </is>
      </c>
    </row>
    <row r="11412" spans="1:1">
      <c r="A11412" t="inlineStr">
        <is>
          <t>Abugon</t>
        </is>
      </c>
    </row>
    <row r="11413" spans="1:1">
      <c r="A11413" t="inlineStr">
        <is>
          <t>Bae</t>
        </is>
      </c>
    </row>
    <row r="11414" spans="1:1">
      <c r="A11414" t="inlineStr">
        <is>
          <t>Bagacay</t>
        </is>
      </c>
    </row>
    <row r="11415" spans="1:1">
      <c r="A11415" t="inlineStr">
        <is>
          <t>Bahay</t>
        </is>
      </c>
    </row>
    <row r="11416" spans="1:1">
      <c r="A11416" t="inlineStr">
        <is>
          <t>Banlot</t>
        </is>
      </c>
    </row>
    <row r="11417" spans="1:1">
      <c r="A11417" t="inlineStr">
        <is>
          <t>Basak</t>
        </is>
      </c>
    </row>
    <row r="11418" spans="1:1">
      <c r="A11418" t="inlineStr">
        <is>
          <t>Bato</t>
        </is>
      </c>
    </row>
    <row r="11419" spans="1:1">
      <c r="A11419" t="inlineStr">
        <is>
          <t>Cagay</t>
        </is>
      </c>
    </row>
    <row r="11420" spans="1:1">
      <c r="A11420" t="inlineStr">
        <is>
          <t>Can-aga</t>
        </is>
      </c>
    </row>
    <row r="11421" spans="1:1">
      <c r="A11421" t="inlineStr">
        <is>
          <t>Candaguit</t>
        </is>
      </c>
    </row>
    <row r="11422" spans="1:1">
      <c r="A11422" t="inlineStr">
        <is>
          <t>Cantolaroy</t>
        </is>
      </c>
    </row>
    <row r="11423" spans="1:1">
      <c r="A11423" t="inlineStr">
        <is>
          <t>Dugoan</t>
        </is>
      </c>
    </row>
    <row r="11424" spans="1:1">
      <c r="A11424" t="inlineStr">
        <is>
          <t>Guimbangco-an</t>
        </is>
      </c>
    </row>
    <row r="11425" spans="1:1">
      <c r="A11425" t="inlineStr">
        <is>
          <t>Lamacan</t>
        </is>
      </c>
    </row>
    <row r="11426" spans="1:1">
      <c r="A11426" t="inlineStr">
        <is>
          <t>Libo</t>
        </is>
      </c>
    </row>
    <row r="11427" spans="1:1">
      <c r="A11427" t="inlineStr">
        <is>
          <t>Lindogon</t>
        </is>
      </c>
    </row>
    <row r="11428" spans="1:1">
      <c r="A11428" t="inlineStr">
        <is>
          <t>Magcagong</t>
        </is>
      </c>
    </row>
    <row r="11429" spans="1:1">
      <c r="A11429" t="inlineStr">
        <is>
          <t>Manatad</t>
        </is>
      </c>
    </row>
    <row r="11430" spans="1:1">
      <c r="A11430" t="inlineStr">
        <is>
          <t>Mangyan</t>
        </is>
      </c>
    </row>
    <row r="11431" spans="1:1">
      <c r="A11431" t="inlineStr">
        <is>
          <t>Papan</t>
        </is>
      </c>
    </row>
    <row r="11432" spans="1:1">
      <c r="A11432" t="inlineStr">
        <is>
          <t>Poblacion</t>
        </is>
      </c>
    </row>
    <row r="11433" spans="1:1">
      <c r="A11433" t="inlineStr">
        <is>
          <t>Sabang</t>
        </is>
      </c>
    </row>
    <row r="11434" spans="1:1">
      <c r="A11434" t="inlineStr">
        <is>
          <t>Sayao</t>
        </is>
      </c>
    </row>
    <row r="11435" spans="1:1">
      <c r="A11435" t="inlineStr">
        <is>
          <t>Simala</t>
        </is>
      </c>
    </row>
    <row r="11436" spans="1:1">
      <c r="A11436" t="inlineStr">
        <is>
          <t>Tubod</t>
        </is>
      </c>
    </row>
    <row r="11437" spans="1:1">
      <c r="A11437" t="inlineStr">
        <is>
          <t>Ampongol</t>
        </is>
      </c>
    </row>
    <row r="11438" spans="1:1">
      <c r="A11438" t="inlineStr">
        <is>
          <t>Bagakay</t>
        </is>
      </c>
    </row>
    <row r="11439" spans="1:1">
      <c r="A11439" t="inlineStr">
        <is>
          <t>Bagatayam</t>
        </is>
      </c>
    </row>
    <row r="11440" spans="1:1">
      <c r="A11440" t="inlineStr">
        <is>
          <t>Bawo</t>
        </is>
      </c>
    </row>
    <row r="11441" spans="1:1">
      <c r="A11441" t="inlineStr">
        <is>
          <t>Cabalawan</t>
        </is>
      </c>
    </row>
    <row r="11442" spans="1:1">
      <c r="A11442" t="inlineStr">
        <is>
          <t>Cabangahan</t>
        </is>
      </c>
    </row>
    <row r="11443" spans="1:1">
      <c r="A11443" t="inlineStr">
        <is>
          <t>Calumboyan</t>
        </is>
      </c>
    </row>
    <row r="11444" spans="1:1">
      <c r="A11444" t="inlineStr">
        <is>
          <t>Dakit</t>
        </is>
      </c>
    </row>
    <row r="11445" spans="1:1">
      <c r="A11445" t="inlineStr">
        <is>
          <t>Damolog</t>
        </is>
      </c>
    </row>
    <row r="11446" spans="1:1">
      <c r="A11446" t="inlineStr">
        <is>
          <t>Ibabao</t>
        </is>
      </c>
    </row>
    <row r="11447" spans="1:1">
      <c r="A11447" t="inlineStr">
        <is>
          <t>Liki</t>
        </is>
      </c>
    </row>
    <row r="11448" spans="1:1">
      <c r="A11448" t="inlineStr">
        <is>
          <t>Lubo</t>
        </is>
      </c>
    </row>
    <row r="11449" spans="1:1">
      <c r="A11449" t="inlineStr">
        <is>
          <t>Mohon</t>
        </is>
      </c>
    </row>
    <row r="11450" spans="1:1">
      <c r="A11450" t="inlineStr">
        <is>
          <t>Nahus-an</t>
        </is>
      </c>
    </row>
    <row r="11451" spans="1:1">
      <c r="A11451" t="inlineStr">
        <is>
          <t>Pansoy</t>
        </is>
      </c>
    </row>
    <row r="11452" spans="1:1">
      <c r="A11452" t="inlineStr">
        <is>
          <t>Poblacion</t>
        </is>
      </c>
    </row>
    <row r="11453" spans="1:1">
      <c r="A11453" t="inlineStr">
        <is>
          <t>Tabunok</t>
        </is>
      </c>
    </row>
    <row r="11454" spans="1:1">
      <c r="A11454" t="inlineStr">
        <is>
          <t>Takay</t>
        </is>
      </c>
    </row>
    <row r="11455" spans="1:1">
      <c r="A11455" t="inlineStr">
        <is>
          <t>Alang-alang</t>
        </is>
      </c>
    </row>
    <row r="11456" spans="1:1">
      <c r="A11456" t="inlineStr">
        <is>
          <t>Caduawan</t>
        </is>
      </c>
    </row>
    <row r="11457" spans="1:1">
      <c r="A11457" t="inlineStr">
        <is>
          <t>Camoboan</t>
        </is>
      </c>
    </row>
    <row r="11458" spans="1:1">
      <c r="A11458" t="inlineStr">
        <is>
          <t>Canaocanao</t>
        </is>
      </c>
    </row>
    <row r="11459" spans="1:1">
      <c r="A11459" t="inlineStr">
        <is>
          <t>Combado</t>
        </is>
      </c>
    </row>
    <row r="11460" spans="1:1">
      <c r="A11460" t="inlineStr">
        <is>
          <t>Daantabogon</t>
        </is>
      </c>
    </row>
    <row r="11461" spans="1:1">
      <c r="A11461" t="inlineStr">
        <is>
          <t>Ilihan</t>
        </is>
      </c>
    </row>
    <row r="11462" spans="1:1">
      <c r="A11462" t="inlineStr">
        <is>
          <t>Kal-anan</t>
        </is>
      </c>
    </row>
    <row r="11463" spans="1:1">
      <c r="A11463" t="inlineStr">
        <is>
          <t>Labangon</t>
        </is>
      </c>
    </row>
    <row r="11464" spans="1:1">
      <c r="A11464" t="inlineStr">
        <is>
          <t>Libjo</t>
        </is>
      </c>
    </row>
    <row r="11465" spans="1:1">
      <c r="A11465" t="inlineStr">
        <is>
          <t>Loong</t>
        </is>
      </c>
    </row>
    <row r="11466" spans="1:1">
      <c r="A11466" t="inlineStr">
        <is>
          <t>Mabuli</t>
        </is>
      </c>
    </row>
    <row r="11467" spans="1:1">
      <c r="A11467" t="inlineStr">
        <is>
          <t>Managase</t>
        </is>
      </c>
    </row>
    <row r="11468" spans="1:1">
      <c r="A11468" t="inlineStr">
        <is>
          <t>Manlagtang</t>
        </is>
      </c>
    </row>
    <row r="11469" spans="1:1">
      <c r="A11469" t="inlineStr">
        <is>
          <t>Maslog</t>
        </is>
      </c>
    </row>
    <row r="11470" spans="1:1">
      <c r="A11470" t="inlineStr">
        <is>
          <t>Muabog</t>
        </is>
      </c>
    </row>
    <row r="11471" spans="1:1">
      <c r="A11471" t="inlineStr">
        <is>
          <t>Pio</t>
        </is>
      </c>
    </row>
    <row r="11472" spans="1:1">
      <c r="A11472" t="inlineStr">
        <is>
          <t>Poblacion</t>
        </is>
      </c>
    </row>
    <row r="11473" spans="1:1">
      <c r="A11473" t="inlineStr">
        <is>
          <t>Salag</t>
        </is>
      </c>
    </row>
    <row r="11474" spans="1:1">
      <c r="A11474" t="inlineStr">
        <is>
          <t>Sambag</t>
        </is>
      </c>
    </row>
    <row r="11475" spans="1:1">
      <c r="A11475" t="inlineStr">
        <is>
          <t>San Isidro</t>
        </is>
      </c>
    </row>
    <row r="11476" spans="1:1">
      <c r="A11476" t="inlineStr">
        <is>
          <t>San Vicente</t>
        </is>
      </c>
    </row>
    <row r="11477" spans="1:1">
      <c r="A11477" t="inlineStr">
        <is>
          <t>Somosa</t>
        </is>
      </c>
    </row>
    <row r="11478" spans="1:1">
      <c r="A11478" t="inlineStr">
        <is>
          <t>Taba-ao</t>
        </is>
      </c>
    </row>
    <row r="11479" spans="1:1">
      <c r="A11479" t="inlineStr">
        <is>
          <t>Tapul</t>
        </is>
      </c>
    </row>
    <row r="11480" spans="1:1">
      <c r="A11480" t="inlineStr">
        <is>
          <t>Bongon</t>
        </is>
      </c>
    </row>
    <row r="11481" spans="1:1">
      <c r="A11481" t="inlineStr">
        <is>
          <t>Dalid</t>
        </is>
      </c>
    </row>
    <row r="11482" spans="1:1">
      <c r="A11482" t="inlineStr">
        <is>
          <t>Kanlim-ao</t>
        </is>
      </c>
    </row>
    <row r="11483" spans="1:1">
      <c r="A11483" t="inlineStr">
        <is>
          <t>Kanluhangon</t>
        </is>
      </c>
    </row>
    <row r="11484" spans="1:1">
      <c r="A11484" t="inlineStr">
        <is>
          <t>Kantubaon</t>
        </is>
      </c>
    </row>
    <row r="11485" spans="1:1">
      <c r="A11485" t="inlineStr">
        <is>
          <t>Mabunao</t>
        </is>
      </c>
    </row>
    <row r="11486" spans="1:1">
      <c r="A11486" t="inlineStr">
        <is>
          <t>Maravilla</t>
        </is>
      </c>
    </row>
    <row r="11487" spans="1:1">
      <c r="A11487" t="inlineStr">
        <is>
          <t>Olivo</t>
        </is>
      </c>
    </row>
    <row r="11488" spans="1:1">
      <c r="A11488" t="inlineStr">
        <is>
          <t>Poblacion</t>
        </is>
      </c>
    </row>
    <row r="11489" spans="1:1">
      <c r="A11489" t="inlineStr">
        <is>
          <t>Tabunok</t>
        </is>
      </c>
    </row>
    <row r="11490" spans="1:1">
      <c r="A11490" t="inlineStr">
        <is>
          <t>Tigbawan</t>
        </is>
      </c>
    </row>
    <row r="11491" spans="1:1">
      <c r="A11491" t="inlineStr">
        <is>
          <t>Villahermosa</t>
        </is>
      </c>
    </row>
    <row r="11492" spans="1:1">
      <c r="A11492" t="inlineStr">
        <is>
          <t>Alegria</t>
        </is>
      </c>
    </row>
    <row r="11493" spans="1:1">
      <c r="A11493" t="inlineStr">
        <is>
          <t>Amatugan</t>
        </is>
      </c>
    </row>
    <row r="11494" spans="1:1">
      <c r="A11494" t="inlineStr">
        <is>
          <t>Antipolo</t>
        </is>
      </c>
    </row>
    <row r="11495" spans="1:1">
      <c r="A11495" t="inlineStr">
        <is>
          <t>Apalan</t>
        </is>
      </c>
    </row>
    <row r="11496" spans="1:1">
      <c r="A11496" t="inlineStr">
        <is>
          <t>Bagasawe</t>
        </is>
      </c>
    </row>
    <row r="11497" spans="1:1">
      <c r="A11497" t="inlineStr">
        <is>
          <t>Bakyawan</t>
        </is>
      </c>
    </row>
    <row r="11498" spans="1:1">
      <c r="A11498" t="inlineStr">
        <is>
          <t>Bangkito</t>
        </is>
      </c>
    </row>
    <row r="11499" spans="1:1">
      <c r="A11499" t="inlineStr">
        <is>
          <t>Barangay I</t>
        </is>
      </c>
    </row>
    <row r="11500" spans="1:1">
      <c r="A11500" t="inlineStr">
        <is>
          <t>Barangay II</t>
        </is>
      </c>
    </row>
    <row r="11501" spans="1:1">
      <c r="A11501" t="inlineStr">
        <is>
          <t>Barangay III</t>
        </is>
      </c>
    </row>
    <row r="11502" spans="1:1">
      <c r="A11502" t="inlineStr">
        <is>
          <t>Barangay IV</t>
        </is>
      </c>
    </row>
    <row r="11503" spans="1:1">
      <c r="A11503" t="inlineStr">
        <is>
          <t>Barangay V</t>
        </is>
      </c>
    </row>
    <row r="11504" spans="1:1">
      <c r="A11504" t="inlineStr">
        <is>
          <t>Barangay VI</t>
        </is>
      </c>
    </row>
    <row r="11505" spans="1:1">
      <c r="A11505" t="inlineStr">
        <is>
          <t>Barangay VII</t>
        </is>
      </c>
    </row>
    <row r="11506" spans="1:1">
      <c r="A11506" t="inlineStr">
        <is>
          <t>Barangay VIII</t>
        </is>
      </c>
    </row>
    <row r="11507" spans="1:1">
      <c r="A11507" t="inlineStr">
        <is>
          <t>Bulwang</t>
        </is>
      </c>
    </row>
    <row r="11508" spans="1:1">
      <c r="A11508" t="inlineStr">
        <is>
          <t>Caridad</t>
        </is>
      </c>
    </row>
    <row r="11509" spans="1:1">
      <c r="A11509" t="inlineStr">
        <is>
          <t>Carmelo</t>
        </is>
      </c>
    </row>
    <row r="11510" spans="1:1">
      <c r="A11510" t="inlineStr">
        <is>
          <t>Cogon</t>
        </is>
      </c>
    </row>
    <row r="11511" spans="1:1">
      <c r="A11511" t="inlineStr">
        <is>
          <t>Colonia</t>
        </is>
      </c>
    </row>
    <row r="11512" spans="1:1">
      <c r="A11512" t="inlineStr">
        <is>
          <t>Daan Lungsod</t>
        </is>
      </c>
    </row>
    <row r="11513" spans="1:1">
      <c r="A11513" t="inlineStr">
        <is>
          <t>Fortaliza</t>
        </is>
      </c>
    </row>
    <row r="11514" spans="1:1">
      <c r="A11514" t="inlineStr">
        <is>
          <t>Ga-ang</t>
        </is>
      </c>
    </row>
    <row r="11515" spans="1:1">
      <c r="A11515" t="inlineStr">
        <is>
          <t>Gimama-a</t>
        </is>
      </c>
    </row>
    <row r="11516" spans="1:1">
      <c r="A11516" t="inlineStr">
        <is>
          <t>Jagbuaya</t>
        </is>
      </c>
    </row>
    <row r="11517" spans="1:1">
      <c r="A11517" t="inlineStr">
        <is>
          <t>Kabangkalan</t>
        </is>
      </c>
    </row>
    <row r="11518" spans="1:1">
      <c r="A11518" t="inlineStr">
        <is>
          <t>Kabkaban</t>
        </is>
      </c>
    </row>
    <row r="11519" spans="1:1">
      <c r="A11519" t="inlineStr">
        <is>
          <t>Kagba-o</t>
        </is>
      </c>
    </row>
    <row r="11520" spans="1:1">
      <c r="A11520" t="inlineStr">
        <is>
          <t>Kalangahan</t>
        </is>
      </c>
    </row>
    <row r="11521" spans="1:1">
      <c r="A11521" t="inlineStr">
        <is>
          <t>Kamansi</t>
        </is>
      </c>
    </row>
    <row r="11522" spans="1:1">
      <c r="A11522" t="inlineStr">
        <is>
          <t>Kampoot</t>
        </is>
      </c>
    </row>
    <row r="11523" spans="1:1">
      <c r="A11523" t="inlineStr">
        <is>
          <t>Kan-an</t>
        </is>
      </c>
    </row>
    <row r="11524" spans="1:1">
      <c r="A11524" t="inlineStr">
        <is>
          <t>Kanlunsing</t>
        </is>
      </c>
    </row>
    <row r="11525" spans="1:1">
      <c r="A11525" t="inlineStr">
        <is>
          <t>Kansi</t>
        </is>
      </c>
    </row>
    <row r="11526" spans="1:1">
      <c r="A11526" t="inlineStr">
        <is>
          <t>Kaorasan</t>
        </is>
      </c>
    </row>
    <row r="11527" spans="1:1">
      <c r="A11527" t="inlineStr">
        <is>
          <t>Libo</t>
        </is>
      </c>
    </row>
    <row r="11528" spans="1:1">
      <c r="A11528" t="inlineStr">
        <is>
          <t>Lusong</t>
        </is>
      </c>
    </row>
    <row r="11529" spans="1:1">
      <c r="A11529" t="inlineStr">
        <is>
          <t>Macupa</t>
        </is>
      </c>
    </row>
    <row r="11530" spans="1:1">
      <c r="A11530" t="inlineStr">
        <is>
          <t>Mag-alwa</t>
        </is>
      </c>
    </row>
    <row r="11531" spans="1:1">
      <c r="A11531" t="inlineStr">
        <is>
          <t>Mag-antoy</t>
        </is>
      </c>
    </row>
    <row r="11532" spans="1:1">
      <c r="A11532" t="inlineStr">
        <is>
          <t>Mag-atubang</t>
        </is>
      </c>
    </row>
    <row r="11533" spans="1:1">
      <c r="A11533" t="inlineStr">
        <is>
          <t>Maghan-ay</t>
        </is>
      </c>
    </row>
    <row r="11534" spans="1:1">
      <c r="A11534" t="inlineStr">
        <is>
          <t>Mangga</t>
        </is>
      </c>
    </row>
    <row r="11535" spans="1:1">
      <c r="A11535" t="inlineStr">
        <is>
          <t>Marmol</t>
        </is>
      </c>
    </row>
    <row r="11536" spans="1:1">
      <c r="A11536" t="inlineStr">
        <is>
          <t>Molobolo</t>
        </is>
      </c>
    </row>
    <row r="11537" spans="1:1">
      <c r="A11537" t="inlineStr">
        <is>
          <t>Montealegre</t>
        </is>
      </c>
    </row>
    <row r="11538" spans="1:1">
      <c r="A11538" t="inlineStr">
        <is>
          <t>Putat</t>
        </is>
      </c>
    </row>
    <row r="11539" spans="1:1">
      <c r="A11539" t="inlineStr">
        <is>
          <t>San Juan</t>
        </is>
      </c>
    </row>
    <row r="11540" spans="1:1">
      <c r="A11540" t="inlineStr">
        <is>
          <t>Sandayong</t>
        </is>
      </c>
    </row>
    <row r="11541" spans="1:1">
      <c r="A11541" t="inlineStr">
        <is>
          <t>Santo Niño</t>
        </is>
      </c>
    </row>
    <row r="11542" spans="1:1">
      <c r="A11542" t="inlineStr">
        <is>
          <t>Siotes</t>
        </is>
      </c>
    </row>
    <row r="11543" spans="1:1">
      <c r="A11543" t="inlineStr">
        <is>
          <t>Sumon</t>
        </is>
      </c>
    </row>
    <row r="11544" spans="1:1">
      <c r="A11544" t="inlineStr">
        <is>
          <t>Tominjao</t>
        </is>
      </c>
    </row>
    <row r="11545" spans="1:1">
      <c r="A11545" t="inlineStr">
        <is>
          <t>Tomugpa</t>
        </is>
      </c>
    </row>
    <row r="11546" spans="1:1">
      <c r="A11546" t="inlineStr">
        <is>
          <t>Buenavista</t>
        </is>
      </c>
    </row>
    <row r="11547" spans="1:1">
      <c r="A11547" t="inlineStr">
        <is>
          <t>Calmante</t>
        </is>
      </c>
    </row>
    <row r="11548" spans="1:1">
      <c r="A11548" t="inlineStr">
        <is>
          <t>Daan Secante</t>
        </is>
      </c>
    </row>
    <row r="11549" spans="1:1">
      <c r="A11549" t="inlineStr">
        <is>
          <t>General</t>
        </is>
      </c>
    </row>
    <row r="11550" spans="1:1">
      <c r="A11550" t="inlineStr">
        <is>
          <t>McArthur</t>
        </is>
      </c>
    </row>
    <row r="11551" spans="1:1">
      <c r="A11551" t="inlineStr">
        <is>
          <t>Northern Poblacion</t>
        </is>
      </c>
    </row>
    <row r="11552" spans="1:1">
      <c r="A11552" t="inlineStr">
        <is>
          <t>Puertobello</t>
        </is>
      </c>
    </row>
    <row r="11553" spans="1:1">
      <c r="A11553" t="inlineStr">
        <is>
          <t>Santander</t>
        </is>
      </c>
    </row>
    <row r="11554" spans="1:1">
      <c r="A11554" t="inlineStr">
        <is>
          <t>Secante Bag-o</t>
        </is>
      </c>
    </row>
    <row r="11555" spans="1:1">
      <c r="A11555" t="inlineStr">
        <is>
          <t>Southern Poblacion</t>
        </is>
      </c>
    </row>
    <row r="11556" spans="1:1">
      <c r="A11556" t="inlineStr">
        <is>
          <t>Villahermosa</t>
        </is>
      </c>
    </row>
    <row r="11557" spans="1:1">
      <c r="A11557" t="inlineStr">
        <is>
          <t>Aguada</t>
        </is>
      </c>
    </row>
    <row r="11558" spans="1:1">
      <c r="A11558" t="inlineStr">
        <is>
          <t>Balatanay</t>
        </is>
      </c>
    </row>
    <row r="11559" spans="1:1">
      <c r="A11559" t="inlineStr">
        <is>
          <t>Baluno</t>
        </is>
      </c>
    </row>
    <row r="11560" spans="1:1">
      <c r="A11560" t="inlineStr">
        <is>
          <t>Begang</t>
        </is>
      </c>
    </row>
    <row r="11561" spans="1:1">
      <c r="A11561" t="inlineStr">
        <is>
          <t>Binuangan</t>
        </is>
      </c>
    </row>
    <row r="11562" spans="1:1">
      <c r="A11562" t="inlineStr">
        <is>
          <t>Busay</t>
        </is>
      </c>
    </row>
    <row r="11563" spans="1:1">
      <c r="A11563" t="inlineStr">
        <is>
          <t>Cabunbata</t>
        </is>
      </c>
    </row>
    <row r="11564" spans="1:1">
      <c r="A11564" t="inlineStr">
        <is>
          <t>Calvario</t>
        </is>
      </c>
    </row>
    <row r="11565" spans="1:1">
      <c r="A11565" t="inlineStr">
        <is>
          <t>Carbon</t>
        </is>
      </c>
    </row>
    <row r="11566" spans="1:1">
      <c r="A11566" t="inlineStr">
        <is>
          <t>Diki</t>
        </is>
      </c>
    </row>
    <row r="11567" spans="1:1">
      <c r="A11567" t="inlineStr">
        <is>
          <t>Dona Ramona T. Alano</t>
        </is>
      </c>
    </row>
    <row r="11568" spans="1:1">
      <c r="A11568" t="inlineStr">
        <is>
          <t>Isabela Eastside</t>
        </is>
      </c>
    </row>
    <row r="11569" spans="1:1">
      <c r="A11569" t="inlineStr">
        <is>
          <t>Isabela Proper</t>
        </is>
      </c>
    </row>
    <row r="11570" spans="1:1">
      <c r="A11570" t="inlineStr">
        <is>
          <t>Kapatagan Grande</t>
        </is>
      </c>
    </row>
    <row r="11571" spans="1:1">
      <c r="A11571" t="inlineStr">
        <is>
          <t>Kapayawan</t>
        </is>
      </c>
    </row>
    <row r="11572" spans="1:1">
      <c r="A11572" t="inlineStr">
        <is>
          <t>Kaumpurnah Zone I</t>
        </is>
      </c>
    </row>
    <row r="11573" spans="1:1">
      <c r="A11573" t="inlineStr">
        <is>
          <t>Kaumpurnah Zone II</t>
        </is>
      </c>
    </row>
    <row r="11574" spans="1:1">
      <c r="A11574" t="inlineStr">
        <is>
          <t>Kaumpurnah Zone III</t>
        </is>
      </c>
    </row>
    <row r="11575" spans="1:1">
      <c r="A11575" t="inlineStr">
        <is>
          <t>Kumalarang</t>
        </is>
      </c>
    </row>
    <row r="11576" spans="1:1">
      <c r="A11576" t="inlineStr">
        <is>
          <t>La Piedad</t>
        </is>
      </c>
    </row>
    <row r="11577" spans="1:1">
      <c r="A11577" t="inlineStr">
        <is>
          <t>Lampinigan</t>
        </is>
      </c>
    </row>
    <row r="11578" spans="1:1">
      <c r="A11578" t="inlineStr">
        <is>
          <t>Lanote</t>
        </is>
      </c>
    </row>
    <row r="11579" spans="1:1">
      <c r="A11579" t="inlineStr">
        <is>
          <t>Lukbuton</t>
        </is>
      </c>
    </row>
    <row r="11580" spans="1:1">
      <c r="A11580" t="inlineStr">
        <is>
          <t>Lumbang</t>
        </is>
      </c>
    </row>
    <row r="11581" spans="1:1">
      <c r="A11581" t="inlineStr">
        <is>
          <t>Makiri</t>
        </is>
      </c>
    </row>
    <row r="11582" spans="1:1">
      <c r="A11582" t="inlineStr">
        <is>
          <t>Maligue</t>
        </is>
      </c>
    </row>
    <row r="11583" spans="1:1">
      <c r="A11583" t="inlineStr">
        <is>
          <t>Marang-marang</t>
        </is>
      </c>
    </row>
    <row r="11584" spans="1:1">
      <c r="A11584" t="inlineStr">
        <is>
          <t>Marketsite</t>
        </is>
      </c>
    </row>
    <row r="11585" spans="1:1">
      <c r="A11585" t="inlineStr">
        <is>
          <t>Masula</t>
        </is>
      </c>
    </row>
    <row r="11586" spans="1:1">
      <c r="A11586" t="inlineStr">
        <is>
          <t>Menzi</t>
        </is>
      </c>
    </row>
    <row r="11587" spans="1:1">
      <c r="A11587" t="inlineStr">
        <is>
          <t>Panigayan</t>
        </is>
      </c>
    </row>
    <row r="11588" spans="1:1">
      <c r="A11588" t="inlineStr">
        <is>
          <t>Panunsulan</t>
        </is>
      </c>
    </row>
    <row r="11589" spans="1:1">
      <c r="A11589" t="inlineStr">
        <is>
          <t>Port Area</t>
        </is>
      </c>
    </row>
    <row r="11590" spans="1:1">
      <c r="A11590" t="inlineStr">
        <is>
          <t>Riverside</t>
        </is>
      </c>
    </row>
    <row r="11591" spans="1:1">
      <c r="A11591" t="inlineStr">
        <is>
          <t>San Rafael</t>
        </is>
      </c>
    </row>
    <row r="11592" spans="1:1">
      <c r="A11592" t="inlineStr">
        <is>
          <t>Santa Barbara</t>
        </is>
      </c>
    </row>
    <row r="11593" spans="1:1">
      <c r="A11593" t="inlineStr">
        <is>
          <t>Santa Cruz</t>
        </is>
      </c>
    </row>
    <row r="11594" spans="1:1">
      <c r="A11594" t="inlineStr">
        <is>
          <t>Seaside</t>
        </is>
      </c>
    </row>
    <row r="11595" spans="1:1">
      <c r="A11595" t="inlineStr">
        <is>
          <t>Small Kapatagan</t>
        </is>
      </c>
    </row>
    <row r="11596" spans="1:1">
      <c r="A11596" t="inlineStr">
        <is>
          <t>Sumagdang</t>
        </is>
      </c>
    </row>
    <row r="11597" spans="1:1">
      <c r="A11597" t="inlineStr">
        <is>
          <t>Sunrise Village</t>
        </is>
      </c>
    </row>
    <row r="11598" spans="1:1">
      <c r="A11598" t="inlineStr">
        <is>
          <t>Tabiawan</t>
        </is>
      </c>
    </row>
    <row r="11599" spans="1:1">
      <c r="A11599" t="inlineStr">
        <is>
          <t>Tabuk</t>
        </is>
      </c>
    </row>
    <row r="11600" spans="1:1">
      <c r="A11600" t="inlineStr">
        <is>
          <t>Tampalan</t>
        </is>
      </c>
    </row>
    <row r="11601" spans="1:1">
      <c r="A11601" t="inlineStr">
        <is>
          <t>Timpul</t>
        </is>
      </c>
    </row>
    <row r="11602" spans="1:1">
      <c r="A11602" t="inlineStr">
        <is>
          <t>Bao</t>
        </is>
      </c>
    </row>
    <row r="11603" spans="1:1">
      <c r="A11603" t="inlineStr">
        <is>
          <t>Barangiran</t>
        </is>
      </c>
    </row>
    <row r="11604" spans="1:1">
      <c r="A11604" t="inlineStr">
        <is>
          <t>Camansi</t>
        </is>
      </c>
    </row>
    <row r="11605" spans="1:1">
      <c r="A11605" t="inlineStr">
        <is>
          <t>Dado</t>
        </is>
      </c>
    </row>
    <row r="11606" spans="1:1">
      <c r="A11606" t="inlineStr">
        <is>
          <t>Guiling</t>
        </is>
      </c>
    </row>
    <row r="11607" spans="1:1">
      <c r="A11607" t="inlineStr">
        <is>
          <t>Kitacubong</t>
        </is>
      </c>
    </row>
    <row r="11608" spans="1:1">
      <c r="A11608" t="inlineStr">
        <is>
          <t>Lower Dado</t>
        </is>
      </c>
    </row>
    <row r="11609" spans="1:1">
      <c r="A11609" t="inlineStr">
        <is>
          <t>Macabasa</t>
        </is>
      </c>
    </row>
    <row r="11610" spans="1:1">
      <c r="A11610" t="inlineStr">
        <is>
          <t>Malitubog</t>
        </is>
      </c>
    </row>
    <row r="11611" spans="1:1">
      <c r="A11611" t="inlineStr">
        <is>
          <t>Mapurok</t>
        </is>
      </c>
    </row>
    <row r="11612" spans="1:1">
      <c r="A11612" t="inlineStr">
        <is>
          <t>Mirasol</t>
        </is>
      </c>
    </row>
    <row r="11613" spans="1:1">
      <c r="A11613" t="inlineStr">
        <is>
          <t>Pacao</t>
        </is>
      </c>
    </row>
    <row r="11614" spans="1:1">
      <c r="A11614" t="inlineStr">
        <is>
          <t>Paruayan</t>
        </is>
      </c>
    </row>
    <row r="11615" spans="1:1">
      <c r="A11615" t="inlineStr">
        <is>
          <t>Pigcawaran</t>
        </is>
      </c>
    </row>
    <row r="11616" spans="1:1">
      <c r="A11616" t="inlineStr">
        <is>
          <t>Polayagan</t>
        </is>
      </c>
    </row>
    <row r="11617" spans="1:1">
      <c r="A11617" t="inlineStr">
        <is>
          <t>Rangayen</t>
        </is>
      </c>
    </row>
    <row r="11618" spans="1:1">
      <c r="A11618" t="inlineStr">
        <is>
          <t>Raradangan</t>
        </is>
      </c>
    </row>
    <row r="11619" spans="1:1">
      <c r="A11619" t="inlineStr">
        <is>
          <t>Bagolibas</t>
        </is>
      </c>
    </row>
    <row r="11620" spans="1:1">
      <c r="A11620" t="inlineStr">
        <is>
          <t>Cawilihan</t>
        </is>
      </c>
    </row>
    <row r="11621" spans="1:1">
      <c r="A11621" t="inlineStr">
        <is>
          <t>Dualing</t>
        </is>
      </c>
    </row>
    <row r="11622" spans="1:1">
      <c r="A11622" t="inlineStr">
        <is>
          <t>Katalicanan</t>
        </is>
      </c>
    </row>
    <row r="11623" spans="1:1">
      <c r="A11623" t="inlineStr">
        <is>
          <t>Lawili</t>
        </is>
      </c>
    </row>
    <row r="11624" spans="1:1">
      <c r="A11624" t="inlineStr">
        <is>
          <t>Lower Mingading</t>
        </is>
      </c>
    </row>
    <row r="11625" spans="1:1">
      <c r="A11625" t="inlineStr">
        <is>
          <t>Luanan</t>
        </is>
      </c>
    </row>
    <row r="11626" spans="1:1">
      <c r="A11626" t="inlineStr">
        <is>
          <t>Malapang</t>
        </is>
      </c>
    </row>
    <row r="11627" spans="1:1">
      <c r="A11627" t="inlineStr">
        <is>
          <t>New Leon</t>
        </is>
      </c>
    </row>
    <row r="11628" spans="1:1">
      <c r="A11628" t="inlineStr">
        <is>
          <t>New Panay</t>
        </is>
      </c>
    </row>
    <row r="11629" spans="1:1">
      <c r="A11629" t="inlineStr">
        <is>
          <t>Pagangan</t>
        </is>
      </c>
    </row>
    <row r="11630" spans="1:1">
      <c r="A11630" t="inlineStr">
        <is>
          <t>Palacat</t>
        </is>
      </c>
    </row>
    <row r="11631" spans="1:1">
      <c r="A11631" t="inlineStr">
        <is>
          <t>Pentil</t>
        </is>
      </c>
    </row>
    <row r="11632" spans="1:1">
      <c r="A11632" t="inlineStr">
        <is>
          <t>San Mateo</t>
        </is>
      </c>
    </row>
    <row r="11633" spans="1:1">
      <c r="A11633" t="inlineStr">
        <is>
          <t>Santa Cruz</t>
        </is>
      </c>
    </row>
    <row r="11634" spans="1:1">
      <c r="A11634" t="inlineStr">
        <is>
          <t>Tomado</t>
        </is>
      </c>
    </row>
    <row r="11635" spans="1:1">
      <c r="A11635" t="inlineStr">
        <is>
          <t>Upper Mingading</t>
        </is>
      </c>
    </row>
    <row r="11636" spans="1:1">
      <c r="A11636" t="inlineStr">
        <is>
          <t>B. Cadungon</t>
        </is>
      </c>
    </row>
    <row r="11637" spans="1:1">
      <c r="A11637" t="inlineStr">
        <is>
          <t>Camutan</t>
        </is>
      </c>
    </row>
    <row r="11638" spans="1:1">
      <c r="A11638" t="inlineStr">
        <is>
          <t>Canaan</t>
        </is>
      </c>
    </row>
    <row r="11639" spans="1:1">
      <c r="A11639" t="inlineStr">
        <is>
          <t>Datu Agod</t>
        </is>
      </c>
    </row>
    <row r="11640" spans="1:1">
      <c r="A11640" t="inlineStr">
        <is>
          <t>Dolores</t>
        </is>
      </c>
    </row>
    <row r="11641" spans="1:1">
      <c r="A11641" t="inlineStr">
        <is>
          <t>Kiyaab</t>
        </is>
      </c>
    </row>
    <row r="11642" spans="1:1">
      <c r="A11642" t="inlineStr">
        <is>
          <t>Luhong</t>
        </is>
      </c>
    </row>
    <row r="11643" spans="1:1">
      <c r="A11643" t="inlineStr">
        <is>
          <t>Magsaysay</t>
        </is>
      </c>
    </row>
    <row r="11644" spans="1:1">
      <c r="A11644" t="inlineStr">
        <is>
          <t>Malangag</t>
        </is>
      </c>
    </row>
    <row r="11645" spans="1:1">
      <c r="A11645" t="inlineStr">
        <is>
          <t>Malatad</t>
        </is>
      </c>
    </row>
    <row r="11646" spans="1:1">
      <c r="A11646" t="inlineStr">
        <is>
          <t>Malire</t>
        </is>
      </c>
    </row>
    <row r="11647" spans="1:1">
      <c r="A11647" t="inlineStr">
        <is>
          <t>New Pontevedra</t>
        </is>
      </c>
    </row>
    <row r="11648" spans="1:1">
      <c r="A11648" t="inlineStr">
        <is>
          <t>Poblacion</t>
        </is>
      </c>
    </row>
    <row r="11649" spans="1:1">
      <c r="A11649" t="inlineStr">
        <is>
          <t>Allab</t>
        </is>
      </c>
    </row>
    <row r="11650" spans="1:1">
      <c r="A11650" t="inlineStr">
        <is>
          <t>Anapolon</t>
        </is>
      </c>
    </row>
    <row r="11651" spans="1:1">
      <c r="A11651" t="inlineStr">
        <is>
          <t>Badiangon</t>
        </is>
      </c>
    </row>
    <row r="11652" spans="1:1">
      <c r="A11652" t="inlineStr">
        <is>
          <t>Binoongan</t>
        </is>
      </c>
    </row>
    <row r="11653" spans="1:1">
      <c r="A11653" t="inlineStr">
        <is>
          <t>Dallag</t>
        </is>
      </c>
    </row>
    <row r="11654" spans="1:1">
      <c r="A11654" t="inlineStr">
        <is>
          <t>Datu Ladayon</t>
        </is>
      </c>
    </row>
    <row r="11655" spans="1:1">
      <c r="A11655" t="inlineStr">
        <is>
          <t>Datu Matangkil</t>
        </is>
      </c>
    </row>
    <row r="11656" spans="1:1">
      <c r="A11656" t="inlineStr">
        <is>
          <t>Doroluman</t>
        </is>
      </c>
    </row>
    <row r="11657" spans="1:1">
      <c r="A11657" t="inlineStr">
        <is>
          <t>Gambodes</t>
        </is>
      </c>
    </row>
    <row r="11658" spans="1:1">
      <c r="A11658" t="inlineStr">
        <is>
          <t>Ganatan</t>
        </is>
      </c>
    </row>
    <row r="11659" spans="1:1">
      <c r="A11659" t="inlineStr">
        <is>
          <t>Greenfield</t>
        </is>
      </c>
    </row>
    <row r="11660" spans="1:1">
      <c r="A11660" t="inlineStr">
        <is>
          <t>Kabalantian</t>
        </is>
      </c>
    </row>
    <row r="11661" spans="1:1">
      <c r="A11661" t="inlineStr">
        <is>
          <t>Katipunan</t>
        </is>
      </c>
    </row>
    <row r="11662" spans="1:1">
      <c r="A11662" t="inlineStr">
        <is>
          <t>Kinawayan</t>
        </is>
      </c>
    </row>
    <row r="11663" spans="1:1">
      <c r="A11663" t="inlineStr">
        <is>
          <t>Kulaman Valley</t>
        </is>
      </c>
    </row>
    <row r="11664" spans="1:1">
      <c r="A11664" t="inlineStr">
        <is>
          <t>Lanao Kuran</t>
        </is>
      </c>
    </row>
    <row r="11665" spans="1:1">
      <c r="A11665" t="inlineStr">
        <is>
          <t>Libertad</t>
        </is>
      </c>
    </row>
    <row r="11666" spans="1:1">
      <c r="A11666" t="inlineStr">
        <is>
          <t>Makalangot</t>
        </is>
      </c>
    </row>
    <row r="11667" spans="1:1">
      <c r="A11667" t="inlineStr">
        <is>
          <t>Malibatuan</t>
        </is>
      </c>
    </row>
    <row r="11668" spans="1:1">
      <c r="A11668" t="inlineStr">
        <is>
          <t>Maria Caridad</t>
        </is>
      </c>
    </row>
    <row r="11669" spans="1:1">
      <c r="A11669" t="inlineStr">
        <is>
          <t>Meocan</t>
        </is>
      </c>
    </row>
    <row r="11670" spans="1:1">
      <c r="A11670" t="inlineStr">
        <is>
          <t>Naje</t>
        </is>
      </c>
    </row>
    <row r="11671" spans="1:1">
      <c r="A11671" t="inlineStr">
        <is>
          <t>Napalico</t>
        </is>
      </c>
    </row>
    <row r="11672" spans="1:1">
      <c r="A11672" t="inlineStr">
        <is>
          <t>Salasang</t>
        </is>
      </c>
    </row>
    <row r="11673" spans="1:1">
      <c r="A11673" t="inlineStr">
        <is>
          <t>San Miguel</t>
        </is>
      </c>
    </row>
    <row r="11674" spans="1:1">
      <c r="A11674" t="inlineStr">
        <is>
          <t>Santo Niño</t>
        </is>
      </c>
    </row>
    <row r="11675" spans="1:1">
      <c r="A11675" t="inlineStr">
        <is>
          <t>Sumalili</t>
        </is>
      </c>
    </row>
    <row r="11676" spans="1:1">
      <c r="A11676" t="inlineStr">
        <is>
          <t>Tumanding</t>
        </is>
      </c>
    </row>
    <row r="11677" spans="1:1">
      <c r="A11677" t="inlineStr">
        <is>
          <t>Banisilan Poblacion</t>
        </is>
      </c>
    </row>
    <row r="11678" spans="1:1">
      <c r="A11678" t="inlineStr">
        <is>
          <t>Busaon</t>
        </is>
      </c>
    </row>
    <row r="11679" spans="1:1">
      <c r="A11679" t="inlineStr">
        <is>
          <t>Capayangan</t>
        </is>
      </c>
    </row>
    <row r="11680" spans="1:1">
      <c r="A11680" t="inlineStr">
        <is>
          <t>Carugmanan</t>
        </is>
      </c>
    </row>
    <row r="11681" spans="1:1">
      <c r="A11681" t="inlineStr">
        <is>
          <t>Gastay</t>
        </is>
      </c>
    </row>
    <row r="11682" spans="1:1">
      <c r="A11682" t="inlineStr">
        <is>
          <t>Kalawaig</t>
        </is>
      </c>
    </row>
    <row r="11683" spans="1:1">
      <c r="A11683" t="inlineStr">
        <is>
          <t>Kiaring</t>
        </is>
      </c>
    </row>
    <row r="11684" spans="1:1">
      <c r="A11684" t="inlineStr">
        <is>
          <t>Malagap</t>
        </is>
      </c>
    </row>
    <row r="11685" spans="1:1">
      <c r="A11685" t="inlineStr">
        <is>
          <t>Malinao</t>
        </is>
      </c>
    </row>
    <row r="11686" spans="1:1">
      <c r="A11686" t="inlineStr">
        <is>
          <t>Miguel Macasarte</t>
        </is>
      </c>
    </row>
    <row r="11687" spans="1:1">
      <c r="A11687" t="inlineStr">
        <is>
          <t>Pantar</t>
        </is>
      </c>
    </row>
    <row r="11688" spans="1:1">
      <c r="A11688" t="inlineStr">
        <is>
          <t>Paradise</t>
        </is>
      </c>
    </row>
    <row r="11689" spans="1:1">
      <c r="A11689" t="inlineStr">
        <is>
          <t>Pinamulaan</t>
        </is>
      </c>
    </row>
    <row r="11690" spans="1:1">
      <c r="A11690" t="inlineStr">
        <is>
          <t>Poblacion II</t>
        </is>
      </c>
    </row>
    <row r="11691" spans="1:1">
      <c r="A11691" t="inlineStr">
        <is>
          <t>Puting-bato</t>
        </is>
      </c>
    </row>
    <row r="11692" spans="1:1">
      <c r="A11692" t="inlineStr">
        <is>
          <t>Solama</t>
        </is>
      </c>
    </row>
    <row r="11693" spans="1:1">
      <c r="A11693" t="inlineStr">
        <is>
          <t>Thailand</t>
        </is>
      </c>
    </row>
    <row r="11694" spans="1:1">
      <c r="A11694" t="inlineStr">
        <is>
          <t>Tinimbacan</t>
        </is>
      </c>
    </row>
    <row r="11695" spans="1:1">
      <c r="A11695" t="inlineStr">
        <is>
          <t>Tumbao-Camalig</t>
        </is>
      </c>
    </row>
    <row r="11696" spans="1:1">
      <c r="A11696" t="inlineStr">
        <is>
          <t>Wadya</t>
        </is>
      </c>
    </row>
    <row r="11697" spans="1:1">
      <c r="A11697" t="inlineStr">
        <is>
          <t>Aroman</t>
        </is>
      </c>
    </row>
    <row r="11698" spans="1:1">
      <c r="A11698" t="inlineStr">
        <is>
          <t>Bentangan</t>
        </is>
      </c>
    </row>
    <row r="11699" spans="1:1">
      <c r="A11699" t="inlineStr">
        <is>
          <t>Cadiis</t>
        </is>
      </c>
    </row>
    <row r="11700" spans="1:1">
      <c r="A11700" t="inlineStr">
        <is>
          <t>General Luna</t>
        </is>
      </c>
    </row>
    <row r="11701" spans="1:1">
      <c r="A11701" t="inlineStr">
        <is>
          <t>Katanayanan</t>
        </is>
      </c>
    </row>
    <row r="11702" spans="1:1">
      <c r="A11702" t="inlineStr">
        <is>
          <t>Kibenes</t>
        </is>
      </c>
    </row>
    <row r="11703" spans="1:1">
      <c r="A11703" t="inlineStr">
        <is>
          <t>Kibugtongan</t>
        </is>
      </c>
    </row>
    <row r="11704" spans="1:1">
      <c r="A11704" t="inlineStr">
        <is>
          <t>Kilala</t>
        </is>
      </c>
    </row>
    <row r="11705" spans="1:1">
      <c r="A11705" t="inlineStr">
        <is>
          <t>Kimadzil</t>
        </is>
      </c>
    </row>
    <row r="11706" spans="1:1">
      <c r="A11706" t="inlineStr">
        <is>
          <t>Lanoon</t>
        </is>
      </c>
    </row>
    <row r="11707" spans="1:1">
      <c r="A11707" t="inlineStr">
        <is>
          <t>Liliongan</t>
        </is>
      </c>
    </row>
    <row r="11708" spans="1:1">
      <c r="A11708" t="inlineStr">
        <is>
          <t>Macabenban</t>
        </is>
      </c>
    </row>
    <row r="11709" spans="1:1">
      <c r="A11709" t="inlineStr">
        <is>
          <t>Malapag</t>
        </is>
      </c>
    </row>
    <row r="11710" spans="1:1">
      <c r="A11710" t="inlineStr">
        <is>
          <t>Manili</t>
        </is>
      </c>
    </row>
    <row r="11711" spans="1:1">
      <c r="A11711" t="inlineStr">
        <is>
          <t>Palanggalan</t>
        </is>
      </c>
    </row>
    <row r="11712" spans="1:1">
      <c r="A11712" t="inlineStr">
        <is>
          <t>Poblacion</t>
        </is>
      </c>
    </row>
    <row r="11713" spans="1:1">
      <c r="A11713" t="inlineStr">
        <is>
          <t>Ranzo</t>
        </is>
      </c>
    </row>
    <row r="11714" spans="1:1">
      <c r="A11714" t="inlineStr">
        <is>
          <t>Tacupan</t>
        </is>
      </c>
    </row>
    <row r="11715" spans="1:1">
      <c r="A11715" t="inlineStr">
        <is>
          <t>Tambad</t>
        </is>
      </c>
    </row>
    <row r="11716" spans="1:1">
      <c r="A11716" t="inlineStr">
        <is>
          <t>Tonganon</t>
        </is>
      </c>
    </row>
    <row r="11717" spans="1:1">
      <c r="A11717" t="inlineStr">
        <is>
          <t>Ugalingan</t>
        </is>
      </c>
    </row>
    <row r="11718" spans="1:1">
      <c r="A11718" t="inlineStr">
        <is>
          <t>Amas</t>
        </is>
      </c>
    </row>
    <row r="11719" spans="1:1">
      <c r="A11719" t="inlineStr">
        <is>
          <t>Amazion</t>
        </is>
      </c>
    </row>
    <row r="11720" spans="1:1">
      <c r="A11720" t="inlineStr">
        <is>
          <t>Balabag</t>
        </is>
      </c>
    </row>
    <row r="11721" spans="1:1">
      <c r="A11721" t="inlineStr">
        <is>
          <t>Balindog</t>
        </is>
      </c>
    </row>
    <row r="11722" spans="1:1">
      <c r="A11722" t="inlineStr">
        <is>
          <t>Benoligan</t>
        </is>
      </c>
    </row>
    <row r="11723" spans="1:1">
      <c r="A11723" t="inlineStr">
        <is>
          <t>Berada</t>
        </is>
      </c>
    </row>
    <row r="11724" spans="1:1">
      <c r="A11724" t="inlineStr">
        <is>
          <t>Gayola</t>
        </is>
      </c>
    </row>
    <row r="11725" spans="1:1">
      <c r="A11725" t="inlineStr">
        <is>
          <t>Ginatilan</t>
        </is>
      </c>
    </row>
    <row r="11726" spans="1:1">
      <c r="A11726" t="inlineStr">
        <is>
          <t>Ilomavis</t>
        </is>
      </c>
    </row>
    <row r="11727" spans="1:1">
      <c r="A11727" t="inlineStr">
        <is>
          <t>Indangan</t>
        </is>
      </c>
    </row>
    <row r="11728" spans="1:1">
      <c r="A11728" t="inlineStr">
        <is>
          <t>Junction</t>
        </is>
      </c>
    </row>
    <row r="11729" spans="1:1">
      <c r="A11729" t="inlineStr">
        <is>
          <t>Kalaisan</t>
        </is>
      </c>
    </row>
    <row r="11730" spans="1:1">
      <c r="A11730" t="inlineStr">
        <is>
          <t>Kalasuyan</t>
        </is>
      </c>
    </row>
    <row r="11731" spans="1:1">
      <c r="A11731" t="inlineStr">
        <is>
          <t>Katipunan</t>
        </is>
      </c>
    </row>
    <row r="11732" spans="1:1">
      <c r="A11732" t="inlineStr">
        <is>
          <t>Lanao</t>
        </is>
      </c>
    </row>
    <row r="11733" spans="1:1">
      <c r="A11733" t="inlineStr">
        <is>
          <t>Linangcob</t>
        </is>
      </c>
    </row>
    <row r="11734" spans="1:1">
      <c r="A11734" t="inlineStr">
        <is>
          <t>Luvimin</t>
        </is>
      </c>
    </row>
    <row r="11735" spans="1:1">
      <c r="A11735" t="inlineStr">
        <is>
          <t>Macabolig</t>
        </is>
      </c>
    </row>
    <row r="11736" spans="1:1">
      <c r="A11736" t="inlineStr">
        <is>
          <t>Magsaysay</t>
        </is>
      </c>
    </row>
    <row r="11737" spans="1:1">
      <c r="A11737" t="inlineStr">
        <is>
          <t>Malinan</t>
        </is>
      </c>
    </row>
    <row r="11738" spans="1:1">
      <c r="A11738" t="inlineStr">
        <is>
          <t>Manongol</t>
        </is>
      </c>
    </row>
    <row r="11739" spans="1:1">
      <c r="A11739" t="inlineStr">
        <is>
          <t>Marbel</t>
        </is>
      </c>
    </row>
    <row r="11740" spans="1:1">
      <c r="A11740" t="inlineStr">
        <is>
          <t>Mateo</t>
        </is>
      </c>
    </row>
    <row r="11741" spans="1:1">
      <c r="A11741" t="inlineStr">
        <is>
          <t>Meochao</t>
        </is>
      </c>
    </row>
    <row r="11742" spans="1:1">
      <c r="A11742" t="inlineStr">
        <is>
          <t>Mua-an</t>
        </is>
      </c>
    </row>
    <row r="11743" spans="1:1">
      <c r="A11743" t="inlineStr">
        <is>
          <t>New Bohol</t>
        </is>
      </c>
    </row>
    <row r="11744" spans="1:1">
      <c r="A11744" t="inlineStr">
        <is>
          <t>Nuangan</t>
        </is>
      </c>
    </row>
    <row r="11745" spans="1:1">
      <c r="A11745" t="inlineStr">
        <is>
          <t>Onica</t>
        </is>
      </c>
    </row>
    <row r="11746" spans="1:1">
      <c r="A11746" t="inlineStr">
        <is>
          <t>Paco</t>
        </is>
      </c>
    </row>
    <row r="11747" spans="1:1">
      <c r="A11747" t="inlineStr">
        <is>
          <t>Patadon</t>
        </is>
      </c>
    </row>
    <row r="11748" spans="1:1">
      <c r="A11748" t="inlineStr">
        <is>
          <t>Perez</t>
        </is>
      </c>
    </row>
    <row r="11749" spans="1:1">
      <c r="A11749" t="inlineStr">
        <is>
          <t>Poblacion</t>
        </is>
      </c>
    </row>
    <row r="11750" spans="1:1">
      <c r="A11750" t="inlineStr">
        <is>
          <t>San Isidro</t>
        </is>
      </c>
    </row>
    <row r="11751" spans="1:1">
      <c r="A11751" t="inlineStr">
        <is>
          <t>San Roque</t>
        </is>
      </c>
    </row>
    <row r="11752" spans="1:1">
      <c r="A11752" t="inlineStr">
        <is>
          <t>Santo Niño</t>
        </is>
      </c>
    </row>
    <row r="11753" spans="1:1">
      <c r="A11753" t="inlineStr">
        <is>
          <t>Sibawan</t>
        </is>
      </c>
    </row>
    <row r="11754" spans="1:1">
      <c r="A11754" t="inlineStr">
        <is>
          <t>Sikitan</t>
        </is>
      </c>
    </row>
    <row r="11755" spans="1:1">
      <c r="A11755" t="inlineStr">
        <is>
          <t>Singao</t>
        </is>
      </c>
    </row>
    <row r="11756" spans="1:1">
      <c r="A11756" t="inlineStr">
        <is>
          <t>Sudapin</t>
        </is>
      </c>
    </row>
    <row r="11757" spans="1:1">
      <c r="A11757" t="inlineStr">
        <is>
          <t>Sumbao</t>
        </is>
      </c>
    </row>
    <row r="11758" spans="1:1">
      <c r="A11758" t="inlineStr">
        <is>
          <t>Aringay</t>
        </is>
      </c>
    </row>
    <row r="11759" spans="1:1">
      <c r="A11759" t="inlineStr">
        <is>
          <t>Bangilan</t>
        </is>
      </c>
    </row>
    <row r="11760" spans="1:1">
      <c r="A11760" t="inlineStr">
        <is>
          <t>Bannawag</t>
        </is>
      </c>
    </row>
    <row r="11761" spans="1:1">
      <c r="A11761" t="inlineStr">
        <is>
          <t>Cuyapon</t>
        </is>
      </c>
    </row>
    <row r="11762" spans="1:1">
      <c r="A11762" t="inlineStr">
        <is>
          <t>Dagupan</t>
        </is>
      </c>
    </row>
    <row r="11763" spans="1:1">
      <c r="A11763" t="inlineStr">
        <is>
          <t>Katidtuan</t>
        </is>
      </c>
    </row>
    <row r="11764" spans="1:1">
      <c r="A11764" t="inlineStr">
        <is>
          <t>Kayaga</t>
        </is>
      </c>
    </row>
    <row r="11765" spans="1:1">
      <c r="A11765" t="inlineStr">
        <is>
          <t>Kilagasan</t>
        </is>
      </c>
    </row>
    <row r="11766" spans="1:1">
      <c r="A11766" t="inlineStr">
        <is>
          <t>Magatos</t>
        </is>
      </c>
    </row>
    <row r="11767" spans="1:1">
      <c r="A11767" t="inlineStr">
        <is>
          <t>Malamote</t>
        </is>
      </c>
    </row>
    <row r="11768" spans="1:1">
      <c r="A11768" t="inlineStr">
        <is>
          <t>Malanduague</t>
        </is>
      </c>
    </row>
    <row r="11769" spans="1:1">
      <c r="A11769" t="inlineStr">
        <is>
          <t>Osias</t>
        </is>
      </c>
    </row>
    <row r="11770" spans="1:1">
      <c r="A11770" t="inlineStr">
        <is>
          <t>Paatan Lower</t>
        </is>
      </c>
    </row>
    <row r="11771" spans="1:1">
      <c r="A11771" t="inlineStr">
        <is>
          <t>Paatan Upper</t>
        </is>
      </c>
    </row>
    <row r="11772" spans="1:1">
      <c r="A11772" t="inlineStr">
        <is>
          <t>Pisan</t>
        </is>
      </c>
    </row>
    <row r="11773" spans="1:1">
      <c r="A11773" t="inlineStr">
        <is>
          <t>Poblacion</t>
        </is>
      </c>
    </row>
    <row r="11774" spans="1:1">
      <c r="A11774" t="inlineStr">
        <is>
          <t>Salapungan</t>
        </is>
      </c>
    </row>
    <row r="11775" spans="1:1">
      <c r="A11775" t="inlineStr">
        <is>
          <t>Abaga</t>
        </is>
      </c>
    </row>
    <row r="11776" spans="1:1">
      <c r="A11776" t="inlineStr">
        <is>
          <t>Baguer</t>
        </is>
      </c>
    </row>
    <row r="11777" spans="1:1">
      <c r="A11777" t="inlineStr">
        <is>
          <t>Barongis</t>
        </is>
      </c>
    </row>
    <row r="11778" spans="1:1">
      <c r="A11778" t="inlineStr">
        <is>
          <t>Batiocan</t>
        </is>
      </c>
    </row>
    <row r="11779" spans="1:1">
      <c r="A11779" t="inlineStr">
        <is>
          <t>Cabaruyan</t>
        </is>
      </c>
    </row>
    <row r="11780" spans="1:1">
      <c r="A11780" t="inlineStr">
        <is>
          <t>Cabpangi</t>
        </is>
      </c>
    </row>
    <row r="11781" spans="1:1">
      <c r="A11781" t="inlineStr">
        <is>
          <t>Demapaco</t>
        </is>
      </c>
    </row>
    <row r="11782" spans="1:1">
      <c r="A11782" t="inlineStr">
        <is>
          <t>Grebona</t>
        </is>
      </c>
    </row>
    <row r="11783" spans="1:1">
      <c r="A11783" t="inlineStr">
        <is>
          <t>Gumaga</t>
        </is>
      </c>
    </row>
    <row r="11784" spans="1:1">
      <c r="A11784" t="inlineStr">
        <is>
          <t>Kapayawi</t>
        </is>
      </c>
    </row>
    <row r="11785" spans="1:1">
      <c r="A11785" t="inlineStr">
        <is>
          <t>Kiloyao</t>
        </is>
      </c>
    </row>
    <row r="11786" spans="1:1">
      <c r="A11786" t="inlineStr">
        <is>
          <t>Kitubod</t>
        </is>
      </c>
    </row>
    <row r="11787" spans="1:1">
      <c r="A11787" t="inlineStr">
        <is>
          <t>Malengen</t>
        </is>
      </c>
    </row>
    <row r="11788" spans="1:1">
      <c r="A11788" t="inlineStr">
        <is>
          <t>Montay</t>
        </is>
      </c>
    </row>
    <row r="11789" spans="1:1">
      <c r="A11789" t="inlineStr">
        <is>
          <t>Nica-an</t>
        </is>
      </c>
    </row>
    <row r="11790" spans="1:1">
      <c r="A11790" t="inlineStr">
        <is>
          <t>Palao</t>
        </is>
      </c>
    </row>
    <row r="11791" spans="1:1">
      <c r="A11791" t="inlineStr">
        <is>
          <t>Poblacion</t>
        </is>
      </c>
    </row>
    <row r="11792" spans="1:1">
      <c r="A11792" t="inlineStr">
        <is>
          <t>Sinapangan</t>
        </is>
      </c>
    </row>
    <row r="11793" spans="1:1">
      <c r="A11793" t="inlineStr">
        <is>
          <t>Sinawingan</t>
        </is>
      </c>
    </row>
    <row r="11794" spans="1:1">
      <c r="A11794" t="inlineStr">
        <is>
          <t>Ulamian</t>
        </is>
      </c>
    </row>
    <row r="11795" spans="1:1">
      <c r="A11795" t="inlineStr">
        <is>
          <t>Bagontapay</t>
        </is>
      </c>
    </row>
    <row r="11796" spans="1:1">
      <c r="A11796" t="inlineStr">
        <is>
          <t>Bialong</t>
        </is>
      </c>
    </row>
    <row r="11797" spans="1:1">
      <c r="A11797" t="inlineStr">
        <is>
          <t>Buayan</t>
        </is>
      </c>
    </row>
    <row r="11798" spans="1:1">
      <c r="A11798" t="inlineStr">
        <is>
          <t>Calunasan</t>
        </is>
      </c>
    </row>
    <row r="11799" spans="1:1">
      <c r="A11799" t="inlineStr">
        <is>
          <t>Dagong</t>
        </is>
      </c>
    </row>
    <row r="11800" spans="1:1">
      <c r="A11800" t="inlineStr">
        <is>
          <t>Dalipe</t>
        </is>
      </c>
    </row>
    <row r="11801" spans="1:1">
      <c r="A11801" t="inlineStr">
        <is>
          <t>Dungo-an</t>
        </is>
      </c>
    </row>
    <row r="11802" spans="1:1">
      <c r="A11802" t="inlineStr">
        <is>
          <t>Gaunan</t>
        </is>
      </c>
    </row>
    <row r="11803" spans="1:1">
      <c r="A11803" t="inlineStr">
        <is>
          <t>Inas</t>
        </is>
      </c>
    </row>
    <row r="11804" spans="1:1">
      <c r="A11804" t="inlineStr">
        <is>
          <t>Katipunan</t>
        </is>
      </c>
    </row>
    <row r="11805" spans="1:1">
      <c r="A11805" t="inlineStr">
        <is>
          <t>La Fortuna</t>
        </is>
      </c>
    </row>
    <row r="11806" spans="1:1">
      <c r="A11806" t="inlineStr">
        <is>
          <t>La Suerte</t>
        </is>
      </c>
    </row>
    <row r="11807" spans="1:1">
      <c r="A11807" t="inlineStr">
        <is>
          <t>Langkong</t>
        </is>
      </c>
    </row>
    <row r="11808" spans="1:1">
      <c r="A11808" t="inlineStr">
        <is>
          <t>Lepaga</t>
        </is>
      </c>
    </row>
    <row r="11809" spans="1:1">
      <c r="A11809" t="inlineStr">
        <is>
          <t>Liboo</t>
        </is>
      </c>
    </row>
    <row r="11810" spans="1:1">
      <c r="A11810" t="inlineStr">
        <is>
          <t>Lika</t>
        </is>
      </c>
    </row>
    <row r="11811" spans="1:1">
      <c r="A11811" t="inlineStr">
        <is>
          <t>Luz Village</t>
        </is>
      </c>
    </row>
    <row r="11812" spans="1:1">
      <c r="A11812" t="inlineStr">
        <is>
          <t>Magallon</t>
        </is>
      </c>
    </row>
    <row r="11813" spans="1:1">
      <c r="A11813" t="inlineStr">
        <is>
          <t>Malayan</t>
        </is>
      </c>
    </row>
    <row r="11814" spans="1:1">
      <c r="A11814" t="inlineStr">
        <is>
          <t>New Antique</t>
        </is>
      </c>
    </row>
    <row r="11815" spans="1:1">
      <c r="A11815" t="inlineStr">
        <is>
          <t>New Barbaza</t>
        </is>
      </c>
    </row>
    <row r="11816" spans="1:1">
      <c r="A11816" t="inlineStr">
        <is>
          <t>New Consolacion</t>
        </is>
      </c>
    </row>
    <row r="11817" spans="1:1">
      <c r="A11817" t="inlineStr">
        <is>
          <t>New Esperanza</t>
        </is>
      </c>
    </row>
    <row r="11818" spans="1:1">
      <c r="A11818" t="inlineStr">
        <is>
          <t>New Janiuay</t>
        </is>
      </c>
    </row>
    <row r="11819" spans="1:1">
      <c r="A11819" t="inlineStr">
        <is>
          <t>New Kalibo</t>
        </is>
      </c>
    </row>
    <row r="11820" spans="1:1">
      <c r="A11820" t="inlineStr">
        <is>
          <t>New Lawa-an</t>
        </is>
      </c>
    </row>
    <row r="11821" spans="1:1">
      <c r="A11821" t="inlineStr">
        <is>
          <t>New Rizal</t>
        </is>
      </c>
    </row>
    <row r="11822" spans="1:1">
      <c r="A11822" t="inlineStr">
        <is>
          <t>Nueva Vida</t>
        </is>
      </c>
    </row>
    <row r="11823" spans="1:1">
      <c r="A11823" t="inlineStr">
        <is>
          <t>Pag-asa</t>
        </is>
      </c>
    </row>
    <row r="11824" spans="1:1">
      <c r="A11824" t="inlineStr">
        <is>
          <t>Palma-Perez</t>
        </is>
      </c>
    </row>
    <row r="11825" spans="1:1">
      <c r="A11825" t="inlineStr">
        <is>
          <t>Poblacion</t>
        </is>
      </c>
    </row>
    <row r="11826" spans="1:1">
      <c r="A11826" t="inlineStr">
        <is>
          <t>Poblacion B</t>
        </is>
      </c>
    </row>
    <row r="11827" spans="1:1">
      <c r="A11827" t="inlineStr">
        <is>
          <t>Pulang-lupa</t>
        </is>
      </c>
    </row>
    <row r="11828" spans="1:1">
      <c r="A11828" t="inlineStr">
        <is>
          <t>Sangat</t>
        </is>
      </c>
    </row>
    <row r="11829" spans="1:1">
      <c r="A11829" t="inlineStr">
        <is>
          <t>Tawantawan</t>
        </is>
      </c>
    </row>
    <row r="11830" spans="1:1">
      <c r="A11830" t="inlineStr">
        <is>
          <t>Tibao</t>
        </is>
      </c>
    </row>
    <row r="11831" spans="1:1">
      <c r="A11831" t="inlineStr">
        <is>
          <t>Ugpay</t>
        </is>
      </c>
    </row>
    <row r="11832" spans="1:1">
      <c r="A11832" t="inlineStr">
        <is>
          <t>Alibayon</t>
        </is>
      </c>
    </row>
    <row r="11833" spans="1:1">
      <c r="A11833" t="inlineStr">
        <is>
          <t>Amabel</t>
        </is>
      </c>
    </row>
    <row r="11834" spans="1:1">
      <c r="A11834" t="inlineStr">
        <is>
          <t>Bagumbayan</t>
        </is>
      </c>
    </row>
    <row r="11835" spans="1:1">
      <c r="A11835" t="inlineStr">
        <is>
          <t>Balete</t>
        </is>
      </c>
    </row>
    <row r="11836" spans="1:1">
      <c r="A11836" t="inlineStr">
        <is>
          <t>Bangkal</t>
        </is>
      </c>
    </row>
    <row r="11837" spans="1:1">
      <c r="A11837" t="inlineStr">
        <is>
          <t>Bantac</t>
        </is>
      </c>
    </row>
    <row r="11838" spans="1:1">
      <c r="A11838" t="inlineStr">
        <is>
          <t>Basak</t>
        </is>
      </c>
    </row>
    <row r="11839" spans="1:1">
      <c r="A11839" t="inlineStr">
        <is>
          <t>Binay</t>
        </is>
      </c>
    </row>
    <row r="11840" spans="1:1">
      <c r="A11840" t="inlineStr">
        <is>
          <t>Bongolanon</t>
        </is>
      </c>
    </row>
    <row r="11841" spans="1:1">
      <c r="A11841" t="inlineStr">
        <is>
          <t>Datu Celo</t>
        </is>
      </c>
    </row>
    <row r="11842" spans="1:1">
      <c r="A11842" t="inlineStr">
        <is>
          <t>Del Pilar</t>
        </is>
      </c>
    </row>
    <row r="11843" spans="1:1">
      <c r="A11843" t="inlineStr">
        <is>
          <t>Doles</t>
        </is>
      </c>
    </row>
    <row r="11844" spans="1:1">
      <c r="A11844" t="inlineStr">
        <is>
          <t>Don Panaca</t>
        </is>
      </c>
    </row>
    <row r="11845" spans="1:1">
      <c r="A11845" t="inlineStr">
        <is>
          <t>Gubatan</t>
        </is>
      </c>
    </row>
    <row r="11846" spans="1:1">
      <c r="A11846" t="inlineStr">
        <is>
          <t>Ilian</t>
        </is>
      </c>
    </row>
    <row r="11847" spans="1:1">
      <c r="A11847" t="inlineStr">
        <is>
          <t>Imamaling</t>
        </is>
      </c>
    </row>
    <row r="11848" spans="1:1">
      <c r="A11848" t="inlineStr">
        <is>
          <t>Inac</t>
        </is>
      </c>
    </row>
    <row r="11849" spans="1:1">
      <c r="A11849" t="inlineStr">
        <is>
          <t>Kamada</t>
        </is>
      </c>
    </row>
    <row r="11850" spans="1:1">
      <c r="A11850" t="inlineStr">
        <is>
          <t>Kauswagan</t>
        </is>
      </c>
    </row>
    <row r="11851" spans="1:1">
      <c r="A11851" t="inlineStr">
        <is>
          <t>Kinarum</t>
        </is>
      </c>
    </row>
    <row r="11852" spans="1:1">
      <c r="A11852" t="inlineStr">
        <is>
          <t>Kisandal</t>
        </is>
      </c>
    </row>
    <row r="11853" spans="1:1">
      <c r="A11853" t="inlineStr">
        <is>
          <t>Magcaalam</t>
        </is>
      </c>
    </row>
    <row r="11854" spans="1:1">
      <c r="A11854" t="inlineStr">
        <is>
          <t>Mahongcog</t>
        </is>
      </c>
    </row>
    <row r="11855" spans="1:1">
      <c r="A11855" t="inlineStr">
        <is>
          <t>Manobisa</t>
        </is>
      </c>
    </row>
    <row r="11856" spans="1:1">
      <c r="A11856" t="inlineStr">
        <is>
          <t>Manobo</t>
        </is>
      </c>
    </row>
    <row r="11857" spans="1:1">
      <c r="A11857" t="inlineStr">
        <is>
          <t>Noa</t>
        </is>
      </c>
    </row>
    <row r="11858" spans="1:1">
      <c r="A11858" t="inlineStr">
        <is>
          <t>Owas</t>
        </is>
      </c>
    </row>
    <row r="11859" spans="1:1">
      <c r="A11859" t="inlineStr">
        <is>
          <t>Pangao-an</t>
        </is>
      </c>
    </row>
    <row r="11860" spans="1:1">
      <c r="A11860" t="inlineStr">
        <is>
          <t>Poblacion</t>
        </is>
      </c>
    </row>
    <row r="11861" spans="1:1">
      <c r="A11861" t="inlineStr">
        <is>
          <t>Sallab</t>
        </is>
      </c>
    </row>
    <row r="11862" spans="1:1">
      <c r="A11862" t="inlineStr">
        <is>
          <t>Tagbac</t>
        </is>
      </c>
    </row>
    <row r="11863" spans="1:1">
      <c r="A11863" t="inlineStr">
        <is>
          <t>Temporan</t>
        </is>
      </c>
    </row>
    <row r="11864" spans="1:1">
      <c r="A11864" t="inlineStr">
        <is>
          <t>Batasan</t>
        </is>
      </c>
    </row>
    <row r="11865" spans="1:1">
      <c r="A11865" t="inlineStr">
        <is>
          <t>Bato</t>
        </is>
      </c>
    </row>
    <row r="11866" spans="1:1">
      <c r="A11866" t="inlineStr">
        <is>
          <t>Biangan</t>
        </is>
      </c>
    </row>
    <row r="11867" spans="1:1">
      <c r="A11867" t="inlineStr">
        <is>
          <t>Buena Vida</t>
        </is>
      </c>
    </row>
    <row r="11868" spans="1:1">
      <c r="A11868" t="inlineStr">
        <is>
          <t>Buhay</t>
        </is>
      </c>
    </row>
    <row r="11869" spans="1:1">
      <c r="A11869" t="inlineStr">
        <is>
          <t>Bulakanon</t>
        </is>
      </c>
    </row>
    <row r="11870" spans="1:1">
      <c r="A11870" t="inlineStr">
        <is>
          <t>Cabilao</t>
        </is>
      </c>
    </row>
    <row r="11871" spans="1:1">
      <c r="A11871" t="inlineStr">
        <is>
          <t>Concepcion</t>
        </is>
      </c>
    </row>
    <row r="11872" spans="1:1">
      <c r="A11872" t="inlineStr">
        <is>
          <t>Dagupan</t>
        </is>
      </c>
    </row>
    <row r="11873" spans="1:1">
      <c r="A11873" t="inlineStr">
        <is>
          <t>Garsika</t>
        </is>
      </c>
    </row>
    <row r="11874" spans="1:1">
      <c r="A11874" t="inlineStr">
        <is>
          <t>Guangan</t>
        </is>
      </c>
    </row>
    <row r="11875" spans="1:1">
      <c r="A11875" t="inlineStr">
        <is>
          <t>Indangan</t>
        </is>
      </c>
    </row>
    <row r="11876" spans="1:1">
      <c r="A11876" t="inlineStr">
        <is>
          <t>Jose Rizal</t>
        </is>
      </c>
    </row>
    <row r="11877" spans="1:1">
      <c r="A11877" t="inlineStr">
        <is>
          <t>Katipunan II</t>
        </is>
      </c>
    </row>
    <row r="11878" spans="1:1">
      <c r="A11878" t="inlineStr">
        <is>
          <t>Kawayanon</t>
        </is>
      </c>
    </row>
    <row r="11879" spans="1:1">
      <c r="A11879" t="inlineStr">
        <is>
          <t>Kisante</t>
        </is>
      </c>
    </row>
    <row r="11880" spans="1:1">
      <c r="A11880" t="inlineStr">
        <is>
          <t>Leboce</t>
        </is>
      </c>
    </row>
    <row r="11881" spans="1:1">
      <c r="A11881" t="inlineStr">
        <is>
          <t>Libertad</t>
        </is>
      </c>
    </row>
    <row r="11882" spans="1:1">
      <c r="A11882" t="inlineStr">
        <is>
          <t>Luayon</t>
        </is>
      </c>
    </row>
    <row r="11883" spans="1:1">
      <c r="A11883" t="inlineStr">
        <is>
          <t>Luna Norte</t>
        </is>
      </c>
    </row>
    <row r="11884" spans="1:1">
      <c r="A11884" t="inlineStr">
        <is>
          <t>Luna Sur</t>
        </is>
      </c>
    </row>
    <row r="11885" spans="1:1">
      <c r="A11885" t="inlineStr">
        <is>
          <t>Malabuan</t>
        </is>
      </c>
    </row>
    <row r="11886" spans="1:1">
      <c r="A11886" t="inlineStr">
        <is>
          <t>Malasila</t>
        </is>
      </c>
    </row>
    <row r="11887" spans="1:1">
      <c r="A11887" t="inlineStr">
        <is>
          <t>Malungon</t>
        </is>
      </c>
    </row>
    <row r="11888" spans="1:1">
      <c r="A11888" t="inlineStr">
        <is>
          <t>New Baguio</t>
        </is>
      </c>
    </row>
    <row r="11889" spans="1:1">
      <c r="A11889" t="inlineStr">
        <is>
          <t>New Bulatukan</t>
        </is>
      </c>
    </row>
    <row r="11890" spans="1:1">
      <c r="A11890" t="inlineStr">
        <is>
          <t>New Cebu</t>
        </is>
      </c>
    </row>
    <row r="11891" spans="1:1">
      <c r="A11891" t="inlineStr">
        <is>
          <t>New Israel</t>
        </is>
      </c>
    </row>
    <row r="11892" spans="1:1">
      <c r="A11892" t="inlineStr">
        <is>
          <t>Old Bulatukan</t>
        </is>
      </c>
    </row>
    <row r="11893" spans="1:1">
      <c r="A11893" t="inlineStr">
        <is>
          <t>Poblacion</t>
        </is>
      </c>
    </row>
    <row r="11894" spans="1:1">
      <c r="A11894" t="inlineStr">
        <is>
          <t>Rodero</t>
        </is>
      </c>
    </row>
    <row r="11895" spans="1:1">
      <c r="A11895" t="inlineStr">
        <is>
          <t>Saguing</t>
        </is>
      </c>
    </row>
    <row r="11896" spans="1:1">
      <c r="A11896" t="inlineStr">
        <is>
          <t>San Vicente</t>
        </is>
      </c>
    </row>
    <row r="11897" spans="1:1">
      <c r="A11897" t="inlineStr">
        <is>
          <t>Santa Felomina</t>
        </is>
      </c>
    </row>
    <row r="11898" spans="1:1">
      <c r="A11898" t="inlineStr">
        <is>
          <t>Santo Niño</t>
        </is>
      </c>
    </row>
    <row r="11899" spans="1:1">
      <c r="A11899" t="inlineStr">
        <is>
          <t>Sinkatulan</t>
        </is>
      </c>
    </row>
    <row r="11900" spans="1:1">
      <c r="A11900" t="inlineStr">
        <is>
          <t>Taluntalunan</t>
        </is>
      </c>
    </row>
    <row r="11901" spans="1:1">
      <c r="A11901" t="inlineStr">
        <is>
          <t>Villaflores</t>
        </is>
      </c>
    </row>
    <row r="11902" spans="1:1">
      <c r="A11902" t="inlineStr">
        <is>
          <t>Arakan</t>
        </is>
      </c>
    </row>
    <row r="11903" spans="1:1">
      <c r="A11903" t="inlineStr">
        <is>
          <t>Bangbang</t>
        </is>
      </c>
    </row>
    <row r="11904" spans="1:1">
      <c r="A11904" t="inlineStr">
        <is>
          <t>Bato</t>
        </is>
      </c>
    </row>
    <row r="11905" spans="1:1">
      <c r="A11905" t="inlineStr">
        <is>
          <t>Central Malamote</t>
        </is>
      </c>
    </row>
    <row r="11906" spans="1:1">
      <c r="A11906" t="inlineStr">
        <is>
          <t>Dalapitan</t>
        </is>
      </c>
    </row>
    <row r="11907" spans="1:1">
      <c r="A11907" t="inlineStr">
        <is>
          <t>Estado</t>
        </is>
      </c>
    </row>
    <row r="11908" spans="1:1">
      <c r="A11908" t="inlineStr">
        <is>
          <t>Ilian</t>
        </is>
      </c>
    </row>
    <row r="11909" spans="1:1">
      <c r="A11909" t="inlineStr">
        <is>
          <t>Kabulacan</t>
        </is>
      </c>
    </row>
    <row r="11910" spans="1:1">
      <c r="A11910" t="inlineStr">
        <is>
          <t>Kibia</t>
        </is>
      </c>
    </row>
    <row r="11911" spans="1:1">
      <c r="A11911" t="inlineStr">
        <is>
          <t>Kibudoc</t>
        </is>
      </c>
    </row>
    <row r="11912" spans="1:1">
      <c r="A11912" t="inlineStr">
        <is>
          <t>Kidama</t>
        </is>
      </c>
    </row>
    <row r="11913" spans="1:1">
      <c r="A11913" t="inlineStr">
        <is>
          <t>Kilada</t>
        </is>
      </c>
    </row>
    <row r="11914" spans="1:1">
      <c r="A11914" t="inlineStr">
        <is>
          <t>Lampayan</t>
        </is>
      </c>
    </row>
    <row r="11915" spans="1:1">
      <c r="A11915" t="inlineStr">
        <is>
          <t>Latagan</t>
        </is>
      </c>
    </row>
    <row r="11916" spans="1:1">
      <c r="A11916" t="inlineStr">
        <is>
          <t>Linao</t>
        </is>
      </c>
    </row>
    <row r="11917" spans="1:1">
      <c r="A11917" t="inlineStr">
        <is>
          <t>Lower Malamote</t>
        </is>
      </c>
    </row>
    <row r="11918" spans="1:1">
      <c r="A11918" t="inlineStr">
        <is>
          <t>Manubuan</t>
        </is>
      </c>
    </row>
    <row r="11919" spans="1:1">
      <c r="A11919" t="inlineStr">
        <is>
          <t>Manupal</t>
        </is>
      </c>
    </row>
    <row r="11920" spans="1:1">
      <c r="A11920" t="inlineStr">
        <is>
          <t>Marbel</t>
        </is>
      </c>
    </row>
    <row r="11921" spans="1:1">
      <c r="A11921" t="inlineStr">
        <is>
          <t>Minamaing</t>
        </is>
      </c>
    </row>
    <row r="11922" spans="1:1">
      <c r="A11922" t="inlineStr">
        <is>
          <t>Natutungan</t>
        </is>
      </c>
    </row>
    <row r="11923" spans="1:1">
      <c r="A11923" t="inlineStr">
        <is>
          <t>New Abra</t>
        </is>
      </c>
    </row>
    <row r="11924" spans="1:1">
      <c r="A11924" t="inlineStr">
        <is>
          <t>New Alimodian</t>
        </is>
      </c>
    </row>
    <row r="11925" spans="1:1">
      <c r="A11925" t="inlineStr">
        <is>
          <t>New Bugasong</t>
        </is>
      </c>
    </row>
    <row r="11926" spans="1:1">
      <c r="A11926" t="inlineStr">
        <is>
          <t>New Pandan</t>
        </is>
      </c>
    </row>
    <row r="11927" spans="1:1">
      <c r="A11927" t="inlineStr">
        <is>
          <t>Patadon West</t>
        </is>
      </c>
    </row>
    <row r="11928" spans="1:1">
      <c r="A11928" t="inlineStr">
        <is>
          <t>Pinamaton</t>
        </is>
      </c>
    </row>
    <row r="11929" spans="1:1">
      <c r="A11929" t="inlineStr">
        <is>
          <t>Poblacion</t>
        </is>
      </c>
    </row>
    <row r="11930" spans="1:1">
      <c r="A11930" t="inlineStr">
        <is>
          <t>Salvacion</t>
        </is>
      </c>
    </row>
    <row r="11931" spans="1:1">
      <c r="A11931" t="inlineStr">
        <is>
          <t>Santa Maria</t>
        </is>
      </c>
    </row>
    <row r="11932" spans="1:1">
      <c r="A11932" t="inlineStr">
        <is>
          <t>Sarayan</t>
        </is>
      </c>
    </row>
    <row r="11933" spans="1:1">
      <c r="A11933" t="inlineStr">
        <is>
          <t>Taculen</t>
        </is>
      </c>
    </row>
    <row r="11934" spans="1:1">
      <c r="A11934" t="inlineStr">
        <is>
          <t>Taguranao</t>
        </is>
      </c>
    </row>
    <row r="11935" spans="1:1">
      <c r="A11935" t="inlineStr">
        <is>
          <t>Tamped</t>
        </is>
      </c>
    </row>
    <row r="11936" spans="1:1">
      <c r="A11936" t="inlineStr">
        <is>
          <t>Agriculture</t>
        </is>
      </c>
    </row>
    <row r="11937" spans="1:1">
      <c r="A11937" t="inlineStr">
        <is>
          <t>Anonang</t>
        </is>
      </c>
    </row>
    <row r="11938" spans="1:1">
      <c r="A11938" t="inlineStr">
        <is>
          <t>Arizona</t>
        </is>
      </c>
    </row>
    <row r="11939" spans="1:1">
      <c r="A11939" t="inlineStr">
        <is>
          <t>Bagumba</t>
        </is>
      </c>
    </row>
    <row r="11940" spans="1:1">
      <c r="A11940" t="inlineStr">
        <is>
          <t>Baliki</t>
        </is>
      </c>
    </row>
    <row r="11941" spans="1:1">
      <c r="A11941" t="inlineStr">
        <is>
          <t>Barangay Poblacion 1</t>
        </is>
      </c>
    </row>
    <row r="11942" spans="1:1">
      <c r="A11942" t="inlineStr">
        <is>
          <t>Barangay Poblacion 2</t>
        </is>
      </c>
    </row>
    <row r="11943" spans="1:1">
      <c r="A11943" t="inlineStr">
        <is>
          <t>Barangay Poblacion 3</t>
        </is>
      </c>
    </row>
    <row r="11944" spans="1:1">
      <c r="A11944" t="inlineStr">
        <is>
          <t>Barangay Poblacion 4</t>
        </is>
      </c>
    </row>
    <row r="11945" spans="1:1">
      <c r="A11945" t="inlineStr">
        <is>
          <t>Barangay Poblacion 5</t>
        </is>
      </c>
    </row>
    <row r="11946" spans="1:1">
      <c r="A11946" t="inlineStr">
        <is>
          <t>Barangay Poblacion 6</t>
        </is>
      </c>
    </row>
    <row r="11947" spans="1:1">
      <c r="A11947" t="inlineStr">
        <is>
          <t>Barangay Poblacion 7</t>
        </is>
      </c>
    </row>
    <row r="11948" spans="1:1">
      <c r="A11948" t="inlineStr">
        <is>
          <t>Barangay Poblacion 8</t>
        </is>
      </c>
    </row>
    <row r="11949" spans="1:1">
      <c r="A11949" t="inlineStr">
        <is>
          <t>Bitoka</t>
        </is>
      </c>
    </row>
    <row r="11950" spans="1:1">
      <c r="A11950" t="inlineStr">
        <is>
          <t>Bual Norte</t>
        </is>
      </c>
    </row>
    <row r="11951" spans="1:1">
      <c r="A11951" t="inlineStr">
        <is>
          <t>Bual Sur</t>
        </is>
      </c>
    </row>
    <row r="11952" spans="1:1">
      <c r="A11952" t="inlineStr">
        <is>
          <t>Bulanan Upper</t>
        </is>
      </c>
    </row>
    <row r="11953" spans="1:1">
      <c r="A11953" t="inlineStr">
        <is>
          <t>Central Bulanan</t>
        </is>
      </c>
    </row>
    <row r="11954" spans="1:1">
      <c r="A11954" t="inlineStr">
        <is>
          <t>Central Glad</t>
        </is>
      </c>
    </row>
    <row r="11955" spans="1:1">
      <c r="A11955" t="inlineStr">
        <is>
          <t>Central Katingawan</t>
        </is>
      </c>
    </row>
    <row r="11956" spans="1:1">
      <c r="A11956" t="inlineStr">
        <is>
          <t>Ilbocean</t>
        </is>
      </c>
    </row>
    <row r="11957" spans="1:1">
      <c r="A11957" t="inlineStr">
        <is>
          <t>Kimagango</t>
        </is>
      </c>
    </row>
    <row r="11958" spans="1:1">
      <c r="A11958" t="inlineStr">
        <is>
          <t>Kiwanan</t>
        </is>
      </c>
    </row>
    <row r="11959" spans="1:1">
      <c r="A11959" t="inlineStr">
        <is>
          <t>Lagumbingan</t>
        </is>
      </c>
    </row>
    <row r="11960" spans="1:1">
      <c r="A11960" t="inlineStr">
        <is>
          <t>Lomopog</t>
        </is>
      </c>
    </row>
    <row r="11961" spans="1:1">
      <c r="A11961" t="inlineStr">
        <is>
          <t>Lower Glad</t>
        </is>
      </c>
    </row>
    <row r="11962" spans="1:1">
      <c r="A11962" t="inlineStr">
        <is>
          <t>Lower Katingawan</t>
        </is>
      </c>
    </row>
    <row r="11963" spans="1:1">
      <c r="A11963" t="inlineStr">
        <is>
          <t>Macasendeg</t>
        </is>
      </c>
    </row>
    <row r="11964" spans="1:1">
      <c r="A11964" t="inlineStr">
        <is>
          <t>Malamote</t>
        </is>
      </c>
    </row>
    <row r="11965" spans="1:1">
      <c r="A11965" t="inlineStr">
        <is>
          <t>Milaya</t>
        </is>
      </c>
    </row>
    <row r="11966" spans="1:1">
      <c r="A11966" t="inlineStr">
        <is>
          <t>Nalin</t>
        </is>
      </c>
    </row>
    <row r="11967" spans="1:1">
      <c r="A11967" t="inlineStr">
        <is>
          <t>Nes</t>
        </is>
      </c>
    </row>
    <row r="11968" spans="1:1">
      <c r="A11968" t="inlineStr">
        <is>
          <t>Palongoguen</t>
        </is>
      </c>
    </row>
    <row r="11969" spans="1:1">
      <c r="A11969" t="inlineStr">
        <is>
          <t>Patindeguen</t>
        </is>
      </c>
    </row>
    <row r="11970" spans="1:1">
      <c r="A11970" t="inlineStr">
        <is>
          <t>Rangaban</t>
        </is>
      </c>
    </row>
    <row r="11971" spans="1:1">
      <c r="A11971" t="inlineStr">
        <is>
          <t>Sadaan</t>
        </is>
      </c>
    </row>
    <row r="11972" spans="1:1">
      <c r="A11972" t="inlineStr">
        <is>
          <t>Salunayan</t>
        </is>
      </c>
    </row>
    <row r="11973" spans="1:1">
      <c r="A11973" t="inlineStr">
        <is>
          <t>San Isidro</t>
        </is>
      </c>
    </row>
    <row r="11974" spans="1:1">
      <c r="A11974" t="inlineStr">
        <is>
          <t>San Pedro</t>
        </is>
      </c>
    </row>
    <row r="11975" spans="1:1">
      <c r="A11975" t="inlineStr">
        <is>
          <t>Santa Cruz</t>
        </is>
      </c>
    </row>
    <row r="11976" spans="1:1">
      <c r="A11976" t="inlineStr">
        <is>
          <t>Upper Glad I</t>
        </is>
      </c>
    </row>
    <row r="11977" spans="1:1">
      <c r="A11977" t="inlineStr">
        <is>
          <t>Upper Glad II</t>
        </is>
      </c>
    </row>
    <row r="11978" spans="1:1">
      <c r="A11978" t="inlineStr">
        <is>
          <t>Upper Labas</t>
        </is>
      </c>
    </row>
    <row r="11979" spans="1:1">
      <c r="A11979" t="inlineStr">
        <is>
          <t>Villarica</t>
        </is>
      </c>
    </row>
    <row r="11980" spans="1:1">
      <c r="A11980" t="inlineStr">
        <is>
          <t>Anick</t>
        </is>
      </c>
    </row>
    <row r="11981" spans="1:1">
      <c r="A11981" t="inlineStr">
        <is>
          <t>Balogo</t>
        </is>
      </c>
    </row>
    <row r="11982" spans="1:1">
      <c r="A11982" t="inlineStr">
        <is>
          <t>Banucagon</t>
        </is>
      </c>
    </row>
    <row r="11983" spans="1:1">
      <c r="A11983" t="inlineStr">
        <is>
          <t>Buluan</t>
        </is>
      </c>
    </row>
    <row r="11984" spans="1:1">
      <c r="A11984" t="inlineStr">
        <is>
          <t>Bulucaon</t>
        </is>
      </c>
    </row>
    <row r="11985" spans="1:1">
      <c r="A11985" t="inlineStr">
        <is>
          <t>Cabpangi</t>
        </is>
      </c>
    </row>
    <row r="11986" spans="1:1">
      <c r="A11986" t="inlineStr">
        <is>
          <t>Capayuran</t>
        </is>
      </c>
    </row>
    <row r="11987" spans="1:1">
      <c r="A11987" t="inlineStr">
        <is>
          <t>Central Panatan</t>
        </is>
      </c>
    </row>
    <row r="11988" spans="1:1">
      <c r="A11988" t="inlineStr">
        <is>
          <t>Kimarayang</t>
        </is>
      </c>
    </row>
    <row r="11989" spans="1:1">
      <c r="A11989" t="inlineStr">
        <is>
          <t>Malagakit</t>
        </is>
      </c>
    </row>
    <row r="11990" spans="1:1">
      <c r="A11990" t="inlineStr">
        <is>
          <t>Maluao</t>
        </is>
      </c>
    </row>
    <row r="11991" spans="1:1">
      <c r="A11991" t="inlineStr">
        <is>
          <t>Midpapan I</t>
        </is>
      </c>
    </row>
    <row r="11992" spans="1:1">
      <c r="A11992" t="inlineStr">
        <is>
          <t>Midpapan II</t>
        </is>
      </c>
    </row>
    <row r="11993" spans="1:1">
      <c r="A11993" t="inlineStr">
        <is>
          <t>Mulok</t>
        </is>
      </c>
    </row>
    <row r="11994" spans="1:1">
      <c r="A11994" t="inlineStr">
        <is>
          <t>New Culasi</t>
        </is>
      </c>
    </row>
    <row r="11995" spans="1:1">
      <c r="A11995" t="inlineStr">
        <is>
          <t>New Igbaras</t>
        </is>
      </c>
    </row>
    <row r="11996" spans="1:1">
      <c r="A11996" t="inlineStr">
        <is>
          <t>New Panay</t>
        </is>
      </c>
    </row>
    <row r="11997" spans="1:1">
      <c r="A11997" t="inlineStr">
        <is>
          <t>North Manuangan</t>
        </is>
      </c>
    </row>
    <row r="11998" spans="1:1">
      <c r="A11998" t="inlineStr">
        <is>
          <t>Payong-payong</t>
        </is>
      </c>
    </row>
    <row r="11999" spans="1:1">
      <c r="A11999" t="inlineStr">
        <is>
          <t>Poblacion I</t>
        </is>
      </c>
    </row>
    <row r="12000" spans="1:1">
      <c r="A12000" t="inlineStr">
        <is>
          <t>Poblacion II</t>
        </is>
      </c>
    </row>
    <row r="12001" spans="1:1">
      <c r="A12001" t="inlineStr">
        <is>
          <t>Poblacion III</t>
        </is>
      </c>
    </row>
    <row r="12002" spans="1:1">
      <c r="A12002" t="inlineStr">
        <is>
          <t>Presbitero</t>
        </is>
      </c>
    </row>
    <row r="12003" spans="1:1">
      <c r="A12003" t="inlineStr">
        <is>
          <t>Renibon</t>
        </is>
      </c>
    </row>
    <row r="12004" spans="1:1">
      <c r="A12004" t="inlineStr">
        <is>
          <t>South Manuangan</t>
        </is>
      </c>
    </row>
    <row r="12005" spans="1:1">
      <c r="A12005" t="inlineStr">
        <is>
          <t>Tigbawan</t>
        </is>
      </c>
    </row>
    <row r="12006" spans="1:1">
      <c r="A12006" t="inlineStr">
        <is>
          <t>Tubon</t>
        </is>
      </c>
    </row>
    <row r="12007" spans="1:1">
      <c r="A12007" t="inlineStr">
        <is>
          <t>Upper Baguer</t>
        </is>
      </c>
    </row>
    <row r="12008" spans="1:1">
      <c r="A12008" t="inlineStr">
        <is>
          <t>Balabak</t>
        </is>
      </c>
    </row>
    <row r="12009" spans="1:1">
      <c r="A12009" t="inlineStr">
        <is>
          <t>Balatican</t>
        </is>
      </c>
    </row>
    <row r="12010" spans="1:1">
      <c r="A12010" t="inlineStr">
        <is>
          <t>Bulod</t>
        </is>
      </c>
    </row>
    <row r="12011" spans="1:1">
      <c r="A12011" t="inlineStr">
        <is>
          <t>Calawag</t>
        </is>
      </c>
    </row>
    <row r="12012" spans="1:1">
      <c r="A12012" t="inlineStr">
        <is>
          <t>Dalingaoen</t>
        </is>
      </c>
    </row>
    <row r="12013" spans="1:1">
      <c r="A12013" t="inlineStr">
        <is>
          <t>Damalasak</t>
        </is>
      </c>
    </row>
    <row r="12014" spans="1:1">
      <c r="A12014" t="inlineStr">
        <is>
          <t>Ginatilan</t>
        </is>
      </c>
    </row>
    <row r="12015" spans="1:1">
      <c r="A12015" t="inlineStr">
        <is>
          <t>Inug-ug</t>
        </is>
      </c>
    </row>
    <row r="12016" spans="1:1">
      <c r="A12016" t="inlineStr">
        <is>
          <t>Kalacacan</t>
        </is>
      </c>
    </row>
    <row r="12017" spans="1:1">
      <c r="A12017" t="inlineStr">
        <is>
          <t>Katilacan</t>
        </is>
      </c>
    </row>
    <row r="12018" spans="1:1">
      <c r="A12018" t="inlineStr">
        <is>
          <t>Kolambog</t>
        </is>
      </c>
    </row>
    <row r="12019" spans="1:1">
      <c r="A12019" t="inlineStr">
        <is>
          <t>Ladtingan</t>
        </is>
      </c>
    </row>
    <row r="12020" spans="1:1">
      <c r="A12020" t="inlineStr">
        <is>
          <t>Langayen</t>
        </is>
      </c>
    </row>
    <row r="12021" spans="1:1">
      <c r="A12021" t="inlineStr">
        <is>
          <t>Paidu Pulangi</t>
        </is>
      </c>
    </row>
    <row r="12022" spans="1:1">
      <c r="A12022" t="inlineStr">
        <is>
          <t>Poblacion</t>
        </is>
      </c>
    </row>
    <row r="12023" spans="1:1">
      <c r="A12023" t="inlineStr">
        <is>
          <t>Punol</t>
        </is>
      </c>
    </row>
    <row r="12024" spans="1:1">
      <c r="A12024" t="inlineStr">
        <is>
          <t>Silik</t>
        </is>
      </c>
    </row>
    <row r="12025" spans="1:1">
      <c r="A12025" t="inlineStr">
        <is>
          <t>Takipan</t>
        </is>
      </c>
    </row>
    <row r="12026" spans="1:1">
      <c r="A12026" t="inlineStr">
        <is>
          <t>Talitay</t>
        </is>
      </c>
    </row>
    <row r="12027" spans="1:1">
      <c r="A12027" t="inlineStr">
        <is>
          <t>Tinutulan</t>
        </is>
      </c>
    </row>
    <row r="12028" spans="1:1">
      <c r="A12028" t="inlineStr">
        <is>
          <t>Alegria</t>
        </is>
      </c>
    </row>
    <row r="12029" spans="1:1">
      <c r="A12029" t="inlineStr">
        <is>
          <t>Bato-bato</t>
        </is>
      </c>
    </row>
    <row r="12030" spans="1:1">
      <c r="A12030" t="inlineStr">
        <is>
          <t>Cabangbangan</t>
        </is>
      </c>
    </row>
    <row r="12031" spans="1:1">
      <c r="A12031" t="inlineStr">
        <is>
          <t>Camasi</t>
        </is>
      </c>
    </row>
    <row r="12032" spans="1:1">
      <c r="A12032" t="inlineStr">
        <is>
          <t>Datu Indang</t>
        </is>
      </c>
    </row>
    <row r="12033" spans="1:1">
      <c r="A12033" t="inlineStr">
        <is>
          <t>Datu Sandongan</t>
        </is>
      </c>
    </row>
    <row r="12034" spans="1:1">
      <c r="A12034" t="inlineStr">
        <is>
          <t>Del Carmen</t>
        </is>
      </c>
    </row>
    <row r="12035" spans="1:1">
      <c r="A12035" t="inlineStr">
        <is>
          <t>F. Cajelo</t>
        </is>
      </c>
    </row>
    <row r="12036" spans="1:1">
      <c r="A12036" t="inlineStr">
        <is>
          <t>Greenhill</t>
        </is>
      </c>
    </row>
    <row r="12037" spans="1:1">
      <c r="A12037" t="inlineStr">
        <is>
          <t>Idaoman</t>
        </is>
      </c>
    </row>
    <row r="12038" spans="1:1">
      <c r="A12038" t="inlineStr">
        <is>
          <t>Ilustre</t>
        </is>
      </c>
    </row>
    <row r="12039" spans="1:1">
      <c r="A12039" t="inlineStr">
        <is>
          <t>Kamarahan</t>
        </is>
      </c>
    </row>
    <row r="12040" spans="1:1">
      <c r="A12040" t="inlineStr">
        <is>
          <t>Kimaruhing</t>
        </is>
      </c>
    </row>
    <row r="12041" spans="1:1">
      <c r="A12041" t="inlineStr">
        <is>
          <t>Kisupaan</t>
        </is>
      </c>
    </row>
    <row r="12042" spans="1:1">
      <c r="A12042" t="inlineStr">
        <is>
          <t>La Esperanza</t>
        </is>
      </c>
    </row>
    <row r="12043" spans="1:1">
      <c r="A12043" t="inlineStr">
        <is>
          <t>Labu-o</t>
        </is>
      </c>
    </row>
    <row r="12044" spans="1:1">
      <c r="A12044" t="inlineStr">
        <is>
          <t>Lamalama</t>
        </is>
      </c>
    </row>
    <row r="12045" spans="1:1">
      <c r="A12045" t="inlineStr">
        <is>
          <t>Lomonay</t>
        </is>
      </c>
    </row>
    <row r="12046" spans="1:1">
      <c r="A12046" t="inlineStr">
        <is>
          <t>Mabuhay</t>
        </is>
      </c>
    </row>
    <row r="12047" spans="1:1">
      <c r="A12047" t="inlineStr">
        <is>
          <t>New Cebu</t>
        </is>
      </c>
    </row>
    <row r="12048" spans="1:1">
      <c r="A12048" t="inlineStr">
        <is>
          <t>Poblacion</t>
        </is>
      </c>
    </row>
    <row r="12049" spans="1:1">
      <c r="A12049" t="inlineStr">
        <is>
          <t>Sagcungan</t>
        </is>
      </c>
    </row>
    <row r="12050" spans="1:1">
      <c r="A12050" t="inlineStr">
        <is>
          <t>Salat</t>
        </is>
      </c>
    </row>
    <row r="12051" spans="1:1">
      <c r="A12051" t="inlineStr">
        <is>
          <t>Sarayan</t>
        </is>
      </c>
    </row>
    <row r="12052" spans="1:1">
      <c r="A12052" t="inlineStr">
        <is>
          <t>Tuael</t>
        </is>
      </c>
    </row>
    <row r="12053" spans="1:1">
      <c r="A12053" t="inlineStr">
        <is>
          <t>Bacong</t>
        </is>
      </c>
    </row>
    <row r="12054" spans="1:1">
      <c r="A12054" t="inlineStr">
        <is>
          <t>Bagumbayan</t>
        </is>
      </c>
    </row>
    <row r="12055" spans="1:1">
      <c r="A12055" t="inlineStr">
        <is>
          <t>Banayal</t>
        </is>
      </c>
    </row>
    <row r="12056" spans="1:1">
      <c r="A12056" t="inlineStr">
        <is>
          <t>Batang</t>
        </is>
      </c>
    </row>
    <row r="12057" spans="1:1">
      <c r="A12057" t="inlineStr">
        <is>
          <t>Bituan</t>
        </is>
      </c>
    </row>
    <row r="12058" spans="1:1">
      <c r="A12058" t="inlineStr">
        <is>
          <t>Bual</t>
        </is>
      </c>
    </row>
    <row r="12059" spans="1:1">
      <c r="A12059" t="inlineStr">
        <is>
          <t>Bunawan</t>
        </is>
      </c>
    </row>
    <row r="12060" spans="1:1">
      <c r="A12060" t="inlineStr">
        <is>
          <t>Daig</t>
        </is>
      </c>
    </row>
    <row r="12061" spans="1:1">
      <c r="A12061" t="inlineStr">
        <is>
          <t>Damawato</t>
        </is>
      </c>
    </row>
    <row r="12062" spans="1:1">
      <c r="A12062" t="inlineStr">
        <is>
          <t>Dungos</t>
        </is>
      </c>
    </row>
    <row r="12063" spans="1:1">
      <c r="A12063" t="inlineStr">
        <is>
          <t>F. Cajelo</t>
        </is>
      </c>
    </row>
    <row r="12064" spans="1:1">
      <c r="A12064" t="inlineStr">
        <is>
          <t>Galidan</t>
        </is>
      </c>
    </row>
    <row r="12065" spans="1:1">
      <c r="A12065" t="inlineStr">
        <is>
          <t>Genoveva Baynosa</t>
        </is>
      </c>
    </row>
    <row r="12066" spans="1:1">
      <c r="A12066" t="inlineStr">
        <is>
          <t>Kanibong</t>
        </is>
      </c>
    </row>
    <row r="12067" spans="1:1">
      <c r="A12067" t="inlineStr">
        <is>
          <t>La Esperanza</t>
        </is>
      </c>
    </row>
    <row r="12068" spans="1:1">
      <c r="A12068" t="inlineStr">
        <is>
          <t>Lampagang</t>
        </is>
      </c>
    </row>
    <row r="12069" spans="1:1">
      <c r="A12069" t="inlineStr">
        <is>
          <t>Magbok</t>
        </is>
      </c>
    </row>
    <row r="12070" spans="1:1">
      <c r="A12070" t="inlineStr">
        <is>
          <t>Maybula</t>
        </is>
      </c>
    </row>
    <row r="12071" spans="1:1">
      <c r="A12071" t="inlineStr">
        <is>
          <t>Minapan</t>
        </is>
      </c>
    </row>
    <row r="12072" spans="1:1">
      <c r="A12072" t="inlineStr">
        <is>
          <t>Nabundasan</t>
        </is>
      </c>
    </row>
    <row r="12073" spans="1:1">
      <c r="A12073" t="inlineStr">
        <is>
          <t>New Caridad</t>
        </is>
      </c>
    </row>
    <row r="12074" spans="1:1">
      <c r="A12074" t="inlineStr">
        <is>
          <t>New Culasi</t>
        </is>
      </c>
    </row>
    <row r="12075" spans="1:1">
      <c r="A12075" t="inlineStr">
        <is>
          <t>New Panay</t>
        </is>
      </c>
    </row>
    <row r="12076" spans="1:1">
      <c r="A12076" t="inlineStr">
        <is>
          <t>Paraiso</t>
        </is>
      </c>
    </row>
    <row r="12077" spans="1:1">
      <c r="A12077" t="inlineStr">
        <is>
          <t>Poblacion</t>
        </is>
      </c>
    </row>
    <row r="12078" spans="1:1">
      <c r="A12078" t="inlineStr">
        <is>
          <t>Popoyon</t>
        </is>
      </c>
    </row>
    <row r="12079" spans="1:1">
      <c r="A12079" t="inlineStr">
        <is>
          <t>Sibsib</t>
        </is>
      </c>
    </row>
    <row r="12080" spans="1:1">
      <c r="A12080" t="inlineStr">
        <is>
          <t>Tambac</t>
        </is>
      </c>
    </row>
    <row r="12081" spans="1:1">
      <c r="A12081" t="inlineStr">
        <is>
          <t>Tuburan</t>
        </is>
      </c>
    </row>
    <row r="12082" spans="1:1">
      <c r="A12082" t="inlineStr">
        <is>
          <t>Aurora</t>
        </is>
      </c>
    </row>
    <row r="12083" spans="1:1">
      <c r="A12083" t="inlineStr">
        <is>
          <t>Bagongon</t>
        </is>
      </c>
    </row>
    <row r="12084" spans="1:1">
      <c r="A12084" t="inlineStr">
        <is>
          <t>Gabi</t>
        </is>
      </c>
    </row>
    <row r="12085" spans="1:1">
      <c r="A12085" t="inlineStr">
        <is>
          <t>Lagab</t>
        </is>
      </c>
    </row>
    <row r="12086" spans="1:1">
      <c r="A12086" t="inlineStr">
        <is>
          <t>Mangayon</t>
        </is>
      </c>
    </row>
    <row r="12087" spans="1:1">
      <c r="A12087" t="inlineStr">
        <is>
          <t>Mapaca</t>
        </is>
      </c>
    </row>
    <row r="12088" spans="1:1">
      <c r="A12088" t="inlineStr">
        <is>
          <t>Maparat</t>
        </is>
      </c>
    </row>
    <row r="12089" spans="1:1">
      <c r="A12089" t="inlineStr">
        <is>
          <t>New Alegria</t>
        </is>
      </c>
    </row>
    <row r="12090" spans="1:1">
      <c r="A12090" t="inlineStr">
        <is>
          <t>Ngan</t>
        </is>
      </c>
    </row>
    <row r="12091" spans="1:1">
      <c r="A12091" t="inlineStr">
        <is>
          <t>Osmeña</t>
        </is>
      </c>
    </row>
    <row r="12092" spans="1:1">
      <c r="A12092" t="inlineStr">
        <is>
          <t>Panansalan</t>
        </is>
      </c>
    </row>
    <row r="12093" spans="1:1">
      <c r="A12093" t="inlineStr">
        <is>
          <t>Poblacion</t>
        </is>
      </c>
    </row>
    <row r="12094" spans="1:1">
      <c r="A12094" t="inlineStr">
        <is>
          <t>San Jose</t>
        </is>
      </c>
    </row>
    <row r="12095" spans="1:1">
      <c r="A12095" t="inlineStr">
        <is>
          <t>San Miguel</t>
        </is>
      </c>
    </row>
    <row r="12096" spans="1:1">
      <c r="A12096" t="inlineStr">
        <is>
          <t>Siocon</t>
        </is>
      </c>
    </row>
    <row r="12097" spans="1:1">
      <c r="A12097" t="inlineStr">
        <is>
          <t>Tamia</t>
        </is>
      </c>
    </row>
    <row r="12098" spans="1:1">
      <c r="A12098" t="inlineStr">
        <is>
          <t>Aguinaldo</t>
        </is>
      </c>
    </row>
    <row r="12099" spans="1:1">
      <c r="A12099" t="inlineStr">
        <is>
          <t>Amor Cruz</t>
        </is>
      </c>
    </row>
    <row r="12100" spans="1:1">
      <c r="A12100" t="inlineStr">
        <is>
          <t>Ampawid</t>
        </is>
      </c>
    </row>
    <row r="12101" spans="1:1">
      <c r="A12101" t="inlineStr">
        <is>
          <t>Andap</t>
        </is>
      </c>
    </row>
    <row r="12102" spans="1:1">
      <c r="A12102" t="inlineStr">
        <is>
          <t>Anitap</t>
        </is>
      </c>
    </row>
    <row r="12103" spans="1:1">
      <c r="A12103" t="inlineStr">
        <is>
          <t>Bagong Silang</t>
        </is>
      </c>
    </row>
    <row r="12104" spans="1:1">
      <c r="A12104" t="inlineStr">
        <is>
          <t>Banbanon</t>
        </is>
      </c>
    </row>
    <row r="12105" spans="1:1">
      <c r="A12105" t="inlineStr">
        <is>
          <t>Belmonte</t>
        </is>
      </c>
    </row>
    <row r="12106" spans="1:1">
      <c r="A12106" t="inlineStr">
        <is>
          <t>Binasbas</t>
        </is>
      </c>
    </row>
    <row r="12107" spans="1:1">
      <c r="A12107" t="inlineStr">
        <is>
          <t>Bullucan</t>
        </is>
      </c>
    </row>
    <row r="12108" spans="1:1">
      <c r="A12108" t="inlineStr">
        <is>
          <t>Cebulida</t>
        </is>
      </c>
    </row>
    <row r="12109" spans="1:1">
      <c r="A12109" t="inlineStr">
        <is>
          <t>Concepcion</t>
        </is>
      </c>
    </row>
    <row r="12110" spans="1:1">
      <c r="A12110" t="inlineStr">
        <is>
          <t>Datu Ampunan</t>
        </is>
      </c>
    </row>
    <row r="12111" spans="1:1">
      <c r="A12111" t="inlineStr">
        <is>
          <t>Datu Davao</t>
        </is>
      </c>
    </row>
    <row r="12112" spans="1:1">
      <c r="A12112" t="inlineStr">
        <is>
          <t>Doña Josefa</t>
        </is>
      </c>
    </row>
    <row r="12113" spans="1:1">
      <c r="A12113" t="inlineStr">
        <is>
          <t>El Katipunan</t>
        </is>
      </c>
    </row>
    <row r="12114" spans="1:1">
      <c r="A12114" t="inlineStr">
        <is>
          <t>Il Papa</t>
        </is>
      </c>
    </row>
    <row r="12115" spans="1:1">
      <c r="A12115" t="inlineStr">
        <is>
          <t>Imelda</t>
        </is>
      </c>
    </row>
    <row r="12116" spans="1:1">
      <c r="A12116" t="inlineStr">
        <is>
          <t>Inacayan</t>
        </is>
      </c>
    </row>
    <row r="12117" spans="1:1">
      <c r="A12117" t="inlineStr">
        <is>
          <t>Kaligutan</t>
        </is>
      </c>
    </row>
    <row r="12118" spans="1:1">
      <c r="A12118" t="inlineStr">
        <is>
          <t>Kapatagan</t>
        </is>
      </c>
    </row>
    <row r="12119" spans="1:1">
      <c r="A12119" t="inlineStr">
        <is>
          <t>Kidawa</t>
        </is>
      </c>
    </row>
    <row r="12120" spans="1:1">
      <c r="A12120" t="inlineStr">
        <is>
          <t>Kilagding</t>
        </is>
      </c>
    </row>
    <row r="12121" spans="1:1">
      <c r="A12121" t="inlineStr">
        <is>
          <t>Kiokmay</t>
        </is>
      </c>
    </row>
    <row r="12122" spans="1:1">
      <c r="A12122" t="inlineStr">
        <is>
          <t>Laac</t>
        </is>
      </c>
    </row>
    <row r="12123" spans="1:1">
      <c r="A12123" t="inlineStr">
        <is>
          <t>Langtud</t>
        </is>
      </c>
    </row>
    <row r="12124" spans="1:1">
      <c r="A12124" t="inlineStr">
        <is>
          <t>Longanapan</t>
        </is>
      </c>
    </row>
    <row r="12125" spans="1:1">
      <c r="A12125" t="inlineStr">
        <is>
          <t>Mabuhay</t>
        </is>
      </c>
    </row>
    <row r="12126" spans="1:1">
      <c r="A12126" t="inlineStr">
        <is>
          <t>Macopa</t>
        </is>
      </c>
    </row>
    <row r="12127" spans="1:1">
      <c r="A12127" t="inlineStr">
        <is>
          <t>Malinao</t>
        </is>
      </c>
    </row>
    <row r="12128" spans="1:1">
      <c r="A12128" t="inlineStr">
        <is>
          <t>Mangloy</t>
        </is>
      </c>
    </row>
    <row r="12129" spans="1:1">
      <c r="A12129" t="inlineStr">
        <is>
          <t>Melale</t>
        </is>
      </c>
    </row>
    <row r="12130" spans="1:1">
      <c r="A12130" t="inlineStr">
        <is>
          <t>Naga</t>
        </is>
      </c>
    </row>
    <row r="12131" spans="1:1">
      <c r="A12131" t="inlineStr">
        <is>
          <t>New Bethlehem</t>
        </is>
      </c>
    </row>
    <row r="12132" spans="1:1">
      <c r="A12132" t="inlineStr">
        <is>
          <t>Panamoren</t>
        </is>
      </c>
    </row>
    <row r="12133" spans="1:1">
      <c r="A12133" t="inlineStr">
        <is>
          <t>Sabud</t>
        </is>
      </c>
    </row>
    <row r="12134" spans="1:1">
      <c r="A12134" t="inlineStr">
        <is>
          <t>San Antonio</t>
        </is>
      </c>
    </row>
    <row r="12135" spans="1:1">
      <c r="A12135" t="inlineStr">
        <is>
          <t>Santa Emilia</t>
        </is>
      </c>
    </row>
    <row r="12136" spans="1:1">
      <c r="A12136" t="inlineStr">
        <is>
          <t>Santo Niño</t>
        </is>
      </c>
    </row>
    <row r="12137" spans="1:1">
      <c r="A12137" t="inlineStr">
        <is>
          <t>Sisimon</t>
        </is>
      </c>
    </row>
    <row r="12138" spans="1:1">
      <c r="A12138" t="inlineStr">
        <is>
          <t>Anitapan</t>
        </is>
      </c>
    </row>
    <row r="12139" spans="1:1">
      <c r="A12139" t="inlineStr">
        <is>
          <t>Cabuyuan</t>
        </is>
      </c>
    </row>
    <row r="12140" spans="1:1">
      <c r="A12140" t="inlineStr">
        <is>
          <t>Cadunan</t>
        </is>
      </c>
    </row>
    <row r="12141" spans="1:1">
      <c r="A12141" t="inlineStr">
        <is>
          <t>Cuambog</t>
        </is>
      </c>
    </row>
    <row r="12142" spans="1:1">
      <c r="A12142" t="inlineStr">
        <is>
          <t>Del Pilar</t>
        </is>
      </c>
    </row>
    <row r="12143" spans="1:1">
      <c r="A12143" t="inlineStr">
        <is>
          <t>Golden Valley</t>
        </is>
      </c>
    </row>
    <row r="12144" spans="1:1">
      <c r="A12144" t="inlineStr">
        <is>
          <t>Libodon</t>
        </is>
      </c>
    </row>
    <row r="12145" spans="1:1">
      <c r="A12145" t="inlineStr">
        <is>
          <t>Pangibiran</t>
        </is>
      </c>
    </row>
    <row r="12146" spans="1:1">
      <c r="A12146" t="inlineStr">
        <is>
          <t>Pindasan</t>
        </is>
      </c>
    </row>
    <row r="12147" spans="1:1">
      <c r="A12147" t="inlineStr">
        <is>
          <t>San Antonio</t>
        </is>
      </c>
    </row>
    <row r="12148" spans="1:1">
      <c r="A12148" t="inlineStr">
        <is>
          <t>Tagnanan</t>
        </is>
      </c>
    </row>
    <row r="12149" spans="1:1">
      <c r="A12149" t="inlineStr">
        <is>
          <t>Anibongan</t>
        </is>
      </c>
    </row>
    <row r="12150" spans="1:1">
      <c r="A12150" t="inlineStr">
        <is>
          <t>Anislagan</t>
        </is>
      </c>
    </row>
    <row r="12151" spans="1:1">
      <c r="A12151" t="inlineStr">
        <is>
          <t>Binuangan</t>
        </is>
      </c>
    </row>
    <row r="12152" spans="1:1">
      <c r="A12152" t="inlineStr">
        <is>
          <t>Bucana</t>
        </is>
      </c>
    </row>
    <row r="12153" spans="1:1">
      <c r="A12153" t="inlineStr">
        <is>
          <t>Calabcab</t>
        </is>
      </c>
    </row>
    <row r="12154" spans="1:1">
      <c r="A12154" t="inlineStr">
        <is>
          <t>Concepcion</t>
        </is>
      </c>
    </row>
    <row r="12155" spans="1:1">
      <c r="A12155" t="inlineStr">
        <is>
          <t>Dumlan</t>
        </is>
      </c>
    </row>
    <row r="12156" spans="1:1">
      <c r="A12156" t="inlineStr">
        <is>
          <t>Elizalde</t>
        </is>
      </c>
    </row>
    <row r="12157" spans="1:1">
      <c r="A12157" t="inlineStr">
        <is>
          <t>Gubatan</t>
        </is>
      </c>
    </row>
    <row r="12158" spans="1:1">
      <c r="A12158" t="inlineStr">
        <is>
          <t>Hijo</t>
        </is>
      </c>
    </row>
    <row r="12159" spans="1:1">
      <c r="A12159" t="inlineStr">
        <is>
          <t>Kinuban</t>
        </is>
      </c>
    </row>
    <row r="12160" spans="1:1">
      <c r="A12160" t="inlineStr">
        <is>
          <t>Langgam</t>
        </is>
      </c>
    </row>
    <row r="12161" spans="1:1">
      <c r="A12161" t="inlineStr">
        <is>
          <t>Lapu-lapu</t>
        </is>
      </c>
    </row>
    <row r="12162" spans="1:1">
      <c r="A12162" t="inlineStr">
        <is>
          <t>Libay-libay</t>
        </is>
      </c>
    </row>
    <row r="12163" spans="1:1">
      <c r="A12163" t="inlineStr">
        <is>
          <t>Limbo</t>
        </is>
      </c>
    </row>
    <row r="12164" spans="1:1">
      <c r="A12164" t="inlineStr">
        <is>
          <t>Lumatab</t>
        </is>
      </c>
    </row>
    <row r="12165" spans="1:1">
      <c r="A12165" t="inlineStr">
        <is>
          <t>Magangit</t>
        </is>
      </c>
    </row>
    <row r="12166" spans="1:1">
      <c r="A12166" t="inlineStr">
        <is>
          <t>Mainit</t>
        </is>
      </c>
    </row>
    <row r="12167" spans="1:1">
      <c r="A12167" t="inlineStr">
        <is>
          <t>Malamodao</t>
        </is>
      </c>
    </row>
    <row r="12168" spans="1:1">
      <c r="A12168" t="inlineStr">
        <is>
          <t>Manipongol</t>
        </is>
      </c>
    </row>
    <row r="12169" spans="1:1">
      <c r="A12169" t="inlineStr">
        <is>
          <t>Mapaang</t>
        </is>
      </c>
    </row>
    <row r="12170" spans="1:1">
      <c r="A12170" t="inlineStr">
        <is>
          <t>Masara</t>
        </is>
      </c>
    </row>
    <row r="12171" spans="1:1">
      <c r="A12171" t="inlineStr">
        <is>
          <t>New Asturias</t>
        </is>
      </c>
    </row>
    <row r="12172" spans="1:1">
      <c r="A12172" t="inlineStr">
        <is>
          <t>New Barili</t>
        </is>
      </c>
    </row>
    <row r="12173" spans="1:1">
      <c r="A12173" t="inlineStr">
        <is>
          <t>New Leyte</t>
        </is>
      </c>
    </row>
    <row r="12174" spans="1:1">
      <c r="A12174" t="inlineStr">
        <is>
          <t>New Visayas</t>
        </is>
      </c>
    </row>
    <row r="12175" spans="1:1">
      <c r="A12175" t="inlineStr">
        <is>
          <t>Panangan</t>
        </is>
      </c>
    </row>
    <row r="12176" spans="1:1">
      <c r="A12176" t="inlineStr">
        <is>
          <t>Pangi</t>
        </is>
      </c>
    </row>
    <row r="12177" spans="1:1">
      <c r="A12177" t="inlineStr">
        <is>
          <t>Panibasan</t>
        </is>
      </c>
    </row>
    <row r="12178" spans="1:1">
      <c r="A12178" t="inlineStr">
        <is>
          <t>Panoraon</t>
        </is>
      </c>
    </row>
    <row r="12179" spans="1:1">
      <c r="A12179" t="inlineStr">
        <is>
          <t>Poblacion</t>
        </is>
      </c>
    </row>
    <row r="12180" spans="1:1">
      <c r="A12180" t="inlineStr">
        <is>
          <t>San Juan</t>
        </is>
      </c>
    </row>
    <row r="12181" spans="1:1">
      <c r="A12181" t="inlineStr">
        <is>
          <t>San Roque</t>
        </is>
      </c>
    </row>
    <row r="12182" spans="1:1">
      <c r="A12182" t="inlineStr">
        <is>
          <t>Sangab</t>
        </is>
      </c>
    </row>
    <row r="12183" spans="1:1">
      <c r="A12183" t="inlineStr">
        <is>
          <t>Tagbaros</t>
        </is>
      </c>
    </row>
    <row r="12184" spans="1:1">
      <c r="A12184" t="inlineStr">
        <is>
          <t>Taglawig</t>
        </is>
      </c>
    </row>
    <row r="12185" spans="1:1">
      <c r="A12185" t="inlineStr">
        <is>
          <t>Teresa</t>
        </is>
      </c>
    </row>
    <row r="12186" spans="1:1">
      <c r="A12186" t="inlineStr">
        <is>
          <t>Bagong Silang</t>
        </is>
      </c>
    </row>
    <row r="12187" spans="1:1">
      <c r="A12187" t="inlineStr">
        <is>
          <t>Bahi</t>
        </is>
      </c>
    </row>
    <row r="12188" spans="1:1">
      <c r="A12188" t="inlineStr">
        <is>
          <t>Cambagang</t>
        </is>
      </c>
    </row>
    <row r="12189" spans="1:1">
      <c r="A12189" t="inlineStr">
        <is>
          <t>Coronobe</t>
        </is>
      </c>
    </row>
    <row r="12190" spans="1:1">
      <c r="A12190" t="inlineStr">
        <is>
          <t>Katipunan</t>
        </is>
      </c>
    </row>
    <row r="12191" spans="1:1">
      <c r="A12191" t="inlineStr">
        <is>
          <t>Lahi</t>
        </is>
      </c>
    </row>
    <row r="12192" spans="1:1">
      <c r="A12192" t="inlineStr">
        <is>
          <t>Langgawisan</t>
        </is>
      </c>
    </row>
    <row r="12193" spans="1:1">
      <c r="A12193" t="inlineStr">
        <is>
          <t>Mabugnao</t>
        </is>
      </c>
    </row>
    <row r="12194" spans="1:1">
      <c r="A12194" t="inlineStr">
        <is>
          <t>Magcagong</t>
        </is>
      </c>
    </row>
    <row r="12195" spans="1:1">
      <c r="A12195" t="inlineStr">
        <is>
          <t>Mahayahay</t>
        </is>
      </c>
    </row>
    <row r="12196" spans="1:1">
      <c r="A12196" t="inlineStr">
        <is>
          <t>Mapawa</t>
        </is>
      </c>
    </row>
    <row r="12197" spans="1:1">
      <c r="A12197" t="inlineStr">
        <is>
          <t>Maragusan</t>
        </is>
      </c>
    </row>
    <row r="12198" spans="1:1">
      <c r="A12198" t="inlineStr">
        <is>
          <t>Mauswagon</t>
        </is>
      </c>
    </row>
    <row r="12199" spans="1:1">
      <c r="A12199" t="inlineStr">
        <is>
          <t>New Albay</t>
        </is>
      </c>
    </row>
    <row r="12200" spans="1:1">
      <c r="A12200" t="inlineStr">
        <is>
          <t>New Katipunan</t>
        </is>
      </c>
    </row>
    <row r="12201" spans="1:1">
      <c r="A12201" t="inlineStr">
        <is>
          <t>New Manay</t>
        </is>
      </c>
    </row>
    <row r="12202" spans="1:1">
      <c r="A12202" t="inlineStr">
        <is>
          <t>New Panay</t>
        </is>
      </c>
    </row>
    <row r="12203" spans="1:1">
      <c r="A12203" t="inlineStr">
        <is>
          <t>Paloc</t>
        </is>
      </c>
    </row>
    <row r="12204" spans="1:1">
      <c r="A12204" t="inlineStr">
        <is>
          <t>Pamintaran</t>
        </is>
      </c>
    </row>
    <row r="12205" spans="1:1">
      <c r="A12205" t="inlineStr">
        <is>
          <t>Parasanon</t>
        </is>
      </c>
    </row>
    <row r="12206" spans="1:1">
      <c r="A12206" t="inlineStr">
        <is>
          <t>Talian</t>
        </is>
      </c>
    </row>
    <row r="12207" spans="1:1">
      <c r="A12207" t="inlineStr">
        <is>
          <t>Tandik</t>
        </is>
      </c>
    </row>
    <row r="12208" spans="1:1">
      <c r="A12208" t="inlineStr">
        <is>
          <t>Tigbao</t>
        </is>
      </c>
    </row>
    <row r="12209" spans="1:1">
      <c r="A12209" t="inlineStr">
        <is>
          <t>Tupas</t>
        </is>
      </c>
    </row>
    <row r="12210" spans="1:1">
      <c r="A12210" t="inlineStr">
        <is>
          <t>Andili</t>
        </is>
      </c>
    </row>
    <row r="12211" spans="1:1">
      <c r="A12211" t="inlineStr">
        <is>
          <t>Bawani</t>
        </is>
      </c>
    </row>
    <row r="12212" spans="1:1">
      <c r="A12212" t="inlineStr">
        <is>
          <t>Concepcion</t>
        </is>
      </c>
    </row>
    <row r="12213" spans="1:1">
      <c r="A12213" t="inlineStr">
        <is>
          <t>Malinawon</t>
        </is>
      </c>
    </row>
    <row r="12214" spans="1:1">
      <c r="A12214" t="inlineStr">
        <is>
          <t>Nueva Visayas</t>
        </is>
      </c>
    </row>
    <row r="12215" spans="1:1">
      <c r="A12215" t="inlineStr">
        <is>
          <t>Nuevo Iloco</t>
        </is>
      </c>
    </row>
    <row r="12216" spans="1:1">
      <c r="A12216" t="inlineStr">
        <is>
          <t>Poblacion</t>
        </is>
      </c>
    </row>
    <row r="12217" spans="1:1">
      <c r="A12217" t="inlineStr">
        <is>
          <t>Salvacion</t>
        </is>
      </c>
    </row>
    <row r="12218" spans="1:1">
      <c r="A12218" t="inlineStr">
        <is>
          <t>Saosao</t>
        </is>
      </c>
    </row>
    <row r="12219" spans="1:1">
      <c r="A12219" t="inlineStr">
        <is>
          <t>Sawangan</t>
        </is>
      </c>
    </row>
    <row r="12220" spans="1:1">
      <c r="A12220" t="inlineStr">
        <is>
          <t>Tuboran</t>
        </is>
      </c>
    </row>
    <row r="12221" spans="1:1">
      <c r="A12221" t="inlineStr">
        <is>
          <t>Awao</t>
        </is>
      </c>
    </row>
    <row r="12222" spans="1:1">
      <c r="A12222" t="inlineStr">
        <is>
          <t>Babag</t>
        </is>
      </c>
    </row>
    <row r="12223" spans="1:1">
      <c r="A12223" t="inlineStr">
        <is>
          <t>Banlag</t>
        </is>
      </c>
    </row>
    <row r="12224" spans="1:1">
      <c r="A12224" t="inlineStr">
        <is>
          <t>Baylo</t>
        </is>
      </c>
    </row>
    <row r="12225" spans="1:1">
      <c r="A12225" t="inlineStr">
        <is>
          <t>Casoon</t>
        </is>
      </c>
    </row>
    <row r="12226" spans="1:1">
      <c r="A12226" t="inlineStr">
        <is>
          <t>Haguimitan</t>
        </is>
      </c>
    </row>
    <row r="12227" spans="1:1">
      <c r="A12227" t="inlineStr">
        <is>
          <t>Inambatan</t>
        </is>
      </c>
    </row>
    <row r="12228" spans="1:1">
      <c r="A12228" t="inlineStr">
        <is>
          <t>Macopa</t>
        </is>
      </c>
    </row>
    <row r="12229" spans="1:1">
      <c r="A12229" t="inlineStr">
        <is>
          <t>Mamunga</t>
        </is>
      </c>
    </row>
    <row r="12230" spans="1:1">
      <c r="A12230" t="inlineStr">
        <is>
          <t>Mount Diwata</t>
        </is>
      </c>
    </row>
    <row r="12231" spans="1:1">
      <c r="A12231" t="inlineStr">
        <is>
          <t>Naboc</t>
        </is>
      </c>
    </row>
    <row r="12232" spans="1:1">
      <c r="A12232" t="inlineStr">
        <is>
          <t>Olaycon</t>
        </is>
      </c>
    </row>
    <row r="12233" spans="1:1">
      <c r="A12233" t="inlineStr">
        <is>
          <t>Pasian</t>
        </is>
      </c>
    </row>
    <row r="12234" spans="1:1">
      <c r="A12234" t="inlineStr">
        <is>
          <t>Poblacion</t>
        </is>
      </c>
    </row>
    <row r="12235" spans="1:1">
      <c r="A12235" t="inlineStr">
        <is>
          <t>Rizal</t>
        </is>
      </c>
    </row>
    <row r="12236" spans="1:1">
      <c r="A12236" t="inlineStr">
        <is>
          <t>Salvacion</t>
        </is>
      </c>
    </row>
    <row r="12237" spans="1:1">
      <c r="A12237" t="inlineStr">
        <is>
          <t>San Isidro</t>
        </is>
      </c>
    </row>
    <row r="12238" spans="1:1">
      <c r="A12238" t="inlineStr">
        <is>
          <t>San Jose</t>
        </is>
      </c>
    </row>
    <row r="12239" spans="1:1">
      <c r="A12239" t="inlineStr">
        <is>
          <t>Tubo-tubo</t>
        </is>
      </c>
    </row>
    <row r="12240" spans="1:1">
      <c r="A12240" t="inlineStr">
        <is>
          <t>Union</t>
        </is>
      </c>
    </row>
    <row r="12241" spans="1:1">
      <c r="A12241" t="inlineStr">
        <is>
          <t>Upper Ulip</t>
        </is>
      </c>
    </row>
    <row r="12242" spans="1:1">
      <c r="A12242" t="inlineStr">
        <is>
          <t>Banagbanag</t>
        </is>
      </c>
    </row>
    <row r="12243" spans="1:1">
      <c r="A12243" t="inlineStr">
        <is>
          <t>Banglasan</t>
        </is>
      </c>
    </row>
    <row r="12244" spans="1:1">
      <c r="A12244" t="inlineStr">
        <is>
          <t>Bankerohan Norte</t>
        </is>
      </c>
    </row>
    <row r="12245" spans="1:1">
      <c r="A12245" t="inlineStr">
        <is>
          <t>Bankerohan Sur</t>
        </is>
      </c>
    </row>
    <row r="12246" spans="1:1">
      <c r="A12246" t="inlineStr">
        <is>
          <t>Camansi</t>
        </is>
      </c>
    </row>
    <row r="12247" spans="1:1">
      <c r="A12247" t="inlineStr">
        <is>
          <t>Camantangan</t>
        </is>
      </c>
    </row>
    <row r="12248" spans="1:1">
      <c r="A12248" t="inlineStr">
        <is>
          <t>Canidkid</t>
        </is>
      </c>
    </row>
    <row r="12249" spans="1:1">
      <c r="A12249" t="inlineStr">
        <is>
          <t>Concepcion</t>
        </is>
      </c>
    </row>
    <row r="12250" spans="1:1">
      <c r="A12250" t="inlineStr">
        <is>
          <t>Dauman</t>
        </is>
      </c>
    </row>
    <row r="12251" spans="1:1">
      <c r="A12251" t="inlineStr">
        <is>
          <t>Lebanon</t>
        </is>
      </c>
    </row>
    <row r="12252" spans="1:1">
      <c r="A12252" t="inlineStr">
        <is>
          <t>Linoan</t>
        </is>
      </c>
    </row>
    <row r="12253" spans="1:1">
      <c r="A12253" t="inlineStr">
        <is>
          <t>Mayaon</t>
        </is>
      </c>
    </row>
    <row r="12254" spans="1:1">
      <c r="A12254" t="inlineStr">
        <is>
          <t>New Calape</t>
        </is>
      </c>
    </row>
    <row r="12255" spans="1:1">
      <c r="A12255" t="inlineStr">
        <is>
          <t>New Cebulan</t>
        </is>
      </c>
    </row>
    <row r="12256" spans="1:1">
      <c r="A12256" t="inlineStr">
        <is>
          <t>New Dalaguete</t>
        </is>
      </c>
    </row>
    <row r="12257" spans="1:1">
      <c r="A12257" t="inlineStr">
        <is>
          <t>New Visayas</t>
        </is>
      </c>
    </row>
    <row r="12258" spans="1:1">
      <c r="A12258" t="inlineStr">
        <is>
          <t>Prosperidad</t>
        </is>
      </c>
    </row>
    <row r="12259" spans="1:1">
      <c r="A12259" t="inlineStr">
        <is>
          <t>San Jose</t>
        </is>
      </c>
    </row>
    <row r="12260" spans="1:1">
      <c r="A12260" t="inlineStr">
        <is>
          <t>San Vicente</t>
        </is>
      </c>
    </row>
    <row r="12261" spans="1:1">
      <c r="A12261" t="inlineStr">
        <is>
          <t>Tapia</t>
        </is>
      </c>
    </row>
    <row r="12262" spans="1:1">
      <c r="A12262" t="inlineStr">
        <is>
          <t>Anislagan</t>
        </is>
      </c>
    </row>
    <row r="12263" spans="1:1">
      <c r="A12263" t="inlineStr">
        <is>
          <t>Antequera</t>
        </is>
      </c>
    </row>
    <row r="12264" spans="1:1">
      <c r="A12264" t="inlineStr">
        <is>
          <t>Basak</t>
        </is>
      </c>
    </row>
    <row r="12265" spans="1:1">
      <c r="A12265" t="inlineStr">
        <is>
          <t>Bayabas</t>
        </is>
      </c>
    </row>
    <row r="12266" spans="1:1">
      <c r="A12266" t="inlineStr">
        <is>
          <t>Bukal</t>
        </is>
      </c>
    </row>
    <row r="12267" spans="1:1">
      <c r="A12267" t="inlineStr">
        <is>
          <t>Cabacungan</t>
        </is>
      </c>
    </row>
    <row r="12268" spans="1:1">
      <c r="A12268" t="inlineStr">
        <is>
          <t>Cabidianan</t>
        </is>
      </c>
    </row>
    <row r="12269" spans="1:1">
      <c r="A12269" t="inlineStr">
        <is>
          <t>Katipunan</t>
        </is>
      </c>
    </row>
    <row r="12270" spans="1:1">
      <c r="A12270" t="inlineStr">
        <is>
          <t>Libasan</t>
        </is>
      </c>
    </row>
    <row r="12271" spans="1:1">
      <c r="A12271" t="inlineStr">
        <is>
          <t>Linda</t>
        </is>
      </c>
    </row>
    <row r="12272" spans="1:1">
      <c r="A12272" t="inlineStr">
        <is>
          <t>Magading</t>
        </is>
      </c>
    </row>
    <row r="12273" spans="1:1">
      <c r="A12273" t="inlineStr">
        <is>
          <t>Magsaysay</t>
        </is>
      </c>
    </row>
    <row r="12274" spans="1:1">
      <c r="A12274" t="inlineStr">
        <is>
          <t>Mainit</t>
        </is>
      </c>
    </row>
    <row r="12275" spans="1:1">
      <c r="A12275" t="inlineStr">
        <is>
          <t>Manat</t>
        </is>
      </c>
    </row>
    <row r="12276" spans="1:1">
      <c r="A12276" t="inlineStr">
        <is>
          <t>Matilo</t>
        </is>
      </c>
    </row>
    <row r="12277" spans="1:1">
      <c r="A12277" t="inlineStr">
        <is>
          <t>Mipangi</t>
        </is>
      </c>
    </row>
    <row r="12278" spans="1:1">
      <c r="A12278" t="inlineStr">
        <is>
          <t>New Dauis</t>
        </is>
      </c>
    </row>
    <row r="12279" spans="1:1">
      <c r="A12279" t="inlineStr">
        <is>
          <t>New Sibonga</t>
        </is>
      </c>
    </row>
    <row r="12280" spans="1:1">
      <c r="A12280" t="inlineStr">
        <is>
          <t>Ogao</t>
        </is>
      </c>
    </row>
    <row r="12281" spans="1:1">
      <c r="A12281" t="inlineStr">
        <is>
          <t>Pangutosan</t>
        </is>
      </c>
    </row>
    <row r="12282" spans="1:1">
      <c r="A12282" t="inlineStr">
        <is>
          <t>Poblacion</t>
        </is>
      </c>
    </row>
    <row r="12283" spans="1:1">
      <c r="A12283" t="inlineStr">
        <is>
          <t>San Isidro</t>
        </is>
      </c>
    </row>
    <row r="12284" spans="1:1">
      <c r="A12284" t="inlineStr">
        <is>
          <t>San Roque</t>
        </is>
      </c>
    </row>
    <row r="12285" spans="1:1">
      <c r="A12285" t="inlineStr">
        <is>
          <t>San Vicente</t>
        </is>
      </c>
    </row>
    <row r="12286" spans="1:1">
      <c r="A12286" t="inlineStr">
        <is>
          <t>Santa Maria</t>
        </is>
      </c>
    </row>
    <row r="12287" spans="1:1">
      <c r="A12287" t="inlineStr">
        <is>
          <t>Santo Niño</t>
        </is>
      </c>
    </row>
    <row r="12288" spans="1:1">
      <c r="A12288" t="inlineStr">
        <is>
          <t>Sasa</t>
        </is>
      </c>
    </row>
    <row r="12289" spans="1:1">
      <c r="A12289" t="inlineStr">
        <is>
          <t>Tagnocon</t>
        </is>
      </c>
    </row>
    <row r="12290" spans="1:1">
      <c r="A12290" t="inlineStr">
        <is>
          <t>Andap</t>
        </is>
      </c>
    </row>
    <row r="12291" spans="1:1">
      <c r="A12291" t="inlineStr">
        <is>
          <t>Bantacan</t>
        </is>
      </c>
    </row>
    <row r="12292" spans="1:1">
      <c r="A12292" t="inlineStr">
        <is>
          <t>Batinao</t>
        </is>
      </c>
    </row>
    <row r="12293" spans="1:1">
      <c r="A12293" t="inlineStr">
        <is>
          <t>Cabinuangan</t>
        </is>
      </c>
    </row>
    <row r="12294" spans="1:1">
      <c r="A12294" t="inlineStr">
        <is>
          <t>Camanlangan</t>
        </is>
      </c>
    </row>
    <row r="12295" spans="1:1">
      <c r="A12295" t="inlineStr">
        <is>
          <t>Cogonon</t>
        </is>
      </c>
    </row>
    <row r="12296" spans="1:1">
      <c r="A12296" t="inlineStr">
        <is>
          <t>Fatima</t>
        </is>
      </c>
    </row>
    <row r="12297" spans="1:1">
      <c r="A12297" t="inlineStr">
        <is>
          <t>Kahayag</t>
        </is>
      </c>
    </row>
    <row r="12298" spans="1:1">
      <c r="A12298" t="inlineStr">
        <is>
          <t>Katipunan</t>
        </is>
      </c>
    </row>
    <row r="12299" spans="1:1">
      <c r="A12299" t="inlineStr">
        <is>
          <t>Magangit</t>
        </is>
      </c>
    </row>
    <row r="12300" spans="1:1">
      <c r="A12300" t="inlineStr">
        <is>
          <t>Magsaysay</t>
        </is>
      </c>
    </row>
    <row r="12301" spans="1:1">
      <c r="A12301" t="inlineStr">
        <is>
          <t>Manurigao</t>
        </is>
      </c>
    </row>
    <row r="12302" spans="1:1">
      <c r="A12302" t="inlineStr">
        <is>
          <t>Pagsabangan</t>
        </is>
      </c>
    </row>
    <row r="12303" spans="1:1">
      <c r="A12303" t="inlineStr">
        <is>
          <t>Panag</t>
        </is>
      </c>
    </row>
    <row r="12304" spans="1:1">
      <c r="A12304" t="inlineStr">
        <is>
          <t>San Roque</t>
        </is>
      </c>
    </row>
    <row r="12305" spans="1:1">
      <c r="A12305" t="inlineStr">
        <is>
          <t>Tandawan</t>
        </is>
      </c>
    </row>
    <row r="12306" spans="1:1">
      <c r="A12306" t="inlineStr">
        <is>
          <t>Araibo</t>
        </is>
      </c>
    </row>
    <row r="12307" spans="1:1">
      <c r="A12307" t="inlineStr">
        <is>
          <t>Bongabong</t>
        </is>
      </c>
    </row>
    <row r="12308" spans="1:1">
      <c r="A12308" t="inlineStr">
        <is>
          <t>Bongbong</t>
        </is>
      </c>
    </row>
    <row r="12309" spans="1:1">
      <c r="A12309" t="inlineStr">
        <is>
          <t>Kingking</t>
        </is>
      </c>
    </row>
    <row r="12310" spans="1:1">
      <c r="A12310" t="inlineStr">
        <is>
          <t>Las Arenas</t>
        </is>
      </c>
    </row>
    <row r="12311" spans="1:1">
      <c r="A12311" t="inlineStr">
        <is>
          <t>Magnaga</t>
        </is>
      </c>
    </row>
    <row r="12312" spans="1:1">
      <c r="A12312" t="inlineStr">
        <is>
          <t>Matiao</t>
        </is>
      </c>
    </row>
    <row r="12313" spans="1:1">
      <c r="A12313" t="inlineStr">
        <is>
          <t>Napnapan</t>
        </is>
      </c>
    </row>
    <row r="12314" spans="1:1">
      <c r="A12314" t="inlineStr">
        <is>
          <t>P. Fuentes</t>
        </is>
      </c>
    </row>
    <row r="12315" spans="1:1">
      <c r="A12315" t="inlineStr">
        <is>
          <t>Tag-Ugpo</t>
        </is>
      </c>
    </row>
    <row r="12316" spans="1:1">
      <c r="A12316" t="inlineStr">
        <is>
          <t>Tagdangua</t>
        </is>
      </c>
    </row>
    <row r="12317" spans="1:1">
      <c r="A12317" t="inlineStr">
        <is>
          <t>Tambongon</t>
        </is>
      </c>
    </row>
    <row r="12318" spans="1:1">
      <c r="A12318" t="inlineStr">
        <is>
          <t>Tibagon</t>
        </is>
      </c>
    </row>
    <row r="12319" spans="1:1">
      <c r="A12319" t="inlineStr">
        <is>
          <t>Binancian</t>
        </is>
      </c>
    </row>
    <row r="12320" spans="1:1">
      <c r="A12320" t="inlineStr">
        <is>
          <t>Buan</t>
        </is>
      </c>
    </row>
    <row r="12321" spans="1:1">
      <c r="A12321" t="inlineStr">
        <is>
          <t>Buclad</t>
        </is>
      </c>
    </row>
    <row r="12322" spans="1:1">
      <c r="A12322" t="inlineStr">
        <is>
          <t>Cabaywa</t>
        </is>
      </c>
    </row>
    <row r="12323" spans="1:1">
      <c r="A12323" t="inlineStr">
        <is>
          <t>Camansa</t>
        </is>
      </c>
    </row>
    <row r="12324" spans="1:1">
      <c r="A12324" t="inlineStr">
        <is>
          <t>Cambanogoy</t>
        </is>
      </c>
    </row>
    <row r="12325" spans="1:1">
      <c r="A12325" t="inlineStr">
        <is>
          <t>Camoning</t>
        </is>
      </c>
    </row>
    <row r="12326" spans="1:1">
      <c r="A12326" t="inlineStr">
        <is>
          <t>Canatan</t>
        </is>
      </c>
    </row>
    <row r="12327" spans="1:1">
      <c r="A12327" t="inlineStr">
        <is>
          <t>Concepcion</t>
        </is>
      </c>
    </row>
    <row r="12328" spans="1:1">
      <c r="A12328" t="inlineStr">
        <is>
          <t>Doña Andrea</t>
        </is>
      </c>
    </row>
    <row r="12329" spans="1:1">
      <c r="A12329" t="inlineStr">
        <is>
          <t>Magatos</t>
        </is>
      </c>
    </row>
    <row r="12330" spans="1:1">
      <c r="A12330" t="inlineStr">
        <is>
          <t>Napungas</t>
        </is>
      </c>
    </row>
    <row r="12331" spans="1:1">
      <c r="A12331" t="inlineStr">
        <is>
          <t>New Bantayan</t>
        </is>
      </c>
    </row>
    <row r="12332" spans="1:1">
      <c r="A12332" t="inlineStr">
        <is>
          <t>New Loon</t>
        </is>
      </c>
    </row>
    <row r="12333" spans="1:1">
      <c r="A12333" t="inlineStr">
        <is>
          <t>New Santiago</t>
        </is>
      </c>
    </row>
    <row r="12334" spans="1:1">
      <c r="A12334" t="inlineStr">
        <is>
          <t>Pamacaun</t>
        </is>
      </c>
    </row>
    <row r="12335" spans="1:1">
      <c r="A12335" t="inlineStr">
        <is>
          <t>Sagayen</t>
        </is>
      </c>
    </row>
    <row r="12336" spans="1:1">
      <c r="A12336" t="inlineStr">
        <is>
          <t>San Vicente</t>
        </is>
      </c>
    </row>
    <row r="12337" spans="1:1">
      <c r="A12337" t="inlineStr">
        <is>
          <t>Santa Filomena</t>
        </is>
      </c>
    </row>
    <row r="12338" spans="1:1">
      <c r="A12338" t="inlineStr">
        <is>
          <t>Sonlon</t>
        </is>
      </c>
    </row>
    <row r="12339" spans="1:1">
      <c r="A12339" t="inlineStr">
        <is>
          <t>Cabayangan</t>
        </is>
      </c>
    </row>
    <row r="12340" spans="1:1">
      <c r="A12340" t="inlineStr">
        <is>
          <t>Dujali</t>
        </is>
      </c>
    </row>
    <row r="12341" spans="1:1">
      <c r="A12341" t="inlineStr">
        <is>
          <t>Magupising</t>
        </is>
      </c>
    </row>
    <row r="12342" spans="1:1">
      <c r="A12342" t="inlineStr">
        <is>
          <t>New Casay</t>
        </is>
      </c>
    </row>
    <row r="12343" spans="1:1">
      <c r="A12343" t="inlineStr">
        <is>
          <t>Tanglaw</t>
        </is>
      </c>
    </row>
    <row r="12344" spans="1:1">
      <c r="A12344" t="inlineStr">
        <is>
          <t>Alejal</t>
        </is>
      </c>
    </row>
    <row r="12345" spans="1:1">
      <c r="A12345" t="inlineStr">
        <is>
          <t>Anibongan</t>
        </is>
      </c>
    </row>
    <row r="12346" spans="1:1">
      <c r="A12346" t="inlineStr">
        <is>
          <t>Asuncion</t>
        </is>
      </c>
    </row>
    <row r="12347" spans="1:1">
      <c r="A12347" t="inlineStr">
        <is>
          <t>Cebulano</t>
        </is>
      </c>
    </row>
    <row r="12348" spans="1:1">
      <c r="A12348" t="inlineStr">
        <is>
          <t>Guadalupe</t>
        </is>
      </c>
    </row>
    <row r="12349" spans="1:1">
      <c r="A12349" t="inlineStr">
        <is>
          <t>Ising</t>
        </is>
      </c>
    </row>
    <row r="12350" spans="1:1">
      <c r="A12350" t="inlineStr">
        <is>
          <t>La Paz</t>
        </is>
      </c>
    </row>
    <row r="12351" spans="1:1">
      <c r="A12351" t="inlineStr">
        <is>
          <t>Mabaus</t>
        </is>
      </c>
    </row>
    <row r="12352" spans="1:1">
      <c r="A12352" t="inlineStr">
        <is>
          <t>Mabuhay</t>
        </is>
      </c>
    </row>
    <row r="12353" spans="1:1">
      <c r="A12353" t="inlineStr">
        <is>
          <t>Magsaysay</t>
        </is>
      </c>
    </row>
    <row r="12354" spans="1:1">
      <c r="A12354" t="inlineStr">
        <is>
          <t>Mangalcal</t>
        </is>
      </c>
    </row>
    <row r="12355" spans="1:1">
      <c r="A12355" t="inlineStr">
        <is>
          <t>Minda</t>
        </is>
      </c>
    </row>
    <row r="12356" spans="1:1">
      <c r="A12356" t="inlineStr">
        <is>
          <t>New Camiling</t>
        </is>
      </c>
    </row>
    <row r="12357" spans="1:1">
      <c r="A12357" t="inlineStr">
        <is>
          <t>Salvacion</t>
        </is>
      </c>
    </row>
    <row r="12358" spans="1:1">
      <c r="A12358" t="inlineStr">
        <is>
          <t>San Isidro</t>
        </is>
      </c>
    </row>
    <row r="12359" spans="1:1">
      <c r="A12359" t="inlineStr">
        <is>
          <t>Sto. Niño</t>
        </is>
      </c>
    </row>
    <row r="12360" spans="1:1">
      <c r="A12360" t="inlineStr">
        <is>
          <t>Taba</t>
        </is>
      </c>
    </row>
    <row r="12361" spans="1:1">
      <c r="A12361" t="inlineStr">
        <is>
          <t>Tibulao</t>
        </is>
      </c>
    </row>
    <row r="12362" spans="1:1">
      <c r="A12362" t="inlineStr">
        <is>
          <t>Tubod</t>
        </is>
      </c>
    </row>
    <row r="12363" spans="1:1">
      <c r="A12363" t="inlineStr">
        <is>
          <t>Tuganay</t>
        </is>
      </c>
    </row>
    <row r="12364" spans="1:1">
      <c r="A12364" t="inlineStr">
        <is>
          <t>A. O. Floirendo</t>
        </is>
      </c>
    </row>
    <row r="12365" spans="1:1">
      <c r="A12365" t="inlineStr">
        <is>
          <t>Buenavista</t>
        </is>
      </c>
    </row>
    <row r="12366" spans="1:1">
      <c r="A12366" t="inlineStr">
        <is>
          <t>Cacao</t>
        </is>
      </c>
    </row>
    <row r="12367" spans="1:1">
      <c r="A12367" t="inlineStr">
        <is>
          <t>Cagangohan</t>
        </is>
      </c>
    </row>
    <row r="12368" spans="1:1">
      <c r="A12368" t="inlineStr">
        <is>
          <t>Consolacion</t>
        </is>
      </c>
    </row>
    <row r="12369" spans="1:1">
      <c r="A12369" t="inlineStr">
        <is>
          <t>Dapco</t>
        </is>
      </c>
    </row>
    <row r="12370" spans="1:1">
      <c r="A12370" t="inlineStr">
        <is>
          <t>Datu Abdul Dadia</t>
        </is>
      </c>
    </row>
    <row r="12371" spans="1:1">
      <c r="A12371" t="inlineStr">
        <is>
          <t>Gredu</t>
        </is>
      </c>
    </row>
    <row r="12372" spans="1:1">
      <c r="A12372" t="inlineStr">
        <is>
          <t>J.P. Laurel</t>
        </is>
      </c>
    </row>
    <row r="12373" spans="1:1">
      <c r="A12373" t="inlineStr">
        <is>
          <t>Kasilak</t>
        </is>
      </c>
    </row>
    <row r="12374" spans="1:1">
      <c r="A12374" t="inlineStr">
        <is>
          <t>Katipunan</t>
        </is>
      </c>
    </row>
    <row r="12375" spans="1:1">
      <c r="A12375" t="inlineStr">
        <is>
          <t>Katualan</t>
        </is>
      </c>
    </row>
    <row r="12376" spans="1:1">
      <c r="A12376" t="inlineStr">
        <is>
          <t>Kauswagan</t>
        </is>
      </c>
    </row>
    <row r="12377" spans="1:1">
      <c r="A12377" t="inlineStr">
        <is>
          <t>Kiotoy</t>
        </is>
      </c>
    </row>
    <row r="12378" spans="1:1">
      <c r="A12378" t="inlineStr">
        <is>
          <t>Little Panay</t>
        </is>
      </c>
    </row>
    <row r="12379" spans="1:1">
      <c r="A12379" t="inlineStr">
        <is>
          <t>Lower Panaga</t>
        </is>
      </c>
    </row>
    <row r="12380" spans="1:1">
      <c r="A12380" t="inlineStr">
        <is>
          <t>Mabunao</t>
        </is>
      </c>
    </row>
    <row r="12381" spans="1:1">
      <c r="A12381" t="inlineStr">
        <is>
          <t>Maduao</t>
        </is>
      </c>
    </row>
    <row r="12382" spans="1:1">
      <c r="A12382" t="inlineStr">
        <is>
          <t>Malativas</t>
        </is>
      </c>
    </row>
    <row r="12383" spans="1:1">
      <c r="A12383" t="inlineStr">
        <is>
          <t>Manay</t>
        </is>
      </c>
    </row>
    <row r="12384" spans="1:1">
      <c r="A12384" t="inlineStr">
        <is>
          <t>Nanyo</t>
        </is>
      </c>
    </row>
    <row r="12385" spans="1:1">
      <c r="A12385" t="inlineStr">
        <is>
          <t>New Malaga</t>
        </is>
      </c>
    </row>
    <row r="12386" spans="1:1">
      <c r="A12386" t="inlineStr">
        <is>
          <t>New Malitbog</t>
        </is>
      </c>
    </row>
    <row r="12387" spans="1:1">
      <c r="A12387" t="inlineStr">
        <is>
          <t>New Pandan</t>
        </is>
      </c>
    </row>
    <row r="12388" spans="1:1">
      <c r="A12388" t="inlineStr">
        <is>
          <t>New Visayas</t>
        </is>
      </c>
    </row>
    <row r="12389" spans="1:1">
      <c r="A12389" t="inlineStr">
        <is>
          <t>Quezon</t>
        </is>
      </c>
    </row>
    <row r="12390" spans="1:1">
      <c r="A12390" t="inlineStr">
        <is>
          <t>Salvacion</t>
        </is>
      </c>
    </row>
    <row r="12391" spans="1:1">
      <c r="A12391" t="inlineStr">
        <is>
          <t>San Francisco</t>
        </is>
      </c>
    </row>
    <row r="12392" spans="1:1">
      <c r="A12392" t="inlineStr">
        <is>
          <t>San Nicolas</t>
        </is>
      </c>
    </row>
    <row r="12393" spans="1:1">
      <c r="A12393" t="inlineStr">
        <is>
          <t>San Pedro</t>
        </is>
      </c>
    </row>
    <row r="12394" spans="1:1">
      <c r="A12394" t="inlineStr">
        <is>
          <t>San Roque</t>
        </is>
      </c>
    </row>
    <row r="12395" spans="1:1">
      <c r="A12395" t="inlineStr">
        <is>
          <t>San Vicente</t>
        </is>
      </c>
    </row>
    <row r="12396" spans="1:1">
      <c r="A12396" t="inlineStr">
        <is>
          <t>Santa Cruz</t>
        </is>
      </c>
    </row>
    <row r="12397" spans="1:1">
      <c r="A12397" t="inlineStr">
        <is>
          <t>Santo Niño</t>
        </is>
      </c>
    </row>
    <row r="12398" spans="1:1">
      <c r="A12398" t="inlineStr">
        <is>
          <t>Sindaton</t>
        </is>
      </c>
    </row>
    <row r="12399" spans="1:1">
      <c r="A12399" t="inlineStr">
        <is>
          <t>Southern Davao</t>
        </is>
      </c>
    </row>
    <row r="12400" spans="1:1">
      <c r="A12400" t="inlineStr">
        <is>
          <t>Tagpore</t>
        </is>
      </c>
    </row>
    <row r="12401" spans="1:1">
      <c r="A12401" t="inlineStr">
        <is>
          <t>Tibungol</t>
        </is>
      </c>
    </row>
    <row r="12402" spans="1:1">
      <c r="A12402" t="inlineStr">
        <is>
          <t>Upper Licanan</t>
        </is>
      </c>
    </row>
    <row r="12403" spans="1:1">
      <c r="A12403" t="inlineStr">
        <is>
          <t>Waterfall</t>
        </is>
      </c>
    </row>
    <row r="12404" spans="1:1">
      <c r="A12404" t="inlineStr">
        <is>
          <t>Apokon</t>
        </is>
      </c>
    </row>
    <row r="12405" spans="1:1">
      <c r="A12405" t="inlineStr">
        <is>
          <t>Bincungan</t>
        </is>
      </c>
    </row>
    <row r="12406" spans="1:1">
      <c r="A12406" t="inlineStr">
        <is>
          <t>Busaon</t>
        </is>
      </c>
    </row>
    <row r="12407" spans="1:1">
      <c r="A12407" t="inlineStr">
        <is>
          <t>Canocotan</t>
        </is>
      </c>
    </row>
    <row r="12408" spans="1:1">
      <c r="A12408" t="inlineStr">
        <is>
          <t>Cuambogan</t>
        </is>
      </c>
    </row>
    <row r="12409" spans="1:1">
      <c r="A12409" t="inlineStr">
        <is>
          <t>La Filipina</t>
        </is>
      </c>
    </row>
    <row r="12410" spans="1:1">
      <c r="A12410" t="inlineStr">
        <is>
          <t>Liboganon</t>
        </is>
      </c>
    </row>
    <row r="12411" spans="1:1">
      <c r="A12411" t="inlineStr">
        <is>
          <t>Madaum</t>
        </is>
      </c>
    </row>
    <row r="12412" spans="1:1">
      <c r="A12412" t="inlineStr">
        <is>
          <t>Magdum</t>
        </is>
      </c>
    </row>
    <row r="12413" spans="1:1">
      <c r="A12413" t="inlineStr">
        <is>
          <t>Magugpo East</t>
        </is>
      </c>
    </row>
    <row r="12414" spans="1:1">
      <c r="A12414" t="inlineStr">
        <is>
          <t>Magugpo North</t>
        </is>
      </c>
    </row>
    <row r="12415" spans="1:1">
      <c r="A12415" t="inlineStr">
        <is>
          <t>Magugpo Poblacion</t>
        </is>
      </c>
    </row>
    <row r="12416" spans="1:1">
      <c r="A12416" t="inlineStr">
        <is>
          <t>Magugpo South</t>
        </is>
      </c>
    </row>
    <row r="12417" spans="1:1">
      <c r="A12417" t="inlineStr">
        <is>
          <t>Magugpo West</t>
        </is>
      </c>
    </row>
    <row r="12418" spans="1:1">
      <c r="A12418" t="inlineStr">
        <is>
          <t>Mankilam</t>
        </is>
      </c>
    </row>
    <row r="12419" spans="1:1">
      <c r="A12419" t="inlineStr">
        <is>
          <t>New Balamban</t>
        </is>
      </c>
    </row>
    <row r="12420" spans="1:1">
      <c r="A12420" t="inlineStr">
        <is>
          <t>Nueva Fuerza</t>
        </is>
      </c>
    </row>
    <row r="12421" spans="1:1">
      <c r="A12421" t="inlineStr">
        <is>
          <t>Pagsabangan</t>
        </is>
      </c>
    </row>
    <row r="12422" spans="1:1">
      <c r="A12422" t="inlineStr">
        <is>
          <t>Pandapan</t>
        </is>
      </c>
    </row>
    <row r="12423" spans="1:1">
      <c r="A12423" t="inlineStr">
        <is>
          <t>San Agustin</t>
        </is>
      </c>
    </row>
    <row r="12424" spans="1:1">
      <c r="A12424" t="inlineStr">
        <is>
          <t>San Isidro</t>
        </is>
      </c>
    </row>
    <row r="12425" spans="1:1">
      <c r="A12425" t="inlineStr">
        <is>
          <t>San Miguel</t>
        </is>
      </c>
    </row>
    <row r="12426" spans="1:1">
      <c r="A12426" t="inlineStr">
        <is>
          <t>Visayan Village</t>
        </is>
      </c>
    </row>
    <row r="12427" spans="1:1">
      <c r="A12427" t="inlineStr">
        <is>
          <t>Adecor</t>
        </is>
      </c>
    </row>
    <row r="12428" spans="1:1">
      <c r="A12428" t="inlineStr">
        <is>
          <t>Anonang</t>
        </is>
      </c>
    </row>
    <row r="12429" spans="1:1">
      <c r="A12429" t="inlineStr">
        <is>
          <t>Aumbay</t>
        </is>
      </c>
    </row>
    <row r="12430" spans="1:1">
      <c r="A12430" t="inlineStr">
        <is>
          <t>Aundanao</t>
        </is>
      </c>
    </row>
    <row r="12431" spans="1:1">
      <c r="A12431" t="inlineStr">
        <is>
          <t>Balet</t>
        </is>
      </c>
    </row>
    <row r="12432" spans="1:1">
      <c r="A12432" t="inlineStr">
        <is>
          <t>Bandera</t>
        </is>
      </c>
    </row>
    <row r="12433" spans="1:1">
      <c r="A12433" t="inlineStr">
        <is>
          <t>Caliclic</t>
        </is>
      </c>
    </row>
    <row r="12434" spans="1:1">
      <c r="A12434" t="inlineStr">
        <is>
          <t>Camudmud</t>
        </is>
      </c>
    </row>
    <row r="12435" spans="1:1">
      <c r="A12435" t="inlineStr">
        <is>
          <t>Catagman</t>
        </is>
      </c>
    </row>
    <row r="12436" spans="1:1">
      <c r="A12436" t="inlineStr">
        <is>
          <t>Cawag</t>
        </is>
      </c>
    </row>
    <row r="12437" spans="1:1">
      <c r="A12437" t="inlineStr">
        <is>
          <t>Cogon</t>
        </is>
      </c>
    </row>
    <row r="12438" spans="1:1">
      <c r="A12438" t="inlineStr">
        <is>
          <t>Cogon (Talicod)</t>
        </is>
      </c>
    </row>
    <row r="12439" spans="1:1">
      <c r="A12439" t="inlineStr">
        <is>
          <t>Dadatan</t>
        </is>
      </c>
    </row>
    <row r="12440" spans="1:1">
      <c r="A12440" t="inlineStr">
        <is>
          <t>Del Monte</t>
        </is>
      </c>
    </row>
    <row r="12441" spans="1:1">
      <c r="A12441" t="inlineStr">
        <is>
          <t>Guilon</t>
        </is>
      </c>
    </row>
    <row r="12442" spans="1:1">
      <c r="A12442" t="inlineStr">
        <is>
          <t>Kanaan</t>
        </is>
      </c>
    </row>
    <row r="12443" spans="1:1">
      <c r="A12443" t="inlineStr">
        <is>
          <t>Kinawitnon</t>
        </is>
      </c>
    </row>
    <row r="12444" spans="1:1">
      <c r="A12444" t="inlineStr">
        <is>
          <t>Libertad</t>
        </is>
      </c>
    </row>
    <row r="12445" spans="1:1">
      <c r="A12445" t="inlineStr">
        <is>
          <t>Libuak</t>
        </is>
      </c>
    </row>
    <row r="12446" spans="1:1">
      <c r="A12446" t="inlineStr">
        <is>
          <t>Licup</t>
        </is>
      </c>
    </row>
    <row r="12447" spans="1:1">
      <c r="A12447" t="inlineStr">
        <is>
          <t>Limao</t>
        </is>
      </c>
    </row>
    <row r="12448" spans="1:1">
      <c r="A12448" t="inlineStr">
        <is>
          <t>Linosutan</t>
        </is>
      </c>
    </row>
    <row r="12449" spans="1:1">
      <c r="A12449" t="inlineStr">
        <is>
          <t>Mambago-A</t>
        </is>
      </c>
    </row>
    <row r="12450" spans="1:1">
      <c r="A12450" t="inlineStr">
        <is>
          <t>Mambago-B</t>
        </is>
      </c>
    </row>
    <row r="12451" spans="1:1">
      <c r="A12451" t="inlineStr">
        <is>
          <t>Miranda</t>
        </is>
      </c>
    </row>
    <row r="12452" spans="1:1">
      <c r="A12452" t="inlineStr">
        <is>
          <t>Moncado</t>
        </is>
      </c>
    </row>
    <row r="12453" spans="1:1">
      <c r="A12453" t="inlineStr">
        <is>
          <t>Pangubatan</t>
        </is>
      </c>
    </row>
    <row r="12454" spans="1:1">
      <c r="A12454" t="inlineStr">
        <is>
          <t>Peñaplata</t>
        </is>
      </c>
    </row>
    <row r="12455" spans="1:1">
      <c r="A12455" t="inlineStr">
        <is>
          <t>Poblacion</t>
        </is>
      </c>
    </row>
    <row r="12456" spans="1:1">
      <c r="A12456" t="inlineStr">
        <is>
          <t>San Agustin</t>
        </is>
      </c>
    </row>
    <row r="12457" spans="1:1">
      <c r="A12457" t="inlineStr">
        <is>
          <t>San Antonio</t>
        </is>
      </c>
    </row>
    <row r="12458" spans="1:1">
      <c r="A12458" t="inlineStr">
        <is>
          <t>San Isidro (Babak)</t>
        </is>
      </c>
    </row>
    <row r="12459" spans="1:1">
      <c r="A12459" t="inlineStr">
        <is>
          <t>San Isidro (Kaputian)</t>
        </is>
      </c>
    </row>
    <row r="12460" spans="1:1">
      <c r="A12460" t="inlineStr">
        <is>
          <t>San Jose</t>
        </is>
      </c>
    </row>
    <row r="12461" spans="1:1">
      <c r="A12461" t="inlineStr">
        <is>
          <t>San Miguel</t>
        </is>
      </c>
    </row>
    <row r="12462" spans="1:1">
      <c r="A12462" t="inlineStr">
        <is>
          <t>San Remigio</t>
        </is>
      </c>
    </row>
    <row r="12463" spans="1:1">
      <c r="A12463" t="inlineStr">
        <is>
          <t>Santa Cruz</t>
        </is>
      </c>
    </row>
    <row r="12464" spans="1:1">
      <c r="A12464" t="inlineStr">
        <is>
          <t>Santo Niño</t>
        </is>
      </c>
    </row>
    <row r="12465" spans="1:1">
      <c r="A12465" t="inlineStr">
        <is>
          <t>Sion</t>
        </is>
      </c>
    </row>
    <row r="12466" spans="1:1">
      <c r="A12466" t="inlineStr">
        <is>
          <t>Tagbaobo</t>
        </is>
      </c>
    </row>
    <row r="12467" spans="1:1">
      <c r="A12467" t="inlineStr">
        <is>
          <t>Tagbay</t>
        </is>
      </c>
    </row>
    <row r="12468" spans="1:1">
      <c r="A12468" t="inlineStr">
        <is>
          <t>Tagbitan-ag</t>
        </is>
      </c>
    </row>
    <row r="12469" spans="1:1">
      <c r="A12469" t="inlineStr">
        <is>
          <t>Tagdaliao</t>
        </is>
      </c>
    </row>
    <row r="12470" spans="1:1">
      <c r="A12470" t="inlineStr">
        <is>
          <t>Tagpopongan</t>
        </is>
      </c>
    </row>
    <row r="12471" spans="1:1">
      <c r="A12471" t="inlineStr">
        <is>
          <t>Tambo</t>
        </is>
      </c>
    </row>
    <row r="12472" spans="1:1">
      <c r="A12472" t="inlineStr">
        <is>
          <t>Toril</t>
        </is>
      </c>
    </row>
    <row r="12473" spans="1:1">
      <c r="A12473" t="inlineStr">
        <is>
          <t>Capungagan</t>
        </is>
      </c>
    </row>
    <row r="12474" spans="1:1">
      <c r="A12474" t="inlineStr">
        <is>
          <t>Florida</t>
        </is>
      </c>
    </row>
    <row r="12475" spans="1:1">
      <c r="A12475" t="inlineStr">
        <is>
          <t>Gabuyan</t>
        </is>
      </c>
    </row>
    <row r="12476" spans="1:1">
      <c r="A12476" t="inlineStr">
        <is>
          <t>Gupitan</t>
        </is>
      </c>
    </row>
    <row r="12477" spans="1:1">
      <c r="A12477" t="inlineStr">
        <is>
          <t>Katipunan</t>
        </is>
      </c>
    </row>
    <row r="12478" spans="1:1">
      <c r="A12478" t="inlineStr">
        <is>
          <t>Luna</t>
        </is>
      </c>
    </row>
    <row r="12479" spans="1:1">
      <c r="A12479" t="inlineStr">
        <is>
          <t>Mabantao</t>
        </is>
      </c>
    </row>
    <row r="12480" spans="1:1">
      <c r="A12480" t="inlineStr">
        <is>
          <t>Mamacao</t>
        </is>
      </c>
    </row>
    <row r="12481" spans="1:1">
      <c r="A12481" t="inlineStr">
        <is>
          <t>Maniki</t>
        </is>
      </c>
    </row>
    <row r="12482" spans="1:1">
      <c r="A12482" t="inlineStr">
        <is>
          <t>Pag-asa</t>
        </is>
      </c>
    </row>
    <row r="12483" spans="1:1">
      <c r="A12483" t="inlineStr">
        <is>
          <t>Sampao</t>
        </is>
      </c>
    </row>
    <row r="12484" spans="1:1">
      <c r="A12484" t="inlineStr">
        <is>
          <t>Semong</t>
        </is>
      </c>
    </row>
    <row r="12485" spans="1:1">
      <c r="A12485" t="inlineStr">
        <is>
          <t>Sua-on</t>
        </is>
      </c>
    </row>
    <row r="12486" spans="1:1">
      <c r="A12486" t="inlineStr">
        <is>
          <t>Tiburcia</t>
        </is>
      </c>
    </row>
    <row r="12487" spans="1:1">
      <c r="A12487" t="inlineStr">
        <is>
          <t>Cabidianan</t>
        </is>
      </c>
    </row>
    <row r="12488" spans="1:1">
      <c r="A12488" t="inlineStr">
        <is>
          <t>Carcor</t>
        </is>
      </c>
    </row>
    <row r="12489" spans="1:1">
      <c r="A12489" t="inlineStr">
        <is>
          <t>Del Monte</t>
        </is>
      </c>
    </row>
    <row r="12490" spans="1:1">
      <c r="A12490" t="inlineStr">
        <is>
          <t>Del Pilar</t>
        </is>
      </c>
    </row>
    <row r="12491" spans="1:1">
      <c r="A12491" t="inlineStr">
        <is>
          <t>El Salvador</t>
        </is>
      </c>
    </row>
    <row r="12492" spans="1:1">
      <c r="A12492" t="inlineStr">
        <is>
          <t>Limba-an</t>
        </is>
      </c>
    </row>
    <row r="12493" spans="1:1">
      <c r="A12493" t="inlineStr">
        <is>
          <t>Macgum</t>
        </is>
      </c>
    </row>
    <row r="12494" spans="1:1">
      <c r="A12494" t="inlineStr">
        <is>
          <t>Mambing</t>
        </is>
      </c>
    </row>
    <row r="12495" spans="1:1">
      <c r="A12495" t="inlineStr">
        <is>
          <t>Mesaoy</t>
        </is>
      </c>
    </row>
    <row r="12496" spans="1:1">
      <c r="A12496" t="inlineStr">
        <is>
          <t>New Bohol</t>
        </is>
      </c>
    </row>
    <row r="12497" spans="1:1">
      <c r="A12497" t="inlineStr">
        <is>
          <t>New Cortez</t>
        </is>
      </c>
    </row>
    <row r="12498" spans="1:1">
      <c r="A12498" t="inlineStr">
        <is>
          <t>New Sambog</t>
        </is>
      </c>
    </row>
    <row r="12499" spans="1:1">
      <c r="A12499" t="inlineStr">
        <is>
          <t>Patrocenio</t>
        </is>
      </c>
    </row>
    <row r="12500" spans="1:1">
      <c r="A12500" t="inlineStr">
        <is>
          <t>Poblacion</t>
        </is>
      </c>
    </row>
    <row r="12501" spans="1:1">
      <c r="A12501" t="inlineStr">
        <is>
          <t>San Jose</t>
        </is>
      </c>
    </row>
    <row r="12502" spans="1:1">
      <c r="A12502" t="inlineStr">
        <is>
          <t>San Roque</t>
        </is>
      </c>
    </row>
    <row r="12503" spans="1:1">
      <c r="A12503" t="inlineStr">
        <is>
          <t>Sta. Cruz</t>
        </is>
      </c>
    </row>
    <row r="12504" spans="1:1">
      <c r="A12504" t="inlineStr">
        <is>
          <t>Sta. Fe</t>
        </is>
      </c>
    </row>
    <row r="12505" spans="1:1">
      <c r="A12505" t="inlineStr">
        <is>
          <t>Sto. Niño</t>
        </is>
      </c>
    </row>
    <row r="12506" spans="1:1">
      <c r="A12506" t="inlineStr">
        <is>
          <t>Suawon</t>
        </is>
      </c>
    </row>
    <row r="12507" spans="1:1">
      <c r="A12507" t="inlineStr">
        <is>
          <t>Balagunan</t>
        </is>
      </c>
    </row>
    <row r="12508" spans="1:1">
      <c r="A12508" t="inlineStr">
        <is>
          <t>Bobongon</t>
        </is>
      </c>
    </row>
    <row r="12509" spans="1:1">
      <c r="A12509" t="inlineStr">
        <is>
          <t>Casig-Ang</t>
        </is>
      </c>
    </row>
    <row r="12510" spans="1:1">
      <c r="A12510" t="inlineStr">
        <is>
          <t>Esperanza</t>
        </is>
      </c>
    </row>
    <row r="12511" spans="1:1">
      <c r="A12511" t="inlineStr">
        <is>
          <t>Kimamon</t>
        </is>
      </c>
    </row>
    <row r="12512" spans="1:1">
      <c r="A12512" t="inlineStr">
        <is>
          <t>Kinamayan</t>
        </is>
      </c>
    </row>
    <row r="12513" spans="1:1">
      <c r="A12513" t="inlineStr">
        <is>
          <t>La Libertad</t>
        </is>
      </c>
    </row>
    <row r="12514" spans="1:1">
      <c r="A12514" t="inlineStr">
        <is>
          <t>Lungaog</t>
        </is>
      </c>
    </row>
    <row r="12515" spans="1:1">
      <c r="A12515" t="inlineStr">
        <is>
          <t>Magwawa</t>
        </is>
      </c>
    </row>
    <row r="12516" spans="1:1">
      <c r="A12516" t="inlineStr">
        <is>
          <t>New Katipunan</t>
        </is>
      </c>
    </row>
    <row r="12517" spans="1:1">
      <c r="A12517" t="inlineStr">
        <is>
          <t>New Visayas</t>
        </is>
      </c>
    </row>
    <row r="12518" spans="1:1">
      <c r="A12518" t="inlineStr">
        <is>
          <t>Pantaron</t>
        </is>
      </c>
    </row>
    <row r="12519" spans="1:1">
      <c r="A12519" t="inlineStr">
        <is>
          <t>Salvacion</t>
        </is>
      </c>
    </row>
    <row r="12520" spans="1:1">
      <c r="A12520" t="inlineStr">
        <is>
          <t>San Jose</t>
        </is>
      </c>
    </row>
    <row r="12521" spans="1:1">
      <c r="A12521" t="inlineStr">
        <is>
          <t>San Miguel</t>
        </is>
      </c>
    </row>
    <row r="12522" spans="1:1">
      <c r="A12522" t="inlineStr">
        <is>
          <t>San Vicente</t>
        </is>
      </c>
    </row>
    <row r="12523" spans="1:1">
      <c r="A12523" t="inlineStr">
        <is>
          <t>Talomo</t>
        </is>
      </c>
    </row>
    <row r="12524" spans="1:1">
      <c r="A12524" t="inlineStr">
        <is>
          <t>Tibal-og</t>
        </is>
      </c>
    </row>
    <row r="12525" spans="1:1">
      <c r="A12525" t="inlineStr">
        <is>
          <t>Tulalian</t>
        </is>
      </c>
    </row>
    <row r="12526" spans="1:1">
      <c r="A12526" t="inlineStr">
        <is>
          <t>Dacudao</t>
        </is>
      </c>
    </row>
    <row r="12527" spans="1:1">
      <c r="A12527" t="inlineStr">
        <is>
          <t>Datu Balong</t>
        </is>
      </c>
    </row>
    <row r="12528" spans="1:1">
      <c r="A12528" t="inlineStr">
        <is>
          <t>Igangon</t>
        </is>
      </c>
    </row>
    <row r="12529" spans="1:1">
      <c r="A12529" t="inlineStr">
        <is>
          <t>Kipalili</t>
        </is>
      </c>
    </row>
    <row r="12530" spans="1:1">
      <c r="A12530" t="inlineStr">
        <is>
          <t>Libuton</t>
        </is>
      </c>
    </row>
    <row r="12531" spans="1:1">
      <c r="A12531" t="inlineStr">
        <is>
          <t>Linao</t>
        </is>
      </c>
    </row>
    <row r="12532" spans="1:1">
      <c r="A12532" t="inlineStr">
        <is>
          <t>Mamangan</t>
        </is>
      </c>
    </row>
    <row r="12533" spans="1:1">
      <c r="A12533" t="inlineStr">
        <is>
          <t>Monte Dujali</t>
        </is>
      </c>
    </row>
    <row r="12534" spans="1:1">
      <c r="A12534" t="inlineStr">
        <is>
          <t>Pinamuno</t>
        </is>
      </c>
    </row>
    <row r="12535" spans="1:1">
      <c r="A12535" t="inlineStr">
        <is>
          <t>Poblacion</t>
        </is>
      </c>
    </row>
    <row r="12536" spans="1:1">
      <c r="A12536" t="inlineStr">
        <is>
          <t>Sabangan</t>
        </is>
      </c>
    </row>
    <row r="12537" spans="1:1">
      <c r="A12537" t="inlineStr">
        <is>
          <t>San Miguel</t>
        </is>
      </c>
    </row>
    <row r="12538" spans="1:1">
      <c r="A12538" t="inlineStr">
        <is>
          <t>Santo Niño</t>
        </is>
      </c>
    </row>
    <row r="12539" spans="1:1">
      <c r="A12539" t="inlineStr">
        <is>
          <t>Dagohoy</t>
        </is>
      </c>
    </row>
    <row r="12540" spans="1:1">
      <c r="A12540" t="inlineStr">
        <is>
          <t>Palma Gil</t>
        </is>
      </c>
    </row>
    <row r="12541" spans="1:1">
      <c r="A12541" t="inlineStr">
        <is>
          <t>Santo Niño</t>
        </is>
      </c>
    </row>
    <row r="12542" spans="1:1">
      <c r="A12542" t="inlineStr">
        <is>
          <t>Alegre</t>
        </is>
      </c>
    </row>
    <row r="12543" spans="1:1">
      <c r="A12543" t="inlineStr">
        <is>
          <t>Alta Vista</t>
        </is>
      </c>
    </row>
    <row r="12544" spans="1:1">
      <c r="A12544" t="inlineStr">
        <is>
          <t>Anonang</t>
        </is>
      </c>
    </row>
    <row r="12545" spans="1:1">
      <c r="A12545" t="inlineStr">
        <is>
          <t>Bitaug</t>
        </is>
      </c>
    </row>
    <row r="12546" spans="1:1">
      <c r="A12546" t="inlineStr">
        <is>
          <t>Bonifacio</t>
        </is>
      </c>
    </row>
    <row r="12547" spans="1:1">
      <c r="A12547" t="inlineStr">
        <is>
          <t>Buenavista</t>
        </is>
      </c>
    </row>
    <row r="12548" spans="1:1">
      <c r="A12548" t="inlineStr">
        <is>
          <t>Darapuay</t>
        </is>
      </c>
    </row>
    <row r="12549" spans="1:1">
      <c r="A12549" t="inlineStr">
        <is>
          <t>Dolo</t>
        </is>
      </c>
    </row>
    <row r="12550" spans="1:1">
      <c r="A12550" t="inlineStr">
        <is>
          <t>Eman</t>
        </is>
      </c>
    </row>
    <row r="12551" spans="1:1">
      <c r="A12551" t="inlineStr">
        <is>
          <t>Kinuskusan</t>
        </is>
      </c>
    </row>
    <row r="12552" spans="1:1">
      <c r="A12552" t="inlineStr">
        <is>
          <t>Libertad</t>
        </is>
      </c>
    </row>
    <row r="12553" spans="1:1">
      <c r="A12553" t="inlineStr">
        <is>
          <t>Linawan</t>
        </is>
      </c>
    </row>
    <row r="12554" spans="1:1">
      <c r="A12554" t="inlineStr">
        <is>
          <t>Mabuhay</t>
        </is>
      </c>
    </row>
    <row r="12555" spans="1:1">
      <c r="A12555" t="inlineStr">
        <is>
          <t>Mabunga</t>
        </is>
      </c>
    </row>
    <row r="12556" spans="1:1">
      <c r="A12556" t="inlineStr">
        <is>
          <t>Managa</t>
        </is>
      </c>
    </row>
    <row r="12557" spans="1:1">
      <c r="A12557" t="inlineStr">
        <is>
          <t>Marber</t>
        </is>
      </c>
    </row>
    <row r="12558" spans="1:1">
      <c r="A12558" t="inlineStr">
        <is>
          <t>New Clarin</t>
        </is>
      </c>
    </row>
    <row r="12559" spans="1:1">
      <c r="A12559" t="inlineStr">
        <is>
          <t>Poblacion</t>
        </is>
      </c>
    </row>
    <row r="12560" spans="1:1">
      <c r="A12560" t="inlineStr">
        <is>
          <t>Poblacion Dos</t>
        </is>
      </c>
    </row>
    <row r="12561" spans="1:1">
      <c r="A12561" t="inlineStr">
        <is>
          <t>Rizal</t>
        </is>
      </c>
    </row>
    <row r="12562" spans="1:1">
      <c r="A12562" t="inlineStr">
        <is>
          <t>Santo Niño</t>
        </is>
      </c>
    </row>
    <row r="12563" spans="1:1">
      <c r="A12563" t="inlineStr">
        <is>
          <t>Sibayan</t>
        </is>
      </c>
    </row>
    <row r="12564" spans="1:1">
      <c r="A12564" t="inlineStr">
        <is>
          <t>Tinongtongan</t>
        </is>
      </c>
    </row>
    <row r="12565" spans="1:1">
      <c r="A12565" t="inlineStr">
        <is>
          <t>Tubod</t>
        </is>
      </c>
    </row>
    <row r="12566" spans="1:1">
      <c r="A12566" t="inlineStr">
        <is>
          <t>Union</t>
        </is>
      </c>
    </row>
    <row r="12567" spans="1:1">
      <c r="A12567" t="inlineStr">
        <is>
          <t>Aplaya</t>
        </is>
      </c>
    </row>
    <row r="12568" spans="1:1">
      <c r="A12568" t="inlineStr">
        <is>
          <t>Balabag</t>
        </is>
      </c>
    </row>
    <row r="12569" spans="1:1">
      <c r="A12569" t="inlineStr">
        <is>
          <t>Binaton</t>
        </is>
      </c>
    </row>
    <row r="12570" spans="1:1">
      <c r="A12570" t="inlineStr">
        <is>
          <t>Cogon</t>
        </is>
      </c>
    </row>
    <row r="12571" spans="1:1">
      <c r="A12571" t="inlineStr">
        <is>
          <t>Colorado</t>
        </is>
      </c>
    </row>
    <row r="12572" spans="1:1">
      <c r="A12572" t="inlineStr">
        <is>
          <t>Dawis</t>
        </is>
      </c>
    </row>
    <row r="12573" spans="1:1">
      <c r="A12573" t="inlineStr">
        <is>
          <t>Dulangan</t>
        </is>
      </c>
    </row>
    <row r="12574" spans="1:1">
      <c r="A12574" t="inlineStr">
        <is>
          <t>Goma</t>
        </is>
      </c>
    </row>
    <row r="12575" spans="1:1">
      <c r="A12575" t="inlineStr">
        <is>
          <t>Igpit</t>
        </is>
      </c>
    </row>
    <row r="12576" spans="1:1">
      <c r="A12576" t="inlineStr">
        <is>
          <t>Kapatagan</t>
        </is>
      </c>
    </row>
    <row r="12577" spans="1:1">
      <c r="A12577" t="inlineStr">
        <is>
          <t>Kiagot</t>
        </is>
      </c>
    </row>
    <row r="12578" spans="1:1">
      <c r="A12578" t="inlineStr">
        <is>
          <t>Lungag</t>
        </is>
      </c>
    </row>
    <row r="12579" spans="1:1">
      <c r="A12579" t="inlineStr">
        <is>
          <t>Mahayahay</t>
        </is>
      </c>
    </row>
    <row r="12580" spans="1:1">
      <c r="A12580" t="inlineStr">
        <is>
          <t>Matti</t>
        </is>
      </c>
    </row>
    <row r="12581" spans="1:1">
      <c r="A12581" t="inlineStr">
        <is>
          <t>Ruparan</t>
        </is>
      </c>
    </row>
    <row r="12582" spans="1:1">
      <c r="A12582" t="inlineStr">
        <is>
          <t>San Agustin</t>
        </is>
      </c>
    </row>
    <row r="12583" spans="1:1">
      <c r="A12583" t="inlineStr">
        <is>
          <t>San Jose</t>
        </is>
      </c>
    </row>
    <row r="12584" spans="1:1">
      <c r="A12584" t="inlineStr">
        <is>
          <t>San Miguel</t>
        </is>
      </c>
    </row>
    <row r="12585" spans="1:1">
      <c r="A12585" t="inlineStr">
        <is>
          <t>San Roque</t>
        </is>
      </c>
    </row>
    <row r="12586" spans="1:1">
      <c r="A12586" t="inlineStr">
        <is>
          <t>Sinawilan</t>
        </is>
      </c>
    </row>
    <row r="12587" spans="1:1">
      <c r="A12587" t="inlineStr">
        <is>
          <t>Soong</t>
        </is>
      </c>
    </row>
    <row r="12588" spans="1:1">
      <c r="A12588" t="inlineStr">
        <is>
          <t>Tiguman</t>
        </is>
      </c>
    </row>
    <row r="12589" spans="1:1">
      <c r="A12589" t="inlineStr">
        <is>
          <t>Tres De Mayo</t>
        </is>
      </c>
    </row>
    <row r="12590" spans="1:1">
      <c r="A12590" t="inlineStr">
        <is>
          <t>Zone 1</t>
        </is>
      </c>
    </row>
    <row r="12591" spans="1:1">
      <c r="A12591" t="inlineStr">
        <is>
          <t>Zone 2</t>
        </is>
      </c>
    </row>
    <row r="12592" spans="1:1">
      <c r="A12592" t="inlineStr">
        <is>
          <t>Zone 3</t>
        </is>
      </c>
    </row>
    <row r="12593" spans="1:1">
      <c r="A12593" t="inlineStr">
        <is>
          <t>Balutakay</t>
        </is>
      </c>
    </row>
    <row r="12594" spans="1:1">
      <c r="A12594" t="inlineStr">
        <is>
          <t>Clib</t>
        </is>
      </c>
    </row>
    <row r="12595" spans="1:1">
      <c r="A12595" t="inlineStr">
        <is>
          <t>Guihing</t>
        </is>
      </c>
    </row>
    <row r="12596" spans="1:1">
      <c r="A12596" t="inlineStr">
        <is>
          <t>Guihing Aplaya</t>
        </is>
      </c>
    </row>
    <row r="12597" spans="1:1">
      <c r="A12597" t="inlineStr">
        <is>
          <t>Hagonoy Crossing</t>
        </is>
      </c>
    </row>
    <row r="12598" spans="1:1">
      <c r="A12598" t="inlineStr">
        <is>
          <t>Kibuaya</t>
        </is>
      </c>
    </row>
    <row r="12599" spans="1:1">
      <c r="A12599" t="inlineStr">
        <is>
          <t>La Union</t>
        </is>
      </c>
    </row>
    <row r="12600" spans="1:1">
      <c r="A12600" t="inlineStr">
        <is>
          <t>Lanuro</t>
        </is>
      </c>
    </row>
    <row r="12601" spans="1:1">
      <c r="A12601" t="inlineStr">
        <is>
          <t>Lapulabao</t>
        </is>
      </c>
    </row>
    <row r="12602" spans="1:1">
      <c r="A12602" t="inlineStr">
        <is>
          <t>Leling</t>
        </is>
      </c>
    </row>
    <row r="12603" spans="1:1">
      <c r="A12603" t="inlineStr">
        <is>
          <t>Mahayahay</t>
        </is>
      </c>
    </row>
    <row r="12604" spans="1:1">
      <c r="A12604" t="inlineStr">
        <is>
          <t>Malabang Damsite</t>
        </is>
      </c>
    </row>
    <row r="12605" spans="1:1">
      <c r="A12605" t="inlineStr">
        <is>
          <t>Maliit Digos</t>
        </is>
      </c>
    </row>
    <row r="12606" spans="1:1">
      <c r="A12606" t="inlineStr">
        <is>
          <t>New Quezon</t>
        </is>
      </c>
    </row>
    <row r="12607" spans="1:1">
      <c r="A12607" t="inlineStr">
        <is>
          <t>Paligue</t>
        </is>
      </c>
    </row>
    <row r="12608" spans="1:1">
      <c r="A12608" t="inlineStr">
        <is>
          <t>Poblacion</t>
        </is>
      </c>
    </row>
    <row r="12609" spans="1:1">
      <c r="A12609" t="inlineStr">
        <is>
          <t>Sacub</t>
        </is>
      </c>
    </row>
    <row r="12610" spans="1:1">
      <c r="A12610" t="inlineStr">
        <is>
          <t>San Guillermo</t>
        </is>
      </c>
    </row>
    <row r="12611" spans="1:1">
      <c r="A12611" t="inlineStr">
        <is>
          <t>San Isidro</t>
        </is>
      </c>
    </row>
    <row r="12612" spans="1:1">
      <c r="A12612" t="inlineStr">
        <is>
          <t>Sinayawan</t>
        </is>
      </c>
    </row>
    <row r="12613" spans="1:1">
      <c r="A12613" t="inlineStr">
        <is>
          <t>Tologan</t>
        </is>
      </c>
    </row>
    <row r="12614" spans="1:1">
      <c r="A12614" t="inlineStr">
        <is>
          <t>Abnate</t>
        </is>
      </c>
    </row>
    <row r="12615" spans="1:1">
      <c r="A12615" t="inlineStr">
        <is>
          <t>Bagong Negros</t>
        </is>
      </c>
    </row>
    <row r="12616" spans="1:1">
      <c r="A12616" t="inlineStr">
        <is>
          <t>Bagong Silang</t>
        </is>
      </c>
    </row>
    <row r="12617" spans="1:1">
      <c r="A12617" t="inlineStr">
        <is>
          <t>Bagumbayan</t>
        </is>
      </c>
    </row>
    <row r="12618" spans="1:1">
      <c r="A12618" t="inlineStr">
        <is>
          <t>Balasiao</t>
        </is>
      </c>
    </row>
    <row r="12619" spans="1:1">
      <c r="A12619" t="inlineStr">
        <is>
          <t>Bonifacio</t>
        </is>
      </c>
    </row>
    <row r="12620" spans="1:1">
      <c r="A12620" t="inlineStr">
        <is>
          <t>Bulol-Salo</t>
        </is>
      </c>
    </row>
    <row r="12621" spans="1:1">
      <c r="A12621" t="inlineStr">
        <is>
          <t>Bunot</t>
        </is>
      </c>
    </row>
    <row r="12622" spans="1:1">
      <c r="A12622" t="inlineStr">
        <is>
          <t>Cogon-Bacaca</t>
        </is>
      </c>
    </row>
    <row r="12623" spans="1:1">
      <c r="A12623" t="inlineStr">
        <is>
          <t>Dapok</t>
        </is>
      </c>
    </row>
    <row r="12624" spans="1:1">
      <c r="A12624" t="inlineStr">
        <is>
          <t>Ihan</t>
        </is>
      </c>
    </row>
    <row r="12625" spans="1:1">
      <c r="A12625" t="inlineStr">
        <is>
          <t>Kibongbong</t>
        </is>
      </c>
    </row>
    <row r="12626" spans="1:1">
      <c r="A12626" t="inlineStr">
        <is>
          <t>Kimlawis</t>
        </is>
      </c>
    </row>
    <row r="12627" spans="1:1">
      <c r="A12627" t="inlineStr">
        <is>
          <t>Kisulan</t>
        </is>
      </c>
    </row>
    <row r="12628" spans="1:1">
      <c r="A12628" t="inlineStr">
        <is>
          <t>Lati-an</t>
        </is>
      </c>
    </row>
    <row r="12629" spans="1:1">
      <c r="A12629" t="inlineStr">
        <is>
          <t>Manual</t>
        </is>
      </c>
    </row>
    <row r="12630" spans="1:1">
      <c r="A12630" t="inlineStr">
        <is>
          <t>Maraga-a</t>
        </is>
      </c>
    </row>
    <row r="12631" spans="1:1">
      <c r="A12631" t="inlineStr">
        <is>
          <t>Molopolo</t>
        </is>
      </c>
    </row>
    <row r="12632" spans="1:1">
      <c r="A12632" t="inlineStr">
        <is>
          <t>New Sibonga</t>
        </is>
      </c>
    </row>
    <row r="12633" spans="1:1">
      <c r="A12633" t="inlineStr">
        <is>
          <t>Panaglib</t>
        </is>
      </c>
    </row>
    <row r="12634" spans="1:1">
      <c r="A12634" t="inlineStr">
        <is>
          <t>Pasig</t>
        </is>
      </c>
    </row>
    <row r="12635" spans="1:1">
      <c r="A12635" t="inlineStr">
        <is>
          <t>Poblacion</t>
        </is>
      </c>
    </row>
    <row r="12636" spans="1:1">
      <c r="A12636" t="inlineStr">
        <is>
          <t>Pocaleel</t>
        </is>
      </c>
    </row>
    <row r="12637" spans="1:1">
      <c r="A12637" t="inlineStr">
        <is>
          <t>San Isidro</t>
        </is>
      </c>
    </row>
    <row r="12638" spans="1:1">
      <c r="A12638" t="inlineStr">
        <is>
          <t>San Jose</t>
        </is>
      </c>
    </row>
    <row r="12639" spans="1:1">
      <c r="A12639" t="inlineStr">
        <is>
          <t>San Pedro</t>
        </is>
      </c>
    </row>
    <row r="12640" spans="1:1">
      <c r="A12640" t="inlineStr">
        <is>
          <t>Santo Niño</t>
        </is>
      </c>
    </row>
    <row r="12641" spans="1:1">
      <c r="A12641" t="inlineStr">
        <is>
          <t>Tacub</t>
        </is>
      </c>
    </row>
    <row r="12642" spans="1:1">
      <c r="A12642" t="inlineStr">
        <is>
          <t>Tacul</t>
        </is>
      </c>
    </row>
    <row r="12643" spans="1:1">
      <c r="A12643" t="inlineStr">
        <is>
          <t>Waterfall</t>
        </is>
      </c>
    </row>
    <row r="12644" spans="1:1">
      <c r="A12644" t="inlineStr">
        <is>
          <t>Bacungan</t>
        </is>
      </c>
    </row>
    <row r="12645" spans="1:1">
      <c r="A12645" t="inlineStr">
        <is>
          <t>Balnate</t>
        </is>
      </c>
    </row>
    <row r="12646" spans="1:1">
      <c r="A12646" t="inlineStr">
        <is>
          <t>Barayong</t>
        </is>
      </c>
    </row>
    <row r="12647" spans="1:1">
      <c r="A12647" t="inlineStr">
        <is>
          <t>Blocon</t>
        </is>
      </c>
    </row>
    <row r="12648" spans="1:1">
      <c r="A12648" t="inlineStr">
        <is>
          <t>Dalawinon</t>
        </is>
      </c>
    </row>
    <row r="12649" spans="1:1">
      <c r="A12649" t="inlineStr">
        <is>
          <t>Dalumay</t>
        </is>
      </c>
    </row>
    <row r="12650" spans="1:1">
      <c r="A12650" t="inlineStr">
        <is>
          <t>Glamang</t>
        </is>
      </c>
    </row>
    <row r="12651" spans="1:1">
      <c r="A12651" t="inlineStr">
        <is>
          <t>Kanapulo</t>
        </is>
      </c>
    </row>
    <row r="12652" spans="1:1">
      <c r="A12652" t="inlineStr">
        <is>
          <t>Kasuga</t>
        </is>
      </c>
    </row>
    <row r="12653" spans="1:1">
      <c r="A12653" t="inlineStr">
        <is>
          <t>Lower Bala</t>
        </is>
      </c>
    </row>
    <row r="12654" spans="1:1">
      <c r="A12654" t="inlineStr">
        <is>
          <t>Mabini</t>
        </is>
      </c>
    </row>
    <row r="12655" spans="1:1">
      <c r="A12655" t="inlineStr">
        <is>
          <t>Maibo</t>
        </is>
      </c>
    </row>
    <row r="12656" spans="1:1">
      <c r="A12656" t="inlineStr">
        <is>
          <t>Malawanit</t>
        </is>
      </c>
    </row>
    <row r="12657" spans="1:1">
      <c r="A12657" t="inlineStr">
        <is>
          <t>Malongon</t>
        </is>
      </c>
    </row>
    <row r="12658" spans="1:1">
      <c r="A12658" t="inlineStr">
        <is>
          <t>New Ilocos</t>
        </is>
      </c>
    </row>
    <row r="12659" spans="1:1">
      <c r="A12659" t="inlineStr">
        <is>
          <t>New Opon</t>
        </is>
      </c>
    </row>
    <row r="12660" spans="1:1">
      <c r="A12660" t="inlineStr">
        <is>
          <t>Poblacion</t>
        </is>
      </c>
    </row>
    <row r="12661" spans="1:1">
      <c r="A12661" t="inlineStr">
        <is>
          <t>San Isidro</t>
        </is>
      </c>
    </row>
    <row r="12662" spans="1:1">
      <c r="A12662" t="inlineStr">
        <is>
          <t>San Miguel</t>
        </is>
      </c>
    </row>
    <row r="12663" spans="1:1">
      <c r="A12663" t="inlineStr">
        <is>
          <t>Tacul</t>
        </is>
      </c>
    </row>
    <row r="12664" spans="1:1">
      <c r="A12664" t="inlineStr">
        <is>
          <t>Tagaytay</t>
        </is>
      </c>
    </row>
    <row r="12665" spans="1:1">
      <c r="A12665" t="inlineStr">
        <is>
          <t>Upper Bala</t>
        </is>
      </c>
    </row>
    <row r="12666" spans="1:1">
      <c r="A12666" t="inlineStr">
        <is>
          <t>Bagumbayan</t>
        </is>
      </c>
    </row>
    <row r="12667" spans="1:1">
      <c r="A12667" t="inlineStr">
        <is>
          <t>Baybay</t>
        </is>
      </c>
    </row>
    <row r="12668" spans="1:1">
      <c r="A12668" t="inlineStr">
        <is>
          <t>Bolton</t>
        </is>
      </c>
    </row>
    <row r="12669" spans="1:1">
      <c r="A12669" t="inlineStr">
        <is>
          <t>Bulacan</t>
        </is>
      </c>
    </row>
    <row r="12670" spans="1:1">
      <c r="A12670" t="inlineStr">
        <is>
          <t>Caputian</t>
        </is>
      </c>
    </row>
    <row r="12671" spans="1:1">
      <c r="A12671" t="inlineStr">
        <is>
          <t>Ibo</t>
        </is>
      </c>
    </row>
    <row r="12672" spans="1:1">
      <c r="A12672" t="inlineStr">
        <is>
          <t>Kiblagon</t>
        </is>
      </c>
    </row>
    <row r="12673" spans="1:1">
      <c r="A12673" t="inlineStr">
        <is>
          <t>Lapu-Lapu</t>
        </is>
      </c>
    </row>
    <row r="12674" spans="1:1">
      <c r="A12674" t="inlineStr">
        <is>
          <t>Mabini</t>
        </is>
      </c>
    </row>
    <row r="12675" spans="1:1">
      <c r="A12675" t="inlineStr">
        <is>
          <t>New Baclayon</t>
        </is>
      </c>
    </row>
    <row r="12676" spans="1:1">
      <c r="A12676" t="inlineStr">
        <is>
          <t>Pitu</t>
        </is>
      </c>
    </row>
    <row r="12677" spans="1:1">
      <c r="A12677" t="inlineStr">
        <is>
          <t>Poblacion</t>
        </is>
      </c>
    </row>
    <row r="12678" spans="1:1">
      <c r="A12678" t="inlineStr">
        <is>
          <t>Rizal</t>
        </is>
      </c>
    </row>
    <row r="12679" spans="1:1">
      <c r="A12679" t="inlineStr">
        <is>
          <t>San Isidro</t>
        </is>
      </c>
    </row>
    <row r="12680" spans="1:1">
      <c r="A12680" t="inlineStr">
        <is>
          <t>Tagansule</t>
        </is>
      </c>
    </row>
    <row r="12681" spans="1:1">
      <c r="A12681" t="inlineStr">
        <is>
          <t>Asbang</t>
        </is>
      </c>
    </row>
    <row r="12682" spans="1:1">
      <c r="A12682" t="inlineStr">
        <is>
          <t>Asinan</t>
        </is>
      </c>
    </row>
    <row r="12683" spans="1:1">
      <c r="A12683" t="inlineStr">
        <is>
          <t>Bagumbayan</t>
        </is>
      </c>
    </row>
    <row r="12684" spans="1:1">
      <c r="A12684" t="inlineStr">
        <is>
          <t>Bangkal</t>
        </is>
      </c>
    </row>
    <row r="12685" spans="1:1">
      <c r="A12685" t="inlineStr">
        <is>
          <t>Buas</t>
        </is>
      </c>
    </row>
    <row r="12686" spans="1:1">
      <c r="A12686" t="inlineStr">
        <is>
          <t>Buri</t>
        </is>
      </c>
    </row>
    <row r="12687" spans="1:1">
      <c r="A12687" t="inlineStr">
        <is>
          <t>Cabligan</t>
        </is>
      </c>
    </row>
    <row r="12688" spans="1:1">
      <c r="A12688" t="inlineStr">
        <is>
          <t>Camanchiles</t>
        </is>
      </c>
    </row>
    <row r="12689" spans="1:1">
      <c r="A12689" t="inlineStr">
        <is>
          <t>Ceboza</t>
        </is>
      </c>
    </row>
    <row r="12690" spans="1:1">
      <c r="A12690" t="inlineStr">
        <is>
          <t>Colonsabak</t>
        </is>
      </c>
    </row>
    <row r="12691" spans="1:1">
      <c r="A12691" t="inlineStr">
        <is>
          <t>Dongan-Pekong</t>
        </is>
      </c>
    </row>
    <row r="12692" spans="1:1">
      <c r="A12692" t="inlineStr">
        <is>
          <t>Kabasagan</t>
        </is>
      </c>
    </row>
    <row r="12693" spans="1:1">
      <c r="A12693" t="inlineStr">
        <is>
          <t>Kapok</t>
        </is>
      </c>
    </row>
    <row r="12694" spans="1:1">
      <c r="A12694" t="inlineStr">
        <is>
          <t>Kauswagan</t>
        </is>
      </c>
    </row>
    <row r="12695" spans="1:1">
      <c r="A12695" t="inlineStr">
        <is>
          <t>Kibao</t>
        </is>
      </c>
    </row>
    <row r="12696" spans="1:1">
      <c r="A12696" t="inlineStr">
        <is>
          <t>La Suerte</t>
        </is>
      </c>
    </row>
    <row r="12697" spans="1:1">
      <c r="A12697" t="inlineStr">
        <is>
          <t>Langa-an</t>
        </is>
      </c>
    </row>
    <row r="12698" spans="1:1">
      <c r="A12698" t="inlineStr">
        <is>
          <t>Lower Marber</t>
        </is>
      </c>
    </row>
    <row r="12699" spans="1:1">
      <c r="A12699" t="inlineStr">
        <is>
          <t>Manga</t>
        </is>
      </c>
    </row>
    <row r="12700" spans="1:1">
      <c r="A12700" t="inlineStr">
        <is>
          <t>New Katipunan</t>
        </is>
      </c>
    </row>
    <row r="12701" spans="1:1">
      <c r="A12701" t="inlineStr">
        <is>
          <t>New Murcia</t>
        </is>
      </c>
    </row>
    <row r="12702" spans="1:1">
      <c r="A12702" t="inlineStr">
        <is>
          <t>New Visayas</t>
        </is>
      </c>
    </row>
    <row r="12703" spans="1:1">
      <c r="A12703" t="inlineStr">
        <is>
          <t>Poblacion</t>
        </is>
      </c>
    </row>
    <row r="12704" spans="1:1">
      <c r="A12704" t="inlineStr">
        <is>
          <t>Saboy</t>
        </is>
      </c>
    </row>
    <row r="12705" spans="1:1">
      <c r="A12705" t="inlineStr">
        <is>
          <t>San Jose</t>
        </is>
      </c>
    </row>
    <row r="12706" spans="1:1">
      <c r="A12706" t="inlineStr">
        <is>
          <t>San Miguel</t>
        </is>
      </c>
    </row>
    <row r="12707" spans="1:1">
      <c r="A12707" t="inlineStr">
        <is>
          <t>San Vicente</t>
        </is>
      </c>
    </row>
    <row r="12708" spans="1:1">
      <c r="A12708" t="inlineStr">
        <is>
          <t>Saub</t>
        </is>
      </c>
    </row>
    <row r="12709" spans="1:1">
      <c r="A12709" t="inlineStr">
        <is>
          <t>Sinaragan</t>
        </is>
      </c>
    </row>
    <row r="12710" spans="1:1">
      <c r="A12710" t="inlineStr">
        <is>
          <t>Sinawilan</t>
        </is>
      </c>
    </row>
    <row r="12711" spans="1:1">
      <c r="A12711" t="inlineStr">
        <is>
          <t>Tamlangon</t>
        </is>
      </c>
    </row>
    <row r="12712" spans="1:1">
      <c r="A12712" t="inlineStr">
        <is>
          <t>Tibongbong</t>
        </is>
      </c>
    </row>
    <row r="12713" spans="1:1">
      <c r="A12713" t="inlineStr">
        <is>
          <t>Towak</t>
        </is>
      </c>
    </row>
    <row r="12714" spans="1:1">
      <c r="A12714" t="inlineStr">
        <is>
          <t>Almendras</t>
        </is>
      </c>
    </row>
    <row r="12715" spans="1:1">
      <c r="A12715" t="inlineStr">
        <is>
          <t>Don Sergio Osmeña, Sr.</t>
        </is>
      </c>
    </row>
    <row r="12716" spans="1:1">
      <c r="A12716" t="inlineStr">
        <is>
          <t>Harada Butai</t>
        </is>
      </c>
    </row>
    <row r="12717" spans="1:1">
      <c r="A12717" t="inlineStr">
        <is>
          <t>Lower Katipunan</t>
        </is>
      </c>
    </row>
    <row r="12718" spans="1:1">
      <c r="A12718" t="inlineStr">
        <is>
          <t>Lower Limonzo</t>
        </is>
      </c>
    </row>
    <row r="12719" spans="1:1">
      <c r="A12719" t="inlineStr">
        <is>
          <t>Lower Malinao</t>
        </is>
      </c>
    </row>
    <row r="12720" spans="1:1">
      <c r="A12720" t="inlineStr">
        <is>
          <t>N C Ordaneza District</t>
        </is>
      </c>
    </row>
    <row r="12721" spans="1:1">
      <c r="A12721" t="inlineStr">
        <is>
          <t>Northern Paligue</t>
        </is>
      </c>
    </row>
    <row r="12722" spans="1:1">
      <c r="A12722" t="inlineStr">
        <is>
          <t>Palili</t>
        </is>
      </c>
    </row>
    <row r="12723" spans="1:1">
      <c r="A12723" t="inlineStr">
        <is>
          <t>Piape</t>
        </is>
      </c>
    </row>
    <row r="12724" spans="1:1">
      <c r="A12724" t="inlineStr">
        <is>
          <t>Punta Piape</t>
        </is>
      </c>
    </row>
    <row r="12725" spans="1:1">
      <c r="A12725" t="inlineStr">
        <is>
          <t>Quirino District</t>
        </is>
      </c>
    </row>
    <row r="12726" spans="1:1">
      <c r="A12726" t="inlineStr">
        <is>
          <t>San Isidro</t>
        </is>
      </c>
    </row>
    <row r="12727" spans="1:1">
      <c r="A12727" t="inlineStr">
        <is>
          <t>Southern Paligue</t>
        </is>
      </c>
    </row>
    <row r="12728" spans="1:1">
      <c r="A12728" t="inlineStr">
        <is>
          <t>Tulogan</t>
        </is>
      </c>
    </row>
    <row r="12729" spans="1:1">
      <c r="A12729" t="inlineStr">
        <is>
          <t>Upper Limonzo</t>
        </is>
      </c>
    </row>
    <row r="12730" spans="1:1">
      <c r="A12730" t="inlineStr">
        <is>
          <t>Upper Malinao</t>
        </is>
      </c>
    </row>
    <row r="12731" spans="1:1">
      <c r="A12731" t="inlineStr">
        <is>
          <t>Astorga</t>
        </is>
      </c>
    </row>
    <row r="12732" spans="1:1">
      <c r="A12732" t="inlineStr">
        <is>
          <t>Bato</t>
        </is>
      </c>
    </row>
    <row r="12733" spans="1:1">
      <c r="A12733" t="inlineStr">
        <is>
          <t>Coronon</t>
        </is>
      </c>
    </row>
    <row r="12734" spans="1:1">
      <c r="A12734" t="inlineStr">
        <is>
          <t>Darong</t>
        </is>
      </c>
    </row>
    <row r="12735" spans="1:1">
      <c r="A12735" t="inlineStr">
        <is>
          <t>Inawayan</t>
        </is>
      </c>
    </row>
    <row r="12736" spans="1:1">
      <c r="A12736" t="inlineStr">
        <is>
          <t>Jose Rizal</t>
        </is>
      </c>
    </row>
    <row r="12737" spans="1:1">
      <c r="A12737" t="inlineStr">
        <is>
          <t>Matutungan</t>
        </is>
      </c>
    </row>
    <row r="12738" spans="1:1">
      <c r="A12738" t="inlineStr">
        <is>
          <t>Melilia</t>
        </is>
      </c>
    </row>
    <row r="12739" spans="1:1">
      <c r="A12739" t="inlineStr">
        <is>
          <t>Saliducon</t>
        </is>
      </c>
    </row>
    <row r="12740" spans="1:1">
      <c r="A12740" t="inlineStr">
        <is>
          <t>Sibulan</t>
        </is>
      </c>
    </row>
    <row r="12741" spans="1:1">
      <c r="A12741" t="inlineStr">
        <is>
          <t>Sinoron</t>
        </is>
      </c>
    </row>
    <row r="12742" spans="1:1">
      <c r="A12742" t="inlineStr">
        <is>
          <t>Tagabuli</t>
        </is>
      </c>
    </row>
    <row r="12743" spans="1:1">
      <c r="A12743" t="inlineStr">
        <is>
          <t>Tibolo</t>
        </is>
      </c>
    </row>
    <row r="12744" spans="1:1">
      <c r="A12744" t="inlineStr">
        <is>
          <t>Tuban</t>
        </is>
      </c>
    </row>
    <row r="12745" spans="1:1">
      <c r="A12745" t="inlineStr">
        <is>
          <t>Zone I</t>
        </is>
      </c>
    </row>
    <row r="12746" spans="1:1">
      <c r="A12746" t="inlineStr">
        <is>
          <t>Zone II</t>
        </is>
      </c>
    </row>
    <row r="12747" spans="1:1">
      <c r="A12747" t="inlineStr">
        <is>
          <t>Zone III</t>
        </is>
      </c>
    </row>
    <row r="12748" spans="1:1">
      <c r="A12748" t="inlineStr">
        <is>
          <t>Zone IV</t>
        </is>
      </c>
    </row>
    <row r="12749" spans="1:1">
      <c r="A12749" t="inlineStr">
        <is>
          <t>Balasinon</t>
        </is>
      </c>
    </row>
    <row r="12750" spans="1:1">
      <c r="A12750" t="inlineStr">
        <is>
          <t>Buguis</t>
        </is>
      </c>
    </row>
    <row r="12751" spans="1:1">
      <c r="A12751" t="inlineStr">
        <is>
          <t>Carre</t>
        </is>
      </c>
    </row>
    <row r="12752" spans="1:1">
      <c r="A12752" t="inlineStr">
        <is>
          <t>Clib</t>
        </is>
      </c>
    </row>
    <row r="12753" spans="1:1">
      <c r="A12753" t="inlineStr">
        <is>
          <t>Harada Butai</t>
        </is>
      </c>
    </row>
    <row r="12754" spans="1:1">
      <c r="A12754" t="inlineStr">
        <is>
          <t>Katipunan</t>
        </is>
      </c>
    </row>
    <row r="12755" spans="1:1">
      <c r="A12755" t="inlineStr">
        <is>
          <t>Kiblagon</t>
        </is>
      </c>
    </row>
    <row r="12756" spans="1:1">
      <c r="A12756" t="inlineStr">
        <is>
          <t>Labon</t>
        </is>
      </c>
    </row>
    <row r="12757" spans="1:1">
      <c r="A12757" t="inlineStr">
        <is>
          <t>Laperas</t>
        </is>
      </c>
    </row>
    <row r="12758" spans="1:1">
      <c r="A12758" t="inlineStr">
        <is>
          <t>Lapla</t>
        </is>
      </c>
    </row>
    <row r="12759" spans="1:1">
      <c r="A12759" t="inlineStr">
        <is>
          <t>Litos</t>
        </is>
      </c>
    </row>
    <row r="12760" spans="1:1">
      <c r="A12760" t="inlineStr">
        <is>
          <t>Luparan</t>
        </is>
      </c>
    </row>
    <row r="12761" spans="1:1">
      <c r="A12761" t="inlineStr">
        <is>
          <t>Mckinley</t>
        </is>
      </c>
    </row>
    <row r="12762" spans="1:1">
      <c r="A12762" t="inlineStr">
        <is>
          <t>New Cebu</t>
        </is>
      </c>
    </row>
    <row r="12763" spans="1:1">
      <c r="A12763" t="inlineStr">
        <is>
          <t>Osmeña</t>
        </is>
      </c>
    </row>
    <row r="12764" spans="1:1">
      <c r="A12764" t="inlineStr">
        <is>
          <t>Palili</t>
        </is>
      </c>
    </row>
    <row r="12765" spans="1:1">
      <c r="A12765" t="inlineStr">
        <is>
          <t>Parame</t>
        </is>
      </c>
    </row>
    <row r="12766" spans="1:1">
      <c r="A12766" t="inlineStr">
        <is>
          <t>Poblacion</t>
        </is>
      </c>
    </row>
    <row r="12767" spans="1:1">
      <c r="A12767" t="inlineStr">
        <is>
          <t>Roxas</t>
        </is>
      </c>
    </row>
    <row r="12768" spans="1:1">
      <c r="A12768" t="inlineStr">
        <is>
          <t>Solongvale</t>
        </is>
      </c>
    </row>
    <row r="12769" spans="1:1">
      <c r="A12769" t="inlineStr">
        <is>
          <t>Tagolilong</t>
        </is>
      </c>
    </row>
    <row r="12770" spans="1:1">
      <c r="A12770" t="inlineStr">
        <is>
          <t>Tala-o</t>
        </is>
      </c>
    </row>
    <row r="12771" spans="1:1">
      <c r="A12771" t="inlineStr">
        <is>
          <t>Talas</t>
        </is>
      </c>
    </row>
    <row r="12772" spans="1:1">
      <c r="A12772" t="inlineStr">
        <is>
          <t>Tanwalang</t>
        </is>
      </c>
    </row>
    <row r="12773" spans="1:1">
      <c r="A12773" t="inlineStr">
        <is>
          <t>Waterfall</t>
        </is>
      </c>
    </row>
    <row r="12774" spans="1:1">
      <c r="A12774" t="inlineStr">
        <is>
          <t>Baluntaya</t>
        </is>
      </c>
    </row>
    <row r="12775" spans="1:1">
      <c r="A12775" t="inlineStr">
        <is>
          <t>Calian</t>
        </is>
      </c>
    </row>
    <row r="12776" spans="1:1">
      <c r="A12776" t="inlineStr">
        <is>
          <t>Dalupan</t>
        </is>
      </c>
    </row>
    <row r="12777" spans="1:1">
      <c r="A12777" t="inlineStr">
        <is>
          <t>Kinanga</t>
        </is>
      </c>
    </row>
    <row r="12778" spans="1:1">
      <c r="A12778" t="inlineStr">
        <is>
          <t>Kiobog</t>
        </is>
      </c>
    </row>
    <row r="12779" spans="1:1">
      <c r="A12779" t="inlineStr">
        <is>
          <t>Lanao</t>
        </is>
      </c>
    </row>
    <row r="12780" spans="1:1">
      <c r="A12780" t="inlineStr">
        <is>
          <t>Lapuan</t>
        </is>
      </c>
    </row>
    <row r="12781" spans="1:1">
      <c r="A12781" t="inlineStr">
        <is>
          <t>Lawa</t>
        </is>
      </c>
    </row>
    <row r="12782" spans="1:1">
      <c r="A12782" t="inlineStr">
        <is>
          <t>Linadasan</t>
        </is>
      </c>
    </row>
    <row r="12783" spans="1:1">
      <c r="A12783" t="inlineStr">
        <is>
          <t>Mabuhay</t>
        </is>
      </c>
    </row>
    <row r="12784" spans="1:1">
      <c r="A12784" t="inlineStr">
        <is>
          <t>North Lamidan</t>
        </is>
      </c>
    </row>
    <row r="12785" spans="1:1">
      <c r="A12785" t="inlineStr">
        <is>
          <t>Nueva Villa</t>
        </is>
      </c>
    </row>
    <row r="12786" spans="1:1">
      <c r="A12786" t="inlineStr">
        <is>
          <t>South Lamidan</t>
        </is>
      </c>
    </row>
    <row r="12787" spans="1:1">
      <c r="A12787" t="inlineStr">
        <is>
          <t>Talagutong</t>
        </is>
      </c>
    </row>
    <row r="12788" spans="1:1">
      <c r="A12788" t="inlineStr">
        <is>
          <t>West Lamidan</t>
        </is>
      </c>
    </row>
    <row r="12789" spans="1:1">
      <c r="A12789" t="inlineStr">
        <is>
          <t>Balangonan</t>
        </is>
      </c>
    </row>
    <row r="12790" spans="1:1">
      <c r="A12790" t="inlineStr">
        <is>
          <t>Buguis</t>
        </is>
      </c>
    </row>
    <row r="12791" spans="1:1">
      <c r="A12791" t="inlineStr">
        <is>
          <t>Bukid</t>
        </is>
      </c>
    </row>
    <row r="12792" spans="1:1">
      <c r="A12792" t="inlineStr">
        <is>
          <t>Butuan</t>
        </is>
      </c>
    </row>
    <row r="12793" spans="1:1">
      <c r="A12793" t="inlineStr">
        <is>
          <t>Butulan</t>
        </is>
      </c>
    </row>
    <row r="12794" spans="1:1">
      <c r="A12794" t="inlineStr">
        <is>
          <t>Caburan Big</t>
        </is>
      </c>
    </row>
    <row r="12795" spans="1:1">
      <c r="A12795" t="inlineStr">
        <is>
          <t>Caburan Small</t>
        </is>
      </c>
    </row>
    <row r="12796" spans="1:1">
      <c r="A12796" t="inlineStr">
        <is>
          <t>Camalian</t>
        </is>
      </c>
    </row>
    <row r="12797" spans="1:1">
      <c r="A12797" t="inlineStr">
        <is>
          <t>Carahayan</t>
        </is>
      </c>
    </row>
    <row r="12798" spans="1:1">
      <c r="A12798" t="inlineStr">
        <is>
          <t>Cayaponga</t>
        </is>
      </c>
    </row>
    <row r="12799" spans="1:1">
      <c r="A12799" t="inlineStr">
        <is>
          <t>Culaman</t>
        </is>
      </c>
    </row>
    <row r="12800" spans="1:1">
      <c r="A12800" t="inlineStr">
        <is>
          <t>Kalbay</t>
        </is>
      </c>
    </row>
    <row r="12801" spans="1:1">
      <c r="A12801" t="inlineStr">
        <is>
          <t>Kitayo</t>
        </is>
      </c>
    </row>
    <row r="12802" spans="1:1">
      <c r="A12802" t="inlineStr">
        <is>
          <t>Magulibas</t>
        </is>
      </c>
    </row>
    <row r="12803" spans="1:1">
      <c r="A12803" t="inlineStr">
        <is>
          <t>Malalan</t>
        </is>
      </c>
    </row>
    <row r="12804" spans="1:1">
      <c r="A12804" t="inlineStr">
        <is>
          <t>Mangile</t>
        </is>
      </c>
    </row>
    <row r="12805" spans="1:1">
      <c r="A12805" t="inlineStr">
        <is>
          <t>Marabutuan</t>
        </is>
      </c>
    </row>
    <row r="12806" spans="1:1">
      <c r="A12806" t="inlineStr">
        <is>
          <t>Meybio</t>
        </is>
      </c>
    </row>
    <row r="12807" spans="1:1">
      <c r="A12807" t="inlineStr">
        <is>
          <t>Molmol</t>
        </is>
      </c>
    </row>
    <row r="12808" spans="1:1">
      <c r="A12808" t="inlineStr">
        <is>
          <t>Nuing</t>
        </is>
      </c>
    </row>
    <row r="12809" spans="1:1">
      <c r="A12809" t="inlineStr">
        <is>
          <t>Patulang</t>
        </is>
      </c>
    </row>
    <row r="12810" spans="1:1">
      <c r="A12810" t="inlineStr">
        <is>
          <t>Quiapo</t>
        </is>
      </c>
    </row>
    <row r="12811" spans="1:1">
      <c r="A12811" t="inlineStr">
        <is>
          <t>San Isidro</t>
        </is>
      </c>
    </row>
    <row r="12812" spans="1:1">
      <c r="A12812" t="inlineStr">
        <is>
          <t>Sugal</t>
        </is>
      </c>
    </row>
    <row r="12813" spans="1:1">
      <c r="A12813" t="inlineStr">
        <is>
          <t>Tabayon</t>
        </is>
      </c>
    </row>
    <row r="12814" spans="1:1">
      <c r="A12814" t="inlineStr">
        <is>
          <t>Tanuman</t>
        </is>
      </c>
    </row>
    <row r="12815" spans="1:1">
      <c r="A12815" t="inlineStr">
        <is>
          <t>Bito</t>
        </is>
      </c>
    </row>
    <row r="12816" spans="1:1">
      <c r="A12816" t="inlineStr">
        <is>
          <t>Bolila</t>
        </is>
      </c>
    </row>
    <row r="12817" spans="1:1">
      <c r="A12817" t="inlineStr">
        <is>
          <t>Buhangin</t>
        </is>
      </c>
    </row>
    <row r="12818" spans="1:1">
      <c r="A12818" t="inlineStr">
        <is>
          <t>Culaman</t>
        </is>
      </c>
    </row>
    <row r="12819" spans="1:1">
      <c r="A12819" t="inlineStr">
        <is>
          <t>Datu Danwata</t>
        </is>
      </c>
    </row>
    <row r="12820" spans="1:1">
      <c r="A12820" t="inlineStr">
        <is>
          <t>Demoloc</t>
        </is>
      </c>
    </row>
    <row r="12821" spans="1:1">
      <c r="A12821" t="inlineStr">
        <is>
          <t>Felis</t>
        </is>
      </c>
    </row>
    <row r="12822" spans="1:1">
      <c r="A12822" t="inlineStr">
        <is>
          <t>Fishing Village</t>
        </is>
      </c>
    </row>
    <row r="12823" spans="1:1">
      <c r="A12823" t="inlineStr">
        <is>
          <t>Kibalatong</t>
        </is>
      </c>
    </row>
    <row r="12824" spans="1:1">
      <c r="A12824" t="inlineStr">
        <is>
          <t>Kidalapong</t>
        </is>
      </c>
    </row>
    <row r="12825" spans="1:1">
      <c r="A12825" t="inlineStr">
        <is>
          <t>Kilalag</t>
        </is>
      </c>
    </row>
    <row r="12826" spans="1:1">
      <c r="A12826" t="inlineStr">
        <is>
          <t>Kinangan</t>
        </is>
      </c>
    </row>
    <row r="12827" spans="1:1">
      <c r="A12827" t="inlineStr">
        <is>
          <t>Lacaron</t>
        </is>
      </c>
    </row>
    <row r="12828" spans="1:1">
      <c r="A12828" t="inlineStr">
        <is>
          <t>Lagumit</t>
        </is>
      </c>
    </row>
    <row r="12829" spans="1:1">
      <c r="A12829" t="inlineStr">
        <is>
          <t>Lais</t>
        </is>
      </c>
    </row>
    <row r="12830" spans="1:1">
      <c r="A12830" t="inlineStr">
        <is>
          <t>Little Baguio</t>
        </is>
      </c>
    </row>
    <row r="12831" spans="1:1">
      <c r="A12831" t="inlineStr">
        <is>
          <t>Macol</t>
        </is>
      </c>
    </row>
    <row r="12832" spans="1:1">
      <c r="A12832" t="inlineStr">
        <is>
          <t>Mana</t>
        </is>
      </c>
    </row>
    <row r="12833" spans="1:1">
      <c r="A12833" t="inlineStr">
        <is>
          <t>Manuel Peralta</t>
        </is>
      </c>
    </row>
    <row r="12834" spans="1:1">
      <c r="A12834" t="inlineStr">
        <is>
          <t>New Argao</t>
        </is>
      </c>
    </row>
    <row r="12835" spans="1:1">
      <c r="A12835" t="inlineStr">
        <is>
          <t>Pangaleon</t>
        </is>
      </c>
    </row>
    <row r="12836" spans="1:1">
      <c r="A12836" t="inlineStr">
        <is>
          <t>Pangian</t>
        </is>
      </c>
    </row>
    <row r="12837" spans="1:1">
      <c r="A12837" t="inlineStr">
        <is>
          <t>Pinalpalan</t>
        </is>
      </c>
    </row>
    <row r="12838" spans="1:1">
      <c r="A12838" t="inlineStr">
        <is>
          <t>Poblacion</t>
        </is>
      </c>
    </row>
    <row r="12839" spans="1:1">
      <c r="A12839" t="inlineStr">
        <is>
          <t>Sangay</t>
        </is>
      </c>
    </row>
    <row r="12840" spans="1:1">
      <c r="A12840" t="inlineStr">
        <is>
          <t>Talogoy</t>
        </is>
      </c>
    </row>
    <row r="12841" spans="1:1">
      <c r="A12841" t="inlineStr">
        <is>
          <t>Tical</t>
        </is>
      </c>
    </row>
    <row r="12842" spans="1:1">
      <c r="A12842" t="inlineStr">
        <is>
          <t>Ticulon</t>
        </is>
      </c>
    </row>
    <row r="12843" spans="1:1">
      <c r="A12843" t="inlineStr">
        <is>
          <t>Tingolo</t>
        </is>
      </c>
    </row>
    <row r="12844" spans="1:1">
      <c r="A12844" t="inlineStr">
        <is>
          <t>Tubalan</t>
        </is>
      </c>
    </row>
    <row r="12845" spans="1:1">
      <c r="A12845" t="inlineStr">
        <is>
          <t>Basiawan</t>
        </is>
      </c>
    </row>
    <row r="12846" spans="1:1">
      <c r="A12846" t="inlineStr">
        <is>
          <t>Buca</t>
        </is>
      </c>
    </row>
    <row r="12847" spans="1:1">
      <c r="A12847" t="inlineStr">
        <is>
          <t>Cadaatan</t>
        </is>
      </c>
    </row>
    <row r="12848" spans="1:1">
      <c r="A12848" t="inlineStr">
        <is>
          <t>Datu Daligasao</t>
        </is>
      </c>
    </row>
    <row r="12849" spans="1:1">
      <c r="A12849" t="inlineStr">
        <is>
          <t>Datu Intan</t>
        </is>
      </c>
    </row>
    <row r="12850" spans="1:1">
      <c r="A12850" t="inlineStr">
        <is>
          <t>Kidadan</t>
        </is>
      </c>
    </row>
    <row r="12851" spans="1:1">
      <c r="A12851" t="inlineStr">
        <is>
          <t>Kinilidan</t>
        </is>
      </c>
    </row>
    <row r="12852" spans="1:1">
      <c r="A12852" t="inlineStr">
        <is>
          <t>Kisulad</t>
        </is>
      </c>
    </row>
    <row r="12853" spans="1:1">
      <c r="A12853" t="inlineStr">
        <is>
          <t>Malalag Tubig</t>
        </is>
      </c>
    </row>
    <row r="12854" spans="1:1">
      <c r="A12854" t="inlineStr">
        <is>
          <t>Mamacao</t>
        </is>
      </c>
    </row>
    <row r="12855" spans="1:1">
      <c r="A12855" t="inlineStr">
        <is>
          <t>Ogpao</t>
        </is>
      </c>
    </row>
    <row r="12856" spans="1:1">
      <c r="A12856" t="inlineStr">
        <is>
          <t>Poblacion</t>
        </is>
      </c>
    </row>
    <row r="12857" spans="1:1">
      <c r="A12857" t="inlineStr">
        <is>
          <t>Pongpong</t>
        </is>
      </c>
    </row>
    <row r="12858" spans="1:1">
      <c r="A12858" t="inlineStr">
        <is>
          <t>San Agustin</t>
        </is>
      </c>
    </row>
    <row r="12859" spans="1:1">
      <c r="A12859" t="inlineStr">
        <is>
          <t>San Antonio</t>
        </is>
      </c>
    </row>
    <row r="12860" spans="1:1">
      <c r="A12860" t="inlineStr">
        <is>
          <t>San Isidro</t>
        </is>
      </c>
    </row>
    <row r="12861" spans="1:1">
      <c r="A12861" t="inlineStr">
        <is>
          <t>San Juan</t>
        </is>
      </c>
    </row>
    <row r="12862" spans="1:1">
      <c r="A12862" t="inlineStr">
        <is>
          <t>San Pedro</t>
        </is>
      </c>
    </row>
    <row r="12863" spans="1:1">
      <c r="A12863" t="inlineStr">
        <is>
          <t>San Roque</t>
        </is>
      </c>
    </row>
    <row r="12864" spans="1:1">
      <c r="A12864" t="inlineStr">
        <is>
          <t>Santo Niño</t>
        </is>
      </c>
    </row>
    <row r="12865" spans="1:1">
      <c r="A12865" t="inlineStr">
        <is>
          <t>Santo Rosario</t>
        </is>
      </c>
    </row>
    <row r="12866" spans="1:1">
      <c r="A12866" t="inlineStr">
        <is>
          <t>Tanglad</t>
        </is>
      </c>
    </row>
    <row r="12867" spans="1:1">
      <c r="A12867" t="inlineStr">
        <is>
          <t>Batuganding</t>
        </is>
      </c>
    </row>
    <row r="12868" spans="1:1">
      <c r="A12868" t="inlineStr">
        <is>
          <t>Camahual</t>
        </is>
      </c>
    </row>
    <row r="12869" spans="1:1">
      <c r="A12869" t="inlineStr">
        <is>
          <t>Camalig</t>
        </is>
      </c>
    </row>
    <row r="12870" spans="1:1">
      <c r="A12870" t="inlineStr">
        <is>
          <t>Gomtago</t>
        </is>
      </c>
    </row>
    <row r="12871" spans="1:1">
      <c r="A12871" t="inlineStr">
        <is>
          <t>Konel</t>
        </is>
      </c>
    </row>
    <row r="12872" spans="1:1">
      <c r="A12872" t="inlineStr">
        <is>
          <t>Laker</t>
        </is>
      </c>
    </row>
    <row r="12873" spans="1:1">
      <c r="A12873" t="inlineStr">
        <is>
          <t>Lipol</t>
        </is>
      </c>
    </row>
    <row r="12874" spans="1:1">
      <c r="A12874" t="inlineStr">
        <is>
          <t>Mabila</t>
        </is>
      </c>
    </row>
    <row r="12875" spans="1:1">
      <c r="A12875" t="inlineStr">
        <is>
          <t>Patuco</t>
        </is>
      </c>
    </row>
    <row r="12876" spans="1:1">
      <c r="A12876" t="inlineStr">
        <is>
          <t>Tagen</t>
        </is>
      </c>
    </row>
    <row r="12877" spans="1:1">
      <c r="A12877" t="inlineStr">
        <is>
          <t>Tinina</t>
        </is>
      </c>
    </row>
    <row r="12878" spans="1:1">
      <c r="A12878" t="inlineStr">
        <is>
          <t>Tucal</t>
        </is>
      </c>
    </row>
    <row r="12879" spans="1:1">
      <c r="A12879" t="inlineStr">
        <is>
          <t>Baculin</t>
        </is>
      </c>
    </row>
    <row r="12880" spans="1:1">
      <c r="A12880" t="inlineStr">
        <is>
          <t>Banao</t>
        </is>
      </c>
    </row>
    <row r="12881" spans="1:1">
      <c r="A12881" t="inlineStr">
        <is>
          <t>Batawan</t>
        </is>
      </c>
    </row>
    <row r="12882" spans="1:1">
      <c r="A12882" t="inlineStr">
        <is>
          <t>Batiano</t>
        </is>
      </c>
    </row>
    <row r="12883" spans="1:1">
      <c r="A12883" t="inlineStr">
        <is>
          <t>Binondo</t>
        </is>
      </c>
    </row>
    <row r="12884" spans="1:1">
      <c r="A12884" t="inlineStr">
        <is>
          <t>Bobonao</t>
        </is>
      </c>
    </row>
    <row r="12885" spans="1:1">
      <c r="A12885" t="inlineStr">
        <is>
          <t>Campawan</t>
        </is>
      </c>
    </row>
    <row r="12886" spans="1:1">
      <c r="A12886" t="inlineStr">
        <is>
          <t>Central</t>
        </is>
      </c>
    </row>
    <row r="12887" spans="1:1">
      <c r="A12887" t="inlineStr">
        <is>
          <t>Dapnan</t>
        </is>
      </c>
    </row>
    <row r="12888" spans="1:1">
      <c r="A12888" t="inlineStr">
        <is>
          <t>Kinablangan</t>
        </is>
      </c>
    </row>
    <row r="12889" spans="1:1">
      <c r="A12889" t="inlineStr">
        <is>
          <t>Lambajon</t>
        </is>
      </c>
    </row>
    <row r="12890" spans="1:1">
      <c r="A12890" t="inlineStr">
        <is>
          <t>Lucod</t>
        </is>
      </c>
    </row>
    <row r="12891" spans="1:1">
      <c r="A12891" t="inlineStr">
        <is>
          <t>Mahanub</t>
        </is>
      </c>
    </row>
    <row r="12892" spans="1:1">
      <c r="A12892" t="inlineStr">
        <is>
          <t>Mikit</t>
        </is>
      </c>
    </row>
    <row r="12893" spans="1:1">
      <c r="A12893" t="inlineStr">
        <is>
          <t>Salingcomot</t>
        </is>
      </c>
    </row>
    <row r="12894" spans="1:1">
      <c r="A12894" t="inlineStr">
        <is>
          <t>San Isidro</t>
        </is>
      </c>
    </row>
    <row r="12895" spans="1:1">
      <c r="A12895" t="inlineStr">
        <is>
          <t>San Victor</t>
        </is>
      </c>
    </row>
    <row r="12896" spans="1:1">
      <c r="A12896" t="inlineStr">
        <is>
          <t>Saoquegue</t>
        </is>
      </c>
    </row>
    <row r="12897" spans="1:1">
      <c r="A12897" t="inlineStr">
        <is>
          <t>Cabangcalan</t>
        </is>
      </c>
    </row>
    <row r="12898" spans="1:1">
      <c r="A12898" t="inlineStr">
        <is>
          <t>Caganganan</t>
        </is>
      </c>
    </row>
    <row r="12899" spans="1:1">
      <c r="A12899" t="inlineStr">
        <is>
          <t>Calubihan</t>
        </is>
      </c>
    </row>
    <row r="12900" spans="1:1">
      <c r="A12900" t="inlineStr">
        <is>
          <t>Causwagan</t>
        </is>
      </c>
    </row>
    <row r="12901" spans="1:1">
      <c r="A12901" t="inlineStr">
        <is>
          <t>Mahayag</t>
        </is>
      </c>
    </row>
    <row r="12902" spans="1:1">
      <c r="A12902" t="inlineStr">
        <is>
          <t>Maputi</t>
        </is>
      </c>
    </row>
    <row r="12903" spans="1:1">
      <c r="A12903" t="inlineStr">
        <is>
          <t>Mogbongcogon</t>
        </is>
      </c>
    </row>
    <row r="12904" spans="1:1">
      <c r="A12904" t="inlineStr">
        <is>
          <t>Panikian</t>
        </is>
      </c>
    </row>
    <row r="12905" spans="1:1">
      <c r="A12905" t="inlineStr">
        <is>
          <t>Pintatagan</t>
        </is>
      </c>
    </row>
    <row r="12906" spans="1:1">
      <c r="A12906" t="inlineStr">
        <is>
          <t>Piso Proper</t>
        </is>
      </c>
    </row>
    <row r="12907" spans="1:1">
      <c r="A12907" t="inlineStr">
        <is>
          <t>Poblacion</t>
        </is>
      </c>
    </row>
    <row r="12908" spans="1:1">
      <c r="A12908" t="inlineStr">
        <is>
          <t>Punta Linao</t>
        </is>
      </c>
    </row>
    <row r="12909" spans="1:1">
      <c r="A12909" t="inlineStr">
        <is>
          <t>Rang-ay</t>
        </is>
      </c>
    </row>
    <row r="12910" spans="1:1">
      <c r="A12910" t="inlineStr">
        <is>
          <t>San Vicente</t>
        </is>
      </c>
    </row>
    <row r="12911" spans="1:1">
      <c r="A12911" t="inlineStr">
        <is>
          <t>Caatihan</t>
        </is>
      </c>
    </row>
    <row r="12912" spans="1:1">
      <c r="A12912" t="inlineStr">
        <is>
          <t>Cabasagan</t>
        </is>
      </c>
    </row>
    <row r="12913" spans="1:1">
      <c r="A12913" t="inlineStr">
        <is>
          <t>Carmen</t>
        </is>
      </c>
    </row>
    <row r="12914" spans="1:1">
      <c r="A12914" t="inlineStr">
        <is>
          <t>Cawayanan</t>
        </is>
      </c>
    </row>
    <row r="12915" spans="1:1">
      <c r="A12915" t="inlineStr">
        <is>
          <t>Poblacion</t>
        </is>
      </c>
    </row>
    <row r="12916" spans="1:1">
      <c r="A12916" t="inlineStr">
        <is>
          <t>San Jose</t>
        </is>
      </c>
    </row>
    <row r="12917" spans="1:1">
      <c r="A12917" t="inlineStr">
        <is>
          <t>Sibajay</t>
        </is>
      </c>
    </row>
    <row r="12918" spans="1:1">
      <c r="A12918" t="inlineStr">
        <is>
          <t>Simulao</t>
        </is>
      </c>
    </row>
    <row r="12919" spans="1:1">
      <c r="A12919" t="inlineStr">
        <is>
          <t>Alvar</t>
        </is>
      </c>
    </row>
    <row r="12920" spans="1:1">
      <c r="A12920" t="inlineStr">
        <is>
          <t>Caningag</t>
        </is>
      </c>
    </row>
    <row r="12921" spans="1:1">
      <c r="A12921" t="inlineStr">
        <is>
          <t>Don Leon Balante</t>
        </is>
      </c>
    </row>
    <row r="12922" spans="1:1">
      <c r="A12922" t="inlineStr">
        <is>
          <t>Lamiawan</t>
        </is>
      </c>
    </row>
    <row r="12923" spans="1:1">
      <c r="A12923" t="inlineStr">
        <is>
          <t>Manorigao</t>
        </is>
      </c>
    </row>
    <row r="12924" spans="1:1">
      <c r="A12924" t="inlineStr">
        <is>
          <t>Mercedes</t>
        </is>
      </c>
    </row>
    <row r="12925" spans="1:1">
      <c r="A12925" t="inlineStr">
        <is>
          <t>Palma Gil</t>
        </is>
      </c>
    </row>
    <row r="12926" spans="1:1">
      <c r="A12926" t="inlineStr">
        <is>
          <t>Pichon</t>
        </is>
      </c>
    </row>
    <row r="12927" spans="1:1">
      <c r="A12927" t="inlineStr">
        <is>
          <t>Poblacion</t>
        </is>
      </c>
    </row>
    <row r="12928" spans="1:1">
      <c r="A12928" t="inlineStr">
        <is>
          <t>San Antonio</t>
        </is>
      </c>
    </row>
    <row r="12929" spans="1:1">
      <c r="A12929" t="inlineStr">
        <is>
          <t>San Jose</t>
        </is>
      </c>
    </row>
    <row r="12930" spans="1:1">
      <c r="A12930" t="inlineStr">
        <is>
          <t>San Luis</t>
        </is>
      </c>
    </row>
    <row r="12931" spans="1:1">
      <c r="A12931" t="inlineStr">
        <is>
          <t>San Miguel</t>
        </is>
      </c>
    </row>
    <row r="12932" spans="1:1">
      <c r="A12932" t="inlineStr">
        <is>
          <t>San Pedro</t>
        </is>
      </c>
    </row>
    <row r="12933" spans="1:1">
      <c r="A12933" t="inlineStr">
        <is>
          <t>Santa Fe</t>
        </is>
      </c>
    </row>
    <row r="12934" spans="1:1">
      <c r="A12934" t="inlineStr">
        <is>
          <t>Santiago</t>
        </is>
      </c>
    </row>
    <row r="12935" spans="1:1">
      <c r="A12935" t="inlineStr">
        <is>
          <t>Sobrecarey</t>
        </is>
      </c>
    </row>
    <row r="12936" spans="1:1">
      <c r="A12936" t="inlineStr">
        <is>
          <t>Abijod</t>
        </is>
      </c>
    </row>
    <row r="12937" spans="1:1">
      <c r="A12937" t="inlineStr">
        <is>
          <t>Alegria</t>
        </is>
      </c>
    </row>
    <row r="12938" spans="1:1">
      <c r="A12938" t="inlineStr">
        <is>
          <t>Aliwagwag</t>
        </is>
      </c>
    </row>
    <row r="12939" spans="1:1">
      <c r="A12939" t="inlineStr">
        <is>
          <t>Aragon</t>
        </is>
      </c>
    </row>
    <row r="12940" spans="1:1">
      <c r="A12940" t="inlineStr">
        <is>
          <t>Baybay</t>
        </is>
      </c>
    </row>
    <row r="12941" spans="1:1">
      <c r="A12941" t="inlineStr">
        <is>
          <t>Maglahus</t>
        </is>
      </c>
    </row>
    <row r="12942" spans="1:1">
      <c r="A12942" t="inlineStr">
        <is>
          <t>Mainit</t>
        </is>
      </c>
    </row>
    <row r="12943" spans="1:1">
      <c r="A12943" t="inlineStr">
        <is>
          <t>Malibago</t>
        </is>
      </c>
    </row>
    <row r="12944" spans="1:1">
      <c r="A12944" t="inlineStr">
        <is>
          <t>Poblacion</t>
        </is>
      </c>
    </row>
    <row r="12945" spans="1:1">
      <c r="A12945" t="inlineStr">
        <is>
          <t>San Alfonso</t>
        </is>
      </c>
    </row>
    <row r="12946" spans="1:1">
      <c r="A12946" t="inlineStr">
        <is>
          <t>San Antonio</t>
        </is>
      </c>
    </row>
    <row r="12947" spans="1:1">
      <c r="A12947" t="inlineStr">
        <is>
          <t>San Miguel</t>
        </is>
      </c>
    </row>
    <row r="12948" spans="1:1">
      <c r="A12948" t="inlineStr">
        <is>
          <t>San Rafael</t>
        </is>
      </c>
    </row>
    <row r="12949" spans="1:1">
      <c r="A12949" t="inlineStr">
        <is>
          <t>San Vicente</t>
        </is>
      </c>
    </row>
    <row r="12950" spans="1:1">
      <c r="A12950" t="inlineStr">
        <is>
          <t>Santa Filomena</t>
        </is>
      </c>
    </row>
    <row r="12951" spans="1:1">
      <c r="A12951" t="inlineStr">
        <is>
          <t>Taytayan</t>
        </is>
      </c>
    </row>
    <row r="12952" spans="1:1">
      <c r="A12952" t="inlineStr">
        <is>
          <t>Badas</t>
        </is>
      </c>
    </row>
    <row r="12953" spans="1:1">
      <c r="A12953" t="inlineStr">
        <is>
          <t>Bobon</t>
        </is>
      </c>
    </row>
    <row r="12954" spans="1:1">
      <c r="A12954" t="inlineStr">
        <is>
          <t>Buso</t>
        </is>
      </c>
    </row>
    <row r="12955" spans="1:1">
      <c r="A12955" t="inlineStr">
        <is>
          <t>Cabuaya</t>
        </is>
      </c>
    </row>
    <row r="12956" spans="1:1">
      <c r="A12956" t="inlineStr">
        <is>
          <t>Central</t>
        </is>
      </c>
    </row>
    <row r="12957" spans="1:1">
      <c r="A12957" t="inlineStr">
        <is>
          <t>Culian</t>
        </is>
      </c>
    </row>
    <row r="12958" spans="1:1">
      <c r="A12958" t="inlineStr">
        <is>
          <t>Dahican</t>
        </is>
      </c>
    </row>
    <row r="12959" spans="1:1">
      <c r="A12959" t="inlineStr">
        <is>
          <t>Danao</t>
        </is>
      </c>
    </row>
    <row r="12960" spans="1:1">
      <c r="A12960" t="inlineStr">
        <is>
          <t>Dawan</t>
        </is>
      </c>
    </row>
    <row r="12961" spans="1:1">
      <c r="A12961" t="inlineStr">
        <is>
          <t>Don Enrique Lopez</t>
        </is>
      </c>
    </row>
    <row r="12962" spans="1:1">
      <c r="A12962" t="inlineStr">
        <is>
          <t>Don Martin Marundan</t>
        </is>
      </c>
    </row>
    <row r="12963" spans="1:1">
      <c r="A12963" t="inlineStr">
        <is>
          <t>Don Salvador Lopez, Sr.</t>
        </is>
      </c>
    </row>
    <row r="12964" spans="1:1">
      <c r="A12964" t="inlineStr">
        <is>
          <t>Langka</t>
        </is>
      </c>
    </row>
    <row r="12965" spans="1:1">
      <c r="A12965" t="inlineStr">
        <is>
          <t>Lawigan</t>
        </is>
      </c>
    </row>
    <row r="12966" spans="1:1">
      <c r="A12966" t="inlineStr">
        <is>
          <t>Libudon</t>
        </is>
      </c>
    </row>
    <row r="12967" spans="1:1">
      <c r="A12967" t="inlineStr">
        <is>
          <t>Luban</t>
        </is>
      </c>
    </row>
    <row r="12968" spans="1:1">
      <c r="A12968" t="inlineStr">
        <is>
          <t>Macambol</t>
        </is>
      </c>
    </row>
    <row r="12969" spans="1:1">
      <c r="A12969" t="inlineStr">
        <is>
          <t>Mamali</t>
        </is>
      </c>
    </row>
    <row r="12970" spans="1:1">
      <c r="A12970" t="inlineStr">
        <is>
          <t>Matiao</t>
        </is>
      </c>
    </row>
    <row r="12971" spans="1:1">
      <c r="A12971" t="inlineStr">
        <is>
          <t>Mayo</t>
        </is>
      </c>
    </row>
    <row r="12972" spans="1:1">
      <c r="A12972" t="inlineStr">
        <is>
          <t>Sainz</t>
        </is>
      </c>
    </row>
    <row r="12973" spans="1:1">
      <c r="A12973" t="inlineStr">
        <is>
          <t>Sanghay</t>
        </is>
      </c>
    </row>
    <row r="12974" spans="1:1">
      <c r="A12974" t="inlineStr">
        <is>
          <t>Tagabakid</t>
        </is>
      </c>
    </row>
    <row r="12975" spans="1:1">
      <c r="A12975" t="inlineStr">
        <is>
          <t>Tagbinonga</t>
        </is>
      </c>
    </row>
    <row r="12976" spans="1:1">
      <c r="A12976" t="inlineStr">
        <is>
          <t>Taguibo</t>
        </is>
      </c>
    </row>
    <row r="12977" spans="1:1">
      <c r="A12977" t="inlineStr">
        <is>
          <t>Tamisan</t>
        </is>
      </c>
    </row>
    <row r="12978" spans="1:1">
      <c r="A12978" t="inlineStr">
        <is>
          <t>Anitap</t>
        </is>
      </c>
    </row>
    <row r="12979" spans="1:1">
      <c r="A12979" t="inlineStr">
        <is>
          <t>Crispin Dela Cruz</t>
        </is>
      </c>
    </row>
    <row r="12980" spans="1:1">
      <c r="A12980" t="inlineStr">
        <is>
          <t>Don Aurelio Chicote</t>
        </is>
      </c>
    </row>
    <row r="12981" spans="1:1">
      <c r="A12981" t="inlineStr">
        <is>
          <t>Lavigan</t>
        </is>
      </c>
    </row>
    <row r="12982" spans="1:1">
      <c r="A12982" t="inlineStr">
        <is>
          <t>Luzon</t>
        </is>
      </c>
    </row>
    <row r="12983" spans="1:1">
      <c r="A12983" t="inlineStr">
        <is>
          <t>Magdug</t>
        </is>
      </c>
    </row>
    <row r="12984" spans="1:1">
      <c r="A12984" t="inlineStr">
        <is>
          <t>Manuel Roxas</t>
        </is>
      </c>
    </row>
    <row r="12985" spans="1:1">
      <c r="A12985" t="inlineStr">
        <is>
          <t>Monserrat</t>
        </is>
      </c>
    </row>
    <row r="12986" spans="1:1">
      <c r="A12986" t="inlineStr">
        <is>
          <t>Nangan</t>
        </is>
      </c>
    </row>
    <row r="12987" spans="1:1">
      <c r="A12987" t="inlineStr">
        <is>
          <t>Oregon</t>
        </is>
      </c>
    </row>
    <row r="12988" spans="1:1">
      <c r="A12988" t="inlineStr">
        <is>
          <t>Poblacion</t>
        </is>
      </c>
    </row>
    <row r="12989" spans="1:1">
      <c r="A12989" t="inlineStr">
        <is>
          <t>Pundaguitan</t>
        </is>
      </c>
    </row>
    <row r="12990" spans="1:1">
      <c r="A12990" t="inlineStr">
        <is>
          <t>Sergio Osmeña</t>
        </is>
      </c>
    </row>
    <row r="12991" spans="1:1">
      <c r="A12991" t="inlineStr">
        <is>
          <t>Surop</t>
        </is>
      </c>
    </row>
    <row r="12992" spans="1:1">
      <c r="A12992" t="inlineStr">
        <is>
          <t>Tagabebe</t>
        </is>
      </c>
    </row>
    <row r="12993" spans="1:1">
      <c r="A12993" t="inlineStr">
        <is>
          <t>Tamban</t>
        </is>
      </c>
    </row>
    <row r="12994" spans="1:1">
      <c r="A12994" t="inlineStr">
        <is>
          <t>Tandang Sora</t>
        </is>
      </c>
    </row>
    <row r="12995" spans="1:1">
      <c r="A12995" t="inlineStr">
        <is>
          <t>Tibanban</t>
        </is>
      </c>
    </row>
    <row r="12996" spans="1:1">
      <c r="A12996" t="inlineStr">
        <is>
          <t>Tiblawan</t>
        </is>
      </c>
    </row>
    <row r="12997" spans="1:1">
      <c r="A12997" t="inlineStr">
        <is>
          <t>Upper Tibanban</t>
        </is>
      </c>
    </row>
    <row r="12998" spans="1:1">
      <c r="A12998" t="inlineStr">
        <is>
          <t>Bagumbayan</t>
        </is>
      </c>
    </row>
    <row r="12999" spans="1:1">
      <c r="A12999" t="inlineStr">
        <is>
          <t>Cabadiangan</t>
        </is>
      </c>
    </row>
    <row r="13000" spans="1:1">
      <c r="A13000" t="inlineStr">
        <is>
          <t>Calapagan</t>
        </is>
      </c>
    </row>
    <row r="13001" spans="1:1">
      <c r="A13001" t="inlineStr">
        <is>
          <t>Cocornon</t>
        </is>
      </c>
    </row>
    <row r="13002" spans="1:1">
      <c r="A13002" t="inlineStr">
        <is>
          <t>Corporacion</t>
        </is>
      </c>
    </row>
    <row r="13003" spans="1:1">
      <c r="A13003" t="inlineStr">
        <is>
          <t>Don Mariano Marcos</t>
        </is>
      </c>
    </row>
    <row r="13004" spans="1:1">
      <c r="A13004" t="inlineStr">
        <is>
          <t>Ilangay</t>
        </is>
      </c>
    </row>
    <row r="13005" spans="1:1">
      <c r="A13005" t="inlineStr">
        <is>
          <t>Langka</t>
        </is>
      </c>
    </row>
    <row r="13006" spans="1:1">
      <c r="A13006" t="inlineStr">
        <is>
          <t>Lantawan</t>
        </is>
      </c>
    </row>
    <row r="13007" spans="1:1">
      <c r="A13007" t="inlineStr">
        <is>
          <t>Limbahan</t>
        </is>
      </c>
    </row>
    <row r="13008" spans="1:1">
      <c r="A13008" t="inlineStr">
        <is>
          <t>Macangao</t>
        </is>
      </c>
    </row>
    <row r="13009" spans="1:1">
      <c r="A13009" t="inlineStr">
        <is>
          <t>Magsaysay</t>
        </is>
      </c>
    </row>
    <row r="13010" spans="1:1">
      <c r="A13010" t="inlineStr">
        <is>
          <t>Mahayahay</t>
        </is>
      </c>
    </row>
    <row r="13011" spans="1:1">
      <c r="A13011" t="inlineStr">
        <is>
          <t>Maragatas</t>
        </is>
      </c>
    </row>
    <row r="13012" spans="1:1">
      <c r="A13012" t="inlineStr">
        <is>
          <t>Marayag</t>
        </is>
      </c>
    </row>
    <row r="13013" spans="1:1">
      <c r="A13013" t="inlineStr">
        <is>
          <t>New Visayas</t>
        </is>
      </c>
    </row>
    <row r="13014" spans="1:1">
      <c r="A13014" t="inlineStr">
        <is>
          <t>Poblacion</t>
        </is>
      </c>
    </row>
    <row r="13015" spans="1:1">
      <c r="A13015" t="inlineStr">
        <is>
          <t>San Isidro</t>
        </is>
      </c>
    </row>
    <row r="13016" spans="1:1">
      <c r="A13016" t="inlineStr">
        <is>
          <t>San Jose</t>
        </is>
      </c>
    </row>
    <row r="13017" spans="1:1">
      <c r="A13017" t="inlineStr">
        <is>
          <t>Tagboa</t>
        </is>
      </c>
    </row>
    <row r="13018" spans="1:1">
      <c r="A13018" t="inlineStr">
        <is>
          <t>Tagugpo</t>
        </is>
      </c>
    </row>
    <row r="13019" spans="1:1">
      <c r="A13019" t="inlineStr">
        <is>
          <t>Capasnan</t>
        </is>
      </c>
    </row>
    <row r="13020" spans="1:1">
      <c r="A13020" t="inlineStr">
        <is>
          <t>Cayawan</t>
        </is>
      </c>
    </row>
    <row r="13021" spans="1:1">
      <c r="A13021" t="inlineStr">
        <is>
          <t>Central</t>
        </is>
      </c>
    </row>
    <row r="13022" spans="1:1">
      <c r="A13022" t="inlineStr">
        <is>
          <t>Concepcion</t>
        </is>
      </c>
    </row>
    <row r="13023" spans="1:1">
      <c r="A13023" t="inlineStr">
        <is>
          <t>Del Pilar</t>
        </is>
      </c>
    </row>
    <row r="13024" spans="1:1">
      <c r="A13024" t="inlineStr">
        <is>
          <t>Guza</t>
        </is>
      </c>
    </row>
    <row r="13025" spans="1:1">
      <c r="A13025" t="inlineStr">
        <is>
          <t>Holy Cross</t>
        </is>
      </c>
    </row>
    <row r="13026" spans="1:1">
      <c r="A13026" t="inlineStr">
        <is>
          <t>Lambog</t>
        </is>
      </c>
    </row>
    <row r="13027" spans="1:1">
      <c r="A13027" t="inlineStr">
        <is>
          <t>Mabini</t>
        </is>
      </c>
    </row>
    <row r="13028" spans="1:1">
      <c r="A13028" t="inlineStr">
        <is>
          <t>Manreza</t>
        </is>
      </c>
    </row>
    <row r="13029" spans="1:1">
      <c r="A13029" t="inlineStr">
        <is>
          <t>New Taokanga</t>
        </is>
      </c>
    </row>
    <row r="13030" spans="1:1">
      <c r="A13030" t="inlineStr">
        <is>
          <t>Old Macopa</t>
        </is>
      </c>
    </row>
    <row r="13031" spans="1:1">
      <c r="A13031" t="inlineStr">
        <is>
          <t>Rizal</t>
        </is>
      </c>
    </row>
    <row r="13032" spans="1:1">
      <c r="A13032" t="inlineStr">
        <is>
          <t>San Fermin</t>
        </is>
      </c>
    </row>
    <row r="13033" spans="1:1">
      <c r="A13033" t="inlineStr">
        <is>
          <t>San Ignacio</t>
        </is>
      </c>
    </row>
    <row r="13034" spans="1:1">
      <c r="A13034" t="inlineStr">
        <is>
          <t>San Isidro</t>
        </is>
      </c>
    </row>
    <row r="13035" spans="1:1">
      <c r="A13035" t="inlineStr">
        <is>
          <t>Zaragosa</t>
        </is>
      </c>
    </row>
    <row r="13036" spans="1:1">
      <c r="A13036" t="inlineStr">
        <is>
          <t>Baon</t>
        </is>
      </c>
    </row>
    <row r="13037" spans="1:1">
      <c r="A13037" t="inlineStr">
        <is>
          <t>Batobato</t>
        </is>
      </c>
    </row>
    <row r="13038" spans="1:1">
      <c r="A13038" t="inlineStr">
        <is>
          <t>Bitaogan</t>
        </is>
      </c>
    </row>
    <row r="13039" spans="1:1">
      <c r="A13039" t="inlineStr">
        <is>
          <t>Cambaleon</t>
        </is>
      </c>
    </row>
    <row r="13040" spans="1:1">
      <c r="A13040" t="inlineStr">
        <is>
          <t>Dugmanon</t>
        </is>
      </c>
    </row>
    <row r="13041" spans="1:1">
      <c r="A13041" t="inlineStr">
        <is>
          <t>Iba</t>
        </is>
      </c>
    </row>
    <row r="13042" spans="1:1">
      <c r="A13042" t="inlineStr">
        <is>
          <t>La Union</t>
        </is>
      </c>
    </row>
    <row r="13043" spans="1:1">
      <c r="A13043" t="inlineStr">
        <is>
          <t>Lapu-lapu</t>
        </is>
      </c>
    </row>
    <row r="13044" spans="1:1">
      <c r="A13044" t="inlineStr">
        <is>
          <t>Maag</t>
        </is>
      </c>
    </row>
    <row r="13045" spans="1:1">
      <c r="A13045" t="inlineStr">
        <is>
          <t>Manikling</t>
        </is>
      </c>
    </row>
    <row r="13046" spans="1:1">
      <c r="A13046" t="inlineStr">
        <is>
          <t>Maputi</t>
        </is>
      </c>
    </row>
    <row r="13047" spans="1:1">
      <c r="A13047" t="inlineStr">
        <is>
          <t>San Miguel</t>
        </is>
      </c>
    </row>
    <row r="13048" spans="1:1">
      <c r="A13048" t="inlineStr">
        <is>
          <t>San Roque</t>
        </is>
      </c>
    </row>
    <row r="13049" spans="1:1">
      <c r="A13049" t="inlineStr">
        <is>
          <t>Santo Rosario</t>
        </is>
      </c>
    </row>
    <row r="13050" spans="1:1">
      <c r="A13050" t="inlineStr">
        <is>
          <t>Sudlon</t>
        </is>
      </c>
    </row>
    <row r="13051" spans="1:1">
      <c r="A13051" t="inlineStr">
        <is>
          <t>Talisay</t>
        </is>
      </c>
    </row>
    <row r="13052" spans="1:1">
      <c r="A13052" t="inlineStr">
        <is>
          <t>Cabagayan</t>
        </is>
      </c>
    </row>
    <row r="13053" spans="1:1">
      <c r="A13053" t="inlineStr">
        <is>
          <t>Central</t>
        </is>
      </c>
    </row>
    <row r="13054" spans="1:1">
      <c r="A13054" t="inlineStr">
        <is>
          <t>Dadong</t>
        </is>
      </c>
    </row>
    <row r="13055" spans="1:1">
      <c r="A13055" t="inlineStr">
        <is>
          <t>Jovellar</t>
        </is>
      </c>
    </row>
    <row r="13056" spans="1:1">
      <c r="A13056" t="inlineStr">
        <is>
          <t>Limot</t>
        </is>
      </c>
    </row>
    <row r="13057" spans="1:1">
      <c r="A13057" t="inlineStr">
        <is>
          <t>Lucatan</t>
        </is>
      </c>
    </row>
    <row r="13058" spans="1:1">
      <c r="A13058" t="inlineStr">
        <is>
          <t>Maganda</t>
        </is>
      </c>
    </row>
    <row r="13059" spans="1:1">
      <c r="A13059" t="inlineStr">
        <is>
          <t>Ompao</t>
        </is>
      </c>
    </row>
    <row r="13060" spans="1:1">
      <c r="A13060" t="inlineStr">
        <is>
          <t>Tomoaong</t>
        </is>
      </c>
    </row>
    <row r="13061" spans="1:1">
      <c r="A13061" t="inlineStr">
        <is>
          <t>Tubaon</t>
        </is>
      </c>
    </row>
    <row r="13062" spans="1:1">
      <c r="A13062" t="inlineStr">
        <is>
          <t>Benglen</t>
        </is>
      </c>
    </row>
    <row r="13063" spans="1:1">
      <c r="A13063" t="inlineStr">
        <is>
          <t>Catadman</t>
        </is>
      </c>
    </row>
    <row r="13064" spans="1:1">
      <c r="A13064" t="inlineStr">
        <is>
          <t>Columbus</t>
        </is>
      </c>
    </row>
    <row r="13065" spans="1:1">
      <c r="A13065" t="inlineStr">
        <is>
          <t>Coring</t>
        </is>
      </c>
    </row>
    <row r="13066" spans="1:1">
      <c r="A13066" t="inlineStr">
        <is>
          <t>Cortes</t>
        </is>
      </c>
    </row>
    <row r="13067" spans="1:1">
      <c r="A13067" t="inlineStr">
        <is>
          <t>Diegas</t>
        </is>
      </c>
    </row>
    <row r="13068" spans="1:1">
      <c r="A13068" t="inlineStr">
        <is>
          <t>Doña Helene</t>
        </is>
      </c>
    </row>
    <row r="13069" spans="1:1">
      <c r="A13069" t="inlineStr">
        <is>
          <t>Edera</t>
        </is>
      </c>
    </row>
    <row r="13070" spans="1:1">
      <c r="A13070" t="inlineStr">
        <is>
          <t>Ferdinand</t>
        </is>
      </c>
    </row>
    <row r="13071" spans="1:1">
      <c r="A13071" t="inlineStr">
        <is>
          <t>Geotina</t>
        </is>
      </c>
    </row>
    <row r="13072" spans="1:1">
      <c r="A13072" t="inlineStr">
        <is>
          <t>Imee</t>
        </is>
      </c>
    </row>
    <row r="13073" spans="1:1">
      <c r="A13073" t="inlineStr">
        <is>
          <t>Melgar</t>
        </is>
      </c>
    </row>
    <row r="13074" spans="1:1">
      <c r="A13074" t="inlineStr">
        <is>
          <t>Montag</t>
        </is>
      </c>
    </row>
    <row r="13075" spans="1:1">
      <c r="A13075" t="inlineStr">
        <is>
          <t>Navarro</t>
        </is>
      </c>
    </row>
    <row r="13076" spans="1:1">
      <c r="A13076" t="inlineStr">
        <is>
          <t>New Nazareth</t>
        </is>
      </c>
    </row>
    <row r="13077" spans="1:1">
      <c r="A13077" t="inlineStr">
        <is>
          <t>Poblacion</t>
        </is>
      </c>
    </row>
    <row r="13078" spans="1:1">
      <c r="A13078" t="inlineStr">
        <is>
          <t>Puerto Princesa</t>
        </is>
      </c>
    </row>
    <row r="13079" spans="1:1">
      <c r="A13079" t="inlineStr">
        <is>
          <t>Rita Glenda</t>
        </is>
      </c>
    </row>
    <row r="13080" spans="1:1">
      <c r="A13080" t="inlineStr">
        <is>
          <t>Roma</t>
        </is>
      </c>
    </row>
    <row r="13081" spans="1:1">
      <c r="A13081" t="inlineStr">
        <is>
          <t>Roxas</t>
        </is>
      </c>
    </row>
    <row r="13082" spans="1:1">
      <c r="A13082" t="inlineStr">
        <is>
          <t>Santa Monica</t>
        </is>
      </c>
    </row>
    <row r="13083" spans="1:1">
      <c r="A13083" t="inlineStr">
        <is>
          <t>Santo Niño</t>
        </is>
      </c>
    </row>
    <row r="13084" spans="1:1">
      <c r="A13084" t="inlineStr">
        <is>
          <t>Sering</t>
        </is>
      </c>
    </row>
    <row r="13085" spans="1:1">
      <c r="A13085" t="inlineStr">
        <is>
          <t>Sombrado</t>
        </is>
      </c>
    </row>
    <row r="13086" spans="1:1">
      <c r="A13086" t="inlineStr">
        <is>
          <t>Tag-abaca</t>
        </is>
      </c>
    </row>
    <row r="13087" spans="1:1">
      <c r="A13087" t="inlineStr">
        <is>
          <t>Villa Ecleo</t>
        </is>
      </c>
    </row>
    <row r="13088" spans="1:1">
      <c r="A13088" t="inlineStr">
        <is>
          <t>Villa Pantinople</t>
        </is>
      </c>
    </row>
    <row r="13089" spans="1:1">
      <c r="A13089" t="inlineStr">
        <is>
          <t>Boa</t>
        </is>
      </c>
    </row>
    <row r="13090" spans="1:1">
      <c r="A13090" t="inlineStr">
        <is>
          <t>Cabunga-an</t>
        </is>
      </c>
    </row>
    <row r="13091" spans="1:1">
      <c r="A13091" t="inlineStr">
        <is>
          <t>Del Pilar</t>
        </is>
      </c>
    </row>
    <row r="13092" spans="1:1">
      <c r="A13092" t="inlineStr">
        <is>
          <t>Laguna</t>
        </is>
      </c>
    </row>
    <row r="13093" spans="1:1">
      <c r="A13093" t="inlineStr">
        <is>
          <t>Legaspi</t>
        </is>
      </c>
    </row>
    <row r="13094" spans="1:1">
      <c r="A13094" t="inlineStr">
        <is>
          <t>Ma-atas</t>
        </is>
      </c>
    </row>
    <row r="13095" spans="1:1">
      <c r="A13095" t="inlineStr">
        <is>
          <t>Mabini</t>
        </is>
      </c>
    </row>
    <row r="13096" spans="1:1">
      <c r="A13096" t="inlineStr">
        <is>
          <t>Nueva Estrella</t>
        </is>
      </c>
    </row>
    <row r="13097" spans="1:1">
      <c r="A13097" t="inlineStr">
        <is>
          <t>Poblacion</t>
        </is>
      </c>
    </row>
    <row r="13098" spans="1:1">
      <c r="A13098" t="inlineStr">
        <is>
          <t>R. Ecleo, Sr.</t>
        </is>
      </c>
    </row>
    <row r="13099" spans="1:1">
      <c r="A13099" t="inlineStr">
        <is>
          <t>San Jose</t>
        </is>
      </c>
    </row>
    <row r="13100" spans="1:1">
      <c r="A13100" t="inlineStr">
        <is>
          <t>Santa Rita</t>
        </is>
      </c>
    </row>
    <row r="13101" spans="1:1">
      <c r="A13101" t="inlineStr">
        <is>
          <t>Tigbao</t>
        </is>
      </c>
    </row>
    <row r="13102" spans="1:1">
      <c r="A13102" t="inlineStr">
        <is>
          <t>Valencia</t>
        </is>
      </c>
    </row>
    <row r="13103" spans="1:1">
      <c r="A13103" t="inlineStr">
        <is>
          <t>Bagumbayan</t>
        </is>
      </c>
    </row>
    <row r="13104" spans="1:1">
      <c r="A13104" t="inlineStr">
        <is>
          <t>Cab-ilan</t>
        </is>
      </c>
    </row>
    <row r="13105" spans="1:1">
      <c r="A13105" t="inlineStr">
        <is>
          <t>Cabayawan</t>
        </is>
      </c>
    </row>
    <row r="13106" spans="1:1">
      <c r="A13106" t="inlineStr">
        <is>
          <t>Cayetano</t>
        </is>
      </c>
    </row>
    <row r="13107" spans="1:1">
      <c r="A13107" t="inlineStr">
        <is>
          <t>Escolta</t>
        </is>
      </c>
    </row>
    <row r="13108" spans="1:1">
      <c r="A13108" t="inlineStr">
        <is>
          <t>Gomez</t>
        </is>
      </c>
    </row>
    <row r="13109" spans="1:1">
      <c r="A13109" t="inlineStr">
        <is>
          <t>Justiniana Edera</t>
        </is>
      </c>
    </row>
    <row r="13110" spans="1:1">
      <c r="A13110" t="inlineStr">
        <is>
          <t>Magsaysay</t>
        </is>
      </c>
    </row>
    <row r="13111" spans="1:1">
      <c r="A13111" t="inlineStr">
        <is>
          <t>Mauswagon</t>
        </is>
      </c>
    </row>
    <row r="13112" spans="1:1">
      <c r="A13112" t="inlineStr">
        <is>
          <t>New Mabuhay</t>
        </is>
      </c>
    </row>
    <row r="13113" spans="1:1">
      <c r="A13113" t="inlineStr">
        <is>
          <t>Wadas</t>
        </is>
      </c>
    </row>
    <row r="13114" spans="1:1">
      <c r="A13114" t="inlineStr">
        <is>
          <t>White Beach</t>
        </is>
      </c>
    </row>
    <row r="13115" spans="1:1">
      <c r="A13115" t="inlineStr">
        <is>
          <t>Albor</t>
        </is>
      </c>
    </row>
    <row r="13116" spans="1:1">
      <c r="A13116" t="inlineStr">
        <is>
          <t>Arellano</t>
        </is>
      </c>
    </row>
    <row r="13117" spans="1:1">
      <c r="A13117" t="inlineStr">
        <is>
          <t>Bayanihan</t>
        </is>
      </c>
    </row>
    <row r="13118" spans="1:1">
      <c r="A13118" t="inlineStr">
        <is>
          <t>Doña Helen</t>
        </is>
      </c>
    </row>
    <row r="13119" spans="1:1">
      <c r="A13119" t="inlineStr">
        <is>
          <t>Garcia</t>
        </is>
      </c>
    </row>
    <row r="13120" spans="1:1">
      <c r="A13120" t="inlineStr">
        <is>
          <t>General Aguinaldo</t>
        </is>
      </c>
    </row>
    <row r="13121" spans="1:1">
      <c r="A13121" t="inlineStr">
        <is>
          <t>Kanihaan</t>
        </is>
      </c>
    </row>
    <row r="13122" spans="1:1">
      <c r="A13122" t="inlineStr">
        <is>
          <t>Llamera</t>
        </is>
      </c>
    </row>
    <row r="13123" spans="1:1">
      <c r="A13123" t="inlineStr">
        <is>
          <t>Magsaysay</t>
        </is>
      </c>
    </row>
    <row r="13124" spans="1:1">
      <c r="A13124" t="inlineStr">
        <is>
          <t>Osmeña</t>
        </is>
      </c>
    </row>
    <row r="13125" spans="1:1">
      <c r="A13125" t="inlineStr">
        <is>
          <t>Plaridel</t>
        </is>
      </c>
    </row>
    <row r="13126" spans="1:1">
      <c r="A13126" t="inlineStr">
        <is>
          <t>Quezon</t>
        </is>
      </c>
    </row>
    <row r="13127" spans="1:1">
      <c r="A13127" t="inlineStr">
        <is>
          <t>Rosita</t>
        </is>
      </c>
    </row>
    <row r="13128" spans="1:1">
      <c r="A13128" t="inlineStr">
        <is>
          <t>San Antonio</t>
        </is>
      </c>
    </row>
    <row r="13129" spans="1:1">
      <c r="A13129" t="inlineStr">
        <is>
          <t>San Jose</t>
        </is>
      </c>
    </row>
    <row r="13130" spans="1:1">
      <c r="A13130" t="inlineStr">
        <is>
          <t>Santo Niño</t>
        </is>
      </c>
    </row>
    <row r="13131" spans="1:1">
      <c r="A13131" t="inlineStr">
        <is>
          <t>Carmen</t>
        </is>
      </c>
    </row>
    <row r="13132" spans="1:1">
      <c r="A13132" t="inlineStr">
        <is>
          <t>Esperanza</t>
        </is>
      </c>
    </row>
    <row r="13133" spans="1:1">
      <c r="A13133" t="inlineStr">
        <is>
          <t>Ferdinand</t>
        </is>
      </c>
    </row>
    <row r="13134" spans="1:1">
      <c r="A13134" t="inlineStr">
        <is>
          <t>Helene</t>
        </is>
      </c>
    </row>
    <row r="13135" spans="1:1">
      <c r="A13135" t="inlineStr">
        <is>
          <t>Liberty</t>
        </is>
      </c>
    </row>
    <row r="13136" spans="1:1">
      <c r="A13136" t="inlineStr">
        <is>
          <t>Magsaysay</t>
        </is>
      </c>
    </row>
    <row r="13137" spans="1:1">
      <c r="A13137" t="inlineStr">
        <is>
          <t>Panamaon</t>
        </is>
      </c>
    </row>
    <row r="13138" spans="1:1">
      <c r="A13138" t="inlineStr">
        <is>
          <t>San Juan</t>
        </is>
      </c>
    </row>
    <row r="13139" spans="1:1">
      <c r="A13139" t="inlineStr">
        <is>
          <t>Santa Cruz</t>
        </is>
      </c>
    </row>
    <row r="13140" spans="1:1">
      <c r="A13140" t="inlineStr">
        <is>
          <t>Santiago</t>
        </is>
      </c>
    </row>
    <row r="13141" spans="1:1">
      <c r="A13141" t="inlineStr">
        <is>
          <t>Aurelio</t>
        </is>
      </c>
    </row>
    <row r="13142" spans="1:1">
      <c r="A13142" t="inlineStr">
        <is>
          <t>Cuarinta</t>
        </is>
      </c>
    </row>
    <row r="13143" spans="1:1">
      <c r="A13143" t="inlineStr">
        <is>
          <t>Don Ruben Ecleo</t>
        </is>
      </c>
    </row>
    <row r="13144" spans="1:1">
      <c r="A13144" t="inlineStr">
        <is>
          <t>Jacquez</t>
        </is>
      </c>
    </row>
    <row r="13145" spans="1:1">
      <c r="A13145" t="inlineStr">
        <is>
          <t>Justiniana Edera</t>
        </is>
      </c>
    </row>
    <row r="13146" spans="1:1">
      <c r="A13146" t="inlineStr">
        <is>
          <t>Luna</t>
        </is>
      </c>
    </row>
    <row r="13147" spans="1:1">
      <c r="A13147" t="inlineStr">
        <is>
          <t>Mahayahay</t>
        </is>
      </c>
    </row>
    <row r="13148" spans="1:1">
      <c r="A13148" t="inlineStr">
        <is>
          <t>Matingbe</t>
        </is>
      </c>
    </row>
    <row r="13149" spans="1:1">
      <c r="A13149" t="inlineStr">
        <is>
          <t>San Jose</t>
        </is>
      </c>
    </row>
    <row r="13150" spans="1:1">
      <c r="A13150" t="inlineStr">
        <is>
          <t>San Juan</t>
        </is>
      </c>
    </row>
    <row r="13151" spans="1:1">
      <c r="A13151" t="inlineStr">
        <is>
          <t>Santa Cruz</t>
        </is>
      </c>
    </row>
    <row r="13152" spans="1:1">
      <c r="A13152" t="inlineStr">
        <is>
          <t>Wilson</t>
        </is>
      </c>
    </row>
    <row r="13153" spans="1:1">
      <c r="A13153" t="inlineStr">
        <is>
          <t>Diaz</t>
        </is>
      </c>
    </row>
    <row r="13154" spans="1:1">
      <c r="A13154" t="inlineStr">
        <is>
          <t>Imelda</t>
        </is>
      </c>
    </row>
    <row r="13155" spans="1:1">
      <c r="A13155" t="inlineStr">
        <is>
          <t>Mabini</t>
        </is>
      </c>
    </row>
    <row r="13156" spans="1:1">
      <c r="A13156" t="inlineStr">
        <is>
          <t>Malinao</t>
        </is>
      </c>
    </row>
    <row r="13157" spans="1:1">
      <c r="A13157" t="inlineStr">
        <is>
          <t>Navarro</t>
        </is>
      </c>
    </row>
    <row r="13158" spans="1:1">
      <c r="A13158" t="inlineStr">
        <is>
          <t>Roxas</t>
        </is>
      </c>
    </row>
    <row r="13159" spans="1:1">
      <c r="A13159" t="inlineStr">
        <is>
          <t>San Roque</t>
        </is>
      </c>
    </row>
    <row r="13160" spans="1:1">
      <c r="A13160" t="inlineStr">
        <is>
          <t>San Vicente</t>
        </is>
      </c>
    </row>
    <row r="13161" spans="1:1">
      <c r="A13161" t="inlineStr">
        <is>
          <t>Santa Cruz</t>
        </is>
      </c>
    </row>
    <row r="13162" spans="1:1">
      <c r="A13162" t="inlineStr">
        <is>
          <t>Aguinaldo</t>
        </is>
      </c>
    </row>
    <row r="13163" spans="1:1">
      <c r="A13163" t="inlineStr">
        <is>
          <t>Balud</t>
        </is>
      </c>
    </row>
    <row r="13164" spans="1:1">
      <c r="A13164" t="inlineStr">
        <is>
          <t>Bato</t>
        </is>
      </c>
    </row>
    <row r="13165" spans="1:1">
      <c r="A13165" t="inlineStr">
        <is>
          <t>Beri</t>
        </is>
      </c>
    </row>
    <row r="13166" spans="1:1">
      <c r="A13166" t="inlineStr">
        <is>
          <t>Bigo</t>
        </is>
      </c>
    </row>
    <row r="13167" spans="1:1">
      <c r="A13167" t="inlineStr">
        <is>
          <t>Buenavista</t>
        </is>
      </c>
    </row>
    <row r="13168" spans="1:1">
      <c r="A13168" t="inlineStr">
        <is>
          <t>Cagsalay</t>
        </is>
      </c>
    </row>
    <row r="13169" spans="1:1">
      <c r="A13169" t="inlineStr">
        <is>
          <t>Campacion</t>
        </is>
      </c>
    </row>
    <row r="13170" spans="1:1">
      <c r="A13170" t="inlineStr">
        <is>
          <t>Carapdapan</t>
        </is>
      </c>
    </row>
    <row r="13171" spans="1:1">
      <c r="A13171" t="inlineStr">
        <is>
          <t>Casidman</t>
        </is>
      </c>
    </row>
    <row r="13172" spans="1:1">
      <c r="A13172" t="inlineStr">
        <is>
          <t>Catumsan</t>
        </is>
      </c>
    </row>
    <row r="13173" spans="1:1">
      <c r="A13173" t="inlineStr">
        <is>
          <t>Central</t>
        </is>
      </c>
    </row>
    <row r="13174" spans="1:1">
      <c r="A13174" t="inlineStr">
        <is>
          <t>Concepcion</t>
        </is>
      </c>
    </row>
    <row r="13175" spans="1:1">
      <c r="A13175" t="inlineStr">
        <is>
          <t>Garden</t>
        </is>
      </c>
    </row>
    <row r="13176" spans="1:1">
      <c r="A13176" t="inlineStr">
        <is>
          <t>Inayawan</t>
        </is>
      </c>
    </row>
    <row r="13177" spans="1:1">
      <c r="A13177" t="inlineStr">
        <is>
          <t>Macarthur</t>
        </is>
      </c>
    </row>
    <row r="13178" spans="1:1">
      <c r="A13178" t="inlineStr">
        <is>
          <t>Rawis</t>
        </is>
      </c>
    </row>
    <row r="13179" spans="1:1">
      <c r="A13179" t="inlineStr">
        <is>
          <t>Tangbo</t>
        </is>
      </c>
    </row>
    <row r="13180" spans="1:1">
      <c r="A13180" t="inlineStr">
        <is>
          <t>Tawagan</t>
        </is>
      </c>
    </row>
    <row r="13181" spans="1:1">
      <c r="A13181" t="inlineStr">
        <is>
          <t>Tebalawon</t>
        </is>
      </c>
    </row>
    <row r="13182" spans="1:1">
      <c r="A13182" t="inlineStr">
        <is>
          <t>Bacjao</t>
        </is>
      </c>
    </row>
    <row r="13183" spans="1:1">
      <c r="A13183" t="inlineStr">
        <is>
          <t>Barangay Poblacion I</t>
        </is>
      </c>
    </row>
    <row r="13184" spans="1:1">
      <c r="A13184" t="inlineStr">
        <is>
          <t>Barangay Poblacion II</t>
        </is>
      </c>
    </row>
    <row r="13185" spans="1:1">
      <c r="A13185" t="inlineStr">
        <is>
          <t>Barangay Poblacion III</t>
        </is>
      </c>
    </row>
    <row r="13186" spans="1:1">
      <c r="A13186" t="inlineStr">
        <is>
          <t>Barangay Poblacion IV</t>
        </is>
      </c>
    </row>
    <row r="13187" spans="1:1">
      <c r="A13187" t="inlineStr">
        <is>
          <t>Barangay Poblacion V</t>
        </is>
      </c>
    </row>
    <row r="13188" spans="1:1">
      <c r="A13188" t="inlineStr">
        <is>
          <t>Barangay Poblacion VI</t>
        </is>
      </c>
    </row>
    <row r="13189" spans="1:1">
      <c r="A13189" t="inlineStr">
        <is>
          <t>Cag-olango</t>
        </is>
      </c>
    </row>
    <row r="13190" spans="1:1">
      <c r="A13190" t="inlineStr">
        <is>
          <t>Cansumangcay</t>
        </is>
      </c>
    </row>
    <row r="13191" spans="1:1">
      <c r="A13191" t="inlineStr">
        <is>
          <t>Guinmaayohan</t>
        </is>
      </c>
    </row>
    <row r="13192" spans="1:1">
      <c r="A13192" t="inlineStr">
        <is>
          <t>Maybunga</t>
        </is>
      </c>
    </row>
    <row r="13193" spans="1:1">
      <c r="A13193" t="inlineStr">
        <is>
          <t>San Miguel</t>
        </is>
      </c>
    </row>
    <row r="13194" spans="1:1">
      <c r="A13194" t="inlineStr">
        <is>
          <t>Santa Rosa</t>
        </is>
      </c>
    </row>
    <row r="13195" spans="1:1">
      <c r="A13195" t="inlineStr">
        <is>
          <t>Balogo</t>
        </is>
      </c>
    </row>
    <row r="13196" spans="1:1">
      <c r="A13196" t="inlineStr">
        <is>
          <t>Bangon</t>
        </is>
      </c>
    </row>
    <row r="13197" spans="1:1">
      <c r="A13197" t="inlineStr">
        <is>
          <t>Cabay</t>
        </is>
      </c>
    </row>
    <row r="13198" spans="1:1">
      <c r="A13198" t="inlineStr">
        <is>
          <t>Caisawan</t>
        </is>
      </c>
    </row>
    <row r="13199" spans="1:1">
      <c r="A13199" t="inlineStr">
        <is>
          <t>Cantubi</t>
        </is>
      </c>
    </row>
    <row r="13200" spans="1:1">
      <c r="A13200" t="inlineStr">
        <is>
          <t>General Malvar</t>
        </is>
      </c>
    </row>
    <row r="13201" spans="1:1">
      <c r="A13201" t="inlineStr">
        <is>
          <t>Guinpoliran</t>
        </is>
      </c>
    </row>
    <row r="13202" spans="1:1">
      <c r="A13202" t="inlineStr">
        <is>
          <t>Julag</t>
        </is>
      </c>
    </row>
    <row r="13203" spans="1:1">
      <c r="A13203" t="inlineStr">
        <is>
          <t>Magsaysay</t>
        </is>
      </c>
    </row>
    <row r="13204" spans="1:1">
      <c r="A13204" t="inlineStr">
        <is>
          <t>Maramag</t>
        </is>
      </c>
    </row>
    <row r="13205" spans="1:1">
      <c r="A13205" t="inlineStr">
        <is>
          <t>Poblacion I</t>
        </is>
      </c>
    </row>
    <row r="13206" spans="1:1">
      <c r="A13206" t="inlineStr">
        <is>
          <t>Poblacion II</t>
        </is>
      </c>
    </row>
    <row r="13207" spans="1:1">
      <c r="A13207" t="inlineStr">
        <is>
          <t>Poblacion III</t>
        </is>
      </c>
    </row>
    <row r="13208" spans="1:1">
      <c r="A13208" t="inlineStr">
        <is>
          <t>Poblacion IV</t>
        </is>
      </c>
    </row>
    <row r="13209" spans="1:1">
      <c r="A13209" t="inlineStr">
        <is>
          <t>Poblacion V</t>
        </is>
      </c>
    </row>
    <row r="13210" spans="1:1">
      <c r="A13210" t="inlineStr">
        <is>
          <t>Balagon</t>
        </is>
      </c>
    </row>
    <row r="13211" spans="1:1">
      <c r="A13211" t="inlineStr">
        <is>
          <t>Barangay 1 Poblacion</t>
        </is>
      </c>
    </row>
    <row r="13212" spans="1:1">
      <c r="A13212" t="inlineStr">
        <is>
          <t>Barangay 10 Poblacion</t>
        </is>
      </c>
    </row>
    <row r="13213" spans="1:1">
      <c r="A13213" t="inlineStr">
        <is>
          <t>Barangay 2 Poblacion</t>
        </is>
      </c>
    </row>
    <row r="13214" spans="1:1">
      <c r="A13214" t="inlineStr">
        <is>
          <t>Barangay 3 Poblacion</t>
        </is>
      </c>
    </row>
    <row r="13215" spans="1:1">
      <c r="A13215" t="inlineStr">
        <is>
          <t>Barangay 4 Poblacion</t>
        </is>
      </c>
    </row>
    <row r="13216" spans="1:1">
      <c r="A13216" t="inlineStr">
        <is>
          <t>Barangay 5 Poblacion</t>
        </is>
      </c>
    </row>
    <row r="13217" spans="1:1">
      <c r="A13217" t="inlineStr">
        <is>
          <t>Barangay 6 Poblacion</t>
        </is>
      </c>
    </row>
    <row r="13218" spans="1:1">
      <c r="A13218" t="inlineStr">
        <is>
          <t>Barangay 7 Poblacion</t>
        </is>
      </c>
    </row>
    <row r="13219" spans="1:1">
      <c r="A13219" t="inlineStr">
        <is>
          <t>Barangay 8 Poblacion</t>
        </is>
      </c>
    </row>
    <row r="13220" spans="1:1">
      <c r="A13220" t="inlineStr">
        <is>
          <t>Barangay 9 Poblacion</t>
        </is>
      </c>
    </row>
    <row r="13221" spans="1:1">
      <c r="A13221" t="inlineStr">
        <is>
          <t>Baruk</t>
        </is>
      </c>
    </row>
    <row r="13222" spans="1:1">
      <c r="A13222" t="inlineStr">
        <is>
          <t>Boco</t>
        </is>
      </c>
    </row>
    <row r="13223" spans="1:1">
      <c r="A13223" t="inlineStr">
        <is>
          <t>Caghalong</t>
        </is>
      </c>
    </row>
    <row r="13224" spans="1:1">
      <c r="A13224" t="inlineStr">
        <is>
          <t>Camantang</t>
        </is>
      </c>
    </row>
    <row r="13225" spans="1:1">
      <c r="A13225" t="inlineStr">
        <is>
          <t>Can-ilay</t>
        </is>
      </c>
    </row>
    <row r="13226" spans="1:1">
      <c r="A13226" t="inlineStr">
        <is>
          <t>Cansangaya</t>
        </is>
      </c>
    </row>
    <row r="13227" spans="1:1">
      <c r="A13227" t="inlineStr">
        <is>
          <t>Canteros</t>
        </is>
      </c>
    </row>
    <row r="13228" spans="1:1">
      <c r="A13228" t="inlineStr">
        <is>
          <t>Carolina</t>
        </is>
      </c>
    </row>
    <row r="13229" spans="1:1">
      <c r="A13229" t="inlineStr">
        <is>
          <t>Guibuangan</t>
        </is>
      </c>
    </row>
    <row r="13230" spans="1:1">
      <c r="A13230" t="inlineStr">
        <is>
          <t>Jepaco</t>
        </is>
      </c>
    </row>
    <row r="13231" spans="1:1">
      <c r="A13231" t="inlineStr">
        <is>
          <t>Mabuhay</t>
        </is>
      </c>
    </row>
    <row r="13232" spans="1:1">
      <c r="A13232" t="inlineStr">
        <is>
          <t>Malogo</t>
        </is>
      </c>
    </row>
    <row r="13233" spans="1:1">
      <c r="A13233" t="inlineStr">
        <is>
          <t>Obong</t>
        </is>
      </c>
    </row>
    <row r="13234" spans="1:1">
      <c r="A13234" t="inlineStr">
        <is>
          <t>Pandol</t>
        </is>
      </c>
    </row>
    <row r="13235" spans="1:1">
      <c r="A13235" t="inlineStr">
        <is>
          <t>Rawis</t>
        </is>
      </c>
    </row>
    <row r="13236" spans="1:1">
      <c r="A13236" t="inlineStr">
        <is>
          <t>Salvacion</t>
        </is>
      </c>
    </row>
    <row r="13237" spans="1:1">
      <c r="A13237" t="inlineStr">
        <is>
          <t>Solong</t>
        </is>
      </c>
    </row>
    <row r="13238" spans="1:1">
      <c r="A13238" t="inlineStr">
        <is>
          <t>Alang-alang</t>
        </is>
      </c>
    </row>
    <row r="13239" spans="1:1">
      <c r="A13239" t="inlineStr">
        <is>
          <t>Amantacop</t>
        </is>
      </c>
    </row>
    <row r="13240" spans="1:1">
      <c r="A13240" t="inlineStr">
        <is>
          <t>Ando</t>
        </is>
      </c>
    </row>
    <row r="13241" spans="1:1">
      <c r="A13241" t="inlineStr">
        <is>
          <t>Balacdas</t>
        </is>
      </c>
    </row>
    <row r="13242" spans="1:1">
      <c r="A13242" t="inlineStr">
        <is>
          <t>Balud</t>
        </is>
      </c>
    </row>
    <row r="13243" spans="1:1">
      <c r="A13243" t="inlineStr">
        <is>
          <t>Banuyo</t>
        </is>
      </c>
    </row>
    <row r="13244" spans="1:1">
      <c r="A13244" t="inlineStr">
        <is>
          <t>Baras</t>
        </is>
      </c>
    </row>
    <row r="13245" spans="1:1">
      <c r="A13245" t="inlineStr">
        <is>
          <t>Bato</t>
        </is>
      </c>
    </row>
    <row r="13246" spans="1:1">
      <c r="A13246" t="inlineStr">
        <is>
          <t>Bayobay</t>
        </is>
      </c>
    </row>
    <row r="13247" spans="1:1">
      <c r="A13247" t="inlineStr">
        <is>
          <t>Benowangan</t>
        </is>
      </c>
    </row>
    <row r="13248" spans="1:1">
      <c r="A13248" t="inlineStr">
        <is>
          <t>Bugas</t>
        </is>
      </c>
    </row>
    <row r="13249" spans="1:1">
      <c r="A13249" t="inlineStr">
        <is>
          <t>Cabalagnan</t>
        </is>
      </c>
    </row>
    <row r="13250" spans="1:1">
      <c r="A13250" t="inlineStr">
        <is>
          <t>Cabong</t>
        </is>
      </c>
    </row>
    <row r="13251" spans="1:1">
      <c r="A13251" t="inlineStr">
        <is>
          <t>Cagbonga</t>
        </is>
      </c>
    </row>
    <row r="13252" spans="1:1">
      <c r="A13252" t="inlineStr">
        <is>
          <t>Calico-an</t>
        </is>
      </c>
    </row>
    <row r="13253" spans="1:1">
      <c r="A13253" t="inlineStr">
        <is>
          <t>Calingatngan</t>
        </is>
      </c>
    </row>
    <row r="13254" spans="1:1">
      <c r="A13254" t="inlineStr">
        <is>
          <t>Camada</t>
        </is>
      </c>
    </row>
    <row r="13255" spans="1:1">
      <c r="A13255" t="inlineStr">
        <is>
          <t>Campesao</t>
        </is>
      </c>
    </row>
    <row r="13256" spans="1:1">
      <c r="A13256" t="inlineStr">
        <is>
          <t>Can-abong</t>
        </is>
      </c>
    </row>
    <row r="13257" spans="1:1">
      <c r="A13257" t="inlineStr">
        <is>
          <t>Can-aga</t>
        </is>
      </c>
    </row>
    <row r="13258" spans="1:1">
      <c r="A13258" t="inlineStr">
        <is>
          <t>Canjaway</t>
        </is>
      </c>
    </row>
    <row r="13259" spans="1:1">
      <c r="A13259" t="inlineStr">
        <is>
          <t>Canlaray</t>
        </is>
      </c>
    </row>
    <row r="13260" spans="1:1">
      <c r="A13260" t="inlineStr">
        <is>
          <t>Canyopay</t>
        </is>
      </c>
    </row>
    <row r="13261" spans="1:1">
      <c r="A13261" t="inlineStr">
        <is>
          <t>Divinubo</t>
        </is>
      </c>
    </row>
    <row r="13262" spans="1:1">
      <c r="A13262" t="inlineStr">
        <is>
          <t>Hebacong</t>
        </is>
      </c>
    </row>
    <row r="13263" spans="1:1">
      <c r="A13263" t="inlineStr">
        <is>
          <t>Hindang</t>
        </is>
      </c>
    </row>
    <row r="13264" spans="1:1">
      <c r="A13264" t="inlineStr">
        <is>
          <t>Lalawigan</t>
        </is>
      </c>
    </row>
    <row r="13265" spans="1:1">
      <c r="A13265" t="inlineStr">
        <is>
          <t>Libuton</t>
        </is>
      </c>
    </row>
    <row r="13266" spans="1:1">
      <c r="A13266" t="inlineStr">
        <is>
          <t>Locso-on</t>
        </is>
      </c>
    </row>
    <row r="13267" spans="1:1">
      <c r="A13267" t="inlineStr">
        <is>
          <t>Maybacong</t>
        </is>
      </c>
    </row>
    <row r="13268" spans="1:1">
      <c r="A13268" t="inlineStr">
        <is>
          <t>Maypangdan</t>
        </is>
      </c>
    </row>
    <row r="13269" spans="1:1">
      <c r="A13269" t="inlineStr">
        <is>
          <t>Pepelitan</t>
        </is>
      </c>
    </row>
    <row r="13270" spans="1:1">
      <c r="A13270" t="inlineStr">
        <is>
          <t>Pinanag-an</t>
        </is>
      </c>
    </row>
    <row r="13271" spans="1:1">
      <c r="A13271" t="inlineStr">
        <is>
          <t>Punta Maria</t>
        </is>
      </c>
    </row>
    <row r="13272" spans="1:1">
      <c r="A13272" t="inlineStr">
        <is>
          <t>Purok A</t>
        </is>
      </c>
    </row>
    <row r="13273" spans="1:1">
      <c r="A13273" t="inlineStr">
        <is>
          <t>Purok B</t>
        </is>
      </c>
    </row>
    <row r="13274" spans="1:1">
      <c r="A13274" t="inlineStr">
        <is>
          <t>Purok C</t>
        </is>
      </c>
    </row>
    <row r="13275" spans="1:1">
      <c r="A13275" t="inlineStr">
        <is>
          <t>Purok D1</t>
        </is>
      </c>
    </row>
    <row r="13276" spans="1:1">
      <c r="A13276" t="inlineStr">
        <is>
          <t>Purok D2</t>
        </is>
      </c>
    </row>
    <row r="13277" spans="1:1">
      <c r="A13277" t="inlineStr">
        <is>
          <t>Purok E</t>
        </is>
      </c>
    </row>
    <row r="13278" spans="1:1">
      <c r="A13278" t="inlineStr">
        <is>
          <t>Purok F</t>
        </is>
      </c>
    </row>
    <row r="13279" spans="1:1">
      <c r="A13279" t="inlineStr">
        <is>
          <t>Purok G</t>
        </is>
      </c>
    </row>
    <row r="13280" spans="1:1">
      <c r="A13280" t="inlineStr">
        <is>
          <t>Purok H</t>
        </is>
      </c>
    </row>
    <row r="13281" spans="1:1">
      <c r="A13281" t="inlineStr">
        <is>
          <t>Sabang North</t>
        </is>
      </c>
    </row>
    <row r="13282" spans="1:1">
      <c r="A13282" t="inlineStr">
        <is>
          <t>Sabang South</t>
        </is>
      </c>
    </row>
    <row r="13283" spans="1:1">
      <c r="A13283" t="inlineStr">
        <is>
          <t>San Andres</t>
        </is>
      </c>
    </row>
    <row r="13284" spans="1:1">
      <c r="A13284" t="inlineStr">
        <is>
          <t>San Gabriel</t>
        </is>
      </c>
    </row>
    <row r="13285" spans="1:1">
      <c r="A13285" t="inlineStr">
        <is>
          <t>San Gregorio</t>
        </is>
      </c>
    </row>
    <row r="13286" spans="1:1">
      <c r="A13286" t="inlineStr">
        <is>
          <t>San Jose</t>
        </is>
      </c>
    </row>
    <row r="13287" spans="1:1">
      <c r="A13287" t="inlineStr">
        <is>
          <t>San Mateo</t>
        </is>
      </c>
    </row>
    <row r="13288" spans="1:1">
      <c r="A13288" t="inlineStr">
        <is>
          <t>San Pablo</t>
        </is>
      </c>
    </row>
    <row r="13289" spans="1:1">
      <c r="A13289" t="inlineStr">
        <is>
          <t>San Saturnino</t>
        </is>
      </c>
    </row>
    <row r="13290" spans="1:1">
      <c r="A13290" t="inlineStr">
        <is>
          <t>Santa Fe</t>
        </is>
      </c>
    </row>
    <row r="13291" spans="1:1">
      <c r="A13291" t="inlineStr">
        <is>
          <t>Siha</t>
        </is>
      </c>
    </row>
    <row r="13292" spans="1:1">
      <c r="A13292" t="inlineStr">
        <is>
          <t>Sohutan</t>
        </is>
      </c>
    </row>
    <row r="13293" spans="1:1">
      <c r="A13293" t="inlineStr">
        <is>
          <t>Songco</t>
        </is>
      </c>
    </row>
    <row r="13294" spans="1:1">
      <c r="A13294" t="inlineStr">
        <is>
          <t>Suribao</t>
        </is>
      </c>
    </row>
    <row r="13295" spans="1:1">
      <c r="A13295" t="inlineStr">
        <is>
          <t>Surok</t>
        </is>
      </c>
    </row>
    <row r="13296" spans="1:1">
      <c r="A13296" t="inlineStr">
        <is>
          <t>Taboc</t>
        </is>
      </c>
    </row>
    <row r="13297" spans="1:1">
      <c r="A13297" t="inlineStr">
        <is>
          <t>Tabunan</t>
        </is>
      </c>
    </row>
    <row r="13298" spans="1:1">
      <c r="A13298" t="inlineStr">
        <is>
          <t>Tamoso</t>
        </is>
      </c>
    </row>
    <row r="13299" spans="1:1">
      <c r="A13299" t="inlineStr">
        <is>
          <t>Aroganga</t>
        </is>
      </c>
    </row>
    <row r="13300" spans="1:1">
      <c r="A13300" t="inlineStr">
        <is>
          <t>Barangay 1</t>
        </is>
      </c>
    </row>
    <row r="13301" spans="1:1">
      <c r="A13301" t="inlineStr">
        <is>
          <t>Barangay 10</t>
        </is>
      </c>
    </row>
    <row r="13302" spans="1:1">
      <c r="A13302" t="inlineStr">
        <is>
          <t>Barangay 11</t>
        </is>
      </c>
    </row>
    <row r="13303" spans="1:1">
      <c r="A13303" t="inlineStr">
        <is>
          <t>Barangay 12</t>
        </is>
      </c>
    </row>
    <row r="13304" spans="1:1">
      <c r="A13304" t="inlineStr">
        <is>
          <t>Barangay 13</t>
        </is>
      </c>
    </row>
    <row r="13305" spans="1:1">
      <c r="A13305" t="inlineStr">
        <is>
          <t>Barangay 14</t>
        </is>
      </c>
    </row>
    <row r="13306" spans="1:1">
      <c r="A13306" t="inlineStr">
        <is>
          <t>Barangay 15</t>
        </is>
      </c>
    </row>
    <row r="13307" spans="1:1">
      <c r="A13307" t="inlineStr">
        <is>
          <t>Barangay 2</t>
        </is>
      </c>
    </row>
    <row r="13308" spans="1:1">
      <c r="A13308" t="inlineStr">
        <is>
          <t>Barangay 3</t>
        </is>
      </c>
    </row>
    <row r="13309" spans="1:1">
      <c r="A13309" t="inlineStr">
        <is>
          <t>Barangay 4</t>
        </is>
      </c>
    </row>
    <row r="13310" spans="1:1">
      <c r="A13310" t="inlineStr">
        <is>
          <t>Barangay 5</t>
        </is>
      </c>
    </row>
    <row r="13311" spans="1:1">
      <c r="A13311" t="inlineStr">
        <is>
          <t>Barangay 6</t>
        </is>
      </c>
    </row>
    <row r="13312" spans="1:1">
      <c r="A13312" t="inlineStr">
        <is>
          <t>Barangay 7</t>
        </is>
      </c>
    </row>
    <row r="13313" spans="1:1">
      <c r="A13313" t="inlineStr">
        <is>
          <t>Barangay 8</t>
        </is>
      </c>
    </row>
    <row r="13314" spans="1:1">
      <c r="A13314" t="inlineStr">
        <is>
          <t>Barangay 9</t>
        </is>
      </c>
    </row>
    <row r="13315" spans="1:1">
      <c r="A13315" t="inlineStr">
        <is>
          <t>Bonghon</t>
        </is>
      </c>
    </row>
    <row r="13316" spans="1:1">
      <c r="A13316" t="inlineStr">
        <is>
          <t>Buenavista</t>
        </is>
      </c>
    </row>
    <row r="13317" spans="1:1">
      <c r="A13317" t="inlineStr">
        <is>
          <t>Cabago-an</t>
        </is>
      </c>
    </row>
    <row r="13318" spans="1:1">
      <c r="A13318" t="inlineStr">
        <is>
          <t>Caglao-an</t>
        </is>
      </c>
    </row>
    <row r="13319" spans="1:1">
      <c r="A13319" t="inlineStr">
        <is>
          <t>Cagtabon</t>
        </is>
      </c>
    </row>
    <row r="13320" spans="1:1">
      <c r="A13320" t="inlineStr">
        <is>
          <t>Dampigan</t>
        </is>
      </c>
    </row>
    <row r="13321" spans="1:1">
      <c r="A13321" t="inlineStr">
        <is>
          <t>Dapdap</t>
        </is>
      </c>
    </row>
    <row r="13322" spans="1:1">
      <c r="A13322" t="inlineStr">
        <is>
          <t>Del Pilar</t>
        </is>
      </c>
    </row>
    <row r="13323" spans="1:1">
      <c r="A13323" t="inlineStr">
        <is>
          <t>Denigpian</t>
        </is>
      </c>
    </row>
    <row r="13324" spans="1:1">
      <c r="A13324" t="inlineStr">
        <is>
          <t>Gap-ang</t>
        </is>
      </c>
    </row>
    <row r="13325" spans="1:1">
      <c r="A13325" t="inlineStr">
        <is>
          <t>Hilabaan</t>
        </is>
      </c>
    </row>
    <row r="13326" spans="1:1">
      <c r="A13326" t="inlineStr">
        <is>
          <t>Hinolaso</t>
        </is>
      </c>
    </row>
    <row r="13327" spans="1:1">
      <c r="A13327" t="inlineStr">
        <is>
          <t>Japitan</t>
        </is>
      </c>
    </row>
    <row r="13328" spans="1:1">
      <c r="A13328" t="inlineStr">
        <is>
          <t>Jicontol</t>
        </is>
      </c>
    </row>
    <row r="13329" spans="1:1">
      <c r="A13329" t="inlineStr">
        <is>
          <t>Libertad</t>
        </is>
      </c>
    </row>
    <row r="13330" spans="1:1">
      <c r="A13330" t="inlineStr">
        <is>
          <t>Magongbong</t>
        </is>
      </c>
    </row>
    <row r="13331" spans="1:1">
      <c r="A13331" t="inlineStr">
        <is>
          <t>Magsaysay</t>
        </is>
      </c>
    </row>
    <row r="13332" spans="1:1">
      <c r="A13332" t="inlineStr">
        <is>
          <t>Malaintos</t>
        </is>
      </c>
    </row>
    <row r="13333" spans="1:1">
      <c r="A13333" t="inlineStr">
        <is>
          <t>Malobago</t>
        </is>
      </c>
    </row>
    <row r="13334" spans="1:1">
      <c r="A13334" t="inlineStr">
        <is>
          <t>Osmeña</t>
        </is>
      </c>
    </row>
    <row r="13335" spans="1:1">
      <c r="A13335" t="inlineStr">
        <is>
          <t>Rizal</t>
        </is>
      </c>
    </row>
    <row r="13336" spans="1:1">
      <c r="A13336" t="inlineStr">
        <is>
          <t>San Isidro</t>
        </is>
      </c>
    </row>
    <row r="13337" spans="1:1">
      <c r="A13337" t="inlineStr">
        <is>
          <t>San Pascual</t>
        </is>
      </c>
    </row>
    <row r="13338" spans="1:1">
      <c r="A13338" t="inlineStr">
        <is>
          <t>San Roque</t>
        </is>
      </c>
    </row>
    <row r="13339" spans="1:1">
      <c r="A13339" t="inlineStr">
        <is>
          <t>San Vicente</t>
        </is>
      </c>
    </row>
    <row r="13340" spans="1:1">
      <c r="A13340" t="inlineStr">
        <is>
          <t>Santa Cruz</t>
        </is>
      </c>
    </row>
    <row r="13341" spans="1:1">
      <c r="A13341" t="inlineStr">
        <is>
          <t>Santo Niño</t>
        </is>
      </c>
    </row>
    <row r="13342" spans="1:1">
      <c r="A13342" t="inlineStr">
        <is>
          <t>Tanauan</t>
        </is>
      </c>
    </row>
    <row r="13343" spans="1:1">
      <c r="A13343" t="inlineStr">
        <is>
          <t>Tikling</t>
        </is>
      </c>
    </row>
    <row r="13344" spans="1:1">
      <c r="A13344" t="inlineStr">
        <is>
          <t>Villahermosa</t>
        </is>
      </c>
    </row>
    <row r="13345" spans="1:1">
      <c r="A13345" t="inlineStr">
        <is>
          <t>Aguinaldo</t>
        </is>
      </c>
    </row>
    <row r="13346" spans="1:1">
      <c r="A13346" t="inlineStr">
        <is>
          <t>Alang-alang</t>
        </is>
      </c>
    </row>
    <row r="13347" spans="1:1">
      <c r="A13347" t="inlineStr">
        <is>
          <t>Binalay</t>
        </is>
      </c>
    </row>
    <row r="13348" spans="1:1">
      <c r="A13348" t="inlineStr">
        <is>
          <t>Calutan</t>
        </is>
      </c>
    </row>
    <row r="13349" spans="1:1">
      <c r="A13349" t="inlineStr">
        <is>
          <t>Camcuevas</t>
        </is>
      </c>
    </row>
    <row r="13350" spans="1:1">
      <c r="A13350" t="inlineStr">
        <is>
          <t>Domrog</t>
        </is>
      </c>
    </row>
    <row r="13351" spans="1:1">
      <c r="A13351" t="inlineStr">
        <is>
          <t>Laurel</t>
        </is>
      </c>
    </row>
    <row r="13352" spans="1:1">
      <c r="A13352" t="inlineStr">
        <is>
          <t>Limbujan</t>
        </is>
      </c>
    </row>
    <row r="13353" spans="1:1">
      <c r="A13353" t="inlineStr">
        <is>
          <t>Macapagal</t>
        </is>
      </c>
    </row>
    <row r="13354" spans="1:1">
      <c r="A13354" t="inlineStr">
        <is>
          <t>Magsaysay</t>
        </is>
      </c>
    </row>
    <row r="13355" spans="1:1">
      <c r="A13355" t="inlineStr">
        <is>
          <t>Osmeña</t>
        </is>
      </c>
    </row>
    <row r="13356" spans="1:1">
      <c r="A13356" t="inlineStr">
        <is>
          <t>Pingan</t>
        </is>
      </c>
    </row>
    <row r="13357" spans="1:1">
      <c r="A13357" t="inlineStr">
        <is>
          <t>Poblacion Barangay 1</t>
        </is>
      </c>
    </row>
    <row r="13358" spans="1:1">
      <c r="A13358" t="inlineStr">
        <is>
          <t>Poblacion Barangay 2</t>
        </is>
      </c>
    </row>
    <row r="13359" spans="1:1">
      <c r="A13359" t="inlineStr">
        <is>
          <t>Poblacion Barangay 3</t>
        </is>
      </c>
    </row>
    <row r="13360" spans="1:1">
      <c r="A13360" t="inlineStr">
        <is>
          <t>Poblacion Barangay 4</t>
        </is>
      </c>
    </row>
    <row r="13361" spans="1:1">
      <c r="A13361" t="inlineStr">
        <is>
          <t>Poblacion Barangay 5</t>
        </is>
      </c>
    </row>
    <row r="13362" spans="1:1">
      <c r="A13362" t="inlineStr">
        <is>
          <t>Poblacion Barangay 6</t>
        </is>
      </c>
    </row>
    <row r="13363" spans="1:1">
      <c r="A13363" t="inlineStr">
        <is>
          <t>Poblacion Barangay 7</t>
        </is>
      </c>
    </row>
    <row r="13364" spans="1:1">
      <c r="A13364" t="inlineStr">
        <is>
          <t>Poblacion Barangay 8</t>
        </is>
      </c>
    </row>
    <row r="13365" spans="1:1">
      <c r="A13365" t="inlineStr">
        <is>
          <t>Quezon</t>
        </is>
      </c>
    </row>
    <row r="13366" spans="1:1">
      <c r="A13366" t="inlineStr">
        <is>
          <t>Quirino</t>
        </is>
      </c>
    </row>
    <row r="13367" spans="1:1">
      <c r="A13367" t="inlineStr">
        <is>
          <t>Roxas</t>
        </is>
      </c>
    </row>
    <row r="13368" spans="1:1">
      <c r="A13368" t="inlineStr">
        <is>
          <t>San Isidro</t>
        </is>
      </c>
    </row>
    <row r="13369" spans="1:1">
      <c r="A13369" t="inlineStr">
        <is>
          <t>San Roque</t>
        </is>
      </c>
    </row>
    <row r="13370" spans="1:1">
      <c r="A13370" t="inlineStr">
        <is>
          <t>Santa Cruz</t>
        </is>
      </c>
    </row>
    <row r="13371" spans="1:1">
      <c r="A13371" t="inlineStr">
        <is>
          <t>Santa Fe</t>
        </is>
      </c>
    </row>
    <row r="13372" spans="1:1">
      <c r="A13372" t="inlineStr">
        <is>
          <t>Tandang Sora</t>
        </is>
      </c>
    </row>
    <row r="13373" spans="1:1">
      <c r="A13373" t="inlineStr">
        <is>
          <t>Tugop</t>
        </is>
      </c>
    </row>
    <row r="13374" spans="1:1">
      <c r="A13374" t="inlineStr">
        <is>
          <t>Vigan</t>
        </is>
      </c>
    </row>
    <row r="13375" spans="1:1">
      <c r="A13375" t="inlineStr">
        <is>
          <t>Barangay 1</t>
        </is>
      </c>
    </row>
    <row r="13376" spans="1:1">
      <c r="A13376" t="inlineStr">
        <is>
          <t>Barangay 2</t>
        </is>
      </c>
    </row>
    <row r="13377" spans="1:1">
      <c r="A13377" t="inlineStr">
        <is>
          <t>Barangay 3</t>
        </is>
      </c>
    </row>
    <row r="13378" spans="1:1">
      <c r="A13378" t="inlineStr">
        <is>
          <t>Barangay 4</t>
        </is>
      </c>
    </row>
    <row r="13379" spans="1:1">
      <c r="A13379" t="inlineStr">
        <is>
          <t>Barangay 5</t>
        </is>
      </c>
    </row>
    <row r="13380" spans="1:1">
      <c r="A13380" t="inlineStr">
        <is>
          <t>Barangay 6</t>
        </is>
      </c>
    </row>
    <row r="13381" spans="1:1">
      <c r="A13381" t="inlineStr">
        <is>
          <t>Barangay 7</t>
        </is>
      </c>
    </row>
    <row r="13382" spans="1:1">
      <c r="A13382" t="inlineStr">
        <is>
          <t>Barangay 8</t>
        </is>
      </c>
    </row>
    <row r="13383" spans="1:1">
      <c r="A13383" t="inlineStr">
        <is>
          <t>Biga</t>
        </is>
      </c>
    </row>
    <row r="13384" spans="1:1">
      <c r="A13384" t="inlineStr">
        <is>
          <t>Coticot</t>
        </is>
      </c>
    </row>
    <row r="13385" spans="1:1">
      <c r="A13385" t="inlineStr">
        <is>
          <t>Gigoso</t>
        </is>
      </c>
    </row>
    <row r="13386" spans="1:1">
      <c r="A13386" t="inlineStr">
        <is>
          <t>Huknan</t>
        </is>
      </c>
    </row>
    <row r="13387" spans="1:1">
      <c r="A13387" t="inlineStr">
        <is>
          <t>Parina</t>
        </is>
      </c>
    </row>
    <row r="13388" spans="1:1">
      <c r="A13388" t="inlineStr">
        <is>
          <t>Paya</t>
        </is>
      </c>
    </row>
    <row r="13389" spans="1:1">
      <c r="A13389" t="inlineStr">
        <is>
          <t>President Roxas</t>
        </is>
      </c>
    </row>
    <row r="13390" spans="1:1">
      <c r="A13390" t="inlineStr">
        <is>
          <t>San Isidro</t>
        </is>
      </c>
    </row>
    <row r="13391" spans="1:1">
      <c r="A13391" t="inlineStr">
        <is>
          <t>San Miguel</t>
        </is>
      </c>
    </row>
    <row r="13392" spans="1:1">
      <c r="A13392" t="inlineStr">
        <is>
          <t>Santa Cruz</t>
        </is>
      </c>
    </row>
    <row r="13393" spans="1:1">
      <c r="A13393" t="inlineStr">
        <is>
          <t>Alingarog</t>
        </is>
      </c>
    </row>
    <row r="13394" spans="1:1">
      <c r="A13394" t="inlineStr">
        <is>
          <t>Bagua</t>
        </is>
      </c>
    </row>
    <row r="13395" spans="1:1">
      <c r="A13395" t="inlineStr">
        <is>
          <t>Banaag</t>
        </is>
      </c>
    </row>
    <row r="13396" spans="1:1">
      <c r="A13396" t="inlineStr">
        <is>
          <t>Banahao</t>
        </is>
      </c>
    </row>
    <row r="13397" spans="1:1">
      <c r="A13397" t="inlineStr">
        <is>
          <t>Baras</t>
        </is>
      </c>
    </row>
    <row r="13398" spans="1:1">
      <c r="A13398" t="inlineStr">
        <is>
          <t>Barbo</t>
        </is>
      </c>
    </row>
    <row r="13399" spans="1:1">
      <c r="A13399" t="inlineStr">
        <is>
          <t>Bitaugan</t>
        </is>
      </c>
    </row>
    <row r="13400" spans="1:1">
      <c r="A13400" t="inlineStr">
        <is>
          <t>Bucao</t>
        </is>
      </c>
    </row>
    <row r="13401" spans="1:1">
      <c r="A13401" t="inlineStr">
        <is>
          <t>Buenavista</t>
        </is>
      </c>
    </row>
    <row r="13402" spans="1:1">
      <c r="A13402" t="inlineStr">
        <is>
          <t>Bungtod</t>
        </is>
      </c>
    </row>
    <row r="13403" spans="1:1">
      <c r="A13403" t="inlineStr">
        <is>
          <t>Cagdara-o</t>
        </is>
      </c>
    </row>
    <row r="13404" spans="1:1">
      <c r="A13404" t="inlineStr">
        <is>
          <t>Cagusu-an</t>
        </is>
      </c>
    </row>
    <row r="13405" spans="1:1">
      <c r="A13405" t="inlineStr">
        <is>
          <t>Camparang</t>
        </is>
      </c>
    </row>
    <row r="13406" spans="1:1">
      <c r="A13406" t="inlineStr">
        <is>
          <t>Campoyong</t>
        </is>
      </c>
    </row>
    <row r="13407" spans="1:1">
      <c r="A13407" t="inlineStr">
        <is>
          <t>Canawayon</t>
        </is>
      </c>
    </row>
    <row r="13408" spans="1:1">
      <c r="A13408" t="inlineStr">
        <is>
          <t>Cantahay</t>
        </is>
      </c>
    </row>
    <row r="13409" spans="1:1">
      <c r="A13409" t="inlineStr">
        <is>
          <t>Casuguran</t>
        </is>
      </c>
    </row>
    <row r="13410" spans="1:1">
      <c r="A13410" t="inlineStr">
        <is>
          <t>Cogon</t>
        </is>
      </c>
    </row>
    <row r="13411" spans="1:1">
      <c r="A13411" t="inlineStr">
        <is>
          <t>Culasi</t>
        </is>
      </c>
    </row>
    <row r="13412" spans="1:1">
      <c r="A13412" t="inlineStr">
        <is>
          <t>Dalaragan</t>
        </is>
      </c>
    </row>
    <row r="13413" spans="1:1">
      <c r="A13413" t="inlineStr">
        <is>
          <t>Gahoy</t>
        </is>
      </c>
    </row>
    <row r="13414" spans="1:1">
      <c r="A13414" t="inlineStr">
        <is>
          <t>Habag</t>
        </is>
      </c>
    </row>
    <row r="13415" spans="1:1">
      <c r="A13415" t="inlineStr">
        <is>
          <t>Hagna</t>
        </is>
      </c>
    </row>
    <row r="13416" spans="1:1">
      <c r="A13416" t="inlineStr">
        <is>
          <t>Hamorawon</t>
        </is>
      </c>
    </row>
    <row r="13417" spans="1:1">
      <c r="A13417" t="inlineStr">
        <is>
          <t>Hollywood</t>
        </is>
      </c>
    </row>
    <row r="13418" spans="1:1">
      <c r="A13418" t="inlineStr">
        <is>
          <t>Inapulangan</t>
        </is>
      </c>
    </row>
    <row r="13419" spans="1:1">
      <c r="A13419" t="inlineStr">
        <is>
          <t>Lupok</t>
        </is>
      </c>
    </row>
    <row r="13420" spans="1:1">
      <c r="A13420" t="inlineStr">
        <is>
          <t>Mayana</t>
        </is>
      </c>
    </row>
    <row r="13421" spans="1:1">
      <c r="A13421" t="inlineStr">
        <is>
          <t>Ngolos</t>
        </is>
      </c>
    </row>
    <row r="13422" spans="1:1">
      <c r="A13422" t="inlineStr">
        <is>
          <t>Pagbabangnan</t>
        </is>
      </c>
    </row>
    <row r="13423" spans="1:1">
      <c r="A13423" t="inlineStr">
        <is>
          <t>Pagnamitan</t>
        </is>
      </c>
    </row>
    <row r="13424" spans="1:1">
      <c r="A13424" t="inlineStr">
        <is>
          <t>Poblacion Ward 1</t>
        </is>
      </c>
    </row>
    <row r="13425" spans="1:1">
      <c r="A13425" t="inlineStr">
        <is>
          <t>Poblacion Ward 10</t>
        </is>
      </c>
    </row>
    <row r="13426" spans="1:1">
      <c r="A13426" t="inlineStr">
        <is>
          <t>Poblacion Ward 11</t>
        </is>
      </c>
    </row>
    <row r="13427" spans="1:1">
      <c r="A13427" t="inlineStr">
        <is>
          <t>Poblacion Ward 12</t>
        </is>
      </c>
    </row>
    <row r="13428" spans="1:1">
      <c r="A13428" t="inlineStr">
        <is>
          <t>Poblacion Ward 2</t>
        </is>
      </c>
    </row>
    <row r="13429" spans="1:1">
      <c r="A13429" t="inlineStr">
        <is>
          <t>Poblacion Ward 3</t>
        </is>
      </c>
    </row>
    <row r="13430" spans="1:1">
      <c r="A13430" t="inlineStr">
        <is>
          <t>Poblacion Ward 4</t>
        </is>
      </c>
    </row>
    <row r="13431" spans="1:1">
      <c r="A13431" t="inlineStr">
        <is>
          <t>Poblacion Ward 4-A</t>
        </is>
      </c>
    </row>
    <row r="13432" spans="1:1">
      <c r="A13432" t="inlineStr">
        <is>
          <t>Poblacion Ward 5</t>
        </is>
      </c>
    </row>
    <row r="13433" spans="1:1">
      <c r="A13433" t="inlineStr">
        <is>
          <t>Poblacion Ward 6</t>
        </is>
      </c>
    </row>
    <row r="13434" spans="1:1">
      <c r="A13434" t="inlineStr">
        <is>
          <t>Poblacion Ward 7</t>
        </is>
      </c>
    </row>
    <row r="13435" spans="1:1">
      <c r="A13435" t="inlineStr">
        <is>
          <t>Poblacion Ward 8</t>
        </is>
      </c>
    </row>
    <row r="13436" spans="1:1">
      <c r="A13436" t="inlineStr">
        <is>
          <t>Poblacion Ward 9</t>
        </is>
      </c>
    </row>
    <row r="13437" spans="1:1">
      <c r="A13437" t="inlineStr">
        <is>
          <t>Poblacion Ward 9-A</t>
        </is>
      </c>
    </row>
    <row r="13438" spans="1:1">
      <c r="A13438" t="inlineStr">
        <is>
          <t>Salug</t>
        </is>
      </c>
    </row>
    <row r="13439" spans="1:1">
      <c r="A13439" t="inlineStr">
        <is>
          <t>San Antonio</t>
        </is>
      </c>
    </row>
    <row r="13440" spans="1:1">
      <c r="A13440" t="inlineStr">
        <is>
          <t>San Jose</t>
        </is>
      </c>
    </row>
    <row r="13441" spans="1:1">
      <c r="A13441" t="inlineStr">
        <is>
          <t>San Juan</t>
        </is>
      </c>
    </row>
    <row r="13442" spans="1:1">
      <c r="A13442" t="inlineStr">
        <is>
          <t>San Pedro</t>
        </is>
      </c>
    </row>
    <row r="13443" spans="1:1">
      <c r="A13443" t="inlineStr">
        <is>
          <t>Santo Niño</t>
        </is>
      </c>
    </row>
    <row r="13444" spans="1:1">
      <c r="A13444" t="inlineStr">
        <is>
          <t>Sapao</t>
        </is>
      </c>
    </row>
    <row r="13445" spans="1:1">
      <c r="A13445" t="inlineStr">
        <is>
          <t>Sulangan</t>
        </is>
      </c>
    </row>
    <row r="13446" spans="1:1">
      <c r="A13446" t="inlineStr">
        <is>
          <t>Suluan</t>
        </is>
      </c>
    </row>
    <row r="13447" spans="1:1">
      <c r="A13447" t="inlineStr">
        <is>
          <t>Surok</t>
        </is>
      </c>
    </row>
    <row r="13448" spans="1:1">
      <c r="A13448" t="inlineStr">
        <is>
          <t>Tagporo</t>
        </is>
      </c>
    </row>
    <row r="13449" spans="1:1">
      <c r="A13449" t="inlineStr">
        <is>
          <t>Taytay</t>
        </is>
      </c>
    </row>
    <row r="13450" spans="1:1">
      <c r="A13450" t="inlineStr">
        <is>
          <t>Timala</t>
        </is>
      </c>
    </row>
    <row r="13451" spans="1:1">
      <c r="A13451" t="inlineStr">
        <is>
          <t>Trinidad</t>
        </is>
      </c>
    </row>
    <row r="13452" spans="1:1">
      <c r="A13452" t="inlineStr">
        <is>
          <t>Victory Island</t>
        </is>
      </c>
    </row>
    <row r="13453" spans="1:1">
      <c r="A13453" t="inlineStr">
        <is>
          <t>Barangay 1</t>
        </is>
      </c>
    </row>
    <row r="13454" spans="1:1">
      <c r="A13454" t="inlineStr">
        <is>
          <t>Barangay 2</t>
        </is>
      </c>
    </row>
    <row r="13455" spans="1:1">
      <c r="A13455" t="inlineStr">
        <is>
          <t>Barangay 3</t>
        </is>
      </c>
    </row>
    <row r="13456" spans="1:1">
      <c r="A13456" t="inlineStr">
        <is>
          <t>Barangay 4</t>
        </is>
      </c>
    </row>
    <row r="13457" spans="1:1">
      <c r="A13457" t="inlineStr">
        <is>
          <t>Batang</t>
        </is>
      </c>
    </row>
    <row r="13458" spans="1:1">
      <c r="A13458" t="inlineStr">
        <is>
          <t>Cacatmonan</t>
        </is>
      </c>
    </row>
    <row r="13459" spans="1:1">
      <c r="A13459" t="inlineStr">
        <is>
          <t>Canciledes</t>
        </is>
      </c>
    </row>
    <row r="13460" spans="1:1">
      <c r="A13460" t="inlineStr">
        <is>
          <t>Carmen</t>
        </is>
      </c>
    </row>
    <row r="13461" spans="1:1">
      <c r="A13461" t="inlineStr">
        <is>
          <t>Garawon</t>
        </is>
      </c>
    </row>
    <row r="13462" spans="1:1">
      <c r="A13462" t="inlineStr">
        <is>
          <t>Nagaja</t>
        </is>
      </c>
    </row>
    <row r="13463" spans="1:1">
      <c r="A13463" t="inlineStr">
        <is>
          <t>Padang</t>
        </is>
      </c>
    </row>
    <row r="13464" spans="1:1">
      <c r="A13464" t="inlineStr">
        <is>
          <t>San Isidro</t>
        </is>
      </c>
    </row>
    <row r="13465" spans="1:1">
      <c r="A13465" t="inlineStr">
        <is>
          <t>San Miguel</t>
        </is>
      </c>
    </row>
    <row r="13466" spans="1:1">
      <c r="A13466" t="inlineStr">
        <is>
          <t>Agsaman</t>
        </is>
      </c>
    </row>
    <row r="13467" spans="1:1">
      <c r="A13467" t="inlineStr">
        <is>
          <t>Barangay 1</t>
        </is>
      </c>
    </row>
    <row r="13468" spans="1:1">
      <c r="A13468" t="inlineStr">
        <is>
          <t>Barangay 2</t>
        </is>
      </c>
    </row>
    <row r="13469" spans="1:1">
      <c r="A13469" t="inlineStr">
        <is>
          <t>Barangay 3</t>
        </is>
      </c>
    </row>
    <row r="13470" spans="1:1">
      <c r="A13470" t="inlineStr">
        <is>
          <t>Barangay 4</t>
        </is>
      </c>
    </row>
    <row r="13471" spans="1:1">
      <c r="A13471" t="inlineStr">
        <is>
          <t>Cagmanaba</t>
        </is>
      </c>
    </row>
    <row r="13472" spans="1:1">
      <c r="A13472" t="inlineStr">
        <is>
          <t>Dorillo</t>
        </is>
      </c>
    </row>
    <row r="13473" spans="1:1">
      <c r="A13473" t="inlineStr">
        <is>
          <t>Jewaran</t>
        </is>
      </c>
    </row>
    <row r="13474" spans="1:1">
      <c r="A13474" t="inlineStr">
        <is>
          <t>Mabuhay</t>
        </is>
      </c>
    </row>
    <row r="13475" spans="1:1">
      <c r="A13475" t="inlineStr">
        <is>
          <t>Magsaysay</t>
        </is>
      </c>
    </row>
    <row r="13476" spans="1:1">
      <c r="A13476" t="inlineStr">
        <is>
          <t>Recare</t>
        </is>
      </c>
    </row>
    <row r="13477" spans="1:1">
      <c r="A13477" t="inlineStr">
        <is>
          <t>Roxas</t>
        </is>
      </c>
    </row>
    <row r="13478" spans="1:1">
      <c r="A13478" t="inlineStr">
        <is>
          <t>San Roque</t>
        </is>
      </c>
    </row>
    <row r="13479" spans="1:1">
      <c r="A13479" t="inlineStr">
        <is>
          <t>Barangay Poblacion 1</t>
        </is>
      </c>
    </row>
    <row r="13480" spans="1:1">
      <c r="A13480" t="inlineStr">
        <is>
          <t>Barangay Poblacion 10</t>
        </is>
      </c>
    </row>
    <row r="13481" spans="1:1">
      <c r="A13481" t="inlineStr">
        <is>
          <t>Barangay Poblacion 2</t>
        </is>
      </c>
    </row>
    <row r="13482" spans="1:1">
      <c r="A13482" t="inlineStr">
        <is>
          <t>Barangay Poblacion 3</t>
        </is>
      </c>
    </row>
    <row r="13483" spans="1:1">
      <c r="A13483" t="inlineStr">
        <is>
          <t>Barangay Poblacion 4</t>
        </is>
      </c>
    </row>
    <row r="13484" spans="1:1">
      <c r="A13484" t="inlineStr">
        <is>
          <t>Barangay Poblacion 5</t>
        </is>
      </c>
    </row>
    <row r="13485" spans="1:1">
      <c r="A13485" t="inlineStr">
        <is>
          <t>Barangay Poblacion 6</t>
        </is>
      </c>
    </row>
    <row r="13486" spans="1:1">
      <c r="A13486" t="inlineStr">
        <is>
          <t>Barangay Poblacion 7</t>
        </is>
      </c>
    </row>
    <row r="13487" spans="1:1">
      <c r="A13487" t="inlineStr">
        <is>
          <t>Barangay Poblacion 8</t>
        </is>
      </c>
    </row>
    <row r="13488" spans="1:1">
      <c r="A13488" t="inlineStr">
        <is>
          <t>Barangay Poblacion 9</t>
        </is>
      </c>
    </row>
    <row r="13489" spans="1:1">
      <c r="A13489" t="inlineStr">
        <is>
          <t>Betaog</t>
        </is>
      </c>
    </row>
    <row r="13490" spans="1:1">
      <c r="A13490" t="inlineStr">
        <is>
          <t>Bolusao</t>
        </is>
      </c>
    </row>
    <row r="13491" spans="1:1">
      <c r="A13491" t="inlineStr">
        <is>
          <t>Guinob-an</t>
        </is>
      </c>
    </row>
    <row r="13492" spans="1:1">
      <c r="A13492" t="inlineStr">
        <is>
          <t>Maslog</t>
        </is>
      </c>
    </row>
    <row r="13493" spans="1:1">
      <c r="A13493" t="inlineStr">
        <is>
          <t>San Isidro</t>
        </is>
      </c>
    </row>
    <row r="13494" spans="1:1">
      <c r="A13494" t="inlineStr">
        <is>
          <t>Taguite</t>
        </is>
      </c>
    </row>
    <row r="13495" spans="1:1">
      <c r="A13495" t="inlineStr">
        <is>
          <t>Antipolo</t>
        </is>
      </c>
    </row>
    <row r="13496" spans="1:1">
      <c r="A13496" t="inlineStr">
        <is>
          <t>Babanikhon</t>
        </is>
      </c>
    </row>
    <row r="13497" spans="1:1">
      <c r="A13497" t="inlineStr">
        <is>
          <t>Bacayawan</t>
        </is>
      </c>
    </row>
    <row r="13498" spans="1:1">
      <c r="A13498" t="inlineStr">
        <is>
          <t>Barangay 1</t>
        </is>
      </c>
    </row>
    <row r="13499" spans="1:1">
      <c r="A13499" t="inlineStr">
        <is>
          <t>Barangay 10</t>
        </is>
      </c>
    </row>
    <row r="13500" spans="1:1">
      <c r="A13500" t="inlineStr">
        <is>
          <t>Barangay 11</t>
        </is>
      </c>
    </row>
    <row r="13501" spans="1:1">
      <c r="A13501" t="inlineStr">
        <is>
          <t>Barangay 12</t>
        </is>
      </c>
    </row>
    <row r="13502" spans="1:1">
      <c r="A13502" t="inlineStr">
        <is>
          <t>Barangay 2</t>
        </is>
      </c>
    </row>
    <row r="13503" spans="1:1">
      <c r="A13503" t="inlineStr">
        <is>
          <t>Barangay 3</t>
        </is>
      </c>
    </row>
    <row r="13504" spans="1:1">
      <c r="A13504" t="inlineStr">
        <is>
          <t>Barangay 4</t>
        </is>
      </c>
    </row>
    <row r="13505" spans="1:1">
      <c r="A13505" t="inlineStr">
        <is>
          <t>Barangay 5</t>
        </is>
      </c>
    </row>
    <row r="13506" spans="1:1">
      <c r="A13506" t="inlineStr">
        <is>
          <t>Barangay 6</t>
        </is>
      </c>
    </row>
    <row r="13507" spans="1:1">
      <c r="A13507" t="inlineStr">
        <is>
          <t>Barangay 7</t>
        </is>
      </c>
    </row>
    <row r="13508" spans="1:1">
      <c r="A13508" t="inlineStr">
        <is>
          <t>Barangay 8</t>
        </is>
      </c>
    </row>
    <row r="13509" spans="1:1">
      <c r="A13509" t="inlineStr">
        <is>
          <t>Barangay 9</t>
        </is>
      </c>
    </row>
    <row r="13510" spans="1:1">
      <c r="A13510" t="inlineStr">
        <is>
          <t>Barobo</t>
        </is>
      </c>
    </row>
    <row r="13511" spans="1:1">
      <c r="A13511" t="inlineStr">
        <is>
          <t>Burak</t>
        </is>
      </c>
    </row>
    <row r="13512" spans="1:1">
      <c r="A13512" t="inlineStr">
        <is>
          <t>Can-ato</t>
        </is>
      </c>
    </row>
    <row r="13513" spans="1:1">
      <c r="A13513" t="inlineStr">
        <is>
          <t>Candoros</t>
        </is>
      </c>
    </row>
    <row r="13514" spans="1:1">
      <c r="A13514" t="inlineStr">
        <is>
          <t>Canliwag</t>
        </is>
      </c>
    </row>
    <row r="13515" spans="1:1">
      <c r="A13515" t="inlineStr">
        <is>
          <t>Cantomco</t>
        </is>
      </c>
    </row>
    <row r="13516" spans="1:1">
      <c r="A13516" t="inlineStr">
        <is>
          <t>Hugpa</t>
        </is>
      </c>
    </row>
    <row r="13517" spans="1:1">
      <c r="A13517" t="inlineStr">
        <is>
          <t>Maca-anga</t>
        </is>
      </c>
    </row>
    <row r="13518" spans="1:1">
      <c r="A13518" t="inlineStr">
        <is>
          <t>Magtino</t>
        </is>
      </c>
    </row>
    <row r="13519" spans="1:1">
      <c r="A13519" t="inlineStr">
        <is>
          <t>Mina-anod</t>
        </is>
      </c>
    </row>
    <row r="13520" spans="1:1">
      <c r="A13520" t="inlineStr">
        <is>
          <t>Naubay</t>
        </is>
      </c>
    </row>
    <row r="13521" spans="1:1">
      <c r="A13521" t="inlineStr">
        <is>
          <t>Piliw</t>
        </is>
      </c>
    </row>
    <row r="13522" spans="1:1">
      <c r="A13522" t="inlineStr">
        <is>
          <t>San Jose</t>
        </is>
      </c>
    </row>
    <row r="13523" spans="1:1">
      <c r="A13523" t="inlineStr">
        <is>
          <t>San Miguel</t>
        </is>
      </c>
    </row>
    <row r="13524" spans="1:1">
      <c r="A13524" t="inlineStr">
        <is>
          <t>San Roque</t>
        </is>
      </c>
    </row>
    <row r="13525" spans="1:1">
      <c r="A13525" t="inlineStr">
        <is>
          <t>So-ong</t>
        </is>
      </c>
    </row>
    <row r="13526" spans="1:1">
      <c r="A13526" t="inlineStr">
        <is>
          <t>Tabok</t>
        </is>
      </c>
    </row>
    <row r="13527" spans="1:1">
      <c r="A13527" t="inlineStr">
        <is>
          <t>Waso</t>
        </is>
      </c>
    </row>
    <row r="13528" spans="1:1">
      <c r="A13528" t="inlineStr">
        <is>
          <t>Barangay 1</t>
        </is>
      </c>
    </row>
    <row r="13529" spans="1:1">
      <c r="A13529" t="inlineStr">
        <is>
          <t>Barangay 2</t>
        </is>
      </c>
    </row>
    <row r="13530" spans="1:1">
      <c r="A13530" t="inlineStr">
        <is>
          <t>Bulawan</t>
        </is>
      </c>
    </row>
    <row r="13531" spans="1:1">
      <c r="A13531" t="inlineStr">
        <is>
          <t>Carayacay</t>
        </is>
      </c>
    </row>
    <row r="13532" spans="1:1">
      <c r="A13532" t="inlineStr">
        <is>
          <t>Libertad</t>
        </is>
      </c>
    </row>
    <row r="13533" spans="1:1">
      <c r="A13533" t="inlineStr">
        <is>
          <t>Malobago</t>
        </is>
      </c>
    </row>
    <row r="13534" spans="1:1">
      <c r="A13534" t="inlineStr">
        <is>
          <t>Maputi</t>
        </is>
      </c>
    </row>
    <row r="13535" spans="1:1">
      <c r="A13535" t="inlineStr">
        <is>
          <t>San Miguel</t>
        </is>
      </c>
    </row>
    <row r="13536" spans="1:1">
      <c r="A13536" t="inlineStr">
        <is>
          <t>San Roque</t>
        </is>
      </c>
    </row>
    <row r="13537" spans="1:1">
      <c r="A13537" t="inlineStr">
        <is>
          <t>Tangbo</t>
        </is>
      </c>
    </row>
    <row r="13538" spans="1:1">
      <c r="A13538" t="inlineStr">
        <is>
          <t>Taytay</t>
        </is>
      </c>
    </row>
    <row r="13539" spans="1:1">
      <c r="A13539" t="inlineStr">
        <is>
          <t>Tugas</t>
        </is>
      </c>
    </row>
    <row r="13540" spans="1:1">
      <c r="A13540" t="inlineStr">
        <is>
          <t>Barangay Poblacion 1</t>
        </is>
      </c>
    </row>
    <row r="13541" spans="1:1">
      <c r="A13541" t="inlineStr">
        <is>
          <t>Barangay Poblacion 2</t>
        </is>
      </c>
    </row>
    <row r="13542" spans="1:1">
      <c r="A13542" t="inlineStr">
        <is>
          <t>Barangay Poblacion 3</t>
        </is>
      </c>
    </row>
    <row r="13543" spans="1:1">
      <c r="A13543" t="inlineStr">
        <is>
          <t>Barangay Poblacion 4</t>
        </is>
      </c>
    </row>
    <row r="13544" spans="1:1">
      <c r="A13544" t="inlineStr">
        <is>
          <t>Barangay Poblacion 5</t>
        </is>
      </c>
    </row>
    <row r="13545" spans="1:1">
      <c r="A13545" t="inlineStr">
        <is>
          <t>Barangay Poblacion 6</t>
        </is>
      </c>
    </row>
    <row r="13546" spans="1:1">
      <c r="A13546" t="inlineStr">
        <is>
          <t>Barangay Poblacion 7</t>
        </is>
      </c>
    </row>
    <row r="13547" spans="1:1">
      <c r="A13547" t="inlineStr">
        <is>
          <t>Camada</t>
        </is>
      </c>
    </row>
    <row r="13548" spans="1:1">
      <c r="A13548" t="inlineStr">
        <is>
          <t>Campakerit</t>
        </is>
      </c>
    </row>
    <row r="13549" spans="1:1">
      <c r="A13549" t="inlineStr">
        <is>
          <t>Canloterio</t>
        </is>
      </c>
    </row>
    <row r="13550" spans="1:1">
      <c r="A13550" t="inlineStr">
        <is>
          <t>Del Pilar</t>
        </is>
      </c>
    </row>
    <row r="13551" spans="1:1">
      <c r="A13551" t="inlineStr">
        <is>
          <t>Guindalitan</t>
        </is>
      </c>
    </row>
    <row r="13552" spans="1:1">
      <c r="A13552" t="inlineStr">
        <is>
          <t>Lapgap</t>
        </is>
      </c>
    </row>
    <row r="13553" spans="1:1">
      <c r="A13553" t="inlineStr">
        <is>
          <t>Malobago</t>
        </is>
      </c>
    </row>
    <row r="13554" spans="1:1">
      <c r="A13554" t="inlineStr">
        <is>
          <t>Maybocog</t>
        </is>
      </c>
    </row>
    <row r="13555" spans="1:1">
      <c r="A13555" t="inlineStr">
        <is>
          <t>Maytigbao</t>
        </is>
      </c>
    </row>
    <row r="13556" spans="1:1">
      <c r="A13556" t="inlineStr">
        <is>
          <t>Omawas</t>
        </is>
      </c>
    </row>
    <row r="13557" spans="1:1">
      <c r="A13557" t="inlineStr">
        <is>
          <t>Patag</t>
        </is>
      </c>
    </row>
    <row r="13558" spans="1:1">
      <c r="A13558" t="inlineStr">
        <is>
          <t>San Gabriel</t>
        </is>
      </c>
    </row>
    <row r="13559" spans="1:1">
      <c r="A13559" t="inlineStr">
        <is>
          <t>Tagaslian</t>
        </is>
      </c>
    </row>
    <row r="13560" spans="1:1">
      <c r="A13560" t="inlineStr">
        <is>
          <t>Anuron</t>
        </is>
      </c>
    </row>
    <row r="13561" spans="1:1">
      <c r="A13561" t="inlineStr">
        <is>
          <t>Banuyo</t>
        </is>
      </c>
    </row>
    <row r="13562" spans="1:1">
      <c r="A13562" t="inlineStr">
        <is>
          <t>Barangay 1 Poblacion</t>
        </is>
      </c>
    </row>
    <row r="13563" spans="1:1">
      <c r="A13563" t="inlineStr">
        <is>
          <t>Barangay 2 Poblacion</t>
        </is>
      </c>
    </row>
    <row r="13564" spans="1:1">
      <c r="A13564" t="inlineStr">
        <is>
          <t>Barangay 3 Poblacion</t>
        </is>
      </c>
    </row>
    <row r="13565" spans="1:1">
      <c r="A13565" t="inlineStr">
        <is>
          <t>Barangay 4 Poblacion</t>
        </is>
      </c>
    </row>
    <row r="13566" spans="1:1">
      <c r="A13566" t="inlineStr">
        <is>
          <t>Bobon</t>
        </is>
      </c>
    </row>
    <row r="13567" spans="1:1">
      <c r="A13567" t="inlineStr">
        <is>
          <t>Busay</t>
        </is>
      </c>
    </row>
    <row r="13568" spans="1:1">
      <c r="A13568" t="inlineStr">
        <is>
          <t>Buyayawon</t>
        </is>
      </c>
    </row>
    <row r="13569" spans="1:1">
      <c r="A13569" t="inlineStr">
        <is>
          <t>Cabunga-an</t>
        </is>
      </c>
    </row>
    <row r="13570" spans="1:1">
      <c r="A13570" t="inlineStr">
        <is>
          <t>Cambante</t>
        </is>
      </c>
    </row>
    <row r="13571" spans="1:1">
      <c r="A13571" t="inlineStr">
        <is>
          <t>Palamrag</t>
        </is>
      </c>
    </row>
    <row r="13572" spans="1:1">
      <c r="A13572" t="inlineStr">
        <is>
          <t>Port Kennedy</t>
        </is>
      </c>
    </row>
    <row r="13573" spans="1:1">
      <c r="A13573" t="inlineStr">
        <is>
          <t>San Jose</t>
        </is>
      </c>
    </row>
    <row r="13574" spans="1:1">
      <c r="A13574" t="inlineStr">
        <is>
          <t>San Roque</t>
        </is>
      </c>
    </row>
    <row r="13575" spans="1:1">
      <c r="A13575" t="inlineStr">
        <is>
          <t>Sung-an</t>
        </is>
      </c>
    </row>
    <row r="13576" spans="1:1">
      <c r="A13576" t="inlineStr">
        <is>
          <t>Agsam</t>
        </is>
      </c>
    </row>
    <row r="13577" spans="1:1">
      <c r="A13577" t="inlineStr">
        <is>
          <t>Alang-alang</t>
        </is>
      </c>
    </row>
    <row r="13578" spans="1:1">
      <c r="A13578" t="inlineStr">
        <is>
          <t>Bagacay</t>
        </is>
      </c>
    </row>
    <row r="13579" spans="1:1">
      <c r="A13579" t="inlineStr">
        <is>
          <t>Balingasag</t>
        </is>
      </c>
    </row>
    <row r="13580" spans="1:1">
      <c r="A13580" t="inlineStr">
        <is>
          <t>Balocawe</t>
        </is>
      </c>
    </row>
    <row r="13581" spans="1:1">
      <c r="A13581" t="inlineStr">
        <is>
          <t>Bantayan</t>
        </is>
      </c>
    </row>
    <row r="13582" spans="1:1">
      <c r="A13582" t="inlineStr">
        <is>
          <t>Batang</t>
        </is>
      </c>
    </row>
    <row r="13583" spans="1:1">
      <c r="A13583" t="inlineStr">
        <is>
          <t>Bato</t>
        </is>
      </c>
    </row>
    <row r="13584" spans="1:1">
      <c r="A13584" t="inlineStr">
        <is>
          <t>Binalayan</t>
        </is>
      </c>
    </row>
    <row r="13585" spans="1:1">
      <c r="A13585" t="inlineStr">
        <is>
          <t>Buntay</t>
        </is>
      </c>
    </row>
    <row r="13586" spans="1:1">
      <c r="A13586" t="inlineStr">
        <is>
          <t>Burak</t>
        </is>
      </c>
    </row>
    <row r="13587" spans="1:1">
      <c r="A13587" t="inlineStr">
        <is>
          <t>Butnga</t>
        </is>
      </c>
    </row>
    <row r="13588" spans="1:1">
      <c r="A13588" t="inlineStr">
        <is>
          <t>Cadian</t>
        </is>
      </c>
    </row>
    <row r="13589" spans="1:1">
      <c r="A13589" t="inlineStr">
        <is>
          <t>Cagdine</t>
        </is>
      </c>
    </row>
    <row r="13590" spans="1:1">
      <c r="A13590" t="inlineStr">
        <is>
          <t>Cagpile</t>
        </is>
      </c>
    </row>
    <row r="13591" spans="1:1">
      <c r="A13591" t="inlineStr">
        <is>
          <t>Cagtoog</t>
        </is>
      </c>
    </row>
    <row r="13592" spans="1:1">
      <c r="A13592" t="inlineStr">
        <is>
          <t>Camanga</t>
        </is>
      </c>
    </row>
    <row r="13593" spans="1:1">
      <c r="A13593" t="inlineStr">
        <is>
          <t>Dalid</t>
        </is>
      </c>
    </row>
    <row r="13594" spans="1:1">
      <c r="A13594" t="inlineStr">
        <is>
          <t>Dao</t>
        </is>
      </c>
    </row>
    <row r="13595" spans="1:1">
      <c r="A13595" t="inlineStr">
        <is>
          <t>Factoria</t>
        </is>
      </c>
    </row>
    <row r="13596" spans="1:1">
      <c r="A13596" t="inlineStr">
        <is>
          <t>Gamot</t>
        </is>
      </c>
    </row>
    <row r="13597" spans="1:1">
      <c r="A13597" t="inlineStr">
        <is>
          <t>Iwayan</t>
        </is>
      </c>
    </row>
    <row r="13598" spans="1:1">
      <c r="A13598" t="inlineStr">
        <is>
          <t>Japay</t>
        </is>
      </c>
    </row>
    <row r="13599" spans="1:1">
      <c r="A13599" t="inlineStr">
        <is>
          <t>Kalaw</t>
        </is>
      </c>
    </row>
    <row r="13600" spans="1:1">
      <c r="A13600" t="inlineStr">
        <is>
          <t>Mabuhay</t>
        </is>
      </c>
    </row>
    <row r="13601" spans="1:1">
      <c r="A13601" t="inlineStr">
        <is>
          <t>Malingon</t>
        </is>
      </c>
    </row>
    <row r="13602" spans="1:1">
      <c r="A13602" t="inlineStr">
        <is>
          <t>Minap-os</t>
        </is>
      </c>
    </row>
    <row r="13603" spans="1:1">
      <c r="A13603" t="inlineStr">
        <is>
          <t>Nadacpan</t>
        </is>
      </c>
    </row>
    <row r="13604" spans="1:1">
      <c r="A13604" t="inlineStr">
        <is>
          <t>Naga</t>
        </is>
      </c>
    </row>
    <row r="13605" spans="1:1">
      <c r="A13605" t="inlineStr">
        <is>
          <t>Pangudtan</t>
        </is>
      </c>
    </row>
    <row r="13606" spans="1:1">
      <c r="A13606" t="inlineStr">
        <is>
          <t>Paypayon</t>
        </is>
      </c>
    </row>
    <row r="13607" spans="1:1">
      <c r="A13607" t="inlineStr">
        <is>
          <t>Riverside</t>
        </is>
      </c>
    </row>
    <row r="13608" spans="1:1">
      <c r="A13608" t="inlineStr">
        <is>
          <t>Rizal</t>
        </is>
      </c>
    </row>
    <row r="13609" spans="1:1">
      <c r="A13609" t="inlineStr">
        <is>
          <t>Sabang</t>
        </is>
      </c>
    </row>
    <row r="13610" spans="1:1">
      <c r="A13610" t="inlineStr">
        <is>
          <t>San Eduardo</t>
        </is>
      </c>
    </row>
    <row r="13611" spans="1:1">
      <c r="A13611" t="inlineStr">
        <is>
          <t>San Roque</t>
        </is>
      </c>
    </row>
    <row r="13612" spans="1:1">
      <c r="A13612" t="inlineStr">
        <is>
          <t>Santa Monica</t>
        </is>
      </c>
    </row>
    <row r="13613" spans="1:1">
      <c r="A13613" t="inlineStr">
        <is>
          <t>Saugan</t>
        </is>
      </c>
    </row>
    <row r="13614" spans="1:1">
      <c r="A13614" t="inlineStr">
        <is>
          <t>Saurong</t>
        </is>
      </c>
    </row>
    <row r="13615" spans="1:1">
      <c r="A13615" t="inlineStr">
        <is>
          <t>Tawagan</t>
        </is>
      </c>
    </row>
    <row r="13616" spans="1:1">
      <c r="A13616" t="inlineStr">
        <is>
          <t>Tiguib</t>
        </is>
      </c>
    </row>
    <row r="13617" spans="1:1">
      <c r="A13617" t="inlineStr">
        <is>
          <t>Trinidad</t>
        </is>
      </c>
    </row>
    <row r="13618" spans="1:1">
      <c r="A13618" t="inlineStr">
        <is>
          <t>Alang-alang</t>
        </is>
      </c>
    </row>
    <row r="13619" spans="1:1">
      <c r="A13619" t="inlineStr">
        <is>
          <t>Anislag</t>
        </is>
      </c>
    </row>
    <row r="13620" spans="1:1">
      <c r="A13620" t="inlineStr">
        <is>
          <t>Bagte</t>
        </is>
      </c>
    </row>
    <row r="13621" spans="1:1">
      <c r="A13621" t="inlineStr">
        <is>
          <t>Barangay No. 1</t>
        </is>
      </c>
    </row>
    <row r="13622" spans="1:1">
      <c r="A13622" t="inlineStr">
        <is>
          <t>Barangay No. 2</t>
        </is>
      </c>
    </row>
    <row r="13623" spans="1:1">
      <c r="A13623" t="inlineStr">
        <is>
          <t>Barangay No. 3</t>
        </is>
      </c>
    </row>
    <row r="13624" spans="1:1">
      <c r="A13624" t="inlineStr">
        <is>
          <t>Barangay No. 4</t>
        </is>
      </c>
    </row>
    <row r="13625" spans="1:1">
      <c r="A13625" t="inlineStr">
        <is>
          <t>Barangay No. 5</t>
        </is>
      </c>
    </row>
    <row r="13626" spans="1:1">
      <c r="A13626" t="inlineStr">
        <is>
          <t>Barangay No. 6</t>
        </is>
      </c>
    </row>
    <row r="13627" spans="1:1">
      <c r="A13627" t="inlineStr">
        <is>
          <t>Barangay No. 7</t>
        </is>
      </c>
    </row>
    <row r="13628" spans="1:1">
      <c r="A13628" t="inlineStr">
        <is>
          <t>Buenavista</t>
        </is>
      </c>
    </row>
    <row r="13629" spans="1:1">
      <c r="A13629" t="inlineStr">
        <is>
          <t>Caculangan</t>
        </is>
      </c>
    </row>
    <row r="13630" spans="1:1">
      <c r="A13630" t="inlineStr">
        <is>
          <t>Cagdaja</t>
        </is>
      </c>
    </row>
    <row r="13631" spans="1:1">
      <c r="A13631" t="inlineStr">
        <is>
          <t>Cambilla</t>
        </is>
      </c>
    </row>
    <row r="13632" spans="1:1">
      <c r="A13632" t="inlineStr">
        <is>
          <t>Cantenio</t>
        </is>
      </c>
    </row>
    <row r="13633" spans="1:1">
      <c r="A13633" t="inlineStr">
        <is>
          <t>Naga</t>
        </is>
      </c>
    </row>
    <row r="13634" spans="1:1">
      <c r="A13634" t="inlineStr">
        <is>
          <t>Paco</t>
        </is>
      </c>
    </row>
    <row r="13635" spans="1:1">
      <c r="A13635" t="inlineStr">
        <is>
          <t>Palactad</t>
        </is>
      </c>
    </row>
    <row r="13636" spans="1:1">
      <c r="A13636" t="inlineStr">
        <is>
          <t>Rizal</t>
        </is>
      </c>
    </row>
    <row r="13637" spans="1:1">
      <c r="A13637" t="inlineStr">
        <is>
          <t>San Isidro</t>
        </is>
      </c>
    </row>
    <row r="13638" spans="1:1">
      <c r="A13638" t="inlineStr">
        <is>
          <t>San Pedro</t>
        </is>
      </c>
    </row>
    <row r="13639" spans="1:1">
      <c r="A13639" t="inlineStr">
        <is>
          <t>San Vicente</t>
        </is>
      </c>
    </row>
    <row r="13640" spans="1:1">
      <c r="A13640" t="inlineStr">
        <is>
          <t>Santa Cruz</t>
        </is>
      </c>
    </row>
    <row r="13641" spans="1:1">
      <c r="A13641" t="inlineStr">
        <is>
          <t>Santa Margarita</t>
        </is>
      </c>
    </row>
    <row r="13642" spans="1:1">
      <c r="A13642" t="inlineStr">
        <is>
          <t>Santo Niño</t>
        </is>
      </c>
    </row>
    <row r="13643" spans="1:1">
      <c r="A13643" t="inlineStr">
        <is>
          <t>Abejao</t>
        </is>
      </c>
    </row>
    <row r="13644" spans="1:1">
      <c r="A13644" t="inlineStr">
        <is>
          <t>Alog</t>
        </is>
      </c>
    </row>
    <row r="13645" spans="1:1">
      <c r="A13645" t="inlineStr">
        <is>
          <t>Asgad</t>
        </is>
      </c>
    </row>
    <row r="13646" spans="1:1">
      <c r="A13646" t="inlineStr">
        <is>
          <t>Bagtong</t>
        </is>
      </c>
    </row>
    <row r="13647" spans="1:1">
      <c r="A13647" t="inlineStr">
        <is>
          <t>Balud</t>
        </is>
      </c>
    </row>
    <row r="13648" spans="1:1">
      <c r="A13648" t="inlineStr">
        <is>
          <t>Barangay 1</t>
        </is>
      </c>
    </row>
    <row r="13649" spans="1:1">
      <c r="A13649" t="inlineStr">
        <is>
          <t>Barangay 10</t>
        </is>
      </c>
    </row>
    <row r="13650" spans="1:1">
      <c r="A13650" t="inlineStr">
        <is>
          <t>Barangay 11</t>
        </is>
      </c>
    </row>
    <row r="13651" spans="1:1">
      <c r="A13651" t="inlineStr">
        <is>
          <t>Barangay 12</t>
        </is>
      </c>
    </row>
    <row r="13652" spans="1:1">
      <c r="A13652" t="inlineStr">
        <is>
          <t>Barangay 13</t>
        </is>
      </c>
    </row>
    <row r="13653" spans="1:1">
      <c r="A13653" t="inlineStr">
        <is>
          <t>Barangay 2</t>
        </is>
      </c>
    </row>
    <row r="13654" spans="1:1">
      <c r="A13654" t="inlineStr">
        <is>
          <t>Barangay 3</t>
        </is>
      </c>
    </row>
    <row r="13655" spans="1:1">
      <c r="A13655" t="inlineStr">
        <is>
          <t>Barangay 4</t>
        </is>
      </c>
    </row>
    <row r="13656" spans="1:1">
      <c r="A13656" t="inlineStr">
        <is>
          <t>Barangay 5</t>
        </is>
      </c>
    </row>
    <row r="13657" spans="1:1">
      <c r="A13657" t="inlineStr">
        <is>
          <t>Barangay 6</t>
        </is>
      </c>
    </row>
    <row r="13658" spans="1:1">
      <c r="A13658" t="inlineStr">
        <is>
          <t>Barangay 7</t>
        </is>
      </c>
    </row>
    <row r="13659" spans="1:1">
      <c r="A13659" t="inlineStr">
        <is>
          <t>Barangay 8</t>
        </is>
      </c>
    </row>
    <row r="13660" spans="1:1">
      <c r="A13660" t="inlineStr">
        <is>
          <t>Barangay 9</t>
        </is>
      </c>
    </row>
    <row r="13661" spans="1:1">
      <c r="A13661" t="inlineStr">
        <is>
          <t>Buabua</t>
        </is>
      </c>
    </row>
    <row r="13662" spans="1:1">
      <c r="A13662" t="inlineStr">
        <is>
          <t>Burak</t>
        </is>
      </c>
    </row>
    <row r="13663" spans="1:1">
      <c r="A13663" t="inlineStr">
        <is>
          <t>Butig</t>
        </is>
      </c>
    </row>
    <row r="13664" spans="1:1">
      <c r="A13664" t="inlineStr">
        <is>
          <t>Cagaut</t>
        </is>
      </c>
    </row>
    <row r="13665" spans="1:1">
      <c r="A13665" t="inlineStr">
        <is>
          <t>Camanga</t>
        </is>
      </c>
    </row>
    <row r="13666" spans="1:1">
      <c r="A13666" t="inlineStr">
        <is>
          <t>Cantomoja</t>
        </is>
      </c>
    </row>
    <row r="13667" spans="1:1">
      <c r="A13667" t="inlineStr">
        <is>
          <t>Carapdapan</t>
        </is>
      </c>
    </row>
    <row r="13668" spans="1:1">
      <c r="A13668" t="inlineStr">
        <is>
          <t>Caridad</t>
        </is>
      </c>
    </row>
    <row r="13669" spans="1:1">
      <c r="A13669" t="inlineStr">
        <is>
          <t>Casili-on</t>
        </is>
      </c>
    </row>
    <row r="13670" spans="1:1">
      <c r="A13670" t="inlineStr">
        <is>
          <t>Iberan</t>
        </is>
      </c>
    </row>
    <row r="13671" spans="1:1">
      <c r="A13671" t="inlineStr">
        <is>
          <t>Jagnaya</t>
        </is>
      </c>
    </row>
    <row r="13672" spans="1:1">
      <c r="A13672" t="inlineStr">
        <is>
          <t>Lusod</t>
        </is>
      </c>
    </row>
    <row r="13673" spans="1:1">
      <c r="A13673" t="inlineStr">
        <is>
          <t>Malbog</t>
        </is>
      </c>
    </row>
    <row r="13674" spans="1:1">
      <c r="A13674" t="inlineStr">
        <is>
          <t>Maliwaliw</t>
        </is>
      </c>
    </row>
    <row r="13675" spans="1:1">
      <c r="A13675" t="inlineStr">
        <is>
          <t>Matarinao</t>
        </is>
      </c>
    </row>
    <row r="13676" spans="1:1">
      <c r="A13676" t="inlineStr">
        <is>
          <t>Naparaan</t>
        </is>
      </c>
    </row>
    <row r="13677" spans="1:1">
      <c r="A13677" t="inlineStr">
        <is>
          <t>Palanas</t>
        </is>
      </c>
    </row>
    <row r="13678" spans="1:1">
      <c r="A13678" t="inlineStr">
        <is>
          <t>San Roque</t>
        </is>
      </c>
    </row>
    <row r="13679" spans="1:1">
      <c r="A13679" t="inlineStr">
        <is>
          <t>Santa Cruz</t>
        </is>
      </c>
    </row>
    <row r="13680" spans="1:1">
      <c r="A13680" t="inlineStr">
        <is>
          <t>Seguinon</t>
        </is>
      </c>
    </row>
    <row r="13681" spans="1:1">
      <c r="A13681" t="inlineStr">
        <is>
          <t>Tacla-on</t>
        </is>
      </c>
    </row>
    <row r="13682" spans="1:1">
      <c r="A13682" t="inlineStr">
        <is>
          <t>Tagbacan</t>
        </is>
      </c>
    </row>
    <row r="13683" spans="1:1">
      <c r="A13683" t="inlineStr">
        <is>
          <t>Talangdawan</t>
        </is>
      </c>
    </row>
    <row r="13684" spans="1:1">
      <c r="A13684" t="inlineStr">
        <is>
          <t>Barangay No. 1 Poblacion</t>
        </is>
      </c>
    </row>
    <row r="13685" spans="1:1">
      <c r="A13685" t="inlineStr">
        <is>
          <t>Barangay No. 2 Poblacion</t>
        </is>
      </c>
    </row>
    <row r="13686" spans="1:1">
      <c r="A13686" t="inlineStr">
        <is>
          <t>Barangay No. 3 Poblacion</t>
        </is>
      </c>
    </row>
    <row r="13687" spans="1:1">
      <c r="A13687" t="inlineStr">
        <is>
          <t>Barangay No. 4 Poblacion</t>
        </is>
      </c>
    </row>
    <row r="13688" spans="1:1">
      <c r="A13688" t="inlineStr">
        <is>
          <t>Barangay No. 5 Poblacion</t>
        </is>
      </c>
    </row>
    <row r="13689" spans="1:1">
      <c r="A13689" t="inlineStr">
        <is>
          <t>Barangay No. 6 Poblacion</t>
        </is>
      </c>
    </row>
    <row r="13690" spans="1:1">
      <c r="A13690" t="inlineStr">
        <is>
          <t>Bunacan</t>
        </is>
      </c>
    </row>
    <row r="13691" spans="1:1">
      <c r="A13691" t="inlineStr">
        <is>
          <t>Campidhan</t>
        </is>
      </c>
    </row>
    <row r="13692" spans="1:1">
      <c r="A13692" t="inlineStr">
        <is>
          <t>Casoroy</t>
        </is>
      </c>
    </row>
    <row r="13693" spans="1:1">
      <c r="A13693" t="inlineStr">
        <is>
          <t>Libas</t>
        </is>
      </c>
    </row>
    <row r="13694" spans="1:1">
      <c r="A13694" t="inlineStr">
        <is>
          <t>Lunang</t>
        </is>
      </c>
    </row>
    <row r="13695" spans="1:1">
      <c r="A13695" t="inlineStr">
        <is>
          <t>Nena</t>
        </is>
      </c>
    </row>
    <row r="13696" spans="1:1">
      <c r="A13696" t="inlineStr">
        <is>
          <t>Pagbabangnan</t>
        </is>
      </c>
    </row>
    <row r="13697" spans="1:1">
      <c r="A13697" t="inlineStr">
        <is>
          <t>Putong</t>
        </is>
      </c>
    </row>
    <row r="13698" spans="1:1">
      <c r="A13698" t="inlineStr">
        <is>
          <t>San Isidro</t>
        </is>
      </c>
    </row>
    <row r="13699" spans="1:1">
      <c r="A13699" t="inlineStr">
        <is>
          <t>San Miguel</t>
        </is>
      </c>
    </row>
    <row r="13700" spans="1:1">
      <c r="A13700" t="inlineStr">
        <is>
          <t>Alugan</t>
        </is>
      </c>
    </row>
    <row r="13701" spans="1:1">
      <c r="A13701" t="inlineStr">
        <is>
          <t>Bahay</t>
        </is>
      </c>
    </row>
    <row r="13702" spans="1:1">
      <c r="A13702" t="inlineStr">
        <is>
          <t>Bangon</t>
        </is>
      </c>
    </row>
    <row r="13703" spans="1:1">
      <c r="A13703" t="inlineStr">
        <is>
          <t>Barangay No. 1</t>
        </is>
      </c>
    </row>
    <row r="13704" spans="1:1">
      <c r="A13704" t="inlineStr">
        <is>
          <t>Barangay No. 2</t>
        </is>
      </c>
    </row>
    <row r="13705" spans="1:1">
      <c r="A13705" t="inlineStr">
        <is>
          <t>Barangay No. 3</t>
        </is>
      </c>
    </row>
    <row r="13706" spans="1:1">
      <c r="A13706" t="inlineStr">
        <is>
          <t>Barangay No. 4</t>
        </is>
      </c>
    </row>
    <row r="13707" spans="1:1">
      <c r="A13707" t="inlineStr">
        <is>
          <t>Barangay No. 5</t>
        </is>
      </c>
    </row>
    <row r="13708" spans="1:1">
      <c r="A13708" t="inlineStr">
        <is>
          <t>Baras</t>
        </is>
      </c>
    </row>
    <row r="13709" spans="1:1">
      <c r="A13709" t="inlineStr">
        <is>
          <t>Binogawan</t>
        </is>
      </c>
    </row>
    <row r="13710" spans="1:1">
      <c r="A13710" t="inlineStr">
        <is>
          <t>Cajagwayan</t>
        </is>
      </c>
    </row>
    <row r="13711" spans="1:1">
      <c r="A13711" t="inlineStr">
        <is>
          <t>Japunan</t>
        </is>
      </c>
    </row>
    <row r="13712" spans="1:1">
      <c r="A13712" t="inlineStr">
        <is>
          <t>Natividad</t>
        </is>
      </c>
    </row>
    <row r="13713" spans="1:1">
      <c r="A13713" t="inlineStr">
        <is>
          <t>Pangpang</t>
        </is>
      </c>
    </row>
    <row r="13714" spans="1:1">
      <c r="A13714" t="inlineStr">
        <is>
          <t>Santa Cruz</t>
        </is>
      </c>
    </row>
    <row r="13715" spans="1:1">
      <c r="A13715" t="inlineStr">
        <is>
          <t>Tabo</t>
        </is>
      </c>
    </row>
    <row r="13716" spans="1:1">
      <c r="A13716" t="inlineStr">
        <is>
          <t>Tan-awan</t>
        </is>
      </c>
    </row>
    <row r="13717" spans="1:1">
      <c r="A13717" t="inlineStr">
        <is>
          <t>A-et</t>
        </is>
      </c>
    </row>
    <row r="13718" spans="1:1">
      <c r="A13718" t="inlineStr">
        <is>
          <t>Abucay</t>
        </is>
      </c>
    </row>
    <row r="13719" spans="1:1">
      <c r="A13719" t="inlineStr">
        <is>
          <t>Baybay</t>
        </is>
      </c>
    </row>
    <row r="13720" spans="1:1">
      <c r="A13720" t="inlineStr">
        <is>
          <t>Del Remedio</t>
        </is>
      </c>
    </row>
    <row r="13721" spans="1:1">
      <c r="A13721" t="inlineStr">
        <is>
          <t>Kandalakit</t>
        </is>
      </c>
    </row>
    <row r="13722" spans="1:1">
      <c r="A13722" t="inlineStr">
        <is>
          <t>Loyola Heights</t>
        </is>
      </c>
    </row>
    <row r="13723" spans="1:1">
      <c r="A13723" t="inlineStr">
        <is>
          <t>Mabini</t>
        </is>
      </c>
    </row>
    <row r="13724" spans="1:1">
      <c r="A13724" t="inlineStr">
        <is>
          <t>Maglipay</t>
        </is>
      </c>
    </row>
    <row r="13725" spans="1:1">
      <c r="A13725" t="inlineStr">
        <is>
          <t>Maramara</t>
        </is>
      </c>
    </row>
    <row r="13726" spans="1:1">
      <c r="A13726" t="inlineStr">
        <is>
          <t>Riverside</t>
        </is>
      </c>
    </row>
    <row r="13727" spans="1:1">
      <c r="A13727" t="inlineStr">
        <is>
          <t>San Francisco</t>
        </is>
      </c>
    </row>
    <row r="13728" spans="1:1">
      <c r="A13728" t="inlineStr">
        <is>
          <t>San Isidro</t>
        </is>
      </c>
    </row>
    <row r="13729" spans="1:1">
      <c r="A13729" t="inlineStr">
        <is>
          <t>San Juan</t>
        </is>
      </c>
    </row>
    <row r="13730" spans="1:1">
      <c r="A13730" t="inlineStr">
        <is>
          <t>San Mateo</t>
        </is>
      </c>
    </row>
    <row r="13731" spans="1:1">
      <c r="A13731" t="inlineStr">
        <is>
          <t>San Vicente</t>
        </is>
      </c>
    </row>
    <row r="13732" spans="1:1">
      <c r="A13732" t="inlineStr">
        <is>
          <t>Santo Niño</t>
        </is>
      </c>
    </row>
    <row r="13733" spans="1:1">
      <c r="A13733" t="inlineStr">
        <is>
          <t>Santo Tomas</t>
        </is>
      </c>
    </row>
    <row r="13734" spans="1:1">
      <c r="A13734" t="inlineStr">
        <is>
          <t>Tabi</t>
        </is>
      </c>
    </row>
    <row r="13735" spans="1:1">
      <c r="A13735" t="inlineStr">
        <is>
          <t>Batiawan</t>
        </is>
      </c>
    </row>
    <row r="13736" spans="1:1">
      <c r="A13736" t="inlineStr">
        <is>
          <t>Beto</t>
        </is>
      </c>
    </row>
    <row r="13737" spans="1:1">
      <c r="A13737" t="inlineStr">
        <is>
          <t>Binaloan</t>
        </is>
      </c>
    </row>
    <row r="13738" spans="1:1">
      <c r="A13738" t="inlineStr">
        <is>
          <t>Bongdo</t>
        </is>
      </c>
    </row>
    <row r="13739" spans="1:1">
      <c r="A13739" t="inlineStr">
        <is>
          <t>Dacul</t>
        </is>
      </c>
    </row>
    <row r="13740" spans="1:1">
      <c r="A13740" t="inlineStr">
        <is>
          <t>Danao</t>
        </is>
      </c>
    </row>
    <row r="13741" spans="1:1">
      <c r="A13741" t="inlineStr">
        <is>
          <t>Del Remedios</t>
        </is>
      </c>
    </row>
    <row r="13742" spans="1:1">
      <c r="A13742" t="inlineStr">
        <is>
          <t>Gayam</t>
        </is>
      </c>
    </row>
    <row r="13743" spans="1:1">
      <c r="A13743" t="inlineStr">
        <is>
          <t>Lomatud</t>
        </is>
      </c>
    </row>
    <row r="13744" spans="1:1">
      <c r="A13744" t="inlineStr">
        <is>
          <t>Mabuhay</t>
        </is>
      </c>
    </row>
    <row r="13745" spans="1:1">
      <c r="A13745" t="inlineStr">
        <is>
          <t>Malinao</t>
        </is>
      </c>
    </row>
    <row r="13746" spans="1:1">
      <c r="A13746" t="inlineStr">
        <is>
          <t>Mantang</t>
        </is>
      </c>
    </row>
    <row r="13747" spans="1:1">
      <c r="A13747" t="inlineStr">
        <is>
          <t>Nato</t>
        </is>
      </c>
    </row>
    <row r="13748" spans="1:1">
      <c r="A13748" t="inlineStr">
        <is>
          <t>Pangabutan</t>
        </is>
      </c>
    </row>
    <row r="13749" spans="1:1">
      <c r="A13749" t="inlineStr">
        <is>
          <t>Poblacion Barangay 1</t>
        </is>
      </c>
    </row>
    <row r="13750" spans="1:1">
      <c r="A13750" t="inlineStr">
        <is>
          <t>Poblacion Barangay 2</t>
        </is>
      </c>
    </row>
    <row r="13751" spans="1:1">
      <c r="A13751" t="inlineStr">
        <is>
          <t>Poblacion Barangay 3</t>
        </is>
      </c>
    </row>
    <row r="13752" spans="1:1">
      <c r="A13752" t="inlineStr">
        <is>
          <t>Poblacion Barangay 4</t>
        </is>
      </c>
    </row>
    <row r="13753" spans="1:1">
      <c r="A13753" t="inlineStr">
        <is>
          <t>Poblacion Barangay 5</t>
        </is>
      </c>
    </row>
    <row r="13754" spans="1:1">
      <c r="A13754" t="inlineStr">
        <is>
          <t>Poblacion Barangay 6</t>
        </is>
      </c>
    </row>
    <row r="13755" spans="1:1">
      <c r="A13755" t="inlineStr">
        <is>
          <t>Polangi</t>
        </is>
      </c>
    </row>
    <row r="13756" spans="1:1">
      <c r="A13756" t="inlineStr">
        <is>
          <t>San Luis</t>
        </is>
      </c>
    </row>
    <row r="13757" spans="1:1">
      <c r="A13757" t="inlineStr">
        <is>
          <t>San Pablo</t>
        </is>
      </c>
    </row>
    <row r="13758" spans="1:1">
      <c r="A13758" t="inlineStr">
        <is>
          <t>San Rafael</t>
        </is>
      </c>
    </row>
    <row r="13759" spans="1:1">
      <c r="A13759" t="inlineStr">
        <is>
          <t>Agsanayan</t>
        </is>
      </c>
    </row>
    <row r="13760" spans="1:1">
      <c r="A13760" t="inlineStr">
        <is>
          <t>Avila</t>
        </is>
      </c>
    </row>
    <row r="13761" spans="1:1">
      <c r="A13761" t="inlineStr">
        <is>
          <t>Bacjao</t>
        </is>
      </c>
    </row>
    <row r="13762" spans="1:1">
      <c r="A13762" t="inlineStr">
        <is>
          <t>Banban</t>
        </is>
      </c>
    </row>
    <row r="13763" spans="1:1">
      <c r="A13763" t="inlineStr">
        <is>
          <t>Cansilayan</t>
        </is>
      </c>
    </row>
    <row r="13764" spans="1:1">
      <c r="A13764" t="inlineStr">
        <is>
          <t>Dagsa-an</t>
        </is>
      </c>
    </row>
    <row r="13765" spans="1:1">
      <c r="A13765" t="inlineStr">
        <is>
          <t>Daragan</t>
        </is>
      </c>
    </row>
    <row r="13766" spans="1:1">
      <c r="A13766" t="inlineStr">
        <is>
          <t>East Valencia</t>
        </is>
      </c>
    </row>
    <row r="13767" spans="1:1">
      <c r="A13767" t="inlineStr">
        <is>
          <t>Getulio</t>
        </is>
      </c>
    </row>
    <row r="13768" spans="1:1">
      <c r="A13768" t="inlineStr">
        <is>
          <t>Mabini</t>
        </is>
      </c>
    </row>
    <row r="13769" spans="1:1">
      <c r="A13769" t="inlineStr">
        <is>
          <t>Magsaysay</t>
        </is>
      </c>
    </row>
    <row r="13770" spans="1:1">
      <c r="A13770" t="inlineStr">
        <is>
          <t>Mclain</t>
        </is>
      </c>
    </row>
    <row r="13771" spans="1:1">
      <c r="A13771" t="inlineStr">
        <is>
          <t>Montpiller</t>
        </is>
      </c>
    </row>
    <row r="13772" spans="1:1">
      <c r="A13772" t="inlineStr">
        <is>
          <t>Navalas</t>
        </is>
      </c>
    </row>
    <row r="13773" spans="1:1">
      <c r="A13773" t="inlineStr">
        <is>
          <t>Nazaret</t>
        </is>
      </c>
    </row>
    <row r="13774" spans="1:1">
      <c r="A13774" t="inlineStr">
        <is>
          <t>New Poblacion</t>
        </is>
      </c>
    </row>
    <row r="13775" spans="1:1">
      <c r="A13775" t="inlineStr">
        <is>
          <t>Old Poblacion</t>
        </is>
      </c>
    </row>
    <row r="13776" spans="1:1">
      <c r="A13776" t="inlineStr">
        <is>
          <t>Piña</t>
        </is>
      </c>
    </row>
    <row r="13777" spans="1:1">
      <c r="A13777" t="inlineStr">
        <is>
          <t>Rizal</t>
        </is>
      </c>
    </row>
    <row r="13778" spans="1:1">
      <c r="A13778" t="inlineStr">
        <is>
          <t>Salvacion</t>
        </is>
      </c>
    </row>
    <row r="13779" spans="1:1">
      <c r="A13779" t="inlineStr">
        <is>
          <t>San Fernando</t>
        </is>
      </c>
    </row>
    <row r="13780" spans="1:1">
      <c r="A13780" t="inlineStr">
        <is>
          <t>San Isidro</t>
        </is>
      </c>
    </row>
    <row r="13781" spans="1:1">
      <c r="A13781" t="inlineStr">
        <is>
          <t>San Miguel</t>
        </is>
      </c>
    </row>
    <row r="13782" spans="1:1">
      <c r="A13782" t="inlineStr">
        <is>
          <t>San Nicolas</t>
        </is>
      </c>
    </row>
    <row r="13783" spans="1:1">
      <c r="A13783" t="inlineStr">
        <is>
          <t>San Pedro</t>
        </is>
      </c>
    </row>
    <row r="13784" spans="1:1">
      <c r="A13784" t="inlineStr">
        <is>
          <t>San Roque</t>
        </is>
      </c>
    </row>
    <row r="13785" spans="1:1">
      <c r="A13785" t="inlineStr">
        <is>
          <t>Santo Rosario</t>
        </is>
      </c>
    </row>
    <row r="13786" spans="1:1">
      <c r="A13786" t="inlineStr">
        <is>
          <t>Sawang</t>
        </is>
      </c>
    </row>
    <row r="13787" spans="1:1">
      <c r="A13787" t="inlineStr">
        <is>
          <t>Supang</t>
        </is>
      </c>
    </row>
    <row r="13788" spans="1:1">
      <c r="A13788" t="inlineStr">
        <is>
          <t>Tacay</t>
        </is>
      </c>
    </row>
    <row r="13789" spans="1:1">
      <c r="A13789" t="inlineStr">
        <is>
          <t>Taminla</t>
        </is>
      </c>
    </row>
    <row r="13790" spans="1:1">
      <c r="A13790" t="inlineStr">
        <is>
          <t>Tanag</t>
        </is>
      </c>
    </row>
    <row r="13791" spans="1:1">
      <c r="A13791" t="inlineStr">
        <is>
          <t>Tastasan</t>
        </is>
      </c>
    </row>
    <row r="13792" spans="1:1">
      <c r="A13792" t="inlineStr">
        <is>
          <t>Tinadtaran</t>
        </is>
      </c>
    </row>
    <row r="13793" spans="1:1">
      <c r="A13793" t="inlineStr">
        <is>
          <t>Umilig</t>
        </is>
      </c>
    </row>
    <row r="13794" spans="1:1">
      <c r="A13794" t="inlineStr">
        <is>
          <t>Zaldivar</t>
        </is>
      </c>
    </row>
    <row r="13795" spans="1:1">
      <c r="A13795" t="inlineStr">
        <is>
          <t>Alaguisoc</t>
        </is>
      </c>
    </row>
    <row r="13796" spans="1:1">
      <c r="A13796" t="inlineStr">
        <is>
          <t>Balcon Maravilla</t>
        </is>
      </c>
    </row>
    <row r="13797" spans="1:1">
      <c r="A13797" t="inlineStr">
        <is>
          <t>Balcon Melliza</t>
        </is>
      </c>
    </row>
    <row r="13798" spans="1:1">
      <c r="A13798" t="inlineStr">
        <is>
          <t>Bugnay</t>
        </is>
      </c>
    </row>
    <row r="13799" spans="1:1">
      <c r="A13799" t="inlineStr">
        <is>
          <t>Buluangan</t>
        </is>
      </c>
    </row>
    <row r="13800" spans="1:1">
      <c r="A13800" t="inlineStr">
        <is>
          <t>Espinosa</t>
        </is>
      </c>
    </row>
    <row r="13801" spans="1:1">
      <c r="A13801" t="inlineStr">
        <is>
          <t>Hoskyn</t>
        </is>
      </c>
    </row>
    <row r="13802" spans="1:1">
      <c r="A13802" t="inlineStr">
        <is>
          <t>Lawi</t>
        </is>
      </c>
    </row>
    <row r="13803" spans="1:1">
      <c r="A13803" t="inlineStr">
        <is>
          <t>Morobuan</t>
        </is>
      </c>
    </row>
    <row r="13804" spans="1:1">
      <c r="A13804" t="inlineStr">
        <is>
          <t>Poblacion</t>
        </is>
      </c>
    </row>
    <row r="13805" spans="1:1">
      <c r="A13805" t="inlineStr">
        <is>
          <t>Rizal</t>
        </is>
      </c>
    </row>
    <row r="13806" spans="1:1">
      <c r="A13806" t="inlineStr">
        <is>
          <t>San Miguel</t>
        </is>
      </c>
    </row>
    <row r="13807" spans="1:1">
      <c r="A13807" t="inlineStr">
        <is>
          <t>Santa Teresa</t>
        </is>
      </c>
    </row>
    <row r="13808" spans="1:1">
      <c r="A13808" t="inlineStr">
        <is>
          <t>Sinapsapan</t>
        </is>
      </c>
    </row>
    <row r="13809" spans="1:1">
      <c r="A13809" t="inlineStr">
        <is>
          <t>Cabalagnan</t>
        </is>
      </c>
    </row>
    <row r="13810" spans="1:1">
      <c r="A13810" t="inlineStr">
        <is>
          <t>Calaya</t>
        </is>
      </c>
    </row>
    <row r="13811" spans="1:1">
      <c r="A13811" t="inlineStr">
        <is>
          <t>Canhawan</t>
        </is>
      </c>
    </row>
    <row r="13812" spans="1:1">
      <c r="A13812" t="inlineStr">
        <is>
          <t>Concordia Sur</t>
        </is>
      </c>
    </row>
    <row r="13813" spans="1:1">
      <c r="A13813" t="inlineStr">
        <is>
          <t>Dolores</t>
        </is>
      </c>
    </row>
    <row r="13814" spans="1:1">
      <c r="A13814" t="inlineStr">
        <is>
          <t>Guiwanon</t>
        </is>
      </c>
    </row>
    <row r="13815" spans="1:1">
      <c r="A13815" t="inlineStr">
        <is>
          <t>Igang</t>
        </is>
      </c>
    </row>
    <row r="13816" spans="1:1">
      <c r="A13816" t="inlineStr">
        <is>
          <t>Igdarapdap</t>
        </is>
      </c>
    </row>
    <row r="13817" spans="1:1">
      <c r="A13817" t="inlineStr">
        <is>
          <t>La Paz</t>
        </is>
      </c>
    </row>
    <row r="13818" spans="1:1">
      <c r="A13818" t="inlineStr">
        <is>
          <t>Lanipe</t>
        </is>
      </c>
    </row>
    <row r="13819" spans="1:1">
      <c r="A13819" t="inlineStr">
        <is>
          <t>Lucmayan</t>
        </is>
      </c>
    </row>
    <row r="13820" spans="1:1">
      <c r="A13820" t="inlineStr">
        <is>
          <t>Magamay</t>
        </is>
      </c>
    </row>
    <row r="13821" spans="1:1">
      <c r="A13821" t="inlineStr">
        <is>
          <t>Napandong</t>
        </is>
      </c>
    </row>
    <row r="13822" spans="1:1">
      <c r="A13822" t="inlineStr">
        <is>
          <t>Oracon Sur</t>
        </is>
      </c>
    </row>
    <row r="13823" spans="1:1">
      <c r="A13823" t="inlineStr">
        <is>
          <t>Pandaraonan</t>
        </is>
      </c>
    </row>
    <row r="13824" spans="1:1">
      <c r="A13824" t="inlineStr">
        <is>
          <t>Panobolon</t>
        </is>
      </c>
    </row>
    <row r="13825" spans="1:1">
      <c r="A13825" t="inlineStr">
        <is>
          <t>Poblacion</t>
        </is>
      </c>
    </row>
    <row r="13826" spans="1:1">
      <c r="A13826" t="inlineStr">
        <is>
          <t>Salvacion</t>
        </is>
      </c>
    </row>
    <row r="13827" spans="1:1">
      <c r="A13827" t="inlineStr">
        <is>
          <t>San Antonio</t>
        </is>
      </c>
    </row>
    <row r="13828" spans="1:1">
      <c r="A13828" t="inlineStr">
        <is>
          <t>San Roque</t>
        </is>
      </c>
    </row>
    <row r="13829" spans="1:1">
      <c r="A13829" t="inlineStr">
        <is>
          <t>Santo Domingo</t>
        </is>
      </c>
    </row>
    <row r="13830" spans="1:1">
      <c r="A13830" t="inlineStr">
        <is>
          <t>Tando</t>
        </is>
      </c>
    </row>
    <row r="13831" spans="1:1">
      <c r="A13831" t="inlineStr">
        <is>
          <t>Aguilar</t>
        </is>
      </c>
    </row>
    <row r="13832" spans="1:1">
      <c r="A13832" t="inlineStr">
        <is>
          <t>Cabano</t>
        </is>
      </c>
    </row>
    <row r="13833" spans="1:1">
      <c r="A13833" t="inlineStr">
        <is>
          <t>Cabungahan</t>
        </is>
      </c>
    </row>
    <row r="13834" spans="1:1">
      <c r="A13834" t="inlineStr">
        <is>
          <t>Constancia</t>
        </is>
      </c>
    </row>
    <row r="13835" spans="1:1">
      <c r="A13835" t="inlineStr">
        <is>
          <t>Gaban</t>
        </is>
      </c>
    </row>
    <row r="13836" spans="1:1">
      <c r="A13836" t="inlineStr">
        <is>
          <t>Igcawayan</t>
        </is>
      </c>
    </row>
    <row r="13837" spans="1:1">
      <c r="A13837" t="inlineStr">
        <is>
          <t>M. Chavez</t>
        </is>
      </c>
    </row>
    <row r="13838" spans="1:1">
      <c r="A13838" t="inlineStr">
        <is>
          <t>San Enrique</t>
        </is>
      </c>
    </row>
    <row r="13839" spans="1:1">
      <c r="A13839" t="inlineStr">
        <is>
          <t>Sapal</t>
        </is>
      </c>
    </row>
    <row r="13840" spans="1:1">
      <c r="A13840" t="inlineStr">
        <is>
          <t>Sebario</t>
        </is>
      </c>
    </row>
    <row r="13841" spans="1:1">
      <c r="A13841" t="inlineStr">
        <is>
          <t>Suclaran</t>
        </is>
      </c>
    </row>
    <row r="13842" spans="1:1">
      <c r="A13842" t="inlineStr">
        <is>
          <t>Tamborong</t>
        </is>
      </c>
    </row>
    <row r="13843" spans="1:1">
      <c r="A13843" t="inlineStr">
        <is>
          <t>Alegria</t>
        </is>
      </c>
    </row>
    <row r="13844" spans="1:1">
      <c r="A13844" t="inlineStr">
        <is>
          <t>Ayangan</t>
        </is>
      </c>
    </row>
    <row r="13845" spans="1:1">
      <c r="A13845" t="inlineStr">
        <is>
          <t>Bubog</t>
        </is>
      </c>
    </row>
    <row r="13846" spans="1:1">
      <c r="A13846" t="inlineStr">
        <is>
          <t>Concordia Norte</t>
        </is>
      </c>
    </row>
    <row r="13847" spans="1:1">
      <c r="A13847" t="inlineStr">
        <is>
          <t>Dasal</t>
        </is>
      </c>
    </row>
    <row r="13848" spans="1:1">
      <c r="A13848" t="inlineStr">
        <is>
          <t>Inampologan</t>
        </is>
      </c>
    </row>
    <row r="13849" spans="1:1">
      <c r="A13849" t="inlineStr">
        <is>
          <t>Maabay</t>
        </is>
      </c>
    </row>
    <row r="13850" spans="1:1">
      <c r="A13850" t="inlineStr">
        <is>
          <t>Millan</t>
        </is>
      </c>
    </row>
    <row r="13851" spans="1:1">
      <c r="A13851" t="inlineStr">
        <is>
          <t>Oracon Norte</t>
        </is>
      </c>
    </row>
    <row r="13852" spans="1:1">
      <c r="A13852" t="inlineStr">
        <is>
          <t>Ravina</t>
        </is>
      </c>
    </row>
    <row r="13853" spans="1:1">
      <c r="A13853" t="inlineStr">
        <is>
          <t>Sabang</t>
        </is>
      </c>
    </row>
    <row r="13854" spans="1:1">
      <c r="A13854" t="inlineStr">
        <is>
          <t>San Isidro</t>
        </is>
      </c>
    </row>
    <row r="13855" spans="1:1">
      <c r="A13855" t="inlineStr">
        <is>
          <t>Sebaste</t>
        </is>
      </c>
    </row>
    <row r="13856" spans="1:1">
      <c r="A13856" t="inlineStr">
        <is>
          <t>Tanglad</t>
        </is>
      </c>
    </row>
    <row r="13857" spans="1:1">
      <c r="A13857" t="inlineStr">
        <is>
          <t>Awayan</t>
        </is>
      </c>
    </row>
    <row r="13858" spans="1:1">
      <c r="A13858" t="inlineStr">
        <is>
          <t>Bunhian</t>
        </is>
      </c>
    </row>
    <row r="13859" spans="1:1">
      <c r="A13859" t="inlineStr">
        <is>
          <t>Butac</t>
        </is>
      </c>
    </row>
    <row r="13860" spans="1:1">
      <c r="A13860" t="inlineStr">
        <is>
          <t>Buwag</t>
        </is>
      </c>
    </row>
    <row r="13861" spans="1:1">
      <c r="A13861" t="inlineStr">
        <is>
          <t>Chalalo</t>
        </is>
      </c>
    </row>
    <row r="13862" spans="1:1">
      <c r="A13862" t="inlineStr">
        <is>
          <t>Damag</t>
        </is>
      </c>
    </row>
    <row r="13863" spans="1:1">
      <c r="A13863" t="inlineStr">
        <is>
          <t>Galonogon</t>
        </is>
      </c>
    </row>
    <row r="13864" spans="1:1">
      <c r="A13864" t="inlineStr">
        <is>
          <t>Halag</t>
        </is>
      </c>
    </row>
    <row r="13865" spans="1:1">
      <c r="A13865" t="inlineStr">
        <is>
          <t>Itab</t>
        </is>
      </c>
    </row>
    <row r="13866" spans="1:1">
      <c r="A13866" t="inlineStr">
        <is>
          <t>Jacmal</t>
        </is>
      </c>
    </row>
    <row r="13867" spans="1:1">
      <c r="A13867" t="inlineStr">
        <is>
          <t>Majlong</t>
        </is>
      </c>
    </row>
    <row r="13868" spans="1:1">
      <c r="A13868" t="inlineStr">
        <is>
          <t>Mongayang</t>
        </is>
      </c>
    </row>
    <row r="13869" spans="1:1">
      <c r="A13869" t="inlineStr">
        <is>
          <t>Posnaan</t>
        </is>
      </c>
    </row>
    <row r="13870" spans="1:1">
      <c r="A13870" t="inlineStr">
        <is>
          <t>Ta-ang</t>
        </is>
      </c>
    </row>
    <row r="13871" spans="1:1">
      <c r="A13871" t="inlineStr">
        <is>
          <t>Talite</t>
        </is>
      </c>
    </row>
    <row r="13872" spans="1:1">
      <c r="A13872" t="inlineStr">
        <is>
          <t>Ubao</t>
        </is>
      </c>
    </row>
    <row r="13873" spans="1:1">
      <c r="A13873" t="inlineStr">
        <is>
          <t>Bangar</t>
        </is>
      </c>
    </row>
    <row r="13874" spans="1:1">
      <c r="A13874" t="inlineStr">
        <is>
          <t>Busilac</t>
        </is>
      </c>
    </row>
    <row r="13875" spans="1:1">
      <c r="A13875" t="inlineStr">
        <is>
          <t>Calimag</t>
        </is>
      </c>
    </row>
    <row r="13876" spans="1:1">
      <c r="A13876" t="inlineStr">
        <is>
          <t>Calupaan</t>
        </is>
      </c>
    </row>
    <row r="13877" spans="1:1">
      <c r="A13877" t="inlineStr">
        <is>
          <t>Caragasan</t>
        </is>
      </c>
    </row>
    <row r="13878" spans="1:1">
      <c r="A13878" t="inlineStr">
        <is>
          <t>Dolowog</t>
        </is>
      </c>
    </row>
    <row r="13879" spans="1:1">
      <c r="A13879" t="inlineStr">
        <is>
          <t>Kiling</t>
        </is>
      </c>
    </row>
    <row r="13880" spans="1:1">
      <c r="A13880" t="inlineStr">
        <is>
          <t>Laya</t>
        </is>
      </c>
    </row>
    <row r="13881" spans="1:1">
      <c r="A13881" t="inlineStr">
        <is>
          <t>Little Tadian</t>
        </is>
      </c>
    </row>
    <row r="13882" spans="1:1">
      <c r="A13882" t="inlineStr">
        <is>
          <t>Namillangan</t>
        </is>
      </c>
    </row>
    <row r="13883" spans="1:1">
      <c r="A13883" t="inlineStr">
        <is>
          <t>Namnama</t>
        </is>
      </c>
    </row>
    <row r="13884" spans="1:1">
      <c r="A13884" t="inlineStr">
        <is>
          <t>Ngileb</t>
        </is>
      </c>
    </row>
    <row r="13885" spans="1:1">
      <c r="A13885" t="inlineStr">
        <is>
          <t>Pinto</t>
        </is>
      </c>
    </row>
    <row r="13886" spans="1:1">
      <c r="A13886" t="inlineStr">
        <is>
          <t>Poblacion</t>
        </is>
      </c>
    </row>
    <row r="13887" spans="1:1">
      <c r="A13887" t="inlineStr">
        <is>
          <t>San Jose</t>
        </is>
      </c>
    </row>
    <row r="13888" spans="1:1">
      <c r="A13888" t="inlineStr">
        <is>
          <t>San Juan</t>
        </is>
      </c>
    </row>
    <row r="13889" spans="1:1">
      <c r="A13889" t="inlineStr">
        <is>
          <t>San Marcos</t>
        </is>
      </c>
    </row>
    <row r="13890" spans="1:1">
      <c r="A13890" t="inlineStr">
        <is>
          <t>San Quintin</t>
        </is>
      </c>
    </row>
    <row r="13891" spans="1:1">
      <c r="A13891" t="inlineStr">
        <is>
          <t>Santa Maria</t>
        </is>
      </c>
    </row>
    <row r="13892" spans="1:1">
      <c r="A13892" t="inlineStr">
        <is>
          <t>Santo Domingo</t>
        </is>
      </c>
    </row>
    <row r="13893" spans="1:1">
      <c r="A13893" t="inlineStr">
        <is>
          <t>Amduntog</t>
        </is>
      </c>
    </row>
    <row r="13894" spans="1:1">
      <c r="A13894" t="inlineStr">
        <is>
          <t>Antipolo</t>
        </is>
      </c>
    </row>
    <row r="13895" spans="1:1">
      <c r="A13895" t="inlineStr">
        <is>
          <t>Camandag</t>
        </is>
      </c>
    </row>
    <row r="13896" spans="1:1">
      <c r="A13896" t="inlineStr">
        <is>
          <t>Cawayan</t>
        </is>
      </c>
    </row>
    <row r="13897" spans="1:1">
      <c r="A13897" t="inlineStr">
        <is>
          <t>Hallap</t>
        </is>
      </c>
    </row>
    <row r="13898" spans="1:1">
      <c r="A13898" t="inlineStr">
        <is>
          <t>Liwon</t>
        </is>
      </c>
    </row>
    <row r="13899" spans="1:1">
      <c r="A13899" t="inlineStr">
        <is>
          <t>Namal</t>
        </is>
      </c>
    </row>
    <row r="13900" spans="1:1">
      <c r="A13900" t="inlineStr">
        <is>
          <t>Nungawa</t>
        </is>
      </c>
    </row>
    <row r="13901" spans="1:1">
      <c r="A13901" t="inlineStr">
        <is>
          <t>Panubtuban</t>
        </is>
      </c>
    </row>
    <row r="13902" spans="1:1">
      <c r="A13902" t="inlineStr">
        <is>
          <t>Pula</t>
        </is>
      </c>
    </row>
    <row r="13903" spans="1:1">
      <c r="A13903" t="inlineStr">
        <is>
          <t>Amganad</t>
        </is>
      </c>
    </row>
    <row r="13904" spans="1:1">
      <c r="A13904" t="inlineStr">
        <is>
          <t>Anaba</t>
        </is>
      </c>
    </row>
    <row r="13905" spans="1:1">
      <c r="A13905" t="inlineStr">
        <is>
          <t>Balawis</t>
        </is>
      </c>
    </row>
    <row r="13906" spans="1:1">
      <c r="A13906" t="inlineStr">
        <is>
          <t>Banao</t>
        </is>
      </c>
    </row>
    <row r="13907" spans="1:1">
      <c r="A13907" t="inlineStr">
        <is>
          <t>Bangaan</t>
        </is>
      </c>
    </row>
    <row r="13908" spans="1:1">
      <c r="A13908" t="inlineStr">
        <is>
          <t>Batad</t>
        </is>
      </c>
    </row>
    <row r="13909" spans="1:1">
      <c r="A13909" t="inlineStr">
        <is>
          <t>Bocos</t>
        </is>
      </c>
    </row>
    <row r="13910" spans="1:1">
      <c r="A13910" t="inlineStr">
        <is>
          <t>Cambulo</t>
        </is>
      </c>
    </row>
    <row r="13911" spans="1:1">
      <c r="A13911" t="inlineStr">
        <is>
          <t>Ducligan</t>
        </is>
      </c>
    </row>
    <row r="13912" spans="1:1">
      <c r="A13912" t="inlineStr">
        <is>
          <t>Gohang</t>
        </is>
      </c>
    </row>
    <row r="13913" spans="1:1">
      <c r="A13913" t="inlineStr">
        <is>
          <t>Kinakin</t>
        </is>
      </c>
    </row>
    <row r="13914" spans="1:1">
      <c r="A13914" t="inlineStr">
        <is>
          <t>Ohaj</t>
        </is>
      </c>
    </row>
    <row r="13915" spans="1:1">
      <c r="A13915" t="inlineStr">
        <is>
          <t>Poblacion</t>
        </is>
      </c>
    </row>
    <row r="13916" spans="1:1">
      <c r="A13916" t="inlineStr">
        <is>
          <t>Poitan</t>
        </is>
      </c>
    </row>
    <row r="13917" spans="1:1">
      <c r="A13917" t="inlineStr">
        <is>
          <t>Pula</t>
        </is>
      </c>
    </row>
    <row r="13918" spans="1:1">
      <c r="A13918" t="inlineStr">
        <is>
          <t>San Fernando</t>
        </is>
      </c>
    </row>
    <row r="13919" spans="1:1">
      <c r="A13919" t="inlineStr">
        <is>
          <t>Tam-an</t>
        </is>
      </c>
    </row>
    <row r="13920" spans="1:1">
      <c r="A13920" t="inlineStr">
        <is>
          <t>View Point</t>
        </is>
      </c>
    </row>
    <row r="13921" spans="1:1">
      <c r="A13921" t="inlineStr">
        <is>
          <t>Anao</t>
        </is>
      </c>
    </row>
    <row r="13922" spans="1:1">
      <c r="A13922" t="inlineStr">
        <is>
          <t>Bangtinon</t>
        </is>
      </c>
    </row>
    <row r="13923" spans="1:1">
      <c r="A13923" t="inlineStr">
        <is>
          <t>Bitu</t>
        </is>
      </c>
    </row>
    <row r="13924" spans="1:1">
      <c r="A13924" t="inlineStr">
        <is>
          <t>Cababuyan</t>
        </is>
      </c>
    </row>
    <row r="13925" spans="1:1">
      <c r="A13925" t="inlineStr">
        <is>
          <t>Mompolia</t>
        </is>
      </c>
    </row>
    <row r="13926" spans="1:1">
      <c r="A13926" t="inlineStr">
        <is>
          <t>Namulditan</t>
        </is>
      </c>
    </row>
    <row r="13927" spans="1:1">
      <c r="A13927" t="inlineStr">
        <is>
          <t>Northern Cababuyan</t>
        </is>
      </c>
    </row>
    <row r="13928" spans="1:1">
      <c r="A13928" t="inlineStr">
        <is>
          <t>O-ong</t>
        </is>
      </c>
    </row>
    <row r="13929" spans="1:1">
      <c r="A13929" t="inlineStr">
        <is>
          <t>Piwong</t>
        </is>
      </c>
    </row>
    <row r="13930" spans="1:1">
      <c r="A13930" t="inlineStr">
        <is>
          <t>Poblacion</t>
        </is>
      </c>
    </row>
    <row r="13931" spans="1:1">
      <c r="A13931" t="inlineStr">
        <is>
          <t>Ubuag</t>
        </is>
      </c>
    </row>
    <row r="13932" spans="1:1">
      <c r="A13932" t="inlineStr">
        <is>
          <t>Umalbong</t>
        </is>
      </c>
    </row>
    <row r="13933" spans="1:1">
      <c r="A13933" t="inlineStr">
        <is>
          <t>Abatan</t>
        </is>
      </c>
    </row>
    <row r="13934" spans="1:1">
      <c r="A13934" t="inlineStr">
        <is>
          <t>Ba-ang</t>
        </is>
      </c>
    </row>
    <row r="13935" spans="1:1">
      <c r="A13935" t="inlineStr">
        <is>
          <t>Bangbang</t>
        </is>
      </c>
    </row>
    <row r="13936" spans="1:1">
      <c r="A13936" t="inlineStr">
        <is>
          <t>Bokiawan</t>
        </is>
      </c>
    </row>
    <row r="13937" spans="1:1">
      <c r="A13937" t="inlineStr">
        <is>
          <t>Hapao</t>
        </is>
      </c>
    </row>
    <row r="13938" spans="1:1">
      <c r="A13938" t="inlineStr">
        <is>
          <t>Lubo-ong</t>
        </is>
      </c>
    </row>
    <row r="13939" spans="1:1">
      <c r="A13939" t="inlineStr">
        <is>
          <t>Maggok</t>
        </is>
      </c>
    </row>
    <row r="13940" spans="1:1">
      <c r="A13940" t="inlineStr">
        <is>
          <t>Nungulunan</t>
        </is>
      </c>
    </row>
    <row r="13941" spans="1:1">
      <c r="A13941" t="inlineStr">
        <is>
          <t>Poblacion</t>
        </is>
      </c>
    </row>
    <row r="13942" spans="1:1">
      <c r="A13942" t="inlineStr">
        <is>
          <t>Ambabag</t>
        </is>
      </c>
    </row>
    <row r="13943" spans="1:1">
      <c r="A13943" t="inlineStr">
        <is>
          <t>Baguinge</t>
        </is>
      </c>
    </row>
    <row r="13944" spans="1:1">
      <c r="A13944" t="inlineStr">
        <is>
          <t>Bokiawan</t>
        </is>
      </c>
    </row>
    <row r="13945" spans="1:1">
      <c r="A13945" t="inlineStr">
        <is>
          <t>Bolog</t>
        </is>
      </c>
    </row>
    <row r="13946" spans="1:1">
      <c r="A13946" t="inlineStr">
        <is>
          <t>Dalligan</t>
        </is>
      </c>
    </row>
    <row r="13947" spans="1:1">
      <c r="A13947" t="inlineStr">
        <is>
          <t>Duit</t>
        </is>
      </c>
    </row>
    <row r="13948" spans="1:1">
      <c r="A13948" t="inlineStr">
        <is>
          <t>Hucab</t>
        </is>
      </c>
    </row>
    <row r="13949" spans="1:1">
      <c r="A13949" t="inlineStr">
        <is>
          <t>Julongan</t>
        </is>
      </c>
    </row>
    <row r="13950" spans="1:1">
      <c r="A13950" t="inlineStr">
        <is>
          <t>Lingay</t>
        </is>
      </c>
    </row>
    <row r="13951" spans="1:1">
      <c r="A13951" t="inlineStr">
        <is>
          <t>Mungayang</t>
        </is>
      </c>
    </row>
    <row r="13952" spans="1:1">
      <c r="A13952" t="inlineStr">
        <is>
          <t>Nagacadan</t>
        </is>
      </c>
    </row>
    <row r="13953" spans="1:1">
      <c r="A13953" t="inlineStr">
        <is>
          <t>Pindongan</t>
        </is>
      </c>
    </row>
    <row r="13954" spans="1:1">
      <c r="A13954" t="inlineStr">
        <is>
          <t>Poblacion</t>
        </is>
      </c>
    </row>
    <row r="13955" spans="1:1">
      <c r="A13955" t="inlineStr">
        <is>
          <t>Tuplac</t>
        </is>
      </c>
    </row>
    <row r="13956" spans="1:1">
      <c r="A13956" t="inlineStr">
        <is>
          <t>Abinuan</t>
        </is>
      </c>
    </row>
    <row r="13957" spans="1:1">
      <c r="A13957" t="inlineStr">
        <is>
          <t>Banga</t>
        </is>
      </c>
    </row>
    <row r="13958" spans="1:1">
      <c r="A13958" t="inlineStr">
        <is>
          <t>Boliwong</t>
        </is>
      </c>
    </row>
    <row r="13959" spans="1:1">
      <c r="A13959" t="inlineStr">
        <is>
          <t>Burnay</t>
        </is>
      </c>
    </row>
    <row r="13960" spans="1:1">
      <c r="A13960" t="inlineStr">
        <is>
          <t>Buyabuyan</t>
        </is>
      </c>
    </row>
    <row r="13961" spans="1:1">
      <c r="A13961" t="inlineStr">
        <is>
          <t>Caba</t>
        </is>
      </c>
    </row>
    <row r="13962" spans="1:1">
      <c r="A13962" t="inlineStr">
        <is>
          <t>Cudog</t>
        </is>
      </c>
    </row>
    <row r="13963" spans="1:1">
      <c r="A13963" t="inlineStr">
        <is>
          <t>Dulao</t>
        </is>
      </c>
    </row>
    <row r="13964" spans="1:1">
      <c r="A13964" t="inlineStr">
        <is>
          <t>Jucbong</t>
        </is>
      </c>
    </row>
    <row r="13965" spans="1:1">
      <c r="A13965" t="inlineStr">
        <is>
          <t>Luta</t>
        </is>
      </c>
    </row>
    <row r="13966" spans="1:1">
      <c r="A13966" t="inlineStr">
        <is>
          <t>Montabiong</t>
        </is>
      </c>
    </row>
    <row r="13967" spans="1:1">
      <c r="A13967" t="inlineStr">
        <is>
          <t>Olilicon</t>
        </is>
      </c>
    </row>
    <row r="13968" spans="1:1">
      <c r="A13968" t="inlineStr">
        <is>
          <t>Poblacion East</t>
        </is>
      </c>
    </row>
    <row r="13969" spans="1:1">
      <c r="A13969" t="inlineStr">
        <is>
          <t>Poblacion North</t>
        </is>
      </c>
    </row>
    <row r="13970" spans="1:1">
      <c r="A13970" t="inlineStr">
        <is>
          <t>Poblacion South</t>
        </is>
      </c>
    </row>
    <row r="13971" spans="1:1">
      <c r="A13971" t="inlineStr">
        <is>
          <t>Poblacion West</t>
        </is>
      </c>
    </row>
    <row r="13972" spans="1:1">
      <c r="A13972" t="inlineStr">
        <is>
          <t>Ponghal</t>
        </is>
      </c>
    </row>
    <row r="13973" spans="1:1">
      <c r="A13973" t="inlineStr">
        <is>
          <t>Pullaan</t>
        </is>
      </c>
    </row>
    <row r="13974" spans="1:1">
      <c r="A13974" t="inlineStr">
        <is>
          <t>Tungngod</t>
        </is>
      </c>
    </row>
    <row r="13975" spans="1:1">
      <c r="A13975" t="inlineStr">
        <is>
          <t>Tupaya</t>
        </is>
      </c>
    </row>
    <row r="13976" spans="1:1">
      <c r="A13976" t="inlineStr">
        <is>
          <t>Ambasa</t>
        </is>
      </c>
    </row>
    <row r="13977" spans="1:1">
      <c r="A13977" t="inlineStr">
        <is>
          <t>Bimpal</t>
        </is>
      </c>
    </row>
    <row r="13978" spans="1:1">
      <c r="A13978" t="inlineStr">
        <is>
          <t>Hapid</t>
        </is>
      </c>
    </row>
    <row r="13979" spans="1:1">
      <c r="A13979" t="inlineStr">
        <is>
          <t>Holowon</t>
        </is>
      </c>
    </row>
    <row r="13980" spans="1:1">
      <c r="A13980" t="inlineStr">
        <is>
          <t>Lawig</t>
        </is>
      </c>
    </row>
    <row r="13981" spans="1:1">
      <c r="A13981" t="inlineStr">
        <is>
          <t>Lucban</t>
        </is>
      </c>
    </row>
    <row r="13982" spans="1:1">
      <c r="A13982" t="inlineStr">
        <is>
          <t>Mabatobato</t>
        </is>
      </c>
    </row>
    <row r="13983" spans="1:1">
      <c r="A13983" t="inlineStr">
        <is>
          <t>Magulon</t>
        </is>
      </c>
    </row>
    <row r="13984" spans="1:1">
      <c r="A13984" t="inlineStr">
        <is>
          <t>Nayon</t>
        </is>
      </c>
    </row>
    <row r="13985" spans="1:1">
      <c r="A13985" t="inlineStr">
        <is>
          <t>Panopdopan</t>
        </is>
      </c>
    </row>
    <row r="13986" spans="1:1">
      <c r="A13986" t="inlineStr">
        <is>
          <t>Payawan</t>
        </is>
      </c>
    </row>
    <row r="13987" spans="1:1">
      <c r="A13987" t="inlineStr">
        <is>
          <t>Pieza</t>
        </is>
      </c>
    </row>
    <row r="13988" spans="1:1">
      <c r="A13988" t="inlineStr">
        <is>
          <t>Poblacion East</t>
        </is>
      </c>
    </row>
    <row r="13989" spans="1:1">
      <c r="A13989" t="inlineStr">
        <is>
          <t>Poblacion West</t>
        </is>
      </c>
    </row>
    <row r="13990" spans="1:1">
      <c r="A13990" t="inlineStr">
        <is>
          <t>Pugol</t>
        </is>
      </c>
    </row>
    <row r="13991" spans="1:1">
      <c r="A13991" t="inlineStr">
        <is>
          <t>Salamague</t>
        </is>
      </c>
    </row>
    <row r="13992" spans="1:1">
      <c r="A13992" t="inlineStr">
        <is>
          <t>Sanafe</t>
        </is>
      </c>
    </row>
    <row r="13993" spans="1:1">
      <c r="A13993" t="inlineStr">
        <is>
          <t>Umilag</t>
        </is>
      </c>
    </row>
    <row r="13994" spans="1:1">
      <c r="A13994" t="inlineStr">
        <is>
          <t>Aduyongan</t>
        </is>
      </c>
    </row>
    <row r="13995" spans="1:1">
      <c r="A13995" t="inlineStr">
        <is>
          <t>Alimit</t>
        </is>
      </c>
    </row>
    <row r="13996" spans="1:1">
      <c r="A13996" t="inlineStr">
        <is>
          <t>Ayangan</t>
        </is>
      </c>
    </row>
    <row r="13997" spans="1:1">
      <c r="A13997" t="inlineStr">
        <is>
          <t>Balangbang</t>
        </is>
      </c>
    </row>
    <row r="13998" spans="1:1">
      <c r="A13998" t="inlineStr">
        <is>
          <t>Banao</t>
        </is>
      </c>
    </row>
    <row r="13999" spans="1:1">
      <c r="A13999" t="inlineStr">
        <is>
          <t>Banhal</t>
        </is>
      </c>
    </row>
    <row r="14000" spans="1:1">
      <c r="A14000" t="inlineStr">
        <is>
          <t>Bato-Alatbang</t>
        </is>
      </c>
    </row>
    <row r="14001" spans="1:1">
      <c r="A14001" t="inlineStr">
        <is>
          <t>Bongan</t>
        </is>
      </c>
    </row>
    <row r="14002" spans="1:1">
      <c r="A14002" t="inlineStr">
        <is>
          <t>Buninan</t>
        </is>
      </c>
    </row>
    <row r="14003" spans="1:1">
      <c r="A14003" t="inlineStr">
        <is>
          <t>Chaya</t>
        </is>
      </c>
    </row>
    <row r="14004" spans="1:1">
      <c r="A14004" t="inlineStr">
        <is>
          <t>Chumang</t>
        </is>
      </c>
    </row>
    <row r="14005" spans="1:1">
      <c r="A14005" t="inlineStr">
        <is>
          <t>Epeng</t>
        </is>
      </c>
    </row>
    <row r="14006" spans="1:1">
      <c r="A14006" t="inlineStr">
        <is>
          <t>Guinihon</t>
        </is>
      </c>
    </row>
    <row r="14007" spans="1:1">
      <c r="A14007" t="inlineStr">
        <is>
          <t>Inwaloy</t>
        </is>
      </c>
    </row>
    <row r="14008" spans="1:1">
      <c r="A14008" t="inlineStr">
        <is>
          <t>Langayan</t>
        </is>
      </c>
    </row>
    <row r="14009" spans="1:1">
      <c r="A14009" t="inlineStr">
        <is>
          <t>Liwo</t>
        </is>
      </c>
    </row>
    <row r="14010" spans="1:1">
      <c r="A14010" t="inlineStr">
        <is>
          <t>Maga</t>
        </is>
      </c>
    </row>
    <row r="14011" spans="1:1">
      <c r="A14011" t="inlineStr">
        <is>
          <t>Magulon</t>
        </is>
      </c>
    </row>
    <row r="14012" spans="1:1">
      <c r="A14012" t="inlineStr">
        <is>
          <t>Mapawoy</t>
        </is>
      </c>
    </row>
    <row r="14013" spans="1:1">
      <c r="A14013" t="inlineStr">
        <is>
          <t>Mayoyao Proper</t>
        </is>
      </c>
    </row>
    <row r="14014" spans="1:1">
      <c r="A14014" t="inlineStr">
        <is>
          <t>Mongol</t>
        </is>
      </c>
    </row>
    <row r="14015" spans="1:1">
      <c r="A14015" t="inlineStr">
        <is>
          <t>Nalbu</t>
        </is>
      </c>
    </row>
    <row r="14016" spans="1:1">
      <c r="A14016" t="inlineStr">
        <is>
          <t>Nattum</t>
        </is>
      </c>
    </row>
    <row r="14017" spans="1:1">
      <c r="A14017" t="inlineStr">
        <is>
          <t>Palaad</t>
        </is>
      </c>
    </row>
    <row r="14018" spans="1:1">
      <c r="A14018" t="inlineStr">
        <is>
          <t>Poblacion</t>
        </is>
      </c>
    </row>
    <row r="14019" spans="1:1">
      <c r="A14019" t="inlineStr">
        <is>
          <t>Talboc</t>
        </is>
      </c>
    </row>
    <row r="14020" spans="1:1">
      <c r="A14020" t="inlineStr">
        <is>
          <t>Tulaed</t>
        </is>
      </c>
    </row>
    <row r="14021" spans="1:1">
      <c r="A14021" t="inlineStr">
        <is>
          <t>Ahin</t>
        </is>
      </c>
    </row>
    <row r="14022" spans="1:1">
      <c r="A14022" t="inlineStr">
        <is>
          <t>Ap-apid</t>
        </is>
      </c>
    </row>
    <row r="14023" spans="1:1">
      <c r="A14023" t="inlineStr">
        <is>
          <t>Binablayan</t>
        </is>
      </c>
    </row>
    <row r="14024" spans="1:1">
      <c r="A14024" t="inlineStr">
        <is>
          <t>Danggo</t>
        </is>
      </c>
    </row>
    <row r="14025" spans="1:1">
      <c r="A14025" t="inlineStr">
        <is>
          <t>Eheb</t>
        </is>
      </c>
    </row>
    <row r="14026" spans="1:1">
      <c r="A14026" t="inlineStr">
        <is>
          <t>Gumhang</t>
        </is>
      </c>
    </row>
    <row r="14027" spans="1:1">
      <c r="A14027" t="inlineStr">
        <is>
          <t>Impugong</t>
        </is>
      </c>
    </row>
    <row r="14028" spans="1:1">
      <c r="A14028" t="inlineStr">
        <is>
          <t>Luhong</t>
        </is>
      </c>
    </row>
    <row r="14029" spans="1:1">
      <c r="A14029" t="inlineStr">
        <is>
          <t>Tinoc</t>
        </is>
      </c>
    </row>
    <row r="14030" spans="1:1">
      <c r="A14030" t="inlineStr">
        <is>
          <t>Tukucan</t>
        </is>
      </c>
    </row>
    <row r="14031" spans="1:1">
      <c r="A14031" t="inlineStr">
        <is>
          <t>Tulludan</t>
        </is>
      </c>
    </row>
    <row r="14032" spans="1:1">
      <c r="A14032" t="inlineStr">
        <is>
          <t>Wangwang</t>
        </is>
      </c>
    </row>
    <row r="14033" spans="1:1">
      <c r="A14033" t="inlineStr">
        <is>
          <t>Adams</t>
        </is>
      </c>
    </row>
    <row r="14034" spans="1:1">
      <c r="A14034" t="inlineStr">
        <is>
          <t>Bani</t>
        </is>
      </c>
    </row>
    <row r="14035" spans="1:1">
      <c r="A14035" t="inlineStr">
        <is>
          <t>Buyon</t>
        </is>
      </c>
    </row>
    <row r="14036" spans="1:1">
      <c r="A14036" t="inlineStr">
        <is>
          <t>Cabaruan</t>
        </is>
      </c>
    </row>
    <row r="14037" spans="1:1">
      <c r="A14037" t="inlineStr">
        <is>
          <t>Cabulalaan</t>
        </is>
      </c>
    </row>
    <row r="14038" spans="1:1">
      <c r="A14038" t="inlineStr">
        <is>
          <t>Cabusligan</t>
        </is>
      </c>
    </row>
    <row r="14039" spans="1:1">
      <c r="A14039" t="inlineStr">
        <is>
          <t>Cadaratan</t>
        </is>
      </c>
    </row>
    <row r="14040" spans="1:1">
      <c r="A14040" t="inlineStr">
        <is>
          <t>Calioet-Libong</t>
        </is>
      </c>
    </row>
    <row r="14041" spans="1:1">
      <c r="A14041" t="inlineStr">
        <is>
          <t>Casilian</t>
        </is>
      </c>
    </row>
    <row r="14042" spans="1:1">
      <c r="A14042" t="inlineStr">
        <is>
          <t>Corocor</t>
        </is>
      </c>
    </row>
    <row r="14043" spans="1:1">
      <c r="A14043" t="inlineStr">
        <is>
          <t>Duripes</t>
        </is>
      </c>
    </row>
    <row r="14044" spans="1:1">
      <c r="A14044" t="inlineStr">
        <is>
          <t>Ganagan</t>
        </is>
      </c>
    </row>
    <row r="14045" spans="1:1">
      <c r="A14045" t="inlineStr">
        <is>
          <t>Libtong</t>
        </is>
      </c>
    </row>
    <row r="14046" spans="1:1">
      <c r="A14046" t="inlineStr">
        <is>
          <t>Macupit</t>
        </is>
      </c>
    </row>
    <row r="14047" spans="1:1">
      <c r="A14047" t="inlineStr">
        <is>
          <t>Nambaran</t>
        </is>
      </c>
    </row>
    <row r="14048" spans="1:1">
      <c r="A14048" t="inlineStr">
        <is>
          <t>Natba</t>
        </is>
      </c>
    </row>
    <row r="14049" spans="1:1">
      <c r="A14049" t="inlineStr">
        <is>
          <t>Paninaan</t>
        </is>
      </c>
    </row>
    <row r="14050" spans="1:1">
      <c r="A14050" t="inlineStr">
        <is>
          <t>Pasiocan</t>
        </is>
      </c>
    </row>
    <row r="14051" spans="1:1">
      <c r="A14051" t="inlineStr">
        <is>
          <t>Pasngal</t>
        </is>
      </c>
    </row>
    <row r="14052" spans="1:1">
      <c r="A14052" t="inlineStr">
        <is>
          <t>Pipias</t>
        </is>
      </c>
    </row>
    <row r="14053" spans="1:1">
      <c r="A14053" t="inlineStr">
        <is>
          <t>Pulangi</t>
        </is>
      </c>
    </row>
    <row r="14054" spans="1:1">
      <c r="A14054" t="inlineStr">
        <is>
          <t>Pungto</t>
        </is>
      </c>
    </row>
    <row r="14055" spans="1:1">
      <c r="A14055" t="inlineStr">
        <is>
          <t>San Agustin I</t>
        </is>
      </c>
    </row>
    <row r="14056" spans="1:1">
      <c r="A14056" t="inlineStr">
        <is>
          <t>San Agustin II</t>
        </is>
      </c>
    </row>
    <row r="14057" spans="1:1">
      <c r="A14057" t="inlineStr">
        <is>
          <t>San Andres I</t>
        </is>
      </c>
    </row>
    <row r="14058" spans="1:1">
      <c r="A14058" t="inlineStr">
        <is>
          <t>San Andres II</t>
        </is>
      </c>
    </row>
    <row r="14059" spans="1:1">
      <c r="A14059" t="inlineStr">
        <is>
          <t>San Gabriel I</t>
        </is>
      </c>
    </row>
    <row r="14060" spans="1:1">
      <c r="A14060" t="inlineStr">
        <is>
          <t>San Gabriel II</t>
        </is>
      </c>
    </row>
    <row r="14061" spans="1:1">
      <c r="A14061" t="inlineStr">
        <is>
          <t>San Pedro I</t>
        </is>
      </c>
    </row>
    <row r="14062" spans="1:1">
      <c r="A14062" t="inlineStr">
        <is>
          <t>San Pedro II</t>
        </is>
      </c>
    </row>
    <row r="14063" spans="1:1">
      <c r="A14063" t="inlineStr">
        <is>
          <t>San Roque I</t>
        </is>
      </c>
    </row>
    <row r="14064" spans="1:1">
      <c r="A14064" t="inlineStr">
        <is>
          <t>San Roque II</t>
        </is>
      </c>
    </row>
    <row r="14065" spans="1:1">
      <c r="A14065" t="inlineStr">
        <is>
          <t>San Simon I</t>
        </is>
      </c>
    </row>
    <row r="14066" spans="1:1">
      <c r="A14066" t="inlineStr">
        <is>
          <t>San Simon II</t>
        </is>
      </c>
    </row>
    <row r="14067" spans="1:1">
      <c r="A14067" t="inlineStr">
        <is>
          <t>San Vicente</t>
        </is>
      </c>
    </row>
    <row r="14068" spans="1:1">
      <c r="A14068" t="inlineStr">
        <is>
          <t>Sangil</t>
        </is>
      </c>
    </row>
    <row r="14069" spans="1:1">
      <c r="A14069" t="inlineStr">
        <is>
          <t>Santa Filomena I</t>
        </is>
      </c>
    </row>
    <row r="14070" spans="1:1">
      <c r="A14070" t="inlineStr">
        <is>
          <t>Santa Filomena II</t>
        </is>
      </c>
    </row>
    <row r="14071" spans="1:1">
      <c r="A14071" t="inlineStr">
        <is>
          <t>Santa Rita</t>
        </is>
      </c>
    </row>
    <row r="14072" spans="1:1">
      <c r="A14072" t="inlineStr">
        <is>
          <t>Santo Cristo I</t>
        </is>
      </c>
    </row>
    <row r="14073" spans="1:1">
      <c r="A14073" t="inlineStr">
        <is>
          <t>Santo Cristo II</t>
        </is>
      </c>
    </row>
    <row r="14074" spans="1:1">
      <c r="A14074" t="inlineStr">
        <is>
          <t>Tambidao</t>
        </is>
      </c>
    </row>
    <row r="14075" spans="1:1">
      <c r="A14075" t="inlineStr">
        <is>
          <t>Teppang</t>
        </is>
      </c>
    </row>
    <row r="14076" spans="1:1">
      <c r="A14076" t="inlineStr">
        <is>
          <t>Tubburan</t>
        </is>
      </c>
    </row>
    <row r="14077" spans="1:1">
      <c r="A14077" t="inlineStr">
        <is>
          <t>Alay-Nangbabaan</t>
        </is>
      </c>
    </row>
    <row r="14078" spans="1:1">
      <c r="A14078" t="inlineStr">
        <is>
          <t>Alogoog</t>
        </is>
      </c>
    </row>
    <row r="14079" spans="1:1">
      <c r="A14079" t="inlineStr">
        <is>
          <t>Ar-arusip</t>
        </is>
      </c>
    </row>
    <row r="14080" spans="1:1">
      <c r="A14080" t="inlineStr">
        <is>
          <t>Aring</t>
        </is>
      </c>
    </row>
    <row r="14081" spans="1:1">
      <c r="A14081" t="inlineStr">
        <is>
          <t>Balbaldez</t>
        </is>
      </c>
    </row>
    <row r="14082" spans="1:1">
      <c r="A14082" t="inlineStr">
        <is>
          <t>Bato</t>
        </is>
      </c>
    </row>
    <row r="14083" spans="1:1">
      <c r="A14083" t="inlineStr">
        <is>
          <t>Camanga</t>
        </is>
      </c>
    </row>
    <row r="14084" spans="1:1">
      <c r="A14084" t="inlineStr">
        <is>
          <t>Canaan</t>
        </is>
      </c>
    </row>
    <row r="14085" spans="1:1">
      <c r="A14085" t="inlineStr">
        <is>
          <t>Caraitan</t>
        </is>
      </c>
    </row>
    <row r="14086" spans="1:1">
      <c r="A14086" t="inlineStr">
        <is>
          <t>Gabut Norte</t>
        </is>
      </c>
    </row>
    <row r="14087" spans="1:1">
      <c r="A14087" t="inlineStr">
        <is>
          <t>Gabut Sur</t>
        </is>
      </c>
    </row>
    <row r="14088" spans="1:1">
      <c r="A14088" t="inlineStr">
        <is>
          <t>Garreta</t>
        </is>
      </c>
    </row>
    <row r="14089" spans="1:1">
      <c r="A14089" t="inlineStr">
        <is>
          <t>La Virgen Milagrosa</t>
        </is>
      </c>
    </row>
    <row r="14090" spans="1:1">
      <c r="A14090" t="inlineStr">
        <is>
          <t>Labut</t>
        </is>
      </c>
    </row>
    <row r="14091" spans="1:1">
      <c r="A14091" t="inlineStr">
        <is>
          <t>Lacuben</t>
        </is>
      </c>
    </row>
    <row r="14092" spans="1:1">
      <c r="A14092" t="inlineStr">
        <is>
          <t>Lubigan</t>
        </is>
      </c>
    </row>
    <row r="14093" spans="1:1">
      <c r="A14093" t="inlineStr">
        <is>
          <t>Mabusag Norte</t>
        </is>
      </c>
    </row>
    <row r="14094" spans="1:1">
      <c r="A14094" t="inlineStr">
        <is>
          <t>Mabusag Sur</t>
        </is>
      </c>
    </row>
    <row r="14095" spans="1:1">
      <c r="A14095" t="inlineStr">
        <is>
          <t>Madupayas</t>
        </is>
      </c>
    </row>
    <row r="14096" spans="1:1">
      <c r="A14096" t="inlineStr">
        <is>
          <t>Morong</t>
        </is>
      </c>
    </row>
    <row r="14097" spans="1:1">
      <c r="A14097" t="inlineStr">
        <is>
          <t>Nagrebcan</t>
        </is>
      </c>
    </row>
    <row r="14098" spans="1:1">
      <c r="A14098" t="inlineStr">
        <is>
          <t>Napu</t>
        </is>
      </c>
    </row>
    <row r="14099" spans="1:1">
      <c r="A14099" t="inlineStr">
        <is>
          <t>Pagsanahan Norte</t>
        </is>
      </c>
    </row>
    <row r="14100" spans="1:1">
      <c r="A14100" t="inlineStr">
        <is>
          <t>Pagsanahan Sur</t>
        </is>
      </c>
    </row>
    <row r="14101" spans="1:1">
      <c r="A14101" t="inlineStr">
        <is>
          <t>Paltit</t>
        </is>
      </c>
    </row>
    <row r="14102" spans="1:1">
      <c r="A14102" t="inlineStr">
        <is>
          <t>Parang</t>
        </is>
      </c>
    </row>
    <row r="14103" spans="1:1">
      <c r="A14103" t="inlineStr">
        <is>
          <t>Pasuc</t>
        </is>
      </c>
    </row>
    <row r="14104" spans="1:1">
      <c r="A14104" t="inlineStr">
        <is>
          <t>Santa Cruz Norte</t>
        </is>
      </c>
    </row>
    <row r="14105" spans="1:1">
      <c r="A14105" t="inlineStr">
        <is>
          <t>Santa Cruz Sur</t>
        </is>
      </c>
    </row>
    <row r="14106" spans="1:1">
      <c r="A14106" t="inlineStr">
        <is>
          <t>Saud</t>
        </is>
      </c>
    </row>
    <row r="14107" spans="1:1">
      <c r="A14107" t="inlineStr">
        <is>
          <t>Turod</t>
        </is>
      </c>
    </row>
    <row r="14108" spans="1:1">
      <c r="A14108" t="inlineStr">
        <is>
          <t>Abaca</t>
        </is>
      </c>
    </row>
    <row r="14109" spans="1:1">
      <c r="A14109" t="inlineStr">
        <is>
          <t>Bacsil</t>
        </is>
      </c>
    </row>
    <row r="14110" spans="1:1">
      <c r="A14110" t="inlineStr">
        <is>
          <t>Banban</t>
        </is>
      </c>
    </row>
    <row r="14111" spans="1:1">
      <c r="A14111" t="inlineStr">
        <is>
          <t>Baruyen</t>
        </is>
      </c>
    </row>
    <row r="14112" spans="1:1">
      <c r="A14112" t="inlineStr">
        <is>
          <t>Dadaor</t>
        </is>
      </c>
    </row>
    <row r="14113" spans="1:1">
      <c r="A14113" t="inlineStr">
        <is>
          <t>Lanao</t>
        </is>
      </c>
    </row>
    <row r="14114" spans="1:1">
      <c r="A14114" t="inlineStr">
        <is>
          <t>Malasin</t>
        </is>
      </c>
    </row>
    <row r="14115" spans="1:1">
      <c r="A14115" t="inlineStr">
        <is>
          <t>Manayon</t>
        </is>
      </c>
    </row>
    <row r="14116" spans="1:1">
      <c r="A14116" t="inlineStr">
        <is>
          <t>Masikil</t>
        </is>
      </c>
    </row>
    <row r="14117" spans="1:1">
      <c r="A14117" t="inlineStr">
        <is>
          <t>Nagbalagan</t>
        </is>
      </c>
    </row>
    <row r="14118" spans="1:1">
      <c r="A14118" t="inlineStr">
        <is>
          <t>Payac</t>
        </is>
      </c>
    </row>
    <row r="14119" spans="1:1">
      <c r="A14119" t="inlineStr">
        <is>
          <t>San Lorenzo</t>
        </is>
      </c>
    </row>
    <row r="14120" spans="1:1">
      <c r="A14120" t="inlineStr">
        <is>
          <t>Taguiporo</t>
        </is>
      </c>
    </row>
    <row r="14121" spans="1:1">
      <c r="A14121" t="inlineStr">
        <is>
          <t>Utol</t>
        </is>
      </c>
    </row>
    <row r="14122" spans="1:1">
      <c r="A14122" t="inlineStr">
        <is>
          <t>Balioeg</t>
        </is>
      </c>
    </row>
    <row r="14123" spans="1:1">
      <c r="A14123" t="inlineStr">
        <is>
          <t>Bangsar</t>
        </is>
      </c>
    </row>
    <row r="14124" spans="1:1">
      <c r="A14124" t="inlineStr">
        <is>
          <t>Barbarangay</t>
        </is>
      </c>
    </row>
    <row r="14125" spans="1:1">
      <c r="A14125" t="inlineStr">
        <is>
          <t>Binacag</t>
        </is>
      </c>
    </row>
    <row r="14126" spans="1:1">
      <c r="A14126" t="inlineStr">
        <is>
          <t>Bomitog</t>
        </is>
      </c>
    </row>
    <row r="14127" spans="1:1">
      <c r="A14127" t="inlineStr">
        <is>
          <t>Bugasi</t>
        </is>
      </c>
    </row>
    <row r="14128" spans="1:1">
      <c r="A14128" t="inlineStr">
        <is>
          <t>Caestebanan</t>
        </is>
      </c>
    </row>
    <row r="14129" spans="1:1">
      <c r="A14129" t="inlineStr">
        <is>
          <t>Caribquib</t>
        </is>
      </c>
    </row>
    <row r="14130" spans="1:1">
      <c r="A14130" t="inlineStr">
        <is>
          <t>Catagtaguen</t>
        </is>
      </c>
    </row>
    <row r="14131" spans="1:1">
      <c r="A14131" t="inlineStr">
        <is>
          <t>Crispina</t>
        </is>
      </c>
    </row>
    <row r="14132" spans="1:1">
      <c r="A14132" t="inlineStr">
        <is>
          <t>Hilario</t>
        </is>
      </c>
    </row>
    <row r="14133" spans="1:1">
      <c r="A14133" t="inlineStr">
        <is>
          <t>Imelda</t>
        </is>
      </c>
    </row>
    <row r="14134" spans="1:1">
      <c r="A14134" t="inlineStr">
        <is>
          <t>Lorenzo</t>
        </is>
      </c>
    </row>
    <row r="14135" spans="1:1">
      <c r="A14135" t="inlineStr">
        <is>
          <t>Macayepyep</t>
        </is>
      </c>
    </row>
    <row r="14136" spans="1:1">
      <c r="A14136" t="inlineStr">
        <is>
          <t>Marcos</t>
        </is>
      </c>
    </row>
    <row r="14137" spans="1:1">
      <c r="A14137" t="inlineStr">
        <is>
          <t>Nagpatayan</t>
        </is>
      </c>
    </row>
    <row r="14138" spans="1:1">
      <c r="A14138" t="inlineStr">
        <is>
          <t>Sinamar</t>
        </is>
      </c>
    </row>
    <row r="14139" spans="1:1">
      <c r="A14139" t="inlineStr">
        <is>
          <t>Tabtabagan</t>
        </is>
      </c>
    </row>
    <row r="14140" spans="1:1">
      <c r="A14140" t="inlineStr">
        <is>
          <t>Valdez</t>
        </is>
      </c>
    </row>
    <row r="14141" spans="1:1">
      <c r="A14141" t="inlineStr">
        <is>
          <t>Valenciano</t>
        </is>
      </c>
    </row>
    <row r="14142" spans="1:1">
      <c r="A14142" t="inlineStr">
        <is>
          <t>Ablan Sarat</t>
        </is>
      </c>
    </row>
    <row r="14143" spans="1:1">
      <c r="A14143" t="inlineStr">
        <is>
          <t>Agaga</t>
        </is>
      </c>
    </row>
    <row r="14144" spans="1:1">
      <c r="A14144" t="inlineStr">
        <is>
          <t>Bayog</t>
        </is>
      </c>
    </row>
    <row r="14145" spans="1:1">
      <c r="A14145" t="inlineStr">
        <is>
          <t>Bobon</t>
        </is>
      </c>
    </row>
    <row r="14146" spans="1:1">
      <c r="A14146" t="inlineStr">
        <is>
          <t>Buduan</t>
        </is>
      </c>
    </row>
    <row r="14147" spans="1:1">
      <c r="A14147" t="inlineStr">
        <is>
          <t>Nagsurot</t>
        </is>
      </c>
    </row>
    <row r="14148" spans="1:1">
      <c r="A14148" t="inlineStr">
        <is>
          <t>Paayas</t>
        </is>
      </c>
    </row>
    <row r="14149" spans="1:1">
      <c r="A14149" t="inlineStr">
        <is>
          <t>Pagali</t>
        </is>
      </c>
    </row>
    <row r="14150" spans="1:1">
      <c r="A14150" t="inlineStr">
        <is>
          <t>Poblacion</t>
        </is>
      </c>
    </row>
    <row r="14151" spans="1:1">
      <c r="A14151" t="inlineStr">
        <is>
          <t>Saoit</t>
        </is>
      </c>
    </row>
    <row r="14152" spans="1:1">
      <c r="A14152" t="inlineStr">
        <is>
          <t>Tanap</t>
        </is>
      </c>
    </row>
    <row r="14153" spans="1:1">
      <c r="A14153" t="inlineStr">
        <is>
          <t>Angset</t>
        </is>
      </c>
    </row>
    <row r="14154" spans="1:1">
      <c r="A14154" t="inlineStr">
        <is>
          <t>Barbaqueso</t>
        </is>
      </c>
    </row>
    <row r="14155" spans="1:1">
      <c r="A14155" t="inlineStr">
        <is>
          <t>Virbira</t>
        </is>
      </c>
    </row>
    <row r="14156" spans="1:1">
      <c r="A14156" t="inlineStr">
        <is>
          <t>Ablan Pob.</t>
        </is>
      </c>
    </row>
    <row r="14157" spans="1:1">
      <c r="A14157" t="inlineStr">
        <is>
          <t>Acosta Pob.</t>
        </is>
      </c>
    </row>
    <row r="14158" spans="1:1">
      <c r="A14158" t="inlineStr">
        <is>
          <t>Aglipay</t>
        </is>
      </c>
    </row>
    <row r="14159" spans="1:1">
      <c r="A14159" t="inlineStr">
        <is>
          <t>Baay</t>
        </is>
      </c>
    </row>
    <row r="14160" spans="1:1">
      <c r="A14160" t="inlineStr">
        <is>
          <t>Baligat</t>
        </is>
      </c>
    </row>
    <row r="14161" spans="1:1">
      <c r="A14161" t="inlineStr">
        <is>
          <t>Baoa East</t>
        </is>
      </c>
    </row>
    <row r="14162" spans="1:1">
      <c r="A14162" t="inlineStr">
        <is>
          <t>Baoa West</t>
        </is>
      </c>
    </row>
    <row r="14163" spans="1:1">
      <c r="A14163" t="inlineStr">
        <is>
          <t>Barani</t>
        </is>
      </c>
    </row>
    <row r="14164" spans="1:1">
      <c r="A14164" t="inlineStr">
        <is>
          <t>Ben-agan</t>
        </is>
      </c>
    </row>
    <row r="14165" spans="1:1">
      <c r="A14165" t="inlineStr">
        <is>
          <t>Bil-loca</t>
        </is>
      </c>
    </row>
    <row r="14166" spans="1:1">
      <c r="A14166" t="inlineStr">
        <is>
          <t>Biningan</t>
        </is>
      </c>
    </row>
    <row r="14167" spans="1:1">
      <c r="A14167" t="inlineStr">
        <is>
          <t>Bungon</t>
        </is>
      </c>
    </row>
    <row r="14168" spans="1:1">
      <c r="A14168" t="inlineStr">
        <is>
          <t>Callaguip</t>
        </is>
      </c>
    </row>
    <row r="14169" spans="1:1">
      <c r="A14169" t="inlineStr">
        <is>
          <t>Camandingan</t>
        </is>
      </c>
    </row>
    <row r="14170" spans="1:1">
      <c r="A14170" t="inlineStr">
        <is>
          <t>Camguidan</t>
        </is>
      </c>
    </row>
    <row r="14171" spans="1:1">
      <c r="A14171" t="inlineStr">
        <is>
          <t>Cangrunaan</t>
        </is>
      </c>
    </row>
    <row r="14172" spans="1:1">
      <c r="A14172" t="inlineStr">
        <is>
          <t>Capacuan</t>
        </is>
      </c>
    </row>
    <row r="14173" spans="1:1">
      <c r="A14173" t="inlineStr">
        <is>
          <t>Caunayan</t>
        </is>
      </c>
    </row>
    <row r="14174" spans="1:1">
      <c r="A14174" t="inlineStr">
        <is>
          <t>Colo</t>
        </is>
      </c>
    </row>
    <row r="14175" spans="1:1">
      <c r="A14175" t="inlineStr">
        <is>
          <t>Dariwdiw</t>
        </is>
      </c>
    </row>
    <row r="14176" spans="1:1">
      <c r="A14176" t="inlineStr">
        <is>
          <t>Lacub</t>
        </is>
      </c>
    </row>
    <row r="14177" spans="1:1">
      <c r="A14177" t="inlineStr">
        <is>
          <t>Mabaleng</t>
        </is>
      </c>
    </row>
    <row r="14178" spans="1:1">
      <c r="A14178" t="inlineStr">
        <is>
          <t>Magnuang</t>
        </is>
      </c>
    </row>
    <row r="14179" spans="1:1">
      <c r="A14179" t="inlineStr">
        <is>
          <t>Maipalig</t>
        </is>
      </c>
    </row>
    <row r="14180" spans="1:1">
      <c r="A14180" t="inlineStr">
        <is>
          <t>Nagbacalan</t>
        </is>
      </c>
    </row>
    <row r="14181" spans="1:1">
      <c r="A14181" t="inlineStr">
        <is>
          <t>Naguirangan</t>
        </is>
      </c>
    </row>
    <row r="14182" spans="1:1">
      <c r="A14182" t="inlineStr">
        <is>
          <t>Palongpong</t>
        </is>
      </c>
    </row>
    <row r="14183" spans="1:1">
      <c r="A14183" t="inlineStr">
        <is>
          <t>Palpalicong</t>
        </is>
      </c>
    </row>
    <row r="14184" spans="1:1">
      <c r="A14184" t="inlineStr">
        <is>
          <t>Parangopong</t>
        </is>
      </c>
    </row>
    <row r="14185" spans="1:1">
      <c r="A14185" t="inlineStr">
        <is>
          <t>Payao</t>
        </is>
      </c>
    </row>
    <row r="14186" spans="1:1">
      <c r="A14186" t="inlineStr">
        <is>
          <t>Pimentel</t>
        </is>
      </c>
    </row>
    <row r="14187" spans="1:1">
      <c r="A14187" t="inlineStr">
        <is>
          <t>Quiling Norte</t>
        </is>
      </c>
    </row>
    <row r="14188" spans="1:1">
      <c r="A14188" t="inlineStr">
        <is>
          <t>Quiling Sur</t>
        </is>
      </c>
    </row>
    <row r="14189" spans="1:1">
      <c r="A14189" t="inlineStr">
        <is>
          <t>Quiom</t>
        </is>
      </c>
    </row>
    <row r="14190" spans="1:1">
      <c r="A14190" t="inlineStr">
        <is>
          <t>Rayuray</t>
        </is>
      </c>
    </row>
    <row r="14191" spans="1:1">
      <c r="A14191" t="inlineStr">
        <is>
          <t>Ricarte Pob.</t>
        </is>
      </c>
    </row>
    <row r="14192" spans="1:1">
      <c r="A14192" t="inlineStr">
        <is>
          <t>San Julian</t>
        </is>
      </c>
    </row>
    <row r="14193" spans="1:1">
      <c r="A14193" t="inlineStr">
        <is>
          <t>San Mateo</t>
        </is>
      </c>
    </row>
    <row r="14194" spans="1:1">
      <c r="A14194" t="inlineStr">
        <is>
          <t>San Pedro</t>
        </is>
      </c>
    </row>
    <row r="14195" spans="1:1">
      <c r="A14195" t="inlineStr">
        <is>
          <t>Suabit</t>
        </is>
      </c>
    </row>
    <row r="14196" spans="1:1">
      <c r="A14196" t="inlineStr">
        <is>
          <t>Sumader</t>
        </is>
      </c>
    </row>
    <row r="14197" spans="1:1">
      <c r="A14197" t="inlineStr">
        <is>
          <t>Tabug</t>
        </is>
      </c>
    </row>
    <row r="14198" spans="1:1">
      <c r="A14198" t="inlineStr">
        <is>
          <t>Valdez Pob.</t>
        </is>
      </c>
    </row>
    <row r="14199" spans="1:1">
      <c r="A14199" t="inlineStr">
        <is>
          <t>Bgy. No. 1, San Lorenzo</t>
        </is>
      </c>
    </row>
    <row r="14200" spans="1:1">
      <c r="A14200" t="inlineStr">
        <is>
          <t>Bgy. No. 10, San Jose</t>
        </is>
      </c>
    </row>
    <row r="14201" spans="1:1">
      <c r="A14201" t="inlineStr">
        <is>
          <t>Bgy. No. 11, Santa Balbina</t>
        </is>
      </c>
    </row>
    <row r="14202" spans="1:1">
      <c r="A14202" t="inlineStr">
        <is>
          <t>Bgy. No. 12, San Isidro</t>
        </is>
      </c>
    </row>
    <row r="14203" spans="1:1">
      <c r="A14203" t="inlineStr">
        <is>
          <t>Bgy. No. 13, Nstra. Sra. De Visitacion</t>
        </is>
      </c>
    </row>
    <row r="14204" spans="1:1">
      <c r="A14204" t="inlineStr">
        <is>
          <t>Bgy. No. 14, Santo Tomas</t>
        </is>
      </c>
    </row>
    <row r="14205" spans="1:1">
      <c r="A14205" t="inlineStr">
        <is>
          <t>Bgy. No. 15, San Guillermo</t>
        </is>
      </c>
    </row>
    <row r="14206" spans="1:1">
      <c r="A14206" t="inlineStr">
        <is>
          <t>Bgy. No. 16, San Jacinto</t>
        </is>
      </c>
    </row>
    <row r="14207" spans="1:1">
      <c r="A14207" t="inlineStr">
        <is>
          <t>Bgy. No. 17, San Francisco</t>
        </is>
      </c>
    </row>
    <row r="14208" spans="1:1">
      <c r="A14208" t="inlineStr">
        <is>
          <t>Bgy. No. 19, Santa Marcela</t>
        </is>
      </c>
    </row>
    <row r="14209" spans="1:1">
      <c r="A14209" t="inlineStr">
        <is>
          <t>Bgy. No. 2, Santa Joaquina</t>
        </is>
      </c>
    </row>
    <row r="14210" spans="1:1">
      <c r="A14210" t="inlineStr">
        <is>
          <t>Bgy. No. 20, San Miguel</t>
        </is>
      </c>
    </row>
    <row r="14211" spans="1:1">
      <c r="A14211" t="inlineStr">
        <is>
          <t>Bgy. No. 21, San Pedro</t>
        </is>
      </c>
    </row>
    <row r="14212" spans="1:1">
      <c r="A14212" t="inlineStr">
        <is>
          <t>Bgy. No. 22, San Andres</t>
        </is>
      </c>
    </row>
    <row r="14213" spans="1:1">
      <c r="A14213" t="inlineStr">
        <is>
          <t>Bgy. No. 23, San Matias</t>
        </is>
      </c>
    </row>
    <row r="14214" spans="1:1">
      <c r="A14214" t="inlineStr">
        <is>
          <t>Bgy. No. 24, Nstra. Sra. De Consolacion</t>
        </is>
      </c>
    </row>
    <row r="14215" spans="1:1">
      <c r="A14215" t="inlineStr">
        <is>
          <t>Bgy. No. 25, Santa Cayetana</t>
        </is>
      </c>
    </row>
    <row r="14216" spans="1:1">
      <c r="A14216" t="inlineStr">
        <is>
          <t>Bgy. No. 26, San Marcelino</t>
        </is>
      </c>
    </row>
    <row r="14217" spans="1:1">
      <c r="A14217" t="inlineStr">
        <is>
          <t>Bgy. No. 27, Nstra. Sra. De Soledad</t>
        </is>
      </c>
    </row>
    <row r="14218" spans="1:1">
      <c r="A14218" t="inlineStr">
        <is>
          <t>Bgy. No. 28, San Bernardo</t>
        </is>
      </c>
    </row>
    <row r="14219" spans="1:1">
      <c r="A14219" t="inlineStr">
        <is>
          <t>Bgy. No. 29, Santo Tomas</t>
        </is>
      </c>
    </row>
    <row r="14220" spans="1:1">
      <c r="A14220" t="inlineStr">
        <is>
          <t>Bgy. No. 3, Nstra. Sra. Del Rosario</t>
        </is>
      </c>
    </row>
    <row r="14221" spans="1:1">
      <c r="A14221" t="inlineStr">
        <is>
          <t>Bgy. No. 30-A, Suyo</t>
        </is>
      </c>
    </row>
    <row r="14222" spans="1:1">
      <c r="A14222" t="inlineStr">
        <is>
          <t>Bgy. No. 30-B, Santa Maria</t>
        </is>
      </c>
    </row>
    <row r="14223" spans="1:1">
      <c r="A14223" t="inlineStr">
        <is>
          <t>Bgy. No. 31, Talingaan</t>
        </is>
      </c>
    </row>
    <row r="14224" spans="1:1">
      <c r="A14224" t="inlineStr">
        <is>
          <t>Bgy. No. 32-A, La Paz East</t>
        </is>
      </c>
    </row>
    <row r="14225" spans="1:1">
      <c r="A14225" t="inlineStr">
        <is>
          <t>Bgy. No. 32-B, La Paz West</t>
        </is>
      </c>
    </row>
    <row r="14226" spans="1:1">
      <c r="A14226" t="inlineStr">
        <is>
          <t>Bgy. No. 32-C La Paz East</t>
        </is>
      </c>
    </row>
    <row r="14227" spans="1:1">
      <c r="A14227" t="inlineStr">
        <is>
          <t>Bgy. No. 33-A, La Paz Proper</t>
        </is>
      </c>
    </row>
    <row r="14228" spans="1:1">
      <c r="A14228" t="inlineStr">
        <is>
          <t>Bgy. No. 33-B, La Paz Proper</t>
        </is>
      </c>
    </row>
    <row r="14229" spans="1:1">
      <c r="A14229" t="inlineStr">
        <is>
          <t>Bgy. No. 34-A, Gabu Norte West</t>
        </is>
      </c>
    </row>
    <row r="14230" spans="1:1">
      <c r="A14230" t="inlineStr">
        <is>
          <t>Bgy. No. 34-B, Gabu Norte East</t>
        </is>
      </c>
    </row>
    <row r="14231" spans="1:1">
      <c r="A14231" t="inlineStr">
        <is>
          <t>Bgy. No. 35, Gabu Sur</t>
        </is>
      </c>
    </row>
    <row r="14232" spans="1:1">
      <c r="A14232" t="inlineStr">
        <is>
          <t>Bgy. No. 36, Araniw</t>
        </is>
      </c>
    </row>
    <row r="14233" spans="1:1">
      <c r="A14233" t="inlineStr">
        <is>
          <t>Bgy. No. 37, Calayab</t>
        </is>
      </c>
    </row>
    <row r="14234" spans="1:1">
      <c r="A14234" t="inlineStr">
        <is>
          <t>Bgy. No. 38-A, Mangato East</t>
        </is>
      </c>
    </row>
    <row r="14235" spans="1:1">
      <c r="A14235" t="inlineStr">
        <is>
          <t>Bgy. No. 38-B, Mangato West</t>
        </is>
      </c>
    </row>
    <row r="14236" spans="1:1">
      <c r="A14236" t="inlineStr">
        <is>
          <t>Bgy. No. 39, Santa Rosa</t>
        </is>
      </c>
    </row>
    <row r="14237" spans="1:1">
      <c r="A14237" t="inlineStr">
        <is>
          <t>Bgy. No. 4, San Guillermo</t>
        </is>
      </c>
    </row>
    <row r="14238" spans="1:1">
      <c r="A14238" t="inlineStr">
        <is>
          <t>Bgy. No. 40, Balatong</t>
        </is>
      </c>
    </row>
    <row r="14239" spans="1:1">
      <c r="A14239" t="inlineStr">
        <is>
          <t>Bgy. No. 41, Balacad</t>
        </is>
      </c>
    </row>
    <row r="14240" spans="1:1">
      <c r="A14240" t="inlineStr">
        <is>
          <t>Bgy. No. 42, Apaya</t>
        </is>
      </c>
    </row>
    <row r="14241" spans="1:1">
      <c r="A14241" t="inlineStr">
        <is>
          <t>Bgy. No. 43, Cavit</t>
        </is>
      </c>
    </row>
    <row r="14242" spans="1:1">
      <c r="A14242" t="inlineStr">
        <is>
          <t>Bgy. No. 44, Zamboanga</t>
        </is>
      </c>
    </row>
    <row r="14243" spans="1:1">
      <c r="A14243" t="inlineStr">
        <is>
          <t>Bgy. No. 45, Tangid</t>
        </is>
      </c>
    </row>
    <row r="14244" spans="1:1">
      <c r="A14244" t="inlineStr">
        <is>
          <t>Bgy. No. 46, Nalbo</t>
        </is>
      </c>
    </row>
    <row r="14245" spans="1:1">
      <c r="A14245" t="inlineStr">
        <is>
          <t>Bgy. No. 47, Bengcag</t>
        </is>
      </c>
    </row>
    <row r="14246" spans="1:1">
      <c r="A14246" t="inlineStr">
        <is>
          <t>Bgy. No. 48-B, Cabungaan South</t>
        </is>
      </c>
    </row>
    <row r="14247" spans="1:1">
      <c r="A14247" t="inlineStr">
        <is>
          <t>Bgy. No. 49-A, Darayday</t>
        </is>
      </c>
    </row>
    <row r="14248" spans="1:1">
      <c r="A14248" t="inlineStr">
        <is>
          <t>Bgy. No. 49-B, Raraburan</t>
        </is>
      </c>
    </row>
    <row r="14249" spans="1:1">
      <c r="A14249" t="inlineStr">
        <is>
          <t>Bgy. No. 5, San Pedro</t>
        </is>
      </c>
    </row>
    <row r="14250" spans="1:1">
      <c r="A14250" t="inlineStr">
        <is>
          <t>Bgy. No. 50, Buttong</t>
        </is>
      </c>
    </row>
    <row r="14251" spans="1:1">
      <c r="A14251" t="inlineStr">
        <is>
          <t>Bgy. No. 51-A, Nangalisan East</t>
        </is>
      </c>
    </row>
    <row r="14252" spans="1:1">
      <c r="A14252" t="inlineStr">
        <is>
          <t>Bgy. No. 51-B, Nangalisan West</t>
        </is>
      </c>
    </row>
    <row r="14253" spans="1:1">
      <c r="A14253" t="inlineStr">
        <is>
          <t>Bgy. No. 52-A, San Mateo</t>
        </is>
      </c>
    </row>
    <row r="14254" spans="1:1">
      <c r="A14254" t="inlineStr">
        <is>
          <t>Bgy. No. 52-B, Lataag</t>
        </is>
      </c>
    </row>
    <row r="14255" spans="1:1">
      <c r="A14255" t="inlineStr">
        <is>
          <t>Bgy. No. 53, Rioeng</t>
        </is>
      </c>
    </row>
    <row r="14256" spans="1:1">
      <c r="A14256" t="inlineStr">
        <is>
          <t>Bgy. No. 54-A, Lagui-Sail</t>
        </is>
      </c>
    </row>
    <row r="14257" spans="1:1">
      <c r="A14257" t="inlineStr">
        <is>
          <t>Bgy. No. 54-B, Camangaan</t>
        </is>
      </c>
    </row>
    <row r="14258" spans="1:1">
      <c r="A14258" t="inlineStr">
        <is>
          <t>Bgy. No. 55-A, Barit-Pandan</t>
        </is>
      </c>
    </row>
    <row r="14259" spans="1:1">
      <c r="A14259" t="inlineStr">
        <is>
          <t>Bgy. No. 55-B, Salet-Bulangon</t>
        </is>
      </c>
    </row>
    <row r="14260" spans="1:1">
      <c r="A14260" t="inlineStr">
        <is>
          <t>Bgy. No. 55-C, Vira</t>
        </is>
      </c>
    </row>
    <row r="14261" spans="1:1">
      <c r="A14261" t="inlineStr">
        <is>
          <t>Bgy. No. 56-A, Bacsil North</t>
        </is>
      </c>
    </row>
    <row r="14262" spans="1:1">
      <c r="A14262" t="inlineStr">
        <is>
          <t>Bgy. No. 56-B, Bacsil South</t>
        </is>
      </c>
    </row>
    <row r="14263" spans="1:1">
      <c r="A14263" t="inlineStr">
        <is>
          <t>Bgy. No. 57, Pila</t>
        </is>
      </c>
    </row>
    <row r="14264" spans="1:1">
      <c r="A14264" t="inlineStr">
        <is>
          <t>Bgy. No. 58, Casili</t>
        </is>
      </c>
    </row>
    <row r="14265" spans="1:1">
      <c r="A14265" t="inlineStr">
        <is>
          <t>Bgy. No. 59-A, Dibua South</t>
        </is>
      </c>
    </row>
    <row r="14266" spans="1:1">
      <c r="A14266" t="inlineStr">
        <is>
          <t>Bgy. No. 59-B, Dibua North</t>
        </is>
      </c>
    </row>
    <row r="14267" spans="1:1">
      <c r="A14267" t="inlineStr">
        <is>
          <t>Bgy. No. 6, San Agustin</t>
        </is>
      </c>
    </row>
    <row r="14268" spans="1:1">
      <c r="A14268" t="inlineStr">
        <is>
          <t>Bgy. No. 60-A, Caaoacan</t>
        </is>
      </c>
    </row>
    <row r="14269" spans="1:1">
      <c r="A14269" t="inlineStr">
        <is>
          <t>Bgy. No. 60-B, Madiladig</t>
        </is>
      </c>
    </row>
    <row r="14270" spans="1:1">
      <c r="A14270" t="inlineStr">
        <is>
          <t>Bgy. No. 61, Cataban</t>
        </is>
      </c>
    </row>
    <row r="14271" spans="1:1">
      <c r="A14271" t="inlineStr">
        <is>
          <t>Bgy. No. 62-A, Navotas North</t>
        </is>
      </c>
    </row>
    <row r="14272" spans="1:1">
      <c r="A14272" t="inlineStr">
        <is>
          <t>Bgy. No. 62-B, Navotas South</t>
        </is>
      </c>
    </row>
    <row r="14273" spans="1:1">
      <c r="A14273" t="inlineStr">
        <is>
          <t>Bgy. No. 7-A, Nstra. Sra. De Natividad</t>
        </is>
      </c>
    </row>
    <row r="14274" spans="1:1">
      <c r="A14274" t="inlineStr">
        <is>
          <t>Bgy. No. 7-B, Nstra. Sra. De Natividad</t>
        </is>
      </c>
    </row>
    <row r="14275" spans="1:1">
      <c r="A14275" t="inlineStr">
        <is>
          <t>Bgy. No. 8, San Vicente</t>
        </is>
      </c>
    </row>
    <row r="14276" spans="1:1">
      <c r="A14276" t="inlineStr">
        <is>
          <t>Bgy. No. 9, Santa Angela</t>
        </is>
      </c>
    </row>
    <row r="14277" spans="1:1">
      <c r="A14277" t="inlineStr">
        <is>
          <t>Bry. No. 18, San Quirino</t>
        </is>
      </c>
    </row>
    <row r="14278" spans="1:1">
      <c r="A14278" t="inlineStr">
        <is>
          <t>Bry. No. 48-A, Cabungaan North</t>
        </is>
      </c>
    </row>
    <row r="14279" spans="1:1">
      <c r="A14279" t="inlineStr">
        <is>
          <t>Anggapang Norte</t>
        </is>
      </c>
    </row>
    <row r="14280" spans="1:1">
      <c r="A14280" t="inlineStr">
        <is>
          <t>Anggapang Sur</t>
        </is>
      </c>
    </row>
    <row r="14281" spans="1:1">
      <c r="A14281" t="inlineStr">
        <is>
          <t>Bimmanga</t>
        </is>
      </c>
    </row>
    <row r="14282" spans="1:1">
      <c r="A14282" t="inlineStr">
        <is>
          <t>Cabuusan</t>
        </is>
      </c>
    </row>
    <row r="14283" spans="1:1">
      <c r="A14283" t="inlineStr">
        <is>
          <t>Comcomloong</t>
        </is>
      </c>
    </row>
    <row r="14284" spans="1:1">
      <c r="A14284" t="inlineStr">
        <is>
          <t>Gaang</t>
        </is>
      </c>
    </row>
    <row r="14285" spans="1:1">
      <c r="A14285" t="inlineStr">
        <is>
          <t>Lang-ayan-Baramban</t>
        </is>
      </c>
    </row>
    <row r="14286" spans="1:1">
      <c r="A14286" t="inlineStr">
        <is>
          <t>Lioes</t>
        </is>
      </c>
    </row>
    <row r="14287" spans="1:1">
      <c r="A14287" t="inlineStr">
        <is>
          <t>Maglaoi Centro</t>
        </is>
      </c>
    </row>
    <row r="14288" spans="1:1">
      <c r="A14288" t="inlineStr">
        <is>
          <t>Maglaoi Norte</t>
        </is>
      </c>
    </row>
    <row r="14289" spans="1:1">
      <c r="A14289" t="inlineStr">
        <is>
          <t>Maglaoi Sur</t>
        </is>
      </c>
    </row>
    <row r="14290" spans="1:1">
      <c r="A14290" t="inlineStr">
        <is>
          <t>Paguludan-Salindeg</t>
        </is>
      </c>
    </row>
    <row r="14291" spans="1:1">
      <c r="A14291" t="inlineStr">
        <is>
          <t>Pangil</t>
        </is>
      </c>
    </row>
    <row r="14292" spans="1:1">
      <c r="A14292" t="inlineStr">
        <is>
          <t>Pias Norte</t>
        </is>
      </c>
    </row>
    <row r="14293" spans="1:1">
      <c r="A14293" t="inlineStr">
        <is>
          <t>Pias Sur</t>
        </is>
      </c>
    </row>
    <row r="14294" spans="1:1">
      <c r="A14294" t="inlineStr">
        <is>
          <t>Poblacion I</t>
        </is>
      </c>
    </row>
    <row r="14295" spans="1:1">
      <c r="A14295" t="inlineStr">
        <is>
          <t>Poblacion II</t>
        </is>
      </c>
    </row>
    <row r="14296" spans="1:1">
      <c r="A14296" t="inlineStr">
        <is>
          <t>Salugan</t>
        </is>
      </c>
    </row>
    <row r="14297" spans="1:1">
      <c r="A14297" t="inlineStr">
        <is>
          <t>San Simeon</t>
        </is>
      </c>
    </row>
    <row r="14298" spans="1:1">
      <c r="A14298" t="inlineStr">
        <is>
          <t>Santa Cruz</t>
        </is>
      </c>
    </row>
    <row r="14299" spans="1:1">
      <c r="A14299" t="inlineStr">
        <is>
          <t>Tapao-Tigue</t>
        </is>
      </c>
    </row>
    <row r="14300" spans="1:1">
      <c r="A14300" t="inlineStr">
        <is>
          <t>Torre</t>
        </is>
      </c>
    </row>
    <row r="14301" spans="1:1">
      <c r="A14301" t="inlineStr">
        <is>
          <t>Victoria</t>
        </is>
      </c>
    </row>
    <row r="14302" spans="1:1">
      <c r="A14302" t="inlineStr">
        <is>
          <t>Albano</t>
        </is>
      </c>
    </row>
    <row r="14303" spans="1:1">
      <c r="A14303" t="inlineStr">
        <is>
          <t>Bacsil</t>
        </is>
      </c>
    </row>
    <row r="14304" spans="1:1">
      <c r="A14304" t="inlineStr">
        <is>
          <t>Bagut</t>
        </is>
      </c>
    </row>
    <row r="14305" spans="1:1">
      <c r="A14305" t="inlineStr">
        <is>
          <t>Baresbes</t>
        </is>
      </c>
    </row>
    <row r="14306" spans="1:1">
      <c r="A14306" t="inlineStr">
        <is>
          <t>Barong</t>
        </is>
      </c>
    </row>
    <row r="14307" spans="1:1">
      <c r="A14307" t="inlineStr">
        <is>
          <t>Bungcag</t>
        </is>
      </c>
    </row>
    <row r="14308" spans="1:1">
      <c r="A14308" t="inlineStr">
        <is>
          <t>Cali</t>
        </is>
      </c>
    </row>
    <row r="14309" spans="1:1">
      <c r="A14309" t="inlineStr">
        <is>
          <t>Capasan</t>
        </is>
      </c>
    </row>
    <row r="14310" spans="1:1">
      <c r="A14310" t="inlineStr">
        <is>
          <t>Dancel</t>
        </is>
      </c>
    </row>
    <row r="14311" spans="1:1">
      <c r="A14311" t="inlineStr">
        <is>
          <t>Elizabeth</t>
        </is>
      </c>
    </row>
    <row r="14312" spans="1:1">
      <c r="A14312" t="inlineStr">
        <is>
          <t>Espiritu</t>
        </is>
      </c>
    </row>
    <row r="14313" spans="1:1">
      <c r="A14313" t="inlineStr">
        <is>
          <t>Foz</t>
        </is>
      </c>
    </row>
    <row r="14314" spans="1:1">
      <c r="A14314" t="inlineStr">
        <is>
          <t>Guerrero</t>
        </is>
      </c>
    </row>
    <row r="14315" spans="1:1">
      <c r="A14315" t="inlineStr">
        <is>
          <t>Lanas</t>
        </is>
      </c>
    </row>
    <row r="14316" spans="1:1">
      <c r="A14316" t="inlineStr">
        <is>
          <t>Lumbad</t>
        </is>
      </c>
    </row>
    <row r="14317" spans="1:1">
      <c r="A14317" t="inlineStr">
        <is>
          <t>Madamba</t>
        </is>
      </c>
    </row>
    <row r="14318" spans="1:1">
      <c r="A14318" t="inlineStr">
        <is>
          <t>Mandaloque</t>
        </is>
      </c>
    </row>
    <row r="14319" spans="1:1">
      <c r="A14319" t="inlineStr">
        <is>
          <t>Medina</t>
        </is>
      </c>
    </row>
    <row r="14320" spans="1:1">
      <c r="A14320" t="inlineStr">
        <is>
          <t>Parado</t>
        </is>
      </c>
    </row>
    <row r="14321" spans="1:1">
      <c r="A14321" t="inlineStr">
        <is>
          <t>Peralta</t>
        </is>
      </c>
    </row>
    <row r="14322" spans="1:1">
      <c r="A14322" t="inlineStr">
        <is>
          <t>Puruganan</t>
        </is>
      </c>
    </row>
    <row r="14323" spans="1:1">
      <c r="A14323" t="inlineStr">
        <is>
          <t>Root</t>
        </is>
      </c>
    </row>
    <row r="14324" spans="1:1">
      <c r="A14324" t="inlineStr">
        <is>
          <t>Sagpatan</t>
        </is>
      </c>
    </row>
    <row r="14325" spans="1:1">
      <c r="A14325" t="inlineStr">
        <is>
          <t>Saludares</t>
        </is>
      </c>
    </row>
    <row r="14326" spans="1:1">
      <c r="A14326" t="inlineStr">
        <is>
          <t>San Esteban</t>
        </is>
      </c>
    </row>
    <row r="14327" spans="1:1">
      <c r="A14327" t="inlineStr">
        <is>
          <t>San Francisco</t>
        </is>
      </c>
    </row>
    <row r="14328" spans="1:1">
      <c r="A14328" t="inlineStr">
        <is>
          <t>San Marcelino</t>
        </is>
      </c>
    </row>
    <row r="14329" spans="1:1">
      <c r="A14329" t="inlineStr">
        <is>
          <t>San Marcos</t>
        </is>
      </c>
    </row>
    <row r="14330" spans="1:1">
      <c r="A14330" t="inlineStr">
        <is>
          <t>Sulquiano</t>
        </is>
      </c>
    </row>
    <row r="14331" spans="1:1">
      <c r="A14331" t="inlineStr">
        <is>
          <t>Suyo</t>
        </is>
      </c>
    </row>
    <row r="14332" spans="1:1">
      <c r="A14332" t="inlineStr">
        <is>
          <t>Ver</t>
        </is>
      </c>
    </row>
    <row r="14333" spans="1:1">
      <c r="A14333" t="inlineStr">
        <is>
          <t>Cabaritan</t>
        </is>
      </c>
    </row>
    <row r="14334" spans="1:1">
      <c r="A14334" t="inlineStr">
        <is>
          <t>Kalaw</t>
        </is>
      </c>
    </row>
    <row r="14335" spans="1:1">
      <c r="A14335" t="inlineStr">
        <is>
          <t>Quibel</t>
        </is>
      </c>
    </row>
    <row r="14336" spans="1:1">
      <c r="A14336" t="inlineStr">
        <is>
          <t>San Isidro</t>
        </is>
      </c>
    </row>
    <row r="14337" spans="1:1">
      <c r="A14337" t="inlineStr">
        <is>
          <t>Cacafean</t>
        </is>
      </c>
    </row>
    <row r="14338" spans="1:1">
      <c r="A14338" t="inlineStr">
        <is>
          <t>Daquioag</t>
        </is>
      </c>
    </row>
    <row r="14339" spans="1:1">
      <c r="A14339" t="inlineStr">
        <is>
          <t>Elizabeth</t>
        </is>
      </c>
    </row>
    <row r="14340" spans="1:1">
      <c r="A14340" t="inlineStr">
        <is>
          <t>Escoda</t>
        </is>
      </c>
    </row>
    <row r="14341" spans="1:1">
      <c r="A14341" t="inlineStr">
        <is>
          <t>Ferdinand</t>
        </is>
      </c>
    </row>
    <row r="14342" spans="1:1">
      <c r="A14342" t="inlineStr">
        <is>
          <t>Fortuna</t>
        </is>
      </c>
    </row>
    <row r="14343" spans="1:1">
      <c r="A14343" t="inlineStr">
        <is>
          <t>Imelda</t>
        </is>
      </c>
    </row>
    <row r="14344" spans="1:1">
      <c r="A14344" t="inlineStr">
        <is>
          <t>Lydia</t>
        </is>
      </c>
    </row>
    <row r="14345" spans="1:1">
      <c r="A14345" t="inlineStr">
        <is>
          <t>Mabuti</t>
        </is>
      </c>
    </row>
    <row r="14346" spans="1:1">
      <c r="A14346" t="inlineStr">
        <is>
          <t>Pacifico</t>
        </is>
      </c>
    </row>
    <row r="14347" spans="1:1">
      <c r="A14347" t="inlineStr">
        <is>
          <t>Santiago</t>
        </is>
      </c>
    </row>
    <row r="14348" spans="1:1">
      <c r="A14348" t="inlineStr">
        <is>
          <t>Tabucbuc</t>
        </is>
      </c>
    </row>
    <row r="14349" spans="1:1">
      <c r="A14349" t="inlineStr">
        <is>
          <t>Valdez</t>
        </is>
      </c>
    </row>
    <row r="14350" spans="1:1">
      <c r="A14350" t="inlineStr">
        <is>
          <t>Acnam</t>
        </is>
      </c>
    </row>
    <row r="14351" spans="1:1">
      <c r="A14351" t="inlineStr">
        <is>
          <t>Barangobong</t>
        </is>
      </c>
    </row>
    <row r="14352" spans="1:1">
      <c r="A14352" t="inlineStr">
        <is>
          <t>Barikir</t>
        </is>
      </c>
    </row>
    <row r="14353" spans="1:1">
      <c r="A14353" t="inlineStr">
        <is>
          <t>Bugayong</t>
        </is>
      </c>
    </row>
    <row r="14354" spans="1:1">
      <c r="A14354" t="inlineStr">
        <is>
          <t>Cabittauran</t>
        </is>
      </c>
    </row>
    <row r="14355" spans="1:1">
      <c r="A14355" t="inlineStr">
        <is>
          <t>Caray</t>
        </is>
      </c>
    </row>
    <row r="14356" spans="1:1">
      <c r="A14356" t="inlineStr">
        <is>
          <t>Garnaden</t>
        </is>
      </c>
    </row>
    <row r="14357" spans="1:1">
      <c r="A14357" t="inlineStr">
        <is>
          <t>Naguillan</t>
        </is>
      </c>
    </row>
    <row r="14358" spans="1:1">
      <c r="A14358" t="inlineStr">
        <is>
          <t>Poblacion</t>
        </is>
      </c>
    </row>
    <row r="14359" spans="1:1">
      <c r="A14359" t="inlineStr">
        <is>
          <t>Santo Niño</t>
        </is>
      </c>
    </row>
    <row r="14360" spans="1:1">
      <c r="A14360" t="inlineStr">
        <is>
          <t>Uguis</t>
        </is>
      </c>
    </row>
    <row r="14361" spans="1:1">
      <c r="A14361" t="inlineStr">
        <is>
          <t>Aggasi</t>
        </is>
      </c>
    </row>
    <row r="14362" spans="1:1">
      <c r="A14362" t="inlineStr">
        <is>
          <t>Baduang</t>
        </is>
      </c>
    </row>
    <row r="14363" spans="1:1">
      <c r="A14363" t="inlineStr">
        <is>
          <t>Balaoi</t>
        </is>
      </c>
    </row>
    <row r="14364" spans="1:1">
      <c r="A14364" t="inlineStr">
        <is>
          <t>Burayoc</t>
        </is>
      </c>
    </row>
    <row r="14365" spans="1:1">
      <c r="A14365" t="inlineStr">
        <is>
          <t>Caparispisan</t>
        </is>
      </c>
    </row>
    <row r="14366" spans="1:1">
      <c r="A14366" t="inlineStr">
        <is>
          <t>Caunayan</t>
        </is>
      </c>
    </row>
    <row r="14367" spans="1:1">
      <c r="A14367" t="inlineStr">
        <is>
          <t>Dampig</t>
        </is>
      </c>
    </row>
    <row r="14368" spans="1:1">
      <c r="A14368" t="inlineStr">
        <is>
          <t>Ligaya</t>
        </is>
      </c>
    </row>
    <row r="14369" spans="1:1">
      <c r="A14369" t="inlineStr">
        <is>
          <t>Pancian</t>
        </is>
      </c>
    </row>
    <row r="14370" spans="1:1">
      <c r="A14370" t="inlineStr">
        <is>
          <t>Pasaleng</t>
        </is>
      </c>
    </row>
    <row r="14371" spans="1:1">
      <c r="A14371" t="inlineStr">
        <is>
          <t>Poblacion 1</t>
        </is>
      </c>
    </row>
    <row r="14372" spans="1:1">
      <c r="A14372" t="inlineStr">
        <is>
          <t>Poblacion 2</t>
        </is>
      </c>
    </row>
    <row r="14373" spans="1:1">
      <c r="A14373" t="inlineStr">
        <is>
          <t>Saguigui</t>
        </is>
      </c>
    </row>
    <row r="14374" spans="1:1">
      <c r="A14374" t="inlineStr">
        <is>
          <t>Saud</t>
        </is>
      </c>
    </row>
    <row r="14375" spans="1:1">
      <c r="A14375" t="inlineStr">
        <is>
          <t>Subec</t>
        </is>
      </c>
    </row>
    <row r="14376" spans="1:1">
      <c r="A14376" t="inlineStr">
        <is>
          <t>Tarrag</t>
        </is>
      </c>
    </row>
    <row r="14377" spans="1:1">
      <c r="A14377" t="inlineStr">
        <is>
          <t>Bacsil</t>
        </is>
      </c>
    </row>
    <row r="14378" spans="1:1">
      <c r="A14378" t="inlineStr">
        <is>
          <t>Cabagoan</t>
        </is>
      </c>
    </row>
    <row r="14379" spans="1:1">
      <c r="A14379" t="inlineStr">
        <is>
          <t>Cabangaran</t>
        </is>
      </c>
    </row>
    <row r="14380" spans="1:1">
      <c r="A14380" t="inlineStr">
        <is>
          <t>Callaguip</t>
        </is>
      </c>
    </row>
    <row r="14381" spans="1:1">
      <c r="A14381" t="inlineStr">
        <is>
          <t>Cayubog</t>
        </is>
      </c>
    </row>
    <row r="14382" spans="1:1">
      <c r="A14382" t="inlineStr">
        <is>
          <t>Dolores</t>
        </is>
      </c>
    </row>
    <row r="14383" spans="1:1">
      <c r="A14383" t="inlineStr">
        <is>
          <t>Laoa</t>
        </is>
      </c>
    </row>
    <row r="14384" spans="1:1">
      <c r="A14384" t="inlineStr">
        <is>
          <t>Masintoc</t>
        </is>
      </c>
    </row>
    <row r="14385" spans="1:1">
      <c r="A14385" t="inlineStr">
        <is>
          <t>Monte</t>
        </is>
      </c>
    </row>
    <row r="14386" spans="1:1">
      <c r="A14386" t="inlineStr">
        <is>
          <t>Mumulaan</t>
        </is>
      </c>
    </row>
    <row r="14387" spans="1:1">
      <c r="A14387" t="inlineStr">
        <is>
          <t>Nagbacalan</t>
        </is>
      </c>
    </row>
    <row r="14388" spans="1:1">
      <c r="A14388" t="inlineStr">
        <is>
          <t>Nalasin</t>
        </is>
      </c>
    </row>
    <row r="14389" spans="1:1">
      <c r="A14389" t="inlineStr">
        <is>
          <t>Nanguyudan</t>
        </is>
      </c>
    </row>
    <row r="14390" spans="1:1">
      <c r="A14390" t="inlineStr">
        <is>
          <t>Oaig-Upay-Abulao</t>
        </is>
      </c>
    </row>
    <row r="14391" spans="1:1">
      <c r="A14391" t="inlineStr">
        <is>
          <t>Pambaran</t>
        </is>
      </c>
    </row>
    <row r="14392" spans="1:1">
      <c r="A14392" t="inlineStr">
        <is>
          <t>Pannaratan</t>
        </is>
      </c>
    </row>
    <row r="14393" spans="1:1">
      <c r="A14393" t="inlineStr">
        <is>
          <t>Paratong</t>
        </is>
      </c>
    </row>
    <row r="14394" spans="1:1">
      <c r="A14394" t="inlineStr">
        <is>
          <t>Pasil</t>
        </is>
      </c>
    </row>
    <row r="14395" spans="1:1">
      <c r="A14395" t="inlineStr">
        <is>
          <t>Salbang</t>
        </is>
      </c>
    </row>
    <row r="14396" spans="1:1">
      <c r="A14396" t="inlineStr">
        <is>
          <t>San Agustin</t>
        </is>
      </c>
    </row>
    <row r="14397" spans="1:1">
      <c r="A14397" t="inlineStr">
        <is>
          <t>San Blas</t>
        </is>
      </c>
    </row>
    <row r="14398" spans="1:1">
      <c r="A14398" t="inlineStr">
        <is>
          <t>San Juan</t>
        </is>
      </c>
    </row>
    <row r="14399" spans="1:1">
      <c r="A14399" t="inlineStr">
        <is>
          <t>San Pedro</t>
        </is>
      </c>
    </row>
    <row r="14400" spans="1:1">
      <c r="A14400" t="inlineStr">
        <is>
          <t>San Roque</t>
        </is>
      </c>
    </row>
    <row r="14401" spans="1:1">
      <c r="A14401" t="inlineStr">
        <is>
          <t>Sangladan Pob.</t>
        </is>
      </c>
    </row>
    <row r="14402" spans="1:1">
      <c r="A14402" t="inlineStr">
        <is>
          <t>Santa Rita</t>
        </is>
      </c>
    </row>
    <row r="14403" spans="1:1">
      <c r="A14403" t="inlineStr">
        <is>
          <t>Sideg</t>
        </is>
      </c>
    </row>
    <row r="14404" spans="1:1">
      <c r="A14404" t="inlineStr">
        <is>
          <t>Suba</t>
        </is>
      </c>
    </row>
    <row r="14405" spans="1:1">
      <c r="A14405" t="inlineStr">
        <is>
          <t>Sungadan</t>
        </is>
      </c>
    </row>
    <row r="14406" spans="1:1">
      <c r="A14406" t="inlineStr">
        <is>
          <t>Surgui</t>
        </is>
      </c>
    </row>
    <row r="14407" spans="1:1">
      <c r="A14407" t="inlineStr">
        <is>
          <t>Veronica</t>
        </is>
      </c>
    </row>
    <row r="14408" spans="1:1">
      <c r="A14408" t="inlineStr">
        <is>
          <t>Batuli</t>
        </is>
      </c>
    </row>
    <row r="14409" spans="1:1">
      <c r="A14409" t="inlineStr">
        <is>
          <t>Binsang</t>
        </is>
      </c>
    </row>
    <row r="14410" spans="1:1">
      <c r="A14410" t="inlineStr">
        <is>
          <t>Caruan</t>
        </is>
      </c>
    </row>
    <row r="14411" spans="1:1">
      <c r="A14411" t="inlineStr">
        <is>
          <t>Carusikis</t>
        </is>
      </c>
    </row>
    <row r="14412" spans="1:1">
      <c r="A14412" t="inlineStr">
        <is>
          <t>Carusipan</t>
        </is>
      </c>
    </row>
    <row r="14413" spans="1:1">
      <c r="A14413" t="inlineStr">
        <is>
          <t>Dadaeman</t>
        </is>
      </c>
    </row>
    <row r="14414" spans="1:1">
      <c r="A14414" t="inlineStr">
        <is>
          <t>Darupidip</t>
        </is>
      </c>
    </row>
    <row r="14415" spans="1:1">
      <c r="A14415" t="inlineStr">
        <is>
          <t>Davila</t>
        </is>
      </c>
    </row>
    <row r="14416" spans="1:1">
      <c r="A14416" t="inlineStr">
        <is>
          <t>Dilanis</t>
        </is>
      </c>
    </row>
    <row r="14417" spans="1:1">
      <c r="A14417" t="inlineStr">
        <is>
          <t>Dilavo</t>
        </is>
      </c>
    </row>
    <row r="14418" spans="1:1">
      <c r="A14418" t="inlineStr">
        <is>
          <t>Estancia</t>
        </is>
      </c>
    </row>
    <row r="14419" spans="1:1">
      <c r="A14419" t="inlineStr">
        <is>
          <t>Naglicuan</t>
        </is>
      </c>
    </row>
    <row r="14420" spans="1:1">
      <c r="A14420" t="inlineStr">
        <is>
          <t>Nagsanga</t>
        </is>
      </c>
    </row>
    <row r="14421" spans="1:1">
      <c r="A14421" t="inlineStr">
        <is>
          <t>Nalvo</t>
        </is>
      </c>
    </row>
    <row r="14422" spans="1:1">
      <c r="A14422" t="inlineStr">
        <is>
          <t>Ngabangab</t>
        </is>
      </c>
    </row>
    <row r="14423" spans="1:1">
      <c r="A14423" t="inlineStr">
        <is>
          <t>Pangil</t>
        </is>
      </c>
    </row>
    <row r="14424" spans="1:1">
      <c r="A14424" t="inlineStr">
        <is>
          <t>Poblacion 1</t>
        </is>
      </c>
    </row>
    <row r="14425" spans="1:1">
      <c r="A14425" t="inlineStr">
        <is>
          <t>Poblacion 2</t>
        </is>
      </c>
    </row>
    <row r="14426" spans="1:1">
      <c r="A14426" t="inlineStr">
        <is>
          <t>Poblacion 3</t>
        </is>
      </c>
    </row>
    <row r="14427" spans="1:1">
      <c r="A14427" t="inlineStr">
        <is>
          <t>Poblacion 4</t>
        </is>
      </c>
    </row>
    <row r="14428" spans="1:1">
      <c r="A14428" t="inlineStr">
        <is>
          <t>Pragata</t>
        </is>
      </c>
    </row>
    <row r="14429" spans="1:1">
      <c r="A14429" t="inlineStr">
        <is>
          <t>Puyupuyan</t>
        </is>
      </c>
    </row>
    <row r="14430" spans="1:1">
      <c r="A14430" t="inlineStr">
        <is>
          <t>Salpad</t>
        </is>
      </c>
    </row>
    <row r="14431" spans="1:1">
      <c r="A14431" t="inlineStr">
        <is>
          <t>San Juan</t>
        </is>
      </c>
    </row>
    <row r="14432" spans="1:1">
      <c r="A14432" t="inlineStr">
        <is>
          <t>Santa Catalina</t>
        </is>
      </c>
    </row>
    <row r="14433" spans="1:1">
      <c r="A14433" t="inlineStr">
        <is>
          <t>Santa Matilde</t>
        </is>
      </c>
    </row>
    <row r="14434" spans="1:1">
      <c r="A14434" t="inlineStr">
        <is>
          <t>Sapat</t>
        </is>
      </c>
    </row>
    <row r="14435" spans="1:1">
      <c r="A14435" t="inlineStr">
        <is>
          <t>Sulbec</t>
        </is>
      </c>
    </row>
    <row r="14436" spans="1:1">
      <c r="A14436" t="inlineStr">
        <is>
          <t>Sulongan</t>
        </is>
      </c>
    </row>
    <row r="14437" spans="1:1">
      <c r="A14437" t="inlineStr">
        <is>
          <t>Surong</t>
        </is>
      </c>
    </row>
    <row r="14438" spans="1:1">
      <c r="A14438" t="inlineStr">
        <is>
          <t>Susugaen</t>
        </is>
      </c>
    </row>
    <row r="14439" spans="1:1">
      <c r="A14439" t="inlineStr">
        <is>
          <t>Tabungao</t>
        </is>
      </c>
    </row>
    <row r="14440" spans="1:1">
      <c r="A14440" t="inlineStr">
        <is>
          <t>Tadao</t>
        </is>
      </c>
    </row>
    <row r="14441" spans="1:1">
      <c r="A14441" t="inlineStr">
        <is>
          <t>Ab-abut</t>
        </is>
      </c>
    </row>
    <row r="14442" spans="1:1">
      <c r="A14442" t="inlineStr">
        <is>
          <t>Abucay</t>
        </is>
      </c>
    </row>
    <row r="14443" spans="1:1">
      <c r="A14443" t="inlineStr">
        <is>
          <t>Anao</t>
        </is>
      </c>
    </row>
    <row r="14444" spans="1:1">
      <c r="A14444" t="inlineStr">
        <is>
          <t>Arua-ay</t>
        </is>
      </c>
    </row>
    <row r="14445" spans="1:1">
      <c r="A14445" t="inlineStr">
        <is>
          <t>Bimmanga</t>
        </is>
      </c>
    </row>
    <row r="14446" spans="1:1">
      <c r="A14446" t="inlineStr">
        <is>
          <t>Boyboy</t>
        </is>
      </c>
    </row>
    <row r="14447" spans="1:1">
      <c r="A14447" t="inlineStr">
        <is>
          <t>Cabaroan</t>
        </is>
      </c>
    </row>
    <row r="14448" spans="1:1">
      <c r="A14448" t="inlineStr">
        <is>
          <t>Calambeg</t>
        </is>
      </c>
    </row>
    <row r="14449" spans="1:1">
      <c r="A14449" t="inlineStr">
        <is>
          <t>Callusa</t>
        </is>
      </c>
    </row>
    <row r="14450" spans="1:1">
      <c r="A14450" t="inlineStr">
        <is>
          <t>Dupitac</t>
        </is>
      </c>
    </row>
    <row r="14451" spans="1:1">
      <c r="A14451" t="inlineStr">
        <is>
          <t>Estancia</t>
        </is>
      </c>
    </row>
    <row r="14452" spans="1:1">
      <c r="A14452" t="inlineStr">
        <is>
          <t>Gayamat</t>
        </is>
      </c>
    </row>
    <row r="14453" spans="1:1">
      <c r="A14453" t="inlineStr">
        <is>
          <t>Lagandit</t>
        </is>
      </c>
    </row>
    <row r="14454" spans="1:1">
      <c r="A14454" t="inlineStr">
        <is>
          <t>Libnaoan</t>
        </is>
      </c>
    </row>
    <row r="14455" spans="1:1">
      <c r="A14455" t="inlineStr">
        <is>
          <t>Loing</t>
        </is>
      </c>
    </row>
    <row r="14456" spans="1:1">
      <c r="A14456" t="inlineStr">
        <is>
          <t>Maab-abaca</t>
        </is>
      </c>
    </row>
    <row r="14457" spans="1:1">
      <c r="A14457" t="inlineStr">
        <is>
          <t>Mangitayag</t>
        </is>
      </c>
    </row>
    <row r="14458" spans="1:1">
      <c r="A14458" t="inlineStr">
        <is>
          <t>Maruaya</t>
        </is>
      </c>
    </row>
    <row r="14459" spans="1:1">
      <c r="A14459" t="inlineStr">
        <is>
          <t>San Antonio</t>
        </is>
      </c>
    </row>
    <row r="14460" spans="1:1">
      <c r="A14460" t="inlineStr">
        <is>
          <t>Santa Maria</t>
        </is>
      </c>
    </row>
    <row r="14461" spans="1:1">
      <c r="A14461" t="inlineStr">
        <is>
          <t>Sucsuquen</t>
        </is>
      </c>
    </row>
    <row r="14462" spans="1:1">
      <c r="A14462" t="inlineStr">
        <is>
          <t>Tangaoan</t>
        </is>
      </c>
    </row>
    <row r="14463" spans="1:1">
      <c r="A14463" t="inlineStr">
        <is>
          <t>Tonoton</t>
        </is>
      </c>
    </row>
    <row r="14464" spans="1:1">
      <c r="A14464" t="inlineStr">
        <is>
          <t>Aglipay</t>
        </is>
      </c>
    </row>
    <row r="14465" spans="1:1">
      <c r="A14465" t="inlineStr">
        <is>
          <t>Apatut-Lubong</t>
        </is>
      </c>
    </row>
    <row r="14466" spans="1:1">
      <c r="A14466" t="inlineStr">
        <is>
          <t>Badio</t>
        </is>
      </c>
    </row>
    <row r="14467" spans="1:1">
      <c r="A14467" t="inlineStr">
        <is>
          <t>Barbar</t>
        </is>
      </c>
    </row>
    <row r="14468" spans="1:1">
      <c r="A14468" t="inlineStr">
        <is>
          <t>Buanga</t>
        </is>
      </c>
    </row>
    <row r="14469" spans="1:1">
      <c r="A14469" t="inlineStr">
        <is>
          <t>Bulbulala</t>
        </is>
      </c>
    </row>
    <row r="14470" spans="1:1">
      <c r="A14470" t="inlineStr">
        <is>
          <t>Bungro</t>
        </is>
      </c>
    </row>
    <row r="14471" spans="1:1">
      <c r="A14471" t="inlineStr">
        <is>
          <t>Cabaroan</t>
        </is>
      </c>
    </row>
    <row r="14472" spans="1:1">
      <c r="A14472" t="inlineStr">
        <is>
          <t>Capangdanan</t>
        </is>
      </c>
    </row>
    <row r="14473" spans="1:1">
      <c r="A14473" t="inlineStr">
        <is>
          <t>Dalayap</t>
        </is>
      </c>
    </row>
    <row r="14474" spans="1:1">
      <c r="A14474" t="inlineStr">
        <is>
          <t>Darat</t>
        </is>
      </c>
    </row>
    <row r="14475" spans="1:1">
      <c r="A14475" t="inlineStr">
        <is>
          <t>Gulpeng</t>
        </is>
      </c>
    </row>
    <row r="14476" spans="1:1">
      <c r="A14476" t="inlineStr">
        <is>
          <t>Liliputen</t>
        </is>
      </c>
    </row>
    <row r="14477" spans="1:1">
      <c r="A14477" t="inlineStr">
        <is>
          <t>Lumbaan-Bicbica</t>
        </is>
      </c>
    </row>
    <row r="14478" spans="1:1">
      <c r="A14478" t="inlineStr">
        <is>
          <t>Nagtrigoan</t>
        </is>
      </c>
    </row>
    <row r="14479" spans="1:1">
      <c r="A14479" t="inlineStr">
        <is>
          <t>Pagdilao</t>
        </is>
      </c>
    </row>
    <row r="14480" spans="1:1">
      <c r="A14480" t="inlineStr">
        <is>
          <t>Pugaoan</t>
        </is>
      </c>
    </row>
    <row r="14481" spans="1:1">
      <c r="A14481" t="inlineStr">
        <is>
          <t>Puritac</t>
        </is>
      </c>
    </row>
    <row r="14482" spans="1:1">
      <c r="A14482" t="inlineStr">
        <is>
          <t>Puzol</t>
        </is>
      </c>
    </row>
    <row r="14483" spans="1:1">
      <c r="A14483" t="inlineStr">
        <is>
          <t>Sacritan</t>
        </is>
      </c>
    </row>
    <row r="14484" spans="1:1">
      <c r="A14484" t="inlineStr">
        <is>
          <t>Salanap</t>
        </is>
      </c>
    </row>
    <row r="14485" spans="1:1">
      <c r="A14485" t="inlineStr">
        <is>
          <t>Santo Tomas</t>
        </is>
      </c>
    </row>
    <row r="14486" spans="1:1">
      <c r="A14486" t="inlineStr">
        <is>
          <t>Tartarabang</t>
        </is>
      </c>
    </row>
    <row r="14487" spans="1:1">
      <c r="A14487" t="inlineStr">
        <is>
          <t>Upon</t>
        </is>
      </c>
    </row>
    <row r="14488" spans="1:1">
      <c r="A14488" t="inlineStr">
        <is>
          <t>Valbuena</t>
        </is>
      </c>
    </row>
    <row r="14489" spans="1:1">
      <c r="A14489" t="inlineStr">
        <is>
          <t>San Agustin</t>
        </is>
      </c>
    </row>
    <row r="14490" spans="1:1">
      <c r="A14490" t="inlineStr">
        <is>
          <t>San Baltazar</t>
        </is>
      </c>
    </row>
    <row r="14491" spans="1:1">
      <c r="A14491" t="inlineStr">
        <is>
          <t>San Bartolome</t>
        </is>
      </c>
    </row>
    <row r="14492" spans="1:1">
      <c r="A14492" t="inlineStr">
        <is>
          <t>San Cayetano</t>
        </is>
      </c>
    </row>
    <row r="14493" spans="1:1">
      <c r="A14493" t="inlineStr">
        <is>
          <t>San Eugenio</t>
        </is>
      </c>
    </row>
    <row r="14494" spans="1:1">
      <c r="A14494" t="inlineStr">
        <is>
          <t>San Fernando</t>
        </is>
      </c>
    </row>
    <row r="14495" spans="1:1">
      <c r="A14495" t="inlineStr">
        <is>
          <t>San Francisco</t>
        </is>
      </c>
    </row>
    <row r="14496" spans="1:1">
      <c r="A14496" t="inlineStr">
        <is>
          <t>San Gregorio</t>
        </is>
      </c>
    </row>
    <row r="14497" spans="1:1">
      <c r="A14497" t="inlineStr">
        <is>
          <t>San Guillermo</t>
        </is>
      </c>
    </row>
    <row r="14498" spans="1:1">
      <c r="A14498" t="inlineStr">
        <is>
          <t>San Ildefonso</t>
        </is>
      </c>
    </row>
    <row r="14499" spans="1:1">
      <c r="A14499" t="inlineStr">
        <is>
          <t>San Jose</t>
        </is>
      </c>
    </row>
    <row r="14500" spans="1:1">
      <c r="A14500" t="inlineStr">
        <is>
          <t>San Juan Bautista</t>
        </is>
      </c>
    </row>
    <row r="14501" spans="1:1">
      <c r="A14501" t="inlineStr">
        <is>
          <t>San Lorenzo</t>
        </is>
      </c>
    </row>
    <row r="14502" spans="1:1">
      <c r="A14502" t="inlineStr">
        <is>
          <t>San Lucas</t>
        </is>
      </c>
    </row>
    <row r="14503" spans="1:1">
      <c r="A14503" t="inlineStr">
        <is>
          <t>San Marcos</t>
        </is>
      </c>
    </row>
    <row r="14504" spans="1:1">
      <c r="A14504" t="inlineStr">
        <is>
          <t>San Miguel</t>
        </is>
      </c>
    </row>
    <row r="14505" spans="1:1">
      <c r="A14505" t="inlineStr">
        <is>
          <t>San Pablo</t>
        </is>
      </c>
    </row>
    <row r="14506" spans="1:1">
      <c r="A14506" t="inlineStr">
        <is>
          <t>San Paulo</t>
        </is>
      </c>
    </row>
    <row r="14507" spans="1:1">
      <c r="A14507" t="inlineStr">
        <is>
          <t>San Pedro</t>
        </is>
      </c>
    </row>
    <row r="14508" spans="1:1">
      <c r="A14508" t="inlineStr">
        <is>
          <t>San Rufino</t>
        </is>
      </c>
    </row>
    <row r="14509" spans="1:1">
      <c r="A14509" t="inlineStr">
        <is>
          <t>San Silvestre</t>
        </is>
      </c>
    </row>
    <row r="14510" spans="1:1">
      <c r="A14510" t="inlineStr">
        <is>
          <t>Santa Asuncion</t>
        </is>
      </c>
    </row>
    <row r="14511" spans="1:1">
      <c r="A14511" t="inlineStr">
        <is>
          <t>Santa Cecilia</t>
        </is>
      </c>
    </row>
    <row r="14512" spans="1:1">
      <c r="A14512" t="inlineStr">
        <is>
          <t>Santa Monica</t>
        </is>
      </c>
    </row>
    <row r="14513" spans="1:1">
      <c r="A14513" t="inlineStr">
        <is>
          <t>San Agustin</t>
        </is>
      </c>
    </row>
    <row r="14514" spans="1:1">
      <c r="A14514" t="inlineStr">
        <is>
          <t>San Andres</t>
        </is>
      </c>
    </row>
    <row r="14515" spans="1:1">
      <c r="A14515" t="inlineStr">
        <is>
          <t>San Antonio</t>
        </is>
      </c>
    </row>
    <row r="14516" spans="1:1">
      <c r="A14516" t="inlineStr">
        <is>
          <t>San Bernabe</t>
        </is>
      </c>
    </row>
    <row r="14517" spans="1:1">
      <c r="A14517" t="inlineStr">
        <is>
          <t>San Cristobal</t>
        </is>
      </c>
    </row>
    <row r="14518" spans="1:1">
      <c r="A14518" t="inlineStr">
        <is>
          <t>San Felipe</t>
        </is>
      </c>
    </row>
    <row r="14519" spans="1:1">
      <c r="A14519" t="inlineStr">
        <is>
          <t>San Francisco</t>
        </is>
      </c>
    </row>
    <row r="14520" spans="1:1">
      <c r="A14520" t="inlineStr">
        <is>
          <t>San Isidro</t>
        </is>
      </c>
    </row>
    <row r="14521" spans="1:1">
      <c r="A14521" t="inlineStr">
        <is>
          <t>San Joaquin</t>
        </is>
      </c>
    </row>
    <row r="14522" spans="1:1">
      <c r="A14522" t="inlineStr">
        <is>
          <t>San Jose</t>
        </is>
      </c>
    </row>
    <row r="14523" spans="1:1">
      <c r="A14523" t="inlineStr">
        <is>
          <t>San Juan</t>
        </is>
      </c>
    </row>
    <row r="14524" spans="1:1">
      <c r="A14524" t="inlineStr">
        <is>
          <t>San Leandro</t>
        </is>
      </c>
    </row>
    <row r="14525" spans="1:1">
      <c r="A14525" t="inlineStr">
        <is>
          <t>San Lorenzo</t>
        </is>
      </c>
    </row>
    <row r="14526" spans="1:1">
      <c r="A14526" t="inlineStr">
        <is>
          <t>San Manuel</t>
        </is>
      </c>
    </row>
    <row r="14527" spans="1:1">
      <c r="A14527" t="inlineStr">
        <is>
          <t>San Marcos</t>
        </is>
      </c>
    </row>
    <row r="14528" spans="1:1">
      <c r="A14528" t="inlineStr">
        <is>
          <t>San Nicolas</t>
        </is>
      </c>
    </row>
    <row r="14529" spans="1:1">
      <c r="A14529" t="inlineStr">
        <is>
          <t>San Pedro</t>
        </is>
      </c>
    </row>
    <row r="14530" spans="1:1">
      <c r="A14530" t="inlineStr">
        <is>
          <t>San Roque</t>
        </is>
      </c>
    </row>
    <row r="14531" spans="1:1">
      <c r="A14531" t="inlineStr">
        <is>
          <t>San Vicente</t>
        </is>
      </c>
    </row>
    <row r="14532" spans="1:1">
      <c r="A14532" t="inlineStr">
        <is>
          <t>Santa Barbara</t>
        </is>
      </c>
    </row>
    <row r="14533" spans="1:1">
      <c r="A14533" t="inlineStr">
        <is>
          <t>Santa Magdalena</t>
        </is>
      </c>
    </row>
    <row r="14534" spans="1:1">
      <c r="A14534" t="inlineStr">
        <is>
          <t>Santa Rosa</t>
        </is>
      </c>
    </row>
    <row r="14535" spans="1:1">
      <c r="A14535" t="inlineStr">
        <is>
          <t>Santo Santiago</t>
        </is>
      </c>
    </row>
    <row r="14536" spans="1:1">
      <c r="A14536" t="inlineStr">
        <is>
          <t>Santo Tomas</t>
        </is>
      </c>
    </row>
    <row r="14537" spans="1:1">
      <c r="A14537" t="inlineStr">
        <is>
          <t>Aguitap</t>
        </is>
      </c>
    </row>
    <row r="14538" spans="1:1">
      <c r="A14538" t="inlineStr">
        <is>
          <t>Bagbag</t>
        </is>
      </c>
    </row>
    <row r="14539" spans="1:1">
      <c r="A14539" t="inlineStr">
        <is>
          <t>Bagbago</t>
        </is>
      </c>
    </row>
    <row r="14540" spans="1:1">
      <c r="A14540" t="inlineStr">
        <is>
          <t>Barcelona</t>
        </is>
      </c>
    </row>
    <row r="14541" spans="1:1">
      <c r="A14541" t="inlineStr">
        <is>
          <t>Bubuos</t>
        </is>
      </c>
    </row>
    <row r="14542" spans="1:1">
      <c r="A14542" t="inlineStr">
        <is>
          <t>Capurictan</t>
        </is>
      </c>
    </row>
    <row r="14543" spans="1:1">
      <c r="A14543" t="inlineStr">
        <is>
          <t>Catangraran</t>
        </is>
      </c>
    </row>
    <row r="14544" spans="1:1">
      <c r="A14544" t="inlineStr">
        <is>
          <t>Darasdas</t>
        </is>
      </c>
    </row>
    <row r="14545" spans="1:1">
      <c r="A14545" t="inlineStr">
        <is>
          <t>Juan</t>
        </is>
      </c>
    </row>
    <row r="14546" spans="1:1">
      <c r="A14546" t="inlineStr">
        <is>
          <t>Laureta</t>
        </is>
      </c>
    </row>
    <row r="14547" spans="1:1">
      <c r="A14547" t="inlineStr">
        <is>
          <t>Lipay</t>
        </is>
      </c>
    </row>
    <row r="14548" spans="1:1">
      <c r="A14548" t="inlineStr">
        <is>
          <t>Maananteng</t>
        </is>
      </c>
    </row>
    <row r="14549" spans="1:1">
      <c r="A14549" t="inlineStr">
        <is>
          <t>Manalpac</t>
        </is>
      </c>
    </row>
    <row r="14550" spans="1:1">
      <c r="A14550" t="inlineStr">
        <is>
          <t>Mariquet</t>
        </is>
      </c>
    </row>
    <row r="14551" spans="1:1">
      <c r="A14551" t="inlineStr">
        <is>
          <t>Nagpatpatan</t>
        </is>
      </c>
    </row>
    <row r="14552" spans="1:1">
      <c r="A14552" t="inlineStr">
        <is>
          <t>Nalasin</t>
        </is>
      </c>
    </row>
    <row r="14553" spans="1:1">
      <c r="A14553" t="inlineStr">
        <is>
          <t>Puttao</t>
        </is>
      </c>
    </row>
    <row r="14554" spans="1:1">
      <c r="A14554" t="inlineStr">
        <is>
          <t>San Juan</t>
        </is>
      </c>
    </row>
    <row r="14555" spans="1:1">
      <c r="A14555" t="inlineStr">
        <is>
          <t>San Julian</t>
        </is>
      </c>
    </row>
    <row r="14556" spans="1:1">
      <c r="A14556" t="inlineStr">
        <is>
          <t>Santa Ana</t>
        </is>
      </c>
    </row>
    <row r="14557" spans="1:1">
      <c r="A14557" t="inlineStr">
        <is>
          <t>Santiago</t>
        </is>
      </c>
    </row>
    <row r="14558" spans="1:1">
      <c r="A14558" t="inlineStr">
        <is>
          <t>Talugtog</t>
        </is>
      </c>
    </row>
    <row r="14559" spans="1:1">
      <c r="A14559" t="inlineStr">
        <is>
          <t>Abkir</t>
        </is>
      </c>
    </row>
    <row r="14560" spans="1:1">
      <c r="A14560" t="inlineStr">
        <is>
          <t>Alejo Malasig</t>
        </is>
      </c>
    </row>
    <row r="14561" spans="1:1">
      <c r="A14561" t="inlineStr">
        <is>
          <t>Alsem</t>
        </is>
      </c>
    </row>
    <row r="14562" spans="1:1">
      <c r="A14562" t="inlineStr">
        <is>
          <t>Bago</t>
        </is>
      </c>
    </row>
    <row r="14563" spans="1:1">
      <c r="A14563" t="inlineStr">
        <is>
          <t>Bulbulala</t>
        </is>
      </c>
    </row>
    <row r="14564" spans="1:1">
      <c r="A14564" t="inlineStr">
        <is>
          <t>Cabangaran</t>
        </is>
      </c>
    </row>
    <row r="14565" spans="1:1">
      <c r="A14565" t="inlineStr">
        <is>
          <t>Cabayo</t>
        </is>
      </c>
    </row>
    <row r="14566" spans="1:1">
      <c r="A14566" t="inlineStr">
        <is>
          <t>Cabisocolan</t>
        </is>
      </c>
    </row>
    <row r="14567" spans="1:1">
      <c r="A14567" t="inlineStr">
        <is>
          <t>Canaam</t>
        </is>
      </c>
    </row>
    <row r="14568" spans="1:1">
      <c r="A14568" t="inlineStr">
        <is>
          <t>Columbia</t>
        </is>
      </c>
    </row>
    <row r="14569" spans="1:1">
      <c r="A14569" t="inlineStr">
        <is>
          <t>Dagupan</t>
        </is>
      </c>
    </row>
    <row r="14570" spans="1:1">
      <c r="A14570" t="inlineStr">
        <is>
          <t>Dipilat</t>
        </is>
      </c>
    </row>
    <row r="14571" spans="1:1">
      <c r="A14571" t="inlineStr">
        <is>
          <t>Esperanza</t>
        </is>
      </c>
    </row>
    <row r="14572" spans="1:1">
      <c r="A14572" t="inlineStr">
        <is>
          <t>Ester</t>
        </is>
      </c>
    </row>
    <row r="14573" spans="1:1">
      <c r="A14573" t="inlineStr">
        <is>
          <t>Isic Isic</t>
        </is>
      </c>
    </row>
    <row r="14574" spans="1:1">
      <c r="A14574" t="inlineStr">
        <is>
          <t>Lubnac</t>
        </is>
      </c>
    </row>
    <row r="14575" spans="1:1">
      <c r="A14575" t="inlineStr">
        <is>
          <t>Mabanbanag</t>
        </is>
      </c>
    </row>
    <row r="14576" spans="1:1">
      <c r="A14576" t="inlineStr">
        <is>
          <t>Malampa</t>
        </is>
      </c>
    </row>
    <row r="14577" spans="1:1">
      <c r="A14577" t="inlineStr">
        <is>
          <t>Manarang</t>
        </is>
      </c>
    </row>
    <row r="14578" spans="1:1">
      <c r="A14578" t="inlineStr">
        <is>
          <t>Margaay</t>
        </is>
      </c>
    </row>
    <row r="14579" spans="1:1">
      <c r="A14579" t="inlineStr">
        <is>
          <t>Namoroc</t>
        </is>
      </c>
    </row>
    <row r="14580" spans="1:1">
      <c r="A14580" t="inlineStr">
        <is>
          <t>Parparoroc</t>
        </is>
      </c>
    </row>
    <row r="14581" spans="1:1">
      <c r="A14581" t="inlineStr">
        <is>
          <t>Parut</t>
        </is>
      </c>
    </row>
    <row r="14582" spans="1:1">
      <c r="A14582" t="inlineStr">
        <is>
          <t>Pedro F. Alviar</t>
        </is>
      </c>
    </row>
    <row r="14583" spans="1:1">
      <c r="A14583" t="inlineStr">
        <is>
          <t>Salsalamagui</t>
        </is>
      </c>
    </row>
    <row r="14584" spans="1:1">
      <c r="A14584" t="inlineStr">
        <is>
          <t>San Jose</t>
        </is>
      </c>
    </row>
    <row r="14585" spans="1:1">
      <c r="A14585" t="inlineStr">
        <is>
          <t>San Nicolas</t>
        </is>
      </c>
    </row>
    <row r="14586" spans="1:1">
      <c r="A14586" t="inlineStr">
        <is>
          <t>San Pedro</t>
        </is>
      </c>
    </row>
    <row r="14587" spans="1:1">
      <c r="A14587" t="inlineStr">
        <is>
          <t>San Ramon</t>
        </is>
      </c>
    </row>
    <row r="14588" spans="1:1">
      <c r="A14588" t="inlineStr">
        <is>
          <t>San Roque</t>
        </is>
      </c>
    </row>
    <row r="14589" spans="1:1">
      <c r="A14589" t="inlineStr">
        <is>
          <t>Santa Maria</t>
        </is>
      </c>
    </row>
    <row r="14590" spans="1:1">
      <c r="A14590" t="inlineStr">
        <is>
          <t>Tamdagan</t>
        </is>
      </c>
    </row>
    <row r="14591" spans="1:1">
      <c r="A14591" t="inlineStr">
        <is>
          <t>Visaya</t>
        </is>
      </c>
    </row>
    <row r="14592" spans="1:1">
      <c r="A14592" t="inlineStr">
        <is>
          <t>Alilem Daya</t>
        </is>
      </c>
    </row>
    <row r="14593" spans="1:1">
      <c r="A14593" t="inlineStr">
        <is>
          <t>Amilongan</t>
        </is>
      </c>
    </row>
    <row r="14594" spans="1:1">
      <c r="A14594" t="inlineStr">
        <is>
          <t>Anaao</t>
        </is>
      </c>
    </row>
    <row r="14595" spans="1:1">
      <c r="A14595" t="inlineStr">
        <is>
          <t>Apang</t>
        </is>
      </c>
    </row>
    <row r="14596" spans="1:1">
      <c r="A14596" t="inlineStr">
        <is>
          <t>Apaya</t>
        </is>
      </c>
    </row>
    <row r="14597" spans="1:1">
      <c r="A14597" t="inlineStr">
        <is>
          <t>Batbato</t>
        </is>
      </c>
    </row>
    <row r="14598" spans="1:1">
      <c r="A14598" t="inlineStr">
        <is>
          <t>Daddaay</t>
        </is>
      </c>
    </row>
    <row r="14599" spans="1:1">
      <c r="A14599" t="inlineStr">
        <is>
          <t>Dalawa</t>
        </is>
      </c>
    </row>
    <row r="14600" spans="1:1">
      <c r="A14600" t="inlineStr">
        <is>
          <t>Kiat</t>
        </is>
      </c>
    </row>
    <row r="14601" spans="1:1">
      <c r="A14601" t="inlineStr">
        <is>
          <t>Bagbagotot</t>
        </is>
      </c>
    </row>
    <row r="14602" spans="1:1">
      <c r="A14602" t="inlineStr">
        <is>
          <t>Banbanaal</t>
        </is>
      </c>
    </row>
    <row r="14603" spans="1:1">
      <c r="A14603" t="inlineStr">
        <is>
          <t>Bisangol</t>
        </is>
      </c>
    </row>
    <row r="14604" spans="1:1">
      <c r="A14604" t="inlineStr">
        <is>
          <t>Cadanglaan</t>
        </is>
      </c>
    </row>
    <row r="14605" spans="1:1">
      <c r="A14605" t="inlineStr">
        <is>
          <t>Casilagan Norte</t>
        </is>
      </c>
    </row>
    <row r="14606" spans="1:1">
      <c r="A14606" t="inlineStr">
        <is>
          <t>Casilagan Sur</t>
        </is>
      </c>
    </row>
    <row r="14607" spans="1:1">
      <c r="A14607" t="inlineStr">
        <is>
          <t>Elefante</t>
        </is>
      </c>
    </row>
    <row r="14608" spans="1:1">
      <c r="A14608" t="inlineStr">
        <is>
          <t>Guardia</t>
        </is>
      </c>
    </row>
    <row r="14609" spans="1:1">
      <c r="A14609" t="inlineStr">
        <is>
          <t>Lintic</t>
        </is>
      </c>
    </row>
    <row r="14610" spans="1:1">
      <c r="A14610" t="inlineStr">
        <is>
          <t>Lopez</t>
        </is>
      </c>
    </row>
    <row r="14611" spans="1:1">
      <c r="A14611" t="inlineStr">
        <is>
          <t>Montero</t>
        </is>
      </c>
    </row>
    <row r="14612" spans="1:1">
      <c r="A14612" t="inlineStr">
        <is>
          <t>Naguimba</t>
        </is>
      </c>
    </row>
    <row r="14613" spans="1:1">
      <c r="A14613" t="inlineStr">
        <is>
          <t>Pila</t>
        </is>
      </c>
    </row>
    <row r="14614" spans="1:1">
      <c r="A14614" t="inlineStr">
        <is>
          <t>Poblacion</t>
        </is>
      </c>
    </row>
    <row r="14615" spans="1:1">
      <c r="A14615" t="inlineStr">
        <is>
          <t>Aggay</t>
        </is>
      </c>
    </row>
    <row r="14616" spans="1:1">
      <c r="A14616" t="inlineStr">
        <is>
          <t>An-annam</t>
        </is>
      </c>
    </row>
    <row r="14617" spans="1:1">
      <c r="A14617" t="inlineStr">
        <is>
          <t>Balaleng</t>
        </is>
      </c>
    </row>
    <row r="14618" spans="1:1">
      <c r="A14618" t="inlineStr">
        <is>
          <t>Banaoang</t>
        </is>
      </c>
    </row>
    <row r="14619" spans="1:1">
      <c r="A14619" t="inlineStr">
        <is>
          <t>Barangay 1</t>
        </is>
      </c>
    </row>
    <row r="14620" spans="1:1">
      <c r="A14620" t="inlineStr">
        <is>
          <t>Barangay 2</t>
        </is>
      </c>
    </row>
    <row r="14621" spans="1:1">
      <c r="A14621" t="inlineStr">
        <is>
          <t>Barangay 3</t>
        </is>
      </c>
    </row>
    <row r="14622" spans="1:1">
      <c r="A14622" t="inlineStr">
        <is>
          <t>Barangay 4</t>
        </is>
      </c>
    </row>
    <row r="14623" spans="1:1">
      <c r="A14623" t="inlineStr">
        <is>
          <t>Barangay 5</t>
        </is>
      </c>
    </row>
    <row r="14624" spans="1:1">
      <c r="A14624" t="inlineStr">
        <is>
          <t>Barangay 6</t>
        </is>
      </c>
    </row>
    <row r="14625" spans="1:1">
      <c r="A14625" t="inlineStr">
        <is>
          <t>Bulag</t>
        </is>
      </c>
    </row>
    <row r="14626" spans="1:1">
      <c r="A14626" t="inlineStr">
        <is>
          <t>Buquig</t>
        </is>
      </c>
    </row>
    <row r="14627" spans="1:1">
      <c r="A14627" t="inlineStr">
        <is>
          <t>Cabalanggan</t>
        </is>
      </c>
    </row>
    <row r="14628" spans="1:1">
      <c r="A14628" t="inlineStr">
        <is>
          <t>Cabaroan</t>
        </is>
      </c>
    </row>
    <row r="14629" spans="1:1">
      <c r="A14629" t="inlineStr">
        <is>
          <t>Cabusligan</t>
        </is>
      </c>
    </row>
    <row r="14630" spans="1:1">
      <c r="A14630" t="inlineStr">
        <is>
          <t>Capangdanan</t>
        </is>
      </c>
    </row>
    <row r="14631" spans="1:1">
      <c r="A14631" t="inlineStr">
        <is>
          <t>Guimod</t>
        </is>
      </c>
    </row>
    <row r="14632" spans="1:1">
      <c r="A14632" t="inlineStr">
        <is>
          <t>Lingsat</t>
        </is>
      </c>
    </row>
    <row r="14633" spans="1:1">
      <c r="A14633" t="inlineStr">
        <is>
          <t>Malingeb</t>
        </is>
      </c>
    </row>
    <row r="14634" spans="1:1">
      <c r="A14634" t="inlineStr">
        <is>
          <t>Mira</t>
        </is>
      </c>
    </row>
    <row r="14635" spans="1:1">
      <c r="A14635" t="inlineStr">
        <is>
          <t>Naguiddayan</t>
        </is>
      </c>
    </row>
    <row r="14636" spans="1:1">
      <c r="A14636" t="inlineStr">
        <is>
          <t>Ora</t>
        </is>
      </c>
    </row>
    <row r="14637" spans="1:1">
      <c r="A14637" t="inlineStr">
        <is>
          <t>Paing</t>
        </is>
      </c>
    </row>
    <row r="14638" spans="1:1">
      <c r="A14638" t="inlineStr">
        <is>
          <t>Puspus</t>
        </is>
      </c>
    </row>
    <row r="14639" spans="1:1">
      <c r="A14639" t="inlineStr">
        <is>
          <t>Quimmarayan</t>
        </is>
      </c>
    </row>
    <row r="14640" spans="1:1">
      <c r="A14640" t="inlineStr">
        <is>
          <t>Sagneb</t>
        </is>
      </c>
    </row>
    <row r="14641" spans="1:1">
      <c r="A14641" t="inlineStr">
        <is>
          <t>Sagpat</t>
        </is>
      </c>
    </row>
    <row r="14642" spans="1:1">
      <c r="A14642" t="inlineStr">
        <is>
          <t>San Isidro</t>
        </is>
      </c>
    </row>
    <row r="14643" spans="1:1">
      <c r="A14643" t="inlineStr">
        <is>
          <t>San Julian</t>
        </is>
      </c>
    </row>
    <row r="14644" spans="1:1">
      <c r="A14644" t="inlineStr">
        <is>
          <t>San Mariano</t>
        </is>
      </c>
    </row>
    <row r="14645" spans="1:1">
      <c r="A14645" t="inlineStr">
        <is>
          <t>Sinabaan</t>
        </is>
      </c>
    </row>
    <row r="14646" spans="1:1">
      <c r="A14646" t="inlineStr">
        <is>
          <t>Taguiporo</t>
        </is>
      </c>
    </row>
    <row r="14647" spans="1:1">
      <c r="A14647" t="inlineStr">
        <is>
          <t>Taleb</t>
        </is>
      </c>
    </row>
    <row r="14648" spans="1:1">
      <c r="A14648" t="inlineStr">
        <is>
          <t>Tay-ac</t>
        </is>
      </c>
    </row>
    <row r="14649" spans="1:1">
      <c r="A14649" t="inlineStr">
        <is>
          <t>Ambugat</t>
        </is>
      </c>
    </row>
    <row r="14650" spans="1:1">
      <c r="A14650" t="inlineStr">
        <is>
          <t>Balugang</t>
        </is>
      </c>
    </row>
    <row r="14651" spans="1:1">
      <c r="A14651" t="inlineStr">
        <is>
          <t>Bangbangar</t>
        </is>
      </c>
    </row>
    <row r="14652" spans="1:1">
      <c r="A14652" t="inlineStr">
        <is>
          <t>Bessang</t>
        </is>
      </c>
    </row>
    <row r="14653" spans="1:1">
      <c r="A14653" t="inlineStr">
        <is>
          <t>Cabcaburao</t>
        </is>
      </c>
    </row>
    <row r="14654" spans="1:1">
      <c r="A14654" t="inlineStr">
        <is>
          <t>Cadacad</t>
        </is>
      </c>
    </row>
    <row r="14655" spans="1:1">
      <c r="A14655" t="inlineStr">
        <is>
          <t>Callitong</t>
        </is>
      </c>
    </row>
    <row r="14656" spans="1:1">
      <c r="A14656" t="inlineStr">
        <is>
          <t>Dayanki</t>
        </is>
      </c>
    </row>
    <row r="14657" spans="1:1">
      <c r="A14657" t="inlineStr">
        <is>
          <t>Dirdirig</t>
        </is>
      </c>
    </row>
    <row r="14658" spans="1:1">
      <c r="A14658" t="inlineStr">
        <is>
          <t>Lesseb</t>
        </is>
      </c>
    </row>
    <row r="14659" spans="1:1">
      <c r="A14659" t="inlineStr">
        <is>
          <t>Lubing</t>
        </is>
      </c>
    </row>
    <row r="14660" spans="1:1">
      <c r="A14660" t="inlineStr">
        <is>
          <t>Lucaban</t>
        </is>
      </c>
    </row>
    <row r="14661" spans="1:1">
      <c r="A14661" t="inlineStr">
        <is>
          <t>Luna</t>
        </is>
      </c>
    </row>
    <row r="14662" spans="1:1">
      <c r="A14662" t="inlineStr">
        <is>
          <t>Macaoayan</t>
        </is>
      </c>
    </row>
    <row r="14663" spans="1:1">
      <c r="A14663" t="inlineStr">
        <is>
          <t>Mambug</t>
        </is>
      </c>
    </row>
    <row r="14664" spans="1:1">
      <c r="A14664" t="inlineStr">
        <is>
          <t>Manaboc</t>
        </is>
      </c>
    </row>
    <row r="14665" spans="1:1">
      <c r="A14665" t="inlineStr">
        <is>
          <t>Mapanit</t>
        </is>
      </c>
    </row>
    <row r="14666" spans="1:1">
      <c r="A14666" t="inlineStr">
        <is>
          <t>Nagpanaoan</t>
        </is>
      </c>
    </row>
    <row r="14667" spans="1:1">
      <c r="A14667" t="inlineStr">
        <is>
          <t>Paduros</t>
        </is>
      </c>
    </row>
    <row r="14668" spans="1:1">
      <c r="A14668" t="inlineStr">
        <is>
          <t>Patac</t>
        </is>
      </c>
    </row>
    <row r="14669" spans="1:1">
      <c r="A14669" t="inlineStr">
        <is>
          <t>Poblacion Norte</t>
        </is>
      </c>
    </row>
    <row r="14670" spans="1:1">
      <c r="A14670" t="inlineStr">
        <is>
          <t>Poblacion Sur</t>
        </is>
      </c>
    </row>
    <row r="14671" spans="1:1">
      <c r="A14671" t="inlineStr">
        <is>
          <t>Sabangan Pinggan</t>
        </is>
      </c>
    </row>
    <row r="14672" spans="1:1">
      <c r="A14672" t="inlineStr">
        <is>
          <t>Subadi Norte</t>
        </is>
      </c>
    </row>
    <row r="14673" spans="1:1">
      <c r="A14673" t="inlineStr">
        <is>
          <t>Subadi Sur</t>
        </is>
      </c>
    </row>
    <row r="14674" spans="1:1">
      <c r="A14674" t="inlineStr">
        <is>
          <t>Taliao</t>
        </is>
      </c>
    </row>
    <row r="14675" spans="1:1">
      <c r="A14675" t="inlineStr">
        <is>
          <t>Alinaay</t>
        </is>
      </c>
    </row>
    <row r="14676" spans="1:1">
      <c r="A14676" t="inlineStr">
        <is>
          <t>Aragan</t>
        </is>
      </c>
    </row>
    <row r="14677" spans="1:1">
      <c r="A14677" t="inlineStr">
        <is>
          <t>Arnap</t>
        </is>
      </c>
    </row>
    <row r="14678" spans="1:1">
      <c r="A14678" t="inlineStr">
        <is>
          <t>Baclig</t>
        </is>
      </c>
    </row>
    <row r="14679" spans="1:1">
      <c r="A14679" t="inlineStr">
        <is>
          <t>Bato</t>
        </is>
      </c>
    </row>
    <row r="14680" spans="1:1">
      <c r="A14680" t="inlineStr">
        <is>
          <t>Bonifacio</t>
        </is>
      </c>
    </row>
    <row r="14681" spans="1:1">
      <c r="A14681" t="inlineStr">
        <is>
          <t>Bungro</t>
        </is>
      </c>
    </row>
    <row r="14682" spans="1:1">
      <c r="A14682" t="inlineStr">
        <is>
          <t>Cacadiran</t>
        </is>
      </c>
    </row>
    <row r="14683" spans="1:1">
      <c r="A14683" t="inlineStr">
        <is>
          <t>Caellayan</t>
        </is>
      </c>
    </row>
    <row r="14684" spans="1:1">
      <c r="A14684" t="inlineStr">
        <is>
          <t>Carusipan</t>
        </is>
      </c>
    </row>
    <row r="14685" spans="1:1">
      <c r="A14685" t="inlineStr">
        <is>
          <t>Catucdaan</t>
        </is>
      </c>
    </row>
    <row r="14686" spans="1:1">
      <c r="A14686" t="inlineStr">
        <is>
          <t>Cuancabal</t>
        </is>
      </c>
    </row>
    <row r="14687" spans="1:1">
      <c r="A14687" t="inlineStr">
        <is>
          <t>Cuantacla</t>
        </is>
      </c>
    </row>
    <row r="14688" spans="1:1">
      <c r="A14688" t="inlineStr">
        <is>
          <t>Daclapan</t>
        </is>
      </c>
    </row>
    <row r="14689" spans="1:1">
      <c r="A14689" t="inlineStr">
        <is>
          <t>Dardarat</t>
        </is>
      </c>
    </row>
    <row r="14690" spans="1:1">
      <c r="A14690" t="inlineStr">
        <is>
          <t>Lipit</t>
        </is>
      </c>
    </row>
    <row r="14691" spans="1:1">
      <c r="A14691" t="inlineStr">
        <is>
          <t>Maradodon</t>
        </is>
      </c>
    </row>
    <row r="14692" spans="1:1">
      <c r="A14692" t="inlineStr">
        <is>
          <t>Margaay</t>
        </is>
      </c>
    </row>
    <row r="14693" spans="1:1">
      <c r="A14693" t="inlineStr">
        <is>
          <t>Nagsantaan</t>
        </is>
      </c>
    </row>
    <row r="14694" spans="1:1">
      <c r="A14694" t="inlineStr">
        <is>
          <t>Nagsincaoan</t>
        </is>
      </c>
    </row>
    <row r="14695" spans="1:1">
      <c r="A14695" t="inlineStr">
        <is>
          <t>Namruangan</t>
        </is>
      </c>
    </row>
    <row r="14696" spans="1:1">
      <c r="A14696" t="inlineStr">
        <is>
          <t>Pila</t>
        </is>
      </c>
    </row>
    <row r="14697" spans="1:1">
      <c r="A14697" t="inlineStr">
        <is>
          <t>Pug-os</t>
        </is>
      </c>
    </row>
    <row r="14698" spans="1:1">
      <c r="A14698" t="inlineStr">
        <is>
          <t>Quezon</t>
        </is>
      </c>
    </row>
    <row r="14699" spans="1:1">
      <c r="A14699" t="inlineStr">
        <is>
          <t>Reppaac</t>
        </is>
      </c>
    </row>
    <row r="14700" spans="1:1">
      <c r="A14700" t="inlineStr">
        <is>
          <t>Rizal</t>
        </is>
      </c>
    </row>
    <row r="14701" spans="1:1">
      <c r="A14701" t="inlineStr">
        <is>
          <t>Sabang</t>
        </is>
      </c>
    </row>
    <row r="14702" spans="1:1">
      <c r="A14702" t="inlineStr">
        <is>
          <t>Sagayaden</t>
        </is>
      </c>
    </row>
    <row r="14703" spans="1:1">
      <c r="A14703" t="inlineStr">
        <is>
          <t>Salapasap</t>
        </is>
      </c>
    </row>
    <row r="14704" spans="1:1">
      <c r="A14704" t="inlineStr">
        <is>
          <t>Salomague</t>
        </is>
      </c>
    </row>
    <row r="14705" spans="1:1">
      <c r="A14705" t="inlineStr">
        <is>
          <t>Sisim</t>
        </is>
      </c>
    </row>
    <row r="14706" spans="1:1">
      <c r="A14706" t="inlineStr">
        <is>
          <t>Turod</t>
        </is>
      </c>
    </row>
    <row r="14707" spans="1:1">
      <c r="A14707" t="inlineStr">
        <is>
          <t>Turod-Patac</t>
        </is>
      </c>
    </row>
    <row r="14708" spans="1:1">
      <c r="A14708" t="inlineStr">
        <is>
          <t>Anonang Mayor</t>
        </is>
      </c>
    </row>
    <row r="14709" spans="1:1">
      <c r="A14709" t="inlineStr">
        <is>
          <t>Anonang Menor</t>
        </is>
      </c>
    </row>
    <row r="14710" spans="1:1">
      <c r="A14710" t="inlineStr">
        <is>
          <t>Baggoc</t>
        </is>
      </c>
    </row>
    <row r="14711" spans="1:1">
      <c r="A14711" t="inlineStr">
        <is>
          <t>Callaguip</t>
        </is>
      </c>
    </row>
    <row r="14712" spans="1:1">
      <c r="A14712" t="inlineStr">
        <is>
          <t>Caparacadan</t>
        </is>
      </c>
    </row>
    <row r="14713" spans="1:1">
      <c r="A14713" t="inlineStr">
        <is>
          <t>Don Alejandro Quirolgico</t>
        </is>
      </c>
    </row>
    <row r="14714" spans="1:1">
      <c r="A14714" t="inlineStr">
        <is>
          <t>Don Dimas Querubin</t>
        </is>
      </c>
    </row>
    <row r="14715" spans="1:1">
      <c r="A14715" t="inlineStr">
        <is>
          <t>Don Lorenzo Querubin</t>
        </is>
      </c>
    </row>
    <row r="14716" spans="1:1">
      <c r="A14716" t="inlineStr">
        <is>
          <t>Fuerte</t>
        </is>
      </c>
    </row>
    <row r="14717" spans="1:1">
      <c r="A14717" t="inlineStr">
        <is>
          <t>Manangat</t>
        </is>
      </c>
    </row>
    <row r="14718" spans="1:1">
      <c r="A14718" t="inlineStr">
        <is>
          <t>Naguilian</t>
        </is>
      </c>
    </row>
    <row r="14719" spans="1:1">
      <c r="A14719" t="inlineStr">
        <is>
          <t>Nansuagao</t>
        </is>
      </c>
    </row>
    <row r="14720" spans="1:1">
      <c r="A14720" t="inlineStr">
        <is>
          <t>Pandan</t>
        </is>
      </c>
    </row>
    <row r="14721" spans="1:1">
      <c r="A14721" t="inlineStr">
        <is>
          <t>Pantay Tamurong</t>
        </is>
      </c>
    </row>
    <row r="14722" spans="1:1">
      <c r="A14722" t="inlineStr">
        <is>
          <t>Pantay-Quitiquit</t>
        </is>
      </c>
    </row>
    <row r="14723" spans="1:1">
      <c r="A14723" t="inlineStr">
        <is>
          <t>Puro</t>
        </is>
      </c>
    </row>
    <row r="14724" spans="1:1">
      <c r="A14724" t="inlineStr">
        <is>
          <t>Villamar</t>
        </is>
      </c>
    </row>
    <row r="14725" spans="1:1">
      <c r="A14725" t="inlineStr">
        <is>
          <t>Aluling</t>
        </is>
      </c>
    </row>
    <row r="14726" spans="1:1">
      <c r="A14726" t="inlineStr">
        <is>
          <t>Comillas North</t>
        </is>
      </c>
    </row>
    <row r="14727" spans="1:1">
      <c r="A14727" t="inlineStr">
        <is>
          <t>Comillas South</t>
        </is>
      </c>
    </row>
    <row r="14728" spans="1:1">
      <c r="A14728" t="inlineStr">
        <is>
          <t>Concepcion</t>
        </is>
      </c>
    </row>
    <row r="14729" spans="1:1">
      <c r="A14729" t="inlineStr">
        <is>
          <t>Dinwede East</t>
        </is>
      </c>
    </row>
    <row r="14730" spans="1:1">
      <c r="A14730" t="inlineStr">
        <is>
          <t>Dinwede West</t>
        </is>
      </c>
    </row>
    <row r="14731" spans="1:1">
      <c r="A14731" t="inlineStr">
        <is>
          <t>Libang</t>
        </is>
      </c>
    </row>
    <row r="14732" spans="1:1">
      <c r="A14732" t="inlineStr">
        <is>
          <t>Malaya</t>
        </is>
      </c>
    </row>
    <row r="14733" spans="1:1">
      <c r="A14733" t="inlineStr">
        <is>
          <t>Pilipil</t>
        </is>
      </c>
    </row>
    <row r="14734" spans="1:1">
      <c r="A14734" t="inlineStr">
        <is>
          <t>Remedios</t>
        </is>
      </c>
    </row>
    <row r="14735" spans="1:1">
      <c r="A14735" t="inlineStr">
        <is>
          <t>Rosario</t>
        </is>
      </c>
    </row>
    <row r="14736" spans="1:1">
      <c r="A14736" t="inlineStr">
        <is>
          <t>San Juan</t>
        </is>
      </c>
    </row>
    <row r="14737" spans="1:1">
      <c r="A14737" t="inlineStr">
        <is>
          <t>San Luis</t>
        </is>
      </c>
    </row>
    <row r="14738" spans="1:1">
      <c r="A14738" t="inlineStr">
        <is>
          <t>Allangigan Primero</t>
        </is>
      </c>
    </row>
    <row r="14739" spans="1:1">
      <c r="A14739" t="inlineStr">
        <is>
          <t>Allangigan Segundo</t>
        </is>
      </c>
    </row>
    <row r="14740" spans="1:1">
      <c r="A14740" t="inlineStr">
        <is>
          <t>Amguid</t>
        </is>
      </c>
    </row>
    <row r="14741" spans="1:1">
      <c r="A14741" t="inlineStr">
        <is>
          <t>Ayudante</t>
        </is>
      </c>
    </row>
    <row r="14742" spans="1:1">
      <c r="A14742" t="inlineStr">
        <is>
          <t>Bagani Camposanto</t>
        </is>
      </c>
    </row>
    <row r="14743" spans="1:1">
      <c r="A14743" t="inlineStr">
        <is>
          <t>Bagani Gabor</t>
        </is>
      </c>
    </row>
    <row r="14744" spans="1:1">
      <c r="A14744" t="inlineStr">
        <is>
          <t>Bagani Tocgo</t>
        </is>
      </c>
    </row>
    <row r="14745" spans="1:1">
      <c r="A14745" t="inlineStr">
        <is>
          <t>Bagani Ubbog</t>
        </is>
      </c>
    </row>
    <row r="14746" spans="1:1">
      <c r="A14746" t="inlineStr">
        <is>
          <t>Bagar</t>
        </is>
      </c>
    </row>
    <row r="14747" spans="1:1">
      <c r="A14747" t="inlineStr">
        <is>
          <t>Balingaoan</t>
        </is>
      </c>
    </row>
    <row r="14748" spans="1:1">
      <c r="A14748" t="inlineStr">
        <is>
          <t>Bugnay</t>
        </is>
      </c>
    </row>
    <row r="14749" spans="1:1">
      <c r="A14749" t="inlineStr">
        <is>
          <t>Calaoaan</t>
        </is>
      </c>
    </row>
    <row r="14750" spans="1:1">
      <c r="A14750" t="inlineStr">
        <is>
          <t>Calongbuyan</t>
        </is>
      </c>
    </row>
    <row r="14751" spans="1:1">
      <c r="A14751" t="inlineStr">
        <is>
          <t>Caterman</t>
        </is>
      </c>
    </row>
    <row r="14752" spans="1:1">
      <c r="A14752" t="inlineStr">
        <is>
          <t>Cubcubbuot</t>
        </is>
      </c>
    </row>
    <row r="14753" spans="1:1">
      <c r="A14753" t="inlineStr">
        <is>
          <t>Darapidap</t>
        </is>
      </c>
    </row>
    <row r="14754" spans="1:1">
      <c r="A14754" t="inlineStr">
        <is>
          <t>Langlangca Primero</t>
        </is>
      </c>
    </row>
    <row r="14755" spans="1:1">
      <c r="A14755" t="inlineStr">
        <is>
          <t>Langlangca Segundo</t>
        </is>
      </c>
    </row>
    <row r="14756" spans="1:1">
      <c r="A14756" t="inlineStr">
        <is>
          <t>Oaig-Daya</t>
        </is>
      </c>
    </row>
    <row r="14757" spans="1:1">
      <c r="A14757" t="inlineStr">
        <is>
          <t>Palacapac</t>
        </is>
      </c>
    </row>
    <row r="14758" spans="1:1">
      <c r="A14758" t="inlineStr">
        <is>
          <t>Paras</t>
        </is>
      </c>
    </row>
    <row r="14759" spans="1:1">
      <c r="A14759" t="inlineStr">
        <is>
          <t>Parioc Primero</t>
        </is>
      </c>
    </row>
    <row r="14760" spans="1:1">
      <c r="A14760" t="inlineStr">
        <is>
          <t>Parioc Segundo</t>
        </is>
      </c>
    </row>
    <row r="14761" spans="1:1">
      <c r="A14761" t="inlineStr">
        <is>
          <t>Patpata Primero</t>
        </is>
      </c>
    </row>
    <row r="14762" spans="1:1">
      <c r="A14762" t="inlineStr">
        <is>
          <t>Patpata Segundo</t>
        </is>
      </c>
    </row>
    <row r="14763" spans="1:1">
      <c r="A14763" t="inlineStr">
        <is>
          <t>Paypayad</t>
        </is>
      </c>
    </row>
    <row r="14764" spans="1:1">
      <c r="A14764" t="inlineStr">
        <is>
          <t>Salvador Primero</t>
        </is>
      </c>
    </row>
    <row r="14765" spans="1:1">
      <c r="A14765" t="inlineStr">
        <is>
          <t>Salvador Segundo</t>
        </is>
      </c>
    </row>
    <row r="14766" spans="1:1">
      <c r="A14766" t="inlineStr">
        <is>
          <t>San Agustin</t>
        </is>
      </c>
    </row>
    <row r="14767" spans="1:1">
      <c r="A14767" t="inlineStr">
        <is>
          <t>San Andres</t>
        </is>
      </c>
    </row>
    <row r="14768" spans="1:1">
      <c r="A14768" t="inlineStr">
        <is>
          <t>San Antonio</t>
        </is>
      </c>
    </row>
    <row r="14769" spans="1:1">
      <c r="A14769" t="inlineStr">
        <is>
          <t>San Isidro</t>
        </is>
      </c>
    </row>
    <row r="14770" spans="1:1">
      <c r="A14770" t="inlineStr">
        <is>
          <t>San Jose</t>
        </is>
      </c>
    </row>
    <row r="14771" spans="1:1">
      <c r="A14771" t="inlineStr">
        <is>
          <t>San Juan</t>
        </is>
      </c>
    </row>
    <row r="14772" spans="1:1">
      <c r="A14772" t="inlineStr">
        <is>
          <t>San Nicolas</t>
        </is>
      </c>
    </row>
    <row r="14773" spans="1:1">
      <c r="A14773" t="inlineStr">
        <is>
          <t>San Pedro</t>
        </is>
      </c>
    </row>
    <row r="14774" spans="1:1">
      <c r="A14774" t="inlineStr">
        <is>
          <t>Santo Tomas</t>
        </is>
      </c>
    </row>
    <row r="14775" spans="1:1">
      <c r="A14775" t="inlineStr">
        <is>
          <t>Tablac</t>
        </is>
      </c>
    </row>
    <row r="14776" spans="1:1">
      <c r="A14776" t="inlineStr">
        <is>
          <t>Talogtog</t>
        </is>
      </c>
    </row>
    <row r="14777" spans="1:1">
      <c r="A14777" t="inlineStr">
        <is>
          <t>Tamurong Primero</t>
        </is>
      </c>
    </row>
    <row r="14778" spans="1:1">
      <c r="A14778" t="inlineStr">
        <is>
          <t>Tamurong Segundo</t>
        </is>
      </c>
    </row>
    <row r="14779" spans="1:1">
      <c r="A14779" t="inlineStr">
        <is>
          <t>Villarica</t>
        </is>
      </c>
    </row>
    <row r="14780" spans="1:1">
      <c r="A14780" t="inlineStr">
        <is>
          <t>Ayusan Norte</t>
        </is>
      </c>
    </row>
    <row r="14781" spans="1:1">
      <c r="A14781" t="inlineStr">
        <is>
          <t>Ayusan Sur</t>
        </is>
      </c>
    </row>
    <row r="14782" spans="1:1">
      <c r="A14782" t="inlineStr">
        <is>
          <t>Barangay I</t>
        </is>
      </c>
    </row>
    <row r="14783" spans="1:1">
      <c r="A14783" t="inlineStr">
        <is>
          <t>Barangay II</t>
        </is>
      </c>
    </row>
    <row r="14784" spans="1:1">
      <c r="A14784" t="inlineStr">
        <is>
          <t>Barangay III</t>
        </is>
      </c>
    </row>
    <row r="14785" spans="1:1">
      <c r="A14785" t="inlineStr">
        <is>
          <t>Barangay IV</t>
        </is>
      </c>
    </row>
    <row r="14786" spans="1:1">
      <c r="A14786" t="inlineStr">
        <is>
          <t>Barangay IX</t>
        </is>
      </c>
    </row>
    <row r="14787" spans="1:1">
      <c r="A14787" t="inlineStr">
        <is>
          <t>Barangay V</t>
        </is>
      </c>
    </row>
    <row r="14788" spans="1:1">
      <c r="A14788" t="inlineStr">
        <is>
          <t>Barangay VI</t>
        </is>
      </c>
    </row>
    <row r="14789" spans="1:1">
      <c r="A14789" t="inlineStr">
        <is>
          <t>Barangay VII</t>
        </is>
      </c>
    </row>
    <row r="14790" spans="1:1">
      <c r="A14790" t="inlineStr">
        <is>
          <t>Barangay VIII</t>
        </is>
      </c>
    </row>
    <row r="14791" spans="1:1">
      <c r="A14791" t="inlineStr">
        <is>
          <t>Barraca</t>
        </is>
      </c>
    </row>
    <row r="14792" spans="1:1">
      <c r="A14792" t="inlineStr">
        <is>
          <t>Beddeng Daya</t>
        </is>
      </c>
    </row>
    <row r="14793" spans="1:1">
      <c r="A14793" t="inlineStr">
        <is>
          <t>Beddeng Laud</t>
        </is>
      </c>
    </row>
    <row r="14794" spans="1:1">
      <c r="A14794" t="inlineStr">
        <is>
          <t>Bongtolan</t>
        </is>
      </c>
    </row>
    <row r="14795" spans="1:1">
      <c r="A14795" t="inlineStr">
        <is>
          <t>Bulala</t>
        </is>
      </c>
    </row>
    <row r="14796" spans="1:1">
      <c r="A14796" t="inlineStr">
        <is>
          <t>Cabalangegan</t>
        </is>
      </c>
    </row>
    <row r="14797" spans="1:1">
      <c r="A14797" t="inlineStr">
        <is>
          <t>Cabaroan Daya</t>
        </is>
      </c>
    </row>
    <row r="14798" spans="1:1">
      <c r="A14798" t="inlineStr">
        <is>
          <t>Cabaroan Laud</t>
        </is>
      </c>
    </row>
    <row r="14799" spans="1:1">
      <c r="A14799" t="inlineStr">
        <is>
          <t>Camangaan</t>
        </is>
      </c>
    </row>
    <row r="14800" spans="1:1">
      <c r="A14800" t="inlineStr">
        <is>
          <t>Capangpangan</t>
        </is>
      </c>
    </row>
    <row r="14801" spans="1:1">
      <c r="A14801" t="inlineStr">
        <is>
          <t>Mindoro</t>
        </is>
      </c>
    </row>
    <row r="14802" spans="1:1">
      <c r="A14802" t="inlineStr">
        <is>
          <t>Nagsangalan</t>
        </is>
      </c>
    </row>
    <row r="14803" spans="1:1">
      <c r="A14803" t="inlineStr">
        <is>
          <t>Pantay Daya</t>
        </is>
      </c>
    </row>
    <row r="14804" spans="1:1">
      <c r="A14804" t="inlineStr">
        <is>
          <t>Pantay Fatima</t>
        </is>
      </c>
    </row>
    <row r="14805" spans="1:1">
      <c r="A14805" t="inlineStr">
        <is>
          <t>Pantay Laud</t>
        </is>
      </c>
    </row>
    <row r="14806" spans="1:1">
      <c r="A14806" t="inlineStr">
        <is>
          <t>Paoa</t>
        </is>
      </c>
    </row>
    <row r="14807" spans="1:1">
      <c r="A14807" t="inlineStr">
        <is>
          <t>Paratong</t>
        </is>
      </c>
    </row>
    <row r="14808" spans="1:1">
      <c r="A14808" t="inlineStr">
        <is>
          <t>Pong-ol</t>
        </is>
      </c>
    </row>
    <row r="14809" spans="1:1">
      <c r="A14809" t="inlineStr">
        <is>
          <t>Purok-a-bassit</t>
        </is>
      </c>
    </row>
    <row r="14810" spans="1:1">
      <c r="A14810" t="inlineStr">
        <is>
          <t>Purok-a-dackel</t>
        </is>
      </c>
    </row>
    <row r="14811" spans="1:1">
      <c r="A14811" t="inlineStr">
        <is>
          <t>Raois</t>
        </is>
      </c>
    </row>
    <row r="14812" spans="1:1">
      <c r="A14812" t="inlineStr">
        <is>
          <t>Rugsuanan</t>
        </is>
      </c>
    </row>
    <row r="14813" spans="1:1">
      <c r="A14813" t="inlineStr">
        <is>
          <t>Salindeg</t>
        </is>
      </c>
    </row>
    <row r="14814" spans="1:1">
      <c r="A14814" t="inlineStr">
        <is>
          <t>San Jose</t>
        </is>
      </c>
    </row>
    <row r="14815" spans="1:1">
      <c r="A14815" t="inlineStr">
        <is>
          <t>San Julian Norte</t>
        </is>
      </c>
    </row>
    <row r="14816" spans="1:1">
      <c r="A14816" t="inlineStr">
        <is>
          <t>San Julian Sur</t>
        </is>
      </c>
    </row>
    <row r="14817" spans="1:1">
      <c r="A14817" t="inlineStr">
        <is>
          <t>San Pedro</t>
        </is>
      </c>
    </row>
    <row r="14818" spans="1:1">
      <c r="A14818" t="inlineStr">
        <is>
          <t>Tamag</t>
        </is>
      </c>
    </row>
    <row r="14819" spans="1:1">
      <c r="A14819" t="inlineStr">
        <is>
          <t>Abaya</t>
        </is>
      </c>
    </row>
    <row r="14820" spans="1:1">
      <c r="A14820" t="inlineStr">
        <is>
          <t>Baracbac</t>
        </is>
      </c>
    </row>
    <row r="14821" spans="1:1">
      <c r="A14821" t="inlineStr">
        <is>
          <t>Bidbiday</t>
        </is>
      </c>
    </row>
    <row r="14822" spans="1:1">
      <c r="A14822" t="inlineStr">
        <is>
          <t>Bitong</t>
        </is>
      </c>
    </row>
    <row r="14823" spans="1:1">
      <c r="A14823" t="inlineStr">
        <is>
          <t>Borobor</t>
        </is>
      </c>
    </row>
    <row r="14824" spans="1:1">
      <c r="A14824" t="inlineStr">
        <is>
          <t>Calimugtong</t>
        </is>
      </c>
    </row>
    <row r="14825" spans="1:1">
      <c r="A14825" t="inlineStr">
        <is>
          <t>Calongbuyan</t>
        </is>
      </c>
    </row>
    <row r="14826" spans="1:1">
      <c r="A14826" t="inlineStr">
        <is>
          <t>Calumbaya</t>
        </is>
      </c>
    </row>
    <row r="14827" spans="1:1">
      <c r="A14827" t="inlineStr">
        <is>
          <t>Daldagan</t>
        </is>
      </c>
    </row>
    <row r="14828" spans="1:1">
      <c r="A14828" t="inlineStr">
        <is>
          <t>Kilang</t>
        </is>
      </c>
    </row>
    <row r="14829" spans="1:1">
      <c r="A14829" t="inlineStr">
        <is>
          <t>Legaspi</t>
        </is>
      </c>
    </row>
    <row r="14830" spans="1:1">
      <c r="A14830" t="inlineStr">
        <is>
          <t>Mabayag</t>
        </is>
      </c>
    </row>
    <row r="14831" spans="1:1">
      <c r="A14831" t="inlineStr">
        <is>
          <t>Matanubong</t>
        </is>
      </c>
    </row>
    <row r="14832" spans="1:1">
      <c r="A14832" t="inlineStr">
        <is>
          <t>Mckinley</t>
        </is>
      </c>
    </row>
    <row r="14833" spans="1:1">
      <c r="A14833" t="inlineStr">
        <is>
          <t>Nagsingcaoan</t>
        </is>
      </c>
    </row>
    <row r="14834" spans="1:1">
      <c r="A14834" t="inlineStr">
        <is>
          <t>Oaig-Daya</t>
        </is>
      </c>
    </row>
    <row r="14835" spans="1:1">
      <c r="A14835" t="inlineStr">
        <is>
          <t>Pagangpang</t>
        </is>
      </c>
    </row>
    <row r="14836" spans="1:1">
      <c r="A14836" t="inlineStr">
        <is>
          <t>Patac</t>
        </is>
      </c>
    </row>
    <row r="14837" spans="1:1">
      <c r="A14837" t="inlineStr">
        <is>
          <t>Poblacion</t>
        </is>
      </c>
    </row>
    <row r="14838" spans="1:1">
      <c r="A14838" t="inlineStr">
        <is>
          <t>Rubio</t>
        </is>
      </c>
    </row>
    <row r="14839" spans="1:1">
      <c r="A14839" t="inlineStr">
        <is>
          <t>Sabangan-Bato</t>
        </is>
      </c>
    </row>
    <row r="14840" spans="1:1">
      <c r="A14840" t="inlineStr">
        <is>
          <t>Sacaang</t>
        </is>
      </c>
    </row>
    <row r="14841" spans="1:1">
      <c r="A14841" t="inlineStr">
        <is>
          <t>San Vicente</t>
        </is>
      </c>
    </row>
    <row r="14842" spans="1:1">
      <c r="A14842" t="inlineStr">
        <is>
          <t>Sapang</t>
        </is>
      </c>
    </row>
    <row r="14843" spans="1:1">
      <c r="A14843" t="inlineStr">
        <is>
          <t>Alfonso</t>
        </is>
      </c>
    </row>
    <row r="14844" spans="1:1">
      <c r="A14844" t="inlineStr">
        <is>
          <t>Bussot</t>
        </is>
      </c>
    </row>
    <row r="14845" spans="1:1">
      <c r="A14845" t="inlineStr">
        <is>
          <t>Concepcion</t>
        </is>
      </c>
    </row>
    <row r="14846" spans="1:1">
      <c r="A14846" t="inlineStr">
        <is>
          <t>Dapdappig</t>
        </is>
      </c>
    </row>
    <row r="14847" spans="1:1">
      <c r="A14847" t="inlineStr">
        <is>
          <t>Matue-Butarag</t>
        </is>
      </c>
    </row>
    <row r="14848" spans="1:1">
      <c r="A14848" t="inlineStr">
        <is>
          <t>Poblacion Norte</t>
        </is>
      </c>
    </row>
    <row r="14849" spans="1:1">
      <c r="A14849" t="inlineStr">
        <is>
          <t>Poblacion Sur</t>
        </is>
      </c>
    </row>
    <row r="14850" spans="1:1">
      <c r="A14850" t="inlineStr">
        <is>
          <t>Banucal</t>
        </is>
      </c>
    </row>
    <row r="14851" spans="1:1">
      <c r="A14851" t="inlineStr">
        <is>
          <t>Bequi-Walin</t>
        </is>
      </c>
    </row>
    <row r="14852" spans="1:1">
      <c r="A14852" t="inlineStr">
        <is>
          <t>Bugui</t>
        </is>
      </c>
    </row>
    <row r="14853" spans="1:1">
      <c r="A14853" t="inlineStr">
        <is>
          <t>Calungbuyan</t>
        </is>
      </c>
    </row>
    <row r="14854" spans="1:1">
      <c r="A14854" t="inlineStr">
        <is>
          <t>Carcarabasa</t>
        </is>
      </c>
    </row>
    <row r="14855" spans="1:1">
      <c r="A14855" t="inlineStr">
        <is>
          <t>Labut</t>
        </is>
      </c>
    </row>
    <row r="14856" spans="1:1">
      <c r="A14856" t="inlineStr">
        <is>
          <t>Poblacion Norte</t>
        </is>
      </c>
    </row>
    <row r="14857" spans="1:1">
      <c r="A14857" t="inlineStr">
        <is>
          <t>Poblacion Sur</t>
        </is>
      </c>
    </row>
    <row r="14858" spans="1:1">
      <c r="A14858" t="inlineStr">
        <is>
          <t>San Vicente</t>
        </is>
      </c>
    </row>
    <row r="14859" spans="1:1">
      <c r="A14859" t="inlineStr">
        <is>
          <t>Suysuyan</t>
        </is>
      </c>
    </row>
    <row r="14860" spans="1:1">
      <c r="A14860" t="inlineStr">
        <is>
          <t>Tay-ac</t>
        </is>
      </c>
    </row>
    <row r="14861" spans="1:1">
      <c r="A14861" t="inlineStr">
        <is>
          <t>Alangan</t>
        </is>
      </c>
    </row>
    <row r="14862" spans="1:1">
      <c r="A14862" t="inlineStr">
        <is>
          <t>Bacar</t>
        </is>
      </c>
    </row>
    <row r="14863" spans="1:1">
      <c r="A14863" t="inlineStr">
        <is>
          <t>Barbarit</t>
        </is>
      </c>
    </row>
    <row r="14864" spans="1:1">
      <c r="A14864" t="inlineStr">
        <is>
          <t>Bungro</t>
        </is>
      </c>
    </row>
    <row r="14865" spans="1:1">
      <c r="A14865" t="inlineStr">
        <is>
          <t>Cabaroan</t>
        </is>
      </c>
    </row>
    <row r="14866" spans="1:1">
      <c r="A14866" t="inlineStr">
        <is>
          <t>Cadanglaan</t>
        </is>
      </c>
    </row>
    <row r="14867" spans="1:1">
      <c r="A14867" t="inlineStr">
        <is>
          <t>Caraisan</t>
        </is>
      </c>
    </row>
    <row r="14868" spans="1:1">
      <c r="A14868" t="inlineStr">
        <is>
          <t>Dacutan</t>
        </is>
      </c>
    </row>
    <row r="14869" spans="1:1">
      <c r="A14869" t="inlineStr">
        <is>
          <t>Labut</t>
        </is>
      </c>
    </row>
    <row r="14870" spans="1:1">
      <c r="A14870" t="inlineStr">
        <is>
          <t>Maas-asin</t>
        </is>
      </c>
    </row>
    <row r="14871" spans="1:1">
      <c r="A14871" t="inlineStr">
        <is>
          <t>Macatcatud</t>
        </is>
      </c>
    </row>
    <row r="14872" spans="1:1">
      <c r="A14872" t="inlineStr">
        <is>
          <t>Manzante</t>
        </is>
      </c>
    </row>
    <row r="14873" spans="1:1">
      <c r="A14873" t="inlineStr">
        <is>
          <t>Maratudo</t>
        </is>
      </c>
    </row>
    <row r="14874" spans="1:1">
      <c r="A14874" t="inlineStr">
        <is>
          <t>Miramar</t>
        </is>
      </c>
    </row>
    <row r="14875" spans="1:1">
      <c r="A14875" t="inlineStr">
        <is>
          <t>Namalpalan</t>
        </is>
      </c>
    </row>
    <row r="14876" spans="1:1">
      <c r="A14876" t="inlineStr">
        <is>
          <t>Napo</t>
        </is>
      </c>
    </row>
    <row r="14877" spans="1:1">
      <c r="A14877" t="inlineStr">
        <is>
          <t>Pagsanaan Norte</t>
        </is>
      </c>
    </row>
    <row r="14878" spans="1:1">
      <c r="A14878" t="inlineStr">
        <is>
          <t>Pagsanaan Sur</t>
        </is>
      </c>
    </row>
    <row r="14879" spans="1:1">
      <c r="A14879" t="inlineStr">
        <is>
          <t>Panay Norte</t>
        </is>
      </c>
    </row>
    <row r="14880" spans="1:1">
      <c r="A14880" t="inlineStr">
        <is>
          <t>Panay Sur</t>
        </is>
      </c>
    </row>
    <row r="14881" spans="1:1">
      <c r="A14881" t="inlineStr">
        <is>
          <t>Patong</t>
        </is>
      </c>
    </row>
    <row r="14882" spans="1:1">
      <c r="A14882" t="inlineStr">
        <is>
          <t>Puro</t>
        </is>
      </c>
    </row>
    <row r="14883" spans="1:1">
      <c r="A14883" t="inlineStr">
        <is>
          <t>San Basilio</t>
        </is>
      </c>
    </row>
    <row r="14884" spans="1:1">
      <c r="A14884" t="inlineStr">
        <is>
          <t>San Clemente</t>
        </is>
      </c>
    </row>
    <row r="14885" spans="1:1">
      <c r="A14885" t="inlineStr">
        <is>
          <t>San Julian</t>
        </is>
      </c>
    </row>
    <row r="14886" spans="1:1">
      <c r="A14886" t="inlineStr">
        <is>
          <t>San Lucas</t>
        </is>
      </c>
    </row>
    <row r="14887" spans="1:1">
      <c r="A14887" t="inlineStr">
        <is>
          <t>San Ramon</t>
        </is>
      </c>
    </row>
    <row r="14888" spans="1:1">
      <c r="A14888" t="inlineStr">
        <is>
          <t>San Vicente</t>
        </is>
      </c>
    </row>
    <row r="14889" spans="1:1">
      <c r="A14889" t="inlineStr">
        <is>
          <t>Santa Monica</t>
        </is>
      </c>
    </row>
    <row r="14890" spans="1:1">
      <c r="A14890" t="inlineStr">
        <is>
          <t>Sarsaracat</t>
        </is>
      </c>
    </row>
    <row r="14891" spans="1:1">
      <c r="A14891" t="inlineStr">
        <is>
          <t>Balaweg</t>
        </is>
      </c>
    </row>
    <row r="14892" spans="1:1">
      <c r="A14892" t="inlineStr">
        <is>
          <t>Bandril</t>
        </is>
      </c>
    </row>
    <row r="14893" spans="1:1">
      <c r="A14893" t="inlineStr">
        <is>
          <t>Bantugo</t>
        </is>
      </c>
    </row>
    <row r="14894" spans="1:1">
      <c r="A14894" t="inlineStr">
        <is>
          <t>Cadacad</t>
        </is>
      </c>
    </row>
    <row r="14895" spans="1:1">
      <c r="A14895" t="inlineStr">
        <is>
          <t>Casilagan</t>
        </is>
      </c>
    </row>
    <row r="14896" spans="1:1">
      <c r="A14896" t="inlineStr">
        <is>
          <t>Cosocos</t>
        </is>
      </c>
    </row>
    <row r="14897" spans="1:1">
      <c r="A14897" t="inlineStr">
        <is>
          <t>Lapting</t>
        </is>
      </c>
    </row>
    <row r="14898" spans="1:1">
      <c r="A14898" t="inlineStr">
        <is>
          <t>Mapisi</t>
        </is>
      </c>
    </row>
    <row r="14899" spans="1:1">
      <c r="A14899" t="inlineStr">
        <is>
          <t>Mission</t>
        </is>
      </c>
    </row>
    <row r="14900" spans="1:1">
      <c r="A14900" t="inlineStr">
        <is>
          <t>Poblacion East</t>
        </is>
      </c>
    </row>
    <row r="14901" spans="1:1">
      <c r="A14901" t="inlineStr">
        <is>
          <t>Poblacion West</t>
        </is>
      </c>
    </row>
    <row r="14902" spans="1:1">
      <c r="A14902" t="inlineStr">
        <is>
          <t>Taleb</t>
        </is>
      </c>
    </row>
    <row r="14903" spans="1:1">
      <c r="A14903" t="inlineStr">
        <is>
          <t>Abuor</t>
        </is>
      </c>
    </row>
    <row r="14904" spans="1:1">
      <c r="A14904" t="inlineStr">
        <is>
          <t>Ambulogan</t>
        </is>
      </c>
    </row>
    <row r="14905" spans="1:1">
      <c r="A14905" t="inlineStr">
        <is>
          <t>Aquib</t>
        </is>
      </c>
    </row>
    <row r="14906" spans="1:1">
      <c r="A14906" t="inlineStr">
        <is>
          <t>Banglayan</t>
        </is>
      </c>
    </row>
    <row r="14907" spans="1:1">
      <c r="A14907" t="inlineStr">
        <is>
          <t>Bantay Abot</t>
        </is>
      </c>
    </row>
    <row r="14908" spans="1:1">
      <c r="A14908" t="inlineStr">
        <is>
          <t>Bulanos</t>
        </is>
      </c>
    </row>
    <row r="14909" spans="1:1">
      <c r="A14909" t="inlineStr">
        <is>
          <t>Cadacad</t>
        </is>
      </c>
    </row>
    <row r="14910" spans="1:1">
      <c r="A14910" t="inlineStr">
        <is>
          <t>Cagayungan</t>
        </is>
      </c>
    </row>
    <row r="14911" spans="1:1">
      <c r="A14911" t="inlineStr">
        <is>
          <t>Camarao</t>
        </is>
      </c>
    </row>
    <row r="14912" spans="1:1">
      <c r="A14912" t="inlineStr">
        <is>
          <t>Casilagan</t>
        </is>
      </c>
    </row>
    <row r="14913" spans="1:1">
      <c r="A14913" t="inlineStr">
        <is>
          <t>Codoog</t>
        </is>
      </c>
    </row>
    <row r="14914" spans="1:1">
      <c r="A14914" t="inlineStr">
        <is>
          <t>Dasay</t>
        </is>
      </c>
    </row>
    <row r="14915" spans="1:1">
      <c r="A14915" t="inlineStr">
        <is>
          <t>Dinalaoan</t>
        </is>
      </c>
    </row>
    <row r="14916" spans="1:1">
      <c r="A14916" t="inlineStr">
        <is>
          <t>Estancia</t>
        </is>
      </c>
    </row>
    <row r="14917" spans="1:1">
      <c r="A14917" t="inlineStr">
        <is>
          <t>Lanipao</t>
        </is>
      </c>
    </row>
    <row r="14918" spans="1:1">
      <c r="A14918" t="inlineStr">
        <is>
          <t>Lungog</t>
        </is>
      </c>
    </row>
    <row r="14919" spans="1:1">
      <c r="A14919" t="inlineStr">
        <is>
          <t>Margaay</t>
        </is>
      </c>
    </row>
    <row r="14920" spans="1:1">
      <c r="A14920" t="inlineStr">
        <is>
          <t>Marozo</t>
        </is>
      </c>
    </row>
    <row r="14921" spans="1:1">
      <c r="A14921" t="inlineStr">
        <is>
          <t>Naguneg</t>
        </is>
      </c>
    </row>
    <row r="14922" spans="1:1">
      <c r="A14922" t="inlineStr">
        <is>
          <t>Orence</t>
        </is>
      </c>
    </row>
    <row r="14923" spans="1:1">
      <c r="A14923" t="inlineStr">
        <is>
          <t>Pantoc</t>
        </is>
      </c>
    </row>
    <row r="14924" spans="1:1">
      <c r="A14924" t="inlineStr">
        <is>
          <t>Paratong</t>
        </is>
      </c>
    </row>
    <row r="14925" spans="1:1">
      <c r="A14925" t="inlineStr">
        <is>
          <t>Parparia</t>
        </is>
      </c>
    </row>
    <row r="14926" spans="1:1">
      <c r="A14926" t="inlineStr">
        <is>
          <t>Quinarayan</t>
        </is>
      </c>
    </row>
    <row r="14927" spans="1:1">
      <c r="A14927" t="inlineStr">
        <is>
          <t>Rivadavia</t>
        </is>
      </c>
    </row>
    <row r="14928" spans="1:1">
      <c r="A14928" t="inlineStr">
        <is>
          <t>San Antonio</t>
        </is>
      </c>
    </row>
    <row r="14929" spans="1:1">
      <c r="A14929" t="inlineStr">
        <is>
          <t>San Jose</t>
        </is>
      </c>
    </row>
    <row r="14930" spans="1:1">
      <c r="A14930" t="inlineStr">
        <is>
          <t>San Pablo</t>
        </is>
      </c>
    </row>
    <row r="14931" spans="1:1">
      <c r="A14931" t="inlineStr">
        <is>
          <t>San Pedro</t>
        </is>
      </c>
    </row>
    <row r="14932" spans="1:1">
      <c r="A14932" t="inlineStr">
        <is>
          <t>Santa Lucia</t>
        </is>
      </c>
    </row>
    <row r="14933" spans="1:1">
      <c r="A14933" t="inlineStr">
        <is>
          <t>Sarmingan</t>
        </is>
      </c>
    </row>
    <row r="14934" spans="1:1">
      <c r="A14934" t="inlineStr">
        <is>
          <t>Sucoc</t>
        </is>
      </c>
    </row>
    <row r="14935" spans="1:1">
      <c r="A14935" t="inlineStr">
        <is>
          <t>Sulvec</t>
        </is>
      </c>
    </row>
    <row r="14936" spans="1:1">
      <c r="A14936" t="inlineStr">
        <is>
          <t>Turod</t>
        </is>
      </c>
    </row>
    <row r="14937" spans="1:1">
      <c r="A14937" t="inlineStr">
        <is>
          <t>Banoen</t>
        </is>
      </c>
    </row>
    <row r="14938" spans="1:1">
      <c r="A14938" t="inlineStr">
        <is>
          <t>Cayus</t>
        </is>
      </c>
    </row>
    <row r="14939" spans="1:1">
      <c r="A14939" t="inlineStr">
        <is>
          <t>Lamag</t>
        </is>
      </c>
    </row>
    <row r="14940" spans="1:1">
      <c r="A14940" t="inlineStr">
        <is>
          <t>Legleg</t>
        </is>
      </c>
    </row>
    <row r="14941" spans="1:1">
      <c r="A14941" t="inlineStr">
        <is>
          <t>Malideg</t>
        </is>
      </c>
    </row>
    <row r="14942" spans="1:1">
      <c r="A14942" t="inlineStr">
        <is>
          <t>Namitpit</t>
        </is>
      </c>
    </row>
    <row r="14943" spans="1:1">
      <c r="A14943" t="inlineStr">
        <is>
          <t>Patiacan</t>
        </is>
      </c>
    </row>
    <row r="14944" spans="1:1">
      <c r="A14944" t="inlineStr">
        <is>
          <t>Patungcaleo</t>
        </is>
      </c>
    </row>
    <row r="14945" spans="1:1">
      <c r="A14945" t="inlineStr">
        <is>
          <t>Suagayan</t>
        </is>
      </c>
    </row>
    <row r="14946" spans="1:1">
      <c r="A14946" t="inlineStr">
        <is>
          <t>Atabay</t>
        </is>
      </c>
    </row>
    <row r="14947" spans="1:1">
      <c r="A14947" t="inlineStr">
        <is>
          <t>Balidbid</t>
        </is>
      </c>
    </row>
    <row r="14948" spans="1:1">
      <c r="A14948" t="inlineStr">
        <is>
          <t>Baluarte</t>
        </is>
      </c>
    </row>
    <row r="14949" spans="1:1">
      <c r="A14949" t="inlineStr">
        <is>
          <t>Baybayading</t>
        </is>
      </c>
    </row>
    <row r="14950" spans="1:1">
      <c r="A14950" t="inlineStr">
        <is>
          <t>Boguibog</t>
        </is>
      </c>
    </row>
    <row r="14951" spans="1:1">
      <c r="A14951" t="inlineStr">
        <is>
          <t>Bulala-Leguey</t>
        </is>
      </c>
    </row>
    <row r="14952" spans="1:1">
      <c r="A14952" t="inlineStr">
        <is>
          <t>Calangcuasan</t>
        </is>
      </c>
    </row>
    <row r="14953" spans="1:1">
      <c r="A14953" t="inlineStr">
        <is>
          <t>Culiong</t>
        </is>
      </c>
    </row>
    <row r="14954" spans="1:1">
      <c r="A14954" t="inlineStr">
        <is>
          <t>Dinaratan</t>
        </is>
      </c>
    </row>
    <row r="14955" spans="1:1">
      <c r="A14955" t="inlineStr">
        <is>
          <t>Kaliwakiw</t>
        </is>
      </c>
    </row>
    <row r="14956" spans="1:1">
      <c r="A14956" t="inlineStr">
        <is>
          <t>Kinmarin</t>
        </is>
      </c>
    </row>
    <row r="14957" spans="1:1">
      <c r="A14957" t="inlineStr">
        <is>
          <t>Lucbuban</t>
        </is>
      </c>
    </row>
    <row r="14958" spans="1:1">
      <c r="A14958" t="inlineStr">
        <is>
          <t>Madarang</t>
        </is>
      </c>
    </row>
    <row r="14959" spans="1:1">
      <c r="A14959" t="inlineStr">
        <is>
          <t>Maligcong</t>
        </is>
      </c>
    </row>
    <row r="14960" spans="1:1">
      <c r="A14960" t="inlineStr">
        <is>
          <t>Pias</t>
        </is>
      </c>
    </row>
    <row r="14961" spans="1:1">
      <c r="A14961" t="inlineStr">
        <is>
          <t>Poblacion Norte</t>
        </is>
      </c>
    </row>
    <row r="14962" spans="1:1">
      <c r="A14962" t="inlineStr">
        <is>
          <t>Poblacion Sur</t>
        </is>
      </c>
    </row>
    <row r="14963" spans="1:1">
      <c r="A14963" t="inlineStr">
        <is>
          <t>San Gaspar</t>
        </is>
      </c>
    </row>
    <row r="14964" spans="1:1">
      <c r="A14964" t="inlineStr">
        <is>
          <t>San Tiburcio</t>
        </is>
      </c>
    </row>
    <row r="14965" spans="1:1">
      <c r="A14965" t="inlineStr">
        <is>
          <t>Sorioan</t>
        </is>
      </c>
    </row>
    <row r="14966" spans="1:1">
      <c r="A14966" t="inlineStr">
        <is>
          <t>Ubbog</t>
        </is>
      </c>
    </row>
    <row r="14967" spans="1:1">
      <c r="A14967" t="inlineStr">
        <is>
          <t>Cabaroan</t>
        </is>
      </c>
    </row>
    <row r="14968" spans="1:1">
      <c r="A14968" t="inlineStr">
        <is>
          <t>Kalumsing</t>
        </is>
      </c>
    </row>
    <row r="14969" spans="1:1">
      <c r="A14969" t="inlineStr">
        <is>
          <t>Lancuas</t>
        </is>
      </c>
    </row>
    <row r="14970" spans="1:1">
      <c r="A14970" t="inlineStr">
        <is>
          <t>Matibuey</t>
        </is>
      </c>
    </row>
    <row r="14971" spans="1:1">
      <c r="A14971" t="inlineStr">
        <is>
          <t>Paltoc</t>
        </is>
      </c>
    </row>
    <row r="14972" spans="1:1">
      <c r="A14972" t="inlineStr">
        <is>
          <t>San Miliano</t>
        </is>
      </c>
    </row>
    <row r="14973" spans="1:1">
      <c r="A14973" t="inlineStr">
        <is>
          <t>Sibsibbu</t>
        </is>
      </c>
    </row>
    <row r="14974" spans="1:1">
      <c r="A14974" t="inlineStr">
        <is>
          <t>Tiagan</t>
        </is>
      </c>
    </row>
    <row r="14975" spans="1:1">
      <c r="A14975" t="inlineStr">
        <is>
          <t>Ansad</t>
        </is>
      </c>
    </row>
    <row r="14976" spans="1:1">
      <c r="A14976" t="inlineStr">
        <is>
          <t>Apatot</t>
        </is>
      </c>
    </row>
    <row r="14977" spans="1:1">
      <c r="A14977" t="inlineStr">
        <is>
          <t>Bateria</t>
        </is>
      </c>
    </row>
    <row r="14978" spans="1:1">
      <c r="A14978" t="inlineStr">
        <is>
          <t>Cabaroan</t>
        </is>
      </c>
    </row>
    <row r="14979" spans="1:1">
      <c r="A14979" t="inlineStr">
        <is>
          <t>Cappa-cappa</t>
        </is>
      </c>
    </row>
    <row r="14980" spans="1:1">
      <c r="A14980" t="inlineStr">
        <is>
          <t>Poblacion</t>
        </is>
      </c>
    </row>
    <row r="14981" spans="1:1">
      <c r="A14981" t="inlineStr">
        <is>
          <t>San Nicolas</t>
        </is>
      </c>
    </row>
    <row r="14982" spans="1:1">
      <c r="A14982" t="inlineStr">
        <is>
          <t>San Pablo</t>
        </is>
      </c>
    </row>
    <row r="14983" spans="1:1">
      <c r="A14983" t="inlineStr">
        <is>
          <t>San Rafael</t>
        </is>
      </c>
    </row>
    <row r="14984" spans="1:1">
      <c r="A14984" t="inlineStr">
        <is>
          <t>Villa Quirino</t>
        </is>
      </c>
    </row>
    <row r="14985" spans="1:1">
      <c r="A14985" t="inlineStr">
        <is>
          <t>Arnap</t>
        </is>
      </c>
    </row>
    <row r="14986" spans="1:1">
      <c r="A14986" t="inlineStr">
        <is>
          <t>Bahet</t>
        </is>
      </c>
    </row>
    <row r="14987" spans="1:1">
      <c r="A14987" t="inlineStr">
        <is>
          <t>Belen</t>
        </is>
      </c>
    </row>
    <row r="14988" spans="1:1">
      <c r="A14988" t="inlineStr">
        <is>
          <t>Bungro</t>
        </is>
      </c>
    </row>
    <row r="14989" spans="1:1">
      <c r="A14989" t="inlineStr">
        <is>
          <t>Busiing Norte</t>
        </is>
      </c>
    </row>
    <row r="14990" spans="1:1">
      <c r="A14990" t="inlineStr">
        <is>
          <t>Busiing Sur</t>
        </is>
      </c>
    </row>
    <row r="14991" spans="1:1">
      <c r="A14991" t="inlineStr">
        <is>
          <t>Dongalo</t>
        </is>
      </c>
    </row>
    <row r="14992" spans="1:1">
      <c r="A14992" t="inlineStr">
        <is>
          <t>Gongogong</t>
        </is>
      </c>
    </row>
    <row r="14993" spans="1:1">
      <c r="A14993" t="inlineStr">
        <is>
          <t>Iboy</t>
        </is>
      </c>
    </row>
    <row r="14994" spans="1:1">
      <c r="A14994" t="inlineStr">
        <is>
          <t>Kinamantirisan</t>
        </is>
      </c>
    </row>
    <row r="14995" spans="1:1">
      <c r="A14995" t="inlineStr">
        <is>
          <t>Otol-Patac</t>
        </is>
      </c>
    </row>
    <row r="14996" spans="1:1">
      <c r="A14996" t="inlineStr">
        <is>
          <t>Poblacion East</t>
        </is>
      </c>
    </row>
    <row r="14997" spans="1:1">
      <c r="A14997" t="inlineStr">
        <is>
          <t>Poblacion West</t>
        </is>
      </c>
    </row>
    <row r="14998" spans="1:1">
      <c r="A14998" t="inlineStr">
        <is>
          <t>Sagneb</t>
        </is>
      </c>
    </row>
    <row r="14999" spans="1:1">
      <c r="A14999" t="inlineStr">
        <is>
          <t>Sagsagat</t>
        </is>
      </c>
    </row>
    <row r="15000" spans="1:1">
      <c r="A15000" t="inlineStr">
        <is>
          <t>Asilang</t>
        </is>
      </c>
    </row>
    <row r="15001" spans="1:1">
      <c r="A15001" t="inlineStr">
        <is>
          <t>Bacsil</t>
        </is>
      </c>
    </row>
    <row r="15002" spans="1:1">
      <c r="A15002" t="inlineStr">
        <is>
          <t>Baliw</t>
        </is>
      </c>
    </row>
    <row r="15003" spans="1:1">
      <c r="A15003" t="inlineStr">
        <is>
          <t>Bannuar</t>
        </is>
      </c>
    </row>
    <row r="15004" spans="1:1">
      <c r="A15004" t="inlineStr">
        <is>
          <t>Barbar</t>
        </is>
      </c>
    </row>
    <row r="15005" spans="1:1">
      <c r="A15005" t="inlineStr">
        <is>
          <t>Cabanglotan</t>
        </is>
      </c>
    </row>
    <row r="15006" spans="1:1">
      <c r="A15006" t="inlineStr">
        <is>
          <t>Cacandongan</t>
        </is>
      </c>
    </row>
    <row r="15007" spans="1:1">
      <c r="A15007" t="inlineStr">
        <is>
          <t>Camanggaan</t>
        </is>
      </c>
    </row>
    <row r="15008" spans="1:1">
      <c r="A15008" t="inlineStr">
        <is>
          <t>Camindoroan</t>
        </is>
      </c>
    </row>
    <row r="15009" spans="1:1">
      <c r="A15009" t="inlineStr">
        <is>
          <t>Caronoan</t>
        </is>
      </c>
    </row>
    <row r="15010" spans="1:1">
      <c r="A15010" t="inlineStr">
        <is>
          <t>Darao</t>
        </is>
      </c>
    </row>
    <row r="15011" spans="1:1">
      <c r="A15011" t="inlineStr">
        <is>
          <t>Dardarat</t>
        </is>
      </c>
    </row>
    <row r="15012" spans="1:1">
      <c r="A15012" t="inlineStr">
        <is>
          <t>Guimod Norte</t>
        </is>
      </c>
    </row>
    <row r="15013" spans="1:1">
      <c r="A15013" t="inlineStr">
        <is>
          <t>Guimod Sur</t>
        </is>
      </c>
    </row>
    <row r="15014" spans="1:1">
      <c r="A15014" t="inlineStr">
        <is>
          <t>Immayos Norte</t>
        </is>
      </c>
    </row>
    <row r="15015" spans="1:1">
      <c r="A15015" t="inlineStr">
        <is>
          <t>Immayos Sur</t>
        </is>
      </c>
    </row>
    <row r="15016" spans="1:1">
      <c r="A15016" t="inlineStr">
        <is>
          <t>Labnig</t>
        </is>
      </c>
    </row>
    <row r="15017" spans="1:1">
      <c r="A15017" t="inlineStr">
        <is>
          <t>Lapting</t>
        </is>
      </c>
    </row>
    <row r="15018" spans="1:1">
      <c r="A15018" t="inlineStr">
        <is>
          <t>Lira</t>
        </is>
      </c>
    </row>
    <row r="15019" spans="1:1">
      <c r="A15019" t="inlineStr">
        <is>
          <t>Malamin</t>
        </is>
      </c>
    </row>
    <row r="15020" spans="1:1">
      <c r="A15020" t="inlineStr">
        <is>
          <t>Muraya</t>
        </is>
      </c>
    </row>
    <row r="15021" spans="1:1">
      <c r="A15021" t="inlineStr">
        <is>
          <t>Nagsabaran</t>
        </is>
      </c>
    </row>
    <row r="15022" spans="1:1">
      <c r="A15022" t="inlineStr">
        <is>
          <t>Nagsupotan</t>
        </is>
      </c>
    </row>
    <row r="15023" spans="1:1">
      <c r="A15023" t="inlineStr">
        <is>
          <t>Pandayan</t>
        </is>
      </c>
    </row>
    <row r="15024" spans="1:1">
      <c r="A15024" t="inlineStr">
        <is>
          <t>Refaro</t>
        </is>
      </c>
    </row>
    <row r="15025" spans="1:1">
      <c r="A15025" t="inlineStr">
        <is>
          <t>Resurreccion</t>
        </is>
      </c>
    </row>
    <row r="15026" spans="1:1">
      <c r="A15026" t="inlineStr">
        <is>
          <t>Sabangan</t>
        </is>
      </c>
    </row>
    <row r="15027" spans="1:1">
      <c r="A15027" t="inlineStr">
        <is>
          <t>San Isidro</t>
        </is>
      </c>
    </row>
    <row r="15028" spans="1:1">
      <c r="A15028" t="inlineStr">
        <is>
          <t>Saoang</t>
        </is>
      </c>
    </row>
    <row r="15029" spans="1:1">
      <c r="A15029" t="inlineStr">
        <is>
          <t>Solotsolot</t>
        </is>
      </c>
    </row>
    <row r="15030" spans="1:1">
      <c r="A15030" t="inlineStr">
        <is>
          <t>Sunggiam</t>
        </is>
      </c>
    </row>
    <row r="15031" spans="1:1">
      <c r="A15031" t="inlineStr">
        <is>
          <t>Surngit</t>
        </is>
      </c>
    </row>
    <row r="15032" spans="1:1">
      <c r="A15032" t="inlineStr">
        <is>
          <t>Bantaoay</t>
        </is>
      </c>
    </row>
    <row r="15033" spans="1:1">
      <c r="A15033" t="inlineStr">
        <is>
          <t>Bayubay Norte</t>
        </is>
      </c>
    </row>
    <row r="15034" spans="1:1">
      <c r="A15034" t="inlineStr">
        <is>
          <t>Bayubay Sur</t>
        </is>
      </c>
    </row>
    <row r="15035" spans="1:1">
      <c r="A15035" t="inlineStr">
        <is>
          <t>Lubong</t>
        </is>
      </c>
    </row>
    <row r="15036" spans="1:1">
      <c r="A15036" t="inlineStr">
        <is>
          <t>Poblacion</t>
        </is>
      </c>
    </row>
    <row r="15037" spans="1:1">
      <c r="A15037" t="inlineStr">
        <is>
          <t>Pudoc</t>
        </is>
      </c>
    </row>
    <row r="15038" spans="1:1">
      <c r="A15038" t="inlineStr">
        <is>
          <t>San Sebastian</t>
        </is>
      </c>
    </row>
    <row r="15039" spans="1:1">
      <c r="A15039" t="inlineStr">
        <is>
          <t>Ampandula</t>
        </is>
      </c>
    </row>
    <row r="15040" spans="1:1">
      <c r="A15040" t="inlineStr">
        <is>
          <t>Banaoang</t>
        </is>
      </c>
    </row>
    <row r="15041" spans="1:1">
      <c r="A15041" t="inlineStr">
        <is>
          <t>Basug</t>
        </is>
      </c>
    </row>
    <row r="15042" spans="1:1">
      <c r="A15042" t="inlineStr">
        <is>
          <t>Bucalag</t>
        </is>
      </c>
    </row>
    <row r="15043" spans="1:1">
      <c r="A15043" t="inlineStr">
        <is>
          <t>Cabangaran</t>
        </is>
      </c>
    </row>
    <row r="15044" spans="1:1">
      <c r="A15044" t="inlineStr">
        <is>
          <t>Calungboyan</t>
        </is>
      </c>
    </row>
    <row r="15045" spans="1:1">
      <c r="A15045" t="inlineStr">
        <is>
          <t>Casiber</t>
        </is>
      </c>
    </row>
    <row r="15046" spans="1:1">
      <c r="A15046" t="inlineStr">
        <is>
          <t>Dammay</t>
        </is>
      </c>
    </row>
    <row r="15047" spans="1:1">
      <c r="A15047" t="inlineStr">
        <is>
          <t>Labut Norte</t>
        </is>
      </c>
    </row>
    <row r="15048" spans="1:1">
      <c r="A15048" t="inlineStr">
        <is>
          <t>Labut Sur</t>
        </is>
      </c>
    </row>
    <row r="15049" spans="1:1">
      <c r="A15049" t="inlineStr">
        <is>
          <t>Mabilbila Norte</t>
        </is>
      </c>
    </row>
    <row r="15050" spans="1:1">
      <c r="A15050" t="inlineStr">
        <is>
          <t>Mabilbila Sur</t>
        </is>
      </c>
    </row>
    <row r="15051" spans="1:1">
      <c r="A15051" t="inlineStr">
        <is>
          <t>Magsaysay District</t>
        </is>
      </c>
    </row>
    <row r="15052" spans="1:1">
      <c r="A15052" t="inlineStr">
        <is>
          <t>Manueva</t>
        </is>
      </c>
    </row>
    <row r="15053" spans="1:1">
      <c r="A15053" t="inlineStr">
        <is>
          <t>Marcos</t>
        </is>
      </c>
    </row>
    <row r="15054" spans="1:1">
      <c r="A15054" t="inlineStr">
        <is>
          <t>Nagpanaoan</t>
        </is>
      </c>
    </row>
    <row r="15055" spans="1:1">
      <c r="A15055" t="inlineStr">
        <is>
          <t>Namalangan</t>
        </is>
      </c>
    </row>
    <row r="15056" spans="1:1">
      <c r="A15056" t="inlineStr">
        <is>
          <t>Oribi</t>
        </is>
      </c>
    </row>
    <row r="15057" spans="1:1">
      <c r="A15057" t="inlineStr">
        <is>
          <t>Pasungol</t>
        </is>
      </c>
    </row>
    <row r="15058" spans="1:1">
      <c r="A15058" t="inlineStr">
        <is>
          <t>Quezon</t>
        </is>
      </c>
    </row>
    <row r="15059" spans="1:1">
      <c r="A15059" t="inlineStr">
        <is>
          <t>Quirino</t>
        </is>
      </c>
    </row>
    <row r="15060" spans="1:1">
      <c r="A15060" t="inlineStr">
        <is>
          <t>Rancho</t>
        </is>
      </c>
    </row>
    <row r="15061" spans="1:1">
      <c r="A15061" t="inlineStr">
        <is>
          <t>Rizal</t>
        </is>
      </c>
    </row>
    <row r="15062" spans="1:1">
      <c r="A15062" t="inlineStr">
        <is>
          <t>Sacuyya Norte</t>
        </is>
      </c>
    </row>
    <row r="15063" spans="1:1">
      <c r="A15063" t="inlineStr">
        <is>
          <t>Sacuyya Sur</t>
        </is>
      </c>
    </row>
    <row r="15064" spans="1:1">
      <c r="A15064" t="inlineStr">
        <is>
          <t>Tabucolan</t>
        </is>
      </c>
    </row>
    <row r="15065" spans="1:1">
      <c r="A15065" t="inlineStr">
        <is>
          <t>Cabaroan</t>
        </is>
      </c>
    </row>
    <row r="15066" spans="1:1">
      <c r="A15066" t="inlineStr">
        <is>
          <t>Cabittaogan</t>
        </is>
      </c>
    </row>
    <row r="15067" spans="1:1">
      <c r="A15067" t="inlineStr">
        <is>
          <t>Cabuloan</t>
        </is>
      </c>
    </row>
    <row r="15068" spans="1:1">
      <c r="A15068" t="inlineStr">
        <is>
          <t>Pangada</t>
        </is>
      </c>
    </row>
    <row r="15069" spans="1:1">
      <c r="A15069" t="inlineStr">
        <is>
          <t>Paratong</t>
        </is>
      </c>
    </row>
    <row r="15070" spans="1:1">
      <c r="A15070" t="inlineStr">
        <is>
          <t>Poblacion</t>
        </is>
      </c>
    </row>
    <row r="15071" spans="1:1">
      <c r="A15071" t="inlineStr">
        <is>
          <t>Sinabaan</t>
        </is>
      </c>
    </row>
    <row r="15072" spans="1:1">
      <c r="A15072" t="inlineStr">
        <is>
          <t>Subec</t>
        </is>
      </c>
    </row>
    <row r="15073" spans="1:1">
      <c r="A15073" t="inlineStr">
        <is>
          <t>Tamorong</t>
        </is>
      </c>
    </row>
    <row r="15074" spans="1:1">
      <c r="A15074" t="inlineStr">
        <is>
          <t>Amarao</t>
        </is>
      </c>
    </row>
    <row r="15075" spans="1:1">
      <c r="A15075" t="inlineStr">
        <is>
          <t>Babayoan</t>
        </is>
      </c>
    </row>
    <row r="15076" spans="1:1">
      <c r="A15076" t="inlineStr">
        <is>
          <t>Bacsayan</t>
        </is>
      </c>
    </row>
    <row r="15077" spans="1:1">
      <c r="A15077" t="inlineStr">
        <is>
          <t>Banay</t>
        </is>
      </c>
    </row>
    <row r="15078" spans="1:1">
      <c r="A15078" t="inlineStr">
        <is>
          <t>Bayugao Este</t>
        </is>
      </c>
    </row>
    <row r="15079" spans="1:1">
      <c r="A15079" t="inlineStr">
        <is>
          <t>Bayugao Oeste</t>
        </is>
      </c>
    </row>
    <row r="15080" spans="1:1">
      <c r="A15080" t="inlineStr">
        <is>
          <t>Besalan</t>
        </is>
      </c>
    </row>
    <row r="15081" spans="1:1">
      <c r="A15081" t="inlineStr">
        <is>
          <t>Bugbuga</t>
        </is>
      </c>
    </row>
    <row r="15082" spans="1:1">
      <c r="A15082" t="inlineStr">
        <is>
          <t>Calaoaan</t>
        </is>
      </c>
    </row>
    <row r="15083" spans="1:1">
      <c r="A15083" t="inlineStr">
        <is>
          <t>Camanggaan</t>
        </is>
      </c>
    </row>
    <row r="15084" spans="1:1">
      <c r="A15084" t="inlineStr">
        <is>
          <t>Candalican</t>
        </is>
      </c>
    </row>
    <row r="15085" spans="1:1">
      <c r="A15085" t="inlineStr">
        <is>
          <t>Capariaan</t>
        </is>
      </c>
    </row>
    <row r="15086" spans="1:1">
      <c r="A15086" t="inlineStr">
        <is>
          <t>Casilagan</t>
        </is>
      </c>
    </row>
    <row r="15087" spans="1:1">
      <c r="A15087" t="inlineStr">
        <is>
          <t>Coscosnong</t>
        </is>
      </c>
    </row>
    <row r="15088" spans="1:1">
      <c r="A15088" t="inlineStr">
        <is>
          <t>Daligan</t>
        </is>
      </c>
    </row>
    <row r="15089" spans="1:1">
      <c r="A15089" t="inlineStr">
        <is>
          <t>Dili</t>
        </is>
      </c>
    </row>
    <row r="15090" spans="1:1">
      <c r="A15090" t="inlineStr">
        <is>
          <t>Gabor Norte</t>
        </is>
      </c>
    </row>
    <row r="15091" spans="1:1">
      <c r="A15091" t="inlineStr">
        <is>
          <t>Gabor Sur</t>
        </is>
      </c>
    </row>
    <row r="15092" spans="1:1">
      <c r="A15092" t="inlineStr">
        <is>
          <t>Lalong</t>
        </is>
      </c>
    </row>
    <row r="15093" spans="1:1">
      <c r="A15093" t="inlineStr">
        <is>
          <t>Lantag</t>
        </is>
      </c>
    </row>
    <row r="15094" spans="1:1">
      <c r="A15094" t="inlineStr">
        <is>
          <t>Las-ud</t>
        </is>
      </c>
    </row>
    <row r="15095" spans="1:1">
      <c r="A15095" t="inlineStr">
        <is>
          <t>Mambog</t>
        </is>
      </c>
    </row>
    <row r="15096" spans="1:1">
      <c r="A15096" t="inlineStr">
        <is>
          <t>Mantanas</t>
        </is>
      </c>
    </row>
    <row r="15097" spans="1:1">
      <c r="A15097" t="inlineStr">
        <is>
          <t>Nagtengnga</t>
        </is>
      </c>
    </row>
    <row r="15098" spans="1:1">
      <c r="A15098" t="inlineStr">
        <is>
          <t>Padaoil</t>
        </is>
      </c>
    </row>
    <row r="15099" spans="1:1">
      <c r="A15099" t="inlineStr">
        <is>
          <t>Paratong</t>
        </is>
      </c>
    </row>
    <row r="15100" spans="1:1">
      <c r="A15100" t="inlineStr">
        <is>
          <t>Pattiqui</t>
        </is>
      </c>
    </row>
    <row r="15101" spans="1:1">
      <c r="A15101" t="inlineStr">
        <is>
          <t>Pidpid</t>
        </is>
      </c>
    </row>
    <row r="15102" spans="1:1">
      <c r="A15102" t="inlineStr">
        <is>
          <t>Pilar</t>
        </is>
      </c>
    </row>
    <row r="15103" spans="1:1">
      <c r="A15103" t="inlineStr">
        <is>
          <t>Pinipin</t>
        </is>
      </c>
    </row>
    <row r="15104" spans="1:1">
      <c r="A15104" t="inlineStr">
        <is>
          <t>Poblacion Este</t>
        </is>
      </c>
    </row>
    <row r="15105" spans="1:1">
      <c r="A15105" t="inlineStr">
        <is>
          <t>Poblacion Norte</t>
        </is>
      </c>
    </row>
    <row r="15106" spans="1:1">
      <c r="A15106" t="inlineStr">
        <is>
          <t>Poblacion Sur</t>
        </is>
      </c>
    </row>
    <row r="15107" spans="1:1">
      <c r="A15107" t="inlineStr">
        <is>
          <t>Poblacion Weste</t>
        </is>
      </c>
    </row>
    <row r="15108" spans="1:1">
      <c r="A15108" t="inlineStr">
        <is>
          <t>Quinfermin</t>
        </is>
      </c>
    </row>
    <row r="15109" spans="1:1">
      <c r="A15109" t="inlineStr">
        <is>
          <t>Quinsoriano</t>
        </is>
      </c>
    </row>
    <row r="15110" spans="1:1">
      <c r="A15110" t="inlineStr">
        <is>
          <t>Sagat</t>
        </is>
      </c>
    </row>
    <row r="15111" spans="1:1">
      <c r="A15111" t="inlineStr">
        <is>
          <t>San Antonio</t>
        </is>
      </c>
    </row>
    <row r="15112" spans="1:1">
      <c r="A15112" t="inlineStr">
        <is>
          <t>San Jose</t>
        </is>
      </c>
    </row>
    <row r="15113" spans="1:1">
      <c r="A15113" t="inlineStr">
        <is>
          <t>San Pedro</t>
        </is>
      </c>
    </row>
    <row r="15114" spans="1:1">
      <c r="A15114" t="inlineStr">
        <is>
          <t>Saoat</t>
        </is>
      </c>
    </row>
    <row r="15115" spans="1:1">
      <c r="A15115" t="inlineStr">
        <is>
          <t>Sevilla</t>
        </is>
      </c>
    </row>
    <row r="15116" spans="1:1">
      <c r="A15116" t="inlineStr">
        <is>
          <t>Sidaoen</t>
        </is>
      </c>
    </row>
    <row r="15117" spans="1:1">
      <c r="A15117" t="inlineStr">
        <is>
          <t>Suyo</t>
        </is>
      </c>
    </row>
    <row r="15118" spans="1:1">
      <c r="A15118" t="inlineStr">
        <is>
          <t>Tampugo</t>
        </is>
      </c>
    </row>
    <row r="15119" spans="1:1">
      <c r="A15119" t="inlineStr">
        <is>
          <t>Turod</t>
        </is>
      </c>
    </row>
    <row r="15120" spans="1:1">
      <c r="A15120" t="inlineStr">
        <is>
          <t>Villa Garcia</t>
        </is>
      </c>
    </row>
    <row r="15121" spans="1:1">
      <c r="A15121" t="inlineStr">
        <is>
          <t>Villa Hermosa</t>
        </is>
      </c>
    </row>
    <row r="15122" spans="1:1">
      <c r="A15122" t="inlineStr">
        <is>
          <t>Villa Laurencia</t>
        </is>
      </c>
    </row>
    <row r="15123" spans="1:1">
      <c r="A15123" t="inlineStr">
        <is>
          <t>Alincaoeg</t>
        </is>
      </c>
    </row>
    <row r="15124" spans="1:1">
      <c r="A15124" t="inlineStr">
        <is>
          <t>Angkileng</t>
        </is>
      </c>
    </row>
    <row r="15125" spans="1:1">
      <c r="A15125" t="inlineStr">
        <is>
          <t>Arangin</t>
        </is>
      </c>
    </row>
    <row r="15126" spans="1:1">
      <c r="A15126" t="inlineStr">
        <is>
          <t>Ayusan</t>
        </is>
      </c>
    </row>
    <row r="15127" spans="1:1">
      <c r="A15127" t="inlineStr">
        <is>
          <t>Banbanaba</t>
        </is>
      </c>
    </row>
    <row r="15128" spans="1:1">
      <c r="A15128" t="inlineStr">
        <is>
          <t>Bani</t>
        </is>
      </c>
    </row>
    <row r="15129" spans="1:1">
      <c r="A15129" t="inlineStr">
        <is>
          <t>Bao-as</t>
        </is>
      </c>
    </row>
    <row r="15130" spans="1:1">
      <c r="A15130" t="inlineStr">
        <is>
          <t>Barangobong</t>
        </is>
      </c>
    </row>
    <row r="15131" spans="1:1">
      <c r="A15131" t="inlineStr">
        <is>
          <t>Buliclic</t>
        </is>
      </c>
    </row>
    <row r="15132" spans="1:1">
      <c r="A15132" t="inlineStr">
        <is>
          <t>Burgos</t>
        </is>
      </c>
    </row>
    <row r="15133" spans="1:1">
      <c r="A15133" t="inlineStr">
        <is>
          <t>Cabaritan</t>
        </is>
      </c>
    </row>
    <row r="15134" spans="1:1">
      <c r="A15134" t="inlineStr">
        <is>
          <t>Catayagan</t>
        </is>
      </c>
    </row>
    <row r="15135" spans="1:1">
      <c r="A15135" t="inlineStr">
        <is>
          <t>Conconig East</t>
        </is>
      </c>
    </row>
    <row r="15136" spans="1:1">
      <c r="A15136" t="inlineStr">
        <is>
          <t>Conconig West</t>
        </is>
      </c>
    </row>
    <row r="15137" spans="1:1">
      <c r="A15137" t="inlineStr">
        <is>
          <t>Damacuag</t>
        </is>
      </c>
    </row>
    <row r="15138" spans="1:1">
      <c r="A15138" t="inlineStr">
        <is>
          <t>Luba</t>
        </is>
      </c>
    </row>
    <row r="15139" spans="1:1">
      <c r="A15139" t="inlineStr">
        <is>
          <t>Lubong</t>
        </is>
      </c>
    </row>
    <row r="15140" spans="1:1">
      <c r="A15140" t="inlineStr">
        <is>
          <t>Nagrebcan</t>
        </is>
      </c>
    </row>
    <row r="15141" spans="1:1">
      <c r="A15141" t="inlineStr">
        <is>
          <t>Nagtablaan</t>
        </is>
      </c>
    </row>
    <row r="15142" spans="1:1">
      <c r="A15142" t="inlineStr">
        <is>
          <t>Namatican</t>
        </is>
      </c>
    </row>
    <row r="15143" spans="1:1">
      <c r="A15143" t="inlineStr">
        <is>
          <t>Nangalisan</t>
        </is>
      </c>
    </row>
    <row r="15144" spans="1:1">
      <c r="A15144" t="inlineStr">
        <is>
          <t>Palali Norte</t>
        </is>
      </c>
    </row>
    <row r="15145" spans="1:1">
      <c r="A15145" t="inlineStr">
        <is>
          <t>Palali Sur</t>
        </is>
      </c>
    </row>
    <row r="15146" spans="1:1">
      <c r="A15146" t="inlineStr">
        <is>
          <t>Paoc Norte</t>
        </is>
      </c>
    </row>
    <row r="15147" spans="1:1">
      <c r="A15147" t="inlineStr">
        <is>
          <t>Paoc Sur</t>
        </is>
      </c>
    </row>
    <row r="15148" spans="1:1">
      <c r="A15148" t="inlineStr">
        <is>
          <t>Paratong</t>
        </is>
      </c>
    </row>
    <row r="15149" spans="1:1">
      <c r="A15149" t="inlineStr">
        <is>
          <t>Pila East</t>
        </is>
      </c>
    </row>
    <row r="15150" spans="1:1">
      <c r="A15150" t="inlineStr">
        <is>
          <t>Pila West</t>
        </is>
      </c>
    </row>
    <row r="15151" spans="1:1">
      <c r="A15151" t="inlineStr">
        <is>
          <t>Quinabalayangan</t>
        </is>
      </c>
    </row>
    <row r="15152" spans="1:1">
      <c r="A15152" t="inlineStr">
        <is>
          <t>Ronda</t>
        </is>
      </c>
    </row>
    <row r="15153" spans="1:1">
      <c r="A15153" t="inlineStr">
        <is>
          <t>Sabuanan</t>
        </is>
      </c>
    </row>
    <row r="15154" spans="1:1">
      <c r="A15154" t="inlineStr">
        <is>
          <t>San Juan</t>
        </is>
      </c>
    </row>
    <row r="15155" spans="1:1">
      <c r="A15155" t="inlineStr">
        <is>
          <t>San Pedro</t>
        </is>
      </c>
    </row>
    <row r="15156" spans="1:1">
      <c r="A15156" t="inlineStr">
        <is>
          <t>Sapang</t>
        </is>
      </c>
    </row>
    <row r="15157" spans="1:1">
      <c r="A15157" t="inlineStr">
        <is>
          <t>Suagayan</t>
        </is>
      </c>
    </row>
    <row r="15158" spans="1:1">
      <c r="A15158" t="inlineStr">
        <is>
          <t>Vical</t>
        </is>
      </c>
    </row>
    <row r="15159" spans="1:1">
      <c r="A15159" t="inlineStr">
        <is>
          <t>Ag-agrao</t>
        </is>
      </c>
    </row>
    <row r="15160" spans="1:1">
      <c r="A15160" t="inlineStr">
        <is>
          <t>Ampuagan</t>
        </is>
      </c>
    </row>
    <row r="15161" spans="1:1">
      <c r="A15161" t="inlineStr">
        <is>
          <t>Baballasioan</t>
        </is>
      </c>
    </row>
    <row r="15162" spans="1:1">
      <c r="A15162" t="inlineStr">
        <is>
          <t>Baliw Daya</t>
        </is>
      </c>
    </row>
    <row r="15163" spans="1:1">
      <c r="A15163" t="inlineStr">
        <is>
          <t>Baliw Laud</t>
        </is>
      </c>
    </row>
    <row r="15164" spans="1:1">
      <c r="A15164" t="inlineStr">
        <is>
          <t>Bia-o</t>
        </is>
      </c>
    </row>
    <row r="15165" spans="1:1">
      <c r="A15165" t="inlineStr">
        <is>
          <t>Butir</t>
        </is>
      </c>
    </row>
    <row r="15166" spans="1:1">
      <c r="A15166" t="inlineStr">
        <is>
          <t>Cabaroan</t>
        </is>
      </c>
    </row>
    <row r="15167" spans="1:1">
      <c r="A15167" t="inlineStr">
        <is>
          <t>Danuman East</t>
        </is>
      </c>
    </row>
    <row r="15168" spans="1:1">
      <c r="A15168" t="inlineStr">
        <is>
          <t>Danuman West</t>
        </is>
      </c>
    </row>
    <row r="15169" spans="1:1">
      <c r="A15169" t="inlineStr">
        <is>
          <t>Dunglayan</t>
        </is>
      </c>
    </row>
    <row r="15170" spans="1:1">
      <c r="A15170" t="inlineStr">
        <is>
          <t>Gusing</t>
        </is>
      </c>
    </row>
    <row r="15171" spans="1:1">
      <c r="A15171" t="inlineStr">
        <is>
          <t>Langaoan</t>
        </is>
      </c>
    </row>
    <row r="15172" spans="1:1">
      <c r="A15172" t="inlineStr">
        <is>
          <t>Laslasong Norte</t>
        </is>
      </c>
    </row>
    <row r="15173" spans="1:1">
      <c r="A15173" t="inlineStr">
        <is>
          <t>Laslasong Sur</t>
        </is>
      </c>
    </row>
    <row r="15174" spans="1:1">
      <c r="A15174" t="inlineStr">
        <is>
          <t>Laslasong West</t>
        </is>
      </c>
    </row>
    <row r="15175" spans="1:1">
      <c r="A15175" t="inlineStr">
        <is>
          <t>Lesseb</t>
        </is>
      </c>
    </row>
    <row r="15176" spans="1:1">
      <c r="A15176" t="inlineStr">
        <is>
          <t>Lingsat</t>
        </is>
      </c>
    </row>
    <row r="15177" spans="1:1">
      <c r="A15177" t="inlineStr">
        <is>
          <t>Lubong</t>
        </is>
      </c>
    </row>
    <row r="15178" spans="1:1">
      <c r="A15178" t="inlineStr">
        <is>
          <t>Maynganay Norte</t>
        </is>
      </c>
    </row>
    <row r="15179" spans="1:1">
      <c r="A15179" t="inlineStr">
        <is>
          <t>Maynganay Sur</t>
        </is>
      </c>
    </row>
    <row r="15180" spans="1:1">
      <c r="A15180" t="inlineStr">
        <is>
          <t>Nagsayaoan</t>
        </is>
      </c>
    </row>
    <row r="15181" spans="1:1">
      <c r="A15181" t="inlineStr">
        <is>
          <t>Nagtupacan</t>
        </is>
      </c>
    </row>
    <row r="15182" spans="1:1">
      <c r="A15182" t="inlineStr">
        <is>
          <t>Nalvo</t>
        </is>
      </c>
    </row>
    <row r="15183" spans="1:1">
      <c r="A15183" t="inlineStr">
        <is>
          <t>Pacang</t>
        </is>
      </c>
    </row>
    <row r="15184" spans="1:1">
      <c r="A15184" t="inlineStr">
        <is>
          <t>Penned</t>
        </is>
      </c>
    </row>
    <row r="15185" spans="1:1">
      <c r="A15185" t="inlineStr">
        <is>
          <t>Poblacion Norte</t>
        </is>
      </c>
    </row>
    <row r="15186" spans="1:1">
      <c r="A15186" t="inlineStr">
        <is>
          <t>Poblacion Sur</t>
        </is>
      </c>
    </row>
    <row r="15187" spans="1:1">
      <c r="A15187" t="inlineStr">
        <is>
          <t>Silag</t>
        </is>
      </c>
    </row>
    <row r="15188" spans="1:1">
      <c r="A15188" t="inlineStr">
        <is>
          <t>Sumagui</t>
        </is>
      </c>
    </row>
    <row r="15189" spans="1:1">
      <c r="A15189" t="inlineStr">
        <is>
          <t>Suso</t>
        </is>
      </c>
    </row>
    <row r="15190" spans="1:1">
      <c r="A15190" t="inlineStr">
        <is>
          <t>Tangaoan</t>
        </is>
      </c>
    </row>
    <row r="15191" spans="1:1">
      <c r="A15191" t="inlineStr">
        <is>
          <t>Tinaan</t>
        </is>
      </c>
    </row>
    <row r="15192" spans="1:1">
      <c r="A15192" t="inlineStr">
        <is>
          <t>Al-aludig</t>
        </is>
      </c>
    </row>
    <row r="15193" spans="1:1">
      <c r="A15193" t="inlineStr">
        <is>
          <t>Ambucao</t>
        </is>
      </c>
    </row>
    <row r="15194" spans="1:1">
      <c r="A15194" t="inlineStr">
        <is>
          <t>Baybayabas</t>
        </is>
      </c>
    </row>
    <row r="15195" spans="1:1">
      <c r="A15195" t="inlineStr">
        <is>
          <t>Bigbiga</t>
        </is>
      </c>
    </row>
    <row r="15196" spans="1:1">
      <c r="A15196" t="inlineStr">
        <is>
          <t>Bulbulala</t>
        </is>
      </c>
    </row>
    <row r="15197" spans="1:1">
      <c r="A15197" t="inlineStr">
        <is>
          <t>Busel-busel</t>
        </is>
      </c>
    </row>
    <row r="15198" spans="1:1">
      <c r="A15198" t="inlineStr">
        <is>
          <t>Butol</t>
        </is>
      </c>
    </row>
    <row r="15199" spans="1:1">
      <c r="A15199" t="inlineStr">
        <is>
          <t>Caburao</t>
        </is>
      </c>
    </row>
    <row r="15200" spans="1:1">
      <c r="A15200" t="inlineStr">
        <is>
          <t>Dan-ar</t>
        </is>
      </c>
    </row>
    <row r="15201" spans="1:1">
      <c r="A15201" t="inlineStr">
        <is>
          <t>Gabao</t>
        </is>
      </c>
    </row>
    <row r="15202" spans="1:1">
      <c r="A15202" t="inlineStr">
        <is>
          <t>Guinabang</t>
        </is>
      </c>
    </row>
    <row r="15203" spans="1:1">
      <c r="A15203" t="inlineStr">
        <is>
          <t>Imus</t>
        </is>
      </c>
    </row>
    <row r="15204" spans="1:1">
      <c r="A15204" t="inlineStr">
        <is>
          <t>Lang-ayan</t>
        </is>
      </c>
    </row>
    <row r="15205" spans="1:1">
      <c r="A15205" t="inlineStr">
        <is>
          <t>Mambug</t>
        </is>
      </c>
    </row>
    <row r="15206" spans="1:1">
      <c r="A15206" t="inlineStr">
        <is>
          <t>Nalasin</t>
        </is>
      </c>
    </row>
    <row r="15207" spans="1:1">
      <c r="A15207" t="inlineStr">
        <is>
          <t>Olo-olo Norte</t>
        </is>
      </c>
    </row>
    <row r="15208" spans="1:1">
      <c r="A15208" t="inlineStr">
        <is>
          <t>Olo-olo Sur</t>
        </is>
      </c>
    </row>
    <row r="15209" spans="1:1">
      <c r="A15209" t="inlineStr">
        <is>
          <t>Poblacion Norte</t>
        </is>
      </c>
    </row>
    <row r="15210" spans="1:1">
      <c r="A15210" t="inlineStr">
        <is>
          <t>Poblacion Sur</t>
        </is>
      </c>
    </row>
    <row r="15211" spans="1:1">
      <c r="A15211" t="inlineStr">
        <is>
          <t>Sabangan</t>
        </is>
      </c>
    </row>
    <row r="15212" spans="1:1">
      <c r="A15212" t="inlineStr">
        <is>
          <t>Salincub</t>
        </is>
      </c>
    </row>
    <row r="15213" spans="1:1">
      <c r="A15213" t="inlineStr">
        <is>
          <t>San Jose</t>
        </is>
      </c>
    </row>
    <row r="15214" spans="1:1">
      <c r="A15214" t="inlineStr">
        <is>
          <t>San Roque</t>
        </is>
      </c>
    </row>
    <row r="15215" spans="1:1">
      <c r="A15215" t="inlineStr">
        <is>
          <t>Ubbog</t>
        </is>
      </c>
    </row>
    <row r="15216" spans="1:1">
      <c r="A15216" t="inlineStr">
        <is>
          <t>Binalayangan</t>
        </is>
      </c>
    </row>
    <row r="15217" spans="1:1">
      <c r="A15217" t="inlineStr">
        <is>
          <t>Binongan</t>
        </is>
      </c>
    </row>
    <row r="15218" spans="1:1">
      <c r="A15218" t="inlineStr">
        <is>
          <t>Borobor</t>
        </is>
      </c>
    </row>
    <row r="15219" spans="1:1">
      <c r="A15219" t="inlineStr">
        <is>
          <t>Cabaritan</t>
        </is>
      </c>
    </row>
    <row r="15220" spans="1:1">
      <c r="A15220" t="inlineStr">
        <is>
          <t>Cabigbigaan</t>
        </is>
      </c>
    </row>
    <row r="15221" spans="1:1">
      <c r="A15221" t="inlineStr">
        <is>
          <t>Calautit</t>
        </is>
      </c>
    </row>
    <row r="15222" spans="1:1">
      <c r="A15222" t="inlineStr">
        <is>
          <t>Calay-ab</t>
        </is>
      </c>
    </row>
    <row r="15223" spans="1:1">
      <c r="A15223" t="inlineStr">
        <is>
          <t>Camestizoan</t>
        </is>
      </c>
    </row>
    <row r="15224" spans="1:1">
      <c r="A15224" t="inlineStr">
        <is>
          <t>Casili</t>
        </is>
      </c>
    </row>
    <row r="15225" spans="1:1">
      <c r="A15225" t="inlineStr">
        <is>
          <t>Flora</t>
        </is>
      </c>
    </row>
    <row r="15226" spans="1:1">
      <c r="A15226" t="inlineStr">
        <is>
          <t>Lagatit</t>
        </is>
      </c>
    </row>
    <row r="15227" spans="1:1">
      <c r="A15227" t="inlineStr">
        <is>
          <t>Laoingen</t>
        </is>
      </c>
    </row>
    <row r="15228" spans="1:1">
      <c r="A15228" t="inlineStr">
        <is>
          <t>Lussoc</t>
        </is>
      </c>
    </row>
    <row r="15229" spans="1:1">
      <c r="A15229" t="inlineStr">
        <is>
          <t>Nagbettedan</t>
        </is>
      </c>
    </row>
    <row r="15230" spans="1:1">
      <c r="A15230" t="inlineStr">
        <is>
          <t>Naglaoa-an</t>
        </is>
      </c>
    </row>
    <row r="15231" spans="1:1">
      <c r="A15231" t="inlineStr">
        <is>
          <t>Nalasin</t>
        </is>
      </c>
    </row>
    <row r="15232" spans="1:1">
      <c r="A15232" t="inlineStr">
        <is>
          <t>Nambaran</t>
        </is>
      </c>
    </row>
    <row r="15233" spans="1:1">
      <c r="A15233" t="inlineStr">
        <is>
          <t>Nanerman</t>
        </is>
      </c>
    </row>
    <row r="15234" spans="1:1">
      <c r="A15234" t="inlineStr">
        <is>
          <t>Napo</t>
        </is>
      </c>
    </row>
    <row r="15235" spans="1:1">
      <c r="A15235" t="inlineStr">
        <is>
          <t>Padu Chico</t>
        </is>
      </c>
    </row>
    <row r="15236" spans="1:1">
      <c r="A15236" t="inlineStr">
        <is>
          <t>Padu Grande</t>
        </is>
      </c>
    </row>
    <row r="15237" spans="1:1">
      <c r="A15237" t="inlineStr">
        <is>
          <t>Paguraper</t>
        </is>
      </c>
    </row>
    <row r="15238" spans="1:1">
      <c r="A15238" t="inlineStr">
        <is>
          <t>Panay</t>
        </is>
      </c>
    </row>
    <row r="15239" spans="1:1">
      <c r="A15239" t="inlineStr">
        <is>
          <t>Pangpangdan</t>
        </is>
      </c>
    </row>
    <row r="15240" spans="1:1">
      <c r="A15240" t="inlineStr">
        <is>
          <t>Parada</t>
        </is>
      </c>
    </row>
    <row r="15241" spans="1:1">
      <c r="A15241" t="inlineStr">
        <is>
          <t>Paras</t>
        </is>
      </c>
    </row>
    <row r="15242" spans="1:1">
      <c r="A15242" t="inlineStr">
        <is>
          <t>Poblacion</t>
        </is>
      </c>
    </row>
    <row r="15243" spans="1:1">
      <c r="A15243" t="inlineStr">
        <is>
          <t>Puerta Real</t>
        </is>
      </c>
    </row>
    <row r="15244" spans="1:1">
      <c r="A15244" t="inlineStr">
        <is>
          <t>Pussuac</t>
        </is>
      </c>
    </row>
    <row r="15245" spans="1:1">
      <c r="A15245" t="inlineStr">
        <is>
          <t>Quimmarayan</t>
        </is>
      </c>
    </row>
    <row r="15246" spans="1:1">
      <c r="A15246" t="inlineStr">
        <is>
          <t>San Pablo</t>
        </is>
      </c>
    </row>
    <row r="15247" spans="1:1">
      <c r="A15247" t="inlineStr">
        <is>
          <t>Santa Cruz</t>
        </is>
      </c>
    </row>
    <row r="15248" spans="1:1">
      <c r="A15248" t="inlineStr">
        <is>
          <t>Santo Tomas</t>
        </is>
      </c>
    </row>
    <row r="15249" spans="1:1">
      <c r="A15249" t="inlineStr">
        <is>
          <t>Sived</t>
        </is>
      </c>
    </row>
    <row r="15250" spans="1:1">
      <c r="A15250" t="inlineStr">
        <is>
          <t>Suksukit</t>
        </is>
      </c>
    </row>
    <row r="15251" spans="1:1">
      <c r="A15251" t="inlineStr">
        <is>
          <t>Vacunero</t>
        </is>
      </c>
    </row>
    <row r="15252" spans="1:1">
      <c r="A15252" t="inlineStr">
        <is>
          <t>Abaccan</t>
        </is>
      </c>
    </row>
    <row r="15253" spans="1:1">
      <c r="A15253" t="inlineStr">
        <is>
          <t>Mabileg</t>
        </is>
      </c>
    </row>
    <row r="15254" spans="1:1">
      <c r="A15254" t="inlineStr">
        <is>
          <t>Matallucod</t>
        </is>
      </c>
    </row>
    <row r="15255" spans="1:1">
      <c r="A15255" t="inlineStr">
        <is>
          <t>Poblacion</t>
        </is>
      </c>
    </row>
    <row r="15256" spans="1:1">
      <c r="A15256" t="inlineStr">
        <is>
          <t>San Elias</t>
        </is>
      </c>
    </row>
    <row r="15257" spans="1:1">
      <c r="A15257" t="inlineStr">
        <is>
          <t>San Ramon</t>
        </is>
      </c>
    </row>
    <row r="15258" spans="1:1">
      <c r="A15258" t="inlineStr">
        <is>
          <t>Santo Rosario</t>
        </is>
      </c>
    </row>
    <row r="15259" spans="1:1">
      <c r="A15259" t="inlineStr">
        <is>
          <t>Aguing</t>
        </is>
      </c>
    </row>
    <row r="15260" spans="1:1">
      <c r="A15260" t="inlineStr">
        <is>
          <t>Baliw</t>
        </is>
      </c>
    </row>
    <row r="15261" spans="1:1">
      <c r="A15261" t="inlineStr">
        <is>
          <t>Ballaigui</t>
        </is>
      </c>
    </row>
    <row r="15262" spans="1:1">
      <c r="A15262" t="inlineStr">
        <is>
          <t>Baracbac</t>
        </is>
      </c>
    </row>
    <row r="15263" spans="1:1">
      <c r="A15263" t="inlineStr">
        <is>
          <t>Barikir</t>
        </is>
      </c>
    </row>
    <row r="15264" spans="1:1">
      <c r="A15264" t="inlineStr">
        <is>
          <t>Battog</t>
        </is>
      </c>
    </row>
    <row r="15265" spans="1:1">
      <c r="A15265" t="inlineStr">
        <is>
          <t>Binacud</t>
        </is>
      </c>
    </row>
    <row r="15266" spans="1:1">
      <c r="A15266" t="inlineStr">
        <is>
          <t>Cabangtalan</t>
        </is>
      </c>
    </row>
    <row r="15267" spans="1:1">
      <c r="A15267" t="inlineStr">
        <is>
          <t>Cabarambanan</t>
        </is>
      </c>
    </row>
    <row r="15268" spans="1:1">
      <c r="A15268" t="inlineStr">
        <is>
          <t>Cabulalaan</t>
        </is>
      </c>
    </row>
    <row r="15269" spans="1:1">
      <c r="A15269" t="inlineStr">
        <is>
          <t>Cadanglaan</t>
        </is>
      </c>
    </row>
    <row r="15270" spans="1:1">
      <c r="A15270" t="inlineStr">
        <is>
          <t>Calanutian</t>
        </is>
      </c>
    </row>
    <row r="15271" spans="1:1">
      <c r="A15271" t="inlineStr">
        <is>
          <t>Calingayan</t>
        </is>
      </c>
    </row>
    <row r="15272" spans="1:1">
      <c r="A15272" t="inlineStr">
        <is>
          <t>Curtin</t>
        </is>
      </c>
    </row>
    <row r="15273" spans="1:1">
      <c r="A15273" t="inlineStr">
        <is>
          <t>Dadalaquiten Norte</t>
        </is>
      </c>
    </row>
    <row r="15274" spans="1:1">
      <c r="A15274" t="inlineStr">
        <is>
          <t>Dadalaquiten Sur</t>
        </is>
      </c>
    </row>
    <row r="15275" spans="1:1">
      <c r="A15275" t="inlineStr">
        <is>
          <t>Dean Leopoldo Yabes</t>
        </is>
      </c>
    </row>
    <row r="15276" spans="1:1">
      <c r="A15276" t="inlineStr">
        <is>
          <t>Duyayyat</t>
        </is>
      </c>
    </row>
    <row r="15277" spans="1:1">
      <c r="A15277" t="inlineStr">
        <is>
          <t>Jordan</t>
        </is>
      </c>
    </row>
    <row r="15278" spans="1:1">
      <c r="A15278" t="inlineStr">
        <is>
          <t>Katipunan</t>
        </is>
      </c>
    </row>
    <row r="15279" spans="1:1">
      <c r="A15279" t="inlineStr">
        <is>
          <t>Macabiag</t>
        </is>
      </c>
    </row>
    <row r="15280" spans="1:1">
      <c r="A15280" t="inlineStr">
        <is>
          <t>Magsaysay</t>
        </is>
      </c>
    </row>
    <row r="15281" spans="1:1">
      <c r="A15281" t="inlineStr">
        <is>
          <t>Marnay</t>
        </is>
      </c>
    </row>
    <row r="15282" spans="1:1">
      <c r="A15282" t="inlineStr">
        <is>
          <t>Masadag</t>
        </is>
      </c>
    </row>
    <row r="15283" spans="1:1">
      <c r="A15283" t="inlineStr">
        <is>
          <t>Nagbalioartian</t>
        </is>
      </c>
    </row>
    <row r="15284" spans="1:1">
      <c r="A15284" t="inlineStr">
        <is>
          <t>Nagcullooban</t>
        </is>
      </c>
    </row>
    <row r="15285" spans="1:1">
      <c r="A15285" t="inlineStr">
        <is>
          <t>Nagongburan</t>
        </is>
      </c>
    </row>
    <row r="15286" spans="1:1">
      <c r="A15286" t="inlineStr">
        <is>
          <t>Namnama</t>
        </is>
      </c>
    </row>
    <row r="15287" spans="1:1">
      <c r="A15287" t="inlineStr">
        <is>
          <t>Pacis</t>
        </is>
      </c>
    </row>
    <row r="15288" spans="1:1">
      <c r="A15288" t="inlineStr">
        <is>
          <t>Paratong</t>
        </is>
      </c>
    </row>
    <row r="15289" spans="1:1">
      <c r="A15289" t="inlineStr">
        <is>
          <t>Purag</t>
        </is>
      </c>
    </row>
    <row r="15290" spans="1:1">
      <c r="A15290" t="inlineStr">
        <is>
          <t>Quibit-quibit</t>
        </is>
      </c>
    </row>
    <row r="15291" spans="1:1">
      <c r="A15291" t="inlineStr">
        <is>
          <t>Quimmallogong</t>
        </is>
      </c>
    </row>
    <row r="15292" spans="1:1">
      <c r="A15292" t="inlineStr">
        <is>
          <t>Rang-ay</t>
        </is>
      </c>
    </row>
    <row r="15293" spans="1:1">
      <c r="A15293" t="inlineStr">
        <is>
          <t>Ricudo</t>
        </is>
      </c>
    </row>
    <row r="15294" spans="1:1">
      <c r="A15294" t="inlineStr">
        <is>
          <t>Sabañgan</t>
        </is>
      </c>
    </row>
    <row r="15295" spans="1:1">
      <c r="A15295" t="inlineStr">
        <is>
          <t>Sallacapo</t>
        </is>
      </c>
    </row>
    <row r="15296" spans="1:1">
      <c r="A15296" t="inlineStr">
        <is>
          <t>Santa Cruz</t>
        </is>
      </c>
    </row>
    <row r="15297" spans="1:1">
      <c r="A15297" t="inlineStr">
        <is>
          <t>Sapriana</t>
        </is>
      </c>
    </row>
    <row r="15298" spans="1:1">
      <c r="A15298" t="inlineStr">
        <is>
          <t>Tapao</t>
        </is>
      </c>
    </row>
    <row r="15299" spans="1:1">
      <c r="A15299" t="inlineStr">
        <is>
          <t>Teppeng</t>
        </is>
      </c>
    </row>
    <row r="15300" spans="1:1">
      <c r="A15300" t="inlineStr">
        <is>
          <t>Tubigay</t>
        </is>
      </c>
    </row>
    <row r="15301" spans="1:1">
      <c r="A15301" t="inlineStr">
        <is>
          <t>Ubbog</t>
        </is>
      </c>
    </row>
    <row r="15302" spans="1:1">
      <c r="A15302" t="inlineStr">
        <is>
          <t>Zapat</t>
        </is>
      </c>
    </row>
    <row r="15303" spans="1:1">
      <c r="A15303" t="inlineStr">
        <is>
          <t>Balbalayang</t>
        </is>
      </c>
    </row>
    <row r="15304" spans="1:1">
      <c r="A15304" t="inlineStr">
        <is>
          <t>Banga</t>
        </is>
      </c>
    </row>
    <row r="15305" spans="1:1">
      <c r="A15305" t="inlineStr">
        <is>
          <t>Caoayan</t>
        </is>
      </c>
    </row>
    <row r="15306" spans="1:1">
      <c r="A15306" t="inlineStr">
        <is>
          <t>Danac</t>
        </is>
      </c>
    </row>
    <row r="15307" spans="1:1">
      <c r="A15307" t="inlineStr">
        <is>
          <t>Licungan</t>
        </is>
      </c>
    </row>
    <row r="15308" spans="1:1">
      <c r="A15308" t="inlineStr">
        <is>
          <t>Pangotan</t>
        </is>
      </c>
    </row>
    <row r="15309" spans="1:1">
      <c r="A15309" t="inlineStr">
        <is>
          <t>Baringcucurong</t>
        </is>
      </c>
    </row>
    <row r="15310" spans="1:1">
      <c r="A15310" t="inlineStr">
        <is>
          <t>Cabugao</t>
        </is>
      </c>
    </row>
    <row r="15311" spans="1:1">
      <c r="A15311" t="inlineStr">
        <is>
          <t>Man-atong</t>
        </is>
      </c>
    </row>
    <row r="15312" spans="1:1">
      <c r="A15312" t="inlineStr">
        <is>
          <t>Patoc-ao</t>
        </is>
      </c>
    </row>
    <row r="15313" spans="1:1">
      <c r="A15313" t="inlineStr">
        <is>
          <t>Poblacion</t>
        </is>
      </c>
    </row>
    <row r="15314" spans="1:1">
      <c r="A15314" t="inlineStr">
        <is>
          <t>Suyo Proper</t>
        </is>
      </c>
    </row>
    <row r="15315" spans="1:1">
      <c r="A15315" t="inlineStr">
        <is>
          <t>Urzadan</t>
        </is>
      </c>
    </row>
    <row r="15316" spans="1:1">
      <c r="A15316" t="inlineStr">
        <is>
          <t>Uso</t>
        </is>
      </c>
    </row>
    <row r="15317" spans="1:1">
      <c r="A15317" t="inlineStr">
        <is>
          <t>Ag-aguman</t>
        </is>
      </c>
    </row>
    <row r="15318" spans="1:1">
      <c r="A15318" t="inlineStr">
        <is>
          <t>Ambalayat</t>
        </is>
      </c>
    </row>
    <row r="15319" spans="1:1">
      <c r="A15319" t="inlineStr">
        <is>
          <t>Baracbac</t>
        </is>
      </c>
    </row>
    <row r="15320" spans="1:1">
      <c r="A15320" t="inlineStr">
        <is>
          <t>Bario-an</t>
        </is>
      </c>
    </row>
    <row r="15321" spans="1:1">
      <c r="A15321" t="inlineStr">
        <is>
          <t>Baritao</t>
        </is>
      </c>
    </row>
    <row r="15322" spans="1:1">
      <c r="A15322" t="inlineStr">
        <is>
          <t>Becques</t>
        </is>
      </c>
    </row>
    <row r="15323" spans="1:1">
      <c r="A15323" t="inlineStr">
        <is>
          <t>Bimmanga</t>
        </is>
      </c>
    </row>
    <row r="15324" spans="1:1">
      <c r="A15324" t="inlineStr">
        <is>
          <t>Bio</t>
        </is>
      </c>
    </row>
    <row r="15325" spans="1:1">
      <c r="A15325" t="inlineStr">
        <is>
          <t>Bitalag</t>
        </is>
      </c>
    </row>
    <row r="15326" spans="1:1">
      <c r="A15326" t="inlineStr">
        <is>
          <t>Borono</t>
        </is>
      </c>
    </row>
    <row r="15327" spans="1:1">
      <c r="A15327" t="inlineStr">
        <is>
          <t>Bucao East</t>
        </is>
      </c>
    </row>
    <row r="15328" spans="1:1">
      <c r="A15328" t="inlineStr">
        <is>
          <t>Bucao West</t>
        </is>
      </c>
    </row>
    <row r="15329" spans="1:1">
      <c r="A15329" t="inlineStr">
        <is>
          <t>Cabaroan</t>
        </is>
      </c>
    </row>
    <row r="15330" spans="1:1">
      <c r="A15330" t="inlineStr">
        <is>
          <t>Cabugbugan</t>
        </is>
      </c>
    </row>
    <row r="15331" spans="1:1">
      <c r="A15331" t="inlineStr">
        <is>
          <t>Cabulanglangan</t>
        </is>
      </c>
    </row>
    <row r="15332" spans="1:1">
      <c r="A15332" t="inlineStr">
        <is>
          <t>Dacutan</t>
        </is>
      </c>
    </row>
    <row r="15333" spans="1:1">
      <c r="A15333" t="inlineStr">
        <is>
          <t>Dardarat</t>
        </is>
      </c>
    </row>
    <row r="15334" spans="1:1">
      <c r="A15334" t="inlineStr">
        <is>
          <t>Del Pilar</t>
        </is>
      </c>
    </row>
    <row r="15335" spans="1:1">
      <c r="A15335" t="inlineStr">
        <is>
          <t>Farola</t>
        </is>
      </c>
    </row>
    <row r="15336" spans="1:1">
      <c r="A15336" t="inlineStr">
        <is>
          <t>Gabur</t>
        </is>
      </c>
    </row>
    <row r="15337" spans="1:1">
      <c r="A15337" t="inlineStr">
        <is>
          <t>Garitan</t>
        </is>
      </c>
    </row>
    <row r="15338" spans="1:1">
      <c r="A15338" t="inlineStr">
        <is>
          <t>Jardin</t>
        </is>
      </c>
    </row>
    <row r="15339" spans="1:1">
      <c r="A15339" t="inlineStr">
        <is>
          <t>Lacong</t>
        </is>
      </c>
    </row>
    <row r="15340" spans="1:1">
      <c r="A15340" t="inlineStr">
        <is>
          <t>Lantag</t>
        </is>
      </c>
    </row>
    <row r="15341" spans="1:1">
      <c r="A15341" t="inlineStr">
        <is>
          <t>Las-ud</t>
        </is>
      </c>
    </row>
    <row r="15342" spans="1:1">
      <c r="A15342" t="inlineStr">
        <is>
          <t>Libtong</t>
        </is>
      </c>
    </row>
    <row r="15343" spans="1:1">
      <c r="A15343" t="inlineStr">
        <is>
          <t>Lubnac</t>
        </is>
      </c>
    </row>
    <row r="15344" spans="1:1">
      <c r="A15344" t="inlineStr">
        <is>
          <t>Magsaysay</t>
        </is>
      </c>
    </row>
    <row r="15345" spans="1:1">
      <c r="A15345" t="inlineStr">
        <is>
          <t>Malacañang</t>
        </is>
      </c>
    </row>
    <row r="15346" spans="1:1">
      <c r="A15346" t="inlineStr">
        <is>
          <t>Pacac</t>
        </is>
      </c>
    </row>
    <row r="15347" spans="1:1">
      <c r="A15347" t="inlineStr">
        <is>
          <t>Pallogan</t>
        </is>
      </c>
    </row>
    <row r="15348" spans="1:1">
      <c r="A15348" t="inlineStr">
        <is>
          <t>Pudoc East</t>
        </is>
      </c>
    </row>
    <row r="15349" spans="1:1">
      <c r="A15349" t="inlineStr">
        <is>
          <t>Pudoc West</t>
        </is>
      </c>
    </row>
    <row r="15350" spans="1:1">
      <c r="A15350" t="inlineStr">
        <is>
          <t>Pula</t>
        </is>
      </c>
    </row>
    <row r="15351" spans="1:1">
      <c r="A15351" t="inlineStr">
        <is>
          <t>Quirino</t>
        </is>
      </c>
    </row>
    <row r="15352" spans="1:1">
      <c r="A15352" t="inlineStr">
        <is>
          <t>Ranget</t>
        </is>
      </c>
    </row>
    <row r="15353" spans="1:1">
      <c r="A15353" t="inlineStr">
        <is>
          <t>Rizal</t>
        </is>
      </c>
    </row>
    <row r="15354" spans="1:1">
      <c r="A15354" t="inlineStr">
        <is>
          <t>Salvacion</t>
        </is>
      </c>
    </row>
    <row r="15355" spans="1:1">
      <c r="A15355" t="inlineStr">
        <is>
          <t>San Miguel</t>
        </is>
      </c>
    </row>
    <row r="15356" spans="1:1">
      <c r="A15356" t="inlineStr">
        <is>
          <t>Sawat</t>
        </is>
      </c>
    </row>
    <row r="15357" spans="1:1">
      <c r="A15357" t="inlineStr">
        <is>
          <t>Tallaoen</t>
        </is>
      </c>
    </row>
    <row r="15358" spans="1:1">
      <c r="A15358" t="inlineStr">
        <is>
          <t>Tampugo</t>
        </is>
      </c>
    </row>
    <row r="15359" spans="1:1">
      <c r="A15359" t="inlineStr">
        <is>
          <t>Tarangotong</t>
        </is>
      </c>
    </row>
    <row r="15360" spans="1:1">
      <c r="A15360" t="inlineStr">
        <is>
          <t>Adcadarao</t>
        </is>
      </c>
    </row>
    <row r="15361" spans="1:1">
      <c r="A15361" t="inlineStr">
        <is>
          <t>Agbobolo</t>
        </is>
      </c>
    </row>
    <row r="15362" spans="1:1">
      <c r="A15362" t="inlineStr">
        <is>
          <t>Badiangan</t>
        </is>
      </c>
    </row>
    <row r="15363" spans="1:1">
      <c r="A15363" t="inlineStr">
        <is>
          <t>Barrido</t>
        </is>
      </c>
    </row>
    <row r="15364" spans="1:1">
      <c r="A15364" t="inlineStr">
        <is>
          <t>Bato Biasong</t>
        </is>
      </c>
    </row>
    <row r="15365" spans="1:1">
      <c r="A15365" t="inlineStr">
        <is>
          <t>Bay-ang</t>
        </is>
      </c>
    </row>
    <row r="15366" spans="1:1">
      <c r="A15366" t="inlineStr">
        <is>
          <t>Bucana Bunglas</t>
        </is>
      </c>
    </row>
    <row r="15367" spans="1:1">
      <c r="A15367" t="inlineStr">
        <is>
          <t>Central</t>
        </is>
      </c>
    </row>
    <row r="15368" spans="1:1">
      <c r="A15368" t="inlineStr">
        <is>
          <t>Culasi</t>
        </is>
      </c>
    </row>
    <row r="15369" spans="1:1">
      <c r="A15369" t="inlineStr">
        <is>
          <t>Lanjagan</t>
        </is>
      </c>
    </row>
    <row r="15370" spans="1:1">
      <c r="A15370" t="inlineStr">
        <is>
          <t>Luca</t>
        </is>
      </c>
    </row>
    <row r="15371" spans="1:1">
      <c r="A15371" t="inlineStr">
        <is>
          <t>Malayu-an</t>
        </is>
      </c>
    </row>
    <row r="15372" spans="1:1">
      <c r="A15372" t="inlineStr">
        <is>
          <t>Mangorocoro</t>
        </is>
      </c>
    </row>
    <row r="15373" spans="1:1">
      <c r="A15373" t="inlineStr">
        <is>
          <t>Nasidman</t>
        </is>
      </c>
    </row>
    <row r="15374" spans="1:1">
      <c r="A15374" t="inlineStr">
        <is>
          <t>Pantalan Nabaye</t>
        </is>
      </c>
    </row>
    <row r="15375" spans="1:1">
      <c r="A15375" t="inlineStr">
        <is>
          <t>Pantalan Navarro</t>
        </is>
      </c>
    </row>
    <row r="15376" spans="1:1">
      <c r="A15376" t="inlineStr">
        <is>
          <t>Pedada</t>
        </is>
      </c>
    </row>
    <row r="15377" spans="1:1">
      <c r="A15377" t="inlineStr">
        <is>
          <t>Pili</t>
        </is>
      </c>
    </row>
    <row r="15378" spans="1:1">
      <c r="A15378" t="inlineStr">
        <is>
          <t>Pinantan Diel</t>
        </is>
      </c>
    </row>
    <row r="15379" spans="1:1">
      <c r="A15379" t="inlineStr">
        <is>
          <t>Pinantan Elizalde</t>
        </is>
      </c>
    </row>
    <row r="15380" spans="1:1">
      <c r="A15380" t="inlineStr">
        <is>
          <t>Pinay Espinosa</t>
        </is>
      </c>
    </row>
    <row r="15381" spans="1:1">
      <c r="A15381" t="inlineStr">
        <is>
          <t>Poblacion</t>
        </is>
      </c>
    </row>
    <row r="15382" spans="1:1">
      <c r="A15382" t="inlineStr">
        <is>
          <t>Progreso</t>
        </is>
      </c>
    </row>
    <row r="15383" spans="1:1">
      <c r="A15383" t="inlineStr">
        <is>
          <t>Puente Bunglas</t>
        </is>
      </c>
    </row>
    <row r="15384" spans="1:1">
      <c r="A15384" t="inlineStr">
        <is>
          <t>Punta Buri</t>
        </is>
      </c>
    </row>
    <row r="15385" spans="1:1">
      <c r="A15385" t="inlineStr">
        <is>
          <t>Rojas</t>
        </is>
      </c>
    </row>
    <row r="15386" spans="1:1">
      <c r="A15386" t="inlineStr">
        <is>
          <t>San Antonio</t>
        </is>
      </c>
    </row>
    <row r="15387" spans="1:1">
      <c r="A15387" t="inlineStr">
        <is>
          <t>Santo Rosario</t>
        </is>
      </c>
    </row>
    <row r="15388" spans="1:1">
      <c r="A15388" t="inlineStr">
        <is>
          <t>Silagon</t>
        </is>
      </c>
    </row>
    <row r="15389" spans="1:1">
      <c r="A15389" t="inlineStr">
        <is>
          <t>Tagubanhan</t>
        </is>
      </c>
    </row>
    <row r="15390" spans="1:1">
      <c r="A15390" t="inlineStr">
        <is>
          <t>Taguhangin</t>
        </is>
      </c>
    </row>
    <row r="15391" spans="1:1">
      <c r="A15391" t="inlineStr">
        <is>
          <t>Tanduyan</t>
        </is>
      </c>
    </row>
    <row r="15392" spans="1:1">
      <c r="A15392" t="inlineStr">
        <is>
          <t>Tipacla</t>
        </is>
      </c>
    </row>
    <row r="15393" spans="1:1">
      <c r="A15393" t="inlineStr">
        <is>
          <t>Tubogan</t>
        </is>
      </c>
    </row>
    <row r="15394" spans="1:1">
      <c r="A15394" t="inlineStr">
        <is>
          <t>Abang-abang</t>
        </is>
      </c>
    </row>
    <row r="15395" spans="1:1">
      <c r="A15395" t="inlineStr">
        <is>
          <t>Agsing</t>
        </is>
      </c>
    </row>
    <row r="15396" spans="1:1">
      <c r="A15396" t="inlineStr">
        <is>
          <t>Atabay</t>
        </is>
      </c>
    </row>
    <row r="15397" spans="1:1">
      <c r="A15397" t="inlineStr">
        <is>
          <t>Ba-ong</t>
        </is>
      </c>
    </row>
    <row r="15398" spans="1:1">
      <c r="A15398" t="inlineStr">
        <is>
          <t>Bagsakan</t>
        </is>
      </c>
    </row>
    <row r="15399" spans="1:1">
      <c r="A15399" t="inlineStr">
        <is>
          <t>Baguingin-Lanot</t>
        </is>
      </c>
    </row>
    <row r="15400" spans="1:1">
      <c r="A15400" t="inlineStr">
        <is>
          <t>Bagumbayan-Ilajas</t>
        </is>
      </c>
    </row>
    <row r="15401" spans="1:1">
      <c r="A15401" t="inlineStr">
        <is>
          <t>Balabago</t>
        </is>
      </c>
    </row>
    <row r="15402" spans="1:1">
      <c r="A15402" t="inlineStr">
        <is>
          <t>Ban-ag</t>
        </is>
      </c>
    </row>
    <row r="15403" spans="1:1">
      <c r="A15403" t="inlineStr">
        <is>
          <t>Bancal</t>
        </is>
      </c>
    </row>
    <row r="15404" spans="1:1">
      <c r="A15404" t="inlineStr">
        <is>
          <t>Binalud</t>
        </is>
      </c>
    </row>
    <row r="15405" spans="1:1">
      <c r="A15405" t="inlineStr">
        <is>
          <t>Bugang</t>
        </is>
      </c>
    </row>
    <row r="15406" spans="1:1">
      <c r="A15406" t="inlineStr">
        <is>
          <t>Buhay</t>
        </is>
      </c>
    </row>
    <row r="15407" spans="1:1">
      <c r="A15407" t="inlineStr">
        <is>
          <t>Bulod</t>
        </is>
      </c>
    </row>
    <row r="15408" spans="1:1">
      <c r="A15408" t="inlineStr">
        <is>
          <t>Cabacanan Proper</t>
        </is>
      </c>
    </row>
    <row r="15409" spans="1:1">
      <c r="A15409" t="inlineStr">
        <is>
          <t>Cabacanan Rizal</t>
        </is>
      </c>
    </row>
    <row r="15410" spans="1:1">
      <c r="A15410" t="inlineStr">
        <is>
          <t>Cagay</t>
        </is>
      </c>
    </row>
    <row r="15411" spans="1:1">
      <c r="A15411" t="inlineStr">
        <is>
          <t>Coline</t>
        </is>
      </c>
    </row>
    <row r="15412" spans="1:1">
      <c r="A15412" t="inlineStr">
        <is>
          <t>Coline-Dalag</t>
        </is>
      </c>
    </row>
    <row r="15413" spans="1:1">
      <c r="A15413" t="inlineStr">
        <is>
          <t>Cunsad</t>
        </is>
      </c>
    </row>
    <row r="15414" spans="1:1">
      <c r="A15414" t="inlineStr">
        <is>
          <t>Cuyad</t>
        </is>
      </c>
    </row>
    <row r="15415" spans="1:1">
      <c r="A15415" t="inlineStr">
        <is>
          <t>Dalid</t>
        </is>
      </c>
    </row>
    <row r="15416" spans="1:1">
      <c r="A15416" t="inlineStr">
        <is>
          <t>Dao</t>
        </is>
      </c>
    </row>
    <row r="15417" spans="1:1">
      <c r="A15417" t="inlineStr">
        <is>
          <t>Gines</t>
        </is>
      </c>
    </row>
    <row r="15418" spans="1:1">
      <c r="A15418" t="inlineStr">
        <is>
          <t>Ginomoy</t>
        </is>
      </c>
    </row>
    <row r="15419" spans="1:1">
      <c r="A15419" t="inlineStr">
        <is>
          <t>Ingwan</t>
        </is>
      </c>
    </row>
    <row r="15420" spans="1:1">
      <c r="A15420" t="inlineStr">
        <is>
          <t>Laylayan</t>
        </is>
      </c>
    </row>
    <row r="15421" spans="1:1">
      <c r="A15421" t="inlineStr">
        <is>
          <t>Lico</t>
        </is>
      </c>
    </row>
    <row r="15422" spans="1:1">
      <c r="A15422" t="inlineStr">
        <is>
          <t>Luan-luan</t>
        </is>
      </c>
    </row>
    <row r="15423" spans="1:1">
      <c r="A15423" t="inlineStr">
        <is>
          <t>Malamboy-Bondolan</t>
        </is>
      </c>
    </row>
    <row r="15424" spans="1:1">
      <c r="A15424" t="inlineStr">
        <is>
          <t>Malamhay</t>
        </is>
      </c>
    </row>
    <row r="15425" spans="1:1">
      <c r="A15425" t="inlineStr">
        <is>
          <t>Mambawi</t>
        </is>
      </c>
    </row>
    <row r="15426" spans="1:1">
      <c r="A15426" t="inlineStr">
        <is>
          <t>Manasa</t>
        </is>
      </c>
    </row>
    <row r="15427" spans="1:1">
      <c r="A15427" t="inlineStr">
        <is>
          <t>Manduyog</t>
        </is>
      </c>
    </row>
    <row r="15428" spans="1:1">
      <c r="A15428" t="inlineStr">
        <is>
          <t>Pajo</t>
        </is>
      </c>
    </row>
    <row r="15429" spans="1:1">
      <c r="A15429" t="inlineStr">
        <is>
          <t>Pianda-an Norte</t>
        </is>
      </c>
    </row>
    <row r="15430" spans="1:1">
      <c r="A15430" t="inlineStr">
        <is>
          <t>Pianda-an Sur</t>
        </is>
      </c>
    </row>
    <row r="15431" spans="1:1">
      <c r="A15431" t="inlineStr">
        <is>
          <t>Poblacion</t>
        </is>
      </c>
    </row>
    <row r="15432" spans="1:1">
      <c r="A15432" t="inlineStr">
        <is>
          <t>Punong</t>
        </is>
      </c>
    </row>
    <row r="15433" spans="1:1">
      <c r="A15433" t="inlineStr">
        <is>
          <t>Quinaspan</t>
        </is>
      </c>
    </row>
    <row r="15434" spans="1:1">
      <c r="A15434" t="inlineStr">
        <is>
          <t>Sinamay</t>
        </is>
      </c>
    </row>
    <row r="15435" spans="1:1">
      <c r="A15435" t="inlineStr">
        <is>
          <t>Sulong</t>
        </is>
      </c>
    </row>
    <row r="15436" spans="1:1">
      <c r="A15436" t="inlineStr">
        <is>
          <t>Taban-Manguining</t>
        </is>
      </c>
    </row>
    <row r="15437" spans="1:1">
      <c r="A15437" t="inlineStr">
        <is>
          <t>Tabug</t>
        </is>
      </c>
    </row>
    <row r="15438" spans="1:1">
      <c r="A15438" t="inlineStr">
        <is>
          <t>Tarug</t>
        </is>
      </c>
    </row>
    <row r="15439" spans="1:1">
      <c r="A15439" t="inlineStr">
        <is>
          <t>Tugaslon</t>
        </is>
      </c>
    </row>
    <row r="15440" spans="1:1">
      <c r="A15440" t="inlineStr">
        <is>
          <t>Ubodan</t>
        </is>
      </c>
    </row>
    <row r="15441" spans="1:1">
      <c r="A15441" t="inlineStr">
        <is>
          <t>Ugbo</t>
        </is>
      </c>
    </row>
    <row r="15442" spans="1:1">
      <c r="A15442" t="inlineStr">
        <is>
          <t>Ulay-Bugang</t>
        </is>
      </c>
    </row>
    <row r="15443" spans="1:1">
      <c r="A15443" t="inlineStr">
        <is>
          <t>Ulay-Hinablan</t>
        </is>
      </c>
    </row>
    <row r="15444" spans="1:1">
      <c r="A15444" t="inlineStr">
        <is>
          <t>Umingan</t>
        </is>
      </c>
    </row>
    <row r="15445" spans="1:1">
      <c r="A15445" t="inlineStr">
        <is>
          <t>Agbatuan</t>
        </is>
      </c>
    </row>
    <row r="15446" spans="1:1">
      <c r="A15446" t="inlineStr">
        <is>
          <t>Badiang</t>
        </is>
      </c>
    </row>
    <row r="15447" spans="1:1">
      <c r="A15447" t="inlineStr">
        <is>
          <t>Balabag</t>
        </is>
      </c>
    </row>
    <row r="15448" spans="1:1">
      <c r="A15448" t="inlineStr">
        <is>
          <t>Balunos</t>
        </is>
      </c>
    </row>
    <row r="15449" spans="1:1">
      <c r="A15449" t="inlineStr">
        <is>
          <t>Cag-an</t>
        </is>
      </c>
    </row>
    <row r="15450" spans="1:1">
      <c r="A15450" t="inlineStr">
        <is>
          <t>Camiros</t>
        </is>
      </c>
    </row>
    <row r="15451" spans="1:1">
      <c r="A15451" t="inlineStr">
        <is>
          <t>Dangula-an</t>
        </is>
      </c>
    </row>
    <row r="15452" spans="1:1">
      <c r="A15452" t="inlineStr">
        <is>
          <t>Guipis</t>
        </is>
      </c>
    </row>
    <row r="15453" spans="1:1">
      <c r="A15453" t="inlineStr">
        <is>
          <t>Manganese</t>
        </is>
      </c>
    </row>
    <row r="15454" spans="1:1">
      <c r="A15454" t="inlineStr">
        <is>
          <t>Medina</t>
        </is>
      </c>
    </row>
    <row r="15455" spans="1:1">
      <c r="A15455" t="inlineStr">
        <is>
          <t>Mostro</t>
        </is>
      </c>
    </row>
    <row r="15456" spans="1:1">
      <c r="A15456" t="inlineStr">
        <is>
          <t>Palaypay</t>
        </is>
      </c>
    </row>
    <row r="15457" spans="1:1">
      <c r="A15457" t="inlineStr">
        <is>
          <t>Pantalan</t>
        </is>
      </c>
    </row>
    <row r="15458" spans="1:1">
      <c r="A15458" t="inlineStr">
        <is>
          <t>Poblacion</t>
        </is>
      </c>
    </row>
    <row r="15459" spans="1:1">
      <c r="A15459" t="inlineStr">
        <is>
          <t>Sambag Culob</t>
        </is>
      </c>
    </row>
    <row r="15460" spans="1:1">
      <c r="A15460" t="inlineStr">
        <is>
          <t>San Carlos</t>
        </is>
      </c>
    </row>
    <row r="15461" spans="1:1">
      <c r="A15461" t="inlineStr">
        <is>
          <t>San Juan Crisostomo</t>
        </is>
      </c>
    </row>
    <row r="15462" spans="1:1">
      <c r="A15462" t="inlineStr">
        <is>
          <t>Santa Rita</t>
        </is>
      </c>
    </row>
    <row r="15463" spans="1:1">
      <c r="A15463" t="inlineStr">
        <is>
          <t>Santo Rosario</t>
        </is>
      </c>
    </row>
    <row r="15464" spans="1:1">
      <c r="A15464" t="inlineStr">
        <is>
          <t>Serallo</t>
        </is>
      </c>
    </row>
    <row r="15465" spans="1:1">
      <c r="A15465" t="inlineStr">
        <is>
          <t>Vista Alegre</t>
        </is>
      </c>
    </row>
    <row r="15466" spans="1:1">
      <c r="A15466" t="inlineStr">
        <is>
          <t>Agusipan</t>
        </is>
      </c>
    </row>
    <row r="15467" spans="1:1">
      <c r="A15467" t="inlineStr">
        <is>
          <t>Astorga</t>
        </is>
      </c>
    </row>
    <row r="15468" spans="1:1">
      <c r="A15468" t="inlineStr">
        <is>
          <t>Bingauan</t>
        </is>
      </c>
    </row>
    <row r="15469" spans="1:1">
      <c r="A15469" t="inlineStr">
        <is>
          <t>Bita-oyan</t>
        </is>
      </c>
    </row>
    <row r="15470" spans="1:1">
      <c r="A15470" t="inlineStr">
        <is>
          <t>Botong</t>
        </is>
      </c>
    </row>
    <row r="15471" spans="1:1">
      <c r="A15471" t="inlineStr">
        <is>
          <t>Budiaue</t>
        </is>
      </c>
    </row>
    <row r="15472" spans="1:1">
      <c r="A15472" t="inlineStr">
        <is>
          <t>Cabanga-an</t>
        </is>
      </c>
    </row>
    <row r="15473" spans="1:1">
      <c r="A15473" t="inlineStr">
        <is>
          <t>Cabayogan</t>
        </is>
      </c>
    </row>
    <row r="15474" spans="1:1">
      <c r="A15474" t="inlineStr">
        <is>
          <t>Calansanan</t>
        </is>
      </c>
    </row>
    <row r="15475" spans="1:1">
      <c r="A15475" t="inlineStr">
        <is>
          <t>Catubig</t>
        </is>
      </c>
    </row>
    <row r="15476" spans="1:1">
      <c r="A15476" t="inlineStr">
        <is>
          <t>Guinawahan</t>
        </is>
      </c>
    </row>
    <row r="15477" spans="1:1">
      <c r="A15477" t="inlineStr">
        <is>
          <t>Ilongbukid</t>
        </is>
      </c>
    </row>
    <row r="15478" spans="1:1">
      <c r="A15478" t="inlineStr">
        <is>
          <t>Indorohan</t>
        </is>
      </c>
    </row>
    <row r="15479" spans="1:1">
      <c r="A15479" t="inlineStr">
        <is>
          <t>Iniligan</t>
        </is>
      </c>
    </row>
    <row r="15480" spans="1:1">
      <c r="A15480" t="inlineStr">
        <is>
          <t>Latawan</t>
        </is>
      </c>
    </row>
    <row r="15481" spans="1:1">
      <c r="A15481" t="inlineStr">
        <is>
          <t>Linayuan</t>
        </is>
      </c>
    </row>
    <row r="15482" spans="1:1">
      <c r="A15482" t="inlineStr">
        <is>
          <t>Mainguit</t>
        </is>
      </c>
    </row>
    <row r="15483" spans="1:1">
      <c r="A15483" t="inlineStr">
        <is>
          <t>Malublub</t>
        </is>
      </c>
    </row>
    <row r="15484" spans="1:1">
      <c r="A15484" t="inlineStr">
        <is>
          <t>Manaolan</t>
        </is>
      </c>
    </row>
    <row r="15485" spans="1:1">
      <c r="A15485" t="inlineStr">
        <is>
          <t>Mapili Grande</t>
        </is>
      </c>
    </row>
    <row r="15486" spans="1:1">
      <c r="A15486" t="inlineStr">
        <is>
          <t>Mapili Sanjo</t>
        </is>
      </c>
    </row>
    <row r="15487" spans="1:1">
      <c r="A15487" t="inlineStr">
        <is>
          <t>Odiongan</t>
        </is>
      </c>
    </row>
    <row r="15488" spans="1:1">
      <c r="A15488" t="inlineStr">
        <is>
          <t>Poblacion</t>
        </is>
      </c>
    </row>
    <row r="15489" spans="1:1">
      <c r="A15489" t="inlineStr">
        <is>
          <t>San Julian</t>
        </is>
      </c>
    </row>
    <row r="15490" spans="1:1">
      <c r="A15490" t="inlineStr">
        <is>
          <t>Sariri</t>
        </is>
      </c>
    </row>
    <row r="15491" spans="1:1">
      <c r="A15491" t="inlineStr">
        <is>
          <t>Sianon</t>
        </is>
      </c>
    </row>
    <row r="15492" spans="1:1">
      <c r="A15492" t="inlineStr">
        <is>
          <t>Sinuagan</t>
        </is>
      </c>
    </row>
    <row r="15493" spans="1:1">
      <c r="A15493" t="inlineStr">
        <is>
          <t>Talaba</t>
        </is>
      </c>
    </row>
    <row r="15494" spans="1:1">
      <c r="A15494" t="inlineStr">
        <is>
          <t>Tamocol</t>
        </is>
      </c>
    </row>
    <row r="15495" spans="1:1">
      <c r="A15495" t="inlineStr">
        <is>
          <t>Teneclan</t>
        </is>
      </c>
    </row>
    <row r="15496" spans="1:1">
      <c r="A15496" t="inlineStr">
        <is>
          <t>Tina</t>
        </is>
      </c>
    </row>
    <row r="15497" spans="1:1">
      <c r="A15497" t="inlineStr">
        <is>
          <t>Aranjuez</t>
        </is>
      </c>
    </row>
    <row r="15498" spans="1:1">
      <c r="A15498" t="inlineStr">
        <is>
          <t>Bacolod</t>
        </is>
      </c>
    </row>
    <row r="15499" spans="1:1">
      <c r="A15499" t="inlineStr">
        <is>
          <t>Balanti-an</t>
        </is>
      </c>
    </row>
    <row r="15500" spans="1:1">
      <c r="A15500" t="inlineStr">
        <is>
          <t>Batuan</t>
        </is>
      </c>
    </row>
    <row r="15501" spans="1:1">
      <c r="A15501" t="inlineStr">
        <is>
          <t>Cabalic</t>
        </is>
      </c>
    </row>
    <row r="15502" spans="1:1">
      <c r="A15502" t="inlineStr">
        <is>
          <t>Camambugan</t>
        </is>
      </c>
    </row>
    <row r="15503" spans="1:1">
      <c r="A15503" t="inlineStr">
        <is>
          <t>Dolores</t>
        </is>
      </c>
    </row>
    <row r="15504" spans="1:1">
      <c r="A15504" t="inlineStr">
        <is>
          <t>Gimamanay</t>
        </is>
      </c>
    </row>
    <row r="15505" spans="1:1">
      <c r="A15505" t="inlineStr">
        <is>
          <t>Ipil</t>
        </is>
      </c>
    </row>
    <row r="15506" spans="1:1">
      <c r="A15506" t="inlineStr">
        <is>
          <t>Kinalkalan</t>
        </is>
      </c>
    </row>
    <row r="15507" spans="1:1">
      <c r="A15507" t="inlineStr">
        <is>
          <t>Lawis</t>
        </is>
      </c>
    </row>
    <row r="15508" spans="1:1">
      <c r="A15508" t="inlineStr">
        <is>
          <t>Malapoc</t>
        </is>
      </c>
    </row>
    <row r="15509" spans="1:1">
      <c r="A15509" t="inlineStr">
        <is>
          <t>Mamhut Norte</t>
        </is>
      </c>
    </row>
    <row r="15510" spans="1:1">
      <c r="A15510" t="inlineStr">
        <is>
          <t>Mamhut Sur</t>
        </is>
      </c>
    </row>
    <row r="15511" spans="1:1">
      <c r="A15511" t="inlineStr">
        <is>
          <t>Maya</t>
        </is>
      </c>
    </row>
    <row r="15512" spans="1:1">
      <c r="A15512" t="inlineStr">
        <is>
          <t>Pani-an</t>
        </is>
      </c>
    </row>
    <row r="15513" spans="1:1">
      <c r="A15513" t="inlineStr">
        <is>
          <t>Poblacion Norte</t>
        </is>
      </c>
    </row>
    <row r="15514" spans="1:1">
      <c r="A15514" t="inlineStr">
        <is>
          <t>Poblacion Sur</t>
        </is>
      </c>
    </row>
    <row r="15515" spans="1:1">
      <c r="A15515" t="inlineStr">
        <is>
          <t>Quiasan</t>
        </is>
      </c>
    </row>
    <row r="15516" spans="1:1">
      <c r="A15516" t="inlineStr">
        <is>
          <t>Salong</t>
        </is>
      </c>
    </row>
    <row r="15517" spans="1:1">
      <c r="A15517" t="inlineStr">
        <is>
          <t>Salvacion</t>
        </is>
      </c>
    </row>
    <row r="15518" spans="1:1">
      <c r="A15518" t="inlineStr">
        <is>
          <t>Tingui-an</t>
        </is>
      </c>
    </row>
    <row r="15519" spans="1:1">
      <c r="A15519" t="inlineStr">
        <is>
          <t>Zaragosa</t>
        </is>
      </c>
    </row>
    <row r="15520" spans="1:1">
      <c r="A15520" t="inlineStr">
        <is>
          <t>Alacaygan</t>
        </is>
      </c>
    </row>
    <row r="15521" spans="1:1">
      <c r="A15521" t="inlineStr">
        <is>
          <t>Bariga</t>
        </is>
      </c>
    </row>
    <row r="15522" spans="1:1">
      <c r="A15522" t="inlineStr">
        <is>
          <t>Belen</t>
        </is>
      </c>
    </row>
    <row r="15523" spans="1:1">
      <c r="A15523" t="inlineStr">
        <is>
          <t>Bobon</t>
        </is>
      </c>
    </row>
    <row r="15524" spans="1:1">
      <c r="A15524" t="inlineStr">
        <is>
          <t>Bularan</t>
        </is>
      </c>
    </row>
    <row r="15525" spans="1:1">
      <c r="A15525" t="inlineStr">
        <is>
          <t>Carmelo</t>
        </is>
      </c>
    </row>
    <row r="15526" spans="1:1">
      <c r="A15526" t="inlineStr">
        <is>
          <t>De La Paz</t>
        </is>
      </c>
    </row>
    <row r="15527" spans="1:1">
      <c r="A15527" t="inlineStr">
        <is>
          <t>Dugwakan</t>
        </is>
      </c>
    </row>
    <row r="15528" spans="1:1">
      <c r="A15528" t="inlineStr">
        <is>
          <t>Fuentes*</t>
        </is>
      </c>
    </row>
    <row r="15529" spans="1:1">
      <c r="A15529" t="inlineStr">
        <is>
          <t>Juanico</t>
        </is>
      </c>
    </row>
    <row r="15530" spans="1:1">
      <c r="A15530" t="inlineStr">
        <is>
          <t>Libertad</t>
        </is>
      </c>
    </row>
    <row r="15531" spans="1:1">
      <c r="A15531" t="inlineStr">
        <is>
          <t>Magdalo</t>
        </is>
      </c>
    </row>
    <row r="15532" spans="1:1">
      <c r="A15532" t="inlineStr">
        <is>
          <t>Managopaya</t>
        </is>
      </c>
    </row>
    <row r="15533" spans="1:1">
      <c r="A15533" t="inlineStr">
        <is>
          <t>Merced</t>
        </is>
      </c>
    </row>
    <row r="15534" spans="1:1">
      <c r="A15534" t="inlineStr">
        <is>
          <t>Poblacion</t>
        </is>
      </c>
    </row>
    <row r="15535" spans="1:1">
      <c r="A15535" t="inlineStr">
        <is>
          <t>San Salvador</t>
        </is>
      </c>
    </row>
    <row r="15536" spans="1:1">
      <c r="A15536" t="inlineStr">
        <is>
          <t>Talokgangan</t>
        </is>
      </c>
    </row>
    <row r="15537" spans="1:1">
      <c r="A15537" t="inlineStr">
        <is>
          <t>Zona Sur</t>
        </is>
      </c>
    </row>
    <row r="15538" spans="1:1">
      <c r="A15538" t="inlineStr">
        <is>
          <t>Acuit</t>
        </is>
      </c>
    </row>
    <row r="15539" spans="1:1">
      <c r="A15539" t="inlineStr">
        <is>
          <t>Agcuyawan Calsada</t>
        </is>
      </c>
    </row>
    <row r="15540" spans="1:1">
      <c r="A15540" t="inlineStr">
        <is>
          <t>Agcuyawan Pulo</t>
        </is>
      </c>
    </row>
    <row r="15541" spans="1:1">
      <c r="A15541" t="inlineStr">
        <is>
          <t>Bagongbong</t>
        </is>
      </c>
    </row>
    <row r="15542" spans="1:1">
      <c r="A15542" t="inlineStr">
        <is>
          <t>Baras</t>
        </is>
      </c>
    </row>
    <row r="15543" spans="1:1">
      <c r="A15543" t="inlineStr">
        <is>
          <t>Bungca</t>
        </is>
      </c>
    </row>
    <row r="15544" spans="1:1">
      <c r="A15544" t="inlineStr">
        <is>
          <t>Cabilauan</t>
        </is>
      </c>
    </row>
    <row r="15545" spans="1:1">
      <c r="A15545" t="inlineStr">
        <is>
          <t>Cruz</t>
        </is>
      </c>
    </row>
    <row r="15546" spans="1:1">
      <c r="A15546" t="inlineStr">
        <is>
          <t>Guintas</t>
        </is>
      </c>
    </row>
    <row r="15547" spans="1:1">
      <c r="A15547" t="inlineStr">
        <is>
          <t>Igbong</t>
        </is>
      </c>
    </row>
    <row r="15548" spans="1:1">
      <c r="A15548" t="inlineStr">
        <is>
          <t>Ilaud Poblacion</t>
        </is>
      </c>
    </row>
    <row r="15549" spans="1:1">
      <c r="A15549" t="inlineStr">
        <is>
          <t>Ilaya Poblacion</t>
        </is>
      </c>
    </row>
    <row r="15550" spans="1:1">
      <c r="A15550" t="inlineStr">
        <is>
          <t>Jalaud</t>
        </is>
      </c>
    </row>
    <row r="15551" spans="1:1">
      <c r="A15551" t="inlineStr">
        <is>
          <t>Lagubang</t>
        </is>
      </c>
    </row>
    <row r="15552" spans="1:1">
      <c r="A15552" t="inlineStr">
        <is>
          <t>Lanas</t>
        </is>
      </c>
    </row>
    <row r="15553" spans="1:1">
      <c r="A15553" t="inlineStr">
        <is>
          <t>Lico-an</t>
        </is>
      </c>
    </row>
    <row r="15554" spans="1:1">
      <c r="A15554" t="inlineStr">
        <is>
          <t>Linao</t>
        </is>
      </c>
    </row>
    <row r="15555" spans="1:1">
      <c r="A15555" t="inlineStr">
        <is>
          <t>Monpon</t>
        </is>
      </c>
    </row>
    <row r="15556" spans="1:1">
      <c r="A15556" t="inlineStr">
        <is>
          <t>Palaciawan</t>
        </is>
      </c>
    </row>
    <row r="15557" spans="1:1">
      <c r="A15557" t="inlineStr">
        <is>
          <t>Patag</t>
        </is>
      </c>
    </row>
    <row r="15558" spans="1:1">
      <c r="A15558" t="inlineStr">
        <is>
          <t>Salihid</t>
        </is>
      </c>
    </row>
    <row r="15559" spans="1:1">
      <c r="A15559" t="inlineStr">
        <is>
          <t>So-ol</t>
        </is>
      </c>
    </row>
    <row r="15560" spans="1:1">
      <c r="A15560" t="inlineStr">
        <is>
          <t>Sohoton</t>
        </is>
      </c>
    </row>
    <row r="15561" spans="1:1">
      <c r="A15561" t="inlineStr">
        <is>
          <t>Tabuc-Suba</t>
        </is>
      </c>
    </row>
    <row r="15562" spans="1:1">
      <c r="A15562" t="inlineStr">
        <is>
          <t>Tabucan</t>
        </is>
      </c>
    </row>
    <row r="15563" spans="1:1">
      <c r="A15563" t="inlineStr">
        <is>
          <t>Talisay</t>
        </is>
      </c>
    </row>
    <row r="15564" spans="1:1">
      <c r="A15564" t="inlineStr">
        <is>
          <t>Tinorian</t>
        </is>
      </c>
    </row>
    <row r="15565" spans="1:1">
      <c r="A15565" t="inlineStr">
        <is>
          <t>Tiwi</t>
        </is>
      </c>
    </row>
    <row r="15566" spans="1:1">
      <c r="A15566" t="inlineStr">
        <is>
          <t>Tubungan</t>
        </is>
      </c>
    </row>
    <row r="15567" spans="1:1">
      <c r="A15567" t="inlineStr">
        <is>
          <t>Bugnay</t>
        </is>
      </c>
    </row>
    <row r="15568" spans="1:1">
      <c r="A15568" t="inlineStr">
        <is>
          <t>California</t>
        </is>
      </c>
    </row>
    <row r="15569" spans="1:1">
      <c r="A15569" t="inlineStr">
        <is>
          <t>De la Peña</t>
        </is>
      </c>
    </row>
    <row r="15570" spans="1:1">
      <c r="A15570" t="inlineStr">
        <is>
          <t>Del Pilar</t>
        </is>
      </c>
    </row>
    <row r="15571" spans="1:1">
      <c r="A15571" t="inlineStr">
        <is>
          <t>General Luna</t>
        </is>
      </c>
    </row>
    <row r="15572" spans="1:1">
      <c r="A15572" t="inlineStr">
        <is>
          <t>La Fortuna</t>
        </is>
      </c>
    </row>
    <row r="15573" spans="1:1">
      <c r="A15573" t="inlineStr">
        <is>
          <t>Lipata</t>
        </is>
      </c>
    </row>
    <row r="15574" spans="1:1">
      <c r="A15574" t="inlineStr">
        <is>
          <t>Natividad</t>
        </is>
      </c>
    </row>
    <row r="15575" spans="1:1">
      <c r="A15575" t="inlineStr">
        <is>
          <t>Nueva Invencion</t>
        </is>
      </c>
    </row>
    <row r="15576" spans="1:1">
      <c r="A15576" t="inlineStr">
        <is>
          <t>Nueva Sevilla</t>
        </is>
      </c>
    </row>
    <row r="15577" spans="1:1">
      <c r="A15577" t="inlineStr">
        <is>
          <t>Poblacion</t>
        </is>
      </c>
    </row>
    <row r="15578" spans="1:1">
      <c r="A15578" t="inlineStr">
        <is>
          <t>Puerto Princesa</t>
        </is>
      </c>
    </row>
    <row r="15579" spans="1:1">
      <c r="A15579" t="inlineStr">
        <is>
          <t>Rizal</t>
        </is>
      </c>
    </row>
    <row r="15580" spans="1:1">
      <c r="A15580" t="inlineStr">
        <is>
          <t>San Antonio</t>
        </is>
      </c>
    </row>
    <row r="15581" spans="1:1">
      <c r="A15581" t="inlineStr">
        <is>
          <t>San Fernando</t>
        </is>
      </c>
    </row>
    <row r="15582" spans="1:1">
      <c r="A15582" t="inlineStr">
        <is>
          <t>San Francisco</t>
        </is>
      </c>
    </row>
    <row r="15583" spans="1:1">
      <c r="A15583" t="inlineStr">
        <is>
          <t>San Geronimo</t>
        </is>
      </c>
    </row>
    <row r="15584" spans="1:1">
      <c r="A15584" t="inlineStr">
        <is>
          <t>San Juan</t>
        </is>
      </c>
    </row>
    <row r="15585" spans="1:1">
      <c r="A15585" t="inlineStr">
        <is>
          <t>San Lucas</t>
        </is>
      </c>
    </row>
    <row r="15586" spans="1:1">
      <c r="A15586" t="inlineStr">
        <is>
          <t>San Miguel</t>
        </is>
      </c>
    </row>
    <row r="15587" spans="1:1">
      <c r="A15587" t="inlineStr">
        <is>
          <t>San Roque</t>
        </is>
      </c>
    </row>
    <row r="15588" spans="1:1">
      <c r="A15588" t="inlineStr">
        <is>
          <t>Santiago</t>
        </is>
      </c>
    </row>
    <row r="15589" spans="1:1">
      <c r="A15589" t="inlineStr">
        <is>
          <t>Santo Domingo</t>
        </is>
      </c>
    </row>
    <row r="15590" spans="1:1">
      <c r="A15590" t="inlineStr">
        <is>
          <t>Santo Tomas</t>
        </is>
      </c>
    </row>
    <row r="15591" spans="1:1">
      <c r="A15591" t="inlineStr">
        <is>
          <t>Ugasan</t>
        </is>
      </c>
    </row>
    <row r="15592" spans="1:1">
      <c r="A15592" t="inlineStr">
        <is>
          <t>Vista Alegre</t>
        </is>
      </c>
    </row>
    <row r="15593" spans="1:1">
      <c r="A15593" t="inlineStr">
        <is>
          <t>Alapasco</t>
        </is>
      </c>
    </row>
    <row r="15594" spans="1:1">
      <c r="A15594" t="inlineStr">
        <is>
          <t>Alinsolong</t>
        </is>
      </c>
    </row>
    <row r="15595" spans="1:1">
      <c r="A15595" t="inlineStr">
        <is>
          <t>Banban</t>
        </is>
      </c>
    </row>
    <row r="15596" spans="1:1">
      <c r="A15596" t="inlineStr">
        <is>
          <t>Batad Viejo</t>
        </is>
      </c>
    </row>
    <row r="15597" spans="1:1">
      <c r="A15597" t="inlineStr">
        <is>
          <t>Binon-an</t>
        </is>
      </c>
    </row>
    <row r="15598" spans="1:1">
      <c r="A15598" t="inlineStr">
        <is>
          <t>Bolhog</t>
        </is>
      </c>
    </row>
    <row r="15599" spans="1:1">
      <c r="A15599" t="inlineStr">
        <is>
          <t>Bulak Norte</t>
        </is>
      </c>
    </row>
    <row r="15600" spans="1:1">
      <c r="A15600" t="inlineStr">
        <is>
          <t>Bulak Sur</t>
        </is>
      </c>
    </row>
    <row r="15601" spans="1:1">
      <c r="A15601" t="inlineStr">
        <is>
          <t>Cabagohan</t>
        </is>
      </c>
    </row>
    <row r="15602" spans="1:1">
      <c r="A15602" t="inlineStr">
        <is>
          <t>Calangag</t>
        </is>
      </c>
    </row>
    <row r="15603" spans="1:1">
      <c r="A15603" t="inlineStr">
        <is>
          <t>Caw-i</t>
        </is>
      </c>
    </row>
    <row r="15604" spans="1:1">
      <c r="A15604" t="inlineStr">
        <is>
          <t>Drancalan</t>
        </is>
      </c>
    </row>
    <row r="15605" spans="1:1">
      <c r="A15605" t="inlineStr">
        <is>
          <t>Embarcadero</t>
        </is>
      </c>
    </row>
    <row r="15606" spans="1:1">
      <c r="A15606" t="inlineStr">
        <is>
          <t>Hamod</t>
        </is>
      </c>
    </row>
    <row r="15607" spans="1:1">
      <c r="A15607" t="inlineStr">
        <is>
          <t>Malico</t>
        </is>
      </c>
    </row>
    <row r="15608" spans="1:1">
      <c r="A15608" t="inlineStr">
        <is>
          <t>Nangka</t>
        </is>
      </c>
    </row>
    <row r="15609" spans="1:1">
      <c r="A15609" t="inlineStr">
        <is>
          <t>Pasayan</t>
        </is>
      </c>
    </row>
    <row r="15610" spans="1:1">
      <c r="A15610" t="inlineStr">
        <is>
          <t>Poblacion</t>
        </is>
      </c>
    </row>
    <row r="15611" spans="1:1">
      <c r="A15611" t="inlineStr">
        <is>
          <t>Quiazan Florete</t>
        </is>
      </c>
    </row>
    <row r="15612" spans="1:1">
      <c r="A15612" t="inlineStr">
        <is>
          <t>Quiazan Lopez</t>
        </is>
      </c>
    </row>
    <row r="15613" spans="1:1">
      <c r="A15613" t="inlineStr">
        <is>
          <t>Salong</t>
        </is>
      </c>
    </row>
    <row r="15614" spans="1:1">
      <c r="A15614" t="inlineStr">
        <is>
          <t>Santa Ana</t>
        </is>
      </c>
    </row>
    <row r="15615" spans="1:1">
      <c r="A15615" t="inlineStr">
        <is>
          <t>Tanao</t>
        </is>
      </c>
    </row>
    <row r="15616" spans="1:1">
      <c r="A15616" t="inlineStr">
        <is>
          <t>Tapi-an</t>
        </is>
      </c>
    </row>
    <row r="15617" spans="1:1">
      <c r="A15617" t="inlineStr">
        <is>
          <t>Agba-o</t>
        </is>
      </c>
    </row>
    <row r="15618" spans="1:1">
      <c r="A15618" t="inlineStr">
        <is>
          <t>Alabidhan</t>
        </is>
      </c>
    </row>
    <row r="15619" spans="1:1">
      <c r="A15619" t="inlineStr">
        <is>
          <t>Bulabog</t>
        </is>
      </c>
    </row>
    <row r="15620" spans="1:1">
      <c r="A15620" t="inlineStr">
        <is>
          <t>Cairohan</t>
        </is>
      </c>
    </row>
    <row r="15621" spans="1:1">
      <c r="A15621" t="inlineStr">
        <is>
          <t>Guinhulacan</t>
        </is>
      </c>
    </row>
    <row r="15622" spans="1:1">
      <c r="A15622" t="inlineStr">
        <is>
          <t>Inamyungan</t>
        </is>
      </c>
    </row>
    <row r="15623" spans="1:1">
      <c r="A15623" t="inlineStr">
        <is>
          <t>Malitbog Ilawod</t>
        </is>
      </c>
    </row>
    <row r="15624" spans="1:1">
      <c r="A15624" t="inlineStr">
        <is>
          <t>Malitbog Ilaya</t>
        </is>
      </c>
    </row>
    <row r="15625" spans="1:1">
      <c r="A15625" t="inlineStr">
        <is>
          <t>Ngingi-an</t>
        </is>
      </c>
    </row>
    <row r="15626" spans="1:1">
      <c r="A15626" t="inlineStr">
        <is>
          <t>Poblacion</t>
        </is>
      </c>
    </row>
    <row r="15627" spans="1:1">
      <c r="A15627" t="inlineStr">
        <is>
          <t>Quinangyana</t>
        </is>
      </c>
    </row>
    <row r="15628" spans="1:1">
      <c r="A15628" t="inlineStr">
        <is>
          <t>Quinar-Upan</t>
        </is>
      </c>
    </row>
    <row r="15629" spans="1:1">
      <c r="A15629" t="inlineStr">
        <is>
          <t>Tapacon</t>
        </is>
      </c>
    </row>
    <row r="15630" spans="1:1">
      <c r="A15630" t="inlineStr">
        <is>
          <t>Tubod</t>
        </is>
      </c>
    </row>
    <row r="15631" spans="1:1">
      <c r="A15631" t="inlineStr">
        <is>
          <t>Acao</t>
        </is>
      </c>
    </row>
    <row r="15632" spans="1:1">
      <c r="A15632" t="inlineStr">
        <is>
          <t>Amerang</t>
        </is>
      </c>
    </row>
    <row r="15633" spans="1:1">
      <c r="A15633" t="inlineStr">
        <is>
          <t>Amurao</t>
        </is>
      </c>
    </row>
    <row r="15634" spans="1:1">
      <c r="A15634" t="inlineStr">
        <is>
          <t>Anuang</t>
        </is>
      </c>
    </row>
    <row r="15635" spans="1:1">
      <c r="A15635" t="inlineStr">
        <is>
          <t>Ayaman</t>
        </is>
      </c>
    </row>
    <row r="15636" spans="1:1">
      <c r="A15636" t="inlineStr">
        <is>
          <t>Ayong</t>
        </is>
      </c>
    </row>
    <row r="15637" spans="1:1">
      <c r="A15637" t="inlineStr">
        <is>
          <t>Bacan</t>
        </is>
      </c>
    </row>
    <row r="15638" spans="1:1">
      <c r="A15638" t="inlineStr">
        <is>
          <t>Balabag</t>
        </is>
      </c>
    </row>
    <row r="15639" spans="1:1">
      <c r="A15639" t="inlineStr">
        <is>
          <t>Baluyan</t>
        </is>
      </c>
    </row>
    <row r="15640" spans="1:1">
      <c r="A15640" t="inlineStr">
        <is>
          <t>Banguit</t>
        </is>
      </c>
    </row>
    <row r="15641" spans="1:1">
      <c r="A15641" t="inlineStr">
        <is>
          <t>Bulay</t>
        </is>
      </c>
    </row>
    <row r="15642" spans="1:1">
      <c r="A15642" t="inlineStr">
        <is>
          <t>Cadoldolan</t>
        </is>
      </c>
    </row>
    <row r="15643" spans="1:1">
      <c r="A15643" t="inlineStr">
        <is>
          <t>Cagban</t>
        </is>
      </c>
    </row>
    <row r="15644" spans="1:1">
      <c r="A15644" t="inlineStr">
        <is>
          <t>Calawagan</t>
        </is>
      </c>
    </row>
    <row r="15645" spans="1:1">
      <c r="A15645" t="inlineStr">
        <is>
          <t>Calayo</t>
        </is>
      </c>
    </row>
    <row r="15646" spans="1:1">
      <c r="A15646" t="inlineStr">
        <is>
          <t>Duyanduyan</t>
        </is>
      </c>
    </row>
    <row r="15647" spans="1:1">
      <c r="A15647" t="inlineStr">
        <is>
          <t>Gaub</t>
        </is>
      </c>
    </row>
    <row r="15648" spans="1:1">
      <c r="A15648" t="inlineStr">
        <is>
          <t>Gines Interior</t>
        </is>
      </c>
    </row>
    <row r="15649" spans="1:1">
      <c r="A15649" t="inlineStr">
        <is>
          <t>Gines Patag</t>
        </is>
      </c>
    </row>
    <row r="15650" spans="1:1">
      <c r="A15650" t="inlineStr">
        <is>
          <t>Guibuangan Tigbauan</t>
        </is>
      </c>
    </row>
    <row r="15651" spans="1:1">
      <c r="A15651" t="inlineStr">
        <is>
          <t>Inabasan</t>
        </is>
      </c>
    </row>
    <row r="15652" spans="1:1">
      <c r="A15652" t="inlineStr">
        <is>
          <t>Inaca</t>
        </is>
      </c>
    </row>
    <row r="15653" spans="1:1">
      <c r="A15653" t="inlineStr">
        <is>
          <t>Inaladan</t>
        </is>
      </c>
    </row>
    <row r="15654" spans="1:1">
      <c r="A15654" t="inlineStr">
        <is>
          <t>Ingas</t>
        </is>
      </c>
    </row>
    <row r="15655" spans="1:1">
      <c r="A15655" t="inlineStr">
        <is>
          <t>Ito Norte</t>
        </is>
      </c>
    </row>
    <row r="15656" spans="1:1">
      <c r="A15656" t="inlineStr">
        <is>
          <t>Ito Sur</t>
        </is>
      </c>
    </row>
    <row r="15657" spans="1:1">
      <c r="A15657" t="inlineStr">
        <is>
          <t>Janipaan Central</t>
        </is>
      </c>
    </row>
    <row r="15658" spans="1:1">
      <c r="A15658" t="inlineStr">
        <is>
          <t>Janipaan Este</t>
        </is>
      </c>
    </row>
    <row r="15659" spans="1:1">
      <c r="A15659" t="inlineStr">
        <is>
          <t>Janipaan Oeste</t>
        </is>
      </c>
    </row>
    <row r="15660" spans="1:1">
      <c r="A15660" t="inlineStr">
        <is>
          <t>Janipaan Olo</t>
        </is>
      </c>
    </row>
    <row r="15661" spans="1:1">
      <c r="A15661" t="inlineStr">
        <is>
          <t>Jelicuon Lusaya</t>
        </is>
      </c>
    </row>
    <row r="15662" spans="1:1">
      <c r="A15662" t="inlineStr">
        <is>
          <t>Jelicuon Montinola</t>
        </is>
      </c>
    </row>
    <row r="15663" spans="1:1">
      <c r="A15663" t="inlineStr">
        <is>
          <t>Lag-an</t>
        </is>
      </c>
    </row>
    <row r="15664" spans="1:1">
      <c r="A15664" t="inlineStr">
        <is>
          <t>Leong</t>
        </is>
      </c>
    </row>
    <row r="15665" spans="1:1">
      <c r="A15665" t="inlineStr">
        <is>
          <t>Lutac</t>
        </is>
      </c>
    </row>
    <row r="15666" spans="1:1">
      <c r="A15666" t="inlineStr">
        <is>
          <t>Manguna</t>
        </is>
      </c>
    </row>
    <row r="15667" spans="1:1">
      <c r="A15667" t="inlineStr">
        <is>
          <t>Maraguit</t>
        </is>
      </c>
    </row>
    <row r="15668" spans="1:1">
      <c r="A15668" t="inlineStr">
        <is>
          <t>Morubuan</t>
        </is>
      </c>
    </row>
    <row r="15669" spans="1:1">
      <c r="A15669" t="inlineStr">
        <is>
          <t>Pacatin</t>
        </is>
      </c>
    </row>
    <row r="15670" spans="1:1">
      <c r="A15670" t="inlineStr">
        <is>
          <t>Pagotpot</t>
        </is>
      </c>
    </row>
    <row r="15671" spans="1:1">
      <c r="A15671" t="inlineStr">
        <is>
          <t>Pamul-Ogan</t>
        </is>
      </c>
    </row>
    <row r="15672" spans="1:1">
      <c r="A15672" t="inlineStr">
        <is>
          <t>Pamuringao Garrido</t>
        </is>
      </c>
    </row>
    <row r="15673" spans="1:1">
      <c r="A15673" t="inlineStr">
        <is>
          <t>Pamuringao Proper</t>
        </is>
      </c>
    </row>
    <row r="15674" spans="1:1">
      <c r="A15674" t="inlineStr">
        <is>
          <t>Pungtod</t>
        </is>
      </c>
    </row>
    <row r="15675" spans="1:1">
      <c r="A15675" t="inlineStr">
        <is>
          <t>Puyas</t>
        </is>
      </c>
    </row>
    <row r="15676" spans="1:1">
      <c r="A15676" t="inlineStr">
        <is>
          <t>Salacay</t>
        </is>
      </c>
    </row>
    <row r="15677" spans="1:1">
      <c r="A15677" t="inlineStr">
        <is>
          <t>Sulanga</t>
        </is>
      </c>
    </row>
    <row r="15678" spans="1:1">
      <c r="A15678" t="inlineStr">
        <is>
          <t>Tabucan</t>
        </is>
      </c>
    </row>
    <row r="15679" spans="1:1">
      <c r="A15679" t="inlineStr">
        <is>
          <t>Tacdangan</t>
        </is>
      </c>
    </row>
    <row r="15680" spans="1:1">
      <c r="A15680" t="inlineStr">
        <is>
          <t>Talanghauan</t>
        </is>
      </c>
    </row>
    <row r="15681" spans="1:1">
      <c r="A15681" t="inlineStr">
        <is>
          <t>Tigbauan Road</t>
        </is>
      </c>
    </row>
    <row r="15682" spans="1:1">
      <c r="A15682" t="inlineStr">
        <is>
          <t>Tinio-an</t>
        </is>
      </c>
    </row>
    <row r="15683" spans="1:1">
      <c r="A15683" t="inlineStr">
        <is>
          <t>Tiring</t>
        </is>
      </c>
    </row>
    <row r="15684" spans="1:1">
      <c r="A15684" t="inlineStr">
        <is>
          <t>Tupol Central</t>
        </is>
      </c>
    </row>
    <row r="15685" spans="1:1">
      <c r="A15685" t="inlineStr">
        <is>
          <t>Tupol Este</t>
        </is>
      </c>
    </row>
    <row r="15686" spans="1:1">
      <c r="A15686" t="inlineStr">
        <is>
          <t>Tupol Oeste</t>
        </is>
      </c>
    </row>
    <row r="15687" spans="1:1">
      <c r="A15687" t="inlineStr">
        <is>
          <t>Tuy-an</t>
        </is>
      </c>
    </row>
    <row r="15688" spans="1:1">
      <c r="A15688" t="inlineStr">
        <is>
          <t>Zone I Pob.</t>
        </is>
      </c>
    </row>
    <row r="15689" spans="1:1">
      <c r="A15689" t="inlineStr">
        <is>
          <t>Zone II Pob.</t>
        </is>
      </c>
    </row>
    <row r="15690" spans="1:1">
      <c r="A15690" t="inlineStr">
        <is>
          <t>Zone III Pob.</t>
        </is>
      </c>
    </row>
    <row r="15691" spans="1:1">
      <c r="A15691" t="inlineStr">
        <is>
          <t>Zone IV Pob.</t>
        </is>
      </c>
    </row>
    <row r="15692" spans="1:1">
      <c r="A15692" t="inlineStr">
        <is>
          <t>Zone IX Pob.</t>
        </is>
      </c>
    </row>
    <row r="15693" spans="1:1">
      <c r="A15693" t="inlineStr">
        <is>
          <t>Zone V Pob.</t>
        </is>
      </c>
    </row>
    <row r="15694" spans="1:1">
      <c r="A15694" t="inlineStr">
        <is>
          <t>Zone VI Pob.</t>
        </is>
      </c>
    </row>
    <row r="15695" spans="1:1">
      <c r="A15695" t="inlineStr">
        <is>
          <t>Zone VII Pob.</t>
        </is>
      </c>
    </row>
    <row r="15696" spans="1:1">
      <c r="A15696" t="inlineStr">
        <is>
          <t>Zone VIII Pob.</t>
        </is>
      </c>
    </row>
    <row r="15697" spans="1:1">
      <c r="A15697" t="inlineStr">
        <is>
          <t>Zone X Pob.</t>
        </is>
      </c>
    </row>
    <row r="15698" spans="1:1">
      <c r="A15698" t="inlineStr">
        <is>
          <t>Zone XI Pob.</t>
        </is>
      </c>
    </row>
    <row r="15699" spans="1:1">
      <c r="A15699" t="inlineStr">
        <is>
          <t>Agcalaga</t>
        </is>
      </c>
    </row>
    <row r="15700" spans="1:1">
      <c r="A15700" t="inlineStr">
        <is>
          <t>Aglibacao</t>
        </is>
      </c>
    </row>
    <row r="15701" spans="1:1">
      <c r="A15701" t="inlineStr">
        <is>
          <t>Aglonok</t>
        </is>
      </c>
    </row>
    <row r="15702" spans="1:1">
      <c r="A15702" t="inlineStr">
        <is>
          <t>Alibunan</t>
        </is>
      </c>
    </row>
    <row r="15703" spans="1:1">
      <c r="A15703" t="inlineStr">
        <is>
          <t>Badlan Grande</t>
        </is>
      </c>
    </row>
    <row r="15704" spans="1:1">
      <c r="A15704" t="inlineStr">
        <is>
          <t>Badlan Pequeño</t>
        </is>
      </c>
    </row>
    <row r="15705" spans="1:1">
      <c r="A15705" t="inlineStr">
        <is>
          <t>Badu</t>
        </is>
      </c>
    </row>
    <row r="15706" spans="1:1">
      <c r="A15706" t="inlineStr">
        <is>
          <t>Baje San Julian</t>
        </is>
      </c>
    </row>
    <row r="15707" spans="1:1">
      <c r="A15707" t="inlineStr">
        <is>
          <t>Balaticon</t>
        </is>
      </c>
    </row>
    <row r="15708" spans="1:1">
      <c r="A15708" t="inlineStr">
        <is>
          <t>Banban Grande</t>
        </is>
      </c>
    </row>
    <row r="15709" spans="1:1">
      <c r="A15709" t="inlineStr">
        <is>
          <t>Banban Pequeño</t>
        </is>
      </c>
    </row>
    <row r="15710" spans="1:1">
      <c r="A15710" t="inlineStr">
        <is>
          <t>Barrio Calinog</t>
        </is>
      </c>
    </row>
    <row r="15711" spans="1:1">
      <c r="A15711" t="inlineStr">
        <is>
          <t>Binolosan Grande</t>
        </is>
      </c>
    </row>
    <row r="15712" spans="1:1">
      <c r="A15712" t="inlineStr">
        <is>
          <t>Binolosan Pequeño</t>
        </is>
      </c>
    </row>
    <row r="15713" spans="1:1">
      <c r="A15713" t="inlineStr">
        <is>
          <t>Cabagiao</t>
        </is>
      </c>
    </row>
    <row r="15714" spans="1:1">
      <c r="A15714" t="inlineStr">
        <is>
          <t>Cabugao</t>
        </is>
      </c>
    </row>
    <row r="15715" spans="1:1">
      <c r="A15715" t="inlineStr">
        <is>
          <t>Cahigon</t>
        </is>
      </c>
    </row>
    <row r="15716" spans="1:1">
      <c r="A15716" t="inlineStr">
        <is>
          <t>Camalongo</t>
        </is>
      </c>
    </row>
    <row r="15717" spans="1:1">
      <c r="A15717" t="inlineStr">
        <is>
          <t>Canabajan</t>
        </is>
      </c>
    </row>
    <row r="15718" spans="1:1">
      <c r="A15718" t="inlineStr">
        <is>
          <t>Caratagan</t>
        </is>
      </c>
    </row>
    <row r="15719" spans="1:1">
      <c r="A15719" t="inlineStr">
        <is>
          <t>Carvasana</t>
        </is>
      </c>
    </row>
    <row r="15720" spans="1:1">
      <c r="A15720" t="inlineStr">
        <is>
          <t>Dalid</t>
        </is>
      </c>
    </row>
    <row r="15721" spans="1:1">
      <c r="A15721" t="inlineStr">
        <is>
          <t>Datagan</t>
        </is>
      </c>
    </row>
    <row r="15722" spans="1:1">
      <c r="A15722" t="inlineStr">
        <is>
          <t>Gama Grande</t>
        </is>
      </c>
    </row>
    <row r="15723" spans="1:1">
      <c r="A15723" t="inlineStr">
        <is>
          <t>Gama Pequeño</t>
        </is>
      </c>
    </row>
    <row r="15724" spans="1:1">
      <c r="A15724" t="inlineStr">
        <is>
          <t>Garangan</t>
        </is>
      </c>
    </row>
    <row r="15725" spans="1:1">
      <c r="A15725" t="inlineStr">
        <is>
          <t>Guinbonyugan</t>
        </is>
      </c>
    </row>
    <row r="15726" spans="1:1">
      <c r="A15726" t="inlineStr">
        <is>
          <t>Guiso</t>
        </is>
      </c>
    </row>
    <row r="15727" spans="1:1">
      <c r="A15727" t="inlineStr">
        <is>
          <t>Hilwan</t>
        </is>
      </c>
    </row>
    <row r="15728" spans="1:1">
      <c r="A15728" t="inlineStr">
        <is>
          <t>Impalidan</t>
        </is>
      </c>
    </row>
    <row r="15729" spans="1:1">
      <c r="A15729" t="inlineStr">
        <is>
          <t>Ipil</t>
        </is>
      </c>
    </row>
    <row r="15730" spans="1:1">
      <c r="A15730" t="inlineStr">
        <is>
          <t>Jamin-ay</t>
        </is>
      </c>
    </row>
    <row r="15731" spans="1:1">
      <c r="A15731" t="inlineStr">
        <is>
          <t>Lampaya</t>
        </is>
      </c>
    </row>
    <row r="15732" spans="1:1">
      <c r="A15732" t="inlineStr">
        <is>
          <t>Libot</t>
        </is>
      </c>
    </row>
    <row r="15733" spans="1:1">
      <c r="A15733" t="inlineStr">
        <is>
          <t>Lonoy</t>
        </is>
      </c>
    </row>
    <row r="15734" spans="1:1">
      <c r="A15734" t="inlineStr">
        <is>
          <t>Malag-it</t>
        </is>
      </c>
    </row>
    <row r="15735" spans="1:1">
      <c r="A15735" t="inlineStr">
        <is>
          <t>Malaguinabot</t>
        </is>
      </c>
    </row>
    <row r="15736" spans="1:1">
      <c r="A15736" t="inlineStr">
        <is>
          <t>Malapawe</t>
        </is>
      </c>
    </row>
    <row r="15737" spans="1:1">
      <c r="A15737" t="inlineStr">
        <is>
          <t>Malitbog Centro</t>
        </is>
      </c>
    </row>
    <row r="15738" spans="1:1">
      <c r="A15738" t="inlineStr">
        <is>
          <t>Mambiranan</t>
        </is>
      </c>
    </row>
    <row r="15739" spans="1:1">
      <c r="A15739" t="inlineStr">
        <is>
          <t>Manaripay</t>
        </is>
      </c>
    </row>
    <row r="15740" spans="1:1">
      <c r="A15740" t="inlineStr">
        <is>
          <t>Marandig</t>
        </is>
      </c>
    </row>
    <row r="15741" spans="1:1">
      <c r="A15741" t="inlineStr">
        <is>
          <t>Masaroy</t>
        </is>
      </c>
    </row>
    <row r="15742" spans="1:1">
      <c r="A15742" t="inlineStr">
        <is>
          <t>Maspasan</t>
        </is>
      </c>
    </row>
    <row r="15743" spans="1:1">
      <c r="A15743" t="inlineStr">
        <is>
          <t>Nalbugan</t>
        </is>
      </c>
    </row>
    <row r="15744" spans="1:1">
      <c r="A15744" t="inlineStr">
        <is>
          <t>Owak</t>
        </is>
      </c>
    </row>
    <row r="15745" spans="1:1">
      <c r="A15745" t="inlineStr">
        <is>
          <t>Poblacion Centro</t>
        </is>
      </c>
    </row>
    <row r="15746" spans="1:1">
      <c r="A15746" t="inlineStr">
        <is>
          <t>Poblacion Delgado</t>
        </is>
      </c>
    </row>
    <row r="15747" spans="1:1">
      <c r="A15747" t="inlineStr">
        <is>
          <t>Poblacion Ilaya</t>
        </is>
      </c>
    </row>
    <row r="15748" spans="1:1">
      <c r="A15748" t="inlineStr">
        <is>
          <t>Poblacion Rizal Ilaud</t>
        </is>
      </c>
    </row>
    <row r="15749" spans="1:1">
      <c r="A15749" t="inlineStr">
        <is>
          <t>San Nicolas</t>
        </is>
      </c>
    </row>
    <row r="15750" spans="1:1">
      <c r="A15750" t="inlineStr">
        <is>
          <t>Simsiman</t>
        </is>
      </c>
    </row>
    <row r="15751" spans="1:1">
      <c r="A15751" t="inlineStr">
        <is>
          <t>Supanga</t>
        </is>
      </c>
    </row>
    <row r="15752" spans="1:1">
      <c r="A15752" t="inlineStr">
        <is>
          <t>Tabucan</t>
        </is>
      </c>
    </row>
    <row r="15753" spans="1:1">
      <c r="A15753" t="inlineStr">
        <is>
          <t>Tahing</t>
        </is>
      </c>
    </row>
    <row r="15754" spans="1:1">
      <c r="A15754" t="inlineStr">
        <is>
          <t>Tibiao</t>
        </is>
      </c>
    </row>
    <row r="15755" spans="1:1">
      <c r="A15755" t="inlineStr">
        <is>
          <t>Tigbayog</t>
        </is>
      </c>
    </row>
    <row r="15756" spans="1:1">
      <c r="A15756" t="inlineStr">
        <is>
          <t>Toyungan</t>
        </is>
      </c>
    </row>
    <row r="15757" spans="1:1">
      <c r="A15757" t="inlineStr">
        <is>
          <t>Ulayan</t>
        </is>
      </c>
    </row>
    <row r="15758" spans="1:1">
      <c r="A15758" t="inlineStr">
        <is>
          <t>Abong</t>
        </is>
      </c>
    </row>
    <row r="15759" spans="1:1">
      <c r="A15759" t="inlineStr">
        <is>
          <t>Alipata</t>
        </is>
      </c>
    </row>
    <row r="15760" spans="1:1">
      <c r="A15760" t="inlineStr">
        <is>
          <t>Asluman</t>
        </is>
      </c>
    </row>
    <row r="15761" spans="1:1">
      <c r="A15761" t="inlineStr">
        <is>
          <t>Bancal</t>
        </is>
      </c>
    </row>
    <row r="15762" spans="1:1">
      <c r="A15762" t="inlineStr">
        <is>
          <t>Barangcalan</t>
        </is>
      </c>
    </row>
    <row r="15763" spans="1:1">
      <c r="A15763" t="inlineStr">
        <is>
          <t>Barosbos</t>
        </is>
      </c>
    </row>
    <row r="15764" spans="1:1">
      <c r="A15764" t="inlineStr">
        <is>
          <t>Binuluangan</t>
        </is>
      </c>
    </row>
    <row r="15765" spans="1:1">
      <c r="A15765" t="inlineStr">
        <is>
          <t>Bito-on</t>
        </is>
      </c>
    </row>
    <row r="15766" spans="1:1">
      <c r="A15766" t="inlineStr">
        <is>
          <t>Bolo</t>
        </is>
      </c>
    </row>
    <row r="15767" spans="1:1">
      <c r="A15767" t="inlineStr">
        <is>
          <t>Buaya</t>
        </is>
      </c>
    </row>
    <row r="15768" spans="1:1">
      <c r="A15768" t="inlineStr">
        <is>
          <t>Buenavista</t>
        </is>
      </c>
    </row>
    <row r="15769" spans="1:1">
      <c r="A15769" t="inlineStr">
        <is>
          <t>Cabilao Grande</t>
        </is>
      </c>
    </row>
    <row r="15770" spans="1:1">
      <c r="A15770" t="inlineStr">
        <is>
          <t>Cabilao Pequeño</t>
        </is>
      </c>
    </row>
    <row r="15771" spans="1:1">
      <c r="A15771" t="inlineStr">
        <is>
          <t>Cabuguana</t>
        </is>
      </c>
    </row>
    <row r="15772" spans="1:1">
      <c r="A15772" t="inlineStr">
        <is>
          <t>Cawayan</t>
        </is>
      </c>
    </row>
    <row r="15773" spans="1:1">
      <c r="A15773" t="inlineStr">
        <is>
          <t>Dayhagan</t>
        </is>
      </c>
    </row>
    <row r="15774" spans="1:1">
      <c r="A15774" t="inlineStr">
        <is>
          <t>Gabi</t>
        </is>
      </c>
    </row>
    <row r="15775" spans="1:1">
      <c r="A15775" t="inlineStr">
        <is>
          <t>Granada</t>
        </is>
      </c>
    </row>
    <row r="15776" spans="1:1">
      <c r="A15776" t="inlineStr">
        <is>
          <t>Guinticgan</t>
        </is>
      </c>
    </row>
    <row r="15777" spans="1:1">
      <c r="A15777" t="inlineStr">
        <is>
          <t>Isla De Cana</t>
        </is>
      </c>
    </row>
    <row r="15778" spans="1:1">
      <c r="A15778" t="inlineStr">
        <is>
          <t>Lantangan</t>
        </is>
      </c>
    </row>
    <row r="15779" spans="1:1">
      <c r="A15779" t="inlineStr">
        <is>
          <t>Manlot</t>
        </is>
      </c>
    </row>
    <row r="15780" spans="1:1">
      <c r="A15780" t="inlineStr">
        <is>
          <t>Nalumsan</t>
        </is>
      </c>
    </row>
    <row r="15781" spans="1:1">
      <c r="A15781" t="inlineStr">
        <is>
          <t>Pantalan</t>
        </is>
      </c>
    </row>
    <row r="15782" spans="1:1">
      <c r="A15782" t="inlineStr">
        <is>
          <t>Poblacion</t>
        </is>
      </c>
    </row>
    <row r="15783" spans="1:1">
      <c r="A15783" t="inlineStr">
        <is>
          <t>Punta</t>
        </is>
      </c>
    </row>
    <row r="15784" spans="1:1">
      <c r="A15784" t="inlineStr">
        <is>
          <t>Punta Batuanan</t>
        </is>
      </c>
    </row>
    <row r="15785" spans="1:1">
      <c r="A15785" t="inlineStr">
        <is>
          <t>San Fernando</t>
        </is>
      </c>
    </row>
    <row r="15786" spans="1:1">
      <c r="A15786" t="inlineStr">
        <is>
          <t>Tabugon</t>
        </is>
      </c>
    </row>
    <row r="15787" spans="1:1">
      <c r="A15787" t="inlineStr">
        <is>
          <t>Talingting</t>
        </is>
      </c>
    </row>
    <row r="15788" spans="1:1">
      <c r="A15788" t="inlineStr">
        <is>
          <t>Tarong</t>
        </is>
      </c>
    </row>
    <row r="15789" spans="1:1">
      <c r="A15789" t="inlineStr">
        <is>
          <t>Tinigban</t>
        </is>
      </c>
    </row>
    <row r="15790" spans="1:1">
      <c r="A15790" t="inlineStr">
        <is>
          <t>Tupaz</t>
        </is>
      </c>
    </row>
    <row r="15791" spans="1:1">
      <c r="A15791" t="inlineStr">
        <is>
          <t>Agdahon</t>
        </is>
      </c>
    </row>
    <row r="15792" spans="1:1">
      <c r="A15792" t="inlineStr">
        <is>
          <t>Agdayao</t>
        </is>
      </c>
    </row>
    <row r="15793" spans="1:1">
      <c r="A15793" t="inlineStr">
        <is>
          <t>Aglalana</t>
        </is>
      </c>
    </row>
    <row r="15794" spans="1:1">
      <c r="A15794" t="inlineStr">
        <is>
          <t>Agtabo</t>
        </is>
      </c>
    </row>
    <row r="15795" spans="1:1">
      <c r="A15795" t="inlineStr">
        <is>
          <t>Agtambo</t>
        </is>
      </c>
    </row>
    <row r="15796" spans="1:1">
      <c r="A15796" t="inlineStr">
        <is>
          <t>Alimono</t>
        </is>
      </c>
    </row>
    <row r="15797" spans="1:1">
      <c r="A15797" t="inlineStr">
        <is>
          <t>Arac</t>
        </is>
      </c>
    </row>
    <row r="15798" spans="1:1">
      <c r="A15798" t="inlineStr">
        <is>
          <t>Ayuyan</t>
        </is>
      </c>
    </row>
    <row r="15799" spans="1:1">
      <c r="A15799" t="inlineStr">
        <is>
          <t>Bacuranan</t>
        </is>
      </c>
    </row>
    <row r="15800" spans="1:1">
      <c r="A15800" t="inlineStr">
        <is>
          <t>Bagacay</t>
        </is>
      </c>
    </row>
    <row r="15801" spans="1:1">
      <c r="A15801" t="inlineStr">
        <is>
          <t>Batu</t>
        </is>
      </c>
    </row>
    <row r="15802" spans="1:1">
      <c r="A15802" t="inlineStr">
        <is>
          <t>Bayan</t>
        </is>
      </c>
    </row>
    <row r="15803" spans="1:1">
      <c r="A15803" t="inlineStr">
        <is>
          <t>Bitaogan</t>
        </is>
      </c>
    </row>
    <row r="15804" spans="1:1">
      <c r="A15804" t="inlineStr">
        <is>
          <t>Buenavista</t>
        </is>
      </c>
    </row>
    <row r="15805" spans="1:1">
      <c r="A15805" t="inlineStr">
        <is>
          <t>Buyo</t>
        </is>
      </c>
    </row>
    <row r="15806" spans="1:1">
      <c r="A15806" t="inlineStr">
        <is>
          <t>Cabunga</t>
        </is>
      </c>
    </row>
    <row r="15807" spans="1:1">
      <c r="A15807" t="inlineStr">
        <is>
          <t>Cadilang</t>
        </is>
      </c>
    </row>
    <row r="15808" spans="1:1">
      <c r="A15808" t="inlineStr">
        <is>
          <t>Cairohan</t>
        </is>
      </c>
    </row>
    <row r="15809" spans="1:1">
      <c r="A15809" t="inlineStr">
        <is>
          <t>Dalicanan</t>
        </is>
      </c>
    </row>
    <row r="15810" spans="1:1">
      <c r="A15810" t="inlineStr">
        <is>
          <t>Gegachac</t>
        </is>
      </c>
    </row>
    <row r="15811" spans="1:1">
      <c r="A15811" t="inlineStr">
        <is>
          <t>Gemat-y</t>
        </is>
      </c>
    </row>
    <row r="15812" spans="1:1">
      <c r="A15812" t="inlineStr">
        <is>
          <t>Gemumua-agahon</t>
        </is>
      </c>
    </row>
    <row r="15813" spans="1:1">
      <c r="A15813" t="inlineStr">
        <is>
          <t>Gines Viejo</t>
        </is>
      </c>
    </row>
    <row r="15814" spans="1:1">
      <c r="A15814" t="inlineStr">
        <is>
          <t>Imbang Grande</t>
        </is>
      </c>
    </row>
    <row r="15815" spans="1:1">
      <c r="A15815" t="inlineStr">
        <is>
          <t>Jaguimitan</t>
        </is>
      </c>
    </row>
    <row r="15816" spans="1:1">
      <c r="A15816" t="inlineStr">
        <is>
          <t>Libo-o</t>
        </is>
      </c>
    </row>
    <row r="15817" spans="1:1">
      <c r="A15817" t="inlineStr">
        <is>
          <t>Maasin</t>
        </is>
      </c>
    </row>
    <row r="15818" spans="1:1">
      <c r="A15818" t="inlineStr">
        <is>
          <t>Magdungao</t>
        </is>
      </c>
    </row>
    <row r="15819" spans="1:1">
      <c r="A15819" t="inlineStr">
        <is>
          <t>Malag-it Grande</t>
        </is>
      </c>
    </row>
    <row r="15820" spans="1:1">
      <c r="A15820" t="inlineStr">
        <is>
          <t>Malag-it Pequeño</t>
        </is>
      </c>
    </row>
    <row r="15821" spans="1:1">
      <c r="A15821" t="inlineStr">
        <is>
          <t>Mambiranan Grande</t>
        </is>
      </c>
    </row>
    <row r="15822" spans="1:1">
      <c r="A15822" t="inlineStr">
        <is>
          <t>Mambiranan Pequeño</t>
        </is>
      </c>
    </row>
    <row r="15823" spans="1:1">
      <c r="A15823" t="inlineStr">
        <is>
          <t>Man-it</t>
        </is>
      </c>
    </row>
    <row r="15824" spans="1:1">
      <c r="A15824" t="inlineStr">
        <is>
          <t>Mantulang</t>
        </is>
      </c>
    </row>
    <row r="15825" spans="1:1">
      <c r="A15825" t="inlineStr">
        <is>
          <t>Mulapula</t>
        </is>
      </c>
    </row>
    <row r="15826" spans="1:1">
      <c r="A15826" t="inlineStr">
        <is>
          <t>Nueva Union</t>
        </is>
      </c>
    </row>
    <row r="15827" spans="1:1">
      <c r="A15827" t="inlineStr">
        <is>
          <t>Pagaypay</t>
        </is>
      </c>
    </row>
    <row r="15828" spans="1:1">
      <c r="A15828" t="inlineStr">
        <is>
          <t>Pangi</t>
        </is>
      </c>
    </row>
    <row r="15829" spans="1:1">
      <c r="A15829" t="inlineStr">
        <is>
          <t>Poblacion Ilawod</t>
        </is>
      </c>
    </row>
    <row r="15830" spans="1:1">
      <c r="A15830" t="inlineStr">
        <is>
          <t>Poblacion Ilaya</t>
        </is>
      </c>
    </row>
    <row r="15831" spans="1:1">
      <c r="A15831" t="inlineStr">
        <is>
          <t>Punong</t>
        </is>
      </c>
    </row>
    <row r="15832" spans="1:1">
      <c r="A15832" t="inlineStr">
        <is>
          <t>Quinagaringan Grande</t>
        </is>
      </c>
    </row>
    <row r="15833" spans="1:1">
      <c r="A15833" t="inlineStr">
        <is>
          <t>Quinagaringan Pequeño</t>
        </is>
      </c>
    </row>
    <row r="15834" spans="1:1">
      <c r="A15834" t="inlineStr">
        <is>
          <t>Sablogon</t>
        </is>
      </c>
    </row>
    <row r="15835" spans="1:1">
      <c r="A15835" t="inlineStr">
        <is>
          <t>Salngan</t>
        </is>
      </c>
    </row>
    <row r="15836" spans="1:1">
      <c r="A15836" t="inlineStr">
        <is>
          <t>Santo Tomas</t>
        </is>
      </c>
    </row>
    <row r="15837" spans="1:1">
      <c r="A15837" t="inlineStr">
        <is>
          <t>Sarapan</t>
        </is>
      </c>
    </row>
    <row r="15838" spans="1:1">
      <c r="A15838" t="inlineStr">
        <is>
          <t>Tagubong</t>
        </is>
      </c>
    </row>
    <row r="15839" spans="1:1">
      <c r="A15839" t="inlineStr">
        <is>
          <t>Talongonan</t>
        </is>
      </c>
    </row>
    <row r="15840" spans="1:1">
      <c r="A15840" t="inlineStr">
        <is>
          <t>Tubod</t>
        </is>
      </c>
    </row>
    <row r="15841" spans="1:1">
      <c r="A15841" t="inlineStr">
        <is>
          <t>Tuburan</t>
        </is>
      </c>
    </row>
    <row r="15842" spans="1:1">
      <c r="A15842" t="inlineStr">
        <is>
          <t>Aglosong</t>
        </is>
      </c>
    </row>
    <row r="15843" spans="1:1">
      <c r="A15843" t="inlineStr">
        <is>
          <t>Agnaga</t>
        </is>
      </c>
    </row>
    <row r="15844" spans="1:1">
      <c r="A15844" t="inlineStr">
        <is>
          <t>Bacjawan Norte</t>
        </is>
      </c>
    </row>
    <row r="15845" spans="1:1">
      <c r="A15845" t="inlineStr">
        <is>
          <t>Bacjawan Sur</t>
        </is>
      </c>
    </row>
    <row r="15846" spans="1:1">
      <c r="A15846" t="inlineStr">
        <is>
          <t>Bagongon</t>
        </is>
      </c>
    </row>
    <row r="15847" spans="1:1">
      <c r="A15847" t="inlineStr">
        <is>
          <t>Batiti</t>
        </is>
      </c>
    </row>
    <row r="15848" spans="1:1">
      <c r="A15848" t="inlineStr">
        <is>
          <t>Botlog</t>
        </is>
      </c>
    </row>
    <row r="15849" spans="1:1">
      <c r="A15849" t="inlineStr">
        <is>
          <t>Calamigan</t>
        </is>
      </c>
    </row>
    <row r="15850" spans="1:1">
      <c r="A15850" t="inlineStr">
        <is>
          <t>Dungon</t>
        </is>
      </c>
    </row>
    <row r="15851" spans="1:1">
      <c r="A15851" t="inlineStr">
        <is>
          <t>Igbon</t>
        </is>
      </c>
    </row>
    <row r="15852" spans="1:1">
      <c r="A15852" t="inlineStr">
        <is>
          <t>Jamul-Awon</t>
        </is>
      </c>
    </row>
    <row r="15853" spans="1:1">
      <c r="A15853" t="inlineStr">
        <is>
          <t>Lo-ong</t>
        </is>
      </c>
    </row>
    <row r="15854" spans="1:1">
      <c r="A15854" t="inlineStr">
        <is>
          <t>Macalbang</t>
        </is>
      </c>
    </row>
    <row r="15855" spans="1:1">
      <c r="A15855" t="inlineStr">
        <is>
          <t>Macatunao</t>
        </is>
      </c>
    </row>
    <row r="15856" spans="1:1">
      <c r="A15856" t="inlineStr">
        <is>
          <t>Malangabang</t>
        </is>
      </c>
    </row>
    <row r="15857" spans="1:1">
      <c r="A15857" t="inlineStr">
        <is>
          <t>Maliogliog</t>
        </is>
      </c>
    </row>
    <row r="15858" spans="1:1">
      <c r="A15858" t="inlineStr">
        <is>
          <t>Nipa</t>
        </is>
      </c>
    </row>
    <row r="15859" spans="1:1">
      <c r="A15859" t="inlineStr">
        <is>
          <t>Niño</t>
        </is>
      </c>
    </row>
    <row r="15860" spans="1:1">
      <c r="A15860" t="inlineStr">
        <is>
          <t>Plandico</t>
        </is>
      </c>
    </row>
    <row r="15861" spans="1:1">
      <c r="A15861" t="inlineStr">
        <is>
          <t>Poblacion</t>
        </is>
      </c>
    </row>
    <row r="15862" spans="1:1">
      <c r="A15862" t="inlineStr">
        <is>
          <t>Polopina</t>
        </is>
      </c>
    </row>
    <row r="15863" spans="1:1">
      <c r="A15863" t="inlineStr">
        <is>
          <t>Salvacion</t>
        </is>
      </c>
    </row>
    <row r="15864" spans="1:1">
      <c r="A15864" t="inlineStr">
        <is>
          <t>Talotu-an</t>
        </is>
      </c>
    </row>
    <row r="15865" spans="1:1">
      <c r="A15865" t="inlineStr">
        <is>
          <t>Tambaliza</t>
        </is>
      </c>
    </row>
    <row r="15866" spans="1:1">
      <c r="A15866" t="inlineStr">
        <is>
          <t>Tamis-ac</t>
        </is>
      </c>
    </row>
    <row r="15867" spans="1:1">
      <c r="A15867" t="inlineStr">
        <is>
          <t>Abangay</t>
        </is>
      </c>
    </row>
    <row r="15868" spans="1:1">
      <c r="A15868" t="inlineStr">
        <is>
          <t>Agsalanan</t>
        </is>
      </c>
    </row>
    <row r="15869" spans="1:1">
      <c r="A15869" t="inlineStr">
        <is>
          <t>Agtatacay</t>
        </is>
      </c>
    </row>
    <row r="15870" spans="1:1">
      <c r="A15870" t="inlineStr">
        <is>
          <t>Alegria</t>
        </is>
      </c>
    </row>
    <row r="15871" spans="1:1">
      <c r="A15871" t="inlineStr">
        <is>
          <t>Bongloy</t>
        </is>
      </c>
    </row>
    <row r="15872" spans="1:1">
      <c r="A15872" t="inlineStr">
        <is>
          <t>Buenavista</t>
        </is>
      </c>
    </row>
    <row r="15873" spans="1:1">
      <c r="A15873" t="inlineStr">
        <is>
          <t>Caguyuman</t>
        </is>
      </c>
    </row>
    <row r="15874" spans="1:1">
      <c r="A15874" t="inlineStr">
        <is>
          <t>Calicuang</t>
        </is>
      </c>
    </row>
    <row r="15875" spans="1:1">
      <c r="A15875" t="inlineStr">
        <is>
          <t>Camambugan</t>
        </is>
      </c>
    </row>
    <row r="15876" spans="1:1">
      <c r="A15876" t="inlineStr">
        <is>
          <t>Dawis</t>
        </is>
      </c>
    </row>
    <row r="15877" spans="1:1">
      <c r="A15877" t="inlineStr">
        <is>
          <t>Ginalinan Nuevo</t>
        </is>
      </c>
    </row>
    <row r="15878" spans="1:1">
      <c r="A15878" t="inlineStr">
        <is>
          <t>Ginalinan Viejo</t>
        </is>
      </c>
    </row>
    <row r="15879" spans="1:1">
      <c r="A15879" t="inlineStr">
        <is>
          <t>Gutao</t>
        </is>
      </c>
    </row>
    <row r="15880" spans="1:1">
      <c r="A15880" t="inlineStr">
        <is>
          <t>Ilajas</t>
        </is>
      </c>
    </row>
    <row r="15881" spans="1:1">
      <c r="A15881" t="inlineStr">
        <is>
          <t>Libo-o</t>
        </is>
      </c>
    </row>
    <row r="15882" spans="1:1">
      <c r="A15882" t="inlineStr">
        <is>
          <t>Licu-an</t>
        </is>
      </c>
    </row>
    <row r="15883" spans="1:1">
      <c r="A15883" t="inlineStr">
        <is>
          <t>Lincud</t>
        </is>
      </c>
    </row>
    <row r="15884" spans="1:1">
      <c r="A15884" t="inlineStr">
        <is>
          <t>Matangharon</t>
        </is>
      </c>
    </row>
    <row r="15885" spans="1:1">
      <c r="A15885" t="inlineStr">
        <is>
          <t>Moroboro</t>
        </is>
      </c>
    </row>
    <row r="15886" spans="1:1">
      <c r="A15886" t="inlineStr">
        <is>
          <t>Namatay</t>
        </is>
      </c>
    </row>
    <row r="15887" spans="1:1">
      <c r="A15887" t="inlineStr">
        <is>
          <t>Nazuni</t>
        </is>
      </c>
    </row>
    <row r="15888" spans="1:1">
      <c r="A15888" t="inlineStr">
        <is>
          <t>Pandan</t>
        </is>
      </c>
    </row>
    <row r="15889" spans="1:1">
      <c r="A15889" t="inlineStr">
        <is>
          <t>Poblacion</t>
        </is>
      </c>
    </row>
    <row r="15890" spans="1:1">
      <c r="A15890" t="inlineStr">
        <is>
          <t>Potolan</t>
        </is>
      </c>
    </row>
    <row r="15891" spans="1:1">
      <c r="A15891" t="inlineStr">
        <is>
          <t>San Jose</t>
        </is>
      </c>
    </row>
    <row r="15892" spans="1:1">
      <c r="A15892" t="inlineStr">
        <is>
          <t>San Matias</t>
        </is>
      </c>
    </row>
    <row r="15893" spans="1:1">
      <c r="A15893" t="inlineStr">
        <is>
          <t>Siniba-an</t>
        </is>
      </c>
    </row>
    <row r="15894" spans="1:1">
      <c r="A15894" t="inlineStr">
        <is>
          <t>Tabugon</t>
        </is>
      </c>
    </row>
    <row r="15895" spans="1:1">
      <c r="A15895" t="inlineStr">
        <is>
          <t>Tambunac</t>
        </is>
      </c>
    </row>
    <row r="15896" spans="1:1">
      <c r="A15896" t="inlineStr">
        <is>
          <t>Tanghawan</t>
        </is>
      </c>
    </row>
    <row r="15897" spans="1:1">
      <c r="A15897" t="inlineStr">
        <is>
          <t>Tiguib</t>
        </is>
      </c>
    </row>
    <row r="15898" spans="1:1">
      <c r="A15898" t="inlineStr">
        <is>
          <t>Tinocuan</t>
        </is>
      </c>
    </row>
    <row r="15899" spans="1:1">
      <c r="A15899" t="inlineStr">
        <is>
          <t>Tulatula-an</t>
        </is>
      </c>
    </row>
    <row r="15900" spans="1:1">
      <c r="A15900" t="inlineStr">
        <is>
          <t>Agutayan</t>
        </is>
      </c>
    </row>
    <row r="15901" spans="1:1">
      <c r="A15901" t="inlineStr">
        <is>
          <t>Angare</t>
        </is>
      </c>
    </row>
    <row r="15902" spans="1:1">
      <c r="A15902" t="inlineStr">
        <is>
          <t>Anjawan</t>
        </is>
      </c>
    </row>
    <row r="15903" spans="1:1">
      <c r="A15903" t="inlineStr">
        <is>
          <t>Baac</t>
        </is>
      </c>
    </row>
    <row r="15904" spans="1:1">
      <c r="A15904" t="inlineStr">
        <is>
          <t>Bagongbong</t>
        </is>
      </c>
    </row>
    <row r="15905" spans="1:1">
      <c r="A15905" t="inlineStr">
        <is>
          <t>Balangigan</t>
        </is>
      </c>
    </row>
    <row r="15906" spans="1:1">
      <c r="A15906" t="inlineStr">
        <is>
          <t>Balingasag</t>
        </is>
      </c>
    </row>
    <row r="15907" spans="1:1">
      <c r="A15907" t="inlineStr">
        <is>
          <t>Banugan</t>
        </is>
      </c>
    </row>
    <row r="15908" spans="1:1">
      <c r="A15908" t="inlineStr">
        <is>
          <t>Batuan</t>
        </is>
      </c>
    </row>
    <row r="15909" spans="1:1">
      <c r="A15909" t="inlineStr">
        <is>
          <t>Bita</t>
        </is>
      </c>
    </row>
    <row r="15910" spans="1:1">
      <c r="A15910" t="inlineStr">
        <is>
          <t>Buenavista</t>
        </is>
      </c>
    </row>
    <row r="15911" spans="1:1">
      <c r="A15911" t="inlineStr">
        <is>
          <t>Bugtongan</t>
        </is>
      </c>
    </row>
    <row r="15912" spans="1:1">
      <c r="A15912" t="inlineStr">
        <is>
          <t>Cabudian</t>
        </is>
      </c>
    </row>
    <row r="15913" spans="1:1">
      <c r="A15913" t="inlineStr">
        <is>
          <t>Calaca-an</t>
        </is>
      </c>
    </row>
    <row r="15914" spans="1:1">
      <c r="A15914" t="inlineStr">
        <is>
          <t>Calang</t>
        </is>
      </c>
    </row>
    <row r="15915" spans="1:1">
      <c r="A15915" t="inlineStr">
        <is>
          <t>Calawinan</t>
        </is>
      </c>
    </row>
    <row r="15916" spans="1:1">
      <c r="A15916" t="inlineStr">
        <is>
          <t>Capaycapay</t>
        </is>
      </c>
    </row>
    <row r="15917" spans="1:1">
      <c r="A15917" t="inlineStr">
        <is>
          <t>Capuling</t>
        </is>
      </c>
    </row>
    <row r="15918" spans="1:1">
      <c r="A15918" t="inlineStr">
        <is>
          <t>Catig</t>
        </is>
      </c>
    </row>
    <row r="15919" spans="1:1">
      <c r="A15919" t="inlineStr">
        <is>
          <t>Dila-an</t>
        </is>
      </c>
    </row>
    <row r="15920" spans="1:1">
      <c r="A15920" t="inlineStr">
        <is>
          <t>Fundacion</t>
        </is>
      </c>
    </row>
    <row r="15921" spans="1:1">
      <c r="A15921" t="inlineStr">
        <is>
          <t>Inadlawan</t>
        </is>
      </c>
    </row>
    <row r="15922" spans="1:1">
      <c r="A15922" t="inlineStr">
        <is>
          <t>Jagdong</t>
        </is>
      </c>
    </row>
    <row r="15923" spans="1:1">
      <c r="A15923" t="inlineStr">
        <is>
          <t>Jaguimit</t>
        </is>
      </c>
    </row>
    <row r="15924" spans="1:1">
      <c r="A15924" t="inlineStr">
        <is>
          <t>Lacadon</t>
        </is>
      </c>
    </row>
    <row r="15925" spans="1:1">
      <c r="A15925" t="inlineStr">
        <is>
          <t>Luag</t>
        </is>
      </c>
    </row>
    <row r="15926" spans="1:1">
      <c r="A15926" t="inlineStr">
        <is>
          <t>Malusgod</t>
        </is>
      </c>
    </row>
    <row r="15927" spans="1:1">
      <c r="A15927" t="inlineStr">
        <is>
          <t>Maribuyong</t>
        </is>
      </c>
    </row>
    <row r="15928" spans="1:1">
      <c r="A15928" t="inlineStr">
        <is>
          <t>Minanga</t>
        </is>
      </c>
    </row>
    <row r="15929" spans="1:1">
      <c r="A15929" t="inlineStr">
        <is>
          <t>Monpon</t>
        </is>
      </c>
    </row>
    <row r="15930" spans="1:1">
      <c r="A15930" t="inlineStr">
        <is>
          <t>Navalas</t>
        </is>
      </c>
    </row>
    <row r="15931" spans="1:1">
      <c r="A15931" t="inlineStr">
        <is>
          <t>Pader</t>
        </is>
      </c>
    </row>
    <row r="15932" spans="1:1">
      <c r="A15932" t="inlineStr">
        <is>
          <t>Pandan</t>
        </is>
      </c>
    </row>
    <row r="15933" spans="1:1">
      <c r="A15933" t="inlineStr">
        <is>
          <t>Poblacion A</t>
        </is>
      </c>
    </row>
    <row r="15934" spans="1:1">
      <c r="A15934" t="inlineStr">
        <is>
          <t>Poblacion B</t>
        </is>
      </c>
    </row>
    <row r="15935" spans="1:1">
      <c r="A15935" t="inlineStr">
        <is>
          <t>Poblacion C</t>
        </is>
      </c>
    </row>
    <row r="15936" spans="1:1">
      <c r="A15936" t="inlineStr">
        <is>
          <t>Poblacion D</t>
        </is>
      </c>
    </row>
    <row r="15937" spans="1:1">
      <c r="A15937" t="inlineStr">
        <is>
          <t>Ponong Grande</t>
        </is>
      </c>
    </row>
    <row r="15938" spans="1:1">
      <c r="A15938" t="inlineStr">
        <is>
          <t>Ponong Pequeño</t>
        </is>
      </c>
    </row>
    <row r="15939" spans="1:1">
      <c r="A15939" t="inlineStr">
        <is>
          <t>Purog</t>
        </is>
      </c>
    </row>
    <row r="15940" spans="1:1">
      <c r="A15940" t="inlineStr">
        <is>
          <t>Romblon</t>
        </is>
      </c>
    </row>
    <row r="15941" spans="1:1">
      <c r="A15941" t="inlineStr">
        <is>
          <t>San Isidro</t>
        </is>
      </c>
    </row>
    <row r="15942" spans="1:1">
      <c r="A15942" t="inlineStr">
        <is>
          <t>Santo Niño</t>
        </is>
      </c>
    </row>
    <row r="15943" spans="1:1">
      <c r="A15943" t="inlineStr">
        <is>
          <t>Sawe</t>
        </is>
      </c>
    </row>
    <row r="15944" spans="1:1">
      <c r="A15944" t="inlineStr">
        <is>
          <t>Taminla</t>
        </is>
      </c>
    </row>
    <row r="15945" spans="1:1">
      <c r="A15945" t="inlineStr">
        <is>
          <t>Tinocuan</t>
        </is>
      </c>
    </row>
    <row r="15946" spans="1:1">
      <c r="A15946" t="inlineStr">
        <is>
          <t>Tipolo</t>
        </is>
      </c>
    </row>
    <row r="15947" spans="1:1">
      <c r="A15947" t="inlineStr">
        <is>
          <t>Aurora-del Pilar</t>
        </is>
      </c>
    </row>
    <row r="15948" spans="1:1">
      <c r="A15948" t="inlineStr">
        <is>
          <t>Bacay</t>
        </is>
      </c>
    </row>
    <row r="15949" spans="1:1">
      <c r="A15949" t="inlineStr">
        <is>
          <t>Bacong</t>
        </is>
      </c>
    </row>
    <row r="15950" spans="1:1">
      <c r="A15950" t="inlineStr">
        <is>
          <t>Balabag</t>
        </is>
      </c>
    </row>
    <row r="15951" spans="1:1">
      <c r="A15951" t="inlineStr">
        <is>
          <t>Balud</t>
        </is>
      </c>
    </row>
    <row r="15952" spans="1:1">
      <c r="A15952" t="inlineStr">
        <is>
          <t>Bantud</t>
        </is>
      </c>
    </row>
    <row r="15953" spans="1:1">
      <c r="A15953" t="inlineStr">
        <is>
          <t>Bantud Fabrica</t>
        </is>
      </c>
    </row>
    <row r="15954" spans="1:1">
      <c r="A15954" t="inlineStr">
        <is>
          <t>Baras</t>
        </is>
      </c>
    </row>
    <row r="15955" spans="1:1">
      <c r="A15955" t="inlineStr">
        <is>
          <t>Barasan</t>
        </is>
      </c>
    </row>
    <row r="15956" spans="1:1">
      <c r="A15956" t="inlineStr">
        <is>
          <t>Basa-Mabini Bonifacio</t>
        </is>
      </c>
    </row>
    <row r="15957" spans="1:1">
      <c r="A15957" t="inlineStr">
        <is>
          <t>Bolilao</t>
        </is>
      </c>
    </row>
    <row r="15958" spans="1:1">
      <c r="A15958" t="inlineStr">
        <is>
          <t>Buenaflor Embarkadero</t>
        </is>
      </c>
    </row>
    <row r="15959" spans="1:1">
      <c r="A15959" t="inlineStr">
        <is>
          <t>Burgos-Regidor</t>
        </is>
      </c>
    </row>
    <row r="15960" spans="1:1">
      <c r="A15960" t="inlineStr">
        <is>
          <t>Calao</t>
        </is>
      </c>
    </row>
    <row r="15961" spans="1:1">
      <c r="A15961" t="inlineStr">
        <is>
          <t>Cali</t>
        </is>
      </c>
    </row>
    <row r="15962" spans="1:1">
      <c r="A15962" t="inlineStr">
        <is>
          <t>Cansilayan</t>
        </is>
      </c>
    </row>
    <row r="15963" spans="1:1">
      <c r="A15963" t="inlineStr">
        <is>
          <t>Capaliz</t>
        </is>
      </c>
    </row>
    <row r="15964" spans="1:1">
      <c r="A15964" t="inlineStr">
        <is>
          <t>Cayos</t>
        </is>
      </c>
    </row>
    <row r="15965" spans="1:1">
      <c r="A15965" t="inlineStr">
        <is>
          <t>Compayan</t>
        </is>
      </c>
    </row>
    <row r="15966" spans="1:1">
      <c r="A15966" t="inlineStr">
        <is>
          <t>Dacutan</t>
        </is>
      </c>
    </row>
    <row r="15967" spans="1:1">
      <c r="A15967" t="inlineStr">
        <is>
          <t>Ermita</t>
        </is>
      </c>
    </row>
    <row r="15968" spans="1:1">
      <c r="A15968" t="inlineStr">
        <is>
          <t>Ilaya 1st</t>
        </is>
      </c>
    </row>
    <row r="15969" spans="1:1">
      <c r="A15969" t="inlineStr">
        <is>
          <t>Ilaya 2nd</t>
        </is>
      </c>
    </row>
    <row r="15970" spans="1:1">
      <c r="A15970" t="inlineStr">
        <is>
          <t>Ilaya 3rd</t>
        </is>
      </c>
    </row>
    <row r="15971" spans="1:1">
      <c r="A15971" t="inlineStr">
        <is>
          <t>Jardin</t>
        </is>
      </c>
    </row>
    <row r="15972" spans="1:1">
      <c r="A15972" t="inlineStr">
        <is>
          <t>Lacturan</t>
        </is>
      </c>
    </row>
    <row r="15973" spans="1:1">
      <c r="A15973" t="inlineStr">
        <is>
          <t>Lopez Jaena - Rizal</t>
        </is>
      </c>
    </row>
    <row r="15974" spans="1:1">
      <c r="A15974" t="inlineStr">
        <is>
          <t>Managuit</t>
        </is>
      </c>
    </row>
    <row r="15975" spans="1:1">
      <c r="A15975" t="inlineStr">
        <is>
          <t>Maquina</t>
        </is>
      </c>
    </row>
    <row r="15976" spans="1:1">
      <c r="A15976" t="inlineStr">
        <is>
          <t>Nanding Lopez</t>
        </is>
      </c>
    </row>
    <row r="15977" spans="1:1">
      <c r="A15977" t="inlineStr">
        <is>
          <t>Pagdugue</t>
        </is>
      </c>
    </row>
    <row r="15978" spans="1:1">
      <c r="A15978" t="inlineStr">
        <is>
          <t>Paloc Bigque</t>
        </is>
      </c>
    </row>
    <row r="15979" spans="1:1">
      <c r="A15979" t="inlineStr">
        <is>
          <t>Paloc Sool</t>
        </is>
      </c>
    </row>
    <row r="15980" spans="1:1">
      <c r="A15980" t="inlineStr">
        <is>
          <t>Patlad</t>
        </is>
      </c>
    </row>
    <row r="15981" spans="1:1">
      <c r="A15981" t="inlineStr">
        <is>
          <t>Pd Monfort North</t>
        </is>
      </c>
    </row>
    <row r="15982" spans="1:1">
      <c r="A15982" t="inlineStr">
        <is>
          <t>Pd Monfort South</t>
        </is>
      </c>
    </row>
    <row r="15983" spans="1:1">
      <c r="A15983" t="inlineStr">
        <is>
          <t>Pulao</t>
        </is>
      </c>
    </row>
    <row r="15984" spans="1:1">
      <c r="A15984" t="inlineStr">
        <is>
          <t>Rosario</t>
        </is>
      </c>
    </row>
    <row r="15985" spans="1:1">
      <c r="A15985" t="inlineStr">
        <is>
          <t>Sapao</t>
        </is>
      </c>
    </row>
    <row r="15986" spans="1:1">
      <c r="A15986" t="inlineStr">
        <is>
          <t>Sulangan</t>
        </is>
      </c>
    </row>
    <row r="15987" spans="1:1">
      <c r="A15987" t="inlineStr">
        <is>
          <t>Tabucan</t>
        </is>
      </c>
    </row>
    <row r="15988" spans="1:1">
      <c r="A15988" t="inlineStr">
        <is>
          <t>Talusan</t>
        </is>
      </c>
    </row>
    <row r="15989" spans="1:1">
      <c r="A15989" t="inlineStr">
        <is>
          <t>Tambobo</t>
        </is>
      </c>
    </row>
    <row r="15990" spans="1:1">
      <c r="A15990" t="inlineStr">
        <is>
          <t>Tamboilan</t>
        </is>
      </c>
    </row>
    <row r="15991" spans="1:1">
      <c r="A15991" t="inlineStr">
        <is>
          <t>Victorias</t>
        </is>
      </c>
    </row>
    <row r="15992" spans="1:1">
      <c r="A15992" t="inlineStr">
        <is>
          <t>Bayas</t>
        </is>
      </c>
    </row>
    <row r="15993" spans="1:1">
      <c r="A15993" t="inlineStr">
        <is>
          <t>Bayuyan</t>
        </is>
      </c>
    </row>
    <row r="15994" spans="1:1">
      <c r="A15994" t="inlineStr">
        <is>
          <t>Botongon</t>
        </is>
      </c>
    </row>
    <row r="15995" spans="1:1">
      <c r="A15995" t="inlineStr">
        <is>
          <t>Bulaqueña</t>
        </is>
      </c>
    </row>
    <row r="15996" spans="1:1">
      <c r="A15996" t="inlineStr">
        <is>
          <t>Calapdan</t>
        </is>
      </c>
    </row>
    <row r="15997" spans="1:1">
      <c r="A15997" t="inlineStr">
        <is>
          <t>Cano-an</t>
        </is>
      </c>
    </row>
    <row r="15998" spans="1:1">
      <c r="A15998" t="inlineStr">
        <is>
          <t>Daan Banua</t>
        </is>
      </c>
    </row>
    <row r="15999" spans="1:1">
      <c r="A15999" t="inlineStr">
        <is>
          <t>Daculan</t>
        </is>
      </c>
    </row>
    <row r="16000" spans="1:1">
      <c r="A16000" t="inlineStr">
        <is>
          <t>Gogo</t>
        </is>
      </c>
    </row>
    <row r="16001" spans="1:1">
      <c r="A16001" t="inlineStr">
        <is>
          <t>Jolog</t>
        </is>
      </c>
    </row>
    <row r="16002" spans="1:1">
      <c r="A16002" t="inlineStr">
        <is>
          <t>Loguingot</t>
        </is>
      </c>
    </row>
    <row r="16003" spans="1:1">
      <c r="A16003" t="inlineStr">
        <is>
          <t>Lonoy</t>
        </is>
      </c>
    </row>
    <row r="16004" spans="1:1">
      <c r="A16004" t="inlineStr">
        <is>
          <t>Lumbia</t>
        </is>
      </c>
    </row>
    <row r="16005" spans="1:1">
      <c r="A16005" t="inlineStr">
        <is>
          <t>Malbog</t>
        </is>
      </c>
    </row>
    <row r="16006" spans="1:1">
      <c r="A16006" t="inlineStr">
        <is>
          <t>Manipulon</t>
        </is>
      </c>
    </row>
    <row r="16007" spans="1:1">
      <c r="A16007" t="inlineStr">
        <is>
          <t>Pa-on</t>
        </is>
      </c>
    </row>
    <row r="16008" spans="1:1">
      <c r="A16008" t="inlineStr">
        <is>
          <t>Poblacion Zone 1</t>
        </is>
      </c>
    </row>
    <row r="16009" spans="1:1">
      <c r="A16009" t="inlineStr">
        <is>
          <t>Poblacion Zone II</t>
        </is>
      </c>
    </row>
    <row r="16010" spans="1:1">
      <c r="A16010" t="inlineStr">
        <is>
          <t>Poblacion Zone III</t>
        </is>
      </c>
    </row>
    <row r="16011" spans="1:1">
      <c r="A16011" t="inlineStr">
        <is>
          <t>San Roque</t>
        </is>
      </c>
    </row>
    <row r="16012" spans="1:1">
      <c r="A16012" t="inlineStr">
        <is>
          <t>Santa Ana</t>
        </is>
      </c>
    </row>
    <row r="16013" spans="1:1">
      <c r="A16013" t="inlineStr">
        <is>
          <t>Tabu-an</t>
        </is>
      </c>
    </row>
    <row r="16014" spans="1:1">
      <c r="A16014" t="inlineStr">
        <is>
          <t>Tacbuyan</t>
        </is>
      </c>
    </row>
    <row r="16015" spans="1:1">
      <c r="A16015" t="inlineStr">
        <is>
          <t>Tanza</t>
        </is>
      </c>
    </row>
    <row r="16016" spans="1:1">
      <c r="A16016" t="inlineStr">
        <is>
          <t>Villa Pani-an</t>
        </is>
      </c>
    </row>
    <row r="16017" spans="1:1">
      <c r="A16017" t="inlineStr">
        <is>
          <t>Anono-o</t>
        </is>
      </c>
    </row>
    <row r="16018" spans="1:1">
      <c r="A16018" t="inlineStr">
        <is>
          <t>Bacong</t>
        </is>
      </c>
    </row>
    <row r="16019" spans="1:1">
      <c r="A16019" t="inlineStr">
        <is>
          <t>Bagumbayan Pob.</t>
        </is>
      </c>
    </row>
    <row r="16020" spans="1:1">
      <c r="A16020" t="inlineStr">
        <is>
          <t>Balantad-Carlos Fruto</t>
        </is>
      </c>
    </row>
    <row r="16021" spans="1:1">
      <c r="A16021" t="inlineStr">
        <is>
          <t>Baras</t>
        </is>
      </c>
    </row>
    <row r="16022" spans="1:1">
      <c r="A16022" t="inlineStr">
        <is>
          <t>Binanua-an</t>
        </is>
      </c>
    </row>
    <row r="16023" spans="1:1">
      <c r="A16023" t="inlineStr">
        <is>
          <t>Bongol San Miguel</t>
        </is>
      </c>
    </row>
    <row r="16024" spans="1:1">
      <c r="A16024" t="inlineStr">
        <is>
          <t>Bongol San Vicente</t>
        </is>
      </c>
    </row>
    <row r="16025" spans="1:1">
      <c r="A16025" t="inlineStr">
        <is>
          <t>Bulad</t>
        </is>
      </c>
    </row>
    <row r="16026" spans="1:1">
      <c r="A16026" t="inlineStr">
        <is>
          <t>Buluangan</t>
        </is>
      </c>
    </row>
    <row r="16027" spans="1:1">
      <c r="A16027" t="inlineStr">
        <is>
          <t>Burgos-Gengos</t>
        </is>
      </c>
    </row>
    <row r="16028" spans="1:1">
      <c r="A16028" t="inlineStr">
        <is>
          <t>Cabasi</t>
        </is>
      </c>
    </row>
    <row r="16029" spans="1:1">
      <c r="A16029" t="inlineStr">
        <is>
          <t>Cabubugan</t>
        </is>
      </c>
    </row>
    <row r="16030" spans="1:1">
      <c r="A16030" t="inlineStr">
        <is>
          <t>Calampitao</t>
        </is>
      </c>
    </row>
    <row r="16031" spans="1:1">
      <c r="A16031" t="inlineStr">
        <is>
          <t>Camangahan</t>
        </is>
      </c>
    </row>
    <row r="16032" spans="1:1">
      <c r="A16032" t="inlineStr">
        <is>
          <t>Generosa-Cristobal Colon</t>
        </is>
      </c>
    </row>
    <row r="16033" spans="1:1">
      <c r="A16033" t="inlineStr">
        <is>
          <t>Gerona-Gimeno</t>
        </is>
      </c>
    </row>
    <row r="16034" spans="1:1">
      <c r="A16034" t="inlineStr">
        <is>
          <t>Girado-Magsaysay</t>
        </is>
      </c>
    </row>
    <row r="16035" spans="1:1">
      <c r="A16035" t="inlineStr">
        <is>
          <t>Gotera</t>
        </is>
      </c>
    </row>
    <row r="16036" spans="1:1">
      <c r="A16036" t="inlineStr">
        <is>
          <t>Igcocolo</t>
        </is>
      </c>
    </row>
    <row r="16037" spans="1:1">
      <c r="A16037" t="inlineStr">
        <is>
          <t>Iyasan</t>
        </is>
      </c>
    </row>
    <row r="16038" spans="1:1">
      <c r="A16038" t="inlineStr">
        <is>
          <t>Libo-on Gonzales</t>
        </is>
      </c>
    </row>
    <row r="16039" spans="1:1">
      <c r="A16039" t="inlineStr">
        <is>
          <t>Lubacan</t>
        </is>
      </c>
    </row>
    <row r="16040" spans="1:1">
      <c r="A16040" t="inlineStr">
        <is>
          <t>Nahapay</t>
        </is>
      </c>
    </row>
    <row r="16041" spans="1:1">
      <c r="A16041" t="inlineStr">
        <is>
          <t>Nalundan</t>
        </is>
      </c>
    </row>
    <row r="16042" spans="1:1">
      <c r="A16042" t="inlineStr">
        <is>
          <t>Nanga</t>
        </is>
      </c>
    </row>
    <row r="16043" spans="1:1">
      <c r="A16043" t="inlineStr">
        <is>
          <t>Nito-an Lupsag</t>
        </is>
      </c>
    </row>
    <row r="16044" spans="1:1">
      <c r="A16044" t="inlineStr">
        <is>
          <t>Particion</t>
        </is>
      </c>
    </row>
    <row r="16045" spans="1:1">
      <c r="A16045" t="inlineStr">
        <is>
          <t>Pescadores</t>
        </is>
      </c>
    </row>
    <row r="16046" spans="1:1">
      <c r="A16046" t="inlineStr">
        <is>
          <t>Rizal-Tuguisan</t>
        </is>
      </c>
    </row>
    <row r="16047" spans="1:1">
      <c r="A16047" t="inlineStr">
        <is>
          <t>Santa Rosa-Laguna</t>
        </is>
      </c>
    </row>
    <row r="16048" spans="1:1">
      <c r="A16048" t="inlineStr">
        <is>
          <t>Sipitan-Badiang</t>
        </is>
      </c>
    </row>
    <row r="16049" spans="1:1">
      <c r="A16049" t="inlineStr">
        <is>
          <t>Torreblanca-Blumentritt</t>
        </is>
      </c>
    </row>
    <row r="16050" spans="1:1">
      <c r="A16050" t="inlineStr">
        <is>
          <t>Alameda</t>
        </is>
      </c>
    </row>
    <row r="16051" spans="1:1">
      <c r="A16051" t="inlineStr">
        <is>
          <t>Amorogtong</t>
        </is>
      </c>
    </row>
    <row r="16052" spans="1:1">
      <c r="A16052" t="inlineStr">
        <is>
          <t>Anilawan</t>
        </is>
      </c>
    </row>
    <row r="16053" spans="1:1">
      <c r="A16053" t="inlineStr">
        <is>
          <t>Bagacay</t>
        </is>
      </c>
    </row>
    <row r="16054" spans="1:1">
      <c r="A16054" t="inlineStr">
        <is>
          <t>Bagacayan</t>
        </is>
      </c>
    </row>
    <row r="16055" spans="1:1">
      <c r="A16055" t="inlineStr">
        <is>
          <t>Bagay</t>
        </is>
      </c>
    </row>
    <row r="16056" spans="1:1">
      <c r="A16056" t="inlineStr">
        <is>
          <t>Balibagan</t>
        </is>
      </c>
    </row>
    <row r="16057" spans="1:1">
      <c r="A16057" t="inlineStr">
        <is>
          <t>Barangay 1 Poblacion</t>
        </is>
      </c>
    </row>
    <row r="16058" spans="1:1">
      <c r="A16058" t="inlineStr">
        <is>
          <t>Barangay 2 Poblacion</t>
        </is>
      </c>
    </row>
    <row r="16059" spans="1:1">
      <c r="A16059" t="inlineStr">
        <is>
          <t>Barangay 3 Poblacion</t>
        </is>
      </c>
    </row>
    <row r="16060" spans="1:1">
      <c r="A16060" t="inlineStr">
        <is>
          <t>Barangay 4 Poblacion</t>
        </is>
      </c>
    </row>
    <row r="16061" spans="1:1">
      <c r="A16061" t="inlineStr">
        <is>
          <t>Barangay 5 Poblacion</t>
        </is>
      </c>
    </row>
    <row r="16062" spans="1:1">
      <c r="A16062" t="inlineStr">
        <is>
          <t>Barangay 6 Poblacion</t>
        </is>
      </c>
    </row>
    <row r="16063" spans="1:1">
      <c r="A16063" t="inlineStr">
        <is>
          <t>Barasan</t>
        </is>
      </c>
    </row>
    <row r="16064" spans="1:1">
      <c r="A16064" t="inlineStr">
        <is>
          <t>Binanua-an</t>
        </is>
      </c>
    </row>
    <row r="16065" spans="1:1">
      <c r="A16065" t="inlineStr">
        <is>
          <t>Boclod</t>
        </is>
      </c>
    </row>
    <row r="16066" spans="1:1">
      <c r="A16066" t="inlineStr">
        <is>
          <t>Buenavista</t>
        </is>
      </c>
    </row>
    <row r="16067" spans="1:1">
      <c r="A16067" t="inlineStr">
        <is>
          <t>Buga</t>
        </is>
      </c>
    </row>
    <row r="16068" spans="1:1">
      <c r="A16068" t="inlineStr">
        <is>
          <t>Bugnay</t>
        </is>
      </c>
    </row>
    <row r="16069" spans="1:1">
      <c r="A16069" t="inlineStr">
        <is>
          <t>Calampitao</t>
        </is>
      </c>
    </row>
    <row r="16070" spans="1:1">
      <c r="A16070" t="inlineStr">
        <is>
          <t>Cale</t>
        </is>
      </c>
    </row>
    <row r="16071" spans="1:1">
      <c r="A16071" t="inlineStr">
        <is>
          <t>Catiringan</t>
        </is>
      </c>
    </row>
    <row r="16072" spans="1:1">
      <c r="A16072" t="inlineStr">
        <is>
          <t>Corucuan</t>
        </is>
      </c>
    </row>
    <row r="16073" spans="1:1">
      <c r="A16073" t="inlineStr">
        <is>
          <t>Igcabugao</t>
        </is>
      </c>
    </row>
    <row r="16074" spans="1:1">
      <c r="A16074" t="inlineStr">
        <is>
          <t>Igpigus</t>
        </is>
      </c>
    </row>
    <row r="16075" spans="1:1">
      <c r="A16075" t="inlineStr">
        <is>
          <t>Igtalongon</t>
        </is>
      </c>
    </row>
    <row r="16076" spans="1:1">
      <c r="A16076" t="inlineStr">
        <is>
          <t>Indaluyon</t>
        </is>
      </c>
    </row>
    <row r="16077" spans="1:1">
      <c r="A16077" t="inlineStr">
        <is>
          <t>Jovellar</t>
        </is>
      </c>
    </row>
    <row r="16078" spans="1:1">
      <c r="A16078" t="inlineStr">
        <is>
          <t>Kinagdan</t>
        </is>
      </c>
    </row>
    <row r="16079" spans="1:1">
      <c r="A16079" t="inlineStr">
        <is>
          <t>Lab-on</t>
        </is>
      </c>
    </row>
    <row r="16080" spans="1:1">
      <c r="A16080" t="inlineStr">
        <is>
          <t>Lacay Dol-Dol</t>
        </is>
      </c>
    </row>
    <row r="16081" spans="1:1">
      <c r="A16081" t="inlineStr">
        <is>
          <t>Lumangan</t>
        </is>
      </c>
    </row>
    <row r="16082" spans="1:1">
      <c r="A16082" t="inlineStr">
        <is>
          <t>Lutungan</t>
        </is>
      </c>
    </row>
    <row r="16083" spans="1:1">
      <c r="A16083" t="inlineStr">
        <is>
          <t>Mantangon</t>
        </is>
      </c>
    </row>
    <row r="16084" spans="1:1">
      <c r="A16084" t="inlineStr">
        <is>
          <t>Mulangan</t>
        </is>
      </c>
    </row>
    <row r="16085" spans="1:1">
      <c r="A16085" t="inlineStr">
        <is>
          <t>Pasong</t>
        </is>
      </c>
    </row>
    <row r="16086" spans="1:1">
      <c r="A16086" t="inlineStr">
        <is>
          <t>Passi</t>
        </is>
      </c>
    </row>
    <row r="16087" spans="1:1">
      <c r="A16087" t="inlineStr">
        <is>
          <t>Pinaopawan</t>
        </is>
      </c>
    </row>
    <row r="16088" spans="1:1">
      <c r="A16088" t="inlineStr">
        <is>
          <t>Riro-an</t>
        </is>
      </c>
    </row>
    <row r="16089" spans="1:1">
      <c r="A16089" t="inlineStr">
        <is>
          <t>San Ambrosio</t>
        </is>
      </c>
    </row>
    <row r="16090" spans="1:1">
      <c r="A16090" t="inlineStr">
        <is>
          <t>Santa Barbara</t>
        </is>
      </c>
    </row>
    <row r="16091" spans="1:1">
      <c r="A16091" t="inlineStr">
        <is>
          <t>Signe</t>
        </is>
      </c>
    </row>
    <row r="16092" spans="1:1">
      <c r="A16092" t="inlineStr">
        <is>
          <t>Tabiac</t>
        </is>
      </c>
    </row>
    <row r="16093" spans="1:1">
      <c r="A16093" t="inlineStr">
        <is>
          <t>Talayatay</t>
        </is>
      </c>
    </row>
    <row r="16094" spans="1:1">
      <c r="A16094" t="inlineStr">
        <is>
          <t>Taytay</t>
        </is>
      </c>
    </row>
    <row r="16095" spans="1:1">
      <c r="A16095" t="inlineStr">
        <is>
          <t>Tigbanaba</t>
        </is>
      </c>
    </row>
    <row r="16096" spans="1:1">
      <c r="A16096" t="inlineStr">
        <is>
          <t>Abangay</t>
        </is>
      </c>
    </row>
    <row r="16097" spans="1:1">
      <c r="A16097" t="inlineStr">
        <is>
          <t>Agcarope</t>
        </is>
      </c>
    </row>
    <row r="16098" spans="1:1">
      <c r="A16098" t="inlineStr">
        <is>
          <t>Aglobong</t>
        </is>
      </c>
    </row>
    <row r="16099" spans="1:1">
      <c r="A16099" t="inlineStr">
        <is>
          <t>Aguingay</t>
        </is>
      </c>
    </row>
    <row r="16100" spans="1:1">
      <c r="A16100" t="inlineStr">
        <is>
          <t>Anhawan</t>
        </is>
      </c>
    </row>
    <row r="16101" spans="1:1">
      <c r="A16101" t="inlineStr">
        <is>
          <t>Aquino Nobleza East</t>
        </is>
      </c>
    </row>
    <row r="16102" spans="1:1">
      <c r="A16102" t="inlineStr">
        <is>
          <t>Aquino Nobleza West</t>
        </is>
      </c>
    </row>
    <row r="16103" spans="1:1">
      <c r="A16103" t="inlineStr">
        <is>
          <t>Atimonan</t>
        </is>
      </c>
    </row>
    <row r="16104" spans="1:1">
      <c r="A16104" t="inlineStr">
        <is>
          <t>Balanac</t>
        </is>
      </c>
    </row>
    <row r="16105" spans="1:1">
      <c r="A16105" t="inlineStr">
        <is>
          <t>Barasalon</t>
        </is>
      </c>
    </row>
    <row r="16106" spans="1:1">
      <c r="A16106" t="inlineStr">
        <is>
          <t>Bongol</t>
        </is>
      </c>
    </row>
    <row r="16107" spans="1:1">
      <c r="A16107" t="inlineStr">
        <is>
          <t>Cabantog</t>
        </is>
      </c>
    </row>
    <row r="16108" spans="1:1">
      <c r="A16108" t="inlineStr">
        <is>
          <t>Calmay</t>
        </is>
      </c>
    </row>
    <row r="16109" spans="1:1">
      <c r="A16109" t="inlineStr">
        <is>
          <t>Canawili</t>
        </is>
      </c>
    </row>
    <row r="16110" spans="1:1">
      <c r="A16110" t="inlineStr">
        <is>
          <t>Canawillian</t>
        </is>
      </c>
    </row>
    <row r="16111" spans="1:1">
      <c r="A16111" t="inlineStr">
        <is>
          <t>Capt. A. Tirador</t>
        </is>
      </c>
    </row>
    <row r="16112" spans="1:1">
      <c r="A16112" t="inlineStr">
        <is>
          <t>Caranas</t>
        </is>
      </c>
    </row>
    <row r="16113" spans="1:1">
      <c r="A16113" t="inlineStr">
        <is>
          <t>Caraudan</t>
        </is>
      </c>
    </row>
    <row r="16114" spans="1:1">
      <c r="A16114" t="inlineStr">
        <is>
          <t>Carigangan</t>
        </is>
      </c>
    </row>
    <row r="16115" spans="1:1">
      <c r="A16115" t="inlineStr">
        <is>
          <t>Concepcion Pob.</t>
        </is>
      </c>
    </row>
    <row r="16116" spans="1:1">
      <c r="A16116" t="inlineStr">
        <is>
          <t>Crispin Salazar North</t>
        </is>
      </c>
    </row>
    <row r="16117" spans="1:1">
      <c r="A16117" t="inlineStr">
        <is>
          <t>Crispin Salazar South</t>
        </is>
      </c>
    </row>
    <row r="16118" spans="1:1">
      <c r="A16118" t="inlineStr">
        <is>
          <t>Cunsad</t>
        </is>
      </c>
    </row>
    <row r="16119" spans="1:1">
      <c r="A16119" t="inlineStr">
        <is>
          <t>Dabong</t>
        </is>
      </c>
    </row>
    <row r="16120" spans="1:1">
      <c r="A16120" t="inlineStr">
        <is>
          <t>Damires</t>
        </is>
      </c>
    </row>
    <row r="16121" spans="1:1">
      <c r="A16121" t="inlineStr">
        <is>
          <t>Damo-ong</t>
        </is>
      </c>
    </row>
    <row r="16122" spans="1:1">
      <c r="A16122" t="inlineStr">
        <is>
          <t>Danao</t>
        </is>
      </c>
    </row>
    <row r="16123" spans="1:1">
      <c r="A16123" t="inlineStr">
        <is>
          <t>Don T. Lutero Center</t>
        </is>
      </c>
    </row>
    <row r="16124" spans="1:1">
      <c r="A16124" t="inlineStr">
        <is>
          <t>Don T. Lutero East</t>
        </is>
      </c>
    </row>
    <row r="16125" spans="1:1">
      <c r="A16125" t="inlineStr">
        <is>
          <t>Don T. Lutero West Pob.</t>
        </is>
      </c>
    </row>
    <row r="16126" spans="1:1">
      <c r="A16126" t="inlineStr">
        <is>
          <t>Gines</t>
        </is>
      </c>
    </row>
    <row r="16127" spans="1:1">
      <c r="A16127" t="inlineStr">
        <is>
          <t>Golgota</t>
        </is>
      </c>
    </row>
    <row r="16128" spans="1:1">
      <c r="A16128" t="inlineStr">
        <is>
          <t>Guadalupe</t>
        </is>
      </c>
    </row>
    <row r="16129" spans="1:1">
      <c r="A16129" t="inlineStr">
        <is>
          <t>Jibolo</t>
        </is>
      </c>
    </row>
    <row r="16130" spans="1:1">
      <c r="A16130" t="inlineStr">
        <is>
          <t>Kuyot</t>
        </is>
      </c>
    </row>
    <row r="16131" spans="1:1">
      <c r="A16131" t="inlineStr">
        <is>
          <t>Locsin</t>
        </is>
      </c>
    </row>
    <row r="16132" spans="1:1">
      <c r="A16132" t="inlineStr">
        <is>
          <t>Madong</t>
        </is>
      </c>
    </row>
    <row r="16133" spans="1:1">
      <c r="A16133" t="inlineStr">
        <is>
          <t>Manacabac</t>
        </is>
      </c>
    </row>
    <row r="16134" spans="1:1">
      <c r="A16134" t="inlineStr">
        <is>
          <t>Mangil</t>
        </is>
      </c>
    </row>
    <row r="16135" spans="1:1">
      <c r="A16135" t="inlineStr">
        <is>
          <t>Matag-ub</t>
        </is>
      </c>
    </row>
    <row r="16136" spans="1:1">
      <c r="A16136" t="inlineStr">
        <is>
          <t>Monte-Magapa</t>
        </is>
      </c>
    </row>
    <row r="16137" spans="1:1">
      <c r="A16137" t="inlineStr">
        <is>
          <t>Pangilihan</t>
        </is>
      </c>
    </row>
    <row r="16138" spans="1:1">
      <c r="A16138" t="inlineStr">
        <is>
          <t>Panuran</t>
        </is>
      </c>
    </row>
    <row r="16139" spans="1:1">
      <c r="A16139" t="inlineStr">
        <is>
          <t>Pararinga</t>
        </is>
      </c>
    </row>
    <row r="16140" spans="1:1">
      <c r="A16140" t="inlineStr">
        <is>
          <t>Patong-patong</t>
        </is>
      </c>
    </row>
    <row r="16141" spans="1:1">
      <c r="A16141" t="inlineStr">
        <is>
          <t>Quipot</t>
        </is>
      </c>
    </row>
    <row r="16142" spans="1:1">
      <c r="A16142" t="inlineStr">
        <is>
          <t>R. Armada</t>
        </is>
      </c>
    </row>
    <row r="16143" spans="1:1">
      <c r="A16143" t="inlineStr">
        <is>
          <t>S. M. Villa</t>
        </is>
      </c>
    </row>
    <row r="16144" spans="1:1">
      <c r="A16144" t="inlineStr">
        <is>
          <t>San Julian</t>
        </is>
      </c>
    </row>
    <row r="16145" spans="1:1">
      <c r="A16145" t="inlineStr">
        <is>
          <t>San Pedro</t>
        </is>
      </c>
    </row>
    <row r="16146" spans="1:1">
      <c r="A16146" t="inlineStr">
        <is>
          <t>Santa Rita</t>
        </is>
      </c>
    </row>
    <row r="16147" spans="1:1">
      <c r="A16147" t="inlineStr">
        <is>
          <t>Santo Tomas</t>
        </is>
      </c>
    </row>
    <row r="16148" spans="1:1">
      <c r="A16148" t="inlineStr">
        <is>
          <t>Sarawag</t>
        </is>
      </c>
    </row>
    <row r="16149" spans="1:1">
      <c r="A16149" t="inlineStr">
        <is>
          <t>Tambal</t>
        </is>
      </c>
    </row>
    <row r="16150" spans="1:1">
      <c r="A16150" t="inlineStr">
        <is>
          <t>Tamu-an</t>
        </is>
      </c>
    </row>
    <row r="16151" spans="1:1">
      <c r="A16151" t="inlineStr">
        <is>
          <t>Tiringanan</t>
        </is>
      </c>
    </row>
    <row r="16152" spans="1:1">
      <c r="A16152" t="inlineStr">
        <is>
          <t>Tolarucan</t>
        </is>
      </c>
    </row>
    <row r="16153" spans="1:1">
      <c r="A16153" t="inlineStr">
        <is>
          <t>Tuburan</t>
        </is>
      </c>
    </row>
    <row r="16154" spans="1:1">
      <c r="A16154" t="inlineStr">
        <is>
          <t>Ubian</t>
        </is>
      </c>
    </row>
    <row r="16155" spans="1:1">
      <c r="A16155" t="inlineStr">
        <is>
          <t>Yabon</t>
        </is>
      </c>
    </row>
    <row r="16156" spans="1:1">
      <c r="A16156" t="inlineStr">
        <is>
          <t>Agsirab</t>
        </is>
      </c>
    </row>
    <row r="16157" spans="1:1">
      <c r="A16157" t="inlineStr">
        <is>
          <t>Agtuman</t>
        </is>
      </c>
    </row>
    <row r="16158" spans="1:1">
      <c r="A16158" t="inlineStr">
        <is>
          <t>Alugmawa</t>
        </is>
      </c>
    </row>
    <row r="16159" spans="1:1">
      <c r="A16159" t="inlineStr">
        <is>
          <t>Badiangan</t>
        </is>
      </c>
    </row>
    <row r="16160" spans="1:1">
      <c r="A16160" t="inlineStr">
        <is>
          <t>Bagongbong</t>
        </is>
      </c>
    </row>
    <row r="16161" spans="1:1">
      <c r="A16161" t="inlineStr">
        <is>
          <t>Balagiao</t>
        </is>
      </c>
    </row>
    <row r="16162" spans="1:1">
      <c r="A16162" t="inlineStr">
        <is>
          <t>Banban</t>
        </is>
      </c>
    </row>
    <row r="16163" spans="1:1">
      <c r="A16163" t="inlineStr">
        <is>
          <t>Bansag</t>
        </is>
      </c>
    </row>
    <row r="16164" spans="1:1">
      <c r="A16164" t="inlineStr">
        <is>
          <t>Bayuco</t>
        </is>
      </c>
    </row>
    <row r="16165" spans="1:1">
      <c r="A16165" t="inlineStr">
        <is>
          <t>Binaba-an Armada</t>
        </is>
      </c>
    </row>
    <row r="16166" spans="1:1">
      <c r="A16166" t="inlineStr">
        <is>
          <t>Binaba-an Labayno</t>
        </is>
      </c>
    </row>
    <row r="16167" spans="1:1">
      <c r="A16167" t="inlineStr">
        <is>
          <t>Binaba-an Limoso</t>
        </is>
      </c>
    </row>
    <row r="16168" spans="1:1">
      <c r="A16168" t="inlineStr">
        <is>
          <t>Binaba-an Portigo</t>
        </is>
      </c>
    </row>
    <row r="16169" spans="1:1">
      <c r="A16169" t="inlineStr">
        <is>
          <t>Binaba-an Tirador</t>
        </is>
      </c>
    </row>
    <row r="16170" spans="1:1">
      <c r="A16170" t="inlineStr">
        <is>
          <t>Bonbon</t>
        </is>
      </c>
    </row>
    <row r="16171" spans="1:1">
      <c r="A16171" t="inlineStr">
        <is>
          <t>Bontoc</t>
        </is>
      </c>
    </row>
    <row r="16172" spans="1:1">
      <c r="A16172" t="inlineStr">
        <is>
          <t>Buri</t>
        </is>
      </c>
    </row>
    <row r="16173" spans="1:1">
      <c r="A16173" t="inlineStr">
        <is>
          <t>Burirao</t>
        </is>
      </c>
    </row>
    <row r="16174" spans="1:1">
      <c r="A16174" t="inlineStr">
        <is>
          <t>Buwang</t>
        </is>
      </c>
    </row>
    <row r="16175" spans="1:1">
      <c r="A16175" t="inlineStr">
        <is>
          <t>Cabatangan</t>
        </is>
      </c>
    </row>
    <row r="16176" spans="1:1">
      <c r="A16176" t="inlineStr">
        <is>
          <t>Cabugao</t>
        </is>
      </c>
    </row>
    <row r="16177" spans="1:1">
      <c r="A16177" t="inlineStr">
        <is>
          <t>Cabunlawan</t>
        </is>
      </c>
    </row>
    <row r="16178" spans="1:1">
      <c r="A16178" t="inlineStr">
        <is>
          <t>Caguisanan</t>
        </is>
      </c>
    </row>
    <row r="16179" spans="1:1">
      <c r="A16179" t="inlineStr">
        <is>
          <t>Caloy-Ahan</t>
        </is>
      </c>
    </row>
    <row r="16180" spans="1:1">
      <c r="A16180" t="inlineStr">
        <is>
          <t>Caninguan</t>
        </is>
      </c>
    </row>
    <row r="16181" spans="1:1">
      <c r="A16181" t="inlineStr">
        <is>
          <t>Capangyan</t>
        </is>
      </c>
    </row>
    <row r="16182" spans="1:1">
      <c r="A16182" t="inlineStr">
        <is>
          <t>Cayan Este</t>
        </is>
      </c>
    </row>
    <row r="16183" spans="1:1">
      <c r="A16183" t="inlineStr">
        <is>
          <t>Cayan Oeste</t>
        </is>
      </c>
    </row>
    <row r="16184" spans="1:1">
      <c r="A16184" t="inlineStr">
        <is>
          <t>Corot-on</t>
        </is>
      </c>
    </row>
    <row r="16185" spans="1:1">
      <c r="A16185" t="inlineStr">
        <is>
          <t>Coto</t>
        </is>
      </c>
    </row>
    <row r="16186" spans="1:1">
      <c r="A16186" t="inlineStr">
        <is>
          <t>Cubay</t>
        </is>
      </c>
    </row>
    <row r="16187" spans="1:1">
      <c r="A16187" t="inlineStr">
        <is>
          <t>Cunarum</t>
        </is>
      </c>
    </row>
    <row r="16188" spans="1:1">
      <c r="A16188" t="inlineStr">
        <is>
          <t>Daanbanwa</t>
        </is>
      </c>
    </row>
    <row r="16189" spans="1:1">
      <c r="A16189" t="inlineStr">
        <is>
          <t>Gines</t>
        </is>
      </c>
    </row>
    <row r="16190" spans="1:1">
      <c r="A16190" t="inlineStr">
        <is>
          <t>Hipgos</t>
        </is>
      </c>
    </row>
    <row r="16191" spans="1:1">
      <c r="A16191" t="inlineStr">
        <is>
          <t>Jayubo</t>
        </is>
      </c>
    </row>
    <row r="16192" spans="1:1">
      <c r="A16192" t="inlineStr">
        <is>
          <t>Jorog</t>
        </is>
      </c>
    </row>
    <row r="16193" spans="1:1">
      <c r="A16193" t="inlineStr">
        <is>
          <t>Lanot Grande</t>
        </is>
      </c>
    </row>
    <row r="16194" spans="1:1">
      <c r="A16194" t="inlineStr">
        <is>
          <t>Lanot Pequeño</t>
        </is>
      </c>
    </row>
    <row r="16195" spans="1:1">
      <c r="A16195" t="inlineStr">
        <is>
          <t>Legayada</t>
        </is>
      </c>
    </row>
    <row r="16196" spans="1:1">
      <c r="A16196" t="inlineStr">
        <is>
          <t>Lumanay</t>
        </is>
      </c>
    </row>
    <row r="16197" spans="1:1">
      <c r="A16197" t="inlineStr">
        <is>
          <t>Madarag</t>
        </is>
      </c>
    </row>
    <row r="16198" spans="1:1">
      <c r="A16198" t="inlineStr">
        <is>
          <t>Magbato</t>
        </is>
      </c>
    </row>
    <row r="16199" spans="1:1">
      <c r="A16199" t="inlineStr">
        <is>
          <t>Maite Grande</t>
        </is>
      </c>
    </row>
    <row r="16200" spans="1:1">
      <c r="A16200" t="inlineStr">
        <is>
          <t>Maite Pequeño</t>
        </is>
      </c>
    </row>
    <row r="16201" spans="1:1">
      <c r="A16201" t="inlineStr">
        <is>
          <t>Malag-it</t>
        </is>
      </c>
    </row>
    <row r="16202" spans="1:1">
      <c r="A16202" t="inlineStr">
        <is>
          <t>Manaulan</t>
        </is>
      </c>
    </row>
    <row r="16203" spans="1:1">
      <c r="A16203" t="inlineStr">
        <is>
          <t>Maribong</t>
        </is>
      </c>
    </row>
    <row r="16204" spans="1:1">
      <c r="A16204" t="inlineStr">
        <is>
          <t>Marong</t>
        </is>
      </c>
    </row>
    <row r="16205" spans="1:1">
      <c r="A16205" t="inlineStr">
        <is>
          <t>Misi</t>
        </is>
      </c>
    </row>
    <row r="16206" spans="1:1">
      <c r="A16206" t="inlineStr">
        <is>
          <t>Natividad</t>
        </is>
      </c>
    </row>
    <row r="16207" spans="1:1">
      <c r="A16207" t="inlineStr">
        <is>
          <t>Pajo</t>
        </is>
      </c>
    </row>
    <row r="16208" spans="1:1">
      <c r="A16208" t="inlineStr">
        <is>
          <t>Pandan</t>
        </is>
      </c>
    </row>
    <row r="16209" spans="1:1">
      <c r="A16209" t="inlineStr">
        <is>
          <t>Panuran</t>
        </is>
      </c>
    </row>
    <row r="16210" spans="1:1">
      <c r="A16210" t="inlineStr">
        <is>
          <t>Pasig</t>
        </is>
      </c>
    </row>
    <row r="16211" spans="1:1">
      <c r="A16211" t="inlineStr">
        <is>
          <t>Patag</t>
        </is>
      </c>
    </row>
    <row r="16212" spans="1:1">
      <c r="A16212" t="inlineStr">
        <is>
          <t>Poblacion Ilawod</t>
        </is>
      </c>
    </row>
    <row r="16213" spans="1:1">
      <c r="A16213" t="inlineStr">
        <is>
          <t>Poblacion Ilaya</t>
        </is>
      </c>
    </row>
    <row r="16214" spans="1:1">
      <c r="A16214" t="inlineStr">
        <is>
          <t>Poong</t>
        </is>
      </c>
    </row>
    <row r="16215" spans="1:1">
      <c r="A16215" t="inlineStr">
        <is>
          <t>Pughanan</t>
        </is>
      </c>
    </row>
    <row r="16216" spans="1:1">
      <c r="A16216" t="inlineStr">
        <is>
          <t>Pungsod</t>
        </is>
      </c>
    </row>
    <row r="16217" spans="1:1">
      <c r="A16217" t="inlineStr">
        <is>
          <t>Quiling</t>
        </is>
      </c>
    </row>
    <row r="16218" spans="1:1">
      <c r="A16218" t="inlineStr">
        <is>
          <t>Sagcup</t>
        </is>
      </c>
    </row>
    <row r="16219" spans="1:1">
      <c r="A16219" t="inlineStr">
        <is>
          <t>San Gregorio</t>
        </is>
      </c>
    </row>
    <row r="16220" spans="1:1">
      <c r="A16220" t="inlineStr">
        <is>
          <t>Sibacungan</t>
        </is>
      </c>
    </row>
    <row r="16221" spans="1:1">
      <c r="A16221" t="inlineStr">
        <is>
          <t>Sibaguan</t>
        </is>
      </c>
    </row>
    <row r="16222" spans="1:1">
      <c r="A16222" t="inlineStr">
        <is>
          <t>Simsiman</t>
        </is>
      </c>
    </row>
    <row r="16223" spans="1:1">
      <c r="A16223" t="inlineStr">
        <is>
          <t>Supoc</t>
        </is>
      </c>
    </row>
    <row r="16224" spans="1:1">
      <c r="A16224" t="inlineStr">
        <is>
          <t>Tampucao</t>
        </is>
      </c>
    </row>
    <row r="16225" spans="1:1">
      <c r="A16225" t="inlineStr">
        <is>
          <t>Tranghawan</t>
        </is>
      </c>
    </row>
    <row r="16226" spans="1:1">
      <c r="A16226" t="inlineStr">
        <is>
          <t>Tubungan</t>
        </is>
      </c>
    </row>
    <row r="16227" spans="1:1">
      <c r="A16227" t="inlineStr">
        <is>
          <t>Tuburan</t>
        </is>
      </c>
    </row>
    <row r="16228" spans="1:1">
      <c r="A16228" t="inlineStr">
        <is>
          <t>Walang</t>
        </is>
      </c>
    </row>
    <row r="16229" spans="1:1">
      <c r="A16229" t="inlineStr">
        <is>
          <t>Bigke</t>
        </is>
      </c>
    </row>
    <row r="16230" spans="1:1">
      <c r="A16230" t="inlineStr">
        <is>
          <t>Buntatala</t>
        </is>
      </c>
    </row>
    <row r="16231" spans="1:1">
      <c r="A16231" t="inlineStr">
        <is>
          <t>Cagamutan Norte</t>
        </is>
      </c>
    </row>
    <row r="16232" spans="1:1">
      <c r="A16232" t="inlineStr">
        <is>
          <t>Cagamutan Sur</t>
        </is>
      </c>
    </row>
    <row r="16233" spans="1:1">
      <c r="A16233" t="inlineStr">
        <is>
          <t>Calaboa</t>
        </is>
      </c>
    </row>
    <row r="16234" spans="1:1">
      <c r="A16234" t="inlineStr">
        <is>
          <t>Camangay</t>
        </is>
      </c>
    </row>
    <row r="16235" spans="1:1">
      <c r="A16235" t="inlineStr">
        <is>
          <t>Cari Mayor</t>
        </is>
      </c>
    </row>
    <row r="16236" spans="1:1">
      <c r="A16236" t="inlineStr">
        <is>
          <t>Cari Minor</t>
        </is>
      </c>
    </row>
    <row r="16237" spans="1:1">
      <c r="A16237" t="inlineStr">
        <is>
          <t>Gua-an</t>
        </is>
      </c>
    </row>
    <row r="16238" spans="1:1">
      <c r="A16238" t="inlineStr">
        <is>
          <t>Guihaman</t>
        </is>
      </c>
    </row>
    <row r="16239" spans="1:1">
      <c r="A16239" t="inlineStr">
        <is>
          <t>Guinobatan</t>
        </is>
      </c>
    </row>
    <row r="16240" spans="1:1">
      <c r="A16240" t="inlineStr">
        <is>
          <t>Guintas</t>
        </is>
      </c>
    </row>
    <row r="16241" spans="1:1">
      <c r="A16241" t="inlineStr">
        <is>
          <t>Lapayon</t>
        </is>
      </c>
    </row>
    <row r="16242" spans="1:1">
      <c r="A16242" t="inlineStr">
        <is>
          <t>M.V. Hechanova</t>
        </is>
      </c>
    </row>
    <row r="16243" spans="1:1">
      <c r="A16243" t="inlineStr">
        <is>
          <t>Nabitasan</t>
        </is>
      </c>
    </row>
    <row r="16244" spans="1:1">
      <c r="A16244" t="inlineStr">
        <is>
          <t>Napnud</t>
        </is>
      </c>
    </row>
    <row r="16245" spans="1:1">
      <c r="A16245" t="inlineStr">
        <is>
          <t>Poblacion</t>
        </is>
      </c>
    </row>
    <row r="16246" spans="1:1">
      <c r="A16246" t="inlineStr">
        <is>
          <t>San Vicente</t>
        </is>
      </c>
    </row>
    <row r="16247" spans="1:1">
      <c r="A16247" t="inlineStr">
        <is>
          <t>Agpipili</t>
        </is>
      </c>
    </row>
    <row r="16248" spans="1:1">
      <c r="A16248" t="inlineStr">
        <is>
          <t>Alcantara</t>
        </is>
      </c>
    </row>
    <row r="16249" spans="1:1">
      <c r="A16249" t="inlineStr">
        <is>
          <t>Almeñana</t>
        </is>
      </c>
    </row>
    <row r="16250" spans="1:1">
      <c r="A16250" t="inlineStr">
        <is>
          <t>Anabo</t>
        </is>
      </c>
    </row>
    <row r="16251" spans="1:1">
      <c r="A16251" t="inlineStr">
        <is>
          <t>Bankal</t>
        </is>
      </c>
    </row>
    <row r="16252" spans="1:1">
      <c r="A16252" t="inlineStr">
        <is>
          <t>Buenavista</t>
        </is>
      </c>
    </row>
    <row r="16253" spans="1:1">
      <c r="A16253" t="inlineStr">
        <is>
          <t>Cabantohan</t>
        </is>
      </c>
    </row>
    <row r="16254" spans="1:1">
      <c r="A16254" t="inlineStr">
        <is>
          <t>Capiñahan</t>
        </is>
      </c>
    </row>
    <row r="16255" spans="1:1">
      <c r="A16255" t="inlineStr">
        <is>
          <t>Dalipe</t>
        </is>
      </c>
    </row>
    <row r="16256" spans="1:1">
      <c r="A16256" t="inlineStr">
        <is>
          <t>Dapdapan</t>
        </is>
      </c>
    </row>
    <row r="16257" spans="1:1">
      <c r="A16257" t="inlineStr">
        <is>
          <t>Gerongan</t>
        </is>
      </c>
    </row>
    <row r="16258" spans="1:1">
      <c r="A16258" t="inlineStr">
        <is>
          <t>Imbaulan</t>
        </is>
      </c>
    </row>
    <row r="16259" spans="1:1">
      <c r="A16259" t="inlineStr">
        <is>
          <t>Layogbato</t>
        </is>
      </c>
    </row>
    <row r="16260" spans="1:1">
      <c r="A16260" t="inlineStr">
        <is>
          <t>Marapal</t>
        </is>
      </c>
    </row>
    <row r="16261" spans="1:1">
      <c r="A16261" t="inlineStr">
        <is>
          <t>Milan</t>
        </is>
      </c>
    </row>
    <row r="16262" spans="1:1">
      <c r="A16262" t="inlineStr">
        <is>
          <t>Nagsulang</t>
        </is>
      </c>
    </row>
    <row r="16263" spans="1:1">
      <c r="A16263" t="inlineStr">
        <is>
          <t>Nasapahan</t>
        </is>
      </c>
    </row>
    <row r="16264" spans="1:1">
      <c r="A16264" t="inlineStr">
        <is>
          <t>Omio</t>
        </is>
      </c>
    </row>
    <row r="16265" spans="1:1">
      <c r="A16265" t="inlineStr">
        <is>
          <t>Pacuan</t>
        </is>
      </c>
    </row>
    <row r="16266" spans="1:1">
      <c r="A16266" t="inlineStr">
        <is>
          <t>Poblacion NW Zone</t>
        </is>
      </c>
    </row>
    <row r="16267" spans="1:1">
      <c r="A16267" t="inlineStr">
        <is>
          <t>Poblacion SE Zone</t>
        </is>
      </c>
    </row>
    <row r="16268" spans="1:1">
      <c r="A16268" t="inlineStr">
        <is>
          <t>Pontoc</t>
        </is>
      </c>
    </row>
    <row r="16269" spans="1:1">
      <c r="A16269" t="inlineStr">
        <is>
          <t>San Antonio</t>
        </is>
      </c>
    </row>
    <row r="16270" spans="1:1">
      <c r="A16270" t="inlineStr">
        <is>
          <t>San Diego</t>
        </is>
      </c>
    </row>
    <row r="16271" spans="1:1">
      <c r="A16271" t="inlineStr">
        <is>
          <t>San Jose Moto</t>
        </is>
      </c>
    </row>
    <row r="16272" spans="1:1">
      <c r="A16272" t="inlineStr">
        <is>
          <t>Sepanton</t>
        </is>
      </c>
    </row>
    <row r="16273" spans="1:1">
      <c r="A16273" t="inlineStr">
        <is>
          <t>Sincua</t>
        </is>
      </c>
    </row>
    <row r="16274" spans="1:1">
      <c r="A16274" t="inlineStr">
        <is>
          <t>Tabunan</t>
        </is>
      </c>
    </row>
    <row r="16275" spans="1:1">
      <c r="A16275" t="inlineStr">
        <is>
          <t>Tugas</t>
        </is>
      </c>
    </row>
    <row r="16276" spans="1:1">
      <c r="A16276" t="inlineStr">
        <is>
          <t>Velasco</t>
        </is>
      </c>
    </row>
    <row r="16277" spans="1:1">
      <c r="A16277" t="inlineStr">
        <is>
          <t>Yawyawan</t>
        </is>
      </c>
    </row>
    <row r="16278" spans="1:1">
      <c r="A16278" t="inlineStr">
        <is>
          <t>Agboy Norte</t>
        </is>
      </c>
    </row>
    <row r="16279" spans="1:1">
      <c r="A16279" t="inlineStr">
        <is>
          <t>Agboy Sur</t>
        </is>
      </c>
    </row>
    <row r="16280" spans="1:1">
      <c r="A16280" t="inlineStr">
        <is>
          <t>Agta</t>
        </is>
      </c>
    </row>
    <row r="16281" spans="1:1">
      <c r="A16281" t="inlineStr">
        <is>
          <t>Ambulong</t>
        </is>
      </c>
    </row>
    <row r="16282" spans="1:1">
      <c r="A16282" t="inlineStr">
        <is>
          <t>Anonang</t>
        </is>
      </c>
    </row>
    <row r="16283" spans="1:1">
      <c r="A16283" t="inlineStr">
        <is>
          <t>Apian</t>
        </is>
      </c>
    </row>
    <row r="16284" spans="1:1">
      <c r="A16284" t="inlineStr">
        <is>
          <t>Avanzada</t>
        </is>
      </c>
    </row>
    <row r="16285" spans="1:1">
      <c r="A16285" t="inlineStr">
        <is>
          <t>Awis</t>
        </is>
      </c>
    </row>
    <row r="16286" spans="1:1">
      <c r="A16286" t="inlineStr">
        <is>
          <t>Ayabang</t>
        </is>
      </c>
    </row>
    <row r="16287" spans="1:1">
      <c r="A16287" t="inlineStr">
        <is>
          <t>Ayubo</t>
        </is>
      </c>
    </row>
    <row r="16288" spans="1:1">
      <c r="A16288" t="inlineStr">
        <is>
          <t>Bacolod</t>
        </is>
      </c>
    </row>
    <row r="16289" spans="1:1">
      <c r="A16289" t="inlineStr">
        <is>
          <t>Baje</t>
        </is>
      </c>
    </row>
    <row r="16290" spans="1:1">
      <c r="A16290" t="inlineStr">
        <is>
          <t>Banagan</t>
        </is>
      </c>
    </row>
    <row r="16291" spans="1:1">
      <c r="A16291" t="inlineStr">
        <is>
          <t>Barangbang</t>
        </is>
      </c>
    </row>
    <row r="16292" spans="1:1">
      <c r="A16292" t="inlineStr">
        <is>
          <t>Barasan</t>
        </is>
      </c>
    </row>
    <row r="16293" spans="1:1">
      <c r="A16293" t="inlineStr">
        <is>
          <t>Bayag Norte</t>
        </is>
      </c>
    </row>
    <row r="16294" spans="1:1">
      <c r="A16294" t="inlineStr">
        <is>
          <t>Bayag Sur</t>
        </is>
      </c>
    </row>
    <row r="16295" spans="1:1">
      <c r="A16295" t="inlineStr">
        <is>
          <t>Binolbog</t>
        </is>
      </c>
    </row>
    <row r="16296" spans="1:1">
      <c r="A16296" t="inlineStr">
        <is>
          <t>Biri Norte</t>
        </is>
      </c>
    </row>
    <row r="16297" spans="1:1">
      <c r="A16297" t="inlineStr">
        <is>
          <t>Biri Sur</t>
        </is>
      </c>
    </row>
    <row r="16298" spans="1:1">
      <c r="A16298" t="inlineStr">
        <is>
          <t>Bobon</t>
        </is>
      </c>
    </row>
    <row r="16299" spans="1:1">
      <c r="A16299" t="inlineStr">
        <is>
          <t>Bucari</t>
        </is>
      </c>
    </row>
    <row r="16300" spans="1:1">
      <c r="A16300" t="inlineStr">
        <is>
          <t>Buenavista</t>
        </is>
      </c>
    </row>
    <row r="16301" spans="1:1">
      <c r="A16301" t="inlineStr">
        <is>
          <t>Buga</t>
        </is>
      </c>
    </row>
    <row r="16302" spans="1:1">
      <c r="A16302" t="inlineStr">
        <is>
          <t>Bulad</t>
        </is>
      </c>
    </row>
    <row r="16303" spans="1:1">
      <c r="A16303" t="inlineStr">
        <is>
          <t>Bulwang</t>
        </is>
      </c>
    </row>
    <row r="16304" spans="1:1">
      <c r="A16304" t="inlineStr">
        <is>
          <t>Cabolo-an</t>
        </is>
      </c>
    </row>
    <row r="16305" spans="1:1">
      <c r="A16305" t="inlineStr">
        <is>
          <t>Cabunga-an</t>
        </is>
      </c>
    </row>
    <row r="16306" spans="1:1">
      <c r="A16306" t="inlineStr">
        <is>
          <t>Cabutongan</t>
        </is>
      </c>
    </row>
    <row r="16307" spans="1:1">
      <c r="A16307" t="inlineStr">
        <is>
          <t>Cagay</t>
        </is>
      </c>
    </row>
    <row r="16308" spans="1:1">
      <c r="A16308" t="inlineStr">
        <is>
          <t>Camandag</t>
        </is>
      </c>
    </row>
    <row r="16309" spans="1:1">
      <c r="A16309" t="inlineStr">
        <is>
          <t>Camando</t>
        </is>
      </c>
    </row>
    <row r="16310" spans="1:1">
      <c r="A16310" t="inlineStr">
        <is>
          <t>Cananaman</t>
        </is>
      </c>
    </row>
    <row r="16311" spans="1:1">
      <c r="A16311" t="inlineStr">
        <is>
          <t>Capt. Fernando</t>
        </is>
      </c>
    </row>
    <row r="16312" spans="1:1">
      <c r="A16312" t="inlineStr">
        <is>
          <t>Carara-an</t>
        </is>
      </c>
    </row>
    <row r="16313" spans="1:1">
      <c r="A16313" t="inlineStr">
        <is>
          <t>Carolina</t>
        </is>
      </c>
    </row>
    <row r="16314" spans="1:1">
      <c r="A16314" t="inlineStr">
        <is>
          <t>Cawilihan</t>
        </is>
      </c>
    </row>
    <row r="16315" spans="1:1">
      <c r="A16315" t="inlineStr">
        <is>
          <t>Coyugan Norte</t>
        </is>
      </c>
    </row>
    <row r="16316" spans="1:1">
      <c r="A16316" t="inlineStr">
        <is>
          <t>Coyugan Sur</t>
        </is>
      </c>
    </row>
    <row r="16317" spans="1:1">
      <c r="A16317" t="inlineStr">
        <is>
          <t>Danao</t>
        </is>
      </c>
    </row>
    <row r="16318" spans="1:1">
      <c r="A16318" t="inlineStr">
        <is>
          <t>Dorog</t>
        </is>
      </c>
    </row>
    <row r="16319" spans="1:1">
      <c r="A16319" t="inlineStr">
        <is>
          <t>Dusacan</t>
        </is>
      </c>
    </row>
    <row r="16320" spans="1:1">
      <c r="A16320" t="inlineStr">
        <is>
          <t>Gines</t>
        </is>
      </c>
    </row>
    <row r="16321" spans="1:1">
      <c r="A16321" t="inlineStr">
        <is>
          <t>Gumboc</t>
        </is>
      </c>
    </row>
    <row r="16322" spans="1:1">
      <c r="A16322" t="inlineStr">
        <is>
          <t>Igcadios</t>
        </is>
      </c>
    </row>
    <row r="16323" spans="1:1">
      <c r="A16323" t="inlineStr">
        <is>
          <t>Ingay</t>
        </is>
      </c>
    </row>
    <row r="16324" spans="1:1">
      <c r="A16324" t="inlineStr">
        <is>
          <t>Isian Norte</t>
        </is>
      </c>
    </row>
    <row r="16325" spans="1:1">
      <c r="A16325" t="inlineStr">
        <is>
          <t>Isian Victoria</t>
        </is>
      </c>
    </row>
    <row r="16326" spans="1:1">
      <c r="A16326" t="inlineStr">
        <is>
          <t>Jamog Gines</t>
        </is>
      </c>
    </row>
    <row r="16327" spans="1:1">
      <c r="A16327" t="inlineStr">
        <is>
          <t>Lampaya</t>
        </is>
      </c>
    </row>
    <row r="16328" spans="1:1">
      <c r="A16328" t="inlineStr">
        <is>
          <t>Lanag</t>
        </is>
      </c>
    </row>
    <row r="16329" spans="1:1">
      <c r="A16329" t="inlineStr">
        <is>
          <t>Lang-og</t>
        </is>
      </c>
    </row>
    <row r="16330" spans="1:1">
      <c r="A16330" t="inlineStr">
        <is>
          <t>Ligtos</t>
        </is>
      </c>
    </row>
    <row r="16331" spans="1:1">
      <c r="A16331" t="inlineStr">
        <is>
          <t>Lonoc</t>
        </is>
      </c>
    </row>
    <row r="16332" spans="1:1">
      <c r="A16332" t="inlineStr">
        <is>
          <t>Magcapay</t>
        </is>
      </c>
    </row>
    <row r="16333" spans="1:1">
      <c r="A16333" t="inlineStr">
        <is>
          <t>Maliao</t>
        </is>
      </c>
    </row>
    <row r="16334" spans="1:1">
      <c r="A16334" t="inlineStr">
        <is>
          <t>Malublub</t>
        </is>
      </c>
    </row>
    <row r="16335" spans="1:1">
      <c r="A16335" t="inlineStr">
        <is>
          <t>Manampunay</t>
        </is>
      </c>
    </row>
    <row r="16336" spans="1:1">
      <c r="A16336" t="inlineStr">
        <is>
          <t>Marirong</t>
        </is>
      </c>
    </row>
    <row r="16337" spans="1:1">
      <c r="A16337" t="inlineStr">
        <is>
          <t>Mina</t>
        </is>
      </c>
    </row>
    <row r="16338" spans="1:1">
      <c r="A16338" t="inlineStr">
        <is>
          <t>Mocol</t>
        </is>
      </c>
    </row>
    <row r="16339" spans="1:1">
      <c r="A16339" t="inlineStr">
        <is>
          <t>Nagbangi</t>
        </is>
      </c>
    </row>
    <row r="16340" spans="1:1">
      <c r="A16340" t="inlineStr">
        <is>
          <t>Nalbang</t>
        </is>
      </c>
    </row>
    <row r="16341" spans="1:1">
      <c r="A16341" t="inlineStr">
        <is>
          <t>Odong-odong</t>
        </is>
      </c>
    </row>
    <row r="16342" spans="1:1">
      <c r="A16342" t="inlineStr">
        <is>
          <t>Oluangan</t>
        </is>
      </c>
    </row>
    <row r="16343" spans="1:1">
      <c r="A16343" t="inlineStr">
        <is>
          <t>Omambong</t>
        </is>
      </c>
    </row>
    <row r="16344" spans="1:1">
      <c r="A16344" t="inlineStr">
        <is>
          <t>Paga</t>
        </is>
      </c>
    </row>
    <row r="16345" spans="1:1">
      <c r="A16345" t="inlineStr">
        <is>
          <t>Pandan</t>
        </is>
      </c>
    </row>
    <row r="16346" spans="1:1">
      <c r="A16346" t="inlineStr">
        <is>
          <t>Panginman</t>
        </is>
      </c>
    </row>
    <row r="16347" spans="1:1">
      <c r="A16347" t="inlineStr">
        <is>
          <t>Paoy</t>
        </is>
      </c>
    </row>
    <row r="16348" spans="1:1">
      <c r="A16348" t="inlineStr">
        <is>
          <t>Pepe</t>
        </is>
      </c>
    </row>
    <row r="16349" spans="1:1">
      <c r="A16349" t="inlineStr">
        <is>
          <t>Poblacion</t>
        </is>
      </c>
    </row>
    <row r="16350" spans="1:1">
      <c r="A16350" t="inlineStr">
        <is>
          <t>Salngan</t>
        </is>
      </c>
    </row>
    <row r="16351" spans="1:1">
      <c r="A16351" t="inlineStr">
        <is>
          <t>Samlague</t>
        </is>
      </c>
    </row>
    <row r="16352" spans="1:1">
      <c r="A16352" t="inlineStr">
        <is>
          <t>Siol Norte</t>
        </is>
      </c>
    </row>
    <row r="16353" spans="1:1">
      <c r="A16353" t="inlineStr">
        <is>
          <t>Siol Sur</t>
        </is>
      </c>
    </row>
    <row r="16354" spans="1:1">
      <c r="A16354" t="inlineStr">
        <is>
          <t>Tacuyong Norte</t>
        </is>
      </c>
    </row>
    <row r="16355" spans="1:1">
      <c r="A16355" t="inlineStr">
        <is>
          <t>Tacuyong Sur</t>
        </is>
      </c>
    </row>
    <row r="16356" spans="1:1">
      <c r="A16356" t="inlineStr">
        <is>
          <t>Tagsing</t>
        </is>
      </c>
    </row>
    <row r="16357" spans="1:1">
      <c r="A16357" t="inlineStr">
        <is>
          <t>Talacuan</t>
        </is>
      </c>
    </row>
    <row r="16358" spans="1:1">
      <c r="A16358" t="inlineStr">
        <is>
          <t>Ticuan</t>
        </is>
      </c>
    </row>
    <row r="16359" spans="1:1">
      <c r="A16359" t="inlineStr">
        <is>
          <t>Tina-an Norte</t>
        </is>
      </c>
    </row>
    <row r="16360" spans="1:1">
      <c r="A16360" t="inlineStr">
        <is>
          <t>Tina-an Sur</t>
        </is>
      </c>
    </row>
    <row r="16361" spans="1:1">
      <c r="A16361" t="inlineStr">
        <is>
          <t>Tu-og</t>
        </is>
      </c>
    </row>
    <row r="16362" spans="1:1">
      <c r="A16362" t="inlineStr">
        <is>
          <t>Tunguan</t>
        </is>
      </c>
    </row>
    <row r="16363" spans="1:1">
      <c r="A16363" t="inlineStr">
        <is>
          <t>Abay</t>
        </is>
      </c>
    </row>
    <row r="16364" spans="1:1">
      <c r="A16364" t="inlineStr">
        <is>
          <t>Abilay</t>
        </is>
      </c>
    </row>
    <row r="16365" spans="1:1">
      <c r="A16365" t="inlineStr">
        <is>
          <t>AGROCEL Pob.</t>
        </is>
      </c>
    </row>
    <row r="16366" spans="1:1">
      <c r="A16366" t="inlineStr">
        <is>
          <t>Amerang</t>
        </is>
      </c>
    </row>
    <row r="16367" spans="1:1">
      <c r="A16367" t="inlineStr">
        <is>
          <t>Bagacay East</t>
        </is>
      </c>
    </row>
    <row r="16368" spans="1:1">
      <c r="A16368" t="inlineStr">
        <is>
          <t>Bagacay West</t>
        </is>
      </c>
    </row>
    <row r="16369" spans="1:1">
      <c r="A16369" t="inlineStr">
        <is>
          <t>Bolo</t>
        </is>
      </c>
    </row>
    <row r="16370" spans="1:1">
      <c r="A16370" t="inlineStr">
        <is>
          <t>Bug-ot</t>
        </is>
      </c>
    </row>
    <row r="16371" spans="1:1">
      <c r="A16371" t="inlineStr">
        <is>
          <t>Bulay</t>
        </is>
      </c>
    </row>
    <row r="16372" spans="1:1">
      <c r="A16372" t="inlineStr">
        <is>
          <t>Buntalan</t>
        </is>
      </c>
    </row>
    <row r="16373" spans="1:1">
      <c r="A16373" t="inlineStr">
        <is>
          <t>Burak</t>
        </is>
      </c>
    </row>
    <row r="16374" spans="1:1">
      <c r="A16374" t="inlineStr">
        <is>
          <t>Cabangcalan</t>
        </is>
      </c>
    </row>
    <row r="16375" spans="1:1">
      <c r="A16375" t="inlineStr">
        <is>
          <t>Cabatac</t>
        </is>
      </c>
    </row>
    <row r="16376" spans="1:1">
      <c r="A16376" t="inlineStr">
        <is>
          <t>Caigon</t>
        </is>
      </c>
    </row>
    <row r="16377" spans="1:1">
      <c r="A16377" t="inlineStr">
        <is>
          <t>Cananghan</t>
        </is>
      </c>
    </row>
    <row r="16378" spans="1:1">
      <c r="A16378" t="inlineStr">
        <is>
          <t>Canawili</t>
        </is>
      </c>
    </row>
    <row r="16379" spans="1:1">
      <c r="A16379" t="inlineStr">
        <is>
          <t>Dagami</t>
        </is>
      </c>
    </row>
    <row r="16380" spans="1:1">
      <c r="A16380" t="inlineStr">
        <is>
          <t>Daja</t>
        </is>
      </c>
    </row>
    <row r="16381" spans="1:1">
      <c r="A16381" t="inlineStr">
        <is>
          <t>Dalusan</t>
        </is>
      </c>
    </row>
    <row r="16382" spans="1:1">
      <c r="A16382" t="inlineStr">
        <is>
          <t>DELCAR Pob.</t>
        </is>
      </c>
    </row>
    <row r="16383" spans="1:1">
      <c r="A16383" t="inlineStr">
        <is>
          <t>Inabasan</t>
        </is>
      </c>
    </row>
    <row r="16384" spans="1:1">
      <c r="A16384" t="inlineStr">
        <is>
          <t>Layog</t>
        </is>
      </c>
    </row>
    <row r="16385" spans="1:1">
      <c r="A16385" t="inlineStr">
        <is>
          <t>Linab</t>
        </is>
      </c>
    </row>
    <row r="16386" spans="1:1">
      <c r="A16386" t="inlineStr">
        <is>
          <t>Liñagan Calsada</t>
        </is>
      </c>
    </row>
    <row r="16387" spans="1:1">
      <c r="A16387" t="inlineStr">
        <is>
          <t>Liñagan Tacas</t>
        </is>
      </c>
    </row>
    <row r="16388" spans="1:1">
      <c r="A16388" t="inlineStr">
        <is>
          <t>Magsaysay</t>
        </is>
      </c>
    </row>
    <row r="16389" spans="1:1">
      <c r="A16389" t="inlineStr">
        <is>
          <t>Mandog</t>
        </is>
      </c>
    </row>
    <row r="16390" spans="1:1">
      <c r="A16390" t="inlineStr">
        <is>
          <t>MARI Pob.</t>
        </is>
      </c>
    </row>
    <row r="16391" spans="1:1">
      <c r="A16391" t="inlineStr">
        <is>
          <t>Miapa</t>
        </is>
      </c>
    </row>
    <row r="16392" spans="1:1">
      <c r="A16392" t="inlineStr">
        <is>
          <t>Nagba</t>
        </is>
      </c>
    </row>
    <row r="16393" spans="1:1">
      <c r="A16393" t="inlineStr">
        <is>
          <t>Nasaka</t>
        </is>
      </c>
    </row>
    <row r="16394" spans="1:1">
      <c r="A16394" t="inlineStr">
        <is>
          <t>Naslo-Bucao</t>
        </is>
      </c>
    </row>
    <row r="16395" spans="1:1">
      <c r="A16395" t="inlineStr">
        <is>
          <t>Nasuli</t>
        </is>
      </c>
    </row>
    <row r="16396" spans="1:1">
      <c r="A16396" t="inlineStr">
        <is>
          <t>Panalian</t>
        </is>
      </c>
    </row>
    <row r="16397" spans="1:1">
      <c r="A16397" t="inlineStr">
        <is>
          <t>Piandaan East</t>
        </is>
      </c>
    </row>
    <row r="16398" spans="1:1">
      <c r="A16398" t="inlineStr">
        <is>
          <t>Piandaan West</t>
        </is>
      </c>
    </row>
    <row r="16399" spans="1:1">
      <c r="A16399" t="inlineStr">
        <is>
          <t>Pispis</t>
        </is>
      </c>
    </row>
    <row r="16400" spans="1:1">
      <c r="A16400" t="inlineStr">
        <is>
          <t>Punong</t>
        </is>
      </c>
    </row>
    <row r="16401" spans="1:1">
      <c r="A16401" t="inlineStr">
        <is>
          <t>Santa Rita</t>
        </is>
      </c>
    </row>
    <row r="16402" spans="1:1">
      <c r="A16402" t="inlineStr">
        <is>
          <t>Sinubsuban</t>
        </is>
      </c>
    </row>
    <row r="16403" spans="1:1">
      <c r="A16403" t="inlineStr">
        <is>
          <t>Siwalo</t>
        </is>
      </c>
    </row>
    <row r="16404" spans="1:1">
      <c r="A16404" t="inlineStr">
        <is>
          <t>Subog</t>
        </is>
      </c>
    </row>
    <row r="16405" spans="1:1">
      <c r="A16405" t="inlineStr">
        <is>
          <t>THTP Pob.</t>
        </is>
      </c>
    </row>
    <row r="16406" spans="1:1">
      <c r="A16406" t="inlineStr">
        <is>
          <t>Tigbauan</t>
        </is>
      </c>
    </row>
    <row r="16407" spans="1:1">
      <c r="A16407" t="inlineStr">
        <is>
          <t>Trangka</t>
        </is>
      </c>
    </row>
    <row r="16408" spans="1:1">
      <c r="A16408" t="inlineStr">
        <is>
          <t>Tubang</t>
        </is>
      </c>
    </row>
    <row r="16409" spans="1:1">
      <c r="A16409" t="inlineStr">
        <is>
          <t>Tulahong</t>
        </is>
      </c>
    </row>
    <row r="16410" spans="1:1">
      <c r="A16410" t="inlineStr">
        <is>
          <t>Tuy-an East</t>
        </is>
      </c>
    </row>
    <row r="16411" spans="1:1">
      <c r="A16411" t="inlineStr">
        <is>
          <t>Tuy-an West</t>
        </is>
      </c>
    </row>
    <row r="16412" spans="1:1">
      <c r="A16412" t="inlineStr">
        <is>
          <t>Ubian</t>
        </is>
      </c>
    </row>
    <row r="16413" spans="1:1">
      <c r="A16413" t="inlineStr">
        <is>
          <t>Agdum</t>
        </is>
      </c>
    </row>
    <row r="16414" spans="1:1">
      <c r="A16414" t="inlineStr">
        <is>
          <t>Aguiauan</t>
        </is>
      </c>
    </row>
    <row r="16415" spans="1:1">
      <c r="A16415" t="inlineStr">
        <is>
          <t>Alimodias</t>
        </is>
      </c>
    </row>
    <row r="16416" spans="1:1">
      <c r="A16416" t="inlineStr">
        <is>
          <t>Awang</t>
        </is>
      </c>
    </row>
    <row r="16417" spans="1:1">
      <c r="A16417" t="inlineStr">
        <is>
          <t>Bacauan</t>
        </is>
      </c>
    </row>
    <row r="16418" spans="1:1">
      <c r="A16418" t="inlineStr">
        <is>
          <t>Bacolod</t>
        </is>
      </c>
    </row>
    <row r="16419" spans="1:1">
      <c r="A16419" t="inlineStr">
        <is>
          <t>Bagumbayan</t>
        </is>
      </c>
    </row>
    <row r="16420" spans="1:1">
      <c r="A16420" t="inlineStr">
        <is>
          <t>Banbanan</t>
        </is>
      </c>
    </row>
    <row r="16421" spans="1:1">
      <c r="A16421" t="inlineStr">
        <is>
          <t>Banga</t>
        </is>
      </c>
    </row>
    <row r="16422" spans="1:1">
      <c r="A16422" t="inlineStr">
        <is>
          <t>Bangladan</t>
        </is>
      </c>
    </row>
    <row r="16423" spans="1:1">
      <c r="A16423" t="inlineStr">
        <is>
          <t>Banuyao</t>
        </is>
      </c>
    </row>
    <row r="16424" spans="1:1">
      <c r="A16424" t="inlineStr">
        <is>
          <t>Baraclayan</t>
        </is>
      </c>
    </row>
    <row r="16425" spans="1:1">
      <c r="A16425" t="inlineStr">
        <is>
          <t>Bariri</t>
        </is>
      </c>
    </row>
    <row r="16426" spans="1:1">
      <c r="A16426" t="inlineStr">
        <is>
          <t>Baybay Norte</t>
        </is>
      </c>
    </row>
    <row r="16427" spans="1:1">
      <c r="A16427" t="inlineStr">
        <is>
          <t>Baybay Sur</t>
        </is>
      </c>
    </row>
    <row r="16428" spans="1:1">
      <c r="A16428" t="inlineStr">
        <is>
          <t>Belen</t>
        </is>
      </c>
    </row>
    <row r="16429" spans="1:1">
      <c r="A16429" t="inlineStr">
        <is>
          <t>Bolho</t>
        </is>
      </c>
    </row>
    <row r="16430" spans="1:1">
      <c r="A16430" t="inlineStr">
        <is>
          <t>Bolocaue</t>
        </is>
      </c>
    </row>
    <row r="16431" spans="1:1">
      <c r="A16431" t="inlineStr">
        <is>
          <t>Buenavista Norte</t>
        </is>
      </c>
    </row>
    <row r="16432" spans="1:1">
      <c r="A16432" t="inlineStr">
        <is>
          <t>Buenavista Sur</t>
        </is>
      </c>
    </row>
    <row r="16433" spans="1:1">
      <c r="A16433" t="inlineStr">
        <is>
          <t>Bugtong Lumangan</t>
        </is>
      </c>
    </row>
    <row r="16434" spans="1:1">
      <c r="A16434" t="inlineStr">
        <is>
          <t>Bugtong Naulid</t>
        </is>
      </c>
    </row>
    <row r="16435" spans="1:1">
      <c r="A16435" t="inlineStr">
        <is>
          <t>Cabalaunan</t>
        </is>
      </c>
    </row>
    <row r="16436" spans="1:1">
      <c r="A16436" t="inlineStr">
        <is>
          <t>Cabangcalan</t>
        </is>
      </c>
    </row>
    <row r="16437" spans="1:1">
      <c r="A16437" t="inlineStr">
        <is>
          <t>Cabunotan</t>
        </is>
      </c>
    </row>
    <row r="16438" spans="1:1">
      <c r="A16438" t="inlineStr">
        <is>
          <t>Cadoldolan</t>
        </is>
      </c>
    </row>
    <row r="16439" spans="1:1">
      <c r="A16439" t="inlineStr">
        <is>
          <t>Cagbang</t>
        </is>
      </c>
    </row>
    <row r="16440" spans="1:1">
      <c r="A16440" t="inlineStr">
        <is>
          <t>Caitib</t>
        </is>
      </c>
    </row>
    <row r="16441" spans="1:1">
      <c r="A16441" t="inlineStr">
        <is>
          <t>Calagtangan</t>
        </is>
      </c>
    </row>
    <row r="16442" spans="1:1">
      <c r="A16442" t="inlineStr">
        <is>
          <t>Calampitao</t>
        </is>
      </c>
    </row>
    <row r="16443" spans="1:1">
      <c r="A16443" t="inlineStr">
        <is>
          <t>Cavite</t>
        </is>
      </c>
    </row>
    <row r="16444" spans="1:1">
      <c r="A16444" t="inlineStr">
        <is>
          <t>Cawayanan</t>
        </is>
      </c>
    </row>
    <row r="16445" spans="1:1">
      <c r="A16445" t="inlineStr">
        <is>
          <t>Cubay</t>
        </is>
      </c>
    </row>
    <row r="16446" spans="1:1">
      <c r="A16446" t="inlineStr">
        <is>
          <t>Cubay Ubos</t>
        </is>
      </c>
    </row>
    <row r="16447" spans="1:1">
      <c r="A16447" t="inlineStr">
        <is>
          <t>Dalije</t>
        </is>
      </c>
    </row>
    <row r="16448" spans="1:1">
      <c r="A16448" t="inlineStr">
        <is>
          <t>Damilisan</t>
        </is>
      </c>
    </row>
    <row r="16449" spans="1:1">
      <c r="A16449" t="inlineStr">
        <is>
          <t>Dawog</t>
        </is>
      </c>
    </row>
    <row r="16450" spans="1:1">
      <c r="A16450" t="inlineStr">
        <is>
          <t>Diday</t>
        </is>
      </c>
    </row>
    <row r="16451" spans="1:1">
      <c r="A16451" t="inlineStr">
        <is>
          <t>Dingle</t>
        </is>
      </c>
    </row>
    <row r="16452" spans="1:1">
      <c r="A16452" t="inlineStr">
        <is>
          <t>Durog</t>
        </is>
      </c>
    </row>
    <row r="16453" spans="1:1">
      <c r="A16453" t="inlineStr">
        <is>
          <t>Frantilla</t>
        </is>
      </c>
    </row>
    <row r="16454" spans="1:1">
      <c r="A16454" t="inlineStr">
        <is>
          <t>Fundacion</t>
        </is>
      </c>
    </row>
    <row r="16455" spans="1:1">
      <c r="A16455" t="inlineStr">
        <is>
          <t>Gines</t>
        </is>
      </c>
    </row>
    <row r="16456" spans="1:1">
      <c r="A16456" t="inlineStr">
        <is>
          <t>Guibongan</t>
        </is>
      </c>
    </row>
    <row r="16457" spans="1:1">
      <c r="A16457" t="inlineStr">
        <is>
          <t>Igbita</t>
        </is>
      </c>
    </row>
    <row r="16458" spans="1:1">
      <c r="A16458" t="inlineStr">
        <is>
          <t>Igbugo</t>
        </is>
      </c>
    </row>
    <row r="16459" spans="1:1">
      <c r="A16459" t="inlineStr">
        <is>
          <t>Igcabidio</t>
        </is>
      </c>
    </row>
    <row r="16460" spans="1:1">
      <c r="A16460" t="inlineStr">
        <is>
          <t>Igcabito-on</t>
        </is>
      </c>
    </row>
    <row r="16461" spans="1:1">
      <c r="A16461" t="inlineStr">
        <is>
          <t>Igcatambor</t>
        </is>
      </c>
    </row>
    <row r="16462" spans="1:1">
      <c r="A16462" t="inlineStr">
        <is>
          <t>Igdalaquit</t>
        </is>
      </c>
    </row>
    <row r="16463" spans="1:1">
      <c r="A16463" t="inlineStr">
        <is>
          <t>Igdulaca</t>
        </is>
      </c>
    </row>
    <row r="16464" spans="1:1">
      <c r="A16464" t="inlineStr">
        <is>
          <t>Igpajo</t>
        </is>
      </c>
    </row>
    <row r="16465" spans="1:1">
      <c r="A16465" t="inlineStr">
        <is>
          <t>Igpandan</t>
        </is>
      </c>
    </row>
    <row r="16466" spans="1:1">
      <c r="A16466" t="inlineStr">
        <is>
          <t>Igpuro</t>
        </is>
      </c>
    </row>
    <row r="16467" spans="1:1">
      <c r="A16467" t="inlineStr">
        <is>
          <t>Igpuro-Bariri</t>
        </is>
      </c>
    </row>
    <row r="16468" spans="1:1">
      <c r="A16468" t="inlineStr">
        <is>
          <t>Igsoligue</t>
        </is>
      </c>
    </row>
    <row r="16469" spans="1:1">
      <c r="A16469" t="inlineStr">
        <is>
          <t>Igtuba</t>
        </is>
      </c>
    </row>
    <row r="16470" spans="1:1">
      <c r="A16470" t="inlineStr">
        <is>
          <t>Ilog-ilog</t>
        </is>
      </c>
    </row>
    <row r="16471" spans="1:1">
      <c r="A16471" t="inlineStr">
        <is>
          <t>Indag-an</t>
        </is>
      </c>
    </row>
    <row r="16472" spans="1:1">
      <c r="A16472" t="inlineStr">
        <is>
          <t>Kirayan Norte</t>
        </is>
      </c>
    </row>
    <row r="16473" spans="1:1">
      <c r="A16473" t="inlineStr">
        <is>
          <t>Kirayan Sur</t>
        </is>
      </c>
    </row>
    <row r="16474" spans="1:1">
      <c r="A16474" t="inlineStr">
        <is>
          <t>Kirayan Tacas</t>
        </is>
      </c>
    </row>
    <row r="16475" spans="1:1">
      <c r="A16475" t="inlineStr">
        <is>
          <t>La Consolacion</t>
        </is>
      </c>
    </row>
    <row r="16476" spans="1:1">
      <c r="A16476" t="inlineStr">
        <is>
          <t>Lacadon</t>
        </is>
      </c>
    </row>
    <row r="16477" spans="1:1">
      <c r="A16477" t="inlineStr">
        <is>
          <t>Lanutan</t>
        </is>
      </c>
    </row>
    <row r="16478" spans="1:1">
      <c r="A16478" t="inlineStr">
        <is>
          <t>Lumangan</t>
        </is>
      </c>
    </row>
    <row r="16479" spans="1:1">
      <c r="A16479" t="inlineStr">
        <is>
          <t>Mabayan</t>
        </is>
      </c>
    </row>
    <row r="16480" spans="1:1">
      <c r="A16480" t="inlineStr">
        <is>
          <t>Maduyo</t>
        </is>
      </c>
    </row>
    <row r="16481" spans="1:1">
      <c r="A16481" t="inlineStr">
        <is>
          <t>Malagyan</t>
        </is>
      </c>
    </row>
    <row r="16482" spans="1:1">
      <c r="A16482" t="inlineStr">
        <is>
          <t>Mambatad</t>
        </is>
      </c>
    </row>
    <row r="16483" spans="1:1">
      <c r="A16483" t="inlineStr">
        <is>
          <t>Maninila</t>
        </is>
      </c>
    </row>
    <row r="16484" spans="1:1">
      <c r="A16484" t="inlineStr">
        <is>
          <t>Maricolcol</t>
        </is>
      </c>
    </row>
    <row r="16485" spans="1:1">
      <c r="A16485" t="inlineStr">
        <is>
          <t>Maringyan</t>
        </is>
      </c>
    </row>
    <row r="16486" spans="1:1">
      <c r="A16486" t="inlineStr">
        <is>
          <t>Mat-y</t>
        </is>
      </c>
    </row>
    <row r="16487" spans="1:1">
      <c r="A16487" t="inlineStr">
        <is>
          <t>Matalngon</t>
        </is>
      </c>
    </row>
    <row r="16488" spans="1:1">
      <c r="A16488" t="inlineStr">
        <is>
          <t>Naclub</t>
        </is>
      </c>
    </row>
    <row r="16489" spans="1:1">
      <c r="A16489" t="inlineStr">
        <is>
          <t>Nam-o Norte</t>
        </is>
      </c>
    </row>
    <row r="16490" spans="1:1">
      <c r="A16490" t="inlineStr">
        <is>
          <t>Nam-o Sur</t>
        </is>
      </c>
    </row>
    <row r="16491" spans="1:1">
      <c r="A16491" t="inlineStr">
        <is>
          <t>Narat-an</t>
        </is>
      </c>
    </row>
    <row r="16492" spans="1:1">
      <c r="A16492" t="inlineStr">
        <is>
          <t>Narorogan</t>
        </is>
      </c>
    </row>
    <row r="16493" spans="1:1">
      <c r="A16493" t="inlineStr">
        <is>
          <t>Naulid</t>
        </is>
      </c>
    </row>
    <row r="16494" spans="1:1">
      <c r="A16494" t="inlineStr">
        <is>
          <t>Olango</t>
        </is>
      </c>
    </row>
    <row r="16495" spans="1:1">
      <c r="A16495" t="inlineStr">
        <is>
          <t>Ongyod</t>
        </is>
      </c>
    </row>
    <row r="16496" spans="1:1">
      <c r="A16496" t="inlineStr">
        <is>
          <t>Onop</t>
        </is>
      </c>
    </row>
    <row r="16497" spans="1:1">
      <c r="A16497" t="inlineStr">
        <is>
          <t>Oya-oy</t>
        </is>
      </c>
    </row>
    <row r="16498" spans="1:1">
      <c r="A16498" t="inlineStr">
        <is>
          <t>Oyungan</t>
        </is>
      </c>
    </row>
    <row r="16499" spans="1:1">
      <c r="A16499" t="inlineStr">
        <is>
          <t>Palaca</t>
        </is>
      </c>
    </row>
    <row r="16500" spans="1:1">
      <c r="A16500" t="inlineStr">
        <is>
          <t>Paro-on</t>
        </is>
      </c>
    </row>
    <row r="16501" spans="1:1">
      <c r="A16501" t="inlineStr">
        <is>
          <t>Potrido</t>
        </is>
      </c>
    </row>
    <row r="16502" spans="1:1">
      <c r="A16502" t="inlineStr">
        <is>
          <t>Pudpud</t>
        </is>
      </c>
    </row>
    <row r="16503" spans="1:1">
      <c r="A16503" t="inlineStr">
        <is>
          <t>Pungtod Monteclaro</t>
        </is>
      </c>
    </row>
    <row r="16504" spans="1:1">
      <c r="A16504" t="inlineStr">
        <is>
          <t>Pungtod Naulid</t>
        </is>
      </c>
    </row>
    <row r="16505" spans="1:1">
      <c r="A16505" t="inlineStr">
        <is>
          <t>Sag-on</t>
        </is>
      </c>
    </row>
    <row r="16506" spans="1:1">
      <c r="A16506" t="inlineStr">
        <is>
          <t>San Fernando</t>
        </is>
      </c>
    </row>
    <row r="16507" spans="1:1">
      <c r="A16507" t="inlineStr">
        <is>
          <t>San Jose</t>
        </is>
      </c>
    </row>
    <row r="16508" spans="1:1">
      <c r="A16508" t="inlineStr">
        <is>
          <t>San Rafael</t>
        </is>
      </c>
    </row>
    <row r="16509" spans="1:1">
      <c r="A16509" t="inlineStr">
        <is>
          <t>Sapa</t>
        </is>
      </c>
    </row>
    <row r="16510" spans="1:1">
      <c r="A16510" t="inlineStr">
        <is>
          <t>Saring</t>
        </is>
      </c>
    </row>
    <row r="16511" spans="1:1">
      <c r="A16511" t="inlineStr">
        <is>
          <t>Sibucao</t>
        </is>
      </c>
    </row>
    <row r="16512" spans="1:1">
      <c r="A16512" t="inlineStr">
        <is>
          <t>Taal</t>
        </is>
      </c>
    </row>
    <row r="16513" spans="1:1">
      <c r="A16513" t="inlineStr">
        <is>
          <t>Tabunacan</t>
        </is>
      </c>
    </row>
    <row r="16514" spans="1:1">
      <c r="A16514" t="inlineStr">
        <is>
          <t>Tacas</t>
        </is>
      </c>
    </row>
    <row r="16515" spans="1:1">
      <c r="A16515" t="inlineStr">
        <is>
          <t>Tambong</t>
        </is>
      </c>
    </row>
    <row r="16516" spans="1:1">
      <c r="A16516" t="inlineStr">
        <is>
          <t>Tan-agan</t>
        </is>
      </c>
    </row>
    <row r="16517" spans="1:1">
      <c r="A16517" t="inlineStr">
        <is>
          <t>Tatoy</t>
        </is>
      </c>
    </row>
    <row r="16518" spans="1:1">
      <c r="A16518" t="inlineStr">
        <is>
          <t>Ticdalan</t>
        </is>
      </c>
    </row>
    <row r="16519" spans="1:1">
      <c r="A16519" t="inlineStr">
        <is>
          <t>Tig-amaga</t>
        </is>
      </c>
    </row>
    <row r="16520" spans="1:1">
      <c r="A16520" t="inlineStr">
        <is>
          <t>Tig-Apog-Apog</t>
        </is>
      </c>
    </row>
    <row r="16521" spans="1:1">
      <c r="A16521" t="inlineStr">
        <is>
          <t>Tigbagacay</t>
        </is>
      </c>
    </row>
    <row r="16522" spans="1:1">
      <c r="A16522" t="inlineStr">
        <is>
          <t>Tiglawa</t>
        </is>
      </c>
    </row>
    <row r="16523" spans="1:1">
      <c r="A16523" t="inlineStr">
        <is>
          <t>Tigmalapad</t>
        </is>
      </c>
    </row>
    <row r="16524" spans="1:1">
      <c r="A16524" t="inlineStr">
        <is>
          <t>Tigmarabo</t>
        </is>
      </c>
    </row>
    <row r="16525" spans="1:1">
      <c r="A16525" t="inlineStr">
        <is>
          <t>To-og</t>
        </is>
      </c>
    </row>
    <row r="16526" spans="1:1">
      <c r="A16526" t="inlineStr">
        <is>
          <t>Tugura-ao</t>
        </is>
      </c>
    </row>
    <row r="16527" spans="1:1">
      <c r="A16527" t="inlineStr">
        <is>
          <t>Tumagboc</t>
        </is>
      </c>
    </row>
    <row r="16528" spans="1:1">
      <c r="A16528" t="inlineStr">
        <is>
          <t>Ubos Ilawod</t>
        </is>
      </c>
    </row>
    <row r="16529" spans="1:1">
      <c r="A16529" t="inlineStr">
        <is>
          <t>Ubos Ilaya</t>
        </is>
      </c>
    </row>
    <row r="16530" spans="1:1">
      <c r="A16530" t="inlineStr">
        <is>
          <t>Valencia</t>
        </is>
      </c>
    </row>
    <row r="16531" spans="1:1">
      <c r="A16531" t="inlineStr">
        <is>
          <t>Wayang</t>
        </is>
      </c>
    </row>
    <row r="16532" spans="1:1">
      <c r="A16532" t="inlineStr">
        <is>
          <t>Abat</t>
        </is>
      </c>
    </row>
    <row r="16533" spans="1:1">
      <c r="A16533" t="inlineStr">
        <is>
          <t>Agmanaphao</t>
        </is>
      </c>
    </row>
    <row r="16534" spans="1:1">
      <c r="A16534" t="inlineStr">
        <is>
          <t>Amiroy</t>
        </is>
      </c>
    </row>
    <row r="16535" spans="1:1">
      <c r="A16535" t="inlineStr">
        <is>
          <t>Badiangan</t>
        </is>
      </c>
    </row>
    <row r="16536" spans="1:1">
      <c r="A16536" t="inlineStr">
        <is>
          <t>Bangac</t>
        </is>
      </c>
    </row>
    <row r="16537" spans="1:1">
      <c r="A16537" t="inlineStr">
        <is>
          <t>Cabalabaguan</t>
        </is>
      </c>
    </row>
    <row r="16538" spans="1:1">
      <c r="A16538" t="inlineStr">
        <is>
          <t>Capul-an</t>
        </is>
      </c>
    </row>
    <row r="16539" spans="1:1">
      <c r="A16539" t="inlineStr">
        <is>
          <t>Dala</t>
        </is>
      </c>
    </row>
    <row r="16540" spans="1:1">
      <c r="A16540" t="inlineStr">
        <is>
          <t>Guibuangan</t>
        </is>
      </c>
    </row>
    <row r="16541" spans="1:1">
      <c r="A16541" t="inlineStr">
        <is>
          <t>Janipa-an East</t>
        </is>
      </c>
    </row>
    <row r="16542" spans="1:1">
      <c r="A16542" t="inlineStr">
        <is>
          <t>Janipa-an West</t>
        </is>
      </c>
    </row>
    <row r="16543" spans="1:1">
      <c r="A16543" t="inlineStr">
        <is>
          <t>Mina East</t>
        </is>
      </c>
    </row>
    <row r="16544" spans="1:1">
      <c r="A16544" t="inlineStr">
        <is>
          <t>Mina West</t>
        </is>
      </c>
    </row>
    <row r="16545" spans="1:1">
      <c r="A16545" t="inlineStr">
        <is>
          <t>Nasirum</t>
        </is>
      </c>
    </row>
    <row r="16546" spans="1:1">
      <c r="A16546" t="inlineStr">
        <is>
          <t>Naumuan</t>
        </is>
      </c>
    </row>
    <row r="16547" spans="1:1">
      <c r="A16547" t="inlineStr">
        <is>
          <t>Singay</t>
        </is>
      </c>
    </row>
    <row r="16548" spans="1:1">
      <c r="A16548" t="inlineStr">
        <is>
          <t>Talibong Grande</t>
        </is>
      </c>
    </row>
    <row r="16549" spans="1:1">
      <c r="A16549" t="inlineStr">
        <is>
          <t>Talibong Pequeño</t>
        </is>
      </c>
    </row>
    <row r="16550" spans="1:1">
      <c r="A16550" t="inlineStr">
        <is>
          <t>Tipolo</t>
        </is>
      </c>
    </row>
    <row r="16551" spans="1:1">
      <c r="A16551" t="inlineStr">
        <is>
          <t>Tolarucan</t>
        </is>
      </c>
    </row>
    <row r="16552" spans="1:1">
      <c r="A16552" t="inlineStr">
        <is>
          <t>Tumay</t>
        </is>
      </c>
    </row>
    <row r="16553" spans="1:1">
      <c r="A16553" t="inlineStr">
        <is>
          <t>Yugot</t>
        </is>
      </c>
    </row>
    <row r="16554" spans="1:1">
      <c r="A16554" t="inlineStr">
        <is>
          <t>Baclayan</t>
        </is>
      </c>
    </row>
    <row r="16555" spans="1:1">
      <c r="A16555" t="inlineStr">
        <is>
          <t>Badiang</t>
        </is>
      </c>
    </row>
    <row r="16556" spans="1:1">
      <c r="A16556" t="inlineStr">
        <is>
          <t>Balabag</t>
        </is>
      </c>
    </row>
    <row r="16557" spans="1:1">
      <c r="A16557" t="inlineStr">
        <is>
          <t>Bilidan</t>
        </is>
      </c>
    </row>
    <row r="16558" spans="1:1">
      <c r="A16558" t="inlineStr">
        <is>
          <t>Bita-og Gaja</t>
        </is>
      </c>
    </row>
    <row r="16559" spans="1:1">
      <c r="A16559" t="inlineStr">
        <is>
          <t>Bololacao</t>
        </is>
      </c>
    </row>
    <row r="16560" spans="1:1">
      <c r="A16560" t="inlineStr">
        <is>
          <t>Burot</t>
        </is>
      </c>
    </row>
    <row r="16561" spans="1:1">
      <c r="A16561" t="inlineStr">
        <is>
          <t>Cabilauan</t>
        </is>
      </c>
    </row>
    <row r="16562" spans="1:1">
      <c r="A16562" t="inlineStr">
        <is>
          <t>Cabugao</t>
        </is>
      </c>
    </row>
    <row r="16563" spans="1:1">
      <c r="A16563" t="inlineStr">
        <is>
          <t>Cagban</t>
        </is>
      </c>
    </row>
    <row r="16564" spans="1:1">
      <c r="A16564" t="inlineStr">
        <is>
          <t>Calumbuyan</t>
        </is>
      </c>
    </row>
    <row r="16565" spans="1:1">
      <c r="A16565" t="inlineStr">
        <is>
          <t>Damires</t>
        </is>
      </c>
    </row>
    <row r="16566" spans="1:1">
      <c r="A16566" t="inlineStr">
        <is>
          <t>Dawis</t>
        </is>
      </c>
    </row>
    <row r="16567" spans="1:1">
      <c r="A16567" t="inlineStr">
        <is>
          <t>General Delgado</t>
        </is>
      </c>
    </row>
    <row r="16568" spans="1:1">
      <c r="A16568" t="inlineStr">
        <is>
          <t>Guinobatan</t>
        </is>
      </c>
    </row>
    <row r="16569" spans="1:1">
      <c r="A16569" t="inlineStr">
        <is>
          <t>Janipa-an Oeste</t>
        </is>
      </c>
    </row>
    <row r="16570" spans="1:1">
      <c r="A16570" t="inlineStr">
        <is>
          <t>Jelicuon Este</t>
        </is>
      </c>
    </row>
    <row r="16571" spans="1:1">
      <c r="A16571" t="inlineStr">
        <is>
          <t>Jelicuon Oeste</t>
        </is>
      </c>
    </row>
    <row r="16572" spans="1:1">
      <c r="A16572" t="inlineStr">
        <is>
          <t>Pasil</t>
        </is>
      </c>
    </row>
    <row r="16573" spans="1:1">
      <c r="A16573" t="inlineStr">
        <is>
          <t>Poblacion</t>
        </is>
      </c>
    </row>
    <row r="16574" spans="1:1">
      <c r="A16574" t="inlineStr">
        <is>
          <t>Wari-wari</t>
        </is>
      </c>
    </row>
    <row r="16575" spans="1:1">
      <c r="A16575" t="inlineStr">
        <is>
          <t>Abilay Norte</t>
        </is>
      </c>
    </row>
    <row r="16576" spans="1:1">
      <c r="A16576" t="inlineStr">
        <is>
          <t>Abilay Sur</t>
        </is>
      </c>
    </row>
    <row r="16577" spans="1:1">
      <c r="A16577" t="inlineStr">
        <is>
          <t>Alegre</t>
        </is>
      </c>
    </row>
    <row r="16578" spans="1:1">
      <c r="A16578" t="inlineStr">
        <is>
          <t>Batuan Ilaud</t>
        </is>
      </c>
    </row>
    <row r="16579" spans="1:1">
      <c r="A16579" t="inlineStr">
        <is>
          <t>Batuan Ilaya</t>
        </is>
      </c>
    </row>
    <row r="16580" spans="1:1">
      <c r="A16580" t="inlineStr">
        <is>
          <t>Bita Norte</t>
        </is>
      </c>
    </row>
    <row r="16581" spans="1:1">
      <c r="A16581" t="inlineStr">
        <is>
          <t>Bita Sur</t>
        </is>
      </c>
    </row>
    <row r="16582" spans="1:1">
      <c r="A16582" t="inlineStr">
        <is>
          <t>Botong</t>
        </is>
      </c>
    </row>
    <row r="16583" spans="1:1">
      <c r="A16583" t="inlineStr">
        <is>
          <t>Buray</t>
        </is>
      </c>
    </row>
    <row r="16584" spans="1:1">
      <c r="A16584" t="inlineStr">
        <is>
          <t>Cabanbanan</t>
        </is>
      </c>
    </row>
    <row r="16585" spans="1:1">
      <c r="A16585" t="inlineStr">
        <is>
          <t>Caboloan Norte</t>
        </is>
      </c>
    </row>
    <row r="16586" spans="1:1">
      <c r="A16586" t="inlineStr">
        <is>
          <t>Caboloan Sur</t>
        </is>
      </c>
    </row>
    <row r="16587" spans="1:1">
      <c r="A16587" t="inlineStr">
        <is>
          <t>Cadinglian</t>
        </is>
      </c>
    </row>
    <row r="16588" spans="1:1">
      <c r="A16588" t="inlineStr">
        <is>
          <t>Cagbang</t>
        </is>
      </c>
    </row>
    <row r="16589" spans="1:1">
      <c r="A16589" t="inlineStr">
        <is>
          <t>Calam-isan</t>
        </is>
      </c>
    </row>
    <row r="16590" spans="1:1">
      <c r="A16590" t="inlineStr">
        <is>
          <t>Galang</t>
        </is>
      </c>
    </row>
    <row r="16591" spans="1:1">
      <c r="A16591" t="inlineStr">
        <is>
          <t>Lambuyao</t>
        </is>
      </c>
    </row>
    <row r="16592" spans="1:1">
      <c r="A16592" t="inlineStr">
        <is>
          <t>Mambog</t>
        </is>
      </c>
    </row>
    <row r="16593" spans="1:1">
      <c r="A16593" t="inlineStr">
        <is>
          <t>Pakiad</t>
        </is>
      </c>
    </row>
    <row r="16594" spans="1:1">
      <c r="A16594" t="inlineStr">
        <is>
          <t>Poblacion East</t>
        </is>
      </c>
    </row>
    <row r="16595" spans="1:1">
      <c r="A16595" t="inlineStr">
        <is>
          <t>Poblacion North</t>
        </is>
      </c>
    </row>
    <row r="16596" spans="1:1">
      <c r="A16596" t="inlineStr">
        <is>
          <t>Poblacion South</t>
        </is>
      </c>
    </row>
    <row r="16597" spans="1:1">
      <c r="A16597" t="inlineStr">
        <is>
          <t>Poblacion West</t>
        </is>
      </c>
    </row>
    <row r="16598" spans="1:1">
      <c r="A16598" t="inlineStr">
        <is>
          <t>Polo Maestra Bita</t>
        </is>
      </c>
    </row>
    <row r="16599" spans="1:1">
      <c r="A16599" t="inlineStr">
        <is>
          <t>Rizal</t>
        </is>
      </c>
    </row>
    <row r="16600" spans="1:1">
      <c r="A16600" t="inlineStr">
        <is>
          <t>Salngan</t>
        </is>
      </c>
    </row>
    <row r="16601" spans="1:1">
      <c r="A16601" t="inlineStr">
        <is>
          <t>Sambaludan</t>
        </is>
      </c>
    </row>
    <row r="16602" spans="1:1">
      <c r="A16602" t="inlineStr">
        <is>
          <t>San Antonio</t>
        </is>
      </c>
    </row>
    <row r="16603" spans="1:1">
      <c r="A16603" t="inlineStr">
        <is>
          <t>San Nicolas</t>
        </is>
      </c>
    </row>
    <row r="16604" spans="1:1">
      <c r="A16604" t="inlineStr">
        <is>
          <t>Santa Clara</t>
        </is>
      </c>
    </row>
    <row r="16605" spans="1:1">
      <c r="A16605" t="inlineStr">
        <is>
          <t>Santa Monica</t>
        </is>
      </c>
    </row>
    <row r="16606" spans="1:1">
      <c r="A16606" t="inlineStr">
        <is>
          <t>Santa Rita</t>
        </is>
      </c>
    </row>
    <row r="16607" spans="1:1">
      <c r="A16607" t="inlineStr">
        <is>
          <t>Tagbac Norte</t>
        </is>
      </c>
    </row>
    <row r="16608" spans="1:1">
      <c r="A16608" t="inlineStr">
        <is>
          <t>Tagbac Sur</t>
        </is>
      </c>
    </row>
    <row r="16609" spans="1:1">
      <c r="A16609" t="inlineStr">
        <is>
          <t>Trapiche</t>
        </is>
      </c>
    </row>
    <row r="16610" spans="1:1">
      <c r="A16610" t="inlineStr">
        <is>
          <t>Tuburan</t>
        </is>
      </c>
    </row>
    <row r="16611" spans="1:1">
      <c r="A16611" t="inlineStr">
        <is>
          <t>Turog-Turog</t>
        </is>
      </c>
    </row>
    <row r="16612" spans="1:1">
      <c r="A16612" t="inlineStr">
        <is>
          <t>Aganan</t>
        </is>
      </c>
    </row>
    <row r="16613" spans="1:1">
      <c r="A16613" t="inlineStr">
        <is>
          <t>Amparo</t>
        </is>
      </c>
    </row>
    <row r="16614" spans="1:1">
      <c r="A16614" t="inlineStr">
        <is>
          <t>Anilao</t>
        </is>
      </c>
    </row>
    <row r="16615" spans="1:1">
      <c r="A16615" t="inlineStr">
        <is>
          <t>Balabag</t>
        </is>
      </c>
    </row>
    <row r="16616" spans="1:1">
      <c r="A16616" t="inlineStr">
        <is>
          <t>Cabugao Norte</t>
        </is>
      </c>
    </row>
    <row r="16617" spans="1:1">
      <c r="A16617" t="inlineStr">
        <is>
          <t>Cabugao Sur</t>
        </is>
      </c>
    </row>
    <row r="16618" spans="1:1">
      <c r="A16618" t="inlineStr">
        <is>
          <t>Jibao-an</t>
        </is>
      </c>
    </row>
    <row r="16619" spans="1:1">
      <c r="A16619" t="inlineStr">
        <is>
          <t>Mali-ao</t>
        </is>
      </c>
    </row>
    <row r="16620" spans="1:1">
      <c r="A16620" t="inlineStr">
        <is>
          <t>Pagsanga-an</t>
        </is>
      </c>
    </row>
    <row r="16621" spans="1:1">
      <c r="A16621" t="inlineStr">
        <is>
          <t>Pal-agon</t>
        </is>
      </c>
    </row>
    <row r="16622" spans="1:1">
      <c r="A16622" t="inlineStr">
        <is>
          <t>Pandac</t>
        </is>
      </c>
    </row>
    <row r="16623" spans="1:1">
      <c r="A16623" t="inlineStr">
        <is>
          <t>Purok I</t>
        </is>
      </c>
    </row>
    <row r="16624" spans="1:1">
      <c r="A16624" t="inlineStr">
        <is>
          <t>Purok II</t>
        </is>
      </c>
    </row>
    <row r="16625" spans="1:1">
      <c r="A16625" t="inlineStr">
        <is>
          <t>Purok III</t>
        </is>
      </c>
    </row>
    <row r="16626" spans="1:1">
      <c r="A16626" t="inlineStr">
        <is>
          <t>Purok IV</t>
        </is>
      </c>
    </row>
    <row r="16627" spans="1:1">
      <c r="A16627" t="inlineStr">
        <is>
          <t>Tigum</t>
        </is>
      </c>
    </row>
    <row r="16628" spans="1:1">
      <c r="A16628" t="inlineStr">
        <is>
          <t>Ungka I</t>
        </is>
      </c>
    </row>
    <row r="16629" spans="1:1">
      <c r="A16629" t="inlineStr">
        <is>
          <t>Ungka II</t>
        </is>
      </c>
    </row>
    <row r="16630" spans="1:1">
      <c r="A16630" t="inlineStr">
        <is>
          <t>Abangay</t>
        </is>
      </c>
    </row>
    <row r="16631" spans="1:1">
      <c r="A16631" t="inlineStr">
        <is>
          <t>Amamaros</t>
        </is>
      </c>
    </row>
    <row r="16632" spans="1:1">
      <c r="A16632" t="inlineStr">
        <is>
          <t>Bagacay</t>
        </is>
      </c>
    </row>
    <row r="16633" spans="1:1">
      <c r="A16633" t="inlineStr">
        <is>
          <t>Barasan</t>
        </is>
      </c>
    </row>
    <row r="16634" spans="1:1">
      <c r="A16634" t="inlineStr">
        <is>
          <t>Batuan</t>
        </is>
      </c>
    </row>
    <row r="16635" spans="1:1">
      <c r="A16635" t="inlineStr">
        <is>
          <t>Bongco</t>
        </is>
      </c>
    </row>
    <row r="16636" spans="1:1">
      <c r="A16636" t="inlineStr">
        <is>
          <t>Cahaguichican</t>
        </is>
      </c>
    </row>
    <row r="16637" spans="1:1">
      <c r="A16637" t="inlineStr">
        <is>
          <t>Callan</t>
        </is>
      </c>
    </row>
    <row r="16638" spans="1:1">
      <c r="A16638" t="inlineStr">
        <is>
          <t>Cansilayan</t>
        </is>
      </c>
    </row>
    <row r="16639" spans="1:1">
      <c r="A16639" t="inlineStr">
        <is>
          <t>Casalsagan</t>
        </is>
      </c>
    </row>
    <row r="16640" spans="1:1">
      <c r="A16640" t="inlineStr">
        <is>
          <t>Cato-ogan</t>
        </is>
      </c>
    </row>
    <row r="16641" spans="1:1">
      <c r="A16641" t="inlineStr">
        <is>
          <t>Cau-ayan</t>
        </is>
      </c>
    </row>
    <row r="16642" spans="1:1">
      <c r="A16642" t="inlineStr">
        <is>
          <t>Culob</t>
        </is>
      </c>
    </row>
    <row r="16643" spans="1:1">
      <c r="A16643" t="inlineStr">
        <is>
          <t>Danao</t>
        </is>
      </c>
    </row>
    <row r="16644" spans="1:1">
      <c r="A16644" t="inlineStr">
        <is>
          <t>Dapitan</t>
        </is>
      </c>
    </row>
    <row r="16645" spans="1:1">
      <c r="A16645" t="inlineStr">
        <is>
          <t>Dawis</t>
        </is>
      </c>
    </row>
    <row r="16646" spans="1:1">
      <c r="A16646" t="inlineStr">
        <is>
          <t>Dongsol</t>
        </is>
      </c>
    </row>
    <row r="16647" spans="1:1">
      <c r="A16647" t="inlineStr">
        <is>
          <t>Fernando Parcon Ward</t>
        </is>
      </c>
    </row>
    <row r="16648" spans="1:1">
      <c r="A16648" t="inlineStr">
        <is>
          <t>Fundacion</t>
        </is>
      </c>
    </row>
    <row r="16649" spans="1:1">
      <c r="A16649" t="inlineStr">
        <is>
          <t>Guibuangan</t>
        </is>
      </c>
    </row>
    <row r="16650" spans="1:1">
      <c r="A16650" t="inlineStr">
        <is>
          <t>Guinacas</t>
        </is>
      </c>
    </row>
    <row r="16651" spans="1:1">
      <c r="A16651" t="inlineStr">
        <is>
          <t>Igang</t>
        </is>
      </c>
    </row>
    <row r="16652" spans="1:1">
      <c r="A16652" t="inlineStr">
        <is>
          <t>Intaluan</t>
        </is>
      </c>
    </row>
    <row r="16653" spans="1:1">
      <c r="A16653" t="inlineStr">
        <is>
          <t>Iwa Ilaud</t>
        </is>
      </c>
    </row>
    <row r="16654" spans="1:1">
      <c r="A16654" t="inlineStr">
        <is>
          <t>Iwa Ilaya</t>
        </is>
      </c>
    </row>
    <row r="16655" spans="1:1">
      <c r="A16655" t="inlineStr">
        <is>
          <t>Jamabalud</t>
        </is>
      </c>
    </row>
    <row r="16656" spans="1:1">
      <c r="A16656" t="inlineStr">
        <is>
          <t>Jebioc</t>
        </is>
      </c>
    </row>
    <row r="16657" spans="1:1">
      <c r="A16657" t="inlineStr">
        <is>
          <t>Lay-Ahan</t>
        </is>
      </c>
    </row>
    <row r="16658" spans="1:1">
      <c r="A16658" t="inlineStr">
        <is>
          <t>Lopez Jaena Ward</t>
        </is>
      </c>
    </row>
    <row r="16659" spans="1:1">
      <c r="A16659" t="inlineStr">
        <is>
          <t>Lumbo</t>
        </is>
      </c>
    </row>
    <row r="16660" spans="1:1">
      <c r="A16660" t="inlineStr">
        <is>
          <t>Macatol</t>
        </is>
      </c>
    </row>
    <row r="16661" spans="1:1">
      <c r="A16661" t="inlineStr">
        <is>
          <t>Malusgod</t>
        </is>
      </c>
    </row>
    <row r="16662" spans="1:1">
      <c r="A16662" t="inlineStr">
        <is>
          <t>Nabitasan</t>
        </is>
      </c>
    </row>
    <row r="16663" spans="1:1">
      <c r="A16663" t="inlineStr">
        <is>
          <t>Naga</t>
        </is>
      </c>
    </row>
    <row r="16664" spans="1:1">
      <c r="A16664" t="inlineStr">
        <is>
          <t>Nanga</t>
        </is>
      </c>
    </row>
    <row r="16665" spans="1:1">
      <c r="A16665" t="inlineStr">
        <is>
          <t>Naslo</t>
        </is>
      </c>
    </row>
    <row r="16666" spans="1:1">
      <c r="A16666" t="inlineStr">
        <is>
          <t>Pajo</t>
        </is>
      </c>
    </row>
    <row r="16667" spans="1:1">
      <c r="A16667" t="inlineStr">
        <is>
          <t>Palanguia</t>
        </is>
      </c>
    </row>
    <row r="16668" spans="1:1">
      <c r="A16668" t="inlineStr">
        <is>
          <t>Pitogo</t>
        </is>
      </c>
    </row>
    <row r="16669" spans="1:1">
      <c r="A16669" t="inlineStr">
        <is>
          <t>Polot-an</t>
        </is>
      </c>
    </row>
    <row r="16670" spans="1:1">
      <c r="A16670" t="inlineStr">
        <is>
          <t>Primitivo Ledesma Ward</t>
        </is>
      </c>
    </row>
    <row r="16671" spans="1:1">
      <c r="A16671" t="inlineStr">
        <is>
          <t>Purog</t>
        </is>
      </c>
    </row>
    <row r="16672" spans="1:1">
      <c r="A16672" t="inlineStr">
        <is>
          <t>Rumbang</t>
        </is>
      </c>
    </row>
    <row r="16673" spans="1:1">
      <c r="A16673" t="inlineStr">
        <is>
          <t>San Jose Ward</t>
        </is>
      </c>
    </row>
    <row r="16674" spans="1:1">
      <c r="A16674" t="inlineStr">
        <is>
          <t>Sinuagan</t>
        </is>
      </c>
    </row>
    <row r="16675" spans="1:1">
      <c r="A16675" t="inlineStr">
        <is>
          <t>Tuburan</t>
        </is>
      </c>
    </row>
    <row r="16676" spans="1:1">
      <c r="A16676" t="inlineStr">
        <is>
          <t>Tumcon Ilaud</t>
        </is>
      </c>
    </row>
    <row r="16677" spans="1:1">
      <c r="A16677" t="inlineStr">
        <is>
          <t>Tumcon Ilaya</t>
        </is>
      </c>
    </row>
    <row r="16678" spans="1:1">
      <c r="A16678" t="inlineStr">
        <is>
          <t>Ubang</t>
        </is>
      </c>
    </row>
    <row r="16679" spans="1:1">
      <c r="A16679" t="inlineStr">
        <is>
          <t>Zarrague</t>
        </is>
      </c>
    </row>
    <row r="16680" spans="1:1">
      <c r="A16680" t="inlineStr">
        <is>
          <t>Agdaliran</t>
        </is>
      </c>
    </row>
    <row r="16681" spans="1:1">
      <c r="A16681" t="inlineStr">
        <is>
          <t>Amayong</t>
        </is>
      </c>
    </row>
    <row r="16682" spans="1:1">
      <c r="A16682" t="inlineStr">
        <is>
          <t>Bagacay</t>
        </is>
      </c>
    </row>
    <row r="16683" spans="1:1">
      <c r="A16683" t="inlineStr">
        <is>
          <t>Batuan</t>
        </is>
      </c>
    </row>
    <row r="16684" spans="1:1">
      <c r="A16684" t="inlineStr">
        <is>
          <t>Bondulan</t>
        </is>
      </c>
    </row>
    <row r="16685" spans="1:1">
      <c r="A16685" t="inlineStr">
        <is>
          <t>Boroñgon</t>
        </is>
      </c>
    </row>
    <row r="16686" spans="1:1">
      <c r="A16686" t="inlineStr">
        <is>
          <t>Canas</t>
        </is>
      </c>
    </row>
    <row r="16687" spans="1:1">
      <c r="A16687" t="inlineStr">
        <is>
          <t>Capinang</t>
        </is>
      </c>
    </row>
    <row r="16688" spans="1:1">
      <c r="A16688" t="inlineStr">
        <is>
          <t>Cubay</t>
        </is>
      </c>
    </row>
    <row r="16689" spans="1:1">
      <c r="A16689" t="inlineStr">
        <is>
          <t>Cudionan</t>
        </is>
      </c>
    </row>
    <row r="16690" spans="1:1">
      <c r="A16690" t="inlineStr">
        <is>
          <t>Dugman</t>
        </is>
      </c>
    </row>
    <row r="16691" spans="1:1">
      <c r="A16691" t="inlineStr">
        <is>
          <t>Hacienda Conchita</t>
        </is>
      </c>
    </row>
    <row r="16692" spans="1:1">
      <c r="A16692" t="inlineStr">
        <is>
          <t>Madanlog</t>
        </is>
      </c>
    </row>
    <row r="16693" spans="1:1">
      <c r="A16693" t="inlineStr">
        <is>
          <t>Mandu-awak</t>
        </is>
      </c>
    </row>
    <row r="16694" spans="1:1">
      <c r="A16694" t="inlineStr">
        <is>
          <t>Moto</t>
        </is>
      </c>
    </row>
    <row r="16695" spans="1:1">
      <c r="A16695" t="inlineStr">
        <is>
          <t>Naborot</t>
        </is>
      </c>
    </row>
    <row r="16696" spans="1:1">
      <c r="A16696" t="inlineStr">
        <is>
          <t>Nipa</t>
        </is>
      </c>
    </row>
    <row r="16697" spans="1:1">
      <c r="A16697" t="inlineStr">
        <is>
          <t>Odiongan</t>
        </is>
      </c>
    </row>
    <row r="16698" spans="1:1">
      <c r="A16698" t="inlineStr">
        <is>
          <t>Pangi</t>
        </is>
      </c>
    </row>
    <row r="16699" spans="1:1">
      <c r="A16699" t="inlineStr">
        <is>
          <t>Pase</t>
        </is>
      </c>
    </row>
    <row r="16700" spans="1:1">
      <c r="A16700" t="inlineStr">
        <is>
          <t>Poblacion</t>
        </is>
      </c>
    </row>
    <row r="16701" spans="1:1">
      <c r="A16701" t="inlineStr">
        <is>
          <t>San Nicolas</t>
        </is>
      </c>
    </row>
    <row r="16702" spans="1:1">
      <c r="A16702" t="inlineStr">
        <is>
          <t>Santol</t>
        </is>
      </c>
    </row>
    <row r="16703" spans="1:1">
      <c r="A16703" t="inlineStr">
        <is>
          <t>Siempreviva</t>
        </is>
      </c>
    </row>
    <row r="16704" spans="1:1">
      <c r="A16704" t="inlineStr">
        <is>
          <t>Sua</t>
        </is>
      </c>
    </row>
    <row r="16705" spans="1:1">
      <c r="A16705" t="inlineStr">
        <is>
          <t>Talo-ato</t>
        </is>
      </c>
    </row>
    <row r="16706" spans="1:1">
      <c r="A16706" t="inlineStr">
        <is>
          <t>Tamangi</t>
        </is>
      </c>
    </row>
    <row r="16707" spans="1:1">
      <c r="A16707" t="inlineStr">
        <is>
          <t>Tiabas</t>
        </is>
      </c>
    </row>
    <row r="16708" spans="1:1">
      <c r="A16708" t="inlineStr">
        <is>
          <t>Tuble</t>
        </is>
      </c>
    </row>
    <row r="16709" spans="1:1">
      <c r="A16709" t="inlineStr">
        <is>
          <t>Abaca</t>
        </is>
      </c>
    </row>
    <row r="16710" spans="1:1">
      <c r="A16710" t="inlineStr">
        <is>
          <t>Asisig</t>
        </is>
      </c>
    </row>
    <row r="16711" spans="1:1">
      <c r="A16711" t="inlineStr">
        <is>
          <t>Bantayan</t>
        </is>
      </c>
    </row>
    <row r="16712" spans="1:1">
      <c r="A16712" t="inlineStr">
        <is>
          <t>Braulan</t>
        </is>
      </c>
    </row>
    <row r="16713" spans="1:1">
      <c r="A16713" t="inlineStr">
        <is>
          <t>Cabugao Nuevo</t>
        </is>
      </c>
    </row>
    <row r="16714" spans="1:1">
      <c r="A16714" t="inlineStr">
        <is>
          <t>Cabugao Viejo</t>
        </is>
      </c>
    </row>
    <row r="16715" spans="1:1">
      <c r="A16715" t="inlineStr">
        <is>
          <t>Camiri</t>
        </is>
      </c>
    </row>
    <row r="16716" spans="1:1">
      <c r="A16716" t="inlineStr">
        <is>
          <t>Catan-Agan</t>
        </is>
      </c>
    </row>
    <row r="16717" spans="1:1">
      <c r="A16717" t="inlineStr">
        <is>
          <t>Compo</t>
        </is>
      </c>
    </row>
    <row r="16718" spans="1:1">
      <c r="A16718" t="inlineStr">
        <is>
          <t>Cubay</t>
        </is>
      </c>
    </row>
    <row r="16719" spans="1:1">
      <c r="A16719" t="inlineStr">
        <is>
          <t>Dacal</t>
        </is>
      </c>
    </row>
    <row r="16720" spans="1:1">
      <c r="A16720" t="inlineStr">
        <is>
          <t>Dumiles</t>
        </is>
      </c>
    </row>
    <row r="16721" spans="1:1">
      <c r="A16721" t="inlineStr">
        <is>
          <t>Garita</t>
        </is>
      </c>
    </row>
    <row r="16722" spans="1:1">
      <c r="A16722" t="inlineStr">
        <is>
          <t>Gines Nuevo</t>
        </is>
      </c>
    </row>
    <row r="16723" spans="1:1">
      <c r="A16723" t="inlineStr">
        <is>
          <t>Imbang Pequeño</t>
        </is>
      </c>
    </row>
    <row r="16724" spans="1:1">
      <c r="A16724" t="inlineStr">
        <is>
          <t>Imbesad-an</t>
        </is>
      </c>
    </row>
    <row r="16725" spans="1:1">
      <c r="A16725" t="inlineStr">
        <is>
          <t>Iprog</t>
        </is>
      </c>
    </row>
    <row r="16726" spans="1:1">
      <c r="A16726" t="inlineStr">
        <is>
          <t>Lip-ac</t>
        </is>
      </c>
    </row>
    <row r="16727" spans="1:1">
      <c r="A16727" t="inlineStr">
        <is>
          <t>Madarag</t>
        </is>
      </c>
    </row>
    <row r="16728" spans="1:1">
      <c r="A16728" t="inlineStr">
        <is>
          <t>Mapili</t>
        </is>
      </c>
    </row>
    <row r="16729" spans="1:1">
      <c r="A16729" t="inlineStr">
        <is>
          <t>Paga</t>
        </is>
      </c>
    </row>
    <row r="16730" spans="1:1">
      <c r="A16730" t="inlineStr">
        <is>
          <t>Palje</t>
        </is>
      </c>
    </row>
    <row r="16731" spans="1:1">
      <c r="A16731" t="inlineStr">
        <is>
          <t>Poblacion Ilawod</t>
        </is>
      </c>
    </row>
    <row r="16732" spans="1:1">
      <c r="A16732" t="inlineStr">
        <is>
          <t>Poblacion Ilaya</t>
        </is>
      </c>
    </row>
    <row r="16733" spans="1:1">
      <c r="A16733" t="inlineStr">
        <is>
          <t>Quinolpan</t>
        </is>
      </c>
    </row>
    <row r="16734" spans="1:1">
      <c r="A16734" t="inlineStr">
        <is>
          <t>Rumagayray</t>
        </is>
      </c>
    </row>
    <row r="16735" spans="1:1">
      <c r="A16735" t="inlineStr">
        <is>
          <t>San Antonio</t>
        </is>
      </c>
    </row>
    <row r="16736" spans="1:1">
      <c r="A16736" t="inlineStr">
        <is>
          <t>Tambunac</t>
        </is>
      </c>
    </row>
    <row r="16737" spans="1:1">
      <c r="A16737" t="inlineStr">
        <is>
          <t>Amboyu-an</t>
        </is>
      </c>
    </row>
    <row r="16738" spans="1:1">
      <c r="A16738" t="inlineStr">
        <is>
          <t>Andres Bonifacio</t>
        </is>
      </c>
    </row>
    <row r="16739" spans="1:1">
      <c r="A16739" t="inlineStr">
        <is>
          <t>Antalon</t>
        </is>
      </c>
    </row>
    <row r="16740" spans="1:1">
      <c r="A16740" t="inlineStr">
        <is>
          <t>Bad-as</t>
        </is>
      </c>
    </row>
    <row r="16741" spans="1:1">
      <c r="A16741" t="inlineStr">
        <is>
          <t>Bagumbayan</t>
        </is>
      </c>
    </row>
    <row r="16742" spans="1:1">
      <c r="A16742" t="inlineStr">
        <is>
          <t>Balabago</t>
        </is>
      </c>
    </row>
    <row r="16743" spans="1:1">
      <c r="A16743" t="inlineStr">
        <is>
          <t>Baybay</t>
        </is>
      </c>
    </row>
    <row r="16744" spans="1:1">
      <c r="A16744" t="inlineStr">
        <is>
          <t>Bayunan</t>
        </is>
      </c>
    </row>
    <row r="16745" spans="1:1">
      <c r="A16745" t="inlineStr">
        <is>
          <t>Bolbogan</t>
        </is>
      </c>
    </row>
    <row r="16746" spans="1:1">
      <c r="A16746" t="inlineStr">
        <is>
          <t>Bonga</t>
        </is>
      </c>
    </row>
    <row r="16747" spans="1:1">
      <c r="A16747" t="inlineStr">
        <is>
          <t>Bucaya</t>
        </is>
      </c>
    </row>
    <row r="16748" spans="1:1">
      <c r="A16748" t="inlineStr">
        <is>
          <t>Bulho</t>
        </is>
      </c>
    </row>
    <row r="16749" spans="1:1">
      <c r="A16749" t="inlineStr">
        <is>
          <t>Cadluman</t>
        </is>
      </c>
    </row>
    <row r="16750" spans="1:1">
      <c r="A16750" t="inlineStr">
        <is>
          <t>Cadoldolan</t>
        </is>
      </c>
    </row>
    <row r="16751" spans="1:1">
      <c r="A16751" t="inlineStr">
        <is>
          <t>Camaba-an</t>
        </is>
      </c>
    </row>
    <row r="16752" spans="1:1">
      <c r="A16752" t="inlineStr">
        <is>
          <t>Camia</t>
        </is>
      </c>
    </row>
    <row r="16753" spans="1:1">
      <c r="A16753" t="inlineStr">
        <is>
          <t>Cata-an</t>
        </is>
      </c>
    </row>
    <row r="16754" spans="1:1">
      <c r="A16754" t="inlineStr">
        <is>
          <t>Crossing Dapuyan</t>
        </is>
      </c>
    </row>
    <row r="16755" spans="1:1">
      <c r="A16755" t="inlineStr">
        <is>
          <t>Cubay</t>
        </is>
      </c>
    </row>
    <row r="16756" spans="1:1">
      <c r="A16756" t="inlineStr">
        <is>
          <t>Cumarascas</t>
        </is>
      </c>
    </row>
    <row r="16757" spans="1:1">
      <c r="A16757" t="inlineStr">
        <is>
          <t>Dacdacanan</t>
        </is>
      </c>
    </row>
    <row r="16758" spans="1:1">
      <c r="A16758" t="inlineStr">
        <is>
          <t>Danawan</t>
        </is>
      </c>
    </row>
    <row r="16759" spans="1:1">
      <c r="A16759" t="inlineStr">
        <is>
          <t>Doldol</t>
        </is>
      </c>
    </row>
    <row r="16760" spans="1:1">
      <c r="A16760" t="inlineStr">
        <is>
          <t>Dongoc</t>
        </is>
      </c>
    </row>
    <row r="16761" spans="1:1">
      <c r="A16761" t="inlineStr">
        <is>
          <t>Escalantera</t>
        </is>
      </c>
    </row>
    <row r="16762" spans="1:1">
      <c r="A16762" t="inlineStr">
        <is>
          <t>Ginot-an</t>
        </is>
      </c>
    </row>
    <row r="16763" spans="1:1">
      <c r="A16763" t="inlineStr">
        <is>
          <t>Guibongan Bayunan</t>
        </is>
      </c>
    </row>
    <row r="16764" spans="1:1">
      <c r="A16764" t="inlineStr">
        <is>
          <t>Huna</t>
        </is>
      </c>
    </row>
    <row r="16765" spans="1:1">
      <c r="A16765" t="inlineStr">
        <is>
          <t>Igbaje</t>
        </is>
      </c>
    </row>
    <row r="16766" spans="1:1">
      <c r="A16766" t="inlineStr">
        <is>
          <t>Igbangcal</t>
        </is>
      </c>
    </row>
    <row r="16767" spans="1:1">
      <c r="A16767" t="inlineStr">
        <is>
          <t>Igbinangon</t>
        </is>
      </c>
    </row>
    <row r="16768" spans="1:1">
      <c r="A16768" t="inlineStr">
        <is>
          <t>Igburi</t>
        </is>
      </c>
    </row>
    <row r="16769" spans="1:1">
      <c r="A16769" t="inlineStr">
        <is>
          <t>Igcabutong</t>
        </is>
      </c>
    </row>
    <row r="16770" spans="1:1">
      <c r="A16770" t="inlineStr">
        <is>
          <t>Igcadlum</t>
        </is>
      </c>
    </row>
    <row r="16771" spans="1:1">
      <c r="A16771" t="inlineStr">
        <is>
          <t>Igcaphang</t>
        </is>
      </c>
    </row>
    <row r="16772" spans="1:1">
      <c r="A16772" t="inlineStr">
        <is>
          <t>Igcaratong</t>
        </is>
      </c>
    </row>
    <row r="16773" spans="1:1">
      <c r="A16773" t="inlineStr">
        <is>
          <t>Igcondao</t>
        </is>
      </c>
    </row>
    <row r="16774" spans="1:1">
      <c r="A16774" t="inlineStr">
        <is>
          <t>Igcores</t>
        </is>
      </c>
    </row>
    <row r="16775" spans="1:1">
      <c r="A16775" t="inlineStr">
        <is>
          <t>Igdagmay</t>
        </is>
      </c>
    </row>
    <row r="16776" spans="1:1">
      <c r="A16776" t="inlineStr">
        <is>
          <t>Igdomingding</t>
        </is>
      </c>
    </row>
    <row r="16777" spans="1:1">
      <c r="A16777" t="inlineStr">
        <is>
          <t>Iglilico</t>
        </is>
      </c>
    </row>
    <row r="16778" spans="1:1">
      <c r="A16778" t="inlineStr">
        <is>
          <t>Igpayong</t>
        </is>
      </c>
    </row>
    <row r="16779" spans="1:1">
      <c r="A16779" t="inlineStr">
        <is>
          <t>Jawod</t>
        </is>
      </c>
    </row>
    <row r="16780" spans="1:1">
      <c r="A16780" t="inlineStr">
        <is>
          <t>Langca</t>
        </is>
      </c>
    </row>
    <row r="16781" spans="1:1">
      <c r="A16781" t="inlineStr">
        <is>
          <t>Languanan</t>
        </is>
      </c>
    </row>
    <row r="16782" spans="1:1">
      <c r="A16782" t="inlineStr">
        <is>
          <t>Lawigan</t>
        </is>
      </c>
    </row>
    <row r="16783" spans="1:1">
      <c r="A16783" t="inlineStr">
        <is>
          <t>Lomboy</t>
        </is>
      </c>
    </row>
    <row r="16784" spans="1:1">
      <c r="A16784" t="inlineStr">
        <is>
          <t>Lomboyan</t>
        </is>
      </c>
    </row>
    <row r="16785" spans="1:1">
      <c r="A16785" t="inlineStr">
        <is>
          <t>Lopez Vito</t>
        </is>
      </c>
    </row>
    <row r="16786" spans="1:1">
      <c r="A16786" t="inlineStr">
        <is>
          <t>Mabini Norte</t>
        </is>
      </c>
    </row>
    <row r="16787" spans="1:1">
      <c r="A16787" t="inlineStr">
        <is>
          <t>Mabini Sur</t>
        </is>
      </c>
    </row>
    <row r="16788" spans="1:1">
      <c r="A16788" t="inlineStr">
        <is>
          <t>Manhara</t>
        </is>
      </c>
    </row>
    <row r="16789" spans="1:1">
      <c r="A16789" t="inlineStr">
        <is>
          <t>Maninila</t>
        </is>
      </c>
    </row>
    <row r="16790" spans="1:1">
      <c r="A16790" t="inlineStr">
        <is>
          <t>Masagud</t>
        </is>
      </c>
    </row>
    <row r="16791" spans="1:1">
      <c r="A16791" t="inlineStr">
        <is>
          <t>Matambog</t>
        </is>
      </c>
    </row>
    <row r="16792" spans="1:1">
      <c r="A16792" t="inlineStr">
        <is>
          <t>Mayunoc</t>
        </is>
      </c>
    </row>
    <row r="16793" spans="1:1">
      <c r="A16793" t="inlineStr">
        <is>
          <t>Montinola</t>
        </is>
      </c>
    </row>
    <row r="16794" spans="1:1">
      <c r="A16794" t="inlineStr">
        <is>
          <t>Nadsadan</t>
        </is>
      </c>
    </row>
    <row r="16795" spans="1:1">
      <c r="A16795" t="inlineStr">
        <is>
          <t>Nagquirisan</t>
        </is>
      </c>
    </row>
    <row r="16796" spans="1:1">
      <c r="A16796" t="inlineStr">
        <is>
          <t>Nagsipit</t>
        </is>
      </c>
    </row>
    <row r="16797" spans="1:1">
      <c r="A16797" t="inlineStr">
        <is>
          <t>New Gumawan</t>
        </is>
      </c>
    </row>
    <row r="16798" spans="1:1">
      <c r="A16798" t="inlineStr">
        <is>
          <t>Panatan</t>
        </is>
      </c>
    </row>
    <row r="16799" spans="1:1">
      <c r="A16799" t="inlineStr">
        <is>
          <t>Pitogo</t>
        </is>
      </c>
    </row>
    <row r="16800" spans="1:1">
      <c r="A16800" t="inlineStr">
        <is>
          <t>Purok 1</t>
        </is>
      </c>
    </row>
    <row r="16801" spans="1:1">
      <c r="A16801" t="inlineStr">
        <is>
          <t>Purok 2</t>
        </is>
      </c>
    </row>
    <row r="16802" spans="1:1">
      <c r="A16802" t="inlineStr">
        <is>
          <t>Purok 3</t>
        </is>
      </c>
    </row>
    <row r="16803" spans="1:1">
      <c r="A16803" t="inlineStr">
        <is>
          <t>Purok 4</t>
        </is>
      </c>
    </row>
    <row r="16804" spans="1:1">
      <c r="A16804" t="inlineStr">
        <is>
          <t>Purok 5</t>
        </is>
      </c>
    </row>
    <row r="16805" spans="1:1">
      <c r="A16805" t="inlineStr">
        <is>
          <t>Qui-anan</t>
        </is>
      </c>
    </row>
    <row r="16806" spans="1:1">
      <c r="A16806" t="inlineStr">
        <is>
          <t>Roma</t>
        </is>
      </c>
    </row>
    <row r="16807" spans="1:1">
      <c r="A16807" t="inlineStr">
        <is>
          <t>San Luis</t>
        </is>
      </c>
    </row>
    <row r="16808" spans="1:1">
      <c r="A16808" t="inlineStr">
        <is>
          <t>San Mateo Norte</t>
        </is>
      </c>
    </row>
    <row r="16809" spans="1:1">
      <c r="A16809" t="inlineStr">
        <is>
          <t>San Mateo Sur</t>
        </is>
      </c>
    </row>
    <row r="16810" spans="1:1">
      <c r="A16810" t="inlineStr">
        <is>
          <t>Santa Rita</t>
        </is>
      </c>
    </row>
    <row r="16811" spans="1:1">
      <c r="A16811" t="inlineStr">
        <is>
          <t>Santiago</t>
        </is>
      </c>
    </row>
    <row r="16812" spans="1:1">
      <c r="A16812" t="inlineStr">
        <is>
          <t>Sinogbuhan</t>
        </is>
      </c>
    </row>
    <row r="16813" spans="1:1">
      <c r="A16813" t="inlineStr">
        <is>
          <t>Siwaragan</t>
        </is>
      </c>
    </row>
    <row r="16814" spans="1:1">
      <c r="A16814" t="inlineStr">
        <is>
          <t>Talagutac</t>
        </is>
      </c>
    </row>
    <row r="16815" spans="1:1">
      <c r="A16815" t="inlineStr">
        <is>
          <t>Tapikan</t>
        </is>
      </c>
    </row>
    <row r="16816" spans="1:1">
      <c r="A16816" t="inlineStr">
        <is>
          <t>Taslan</t>
        </is>
      </c>
    </row>
    <row r="16817" spans="1:1">
      <c r="A16817" t="inlineStr">
        <is>
          <t>Tiglawa</t>
        </is>
      </c>
    </row>
    <row r="16818" spans="1:1">
      <c r="A16818" t="inlineStr">
        <is>
          <t>Tiolas</t>
        </is>
      </c>
    </row>
    <row r="16819" spans="1:1">
      <c r="A16819" t="inlineStr">
        <is>
          <t>To-og</t>
        </is>
      </c>
    </row>
    <row r="16820" spans="1:1">
      <c r="A16820" t="inlineStr">
        <is>
          <t>Torocadan</t>
        </is>
      </c>
    </row>
    <row r="16821" spans="1:1">
      <c r="A16821" t="inlineStr">
        <is>
          <t>Ulay</t>
        </is>
      </c>
    </row>
    <row r="16822" spans="1:1">
      <c r="A16822" t="inlineStr">
        <is>
          <t>Bgy. 1 Pob.</t>
        </is>
      </c>
    </row>
    <row r="16823" spans="1:1">
      <c r="A16823" t="inlineStr">
        <is>
          <t>Bgy. 10</t>
        </is>
      </c>
    </row>
    <row r="16824" spans="1:1">
      <c r="A16824" t="inlineStr">
        <is>
          <t>Bgy. 11 Pob.</t>
        </is>
      </c>
    </row>
    <row r="16825" spans="1:1">
      <c r="A16825" t="inlineStr">
        <is>
          <t>Bgy. 12 Pob.</t>
        </is>
      </c>
    </row>
    <row r="16826" spans="1:1">
      <c r="A16826" t="inlineStr">
        <is>
          <t>Bgy. 13 Pob.</t>
        </is>
      </c>
    </row>
    <row r="16827" spans="1:1">
      <c r="A16827" t="inlineStr">
        <is>
          <t>Bgy. 14 Pob.</t>
        </is>
      </c>
    </row>
    <row r="16828" spans="1:1">
      <c r="A16828" t="inlineStr">
        <is>
          <t>Bgy. 15 Pob.</t>
        </is>
      </c>
    </row>
    <row r="16829" spans="1:1">
      <c r="A16829" t="inlineStr">
        <is>
          <t>Bgy. 16 Pob.</t>
        </is>
      </c>
    </row>
    <row r="16830" spans="1:1">
      <c r="A16830" t="inlineStr">
        <is>
          <t>Bgy. 2 Pob.</t>
        </is>
      </c>
    </row>
    <row r="16831" spans="1:1">
      <c r="A16831" t="inlineStr">
        <is>
          <t>Bgy. 3 Pob.</t>
        </is>
      </c>
    </row>
    <row r="16832" spans="1:1">
      <c r="A16832" t="inlineStr">
        <is>
          <t>Bgy. 4 Pob.</t>
        </is>
      </c>
    </row>
    <row r="16833" spans="1:1">
      <c r="A16833" t="inlineStr">
        <is>
          <t>Bgy. 5 Pob.</t>
        </is>
      </c>
    </row>
    <row r="16834" spans="1:1">
      <c r="A16834" t="inlineStr">
        <is>
          <t>Bgy. 6 Pob.</t>
        </is>
      </c>
    </row>
    <row r="16835" spans="1:1">
      <c r="A16835" t="inlineStr">
        <is>
          <t>Bgy. 7 Pob.</t>
        </is>
      </c>
    </row>
    <row r="16836" spans="1:1">
      <c r="A16836" t="inlineStr">
        <is>
          <t>Bgy. 8 Pob.</t>
        </is>
      </c>
    </row>
    <row r="16837" spans="1:1">
      <c r="A16837" t="inlineStr">
        <is>
          <t>Bgy. 9 Pob.</t>
        </is>
      </c>
    </row>
    <row r="16838" spans="1:1">
      <c r="A16838" t="inlineStr">
        <is>
          <t>Consolacion</t>
        </is>
      </c>
    </row>
    <row r="16839" spans="1:1">
      <c r="A16839" t="inlineStr">
        <is>
          <t>Igtambo</t>
        </is>
      </c>
    </row>
    <row r="16840" spans="1:1">
      <c r="A16840" t="inlineStr">
        <is>
          <t>San Antonio</t>
        </is>
      </c>
    </row>
    <row r="16841" spans="1:1">
      <c r="A16841" t="inlineStr">
        <is>
          <t>San Jose</t>
        </is>
      </c>
    </row>
    <row r="16842" spans="1:1">
      <c r="A16842" t="inlineStr">
        <is>
          <t>Santa Cruz</t>
        </is>
      </c>
    </row>
    <row r="16843" spans="1:1">
      <c r="A16843" t="inlineStr">
        <is>
          <t>Santa Teresa</t>
        </is>
      </c>
    </row>
    <row r="16844" spans="1:1">
      <c r="A16844" t="inlineStr">
        <is>
          <t>Santo Angel</t>
        </is>
      </c>
    </row>
    <row r="16845" spans="1:1">
      <c r="A16845" t="inlineStr">
        <is>
          <t>Santo Niño</t>
        </is>
      </c>
    </row>
    <row r="16846" spans="1:1">
      <c r="A16846" t="inlineStr">
        <is>
          <t>Aripdip</t>
        </is>
      </c>
    </row>
    <row r="16847" spans="1:1">
      <c r="A16847" t="inlineStr">
        <is>
          <t>Bagacay</t>
        </is>
      </c>
    </row>
    <row r="16848" spans="1:1">
      <c r="A16848" t="inlineStr">
        <is>
          <t>Calaigang</t>
        </is>
      </c>
    </row>
    <row r="16849" spans="1:1">
      <c r="A16849" t="inlineStr">
        <is>
          <t>Ilongbukid</t>
        </is>
      </c>
    </row>
    <row r="16850" spans="1:1">
      <c r="A16850" t="inlineStr">
        <is>
          <t>Poblacion</t>
        </is>
      </c>
    </row>
    <row r="16851" spans="1:1">
      <c r="A16851" t="inlineStr">
        <is>
          <t>Poscolon</t>
        </is>
      </c>
    </row>
    <row r="16852" spans="1:1">
      <c r="A16852" t="inlineStr">
        <is>
          <t>San Andres</t>
        </is>
      </c>
    </row>
    <row r="16853" spans="1:1">
      <c r="A16853" t="inlineStr">
        <is>
          <t>San Dionisio</t>
        </is>
      </c>
    </row>
    <row r="16854" spans="1:1">
      <c r="A16854" t="inlineStr">
        <is>
          <t>San Florentino</t>
        </is>
      </c>
    </row>
    <row r="16855" spans="1:1">
      <c r="A16855" t="inlineStr">
        <is>
          <t>Agusipan</t>
        </is>
      </c>
    </row>
    <row r="16856" spans="1:1">
      <c r="A16856" t="inlineStr">
        <is>
          <t>Agutayan</t>
        </is>
      </c>
    </row>
    <row r="16857" spans="1:1">
      <c r="A16857" t="inlineStr">
        <is>
          <t>Bagumbayan</t>
        </is>
      </c>
    </row>
    <row r="16858" spans="1:1">
      <c r="A16858" t="inlineStr">
        <is>
          <t>Balabag</t>
        </is>
      </c>
    </row>
    <row r="16859" spans="1:1">
      <c r="A16859" t="inlineStr">
        <is>
          <t>Balibagan Este</t>
        </is>
      </c>
    </row>
    <row r="16860" spans="1:1">
      <c r="A16860" t="inlineStr">
        <is>
          <t>Balibagan Oeste</t>
        </is>
      </c>
    </row>
    <row r="16861" spans="1:1">
      <c r="A16861" t="inlineStr">
        <is>
          <t>Ban-ag</t>
        </is>
      </c>
    </row>
    <row r="16862" spans="1:1">
      <c r="A16862" t="inlineStr">
        <is>
          <t>Bantay</t>
        </is>
      </c>
    </row>
    <row r="16863" spans="1:1">
      <c r="A16863" t="inlineStr">
        <is>
          <t>Barangay Zone I</t>
        </is>
      </c>
    </row>
    <row r="16864" spans="1:1">
      <c r="A16864" t="inlineStr">
        <is>
          <t>Barangay Zone II</t>
        </is>
      </c>
    </row>
    <row r="16865" spans="1:1">
      <c r="A16865" t="inlineStr">
        <is>
          <t>Barangay Zone III</t>
        </is>
      </c>
    </row>
    <row r="16866" spans="1:1">
      <c r="A16866" t="inlineStr">
        <is>
          <t>Barangay Zone IV</t>
        </is>
      </c>
    </row>
    <row r="16867" spans="1:1">
      <c r="A16867" t="inlineStr">
        <is>
          <t>Barangay Zone V</t>
        </is>
      </c>
    </row>
    <row r="16868" spans="1:1">
      <c r="A16868" t="inlineStr">
        <is>
          <t>Barangay Zone VI</t>
        </is>
      </c>
    </row>
    <row r="16869" spans="1:1">
      <c r="A16869" t="inlineStr">
        <is>
          <t>Barasan Este</t>
        </is>
      </c>
    </row>
    <row r="16870" spans="1:1">
      <c r="A16870" t="inlineStr">
        <is>
          <t>Barasan Oeste</t>
        </is>
      </c>
    </row>
    <row r="16871" spans="1:1">
      <c r="A16871" t="inlineStr">
        <is>
          <t>Binangkilan</t>
        </is>
      </c>
    </row>
    <row r="16872" spans="1:1">
      <c r="A16872" t="inlineStr">
        <is>
          <t>Bitaog-Taytay</t>
        </is>
      </c>
    </row>
    <row r="16873" spans="1:1">
      <c r="A16873" t="inlineStr">
        <is>
          <t>Bolong Este</t>
        </is>
      </c>
    </row>
    <row r="16874" spans="1:1">
      <c r="A16874" t="inlineStr">
        <is>
          <t>Bolong Oeste</t>
        </is>
      </c>
    </row>
    <row r="16875" spans="1:1">
      <c r="A16875" t="inlineStr">
        <is>
          <t>Buayahon</t>
        </is>
      </c>
    </row>
    <row r="16876" spans="1:1">
      <c r="A16876" t="inlineStr">
        <is>
          <t>Buyo</t>
        </is>
      </c>
    </row>
    <row r="16877" spans="1:1">
      <c r="A16877" t="inlineStr">
        <is>
          <t>Cabugao Norte</t>
        </is>
      </c>
    </row>
    <row r="16878" spans="1:1">
      <c r="A16878" t="inlineStr">
        <is>
          <t>Cabugao Sur</t>
        </is>
      </c>
    </row>
    <row r="16879" spans="1:1">
      <c r="A16879" t="inlineStr">
        <is>
          <t>Cadagmayan Norte</t>
        </is>
      </c>
    </row>
    <row r="16880" spans="1:1">
      <c r="A16880" t="inlineStr">
        <is>
          <t>Cadagmayan Sur</t>
        </is>
      </c>
    </row>
    <row r="16881" spans="1:1">
      <c r="A16881" t="inlineStr">
        <is>
          <t>Cafe</t>
        </is>
      </c>
    </row>
    <row r="16882" spans="1:1">
      <c r="A16882" t="inlineStr">
        <is>
          <t>Calaboa Este</t>
        </is>
      </c>
    </row>
    <row r="16883" spans="1:1">
      <c r="A16883" t="inlineStr">
        <is>
          <t>Calaboa Oeste</t>
        </is>
      </c>
    </row>
    <row r="16884" spans="1:1">
      <c r="A16884" t="inlineStr">
        <is>
          <t>Camambugan</t>
        </is>
      </c>
    </row>
    <row r="16885" spans="1:1">
      <c r="A16885" t="inlineStr">
        <is>
          <t>Canipayan</t>
        </is>
      </c>
    </row>
    <row r="16886" spans="1:1">
      <c r="A16886" t="inlineStr">
        <is>
          <t>Conaynay</t>
        </is>
      </c>
    </row>
    <row r="16887" spans="1:1">
      <c r="A16887" t="inlineStr">
        <is>
          <t>Daga</t>
        </is>
      </c>
    </row>
    <row r="16888" spans="1:1">
      <c r="A16888" t="inlineStr">
        <is>
          <t>Dalid</t>
        </is>
      </c>
    </row>
    <row r="16889" spans="1:1">
      <c r="A16889" t="inlineStr">
        <is>
          <t>Duyanduyan</t>
        </is>
      </c>
    </row>
    <row r="16890" spans="1:1">
      <c r="A16890" t="inlineStr">
        <is>
          <t>Gen. Martin T. Delgado</t>
        </is>
      </c>
    </row>
    <row r="16891" spans="1:1">
      <c r="A16891" t="inlineStr">
        <is>
          <t>Guno</t>
        </is>
      </c>
    </row>
    <row r="16892" spans="1:1">
      <c r="A16892" t="inlineStr">
        <is>
          <t>Inangayan</t>
        </is>
      </c>
    </row>
    <row r="16893" spans="1:1">
      <c r="A16893" t="inlineStr">
        <is>
          <t>Jibao-an</t>
        </is>
      </c>
    </row>
    <row r="16894" spans="1:1">
      <c r="A16894" t="inlineStr">
        <is>
          <t>Lacadon</t>
        </is>
      </c>
    </row>
    <row r="16895" spans="1:1">
      <c r="A16895" t="inlineStr">
        <is>
          <t>Lanag</t>
        </is>
      </c>
    </row>
    <row r="16896" spans="1:1">
      <c r="A16896" t="inlineStr">
        <is>
          <t>Lupa</t>
        </is>
      </c>
    </row>
    <row r="16897" spans="1:1">
      <c r="A16897" t="inlineStr">
        <is>
          <t>Magancina</t>
        </is>
      </c>
    </row>
    <row r="16898" spans="1:1">
      <c r="A16898" t="inlineStr">
        <is>
          <t>Malawog</t>
        </is>
      </c>
    </row>
    <row r="16899" spans="1:1">
      <c r="A16899" t="inlineStr">
        <is>
          <t>Mambuyo</t>
        </is>
      </c>
    </row>
    <row r="16900" spans="1:1">
      <c r="A16900" t="inlineStr">
        <is>
          <t>Manhayang</t>
        </is>
      </c>
    </row>
    <row r="16901" spans="1:1">
      <c r="A16901" t="inlineStr">
        <is>
          <t>Miraga-Guibuangan</t>
        </is>
      </c>
    </row>
    <row r="16902" spans="1:1">
      <c r="A16902" t="inlineStr">
        <is>
          <t>Nasugban</t>
        </is>
      </c>
    </row>
    <row r="16903" spans="1:1">
      <c r="A16903" t="inlineStr">
        <is>
          <t>Omambog</t>
        </is>
      </c>
    </row>
    <row r="16904" spans="1:1">
      <c r="A16904" t="inlineStr">
        <is>
          <t>Pal-Agon</t>
        </is>
      </c>
    </row>
    <row r="16905" spans="1:1">
      <c r="A16905" t="inlineStr">
        <is>
          <t>Pungsod</t>
        </is>
      </c>
    </row>
    <row r="16906" spans="1:1">
      <c r="A16906" t="inlineStr">
        <is>
          <t>San Sebastian</t>
        </is>
      </c>
    </row>
    <row r="16907" spans="1:1">
      <c r="A16907" t="inlineStr">
        <is>
          <t>Sangcate</t>
        </is>
      </c>
    </row>
    <row r="16908" spans="1:1">
      <c r="A16908" t="inlineStr">
        <is>
          <t>Tagsing</t>
        </is>
      </c>
    </row>
    <row r="16909" spans="1:1">
      <c r="A16909" t="inlineStr">
        <is>
          <t>Talanghauan</t>
        </is>
      </c>
    </row>
    <row r="16910" spans="1:1">
      <c r="A16910" t="inlineStr">
        <is>
          <t>Talongadian</t>
        </is>
      </c>
    </row>
    <row r="16911" spans="1:1">
      <c r="A16911" t="inlineStr">
        <is>
          <t>Tigtig</t>
        </is>
      </c>
    </row>
    <row r="16912" spans="1:1">
      <c r="A16912" t="inlineStr">
        <is>
          <t>Tuburan</t>
        </is>
      </c>
    </row>
    <row r="16913" spans="1:1">
      <c r="A16913" t="inlineStr">
        <is>
          <t>Tugas</t>
        </is>
      </c>
    </row>
    <row r="16914" spans="1:1">
      <c r="A16914" t="inlineStr">
        <is>
          <t>Tungay</t>
        </is>
      </c>
    </row>
    <row r="16915" spans="1:1">
      <c r="A16915" t="inlineStr">
        <is>
          <t>Aguirre</t>
        </is>
      </c>
    </row>
    <row r="16916" spans="1:1">
      <c r="A16916" t="inlineStr">
        <is>
          <t>Aldeguer</t>
        </is>
      </c>
    </row>
    <row r="16917" spans="1:1">
      <c r="A16917" t="inlineStr">
        <is>
          <t>Alibayog</t>
        </is>
      </c>
    </row>
    <row r="16918" spans="1:1">
      <c r="A16918" t="inlineStr">
        <is>
          <t>Anoring</t>
        </is>
      </c>
    </row>
    <row r="16919" spans="1:1">
      <c r="A16919" t="inlineStr">
        <is>
          <t>Apelo</t>
        </is>
      </c>
    </row>
    <row r="16920" spans="1:1">
      <c r="A16920" t="inlineStr">
        <is>
          <t>Apologista</t>
        </is>
      </c>
    </row>
    <row r="16921" spans="1:1">
      <c r="A16921" t="inlineStr">
        <is>
          <t>Aposaga</t>
        </is>
      </c>
    </row>
    <row r="16922" spans="1:1">
      <c r="A16922" t="inlineStr">
        <is>
          <t>Arante</t>
        </is>
      </c>
    </row>
    <row r="16923" spans="1:1">
      <c r="A16923" t="inlineStr">
        <is>
          <t>Ardemil</t>
        </is>
      </c>
    </row>
    <row r="16924" spans="1:1">
      <c r="A16924" t="inlineStr">
        <is>
          <t>Aspera</t>
        </is>
      </c>
    </row>
    <row r="16925" spans="1:1">
      <c r="A16925" t="inlineStr">
        <is>
          <t>Aswe-Pabriaga</t>
        </is>
      </c>
    </row>
    <row r="16926" spans="1:1">
      <c r="A16926" t="inlineStr">
        <is>
          <t>Bagaygay</t>
        </is>
      </c>
    </row>
    <row r="16927" spans="1:1">
      <c r="A16927" t="inlineStr">
        <is>
          <t>Bakabak</t>
        </is>
      </c>
    </row>
    <row r="16928" spans="1:1">
      <c r="A16928" t="inlineStr">
        <is>
          <t>Batitao</t>
        </is>
      </c>
    </row>
    <row r="16929" spans="1:1">
      <c r="A16929" t="inlineStr">
        <is>
          <t>Bato</t>
        </is>
      </c>
    </row>
    <row r="16930" spans="1:1">
      <c r="A16930" t="inlineStr">
        <is>
          <t>Castor</t>
        </is>
      </c>
    </row>
    <row r="16931" spans="1:1">
      <c r="A16931" t="inlineStr">
        <is>
          <t>Crespo</t>
        </is>
      </c>
    </row>
    <row r="16932" spans="1:1">
      <c r="A16932" t="inlineStr">
        <is>
          <t>Del Castillo</t>
        </is>
      </c>
    </row>
    <row r="16933" spans="1:1">
      <c r="A16933" t="inlineStr">
        <is>
          <t>Devera</t>
        </is>
      </c>
    </row>
    <row r="16934" spans="1:1">
      <c r="A16934" t="inlineStr">
        <is>
          <t>Domingo</t>
        </is>
      </c>
    </row>
    <row r="16935" spans="1:1">
      <c r="A16935" t="inlineStr">
        <is>
          <t>Ferraris</t>
        </is>
      </c>
    </row>
    <row r="16936" spans="1:1">
      <c r="A16936" t="inlineStr">
        <is>
          <t>Gildore</t>
        </is>
      </c>
    </row>
    <row r="16937" spans="1:1">
      <c r="A16937" t="inlineStr">
        <is>
          <t>Improgo</t>
        </is>
      </c>
    </row>
    <row r="16938" spans="1:1">
      <c r="A16938" t="inlineStr">
        <is>
          <t>Juaneza</t>
        </is>
      </c>
    </row>
    <row r="16939" spans="1:1">
      <c r="A16939" t="inlineStr">
        <is>
          <t>Labigan</t>
        </is>
      </c>
    </row>
    <row r="16940" spans="1:1">
      <c r="A16940" t="inlineStr">
        <is>
          <t>Lanciola</t>
        </is>
      </c>
    </row>
    <row r="16941" spans="1:1">
      <c r="A16941" t="inlineStr">
        <is>
          <t>Latawan</t>
        </is>
      </c>
    </row>
    <row r="16942" spans="1:1">
      <c r="A16942" t="inlineStr">
        <is>
          <t>Malapaya</t>
        </is>
      </c>
    </row>
    <row r="16943" spans="1:1">
      <c r="A16943" t="inlineStr">
        <is>
          <t>Muyco</t>
        </is>
      </c>
    </row>
    <row r="16944" spans="1:1">
      <c r="A16944" t="inlineStr">
        <is>
          <t>Padios</t>
        </is>
      </c>
    </row>
    <row r="16945" spans="1:1">
      <c r="A16945" t="inlineStr">
        <is>
          <t>Pasig</t>
        </is>
      </c>
    </row>
    <row r="16946" spans="1:1">
      <c r="A16946" t="inlineStr">
        <is>
          <t>Poblacion Ilawod</t>
        </is>
      </c>
    </row>
    <row r="16947" spans="1:1">
      <c r="A16947" t="inlineStr">
        <is>
          <t>Poblacion Ilaya</t>
        </is>
      </c>
    </row>
    <row r="16948" spans="1:1">
      <c r="A16948" t="inlineStr">
        <is>
          <t>Poblacion Market</t>
        </is>
      </c>
    </row>
    <row r="16949" spans="1:1">
      <c r="A16949" t="inlineStr">
        <is>
          <t>Posadas</t>
        </is>
      </c>
    </row>
    <row r="16950" spans="1:1">
      <c r="A16950" t="inlineStr">
        <is>
          <t>Preciosa</t>
        </is>
      </c>
    </row>
    <row r="16951" spans="1:1">
      <c r="A16951" t="inlineStr">
        <is>
          <t>Salcedo</t>
        </is>
      </c>
    </row>
    <row r="16952" spans="1:1">
      <c r="A16952" t="inlineStr">
        <is>
          <t>San Luis</t>
        </is>
      </c>
    </row>
    <row r="16953" spans="1:1">
      <c r="A16953" t="inlineStr">
        <is>
          <t>Tady</t>
        </is>
      </c>
    </row>
    <row r="16954" spans="1:1">
      <c r="A16954" t="inlineStr">
        <is>
          <t>Tentay</t>
        </is>
      </c>
    </row>
    <row r="16955" spans="1:1">
      <c r="A16955" t="inlineStr">
        <is>
          <t>Villahermosa</t>
        </is>
      </c>
    </row>
    <row r="16956" spans="1:1">
      <c r="A16956" t="inlineStr">
        <is>
          <t>Zerrudo</t>
        </is>
      </c>
    </row>
    <row r="16957" spans="1:1">
      <c r="A16957" t="inlineStr">
        <is>
          <t>Alupidian</t>
        </is>
      </c>
    </row>
    <row r="16958" spans="1:1">
      <c r="A16958" t="inlineStr">
        <is>
          <t>Atabayan</t>
        </is>
      </c>
    </row>
    <row r="16959" spans="1:1">
      <c r="A16959" t="inlineStr">
        <is>
          <t>Bagacay</t>
        </is>
      </c>
    </row>
    <row r="16960" spans="1:1">
      <c r="A16960" t="inlineStr">
        <is>
          <t>Baguingin</t>
        </is>
      </c>
    </row>
    <row r="16961" spans="1:1">
      <c r="A16961" t="inlineStr">
        <is>
          <t>Bagumbayan</t>
        </is>
      </c>
    </row>
    <row r="16962" spans="1:1">
      <c r="A16962" t="inlineStr">
        <is>
          <t>Bangkal</t>
        </is>
      </c>
    </row>
    <row r="16963" spans="1:1">
      <c r="A16963" t="inlineStr">
        <is>
          <t>Bantud</t>
        </is>
      </c>
    </row>
    <row r="16964" spans="1:1">
      <c r="A16964" t="inlineStr">
        <is>
          <t>Barangay 1</t>
        </is>
      </c>
    </row>
    <row r="16965" spans="1:1">
      <c r="A16965" t="inlineStr">
        <is>
          <t>Barangay 2</t>
        </is>
      </c>
    </row>
    <row r="16966" spans="1:1">
      <c r="A16966" t="inlineStr">
        <is>
          <t>Barangay 3</t>
        </is>
      </c>
    </row>
    <row r="16967" spans="1:1">
      <c r="A16967" t="inlineStr">
        <is>
          <t>Barangay 4</t>
        </is>
      </c>
    </row>
    <row r="16968" spans="1:1">
      <c r="A16968" t="inlineStr">
        <is>
          <t>Barangay 5</t>
        </is>
      </c>
    </row>
    <row r="16969" spans="1:1">
      <c r="A16969" t="inlineStr">
        <is>
          <t>Barangay 6</t>
        </is>
      </c>
    </row>
    <row r="16970" spans="1:1">
      <c r="A16970" t="inlineStr">
        <is>
          <t>Barangay 7</t>
        </is>
      </c>
    </row>
    <row r="16971" spans="1:1">
      <c r="A16971" t="inlineStr">
        <is>
          <t>Barangay 8</t>
        </is>
      </c>
    </row>
    <row r="16972" spans="1:1">
      <c r="A16972" t="inlineStr">
        <is>
          <t>Barangay 9</t>
        </is>
      </c>
    </row>
    <row r="16973" spans="1:1">
      <c r="A16973" t="inlineStr">
        <is>
          <t>Barosong</t>
        </is>
      </c>
    </row>
    <row r="16974" spans="1:1">
      <c r="A16974" t="inlineStr">
        <is>
          <t>Barroc</t>
        </is>
      </c>
    </row>
    <row r="16975" spans="1:1">
      <c r="A16975" t="inlineStr">
        <is>
          <t>Bayuco</t>
        </is>
      </c>
    </row>
    <row r="16976" spans="1:1">
      <c r="A16976" t="inlineStr">
        <is>
          <t>Binaliuan Mayor</t>
        </is>
      </c>
    </row>
    <row r="16977" spans="1:1">
      <c r="A16977" t="inlineStr">
        <is>
          <t>Binaliuan Menor</t>
        </is>
      </c>
    </row>
    <row r="16978" spans="1:1">
      <c r="A16978" t="inlineStr">
        <is>
          <t>Bitas</t>
        </is>
      </c>
    </row>
    <row r="16979" spans="1:1">
      <c r="A16979" t="inlineStr">
        <is>
          <t>Buenavista</t>
        </is>
      </c>
    </row>
    <row r="16980" spans="1:1">
      <c r="A16980" t="inlineStr">
        <is>
          <t>Bugasongan</t>
        </is>
      </c>
    </row>
    <row r="16981" spans="1:1">
      <c r="A16981" t="inlineStr">
        <is>
          <t>Buyu-an</t>
        </is>
      </c>
    </row>
    <row r="16982" spans="1:1">
      <c r="A16982" t="inlineStr">
        <is>
          <t>Canabuan</t>
        </is>
      </c>
    </row>
    <row r="16983" spans="1:1">
      <c r="A16983" t="inlineStr">
        <is>
          <t>Cansilayan</t>
        </is>
      </c>
    </row>
    <row r="16984" spans="1:1">
      <c r="A16984" t="inlineStr">
        <is>
          <t>Cordova Norte</t>
        </is>
      </c>
    </row>
    <row r="16985" spans="1:1">
      <c r="A16985" t="inlineStr">
        <is>
          <t>Cordova Sur</t>
        </is>
      </c>
    </row>
    <row r="16986" spans="1:1">
      <c r="A16986" t="inlineStr">
        <is>
          <t>Danao</t>
        </is>
      </c>
    </row>
    <row r="16987" spans="1:1">
      <c r="A16987" t="inlineStr">
        <is>
          <t>Dapdap</t>
        </is>
      </c>
    </row>
    <row r="16988" spans="1:1">
      <c r="A16988" t="inlineStr">
        <is>
          <t>Dorong-an</t>
        </is>
      </c>
    </row>
    <row r="16989" spans="1:1">
      <c r="A16989" t="inlineStr">
        <is>
          <t>Guisian</t>
        </is>
      </c>
    </row>
    <row r="16990" spans="1:1">
      <c r="A16990" t="inlineStr">
        <is>
          <t>Isauan</t>
        </is>
      </c>
    </row>
    <row r="16991" spans="1:1">
      <c r="A16991" t="inlineStr">
        <is>
          <t>Isian</t>
        </is>
      </c>
    </row>
    <row r="16992" spans="1:1">
      <c r="A16992" t="inlineStr">
        <is>
          <t>Jamog</t>
        </is>
      </c>
    </row>
    <row r="16993" spans="1:1">
      <c r="A16993" t="inlineStr">
        <is>
          <t>Lanag</t>
        </is>
      </c>
    </row>
    <row r="16994" spans="1:1">
      <c r="A16994" t="inlineStr">
        <is>
          <t>Linobayan</t>
        </is>
      </c>
    </row>
    <row r="16995" spans="1:1">
      <c r="A16995" t="inlineStr">
        <is>
          <t>Lubog</t>
        </is>
      </c>
    </row>
    <row r="16996" spans="1:1">
      <c r="A16996" t="inlineStr">
        <is>
          <t>Nagba</t>
        </is>
      </c>
    </row>
    <row r="16997" spans="1:1">
      <c r="A16997" t="inlineStr">
        <is>
          <t>Namocon</t>
        </is>
      </c>
    </row>
    <row r="16998" spans="1:1">
      <c r="A16998" t="inlineStr">
        <is>
          <t>Napnapan Norte</t>
        </is>
      </c>
    </row>
    <row r="16999" spans="1:1">
      <c r="A16999" t="inlineStr">
        <is>
          <t>Napnapan Sur</t>
        </is>
      </c>
    </row>
    <row r="17000" spans="1:1">
      <c r="A17000" t="inlineStr">
        <is>
          <t>Olo Barroc</t>
        </is>
      </c>
    </row>
    <row r="17001" spans="1:1">
      <c r="A17001" t="inlineStr">
        <is>
          <t>Parara Norte</t>
        </is>
      </c>
    </row>
    <row r="17002" spans="1:1">
      <c r="A17002" t="inlineStr">
        <is>
          <t>Parara Sur</t>
        </is>
      </c>
    </row>
    <row r="17003" spans="1:1">
      <c r="A17003" t="inlineStr">
        <is>
          <t>San Rafael</t>
        </is>
      </c>
    </row>
    <row r="17004" spans="1:1">
      <c r="A17004" t="inlineStr">
        <is>
          <t>Sermon</t>
        </is>
      </c>
    </row>
    <row r="17005" spans="1:1">
      <c r="A17005" t="inlineStr">
        <is>
          <t>Sipitan</t>
        </is>
      </c>
    </row>
    <row r="17006" spans="1:1">
      <c r="A17006" t="inlineStr">
        <is>
          <t>Supa</t>
        </is>
      </c>
    </row>
    <row r="17007" spans="1:1">
      <c r="A17007" t="inlineStr">
        <is>
          <t>Tan Pael</t>
        </is>
      </c>
    </row>
    <row r="17008" spans="1:1">
      <c r="A17008" t="inlineStr">
        <is>
          <t>Taro</t>
        </is>
      </c>
    </row>
    <row r="17009" spans="1:1">
      <c r="A17009" t="inlineStr">
        <is>
          <t>Adgao</t>
        </is>
      </c>
    </row>
    <row r="17010" spans="1:1">
      <c r="A17010" t="inlineStr">
        <is>
          <t>Ago</t>
        </is>
      </c>
    </row>
    <row r="17011" spans="1:1">
      <c r="A17011" t="inlineStr">
        <is>
          <t>Ambarihon</t>
        </is>
      </c>
    </row>
    <row r="17012" spans="1:1">
      <c r="A17012" t="inlineStr">
        <is>
          <t>Ayubo</t>
        </is>
      </c>
    </row>
    <row r="17013" spans="1:1">
      <c r="A17013" t="inlineStr">
        <is>
          <t>Bacan</t>
        </is>
      </c>
    </row>
    <row r="17014" spans="1:1">
      <c r="A17014" t="inlineStr">
        <is>
          <t>Badiang</t>
        </is>
      </c>
    </row>
    <row r="17015" spans="1:1">
      <c r="A17015" t="inlineStr">
        <is>
          <t>Bagunanay</t>
        </is>
      </c>
    </row>
    <row r="17016" spans="1:1">
      <c r="A17016" t="inlineStr">
        <is>
          <t>Balicua</t>
        </is>
      </c>
    </row>
    <row r="17017" spans="1:1">
      <c r="A17017" t="inlineStr">
        <is>
          <t>Bantayanan</t>
        </is>
      </c>
    </row>
    <row r="17018" spans="1:1">
      <c r="A17018" t="inlineStr">
        <is>
          <t>Batga</t>
        </is>
      </c>
    </row>
    <row r="17019" spans="1:1">
      <c r="A17019" t="inlineStr">
        <is>
          <t>Bato</t>
        </is>
      </c>
    </row>
    <row r="17020" spans="1:1">
      <c r="A17020" t="inlineStr">
        <is>
          <t>Bikil</t>
        </is>
      </c>
    </row>
    <row r="17021" spans="1:1">
      <c r="A17021" t="inlineStr">
        <is>
          <t>Boloc</t>
        </is>
      </c>
    </row>
    <row r="17022" spans="1:1">
      <c r="A17022" t="inlineStr">
        <is>
          <t>Bondoc</t>
        </is>
      </c>
    </row>
    <row r="17023" spans="1:1">
      <c r="A17023" t="inlineStr">
        <is>
          <t>Borong</t>
        </is>
      </c>
    </row>
    <row r="17024" spans="1:1">
      <c r="A17024" t="inlineStr">
        <is>
          <t>Buenavista</t>
        </is>
      </c>
    </row>
    <row r="17025" spans="1:1">
      <c r="A17025" t="inlineStr">
        <is>
          <t>Cadabdab</t>
        </is>
      </c>
    </row>
    <row r="17026" spans="1:1">
      <c r="A17026" t="inlineStr">
        <is>
          <t>Daga-ay</t>
        </is>
      </c>
    </row>
    <row r="17027" spans="1:1">
      <c r="A17027" t="inlineStr">
        <is>
          <t>Desposorio</t>
        </is>
      </c>
    </row>
    <row r="17028" spans="1:1">
      <c r="A17028" t="inlineStr">
        <is>
          <t>Igdampog Norte</t>
        </is>
      </c>
    </row>
    <row r="17029" spans="1:1">
      <c r="A17029" t="inlineStr">
        <is>
          <t>Igdampog Sur</t>
        </is>
      </c>
    </row>
    <row r="17030" spans="1:1">
      <c r="A17030" t="inlineStr">
        <is>
          <t>Igpaho</t>
        </is>
      </c>
    </row>
    <row r="17031" spans="1:1">
      <c r="A17031" t="inlineStr">
        <is>
          <t>Igtuble</t>
        </is>
      </c>
    </row>
    <row r="17032" spans="1:1">
      <c r="A17032" t="inlineStr">
        <is>
          <t>Ingay</t>
        </is>
      </c>
    </row>
    <row r="17033" spans="1:1">
      <c r="A17033" t="inlineStr">
        <is>
          <t>Isauan</t>
        </is>
      </c>
    </row>
    <row r="17034" spans="1:1">
      <c r="A17034" t="inlineStr">
        <is>
          <t>Jolason</t>
        </is>
      </c>
    </row>
    <row r="17035" spans="1:1">
      <c r="A17035" t="inlineStr">
        <is>
          <t>Jona</t>
        </is>
      </c>
    </row>
    <row r="17036" spans="1:1">
      <c r="A17036" t="inlineStr">
        <is>
          <t>La-ag</t>
        </is>
      </c>
    </row>
    <row r="17037" spans="1:1">
      <c r="A17037" t="inlineStr">
        <is>
          <t>Lanag Norte</t>
        </is>
      </c>
    </row>
    <row r="17038" spans="1:1">
      <c r="A17038" t="inlineStr">
        <is>
          <t>Lanag Sur</t>
        </is>
      </c>
    </row>
    <row r="17039" spans="1:1">
      <c r="A17039" t="inlineStr">
        <is>
          <t>Male</t>
        </is>
      </c>
    </row>
    <row r="17040" spans="1:1">
      <c r="A17040" t="inlineStr">
        <is>
          <t>Mayang</t>
        </is>
      </c>
    </row>
    <row r="17041" spans="1:1">
      <c r="A17041" t="inlineStr">
        <is>
          <t>Molina</t>
        </is>
      </c>
    </row>
    <row r="17042" spans="1:1">
      <c r="A17042" t="inlineStr">
        <is>
          <t>Morcillas</t>
        </is>
      </c>
    </row>
    <row r="17043" spans="1:1">
      <c r="A17043" t="inlineStr">
        <is>
          <t>Nagba</t>
        </is>
      </c>
    </row>
    <row r="17044" spans="1:1">
      <c r="A17044" t="inlineStr">
        <is>
          <t>Navillan</t>
        </is>
      </c>
    </row>
    <row r="17045" spans="1:1">
      <c r="A17045" t="inlineStr">
        <is>
          <t>Pinamacalan</t>
        </is>
      </c>
    </row>
    <row r="17046" spans="1:1">
      <c r="A17046" t="inlineStr">
        <is>
          <t>San Jose</t>
        </is>
      </c>
    </row>
    <row r="17047" spans="1:1">
      <c r="A17047" t="inlineStr">
        <is>
          <t>Sibucauan</t>
        </is>
      </c>
    </row>
    <row r="17048" spans="1:1">
      <c r="A17048" t="inlineStr">
        <is>
          <t>Singon</t>
        </is>
      </c>
    </row>
    <row r="17049" spans="1:1">
      <c r="A17049" t="inlineStr">
        <is>
          <t>Tabat</t>
        </is>
      </c>
    </row>
    <row r="17050" spans="1:1">
      <c r="A17050" t="inlineStr">
        <is>
          <t>Tagpu-an</t>
        </is>
      </c>
    </row>
    <row r="17051" spans="1:1">
      <c r="A17051" t="inlineStr">
        <is>
          <t>Talento</t>
        </is>
      </c>
    </row>
    <row r="17052" spans="1:1">
      <c r="A17052" t="inlineStr">
        <is>
          <t>Teniente Benito</t>
        </is>
      </c>
    </row>
    <row r="17053" spans="1:1">
      <c r="A17053" t="inlineStr">
        <is>
          <t>Victoria</t>
        </is>
      </c>
    </row>
    <row r="17054" spans="1:1">
      <c r="A17054" t="inlineStr">
        <is>
          <t>Zone I</t>
        </is>
      </c>
    </row>
    <row r="17055" spans="1:1">
      <c r="A17055" t="inlineStr">
        <is>
          <t>Zone II</t>
        </is>
      </c>
    </row>
    <row r="17056" spans="1:1">
      <c r="A17056" t="inlineStr">
        <is>
          <t>Zone III</t>
        </is>
      </c>
    </row>
    <row r="17057" spans="1:1">
      <c r="A17057" t="inlineStr">
        <is>
          <t>Balud I</t>
        </is>
      </c>
    </row>
    <row r="17058" spans="1:1">
      <c r="A17058" t="inlineStr">
        <is>
          <t>Balud II</t>
        </is>
      </c>
    </row>
    <row r="17059" spans="1:1">
      <c r="A17059" t="inlineStr">
        <is>
          <t>Balud Lilo-an</t>
        </is>
      </c>
    </row>
    <row r="17060" spans="1:1">
      <c r="A17060" t="inlineStr">
        <is>
          <t>Dawis Centro</t>
        </is>
      </c>
    </row>
    <row r="17061" spans="1:1">
      <c r="A17061" t="inlineStr">
        <is>
          <t>Dawis Norte</t>
        </is>
      </c>
    </row>
    <row r="17062" spans="1:1">
      <c r="A17062" t="inlineStr">
        <is>
          <t>Dawis Sur</t>
        </is>
      </c>
    </row>
    <row r="17063" spans="1:1">
      <c r="A17063" t="inlineStr">
        <is>
          <t>Gines</t>
        </is>
      </c>
    </row>
    <row r="17064" spans="1:1">
      <c r="A17064" t="inlineStr">
        <is>
          <t>Ilawod Poblacion</t>
        </is>
      </c>
    </row>
    <row r="17065" spans="1:1">
      <c r="A17065" t="inlineStr">
        <is>
          <t>Ilaya Poblacion</t>
        </is>
      </c>
    </row>
    <row r="17066" spans="1:1">
      <c r="A17066" t="inlineStr">
        <is>
          <t>Inagdangan Centro</t>
        </is>
      </c>
    </row>
    <row r="17067" spans="1:1">
      <c r="A17067" t="inlineStr">
        <is>
          <t>Inagdangan Norte</t>
        </is>
      </c>
    </row>
    <row r="17068" spans="1:1">
      <c r="A17068" t="inlineStr">
        <is>
          <t>Inagdangan Sur</t>
        </is>
      </c>
    </row>
    <row r="17069" spans="1:1">
      <c r="A17069" t="inlineStr">
        <is>
          <t>Jalaud Norte</t>
        </is>
      </c>
    </row>
    <row r="17070" spans="1:1">
      <c r="A17070" t="inlineStr">
        <is>
          <t>Jalaud Sur</t>
        </is>
      </c>
    </row>
    <row r="17071" spans="1:1">
      <c r="A17071" t="inlineStr">
        <is>
          <t>Libongcogon</t>
        </is>
      </c>
    </row>
    <row r="17072" spans="1:1">
      <c r="A17072" t="inlineStr">
        <is>
          <t>Malunang</t>
        </is>
      </c>
    </row>
    <row r="17073" spans="1:1">
      <c r="A17073" t="inlineStr">
        <is>
          <t>Pajo</t>
        </is>
      </c>
    </row>
    <row r="17074" spans="1:1">
      <c r="A17074" t="inlineStr">
        <is>
          <t>Sambag</t>
        </is>
      </c>
    </row>
    <row r="17075" spans="1:1">
      <c r="A17075" t="inlineStr">
        <is>
          <t>Sigangao</t>
        </is>
      </c>
    </row>
    <row r="17076" spans="1:1">
      <c r="A17076" t="inlineStr">
        <is>
          <t>Talauguis</t>
        </is>
      </c>
    </row>
    <row r="17077" spans="1:1">
      <c r="A17077" t="inlineStr">
        <is>
          <t>Talibong</t>
        </is>
      </c>
    </row>
    <row r="17078" spans="1:1">
      <c r="A17078" t="inlineStr">
        <is>
          <t>Tubigan</t>
        </is>
      </c>
    </row>
    <row r="17079" spans="1:1">
      <c r="A17079" t="inlineStr">
        <is>
          <t>Tuburan</t>
        </is>
      </c>
    </row>
    <row r="17080" spans="1:1">
      <c r="A17080" t="inlineStr">
        <is>
          <t>Tuburan Sulbod</t>
        </is>
      </c>
    </row>
    <row r="17081" spans="1:1">
      <c r="A17081" t="inlineStr">
        <is>
          <t>A. Bonifacio-Caguioa-Rimando</t>
        </is>
      </c>
    </row>
    <row r="17082" spans="1:1">
      <c r="A17082" t="inlineStr">
        <is>
          <t>Abanao-Zandueta-Kayong-Chugum-Otek</t>
        </is>
      </c>
    </row>
    <row r="17083" spans="1:1">
      <c r="A17083" t="inlineStr">
        <is>
          <t>Alfonso Tabora</t>
        </is>
      </c>
    </row>
    <row r="17084" spans="1:1">
      <c r="A17084" t="inlineStr">
        <is>
          <t>Ambiong</t>
        </is>
      </c>
    </row>
    <row r="17085" spans="1:1">
      <c r="A17085" t="inlineStr">
        <is>
          <t>Andres Bonifacio</t>
        </is>
      </c>
    </row>
    <row r="17086" spans="1:1">
      <c r="A17086" t="inlineStr">
        <is>
          <t>Apugan-Loakan</t>
        </is>
      </c>
    </row>
    <row r="17087" spans="1:1">
      <c r="A17087" t="inlineStr">
        <is>
          <t>Asin Road</t>
        </is>
      </c>
    </row>
    <row r="17088" spans="1:1">
      <c r="A17088" t="inlineStr">
        <is>
          <t>Atok Trail</t>
        </is>
      </c>
    </row>
    <row r="17089" spans="1:1">
      <c r="A17089" t="inlineStr">
        <is>
          <t>Aurora Hill Proper</t>
        </is>
      </c>
    </row>
    <row r="17090" spans="1:1">
      <c r="A17090" t="inlineStr">
        <is>
          <t>Aurora Hill, North Central</t>
        </is>
      </c>
    </row>
    <row r="17091" spans="1:1">
      <c r="A17091" t="inlineStr">
        <is>
          <t>Aurora Hill, South Central</t>
        </is>
      </c>
    </row>
    <row r="17092" spans="1:1">
      <c r="A17092" t="inlineStr">
        <is>
          <t>Bagong Lipunan</t>
        </is>
      </c>
    </row>
    <row r="17093" spans="1:1">
      <c r="A17093" t="inlineStr">
        <is>
          <t>Bakakeng Central</t>
        </is>
      </c>
    </row>
    <row r="17094" spans="1:1">
      <c r="A17094" t="inlineStr">
        <is>
          <t>Bakakeng North</t>
        </is>
      </c>
    </row>
    <row r="17095" spans="1:1">
      <c r="A17095" t="inlineStr">
        <is>
          <t>Bal-Marcoville</t>
        </is>
      </c>
    </row>
    <row r="17096" spans="1:1">
      <c r="A17096" t="inlineStr">
        <is>
          <t>Balsigan</t>
        </is>
      </c>
    </row>
    <row r="17097" spans="1:1">
      <c r="A17097" t="inlineStr">
        <is>
          <t>Bayan Park East</t>
        </is>
      </c>
    </row>
    <row r="17098" spans="1:1">
      <c r="A17098" t="inlineStr">
        <is>
          <t>Bayan Park Village</t>
        </is>
      </c>
    </row>
    <row r="17099" spans="1:1">
      <c r="A17099" t="inlineStr">
        <is>
          <t>Bayan Park West</t>
        </is>
      </c>
    </row>
    <row r="17100" spans="1:1">
      <c r="A17100" t="inlineStr">
        <is>
          <t>BGH Compound</t>
        </is>
      </c>
    </row>
    <row r="17101" spans="1:1">
      <c r="A17101" t="inlineStr">
        <is>
          <t>Brookside</t>
        </is>
      </c>
    </row>
    <row r="17102" spans="1:1">
      <c r="A17102" t="inlineStr">
        <is>
          <t>Brookspoint</t>
        </is>
      </c>
    </row>
    <row r="17103" spans="1:1">
      <c r="A17103" t="inlineStr">
        <is>
          <t>Cabinet Hill-Teacher's Camp</t>
        </is>
      </c>
    </row>
    <row r="17104" spans="1:1">
      <c r="A17104" t="inlineStr">
        <is>
          <t>Camdas Subdivision</t>
        </is>
      </c>
    </row>
    <row r="17105" spans="1:1">
      <c r="A17105" t="inlineStr">
        <is>
          <t>Camp 7</t>
        </is>
      </c>
    </row>
    <row r="17106" spans="1:1">
      <c r="A17106" t="inlineStr">
        <is>
          <t>Camp 8</t>
        </is>
      </c>
    </row>
    <row r="17107" spans="1:1">
      <c r="A17107" t="inlineStr">
        <is>
          <t>Camp Allen</t>
        </is>
      </c>
    </row>
    <row r="17108" spans="1:1">
      <c r="A17108" t="inlineStr">
        <is>
          <t>Campo Filipino</t>
        </is>
      </c>
    </row>
    <row r="17109" spans="1:1">
      <c r="A17109" t="inlineStr">
        <is>
          <t>City Camp Central</t>
        </is>
      </c>
    </row>
    <row r="17110" spans="1:1">
      <c r="A17110" t="inlineStr">
        <is>
          <t>City Camp Proper</t>
        </is>
      </c>
    </row>
    <row r="17111" spans="1:1">
      <c r="A17111" t="inlineStr">
        <is>
          <t>Country Club Village</t>
        </is>
      </c>
    </row>
    <row r="17112" spans="1:1">
      <c r="A17112" t="inlineStr">
        <is>
          <t>Cresencia Village</t>
        </is>
      </c>
    </row>
    <row r="17113" spans="1:1">
      <c r="A17113" t="inlineStr">
        <is>
          <t>Dagsian, Lower</t>
        </is>
      </c>
    </row>
    <row r="17114" spans="1:1">
      <c r="A17114" t="inlineStr">
        <is>
          <t>Dagsian, Upper</t>
        </is>
      </c>
    </row>
    <row r="17115" spans="1:1">
      <c r="A17115" t="inlineStr">
        <is>
          <t>Dizon Subdivision</t>
        </is>
      </c>
    </row>
    <row r="17116" spans="1:1">
      <c r="A17116" t="inlineStr">
        <is>
          <t>Dominican Hill-Mirador</t>
        </is>
      </c>
    </row>
    <row r="17117" spans="1:1">
      <c r="A17117" t="inlineStr">
        <is>
          <t>Dontogan</t>
        </is>
      </c>
    </row>
    <row r="17118" spans="1:1">
      <c r="A17118" t="inlineStr">
        <is>
          <t>DPS Area</t>
        </is>
      </c>
    </row>
    <row r="17119" spans="1:1">
      <c r="A17119" t="inlineStr">
        <is>
          <t>Engineers' Hill</t>
        </is>
      </c>
    </row>
    <row r="17120" spans="1:1">
      <c r="A17120" t="inlineStr">
        <is>
          <t>Fairview Village</t>
        </is>
      </c>
    </row>
    <row r="17121" spans="1:1">
      <c r="A17121" t="inlineStr">
        <is>
          <t>Ferdinand</t>
        </is>
      </c>
    </row>
    <row r="17122" spans="1:1">
      <c r="A17122" t="inlineStr">
        <is>
          <t>Fort del Pilar</t>
        </is>
      </c>
    </row>
    <row r="17123" spans="1:1">
      <c r="A17123" t="inlineStr">
        <is>
          <t>Gabriela Silang</t>
        </is>
      </c>
    </row>
    <row r="17124" spans="1:1">
      <c r="A17124" t="inlineStr">
        <is>
          <t>General Emilio F. Aguinaldo</t>
        </is>
      </c>
    </row>
    <row r="17125" spans="1:1">
      <c r="A17125" t="inlineStr">
        <is>
          <t>General Luna, Lower</t>
        </is>
      </c>
    </row>
    <row r="17126" spans="1:1">
      <c r="A17126" t="inlineStr">
        <is>
          <t>General Luna, Upper</t>
        </is>
      </c>
    </row>
    <row r="17127" spans="1:1">
      <c r="A17127" t="inlineStr">
        <is>
          <t>Gibraltar</t>
        </is>
      </c>
    </row>
    <row r="17128" spans="1:1">
      <c r="A17128" t="inlineStr">
        <is>
          <t>Greenwater Village</t>
        </is>
      </c>
    </row>
    <row r="17129" spans="1:1">
      <c r="A17129" t="inlineStr">
        <is>
          <t>Guisad Central</t>
        </is>
      </c>
    </row>
    <row r="17130" spans="1:1">
      <c r="A17130" t="inlineStr">
        <is>
          <t>Guisad Sorong</t>
        </is>
      </c>
    </row>
    <row r="17131" spans="1:1">
      <c r="A17131" t="inlineStr">
        <is>
          <t>Happy Hollow</t>
        </is>
      </c>
    </row>
    <row r="17132" spans="1:1">
      <c r="A17132" t="inlineStr">
        <is>
          <t>Happy Homes</t>
        </is>
      </c>
    </row>
    <row r="17133" spans="1:1">
      <c r="A17133" t="inlineStr">
        <is>
          <t>Harrison-Claudio Carantes</t>
        </is>
      </c>
    </row>
    <row r="17134" spans="1:1">
      <c r="A17134" t="inlineStr">
        <is>
          <t>Hillside</t>
        </is>
      </c>
    </row>
    <row r="17135" spans="1:1">
      <c r="A17135" t="inlineStr">
        <is>
          <t>Holy Ghost Extension</t>
        </is>
      </c>
    </row>
    <row r="17136" spans="1:1">
      <c r="A17136" t="inlineStr">
        <is>
          <t>Holy Ghost Proper</t>
        </is>
      </c>
    </row>
    <row r="17137" spans="1:1">
      <c r="A17137" t="inlineStr">
        <is>
          <t>Honeymoon</t>
        </is>
      </c>
    </row>
    <row r="17138" spans="1:1">
      <c r="A17138" t="inlineStr">
        <is>
          <t>Imelda R. Marcos</t>
        </is>
      </c>
    </row>
    <row r="17139" spans="1:1">
      <c r="A17139" t="inlineStr">
        <is>
          <t>Imelda Village</t>
        </is>
      </c>
    </row>
    <row r="17140" spans="1:1">
      <c r="A17140" t="inlineStr">
        <is>
          <t>Irisan</t>
        </is>
      </c>
    </row>
    <row r="17141" spans="1:1">
      <c r="A17141" t="inlineStr">
        <is>
          <t>Kabayanihan</t>
        </is>
      </c>
    </row>
    <row r="17142" spans="1:1">
      <c r="A17142" t="inlineStr">
        <is>
          <t>Kagitingan</t>
        </is>
      </c>
    </row>
    <row r="17143" spans="1:1">
      <c r="A17143" t="inlineStr">
        <is>
          <t>Kayang Extension</t>
        </is>
      </c>
    </row>
    <row r="17144" spans="1:1">
      <c r="A17144" t="inlineStr">
        <is>
          <t>Kayang-Hilltop</t>
        </is>
      </c>
    </row>
    <row r="17145" spans="1:1">
      <c r="A17145" t="inlineStr">
        <is>
          <t>Kias</t>
        </is>
      </c>
    </row>
    <row r="17146" spans="1:1">
      <c r="A17146" t="inlineStr">
        <is>
          <t>Legarda-Burnham-Kisad</t>
        </is>
      </c>
    </row>
    <row r="17147" spans="1:1">
      <c r="A17147" t="inlineStr">
        <is>
          <t>Liwanag-Loakan</t>
        </is>
      </c>
    </row>
    <row r="17148" spans="1:1">
      <c r="A17148" t="inlineStr">
        <is>
          <t>Loakan Proper</t>
        </is>
      </c>
    </row>
    <row r="17149" spans="1:1">
      <c r="A17149" t="inlineStr">
        <is>
          <t>Lopez Jaena</t>
        </is>
      </c>
    </row>
    <row r="17150" spans="1:1">
      <c r="A17150" t="inlineStr">
        <is>
          <t>Lourdes Subdivision Extension</t>
        </is>
      </c>
    </row>
    <row r="17151" spans="1:1">
      <c r="A17151" t="inlineStr">
        <is>
          <t>Lourdes Subdivision, Lower</t>
        </is>
      </c>
    </row>
    <row r="17152" spans="1:1">
      <c r="A17152" t="inlineStr">
        <is>
          <t>Lourdes Subdivision, Proper</t>
        </is>
      </c>
    </row>
    <row r="17153" spans="1:1">
      <c r="A17153" t="inlineStr">
        <is>
          <t>Lualhati</t>
        </is>
      </c>
    </row>
    <row r="17154" spans="1:1">
      <c r="A17154" t="inlineStr">
        <is>
          <t>Lucnab</t>
        </is>
      </c>
    </row>
    <row r="17155" spans="1:1">
      <c r="A17155" t="inlineStr">
        <is>
          <t>Magsaysay Private Road</t>
        </is>
      </c>
    </row>
    <row r="17156" spans="1:1">
      <c r="A17156" t="inlineStr">
        <is>
          <t>Magsaysay, Lower</t>
        </is>
      </c>
    </row>
    <row r="17157" spans="1:1">
      <c r="A17157" t="inlineStr">
        <is>
          <t>Magsaysay, Upper</t>
        </is>
      </c>
    </row>
    <row r="17158" spans="1:1">
      <c r="A17158" t="inlineStr">
        <is>
          <t>Malcolm Square-Perfecto</t>
        </is>
      </c>
    </row>
    <row r="17159" spans="1:1">
      <c r="A17159" t="inlineStr">
        <is>
          <t>Manuel A. Roxas</t>
        </is>
      </c>
    </row>
    <row r="17160" spans="1:1">
      <c r="A17160" t="inlineStr">
        <is>
          <t>Market Subdivision, Upper</t>
        </is>
      </c>
    </row>
    <row r="17161" spans="1:1">
      <c r="A17161" t="inlineStr">
        <is>
          <t>Middle Quezon Hill Subdivision</t>
        </is>
      </c>
    </row>
    <row r="17162" spans="1:1">
      <c r="A17162" t="inlineStr">
        <is>
          <t>Military Cut-off</t>
        </is>
      </c>
    </row>
    <row r="17163" spans="1:1">
      <c r="A17163" t="inlineStr">
        <is>
          <t>Mines View Park</t>
        </is>
      </c>
    </row>
    <row r="17164" spans="1:1">
      <c r="A17164" t="inlineStr">
        <is>
          <t>Modern Site, East</t>
        </is>
      </c>
    </row>
    <row r="17165" spans="1:1">
      <c r="A17165" t="inlineStr">
        <is>
          <t>Modern Site, West</t>
        </is>
      </c>
    </row>
    <row r="17166" spans="1:1">
      <c r="A17166" t="inlineStr">
        <is>
          <t>MRR-Queen Of Peace</t>
        </is>
      </c>
    </row>
    <row r="17167" spans="1:1">
      <c r="A17167" t="inlineStr">
        <is>
          <t>New Lucban</t>
        </is>
      </c>
    </row>
    <row r="17168" spans="1:1">
      <c r="A17168" t="inlineStr">
        <is>
          <t>Outlook Drive</t>
        </is>
      </c>
    </row>
    <row r="17169" spans="1:1">
      <c r="A17169" t="inlineStr">
        <is>
          <t>Pacdal</t>
        </is>
      </c>
    </row>
    <row r="17170" spans="1:1">
      <c r="A17170" t="inlineStr">
        <is>
          <t>Padre Burgos</t>
        </is>
      </c>
    </row>
    <row r="17171" spans="1:1">
      <c r="A17171" t="inlineStr">
        <is>
          <t>Padre Zamora</t>
        </is>
      </c>
    </row>
    <row r="17172" spans="1:1">
      <c r="A17172" t="inlineStr">
        <is>
          <t>Palma-Urbano</t>
        </is>
      </c>
    </row>
    <row r="17173" spans="1:1">
      <c r="A17173" t="inlineStr">
        <is>
          <t>Phil-Am</t>
        </is>
      </c>
    </row>
    <row r="17174" spans="1:1">
      <c r="A17174" t="inlineStr">
        <is>
          <t>Pinget</t>
        </is>
      </c>
    </row>
    <row r="17175" spans="1:1">
      <c r="A17175" t="inlineStr">
        <is>
          <t>Pinsao Pilot Project</t>
        </is>
      </c>
    </row>
    <row r="17176" spans="1:1">
      <c r="A17176" t="inlineStr">
        <is>
          <t>Pinsao Proper</t>
        </is>
      </c>
    </row>
    <row r="17177" spans="1:1">
      <c r="A17177" t="inlineStr">
        <is>
          <t>Poliwes</t>
        </is>
      </c>
    </row>
    <row r="17178" spans="1:1">
      <c r="A17178" t="inlineStr">
        <is>
          <t>Pucsusan</t>
        </is>
      </c>
    </row>
    <row r="17179" spans="1:1">
      <c r="A17179" t="inlineStr">
        <is>
          <t>Quezon Hill Proper</t>
        </is>
      </c>
    </row>
    <row r="17180" spans="1:1">
      <c r="A17180" t="inlineStr">
        <is>
          <t>Quezon Hill, Upper</t>
        </is>
      </c>
    </row>
    <row r="17181" spans="1:1">
      <c r="A17181" t="inlineStr">
        <is>
          <t>Quirino Hill, East</t>
        </is>
      </c>
    </row>
    <row r="17182" spans="1:1">
      <c r="A17182" t="inlineStr">
        <is>
          <t>Quirino Hill, Lower</t>
        </is>
      </c>
    </row>
    <row r="17183" spans="1:1">
      <c r="A17183" t="inlineStr">
        <is>
          <t>Quirino Hill, Middle</t>
        </is>
      </c>
    </row>
    <row r="17184" spans="1:1">
      <c r="A17184" t="inlineStr">
        <is>
          <t>Quirino Hill, West</t>
        </is>
      </c>
    </row>
    <row r="17185" spans="1:1">
      <c r="A17185" t="inlineStr">
        <is>
          <t>Quirino-Magsaysay, Upper</t>
        </is>
      </c>
    </row>
    <row r="17186" spans="1:1">
      <c r="A17186" t="inlineStr">
        <is>
          <t>Rizal Monument Area</t>
        </is>
      </c>
    </row>
    <row r="17187" spans="1:1">
      <c r="A17187" t="inlineStr">
        <is>
          <t>Rock Quarry, Lower</t>
        </is>
      </c>
    </row>
    <row r="17188" spans="1:1">
      <c r="A17188" t="inlineStr">
        <is>
          <t>Rock Quarry, Middle</t>
        </is>
      </c>
    </row>
    <row r="17189" spans="1:1">
      <c r="A17189" t="inlineStr">
        <is>
          <t>Rock Quarry, Upper</t>
        </is>
      </c>
    </row>
    <row r="17190" spans="1:1">
      <c r="A17190" t="inlineStr">
        <is>
          <t>Saint Joseph Village</t>
        </is>
      </c>
    </row>
    <row r="17191" spans="1:1">
      <c r="A17191" t="inlineStr">
        <is>
          <t>Salud Mitra</t>
        </is>
      </c>
    </row>
    <row r="17192" spans="1:1">
      <c r="A17192" t="inlineStr">
        <is>
          <t>San Antonio Village</t>
        </is>
      </c>
    </row>
    <row r="17193" spans="1:1">
      <c r="A17193" t="inlineStr">
        <is>
          <t>San Luis Village</t>
        </is>
      </c>
    </row>
    <row r="17194" spans="1:1">
      <c r="A17194" t="inlineStr">
        <is>
          <t>San Roque Village</t>
        </is>
      </c>
    </row>
    <row r="17195" spans="1:1">
      <c r="A17195" t="inlineStr">
        <is>
          <t>San Vicente</t>
        </is>
      </c>
    </row>
    <row r="17196" spans="1:1">
      <c r="A17196" t="inlineStr">
        <is>
          <t>Sanitary Camp, North</t>
        </is>
      </c>
    </row>
    <row r="17197" spans="1:1">
      <c r="A17197" t="inlineStr">
        <is>
          <t>Sanitary Camp, South</t>
        </is>
      </c>
    </row>
    <row r="17198" spans="1:1">
      <c r="A17198" t="inlineStr">
        <is>
          <t>Santa Escolastica</t>
        </is>
      </c>
    </row>
    <row r="17199" spans="1:1">
      <c r="A17199" t="inlineStr">
        <is>
          <t>Santo Rosario</t>
        </is>
      </c>
    </row>
    <row r="17200" spans="1:1">
      <c r="A17200" t="inlineStr">
        <is>
          <t>Santo Tomas Proper</t>
        </is>
      </c>
    </row>
    <row r="17201" spans="1:1">
      <c r="A17201" t="inlineStr">
        <is>
          <t>Santo Tomas School Area</t>
        </is>
      </c>
    </row>
    <row r="17202" spans="1:1">
      <c r="A17202" t="inlineStr">
        <is>
          <t>Scout Barrio</t>
        </is>
      </c>
    </row>
    <row r="17203" spans="1:1">
      <c r="A17203" t="inlineStr">
        <is>
          <t>Session Road Area</t>
        </is>
      </c>
    </row>
    <row r="17204" spans="1:1">
      <c r="A17204" t="inlineStr">
        <is>
          <t>Slaughter House Area</t>
        </is>
      </c>
    </row>
    <row r="17205" spans="1:1">
      <c r="A17205" t="inlineStr">
        <is>
          <t>SLU-SVP Housing Village</t>
        </is>
      </c>
    </row>
    <row r="17206" spans="1:1">
      <c r="A17206" t="inlineStr">
        <is>
          <t>South Drive</t>
        </is>
      </c>
    </row>
    <row r="17207" spans="1:1">
      <c r="A17207" t="inlineStr">
        <is>
          <t>Teodora Alonzo</t>
        </is>
      </c>
    </row>
    <row r="17208" spans="1:1">
      <c r="A17208" t="inlineStr">
        <is>
          <t>Trancoville</t>
        </is>
      </c>
    </row>
    <row r="17209" spans="1:1">
      <c r="A17209" t="inlineStr">
        <is>
          <t>Victoria Village</t>
        </is>
      </c>
    </row>
    <row r="17210" spans="1:1">
      <c r="A17210" t="inlineStr">
        <is>
          <t>Babuyan</t>
        </is>
      </c>
    </row>
    <row r="17211" spans="1:1">
      <c r="A17211" t="inlineStr">
        <is>
          <t>Bacungan</t>
        </is>
      </c>
    </row>
    <row r="17212" spans="1:1">
      <c r="A17212" t="inlineStr">
        <is>
          <t>Bagong Bayan</t>
        </is>
      </c>
    </row>
    <row r="17213" spans="1:1">
      <c r="A17213" t="inlineStr">
        <is>
          <t>Bagong Pag-Asa</t>
        </is>
      </c>
    </row>
    <row r="17214" spans="1:1">
      <c r="A17214" t="inlineStr">
        <is>
          <t>Bagong Sikat</t>
        </is>
      </c>
    </row>
    <row r="17215" spans="1:1">
      <c r="A17215" t="inlineStr">
        <is>
          <t>Bagong Silang</t>
        </is>
      </c>
    </row>
    <row r="17216" spans="1:1">
      <c r="A17216" t="inlineStr">
        <is>
          <t>Bahile</t>
        </is>
      </c>
    </row>
    <row r="17217" spans="1:1">
      <c r="A17217" t="inlineStr">
        <is>
          <t>Bancao-bancao</t>
        </is>
      </c>
    </row>
    <row r="17218" spans="1:1">
      <c r="A17218" t="inlineStr">
        <is>
          <t>Binduyan</t>
        </is>
      </c>
    </row>
    <row r="17219" spans="1:1">
      <c r="A17219" t="inlineStr">
        <is>
          <t>Buenavista</t>
        </is>
      </c>
    </row>
    <row r="17220" spans="1:1">
      <c r="A17220" t="inlineStr">
        <is>
          <t>Cabayugan</t>
        </is>
      </c>
    </row>
    <row r="17221" spans="1:1">
      <c r="A17221" t="inlineStr">
        <is>
          <t>Concepcion</t>
        </is>
      </c>
    </row>
    <row r="17222" spans="1:1">
      <c r="A17222" t="inlineStr">
        <is>
          <t>Inagawan</t>
        </is>
      </c>
    </row>
    <row r="17223" spans="1:1">
      <c r="A17223" t="inlineStr">
        <is>
          <t>Inagawan Sub-Colony</t>
        </is>
      </c>
    </row>
    <row r="17224" spans="1:1">
      <c r="A17224" t="inlineStr">
        <is>
          <t>Irawan</t>
        </is>
      </c>
    </row>
    <row r="17225" spans="1:1">
      <c r="A17225" t="inlineStr">
        <is>
          <t>Iwahig</t>
        </is>
      </c>
    </row>
    <row r="17226" spans="1:1">
      <c r="A17226" t="inlineStr">
        <is>
          <t>Kalipay</t>
        </is>
      </c>
    </row>
    <row r="17227" spans="1:1">
      <c r="A17227" t="inlineStr">
        <is>
          <t>Kamuning</t>
        </is>
      </c>
    </row>
    <row r="17228" spans="1:1">
      <c r="A17228" t="inlineStr">
        <is>
          <t>Langogan</t>
        </is>
      </c>
    </row>
    <row r="17229" spans="1:1">
      <c r="A17229" t="inlineStr">
        <is>
          <t>Liwanag</t>
        </is>
      </c>
    </row>
    <row r="17230" spans="1:1">
      <c r="A17230" t="inlineStr">
        <is>
          <t>Lucbuan</t>
        </is>
      </c>
    </row>
    <row r="17231" spans="1:1">
      <c r="A17231" t="inlineStr">
        <is>
          <t>Luzviminda</t>
        </is>
      </c>
    </row>
    <row r="17232" spans="1:1">
      <c r="A17232" t="inlineStr">
        <is>
          <t>Mabuhay</t>
        </is>
      </c>
    </row>
    <row r="17233" spans="1:1">
      <c r="A17233" t="inlineStr">
        <is>
          <t>Macarascas</t>
        </is>
      </c>
    </row>
    <row r="17234" spans="1:1">
      <c r="A17234" t="inlineStr">
        <is>
          <t>Magkakaibigan</t>
        </is>
      </c>
    </row>
    <row r="17235" spans="1:1">
      <c r="A17235" t="inlineStr">
        <is>
          <t>Maligaya</t>
        </is>
      </c>
    </row>
    <row r="17236" spans="1:1">
      <c r="A17236" t="inlineStr">
        <is>
          <t>Manalo</t>
        </is>
      </c>
    </row>
    <row r="17237" spans="1:1">
      <c r="A17237" t="inlineStr">
        <is>
          <t>Mandaragat</t>
        </is>
      </c>
    </row>
    <row r="17238" spans="1:1">
      <c r="A17238" t="inlineStr">
        <is>
          <t>Manggahan</t>
        </is>
      </c>
    </row>
    <row r="17239" spans="1:1">
      <c r="A17239" t="inlineStr">
        <is>
          <t>Mangingisda</t>
        </is>
      </c>
    </row>
    <row r="17240" spans="1:1">
      <c r="A17240" t="inlineStr">
        <is>
          <t>Maningning</t>
        </is>
      </c>
    </row>
    <row r="17241" spans="1:1">
      <c r="A17241" t="inlineStr">
        <is>
          <t>Maoyon</t>
        </is>
      </c>
    </row>
    <row r="17242" spans="1:1">
      <c r="A17242" t="inlineStr">
        <is>
          <t>Marufinas</t>
        </is>
      </c>
    </row>
    <row r="17243" spans="1:1">
      <c r="A17243" t="inlineStr">
        <is>
          <t>Maruyogon</t>
        </is>
      </c>
    </row>
    <row r="17244" spans="1:1">
      <c r="A17244" t="inlineStr">
        <is>
          <t>Masigla</t>
        </is>
      </c>
    </row>
    <row r="17245" spans="1:1">
      <c r="A17245" t="inlineStr">
        <is>
          <t>Masikap</t>
        </is>
      </c>
    </row>
    <row r="17246" spans="1:1">
      <c r="A17246" t="inlineStr">
        <is>
          <t>Masipag</t>
        </is>
      </c>
    </row>
    <row r="17247" spans="1:1">
      <c r="A17247" t="inlineStr">
        <is>
          <t>Matahimik</t>
        </is>
      </c>
    </row>
    <row r="17248" spans="1:1">
      <c r="A17248" t="inlineStr">
        <is>
          <t>Matiyaga</t>
        </is>
      </c>
    </row>
    <row r="17249" spans="1:1">
      <c r="A17249" t="inlineStr">
        <is>
          <t>Maunlad</t>
        </is>
      </c>
    </row>
    <row r="17250" spans="1:1">
      <c r="A17250" t="inlineStr">
        <is>
          <t>Milagrosa</t>
        </is>
      </c>
    </row>
    <row r="17251" spans="1:1">
      <c r="A17251" t="inlineStr">
        <is>
          <t>Model</t>
        </is>
      </c>
    </row>
    <row r="17252" spans="1:1">
      <c r="A17252" t="inlineStr">
        <is>
          <t>Montible</t>
        </is>
      </c>
    </row>
    <row r="17253" spans="1:1">
      <c r="A17253" t="inlineStr">
        <is>
          <t>Napsan</t>
        </is>
      </c>
    </row>
    <row r="17254" spans="1:1">
      <c r="A17254" t="inlineStr">
        <is>
          <t>New Panggangan</t>
        </is>
      </c>
    </row>
    <row r="17255" spans="1:1">
      <c r="A17255" t="inlineStr">
        <is>
          <t>Pagkakaisa</t>
        </is>
      </c>
    </row>
    <row r="17256" spans="1:1">
      <c r="A17256" t="inlineStr">
        <is>
          <t>Princesa</t>
        </is>
      </c>
    </row>
    <row r="17257" spans="1:1">
      <c r="A17257" t="inlineStr">
        <is>
          <t>Salvacion</t>
        </is>
      </c>
    </row>
    <row r="17258" spans="1:1">
      <c r="A17258" t="inlineStr">
        <is>
          <t>San Jose</t>
        </is>
      </c>
    </row>
    <row r="17259" spans="1:1">
      <c r="A17259" t="inlineStr">
        <is>
          <t>San Manuel</t>
        </is>
      </c>
    </row>
    <row r="17260" spans="1:1">
      <c r="A17260" t="inlineStr">
        <is>
          <t>San Miguel</t>
        </is>
      </c>
    </row>
    <row r="17261" spans="1:1">
      <c r="A17261" t="inlineStr">
        <is>
          <t>San Pedro</t>
        </is>
      </c>
    </row>
    <row r="17262" spans="1:1">
      <c r="A17262" t="inlineStr">
        <is>
          <t>San Rafael</t>
        </is>
      </c>
    </row>
    <row r="17263" spans="1:1">
      <c r="A17263" t="inlineStr">
        <is>
          <t>Santa Cruz</t>
        </is>
      </c>
    </row>
    <row r="17264" spans="1:1">
      <c r="A17264" t="inlineStr">
        <is>
          <t>Santa Lourdes</t>
        </is>
      </c>
    </row>
    <row r="17265" spans="1:1">
      <c r="A17265" t="inlineStr">
        <is>
          <t>Santa Lucia</t>
        </is>
      </c>
    </row>
    <row r="17266" spans="1:1">
      <c r="A17266" t="inlineStr">
        <is>
          <t>Santa Monica</t>
        </is>
      </c>
    </row>
    <row r="17267" spans="1:1">
      <c r="A17267" t="inlineStr">
        <is>
          <t>Seaside</t>
        </is>
      </c>
    </row>
    <row r="17268" spans="1:1">
      <c r="A17268" t="inlineStr">
        <is>
          <t>Sicsican</t>
        </is>
      </c>
    </row>
    <row r="17269" spans="1:1">
      <c r="A17269" t="inlineStr">
        <is>
          <t>Simpocan</t>
        </is>
      </c>
    </row>
    <row r="17270" spans="1:1">
      <c r="A17270" t="inlineStr">
        <is>
          <t>Tagabinit</t>
        </is>
      </c>
    </row>
    <row r="17271" spans="1:1">
      <c r="A17271" t="inlineStr">
        <is>
          <t>Tagburos</t>
        </is>
      </c>
    </row>
    <row r="17272" spans="1:1">
      <c r="A17272" t="inlineStr">
        <is>
          <t>Tagumpay</t>
        </is>
      </c>
    </row>
    <row r="17273" spans="1:1">
      <c r="A17273" t="inlineStr">
        <is>
          <t>Tanabag</t>
        </is>
      </c>
    </row>
    <row r="17274" spans="1:1">
      <c r="A17274" t="inlineStr">
        <is>
          <t>Tanglaw</t>
        </is>
      </c>
    </row>
    <row r="17275" spans="1:1">
      <c r="A17275" t="inlineStr">
        <is>
          <t>Tiniguiban</t>
        </is>
      </c>
    </row>
    <row r="17276" spans="1:1">
      <c r="A17276" t="inlineStr">
        <is>
          <t>Alangilan</t>
        </is>
      </c>
    </row>
    <row r="17277" spans="1:1">
      <c r="A17277" t="inlineStr">
        <is>
          <t>Alijis</t>
        </is>
      </c>
    </row>
    <row r="17278" spans="1:1">
      <c r="A17278" t="inlineStr">
        <is>
          <t>Banago</t>
        </is>
      </c>
    </row>
    <row r="17279" spans="1:1">
      <c r="A17279" t="inlineStr">
        <is>
          <t>Barangay 1</t>
        </is>
      </c>
    </row>
    <row r="17280" spans="1:1">
      <c r="A17280" t="inlineStr">
        <is>
          <t>Barangay 10</t>
        </is>
      </c>
    </row>
    <row r="17281" spans="1:1">
      <c r="A17281" t="inlineStr">
        <is>
          <t>Barangay 11</t>
        </is>
      </c>
    </row>
    <row r="17282" spans="1:1">
      <c r="A17282" t="inlineStr">
        <is>
          <t>Barangay 12</t>
        </is>
      </c>
    </row>
    <row r="17283" spans="1:1">
      <c r="A17283" t="inlineStr">
        <is>
          <t>Barangay 13</t>
        </is>
      </c>
    </row>
    <row r="17284" spans="1:1">
      <c r="A17284" t="inlineStr">
        <is>
          <t>Barangay 14</t>
        </is>
      </c>
    </row>
    <row r="17285" spans="1:1">
      <c r="A17285" t="inlineStr">
        <is>
          <t>Barangay 15</t>
        </is>
      </c>
    </row>
    <row r="17286" spans="1:1">
      <c r="A17286" t="inlineStr">
        <is>
          <t>Barangay 16</t>
        </is>
      </c>
    </row>
    <row r="17287" spans="1:1">
      <c r="A17287" t="inlineStr">
        <is>
          <t>Barangay 17</t>
        </is>
      </c>
    </row>
    <row r="17288" spans="1:1">
      <c r="A17288" t="inlineStr">
        <is>
          <t>Barangay 18</t>
        </is>
      </c>
    </row>
    <row r="17289" spans="1:1">
      <c r="A17289" t="inlineStr">
        <is>
          <t>Barangay 19</t>
        </is>
      </c>
    </row>
    <row r="17290" spans="1:1">
      <c r="A17290" t="inlineStr">
        <is>
          <t>Barangay 2</t>
        </is>
      </c>
    </row>
    <row r="17291" spans="1:1">
      <c r="A17291" t="inlineStr">
        <is>
          <t>Barangay 20</t>
        </is>
      </c>
    </row>
    <row r="17292" spans="1:1">
      <c r="A17292" t="inlineStr">
        <is>
          <t>Barangay 21</t>
        </is>
      </c>
    </row>
    <row r="17293" spans="1:1">
      <c r="A17293" t="inlineStr">
        <is>
          <t>Barangay 22</t>
        </is>
      </c>
    </row>
    <row r="17294" spans="1:1">
      <c r="A17294" t="inlineStr">
        <is>
          <t>Barangay 23</t>
        </is>
      </c>
    </row>
    <row r="17295" spans="1:1">
      <c r="A17295" t="inlineStr">
        <is>
          <t>Barangay 24</t>
        </is>
      </c>
    </row>
    <row r="17296" spans="1:1">
      <c r="A17296" t="inlineStr">
        <is>
          <t>Barangay 25</t>
        </is>
      </c>
    </row>
    <row r="17297" spans="1:1">
      <c r="A17297" t="inlineStr">
        <is>
          <t>Barangay 26</t>
        </is>
      </c>
    </row>
    <row r="17298" spans="1:1">
      <c r="A17298" t="inlineStr">
        <is>
          <t>Barangay 27</t>
        </is>
      </c>
    </row>
    <row r="17299" spans="1:1">
      <c r="A17299" t="inlineStr">
        <is>
          <t>Barangay 28</t>
        </is>
      </c>
    </row>
    <row r="17300" spans="1:1">
      <c r="A17300" t="inlineStr">
        <is>
          <t>Barangay 29</t>
        </is>
      </c>
    </row>
    <row r="17301" spans="1:1">
      <c r="A17301" t="inlineStr">
        <is>
          <t>Barangay 3</t>
        </is>
      </c>
    </row>
    <row r="17302" spans="1:1">
      <c r="A17302" t="inlineStr">
        <is>
          <t>Barangay 30</t>
        </is>
      </c>
    </row>
    <row r="17303" spans="1:1">
      <c r="A17303" t="inlineStr">
        <is>
          <t>Barangay 31</t>
        </is>
      </c>
    </row>
    <row r="17304" spans="1:1">
      <c r="A17304" t="inlineStr">
        <is>
          <t>Barangay 32</t>
        </is>
      </c>
    </row>
    <row r="17305" spans="1:1">
      <c r="A17305" t="inlineStr">
        <is>
          <t>Barangay 33</t>
        </is>
      </c>
    </row>
    <row r="17306" spans="1:1">
      <c r="A17306" t="inlineStr">
        <is>
          <t>Barangay 34</t>
        </is>
      </c>
    </row>
    <row r="17307" spans="1:1">
      <c r="A17307" t="inlineStr">
        <is>
          <t>Barangay 35</t>
        </is>
      </c>
    </row>
    <row r="17308" spans="1:1">
      <c r="A17308" t="inlineStr">
        <is>
          <t>Barangay 36</t>
        </is>
      </c>
    </row>
    <row r="17309" spans="1:1">
      <c r="A17309" t="inlineStr">
        <is>
          <t>Barangay 37</t>
        </is>
      </c>
    </row>
    <row r="17310" spans="1:1">
      <c r="A17310" t="inlineStr">
        <is>
          <t>Barangay 38</t>
        </is>
      </c>
    </row>
    <row r="17311" spans="1:1">
      <c r="A17311" t="inlineStr">
        <is>
          <t>Barangay 39</t>
        </is>
      </c>
    </row>
    <row r="17312" spans="1:1">
      <c r="A17312" t="inlineStr">
        <is>
          <t>Barangay 4</t>
        </is>
      </c>
    </row>
    <row r="17313" spans="1:1">
      <c r="A17313" t="inlineStr">
        <is>
          <t>Barangay 40</t>
        </is>
      </c>
    </row>
    <row r="17314" spans="1:1">
      <c r="A17314" t="inlineStr">
        <is>
          <t>Barangay 41</t>
        </is>
      </c>
    </row>
    <row r="17315" spans="1:1">
      <c r="A17315" t="inlineStr">
        <is>
          <t>Barangay 5</t>
        </is>
      </c>
    </row>
    <row r="17316" spans="1:1">
      <c r="A17316" t="inlineStr">
        <is>
          <t>Barangay 6</t>
        </is>
      </c>
    </row>
    <row r="17317" spans="1:1">
      <c r="A17317" t="inlineStr">
        <is>
          <t>Barangay 7</t>
        </is>
      </c>
    </row>
    <row r="17318" spans="1:1">
      <c r="A17318" t="inlineStr">
        <is>
          <t>Barangay 8</t>
        </is>
      </c>
    </row>
    <row r="17319" spans="1:1">
      <c r="A17319" t="inlineStr">
        <is>
          <t>Barangay 9</t>
        </is>
      </c>
    </row>
    <row r="17320" spans="1:1">
      <c r="A17320" t="inlineStr">
        <is>
          <t>Bata</t>
        </is>
      </c>
    </row>
    <row r="17321" spans="1:1">
      <c r="A17321" t="inlineStr">
        <is>
          <t>Cabug</t>
        </is>
      </c>
    </row>
    <row r="17322" spans="1:1">
      <c r="A17322" t="inlineStr">
        <is>
          <t>Estefania</t>
        </is>
      </c>
    </row>
    <row r="17323" spans="1:1">
      <c r="A17323" t="inlineStr">
        <is>
          <t>Felisa</t>
        </is>
      </c>
    </row>
    <row r="17324" spans="1:1">
      <c r="A17324" t="inlineStr">
        <is>
          <t>Granada</t>
        </is>
      </c>
    </row>
    <row r="17325" spans="1:1">
      <c r="A17325" t="inlineStr">
        <is>
          <t>Handumanan</t>
        </is>
      </c>
    </row>
    <row r="17326" spans="1:1">
      <c r="A17326" t="inlineStr">
        <is>
          <t>Mandalagan</t>
        </is>
      </c>
    </row>
    <row r="17327" spans="1:1">
      <c r="A17327" t="inlineStr">
        <is>
          <t>Mansilingan</t>
        </is>
      </c>
    </row>
    <row r="17328" spans="1:1">
      <c r="A17328" t="inlineStr">
        <is>
          <t>Montevista</t>
        </is>
      </c>
    </row>
    <row r="17329" spans="1:1">
      <c r="A17329" t="inlineStr">
        <is>
          <t>Pahanocoy</t>
        </is>
      </c>
    </row>
    <row r="17330" spans="1:1">
      <c r="A17330" t="inlineStr">
        <is>
          <t>Punta Taytay</t>
        </is>
      </c>
    </row>
    <row r="17331" spans="1:1">
      <c r="A17331" t="inlineStr">
        <is>
          <t>Singcang-Airport</t>
        </is>
      </c>
    </row>
    <row r="17332" spans="1:1">
      <c r="A17332" t="inlineStr">
        <is>
          <t>Sum-ag</t>
        </is>
      </c>
    </row>
    <row r="17333" spans="1:1">
      <c r="A17333" t="inlineStr">
        <is>
          <t>Taculing</t>
        </is>
      </c>
    </row>
    <row r="17334" spans="1:1">
      <c r="A17334" t="inlineStr">
        <is>
          <t>Tangub</t>
        </is>
      </c>
    </row>
    <row r="17335" spans="1:1">
      <c r="A17335" t="inlineStr">
        <is>
          <t>Villamonte</t>
        </is>
      </c>
    </row>
    <row r="17336" spans="1:1">
      <c r="A17336" t="inlineStr">
        <is>
          <t>Vista Alegre</t>
        </is>
      </c>
    </row>
    <row r="17337" spans="1:1">
      <c r="A17337" t="inlineStr">
        <is>
          <t>Agapito del Rosario</t>
        </is>
      </c>
    </row>
    <row r="17338" spans="1:1">
      <c r="A17338" t="inlineStr">
        <is>
          <t>Amsic</t>
        </is>
      </c>
    </row>
    <row r="17339" spans="1:1">
      <c r="A17339" t="inlineStr">
        <is>
          <t>Anunas</t>
        </is>
      </c>
    </row>
    <row r="17340" spans="1:1">
      <c r="A17340" t="inlineStr">
        <is>
          <t>Balibago</t>
        </is>
      </c>
    </row>
    <row r="17341" spans="1:1">
      <c r="A17341" t="inlineStr">
        <is>
          <t>Capaya</t>
        </is>
      </c>
    </row>
    <row r="17342" spans="1:1">
      <c r="A17342" t="inlineStr">
        <is>
          <t>Claro M. Recto</t>
        </is>
      </c>
    </row>
    <row r="17343" spans="1:1">
      <c r="A17343" t="inlineStr">
        <is>
          <t>Cuayan</t>
        </is>
      </c>
    </row>
    <row r="17344" spans="1:1">
      <c r="A17344" t="inlineStr">
        <is>
          <t>Cutcut</t>
        </is>
      </c>
    </row>
    <row r="17345" spans="1:1">
      <c r="A17345" t="inlineStr">
        <is>
          <t>Cutud</t>
        </is>
      </c>
    </row>
    <row r="17346" spans="1:1">
      <c r="A17346" t="inlineStr">
        <is>
          <t>Lourdes North West</t>
        </is>
      </c>
    </row>
    <row r="17347" spans="1:1">
      <c r="A17347" t="inlineStr">
        <is>
          <t>Lourdes Sur</t>
        </is>
      </c>
    </row>
    <row r="17348" spans="1:1">
      <c r="A17348" t="inlineStr">
        <is>
          <t>Lourdes Sur East</t>
        </is>
      </c>
    </row>
    <row r="17349" spans="1:1">
      <c r="A17349" t="inlineStr">
        <is>
          <t>Malabañas</t>
        </is>
      </c>
    </row>
    <row r="17350" spans="1:1">
      <c r="A17350" t="inlineStr">
        <is>
          <t>Margot</t>
        </is>
      </c>
    </row>
    <row r="17351" spans="1:1">
      <c r="A17351" t="inlineStr">
        <is>
          <t>Mining</t>
        </is>
      </c>
    </row>
    <row r="17352" spans="1:1">
      <c r="A17352" t="inlineStr">
        <is>
          <t>Ninoy Aquino</t>
        </is>
      </c>
    </row>
    <row r="17353" spans="1:1">
      <c r="A17353" t="inlineStr">
        <is>
          <t>Pampang</t>
        </is>
      </c>
    </row>
    <row r="17354" spans="1:1">
      <c r="A17354" t="inlineStr">
        <is>
          <t>Pandan</t>
        </is>
      </c>
    </row>
    <row r="17355" spans="1:1">
      <c r="A17355" t="inlineStr">
        <is>
          <t>Pulung Cacutud</t>
        </is>
      </c>
    </row>
    <row r="17356" spans="1:1">
      <c r="A17356" t="inlineStr">
        <is>
          <t>Pulung Maragul</t>
        </is>
      </c>
    </row>
    <row r="17357" spans="1:1">
      <c r="A17357" t="inlineStr">
        <is>
          <t>Pulungbulu</t>
        </is>
      </c>
    </row>
    <row r="17358" spans="1:1">
      <c r="A17358" t="inlineStr">
        <is>
          <t>Salapungan</t>
        </is>
      </c>
    </row>
    <row r="17359" spans="1:1">
      <c r="A17359" t="inlineStr">
        <is>
          <t>San Jose</t>
        </is>
      </c>
    </row>
    <row r="17360" spans="1:1">
      <c r="A17360" t="inlineStr">
        <is>
          <t>San Nicolas</t>
        </is>
      </c>
    </row>
    <row r="17361" spans="1:1">
      <c r="A17361" t="inlineStr">
        <is>
          <t>Sapalibutad</t>
        </is>
      </c>
    </row>
    <row r="17362" spans="1:1">
      <c r="A17362" t="inlineStr">
        <is>
          <t>Sapangbato</t>
        </is>
      </c>
    </row>
    <row r="17363" spans="1:1">
      <c r="A17363" t="inlineStr">
        <is>
          <t>Sta. Teresita</t>
        </is>
      </c>
    </row>
    <row r="17364" spans="1:1">
      <c r="A17364" t="inlineStr">
        <is>
          <t>Sta. Trinidad</t>
        </is>
      </c>
    </row>
    <row r="17365" spans="1:1">
      <c r="A17365" t="inlineStr">
        <is>
          <t>Sto. Cristo</t>
        </is>
      </c>
    </row>
    <row r="17366" spans="1:1">
      <c r="A17366" t="inlineStr">
        <is>
          <t>Sto. Domingo</t>
        </is>
      </c>
    </row>
    <row r="17367" spans="1:1">
      <c r="A17367" t="inlineStr">
        <is>
          <t>Sto. Rosario</t>
        </is>
      </c>
    </row>
    <row r="17368" spans="1:1">
      <c r="A17368" t="inlineStr">
        <is>
          <t>Tabun</t>
        </is>
      </c>
    </row>
    <row r="17369" spans="1:1">
      <c r="A17369" t="inlineStr">
        <is>
          <t>Virgen Delos Remedios</t>
        </is>
      </c>
    </row>
    <row r="17370" spans="1:1">
      <c r="A17370" t="inlineStr">
        <is>
          <t>Asinan</t>
        </is>
      </c>
    </row>
    <row r="17371" spans="1:1">
      <c r="A17371" t="inlineStr">
        <is>
          <t>Banicain</t>
        </is>
      </c>
    </row>
    <row r="17372" spans="1:1">
      <c r="A17372" t="inlineStr">
        <is>
          <t>Barretto</t>
        </is>
      </c>
    </row>
    <row r="17373" spans="1:1">
      <c r="A17373" t="inlineStr">
        <is>
          <t>East Bajac-bajac</t>
        </is>
      </c>
    </row>
    <row r="17374" spans="1:1">
      <c r="A17374" t="inlineStr">
        <is>
          <t>East Tapinac</t>
        </is>
      </c>
    </row>
    <row r="17375" spans="1:1">
      <c r="A17375" t="inlineStr">
        <is>
          <t>Gordon Heights</t>
        </is>
      </c>
    </row>
    <row r="17376" spans="1:1">
      <c r="A17376" t="inlineStr">
        <is>
          <t>Kalaklan</t>
        </is>
      </c>
    </row>
    <row r="17377" spans="1:1">
      <c r="A17377" t="inlineStr">
        <is>
          <t>Mabayuan</t>
        </is>
      </c>
    </row>
    <row r="17378" spans="1:1">
      <c r="A17378" t="inlineStr">
        <is>
          <t>New Cabalan</t>
        </is>
      </c>
    </row>
    <row r="17379" spans="1:1">
      <c r="A17379" t="inlineStr">
        <is>
          <t>New Ilalim</t>
        </is>
      </c>
    </row>
    <row r="17380" spans="1:1">
      <c r="A17380" t="inlineStr">
        <is>
          <t>New Kababae</t>
        </is>
      </c>
    </row>
    <row r="17381" spans="1:1">
      <c r="A17381" t="inlineStr">
        <is>
          <t>New Kalalake</t>
        </is>
      </c>
    </row>
    <row r="17382" spans="1:1">
      <c r="A17382" t="inlineStr">
        <is>
          <t>Old Cabalan</t>
        </is>
      </c>
    </row>
    <row r="17383" spans="1:1">
      <c r="A17383" t="inlineStr">
        <is>
          <t>Pag-asa</t>
        </is>
      </c>
    </row>
    <row r="17384" spans="1:1">
      <c r="A17384" t="inlineStr">
        <is>
          <t>Santa Rita</t>
        </is>
      </c>
    </row>
    <row r="17385" spans="1:1">
      <c r="A17385" t="inlineStr">
        <is>
          <t>West Bajac-bajac</t>
        </is>
      </c>
    </row>
    <row r="17386" spans="1:1">
      <c r="A17386" t="inlineStr">
        <is>
          <t>West Tapinac</t>
        </is>
      </c>
    </row>
    <row r="17387" spans="1:1">
      <c r="A17387" t="inlineStr">
        <is>
          <t>Barangay 1</t>
        </is>
      </c>
    </row>
    <row r="17388" spans="1:1">
      <c r="A17388" t="inlineStr">
        <is>
          <t>Barangay 10</t>
        </is>
      </c>
    </row>
    <row r="17389" spans="1:1">
      <c r="A17389" t="inlineStr">
        <is>
          <t>Barangay 11</t>
        </is>
      </c>
    </row>
    <row r="17390" spans="1:1">
      <c r="A17390" t="inlineStr">
        <is>
          <t>Barangay 2</t>
        </is>
      </c>
    </row>
    <row r="17391" spans="1:1">
      <c r="A17391" t="inlineStr">
        <is>
          <t>Barangay 3</t>
        </is>
      </c>
    </row>
    <row r="17392" spans="1:1">
      <c r="A17392" t="inlineStr">
        <is>
          <t>Barangay 4</t>
        </is>
      </c>
    </row>
    <row r="17393" spans="1:1">
      <c r="A17393" t="inlineStr">
        <is>
          <t>Barangay 5</t>
        </is>
      </c>
    </row>
    <row r="17394" spans="1:1">
      <c r="A17394" t="inlineStr">
        <is>
          <t>Barangay 6</t>
        </is>
      </c>
    </row>
    <row r="17395" spans="1:1">
      <c r="A17395" t="inlineStr">
        <is>
          <t>Barangay 7</t>
        </is>
      </c>
    </row>
    <row r="17396" spans="1:1">
      <c r="A17396" t="inlineStr">
        <is>
          <t>Barangay 8</t>
        </is>
      </c>
    </row>
    <row r="17397" spans="1:1">
      <c r="A17397" t="inlineStr">
        <is>
          <t>Barangay 9</t>
        </is>
      </c>
    </row>
    <row r="17398" spans="1:1">
      <c r="A17398" t="inlineStr">
        <is>
          <t>Barra</t>
        </is>
      </c>
    </row>
    <row r="17399" spans="1:1">
      <c r="A17399" t="inlineStr">
        <is>
          <t>Bocohan</t>
        </is>
      </c>
    </row>
    <row r="17400" spans="1:1">
      <c r="A17400" t="inlineStr">
        <is>
          <t>Cotta</t>
        </is>
      </c>
    </row>
    <row r="17401" spans="1:1">
      <c r="A17401" t="inlineStr">
        <is>
          <t>Dalahican</t>
        </is>
      </c>
    </row>
    <row r="17402" spans="1:1">
      <c r="A17402" t="inlineStr">
        <is>
          <t>Domoit</t>
        </is>
      </c>
    </row>
    <row r="17403" spans="1:1">
      <c r="A17403" t="inlineStr">
        <is>
          <t>Gulang-gulang</t>
        </is>
      </c>
    </row>
    <row r="17404" spans="1:1">
      <c r="A17404" t="inlineStr">
        <is>
          <t>Ibabang Dupay</t>
        </is>
      </c>
    </row>
    <row r="17405" spans="1:1">
      <c r="A17405" t="inlineStr">
        <is>
          <t>Ibabang Iyam</t>
        </is>
      </c>
    </row>
    <row r="17406" spans="1:1">
      <c r="A17406" t="inlineStr">
        <is>
          <t>Ibabang Talim</t>
        </is>
      </c>
    </row>
    <row r="17407" spans="1:1">
      <c r="A17407" t="inlineStr">
        <is>
          <t>Ilayang Dupay</t>
        </is>
      </c>
    </row>
    <row r="17408" spans="1:1">
      <c r="A17408" t="inlineStr">
        <is>
          <t>Ilayang Iyam</t>
        </is>
      </c>
    </row>
    <row r="17409" spans="1:1">
      <c r="A17409" t="inlineStr">
        <is>
          <t>Ilayang Talim</t>
        </is>
      </c>
    </row>
    <row r="17410" spans="1:1">
      <c r="A17410" t="inlineStr">
        <is>
          <t>Isabang</t>
        </is>
      </c>
    </row>
    <row r="17411" spans="1:1">
      <c r="A17411" t="inlineStr">
        <is>
          <t>Market View</t>
        </is>
      </c>
    </row>
    <row r="17412" spans="1:1">
      <c r="A17412" t="inlineStr">
        <is>
          <t>Mayao Castillo</t>
        </is>
      </c>
    </row>
    <row r="17413" spans="1:1">
      <c r="A17413" t="inlineStr">
        <is>
          <t>Mayao Crossing</t>
        </is>
      </c>
    </row>
    <row r="17414" spans="1:1">
      <c r="A17414" t="inlineStr">
        <is>
          <t>Mayao Kanluran</t>
        </is>
      </c>
    </row>
    <row r="17415" spans="1:1">
      <c r="A17415" t="inlineStr">
        <is>
          <t>Mayao Parada</t>
        </is>
      </c>
    </row>
    <row r="17416" spans="1:1">
      <c r="A17416" t="inlineStr">
        <is>
          <t>Mayao Silangan</t>
        </is>
      </c>
    </row>
    <row r="17417" spans="1:1">
      <c r="A17417" t="inlineStr">
        <is>
          <t>Ransohan</t>
        </is>
      </c>
    </row>
    <row r="17418" spans="1:1">
      <c r="A17418" t="inlineStr">
        <is>
          <t>Salinas</t>
        </is>
      </c>
    </row>
    <row r="17419" spans="1:1">
      <c r="A17419" t="inlineStr">
        <is>
          <t>Talao-talao</t>
        </is>
      </c>
    </row>
    <row r="17420" spans="1:1">
      <c r="A17420" t="inlineStr">
        <is>
          <t>Arena Blanco</t>
        </is>
      </c>
    </row>
    <row r="17421" spans="1:1">
      <c r="A17421" t="inlineStr">
        <is>
          <t>Ayala</t>
        </is>
      </c>
    </row>
    <row r="17422" spans="1:1">
      <c r="A17422" t="inlineStr">
        <is>
          <t>Baliwasan</t>
        </is>
      </c>
    </row>
    <row r="17423" spans="1:1">
      <c r="A17423" t="inlineStr">
        <is>
          <t>Baluno</t>
        </is>
      </c>
    </row>
    <row r="17424" spans="1:1">
      <c r="A17424" t="inlineStr">
        <is>
          <t>Barangay Zone I</t>
        </is>
      </c>
    </row>
    <row r="17425" spans="1:1">
      <c r="A17425" t="inlineStr">
        <is>
          <t>Barangay Zone II</t>
        </is>
      </c>
    </row>
    <row r="17426" spans="1:1">
      <c r="A17426" t="inlineStr">
        <is>
          <t>Barangay Zone III</t>
        </is>
      </c>
    </row>
    <row r="17427" spans="1:1">
      <c r="A17427" t="inlineStr">
        <is>
          <t>Barangay Zone IV</t>
        </is>
      </c>
    </row>
    <row r="17428" spans="1:1">
      <c r="A17428" t="inlineStr">
        <is>
          <t>Boalan</t>
        </is>
      </c>
    </row>
    <row r="17429" spans="1:1">
      <c r="A17429" t="inlineStr">
        <is>
          <t>Bolong</t>
        </is>
      </c>
    </row>
    <row r="17430" spans="1:1">
      <c r="A17430" t="inlineStr">
        <is>
          <t>Buenavista</t>
        </is>
      </c>
    </row>
    <row r="17431" spans="1:1">
      <c r="A17431" t="inlineStr">
        <is>
          <t>Bunguiao</t>
        </is>
      </c>
    </row>
    <row r="17432" spans="1:1">
      <c r="A17432" t="inlineStr">
        <is>
          <t>Busay</t>
        </is>
      </c>
    </row>
    <row r="17433" spans="1:1">
      <c r="A17433" t="inlineStr">
        <is>
          <t>Cabaluay</t>
        </is>
      </c>
    </row>
    <row r="17434" spans="1:1">
      <c r="A17434" t="inlineStr">
        <is>
          <t>Cabatangan</t>
        </is>
      </c>
    </row>
    <row r="17435" spans="1:1">
      <c r="A17435" t="inlineStr">
        <is>
          <t>Cacao</t>
        </is>
      </c>
    </row>
    <row r="17436" spans="1:1">
      <c r="A17436" t="inlineStr">
        <is>
          <t>Calabasa</t>
        </is>
      </c>
    </row>
    <row r="17437" spans="1:1">
      <c r="A17437" t="inlineStr">
        <is>
          <t>Calarian</t>
        </is>
      </c>
    </row>
    <row r="17438" spans="1:1">
      <c r="A17438" t="inlineStr">
        <is>
          <t>Camino Nuevo</t>
        </is>
      </c>
    </row>
    <row r="17439" spans="1:1">
      <c r="A17439" t="inlineStr">
        <is>
          <t>Campo Islam</t>
        </is>
      </c>
    </row>
    <row r="17440" spans="1:1">
      <c r="A17440" t="inlineStr">
        <is>
          <t>Canelar</t>
        </is>
      </c>
    </row>
    <row r="17441" spans="1:1">
      <c r="A17441" t="inlineStr">
        <is>
          <t>Capisan</t>
        </is>
      </c>
    </row>
    <row r="17442" spans="1:1">
      <c r="A17442" t="inlineStr">
        <is>
          <t>Cawit</t>
        </is>
      </c>
    </row>
    <row r="17443" spans="1:1">
      <c r="A17443" t="inlineStr">
        <is>
          <t>Culianan</t>
        </is>
      </c>
    </row>
    <row r="17444" spans="1:1">
      <c r="A17444" t="inlineStr">
        <is>
          <t>Curuan</t>
        </is>
      </c>
    </row>
    <row r="17445" spans="1:1">
      <c r="A17445" t="inlineStr">
        <is>
          <t>Dita</t>
        </is>
      </c>
    </row>
    <row r="17446" spans="1:1">
      <c r="A17446" t="inlineStr">
        <is>
          <t>Divisoria</t>
        </is>
      </c>
    </row>
    <row r="17447" spans="1:1">
      <c r="A17447" t="inlineStr">
        <is>
          <t>Dulian (Upper Bunguiao)</t>
        </is>
      </c>
    </row>
    <row r="17448" spans="1:1">
      <c r="A17448" t="inlineStr">
        <is>
          <t>Dulian (Upper Pasonanca)</t>
        </is>
      </c>
    </row>
    <row r="17449" spans="1:1">
      <c r="A17449" t="inlineStr">
        <is>
          <t>Guisao</t>
        </is>
      </c>
    </row>
    <row r="17450" spans="1:1">
      <c r="A17450" t="inlineStr">
        <is>
          <t>Guiwan</t>
        </is>
      </c>
    </row>
    <row r="17451" spans="1:1">
      <c r="A17451" t="inlineStr">
        <is>
          <t>Kasanyangan</t>
        </is>
      </c>
    </row>
    <row r="17452" spans="1:1">
      <c r="A17452" t="inlineStr">
        <is>
          <t>La Paz</t>
        </is>
      </c>
    </row>
    <row r="17453" spans="1:1">
      <c r="A17453" t="inlineStr">
        <is>
          <t>Labuan</t>
        </is>
      </c>
    </row>
    <row r="17454" spans="1:1">
      <c r="A17454" t="inlineStr">
        <is>
          <t>Lamisahan</t>
        </is>
      </c>
    </row>
    <row r="17455" spans="1:1">
      <c r="A17455" t="inlineStr">
        <is>
          <t>Landang Gua</t>
        </is>
      </c>
    </row>
    <row r="17456" spans="1:1">
      <c r="A17456" t="inlineStr">
        <is>
          <t>Landang Laum</t>
        </is>
      </c>
    </row>
    <row r="17457" spans="1:1">
      <c r="A17457" t="inlineStr">
        <is>
          <t>Lanzones</t>
        </is>
      </c>
    </row>
    <row r="17458" spans="1:1">
      <c r="A17458" t="inlineStr">
        <is>
          <t>Lapakan</t>
        </is>
      </c>
    </row>
    <row r="17459" spans="1:1">
      <c r="A17459" t="inlineStr">
        <is>
          <t>Latuan</t>
        </is>
      </c>
    </row>
    <row r="17460" spans="1:1">
      <c r="A17460" t="inlineStr">
        <is>
          <t>Licomo</t>
        </is>
      </c>
    </row>
    <row r="17461" spans="1:1">
      <c r="A17461" t="inlineStr">
        <is>
          <t>Limaong</t>
        </is>
      </c>
    </row>
    <row r="17462" spans="1:1">
      <c r="A17462" t="inlineStr">
        <is>
          <t>Limpapa</t>
        </is>
      </c>
    </row>
    <row r="17463" spans="1:1">
      <c r="A17463" t="inlineStr">
        <is>
          <t>Lubigan</t>
        </is>
      </c>
    </row>
    <row r="17464" spans="1:1">
      <c r="A17464" t="inlineStr">
        <is>
          <t>Lumayang</t>
        </is>
      </c>
    </row>
    <row r="17465" spans="1:1">
      <c r="A17465" t="inlineStr">
        <is>
          <t>Lumbangan</t>
        </is>
      </c>
    </row>
    <row r="17466" spans="1:1">
      <c r="A17466" t="inlineStr">
        <is>
          <t>Lunzuran</t>
        </is>
      </c>
    </row>
    <row r="17467" spans="1:1">
      <c r="A17467" t="inlineStr">
        <is>
          <t>Maasin</t>
        </is>
      </c>
    </row>
    <row r="17468" spans="1:1">
      <c r="A17468" t="inlineStr">
        <is>
          <t>Malagutay</t>
        </is>
      </c>
    </row>
    <row r="17469" spans="1:1">
      <c r="A17469" t="inlineStr">
        <is>
          <t>Mampang</t>
        </is>
      </c>
    </row>
    <row r="17470" spans="1:1">
      <c r="A17470" t="inlineStr">
        <is>
          <t>Manalipa</t>
        </is>
      </c>
    </row>
    <row r="17471" spans="1:1">
      <c r="A17471" t="inlineStr">
        <is>
          <t>Mangusu</t>
        </is>
      </c>
    </row>
    <row r="17472" spans="1:1">
      <c r="A17472" t="inlineStr">
        <is>
          <t>Manicahan</t>
        </is>
      </c>
    </row>
    <row r="17473" spans="1:1">
      <c r="A17473" t="inlineStr">
        <is>
          <t>Mariki</t>
        </is>
      </c>
    </row>
    <row r="17474" spans="1:1">
      <c r="A17474" t="inlineStr">
        <is>
          <t>Mercedes</t>
        </is>
      </c>
    </row>
    <row r="17475" spans="1:1">
      <c r="A17475" t="inlineStr">
        <is>
          <t>Muti</t>
        </is>
      </c>
    </row>
    <row r="17476" spans="1:1">
      <c r="A17476" t="inlineStr">
        <is>
          <t>Pamucutan</t>
        </is>
      </c>
    </row>
    <row r="17477" spans="1:1">
      <c r="A17477" t="inlineStr">
        <is>
          <t>Pangapuyan</t>
        </is>
      </c>
    </row>
    <row r="17478" spans="1:1">
      <c r="A17478" t="inlineStr">
        <is>
          <t>Panubigan</t>
        </is>
      </c>
    </row>
    <row r="17479" spans="1:1">
      <c r="A17479" t="inlineStr">
        <is>
          <t>Pasilmanta</t>
        </is>
      </c>
    </row>
    <row r="17480" spans="1:1">
      <c r="A17480" t="inlineStr">
        <is>
          <t>Pasobolong</t>
        </is>
      </c>
    </row>
    <row r="17481" spans="1:1">
      <c r="A17481" t="inlineStr">
        <is>
          <t>Pasonanca</t>
        </is>
      </c>
    </row>
    <row r="17482" spans="1:1">
      <c r="A17482" t="inlineStr">
        <is>
          <t>Patalon</t>
        </is>
      </c>
    </row>
    <row r="17483" spans="1:1">
      <c r="A17483" t="inlineStr">
        <is>
          <t>Putik</t>
        </is>
      </c>
    </row>
    <row r="17484" spans="1:1">
      <c r="A17484" t="inlineStr">
        <is>
          <t>Quiniput</t>
        </is>
      </c>
    </row>
    <row r="17485" spans="1:1">
      <c r="A17485" t="inlineStr">
        <is>
          <t>Recodo</t>
        </is>
      </c>
    </row>
    <row r="17486" spans="1:1">
      <c r="A17486" t="inlineStr">
        <is>
          <t>Rio Hondo</t>
        </is>
      </c>
    </row>
    <row r="17487" spans="1:1">
      <c r="A17487" t="inlineStr">
        <is>
          <t>Salaan</t>
        </is>
      </c>
    </row>
    <row r="17488" spans="1:1">
      <c r="A17488" t="inlineStr">
        <is>
          <t>San Jose Cawa-cawa</t>
        </is>
      </c>
    </row>
    <row r="17489" spans="1:1">
      <c r="A17489" t="inlineStr">
        <is>
          <t>San Jose Gusu</t>
        </is>
      </c>
    </row>
    <row r="17490" spans="1:1">
      <c r="A17490" t="inlineStr">
        <is>
          <t>San Roque</t>
        </is>
      </c>
    </row>
    <row r="17491" spans="1:1">
      <c r="A17491" t="inlineStr">
        <is>
          <t>Sangali</t>
        </is>
      </c>
    </row>
    <row r="17492" spans="1:1">
      <c r="A17492" t="inlineStr">
        <is>
          <t>Santa Barbara</t>
        </is>
      </c>
    </row>
    <row r="17493" spans="1:1">
      <c r="A17493" t="inlineStr">
        <is>
          <t>Santa Catalina</t>
        </is>
      </c>
    </row>
    <row r="17494" spans="1:1">
      <c r="A17494" t="inlineStr">
        <is>
          <t>Santa Maria</t>
        </is>
      </c>
    </row>
    <row r="17495" spans="1:1">
      <c r="A17495" t="inlineStr">
        <is>
          <t>Santo Niño</t>
        </is>
      </c>
    </row>
    <row r="17496" spans="1:1">
      <c r="A17496" t="inlineStr">
        <is>
          <t>Sibulao</t>
        </is>
      </c>
    </row>
    <row r="17497" spans="1:1">
      <c r="A17497" t="inlineStr">
        <is>
          <t>Sinubung</t>
        </is>
      </c>
    </row>
    <row r="17498" spans="1:1">
      <c r="A17498" t="inlineStr">
        <is>
          <t>Sinunoc</t>
        </is>
      </c>
    </row>
    <row r="17499" spans="1:1">
      <c r="A17499" t="inlineStr">
        <is>
          <t>Tagasilay</t>
        </is>
      </c>
    </row>
    <row r="17500" spans="1:1">
      <c r="A17500" t="inlineStr">
        <is>
          <t>Taguiti</t>
        </is>
      </c>
    </row>
    <row r="17501" spans="1:1">
      <c r="A17501" t="inlineStr">
        <is>
          <t>Talabaan</t>
        </is>
      </c>
    </row>
    <row r="17502" spans="1:1">
      <c r="A17502" t="inlineStr">
        <is>
          <t>Talisayan</t>
        </is>
      </c>
    </row>
    <row r="17503" spans="1:1">
      <c r="A17503" t="inlineStr">
        <is>
          <t>Talon-talon</t>
        </is>
      </c>
    </row>
    <row r="17504" spans="1:1">
      <c r="A17504" t="inlineStr">
        <is>
          <t>Taluksangay</t>
        </is>
      </c>
    </row>
    <row r="17505" spans="1:1">
      <c r="A17505" t="inlineStr">
        <is>
          <t>Tetuan</t>
        </is>
      </c>
    </row>
    <row r="17506" spans="1:1">
      <c r="A17506" t="inlineStr">
        <is>
          <t>Tictapul</t>
        </is>
      </c>
    </row>
    <row r="17507" spans="1:1">
      <c r="A17507" t="inlineStr">
        <is>
          <t>Tigbalabag</t>
        </is>
      </c>
    </row>
    <row r="17508" spans="1:1">
      <c r="A17508" t="inlineStr">
        <is>
          <t>Tigtabon</t>
        </is>
      </c>
    </row>
    <row r="17509" spans="1:1">
      <c r="A17509" t="inlineStr">
        <is>
          <t>Tolosa</t>
        </is>
      </c>
    </row>
    <row r="17510" spans="1:1">
      <c r="A17510" t="inlineStr">
        <is>
          <t>Tugbungan</t>
        </is>
      </c>
    </row>
    <row r="17511" spans="1:1">
      <c r="A17511" t="inlineStr">
        <is>
          <t>Tulungatung</t>
        </is>
      </c>
    </row>
    <row r="17512" spans="1:1">
      <c r="A17512" t="inlineStr">
        <is>
          <t>Tumaga</t>
        </is>
      </c>
    </row>
    <row r="17513" spans="1:1">
      <c r="A17513" t="inlineStr">
        <is>
          <t>Tumalutab</t>
        </is>
      </c>
    </row>
    <row r="17514" spans="1:1">
      <c r="A17514" t="inlineStr">
        <is>
          <t>Tumitus</t>
        </is>
      </c>
    </row>
    <row r="17515" spans="1:1">
      <c r="A17515" t="inlineStr">
        <is>
          <t>Victoria</t>
        </is>
      </c>
    </row>
    <row r="17516" spans="1:1">
      <c r="A17516" t="inlineStr">
        <is>
          <t>Vitali</t>
        </is>
      </c>
    </row>
    <row r="17517" spans="1:1">
      <c r="A17517" t="inlineStr">
        <is>
          <t>Zambowood</t>
        </is>
      </c>
    </row>
    <row r="17518" spans="1:1">
      <c r="A17518" t="inlineStr">
        <is>
          <t>Abeto Mirasol Taft South</t>
        </is>
      </c>
    </row>
    <row r="17519" spans="1:1">
      <c r="A17519" t="inlineStr">
        <is>
          <t>Aguinaldo</t>
        </is>
      </c>
    </row>
    <row r="17520" spans="1:1">
      <c r="A17520" t="inlineStr">
        <is>
          <t>Airport</t>
        </is>
      </c>
    </row>
    <row r="17521" spans="1:1">
      <c r="A17521" t="inlineStr">
        <is>
          <t>Alalasan Lapuz</t>
        </is>
      </c>
    </row>
    <row r="17522" spans="1:1">
      <c r="A17522" t="inlineStr">
        <is>
          <t>Arguelles</t>
        </is>
      </c>
    </row>
    <row r="17523" spans="1:1">
      <c r="A17523" t="inlineStr">
        <is>
          <t>Arsenal Aduana</t>
        </is>
      </c>
    </row>
    <row r="17524" spans="1:1">
      <c r="A17524" t="inlineStr">
        <is>
          <t>Bakhaw</t>
        </is>
      </c>
    </row>
    <row r="17525" spans="1:1">
      <c r="A17525" t="inlineStr">
        <is>
          <t>Balabago</t>
        </is>
      </c>
    </row>
    <row r="17526" spans="1:1">
      <c r="A17526" t="inlineStr">
        <is>
          <t>Balantang</t>
        </is>
      </c>
    </row>
    <row r="17527" spans="1:1">
      <c r="A17527" t="inlineStr">
        <is>
          <t>Baldoza</t>
        </is>
      </c>
    </row>
    <row r="17528" spans="1:1">
      <c r="A17528" t="inlineStr">
        <is>
          <t>Bantud</t>
        </is>
      </c>
    </row>
    <row r="17529" spans="1:1">
      <c r="A17529" t="inlineStr">
        <is>
          <t>Banuyao</t>
        </is>
      </c>
    </row>
    <row r="17530" spans="1:1">
      <c r="A17530" t="inlineStr">
        <is>
          <t>Baybay Tanza</t>
        </is>
      </c>
    </row>
    <row r="17531" spans="1:1">
      <c r="A17531" t="inlineStr">
        <is>
          <t>Benedicto</t>
        </is>
      </c>
    </row>
    <row r="17532" spans="1:1">
      <c r="A17532" t="inlineStr">
        <is>
          <t>Bito-on</t>
        </is>
      </c>
    </row>
    <row r="17533" spans="1:1">
      <c r="A17533" t="inlineStr">
        <is>
          <t>Bolilao</t>
        </is>
      </c>
    </row>
    <row r="17534" spans="1:1">
      <c r="A17534" t="inlineStr">
        <is>
          <t>Bonifacio</t>
        </is>
      </c>
    </row>
    <row r="17535" spans="1:1">
      <c r="A17535" t="inlineStr">
        <is>
          <t>Bonifacio Tanza</t>
        </is>
      </c>
    </row>
    <row r="17536" spans="1:1">
      <c r="A17536" t="inlineStr">
        <is>
          <t>Buhang</t>
        </is>
      </c>
    </row>
    <row r="17537" spans="1:1">
      <c r="A17537" t="inlineStr">
        <is>
          <t>Buhang Taft North</t>
        </is>
      </c>
    </row>
    <row r="17538" spans="1:1">
      <c r="A17538" t="inlineStr">
        <is>
          <t>Buntatala</t>
        </is>
      </c>
    </row>
    <row r="17539" spans="1:1">
      <c r="A17539" t="inlineStr">
        <is>
          <t>Burgos-Mabini-Plaza</t>
        </is>
      </c>
    </row>
    <row r="17540" spans="1:1">
      <c r="A17540" t="inlineStr">
        <is>
          <t>Caingin</t>
        </is>
      </c>
    </row>
    <row r="17541" spans="1:1">
      <c r="A17541" t="inlineStr">
        <is>
          <t>Calahunan</t>
        </is>
      </c>
    </row>
    <row r="17542" spans="1:1">
      <c r="A17542" t="inlineStr">
        <is>
          <t>Calaparan</t>
        </is>
      </c>
    </row>
    <row r="17543" spans="1:1">
      <c r="A17543" t="inlineStr">
        <is>
          <t>Calubihan</t>
        </is>
      </c>
    </row>
    <row r="17544" spans="1:1">
      <c r="A17544" t="inlineStr">
        <is>
          <t>Calumpang</t>
        </is>
      </c>
    </row>
    <row r="17545" spans="1:1">
      <c r="A17545" t="inlineStr">
        <is>
          <t>Camalig</t>
        </is>
      </c>
    </row>
    <row r="17546" spans="1:1">
      <c r="A17546" t="inlineStr">
        <is>
          <t>Cochero</t>
        </is>
      </c>
    </row>
    <row r="17547" spans="1:1">
      <c r="A17547" t="inlineStr">
        <is>
          <t>Compania</t>
        </is>
      </c>
    </row>
    <row r="17548" spans="1:1">
      <c r="A17548" t="inlineStr">
        <is>
          <t>Concepcion-Montes</t>
        </is>
      </c>
    </row>
    <row r="17549" spans="1:1">
      <c r="A17549" t="inlineStr">
        <is>
          <t>Cuartero</t>
        </is>
      </c>
    </row>
    <row r="17550" spans="1:1">
      <c r="A17550" t="inlineStr">
        <is>
          <t>Cubay</t>
        </is>
      </c>
    </row>
    <row r="17551" spans="1:1">
      <c r="A17551" t="inlineStr">
        <is>
          <t>Danao</t>
        </is>
      </c>
    </row>
    <row r="17552" spans="1:1">
      <c r="A17552" t="inlineStr">
        <is>
          <t>Delgado-Jalandoni-Bagumbayan</t>
        </is>
      </c>
    </row>
    <row r="17553" spans="1:1">
      <c r="A17553" t="inlineStr">
        <is>
          <t>Democracia</t>
        </is>
      </c>
    </row>
    <row r="17554" spans="1:1">
      <c r="A17554" t="inlineStr">
        <is>
          <t>Desamparados</t>
        </is>
      </c>
    </row>
    <row r="17555" spans="1:1">
      <c r="A17555" t="inlineStr">
        <is>
          <t>Divinagracia</t>
        </is>
      </c>
    </row>
    <row r="17556" spans="1:1">
      <c r="A17556" t="inlineStr">
        <is>
          <t>Don Esteban-Lapuz</t>
        </is>
      </c>
    </row>
    <row r="17557" spans="1:1">
      <c r="A17557" t="inlineStr">
        <is>
          <t>Dulonan</t>
        </is>
      </c>
    </row>
    <row r="17558" spans="1:1">
      <c r="A17558" t="inlineStr">
        <is>
          <t>Dungon</t>
        </is>
      </c>
    </row>
    <row r="17559" spans="1:1">
      <c r="A17559" t="inlineStr">
        <is>
          <t>Dungon A</t>
        </is>
      </c>
    </row>
    <row r="17560" spans="1:1">
      <c r="A17560" t="inlineStr">
        <is>
          <t>Dungon B</t>
        </is>
      </c>
    </row>
    <row r="17561" spans="1:1">
      <c r="A17561" t="inlineStr">
        <is>
          <t>East Baluarte</t>
        </is>
      </c>
    </row>
    <row r="17562" spans="1:1">
      <c r="A17562" t="inlineStr">
        <is>
          <t>East Timawa</t>
        </is>
      </c>
    </row>
    <row r="17563" spans="1:1">
      <c r="A17563" t="inlineStr">
        <is>
          <t>Edganzon</t>
        </is>
      </c>
    </row>
    <row r="17564" spans="1:1">
      <c r="A17564" t="inlineStr">
        <is>
          <t>El 98 Castilla</t>
        </is>
      </c>
    </row>
    <row r="17565" spans="1:1">
      <c r="A17565" t="inlineStr">
        <is>
          <t>Fajardo</t>
        </is>
      </c>
    </row>
    <row r="17566" spans="1:1">
      <c r="A17566" t="inlineStr">
        <is>
          <t>Flores</t>
        </is>
      </c>
    </row>
    <row r="17567" spans="1:1">
      <c r="A17567" t="inlineStr">
        <is>
          <t>General Hughes-Montes</t>
        </is>
      </c>
    </row>
    <row r="17568" spans="1:1">
      <c r="A17568" t="inlineStr">
        <is>
          <t>Gloria</t>
        </is>
      </c>
    </row>
    <row r="17569" spans="1:1">
      <c r="A17569" t="inlineStr">
        <is>
          <t>Gustilo</t>
        </is>
      </c>
    </row>
    <row r="17570" spans="1:1">
      <c r="A17570" t="inlineStr">
        <is>
          <t>Guzman-Jesena</t>
        </is>
      </c>
    </row>
    <row r="17571" spans="1:1">
      <c r="A17571" t="inlineStr">
        <is>
          <t>Habog-habog Salvacion</t>
        </is>
      </c>
    </row>
    <row r="17572" spans="1:1">
      <c r="A17572" t="inlineStr">
        <is>
          <t>Hibao-an Norte</t>
        </is>
      </c>
    </row>
    <row r="17573" spans="1:1">
      <c r="A17573" t="inlineStr">
        <is>
          <t>Hibao-an Sur</t>
        </is>
      </c>
    </row>
    <row r="17574" spans="1:1">
      <c r="A17574" t="inlineStr">
        <is>
          <t>Hinactacan</t>
        </is>
      </c>
    </row>
    <row r="17575" spans="1:1">
      <c r="A17575" t="inlineStr">
        <is>
          <t>Hipodromo</t>
        </is>
      </c>
    </row>
    <row r="17576" spans="1:1">
      <c r="A17576" t="inlineStr">
        <is>
          <t>Inday</t>
        </is>
      </c>
    </row>
    <row r="17577" spans="1:1">
      <c r="A17577" t="inlineStr">
        <is>
          <t>Infante</t>
        </is>
      </c>
    </row>
    <row r="17578" spans="1:1">
      <c r="A17578" t="inlineStr">
        <is>
          <t>Ingore</t>
        </is>
      </c>
    </row>
    <row r="17579" spans="1:1">
      <c r="A17579" t="inlineStr">
        <is>
          <t>Jalandoni Estate-Lapuz</t>
        </is>
      </c>
    </row>
    <row r="17580" spans="1:1">
      <c r="A17580" t="inlineStr">
        <is>
          <t>Jalandoni-Wilson</t>
        </is>
      </c>
    </row>
    <row r="17581" spans="1:1">
      <c r="A17581" t="inlineStr">
        <is>
          <t>Javellana</t>
        </is>
      </c>
    </row>
    <row r="17582" spans="1:1">
      <c r="A17582" t="inlineStr">
        <is>
          <t>Jereos</t>
        </is>
      </c>
    </row>
    <row r="17583" spans="1:1">
      <c r="A17583" t="inlineStr">
        <is>
          <t>Kahirupan</t>
        </is>
      </c>
    </row>
    <row r="17584" spans="1:1">
      <c r="A17584" t="inlineStr">
        <is>
          <t>Kasingkasing</t>
        </is>
      </c>
    </row>
    <row r="17585" spans="1:1">
      <c r="A17585" t="inlineStr">
        <is>
          <t>Katilingban</t>
        </is>
      </c>
    </row>
    <row r="17586" spans="1:1">
      <c r="A17586" t="inlineStr">
        <is>
          <t>Kauswagan</t>
        </is>
      </c>
    </row>
    <row r="17587" spans="1:1">
      <c r="A17587" t="inlineStr">
        <is>
          <t>Laguda</t>
        </is>
      </c>
    </row>
    <row r="17588" spans="1:1">
      <c r="A17588" t="inlineStr">
        <is>
          <t>Lanit</t>
        </is>
      </c>
    </row>
    <row r="17589" spans="1:1">
      <c r="A17589" t="inlineStr">
        <is>
          <t>Lapuz Norte</t>
        </is>
      </c>
    </row>
    <row r="17590" spans="1:1">
      <c r="A17590" t="inlineStr">
        <is>
          <t>Lapuz Sur</t>
        </is>
      </c>
    </row>
    <row r="17591" spans="1:1">
      <c r="A17591" t="inlineStr">
        <is>
          <t>Legaspi dela Rama</t>
        </is>
      </c>
    </row>
    <row r="17592" spans="1:1">
      <c r="A17592" t="inlineStr">
        <is>
          <t>Liberation</t>
        </is>
      </c>
    </row>
    <row r="17593" spans="1:1">
      <c r="A17593" t="inlineStr">
        <is>
          <t>Libertad, Santa Isabel</t>
        </is>
      </c>
    </row>
    <row r="17594" spans="1:1">
      <c r="A17594" t="inlineStr">
        <is>
          <t>Libertad-Lapuz</t>
        </is>
      </c>
    </row>
    <row r="17595" spans="1:1">
      <c r="A17595" t="inlineStr">
        <is>
          <t>Loboc-Lapuz</t>
        </is>
      </c>
    </row>
    <row r="17596" spans="1:1">
      <c r="A17596" t="inlineStr">
        <is>
          <t>Lopez Jaena</t>
        </is>
      </c>
    </row>
    <row r="17597" spans="1:1">
      <c r="A17597" t="inlineStr">
        <is>
          <t>Lopez Jaena Norte</t>
        </is>
      </c>
    </row>
    <row r="17598" spans="1:1">
      <c r="A17598" t="inlineStr">
        <is>
          <t>Lopez Jaena Sur</t>
        </is>
      </c>
    </row>
    <row r="17599" spans="1:1">
      <c r="A17599" t="inlineStr">
        <is>
          <t>Luna (Jaro)</t>
        </is>
      </c>
    </row>
    <row r="17600" spans="1:1">
      <c r="A17600" t="inlineStr">
        <is>
          <t>Luna (La Paz)</t>
        </is>
      </c>
    </row>
    <row r="17601" spans="1:1">
      <c r="A17601" t="inlineStr">
        <is>
          <t>M. V. Hechanova</t>
        </is>
      </c>
    </row>
    <row r="17602" spans="1:1">
      <c r="A17602" t="inlineStr">
        <is>
          <t>Mabolo-Delgado</t>
        </is>
      </c>
    </row>
    <row r="17603" spans="1:1">
      <c r="A17603" t="inlineStr">
        <is>
          <t>Macarthur</t>
        </is>
      </c>
    </row>
    <row r="17604" spans="1:1">
      <c r="A17604" t="inlineStr">
        <is>
          <t>Magdalo</t>
        </is>
      </c>
    </row>
    <row r="17605" spans="1:1">
      <c r="A17605" t="inlineStr">
        <is>
          <t>Magsaysay</t>
        </is>
      </c>
    </row>
    <row r="17606" spans="1:1">
      <c r="A17606" t="inlineStr">
        <is>
          <t>Magsaysay Village</t>
        </is>
      </c>
    </row>
    <row r="17607" spans="1:1">
      <c r="A17607" t="inlineStr">
        <is>
          <t>Malipayon-Delgado</t>
        </is>
      </c>
    </row>
    <row r="17608" spans="1:1">
      <c r="A17608" t="inlineStr">
        <is>
          <t>Mansaya-Lapuz</t>
        </is>
      </c>
    </row>
    <row r="17609" spans="1:1">
      <c r="A17609" t="inlineStr">
        <is>
          <t>Marcelo H. del Pilar</t>
        </is>
      </c>
    </row>
    <row r="17610" spans="1:1">
      <c r="A17610" t="inlineStr">
        <is>
          <t>Maria Clara</t>
        </is>
      </c>
    </row>
    <row r="17611" spans="1:1">
      <c r="A17611" t="inlineStr">
        <is>
          <t>Maria Cristina</t>
        </is>
      </c>
    </row>
    <row r="17612" spans="1:1">
      <c r="A17612" t="inlineStr">
        <is>
          <t>Mohon</t>
        </is>
      </c>
    </row>
    <row r="17613" spans="1:1">
      <c r="A17613" t="inlineStr">
        <is>
          <t>Molo Boulevard</t>
        </is>
      </c>
    </row>
    <row r="17614" spans="1:1">
      <c r="A17614" t="inlineStr">
        <is>
          <t>Monica Blumentritt</t>
        </is>
      </c>
    </row>
    <row r="17615" spans="1:1">
      <c r="A17615" t="inlineStr">
        <is>
          <t>Montinola</t>
        </is>
      </c>
    </row>
    <row r="17616" spans="1:1">
      <c r="A17616" t="inlineStr">
        <is>
          <t>Muelle Loney-Montes</t>
        </is>
      </c>
    </row>
    <row r="17617" spans="1:1">
      <c r="A17617" t="inlineStr">
        <is>
          <t>Nabitasan</t>
        </is>
      </c>
    </row>
    <row r="17618" spans="1:1">
      <c r="A17618" t="inlineStr">
        <is>
          <t>Navais</t>
        </is>
      </c>
    </row>
    <row r="17619" spans="1:1">
      <c r="A17619" t="inlineStr">
        <is>
          <t>Nonoy</t>
        </is>
      </c>
    </row>
    <row r="17620" spans="1:1">
      <c r="A17620" t="inlineStr">
        <is>
          <t>North Avanceña</t>
        </is>
      </c>
    </row>
    <row r="17621" spans="1:1">
      <c r="A17621" t="inlineStr">
        <is>
          <t>North Baluarte</t>
        </is>
      </c>
    </row>
    <row r="17622" spans="1:1">
      <c r="A17622" t="inlineStr">
        <is>
          <t>North Fundidor</t>
        </is>
      </c>
    </row>
    <row r="17623" spans="1:1">
      <c r="A17623" t="inlineStr">
        <is>
          <t>North San Jose</t>
        </is>
      </c>
    </row>
    <row r="17624" spans="1:1">
      <c r="A17624" t="inlineStr">
        <is>
          <t>Obrero-Lapuz</t>
        </is>
      </c>
    </row>
    <row r="17625" spans="1:1">
      <c r="A17625" t="inlineStr">
        <is>
          <t>Ortiz</t>
        </is>
      </c>
    </row>
    <row r="17626" spans="1:1">
      <c r="A17626" t="inlineStr">
        <is>
          <t>Osmeña</t>
        </is>
      </c>
    </row>
    <row r="17627" spans="1:1">
      <c r="A17627" t="inlineStr">
        <is>
          <t>Our Lady Of Fatima</t>
        </is>
      </c>
    </row>
    <row r="17628" spans="1:1">
      <c r="A17628" t="inlineStr">
        <is>
          <t>Our Lady Of Lourdes</t>
        </is>
      </c>
    </row>
    <row r="17629" spans="1:1">
      <c r="A17629" t="inlineStr">
        <is>
          <t>Oñate de Leon</t>
        </is>
      </c>
    </row>
    <row r="17630" spans="1:1">
      <c r="A17630" t="inlineStr">
        <is>
          <t>Pale Benedicto Rizal</t>
        </is>
      </c>
    </row>
    <row r="17631" spans="1:1">
      <c r="A17631" t="inlineStr">
        <is>
          <t>PHHC Block 17</t>
        </is>
      </c>
    </row>
    <row r="17632" spans="1:1">
      <c r="A17632" t="inlineStr">
        <is>
          <t>PHHC Block 22 NHA</t>
        </is>
      </c>
    </row>
    <row r="17633" spans="1:1">
      <c r="A17633" t="inlineStr">
        <is>
          <t>Poblacion Molo</t>
        </is>
      </c>
    </row>
    <row r="17634" spans="1:1">
      <c r="A17634" t="inlineStr">
        <is>
          <t>President Roxas</t>
        </is>
      </c>
    </row>
    <row r="17635" spans="1:1">
      <c r="A17635" t="inlineStr">
        <is>
          <t>Progreso-Lapuz</t>
        </is>
      </c>
    </row>
    <row r="17636" spans="1:1">
      <c r="A17636" t="inlineStr">
        <is>
          <t>Punong-Lapuz</t>
        </is>
      </c>
    </row>
    <row r="17637" spans="1:1">
      <c r="A17637" t="inlineStr">
        <is>
          <t>Quezon</t>
        </is>
      </c>
    </row>
    <row r="17638" spans="1:1">
      <c r="A17638" t="inlineStr">
        <is>
          <t>Quintin Salas</t>
        </is>
      </c>
    </row>
    <row r="17639" spans="1:1">
      <c r="A17639" t="inlineStr">
        <is>
          <t>Railway</t>
        </is>
      </c>
    </row>
    <row r="17640" spans="1:1">
      <c r="A17640" t="inlineStr">
        <is>
          <t>Rima-Rizal</t>
        </is>
      </c>
    </row>
    <row r="17641" spans="1:1">
      <c r="A17641" t="inlineStr">
        <is>
          <t>Rizal</t>
        </is>
      </c>
    </row>
    <row r="17642" spans="1:1">
      <c r="A17642" t="inlineStr">
        <is>
          <t>Rizal Estanzuela</t>
        </is>
      </c>
    </row>
    <row r="17643" spans="1:1">
      <c r="A17643" t="inlineStr">
        <is>
          <t>Rizal Ibarra</t>
        </is>
      </c>
    </row>
    <row r="17644" spans="1:1">
      <c r="A17644" t="inlineStr">
        <is>
          <t>Rizal Palapala I</t>
        </is>
      </c>
    </row>
    <row r="17645" spans="1:1">
      <c r="A17645" t="inlineStr">
        <is>
          <t>Rizal Palapala II</t>
        </is>
      </c>
    </row>
    <row r="17646" spans="1:1">
      <c r="A17646" t="inlineStr">
        <is>
          <t>Roxas Village</t>
        </is>
      </c>
    </row>
    <row r="17647" spans="1:1">
      <c r="A17647" t="inlineStr">
        <is>
          <t>Sambag</t>
        </is>
      </c>
    </row>
    <row r="17648" spans="1:1">
      <c r="A17648" t="inlineStr">
        <is>
          <t>Sampaguita</t>
        </is>
      </c>
    </row>
    <row r="17649" spans="1:1">
      <c r="A17649" t="inlineStr">
        <is>
          <t>San Agustin</t>
        </is>
      </c>
    </row>
    <row r="17650" spans="1:1">
      <c r="A17650" t="inlineStr">
        <is>
          <t>San Antonio</t>
        </is>
      </c>
    </row>
    <row r="17651" spans="1:1">
      <c r="A17651" t="inlineStr">
        <is>
          <t>San Felix</t>
        </is>
      </c>
    </row>
    <row r="17652" spans="1:1">
      <c r="A17652" t="inlineStr">
        <is>
          <t>San Isidro (Jaro)</t>
        </is>
      </c>
    </row>
    <row r="17653" spans="1:1">
      <c r="A17653" t="inlineStr">
        <is>
          <t>San Isidro (La Paz)</t>
        </is>
      </c>
    </row>
    <row r="17654" spans="1:1">
      <c r="A17654" t="inlineStr">
        <is>
          <t>San Jose (Arevalo)</t>
        </is>
      </c>
    </row>
    <row r="17655" spans="1:1">
      <c r="A17655" t="inlineStr">
        <is>
          <t>San Jose (City Proper)</t>
        </is>
      </c>
    </row>
    <row r="17656" spans="1:1">
      <c r="A17656" t="inlineStr">
        <is>
          <t>San Jose (Jaro)</t>
        </is>
      </c>
    </row>
    <row r="17657" spans="1:1">
      <c r="A17657" t="inlineStr">
        <is>
          <t>San Juan</t>
        </is>
      </c>
    </row>
    <row r="17658" spans="1:1">
      <c r="A17658" t="inlineStr">
        <is>
          <t>San Nicolas</t>
        </is>
      </c>
    </row>
    <row r="17659" spans="1:1">
      <c r="A17659" t="inlineStr">
        <is>
          <t>San Pedro (Jaro)</t>
        </is>
      </c>
    </row>
    <row r="17660" spans="1:1">
      <c r="A17660" t="inlineStr">
        <is>
          <t>San Pedro (Molo)</t>
        </is>
      </c>
    </row>
    <row r="17661" spans="1:1">
      <c r="A17661" t="inlineStr">
        <is>
          <t>San Rafael</t>
        </is>
      </c>
    </row>
    <row r="17662" spans="1:1">
      <c r="A17662" t="inlineStr">
        <is>
          <t>San Roque</t>
        </is>
      </c>
    </row>
    <row r="17663" spans="1:1">
      <c r="A17663" t="inlineStr">
        <is>
          <t>San Vicente</t>
        </is>
      </c>
    </row>
    <row r="17664" spans="1:1">
      <c r="A17664" t="inlineStr">
        <is>
          <t>Santa Cruz</t>
        </is>
      </c>
    </row>
    <row r="17665" spans="1:1">
      <c r="A17665" t="inlineStr">
        <is>
          <t>Santa Filomena</t>
        </is>
      </c>
    </row>
    <row r="17666" spans="1:1">
      <c r="A17666" t="inlineStr">
        <is>
          <t>Santa Rosa</t>
        </is>
      </c>
    </row>
    <row r="17667" spans="1:1">
      <c r="A17667" t="inlineStr">
        <is>
          <t>Santo Domingo</t>
        </is>
      </c>
    </row>
    <row r="17668" spans="1:1">
      <c r="A17668" t="inlineStr">
        <is>
          <t>Santo Niño Norte</t>
        </is>
      </c>
    </row>
    <row r="17669" spans="1:1">
      <c r="A17669" t="inlineStr">
        <is>
          <t>Santo Niño Sur</t>
        </is>
      </c>
    </row>
    <row r="17670" spans="1:1">
      <c r="A17670" t="inlineStr">
        <is>
          <t>Santo Rosario-Duran</t>
        </is>
      </c>
    </row>
    <row r="17671" spans="1:1">
      <c r="A17671" t="inlineStr">
        <is>
          <t>Seminario</t>
        </is>
      </c>
    </row>
    <row r="17672" spans="1:1">
      <c r="A17672" t="inlineStr">
        <is>
          <t>Simon Ledesma</t>
        </is>
      </c>
    </row>
    <row r="17673" spans="1:1">
      <c r="A17673" t="inlineStr">
        <is>
          <t>Sinikway</t>
        </is>
      </c>
    </row>
    <row r="17674" spans="1:1">
      <c r="A17674" t="inlineStr">
        <is>
          <t>So-oc</t>
        </is>
      </c>
    </row>
    <row r="17675" spans="1:1">
      <c r="A17675" t="inlineStr">
        <is>
          <t>South Baluarte</t>
        </is>
      </c>
    </row>
    <row r="17676" spans="1:1">
      <c r="A17676" t="inlineStr">
        <is>
          <t>South Fundidor</t>
        </is>
      </c>
    </row>
    <row r="17677" spans="1:1">
      <c r="A17677" t="inlineStr">
        <is>
          <t>South San Jose</t>
        </is>
      </c>
    </row>
    <row r="17678" spans="1:1">
      <c r="A17678" t="inlineStr">
        <is>
          <t>Taal</t>
        </is>
      </c>
    </row>
    <row r="17679" spans="1:1">
      <c r="A17679" t="inlineStr">
        <is>
          <t>Tabuc Suba (Jaro)</t>
        </is>
      </c>
    </row>
    <row r="17680" spans="1:1">
      <c r="A17680" t="inlineStr">
        <is>
          <t>Tabuc Suba (La Paz)</t>
        </is>
      </c>
    </row>
    <row r="17681" spans="1:1">
      <c r="A17681" t="inlineStr">
        <is>
          <t>Tabucan</t>
        </is>
      </c>
    </row>
    <row r="17682" spans="1:1">
      <c r="A17682" t="inlineStr">
        <is>
          <t>Tacas</t>
        </is>
      </c>
    </row>
    <row r="17683" spans="1:1">
      <c r="A17683" t="inlineStr">
        <is>
          <t>Tagbac</t>
        </is>
      </c>
    </row>
    <row r="17684" spans="1:1">
      <c r="A17684" t="inlineStr">
        <is>
          <t>Tanza-Esperanza</t>
        </is>
      </c>
    </row>
    <row r="17685" spans="1:1">
      <c r="A17685" t="inlineStr">
        <is>
          <t>Tap-oc</t>
        </is>
      </c>
    </row>
    <row r="17686" spans="1:1">
      <c r="A17686" t="inlineStr">
        <is>
          <t>Taytay Zone II</t>
        </is>
      </c>
    </row>
    <row r="17687" spans="1:1">
      <c r="A17687" t="inlineStr">
        <is>
          <t>Ticud</t>
        </is>
      </c>
    </row>
    <row r="17688" spans="1:1">
      <c r="A17688" t="inlineStr">
        <is>
          <t>Timawa Tanza I</t>
        </is>
      </c>
    </row>
    <row r="17689" spans="1:1">
      <c r="A17689" t="inlineStr">
        <is>
          <t>Timawa Tanza II</t>
        </is>
      </c>
    </row>
    <row r="17690" spans="1:1">
      <c r="A17690" t="inlineStr">
        <is>
          <t>Ungka</t>
        </is>
      </c>
    </row>
    <row r="17691" spans="1:1">
      <c r="A17691" t="inlineStr">
        <is>
          <t>Veterans Village</t>
        </is>
      </c>
    </row>
    <row r="17692" spans="1:1">
      <c r="A17692" t="inlineStr">
        <is>
          <t>Villa Anita</t>
        </is>
      </c>
    </row>
    <row r="17693" spans="1:1">
      <c r="A17693" t="inlineStr">
        <is>
          <t>West Habog-habog</t>
        </is>
      </c>
    </row>
    <row r="17694" spans="1:1">
      <c r="A17694" t="inlineStr">
        <is>
          <t>West Timawa</t>
        </is>
      </c>
    </row>
    <row r="17695" spans="1:1">
      <c r="A17695" t="inlineStr">
        <is>
          <t>Yulo Drive</t>
        </is>
      </c>
    </row>
    <row r="17696" spans="1:1">
      <c r="A17696" t="inlineStr">
        <is>
          <t>Yulo-Arroyo</t>
        </is>
      </c>
    </row>
    <row r="17697" spans="1:1">
      <c r="A17697" t="inlineStr">
        <is>
          <t>Zamora-Melliza</t>
        </is>
      </c>
    </row>
    <row r="17698" spans="1:1">
      <c r="A17698" t="inlineStr">
        <is>
          <t>Adlaon</t>
        </is>
      </c>
    </row>
    <row r="17699" spans="1:1">
      <c r="A17699" t="inlineStr">
        <is>
          <t>Agsungot</t>
        </is>
      </c>
    </row>
    <row r="17700" spans="1:1">
      <c r="A17700" t="inlineStr">
        <is>
          <t>Apas</t>
        </is>
      </c>
    </row>
    <row r="17701" spans="1:1">
      <c r="A17701" t="inlineStr">
        <is>
          <t>Babag</t>
        </is>
      </c>
    </row>
    <row r="17702" spans="1:1">
      <c r="A17702" t="inlineStr">
        <is>
          <t>Bacayan</t>
        </is>
      </c>
    </row>
    <row r="17703" spans="1:1">
      <c r="A17703" t="inlineStr">
        <is>
          <t>Banilad</t>
        </is>
      </c>
    </row>
    <row r="17704" spans="1:1">
      <c r="A17704" t="inlineStr">
        <is>
          <t>Basak Pardo</t>
        </is>
      </c>
    </row>
    <row r="17705" spans="1:1">
      <c r="A17705" t="inlineStr">
        <is>
          <t>Basak San Nicolas</t>
        </is>
      </c>
    </row>
    <row r="17706" spans="1:1">
      <c r="A17706" t="inlineStr">
        <is>
          <t>Binaliw</t>
        </is>
      </c>
    </row>
    <row r="17707" spans="1:1">
      <c r="A17707" t="inlineStr">
        <is>
          <t>Bonbon</t>
        </is>
      </c>
    </row>
    <row r="17708" spans="1:1">
      <c r="A17708" t="inlineStr">
        <is>
          <t>Budla-an</t>
        </is>
      </c>
    </row>
    <row r="17709" spans="1:1">
      <c r="A17709" t="inlineStr">
        <is>
          <t>Buhisan</t>
        </is>
      </c>
    </row>
    <row r="17710" spans="1:1">
      <c r="A17710" t="inlineStr">
        <is>
          <t>Bulacao</t>
        </is>
      </c>
    </row>
    <row r="17711" spans="1:1">
      <c r="A17711" t="inlineStr">
        <is>
          <t>Buot-Taup Pardo</t>
        </is>
      </c>
    </row>
    <row r="17712" spans="1:1">
      <c r="A17712" t="inlineStr">
        <is>
          <t>Busay</t>
        </is>
      </c>
    </row>
    <row r="17713" spans="1:1">
      <c r="A17713" t="inlineStr">
        <is>
          <t>Calamba</t>
        </is>
      </c>
    </row>
    <row r="17714" spans="1:1">
      <c r="A17714" t="inlineStr">
        <is>
          <t>Cambinocot</t>
        </is>
      </c>
    </row>
    <row r="17715" spans="1:1">
      <c r="A17715" t="inlineStr">
        <is>
          <t>Camputhaw</t>
        </is>
      </c>
    </row>
    <row r="17716" spans="1:1">
      <c r="A17716" t="inlineStr">
        <is>
          <t>Capitol Site</t>
        </is>
      </c>
    </row>
    <row r="17717" spans="1:1">
      <c r="A17717" t="inlineStr">
        <is>
          <t>Carreta</t>
        </is>
      </c>
    </row>
    <row r="17718" spans="1:1">
      <c r="A17718" t="inlineStr">
        <is>
          <t>Central</t>
        </is>
      </c>
    </row>
    <row r="17719" spans="1:1">
      <c r="A17719" t="inlineStr">
        <is>
          <t>Cogon Pardo</t>
        </is>
      </c>
    </row>
    <row r="17720" spans="1:1">
      <c r="A17720" t="inlineStr">
        <is>
          <t>Cogon Ramos</t>
        </is>
      </c>
    </row>
    <row r="17721" spans="1:1">
      <c r="A17721" t="inlineStr">
        <is>
          <t>Day-as</t>
        </is>
      </c>
    </row>
    <row r="17722" spans="1:1">
      <c r="A17722" t="inlineStr">
        <is>
          <t>Duljo</t>
        </is>
      </c>
    </row>
    <row r="17723" spans="1:1">
      <c r="A17723" t="inlineStr">
        <is>
          <t>Ermita</t>
        </is>
      </c>
    </row>
    <row r="17724" spans="1:1">
      <c r="A17724" t="inlineStr">
        <is>
          <t>Guadalupe</t>
        </is>
      </c>
    </row>
    <row r="17725" spans="1:1">
      <c r="A17725" t="inlineStr">
        <is>
          <t>Guba</t>
        </is>
      </c>
    </row>
    <row r="17726" spans="1:1">
      <c r="A17726" t="inlineStr">
        <is>
          <t>Hippodromo</t>
        </is>
      </c>
    </row>
    <row r="17727" spans="1:1">
      <c r="A17727" t="inlineStr">
        <is>
          <t>Inayawan</t>
        </is>
      </c>
    </row>
    <row r="17728" spans="1:1">
      <c r="A17728" t="inlineStr">
        <is>
          <t>Kalubihan</t>
        </is>
      </c>
    </row>
    <row r="17729" spans="1:1">
      <c r="A17729" t="inlineStr">
        <is>
          <t>Kalunasan</t>
        </is>
      </c>
    </row>
    <row r="17730" spans="1:1">
      <c r="A17730" t="inlineStr">
        <is>
          <t>Kamagayan</t>
        </is>
      </c>
    </row>
    <row r="17731" spans="1:1">
      <c r="A17731" t="inlineStr">
        <is>
          <t>Kasambagan</t>
        </is>
      </c>
    </row>
    <row r="17732" spans="1:1">
      <c r="A17732" t="inlineStr">
        <is>
          <t>Kinasang-an Pardo</t>
        </is>
      </c>
    </row>
    <row r="17733" spans="1:1">
      <c r="A17733" t="inlineStr">
        <is>
          <t>Labangon</t>
        </is>
      </c>
    </row>
    <row r="17734" spans="1:1">
      <c r="A17734" t="inlineStr">
        <is>
          <t>Lahug</t>
        </is>
      </c>
    </row>
    <row r="17735" spans="1:1">
      <c r="A17735" t="inlineStr">
        <is>
          <t>Lorega</t>
        </is>
      </c>
    </row>
    <row r="17736" spans="1:1">
      <c r="A17736" t="inlineStr">
        <is>
          <t>Lusaran</t>
        </is>
      </c>
    </row>
    <row r="17737" spans="1:1">
      <c r="A17737" t="inlineStr">
        <is>
          <t>Luz</t>
        </is>
      </c>
    </row>
    <row r="17738" spans="1:1">
      <c r="A17738" t="inlineStr">
        <is>
          <t>Mabini</t>
        </is>
      </c>
    </row>
    <row r="17739" spans="1:1">
      <c r="A17739" t="inlineStr">
        <is>
          <t>Mabolo</t>
        </is>
      </c>
    </row>
    <row r="17740" spans="1:1">
      <c r="A17740" t="inlineStr">
        <is>
          <t>Malubog</t>
        </is>
      </c>
    </row>
    <row r="17741" spans="1:1">
      <c r="A17741" t="inlineStr">
        <is>
          <t>Mambaling</t>
        </is>
      </c>
    </row>
    <row r="17742" spans="1:1">
      <c r="A17742" t="inlineStr">
        <is>
          <t>Pahina Central</t>
        </is>
      </c>
    </row>
    <row r="17743" spans="1:1">
      <c r="A17743" t="inlineStr">
        <is>
          <t>Pahina San Nicolas</t>
        </is>
      </c>
    </row>
    <row r="17744" spans="1:1">
      <c r="A17744" t="inlineStr">
        <is>
          <t>Pamutan</t>
        </is>
      </c>
    </row>
    <row r="17745" spans="1:1">
      <c r="A17745" t="inlineStr">
        <is>
          <t>Pardo</t>
        </is>
      </c>
    </row>
    <row r="17746" spans="1:1">
      <c r="A17746" t="inlineStr">
        <is>
          <t>Pari-an</t>
        </is>
      </c>
    </row>
    <row r="17747" spans="1:1">
      <c r="A17747" t="inlineStr">
        <is>
          <t>Paril</t>
        </is>
      </c>
    </row>
    <row r="17748" spans="1:1">
      <c r="A17748" t="inlineStr">
        <is>
          <t>Pasil</t>
        </is>
      </c>
    </row>
    <row r="17749" spans="1:1">
      <c r="A17749" t="inlineStr">
        <is>
          <t>Pit-os</t>
        </is>
      </c>
    </row>
    <row r="17750" spans="1:1">
      <c r="A17750" t="inlineStr">
        <is>
          <t>Pulangbato</t>
        </is>
      </c>
    </row>
    <row r="17751" spans="1:1">
      <c r="A17751" t="inlineStr">
        <is>
          <t>Pung-ol-Sibugay</t>
        </is>
      </c>
    </row>
    <row r="17752" spans="1:1">
      <c r="A17752" t="inlineStr">
        <is>
          <t>Punta Princesa</t>
        </is>
      </c>
    </row>
    <row r="17753" spans="1:1">
      <c r="A17753" t="inlineStr">
        <is>
          <t>Quiot Pardo</t>
        </is>
      </c>
    </row>
    <row r="17754" spans="1:1">
      <c r="A17754" t="inlineStr">
        <is>
          <t>Sambag I</t>
        </is>
      </c>
    </row>
    <row r="17755" spans="1:1">
      <c r="A17755" t="inlineStr">
        <is>
          <t>Sambag II</t>
        </is>
      </c>
    </row>
    <row r="17756" spans="1:1">
      <c r="A17756" t="inlineStr">
        <is>
          <t>San Antonio</t>
        </is>
      </c>
    </row>
    <row r="17757" spans="1:1">
      <c r="A17757" t="inlineStr">
        <is>
          <t>San Jose</t>
        </is>
      </c>
    </row>
    <row r="17758" spans="1:1">
      <c r="A17758" t="inlineStr">
        <is>
          <t>San Nicolas Central</t>
        </is>
      </c>
    </row>
    <row r="17759" spans="1:1">
      <c r="A17759" t="inlineStr">
        <is>
          <t>San Roque</t>
        </is>
      </c>
    </row>
    <row r="17760" spans="1:1">
      <c r="A17760" t="inlineStr">
        <is>
          <t>Santa Cruz</t>
        </is>
      </c>
    </row>
    <row r="17761" spans="1:1">
      <c r="A17761" t="inlineStr">
        <is>
          <t>Sapangdaku</t>
        </is>
      </c>
    </row>
    <row r="17762" spans="1:1">
      <c r="A17762" t="inlineStr">
        <is>
          <t>Sawang Calero</t>
        </is>
      </c>
    </row>
    <row r="17763" spans="1:1">
      <c r="A17763" t="inlineStr">
        <is>
          <t>Sinsin</t>
        </is>
      </c>
    </row>
    <row r="17764" spans="1:1">
      <c r="A17764" t="inlineStr">
        <is>
          <t>Sirao</t>
        </is>
      </c>
    </row>
    <row r="17765" spans="1:1">
      <c r="A17765" t="inlineStr">
        <is>
          <t>Suba Pob.</t>
        </is>
      </c>
    </row>
    <row r="17766" spans="1:1">
      <c r="A17766" t="inlineStr">
        <is>
          <t>Sudlon I</t>
        </is>
      </c>
    </row>
    <row r="17767" spans="1:1">
      <c r="A17767" t="inlineStr">
        <is>
          <t>Sudlon II</t>
        </is>
      </c>
    </row>
    <row r="17768" spans="1:1">
      <c r="A17768" t="inlineStr">
        <is>
          <t>T. Padilla</t>
        </is>
      </c>
    </row>
    <row r="17769" spans="1:1">
      <c r="A17769" t="inlineStr">
        <is>
          <t>Tabunan</t>
        </is>
      </c>
    </row>
    <row r="17770" spans="1:1">
      <c r="A17770" t="inlineStr">
        <is>
          <t>Tagbao</t>
        </is>
      </c>
    </row>
    <row r="17771" spans="1:1">
      <c r="A17771" t="inlineStr">
        <is>
          <t>Talamban</t>
        </is>
      </c>
    </row>
    <row r="17772" spans="1:1">
      <c r="A17772" t="inlineStr">
        <is>
          <t>Taptap</t>
        </is>
      </c>
    </row>
    <row r="17773" spans="1:1">
      <c r="A17773" t="inlineStr">
        <is>
          <t>Tejero</t>
        </is>
      </c>
    </row>
    <row r="17774" spans="1:1">
      <c r="A17774" t="inlineStr">
        <is>
          <t>Tinago</t>
        </is>
      </c>
    </row>
    <row r="17775" spans="1:1">
      <c r="A17775" t="inlineStr">
        <is>
          <t>Tisa</t>
        </is>
      </c>
    </row>
    <row r="17776" spans="1:1">
      <c r="A17776" t="inlineStr">
        <is>
          <t>To-ong Pardo</t>
        </is>
      </c>
    </row>
    <row r="17777" spans="1:1">
      <c r="A17777" t="inlineStr">
        <is>
          <t>Zapatera</t>
        </is>
      </c>
    </row>
    <row r="17778" spans="1:1">
      <c r="A17778" t="inlineStr">
        <is>
          <t>Agus</t>
        </is>
      </c>
    </row>
    <row r="17779" spans="1:1">
      <c r="A17779" t="inlineStr">
        <is>
          <t>Babag</t>
        </is>
      </c>
    </row>
    <row r="17780" spans="1:1">
      <c r="A17780" t="inlineStr">
        <is>
          <t>Bankal</t>
        </is>
      </c>
    </row>
    <row r="17781" spans="1:1">
      <c r="A17781" t="inlineStr">
        <is>
          <t>Baring</t>
        </is>
      </c>
    </row>
    <row r="17782" spans="1:1">
      <c r="A17782" t="inlineStr">
        <is>
          <t>Basak</t>
        </is>
      </c>
    </row>
    <row r="17783" spans="1:1">
      <c r="A17783" t="inlineStr">
        <is>
          <t>Buaya</t>
        </is>
      </c>
    </row>
    <row r="17784" spans="1:1">
      <c r="A17784" t="inlineStr">
        <is>
          <t>Calawisan</t>
        </is>
      </c>
    </row>
    <row r="17785" spans="1:1">
      <c r="A17785" t="inlineStr">
        <is>
          <t>Canjulao</t>
        </is>
      </c>
    </row>
    <row r="17786" spans="1:1">
      <c r="A17786" t="inlineStr">
        <is>
          <t>Caubian</t>
        </is>
      </c>
    </row>
    <row r="17787" spans="1:1">
      <c r="A17787" t="inlineStr">
        <is>
          <t>Caw-oy</t>
        </is>
      </c>
    </row>
    <row r="17788" spans="1:1">
      <c r="A17788" t="inlineStr">
        <is>
          <t>Cawhagan</t>
        </is>
      </c>
    </row>
    <row r="17789" spans="1:1">
      <c r="A17789" t="inlineStr">
        <is>
          <t>Gun-ob</t>
        </is>
      </c>
    </row>
    <row r="17790" spans="1:1">
      <c r="A17790" t="inlineStr">
        <is>
          <t>Ibo</t>
        </is>
      </c>
    </row>
    <row r="17791" spans="1:1">
      <c r="A17791" t="inlineStr">
        <is>
          <t>Looc</t>
        </is>
      </c>
    </row>
    <row r="17792" spans="1:1">
      <c r="A17792" t="inlineStr">
        <is>
          <t>Mactan</t>
        </is>
      </c>
    </row>
    <row r="17793" spans="1:1">
      <c r="A17793" t="inlineStr">
        <is>
          <t>Maribago</t>
        </is>
      </c>
    </row>
    <row r="17794" spans="1:1">
      <c r="A17794" t="inlineStr">
        <is>
          <t>Marigondon</t>
        </is>
      </c>
    </row>
    <row r="17795" spans="1:1">
      <c r="A17795" t="inlineStr">
        <is>
          <t>Pajac</t>
        </is>
      </c>
    </row>
    <row r="17796" spans="1:1">
      <c r="A17796" t="inlineStr">
        <is>
          <t>Pajo</t>
        </is>
      </c>
    </row>
    <row r="17797" spans="1:1">
      <c r="A17797" t="inlineStr">
        <is>
          <t>Pangan-an</t>
        </is>
      </c>
    </row>
    <row r="17798" spans="1:1">
      <c r="A17798" t="inlineStr">
        <is>
          <t>Poblacion</t>
        </is>
      </c>
    </row>
    <row r="17799" spans="1:1">
      <c r="A17799" t="inlineStr">
        <is>
          <t>Punta Engaño</t>
        </is>
      </c>
    </row>
    <row r="17800" spans="1:1">
      <c r="A17800" t="inlineStr">
        <is>
          <t>Pusok</t>
        </is>
      </c>
    </row>
    <row r="17801" spans="1:1">
      <c r="A17801" t="inlineStr">
        <is>
          <t>Sabang</t>
        </is>
      </c>
    </row>
    <row r="17802" spans="1:1">
      <c r="A17802" t="inlineStr">
        <is>
          <t>San Vicente</t>
        </is>
      </c>
    </row>
    <row r="17803" spans="1:1">
      <c r="A17803" t="inlineStr">
        <is>
          <t>Santa Rosa</t>
        </is>
      </c>
    </row>
    <row r="17804" spans="1:1">
      <c r="A17804" t="inlineStr">
        <is>
          <t>Subabasbas</t>
        </is>
      </c>
    </row>
    <row r="17805" spans="1:1">
      <c r="A17805" t="inlineStr">
        <is>
          <t>Talima</t>
        </is>
      </c>
    </row>
    <row r="17806" spans="1:1">
      <c r="A17806" t="inlineStr">
        <is>
          <t>Tingo</t>
        </is>
      </c>
    </row>
    <row r="17807" spans="1:1">
      <c r="A17807" t="inlineStr">
        <is>
          <t>Tungasan</t>
        </is>
      </c>
    </row>
    <row r="17808" spans="1:1">
      <c r="A17808" t="inlineStr">
        <is>
          <t>Alang-alang</t>
        </is>
      </c>
    </row>
    <row r="17809" spans="1:1">
      <c r="A17809" t="inlineStr">
        <is>
          <t>Bakilid</t>
        </is>
      </c>
    </row>
    <row r="17810" spans="1:1">
      <c r="A17810" t="inlineStr">
        <is>
          <t>Banilad</t>
        </is>
      </c>
    </row>
    <row r="17811" spans="1:1">
      <c r="A17811" t="inlineStr">
        <is>
          <t>Basak</t>
        </is>
      </c>
    </row>
    <row r="17812" spans="1:1">
      <c r="A17812" t="inlineStr">
        <is>
          <t>Cabancalan</t>
        </is>
      </c>
    </row>
    <row r="17813" spans="1:1">
      <c r="A17813" t="inlineStr">
        <is>
          <t>Cambaro</t>
        </is>
      </c>
    </row>
    <row r="17814" spans="1:1">
      <c r="A17814" t="inlineStr">
        <is>
          <t>Canduman</t>
        </is>
      </c>
    </row>
    <row r="17815" spans="1:1">
      <c r="A17815" t="inlineStr">
        <is>
          <t>Casili</t>
        </is>
      </c>
    </row>
    <row r="17816" spans="1:1">
      <c r="A17816" t="inlineStr">
        <is>
          <t>Casuntingan</t>
        </is>
      </c>
    </row>
    <row r="17817" spans="1:1">
      <c r="A17817" t="inlineStr">
        <is>
          <t>Centro</t>
        </is>
      </c>
    </row>
    <row r="17818" spans="1:1">
      <c r="A17818" t="inlineStr">
        <is>
          <t>Cubacub</t>
        </is>
      </c>
    </row>
    <row r="17819" spans="1:1">
      <c r="A17819" t="inlineStr">
        <is>
          <t>Guizo</t>
        </is>
      </c>
    </row>
    <row r="17820" spans="1:1">
      <c r="A17820" t="inlineStr">
        <is>
          <t>Ibabao-Estancia</t>
        </is>
      </c>
    </row>
    <row r="17821" spans="1:1">
      <c r="A17821" t="inlineStr">
        <is>
          <t>Jagobiao</t>
        </is>
      </c>
    </row>
    <row r="17822" spans="1:1">
      <c r="A17822" t="inlineStr">
        <is>
          <t>Labogon</t>
        </is>
      </c>
    </row>
    <row r="17823" spans="1:1">
      <c r="A17823" t="inlineStr">
        <is>
          <t>Looc</t>
        </is>
      </c>
    </row>
    <row r="17824" spans="1:1">
      <c r="A17824" t="inlineStr">
        <is>
          <t>Maguikay</t>
        </is>
      </c>
    </row>
    <row r="17825" spans="1:1">
      <c r="A17825" t="inlineStr">
        <is>
          <t>Mantuyong</t>
        </is>
      </c>
    </row>
    <row r="17826" spans="1:1">
      <c r="A17826" t="inlineStr">
        <is>
          <t>Opao</t>
        </is>
      </c>
    </row>
    <row r="17827" spans="1:1">
      <c r="A17827" t="inlineStr">
        <is>
          <t>Pagsabungan</t>
        </is>
      </c>
    </row>
    <row r="17828" spans="1:1">
      <c r="A17828" t="inlineStr">
        <is>
          <t>Pakna-an</t>
        </is>
      </c>
    </row>
    <row r="17829" spans="1:1">
      <c r="A17829" t="inlineStr">
        <is>
          <t>Subangdaku</t>
        </is>
      </c>
    </row>
    <row r="17830" spans="1:1">
      <c r="A17830" t="inlineStr">
        <is>
          <t>Tabok</t>
        </is>
      </c>
    </row>
    <row r="17831" spans="1:1">
      <c r="A17831" t="inlineStr">
        <is>
          <t>Tawason</t>
        </is>
      </c>
    </row>
    <row r="17832" spans="1:1">
      <c r="A17832" t="inlineStr">
        <is>
          <t>Tingub</t>
        </is>
      </c>
    </row>
    <row r="17833" spans="1:1">
      <c r="A17833" t="inlineStr">
        <is>
          <t>Tipolo</t>
        </is>
      </c>
    </row>
    <row r="17834" spans="1:1">
      <c r="A17834" t="inlineStr">
        <is>
          <t>Umapad</t>
        </is>
      </c>
    </row>
    <row r="17835" spans="1:1">
      <c r="A17835" t="inlineStr">
        <is>
          <t>Barangay 100</t>
        </is>
      </c>
    </row>
    <row r="17836" spans="1:1">
      <c r="A17836" t="inlineStr">
        <is>
          <t>Barangay 101</t>
        </is>
      </c>
    </row>
    <row r="17837" spans="1:1">
      <c r="A17837" t="inlineStr">
        <is>
          <t>Barangay 102</t>
        </is>
      </c>
    </row>
    <row r="17838" spans="1:1">
      <c r="A17838" t="inlineStr">
        <is>
          <t>Barangay 103</t>
        </is>
      </c>
    </row>
    <row r="17839" spans="1:1">
      <c r="A17839" t="inlineStr">
        <is>
          <t>Barangay 103-A</t>
        </is>
      </c>
    </row>
    <row r="17840" spans="1:1">
      <c r="A17840" t="inlineStr">
        <is>
          <t>Barangay 104</t>
        </is>
      </c>
    </row>
    <row r="17841" spans="1:1">
      <c r="A17841" t="inlineStr">
        <is>
          <t>Barangay 105</t>
        </is>
      </c>
    </row>
    <row r="17842" spans="1:1">
      <c r="A17842" t="inlineStr">
        <is>
          <t>Barangay 106</t>
        </is>
      </c>
    </row>
    <row r="17843" spans="1:1">
      <c r="A17843" t="inlineStr">
        <is>
          <t>Barangay 107</t>
        </is>
      </c>
    </row>
    <row r="17844" spans="1:1">
      <c r="A17844" t="inlineStr">
        <is>
          <t>Barangay 108</t>
        </is>
      </c>
    </row>
    <row r="17845" spans="1:1">
      <c r="A17845" t="inlineStr">
        <is>
          <t>Barangay 109</t>
        </is>
      </c>
    </row>
    <row r="17846" spans="1:1">
      <c r="A17846" t="inlineStr">
        <is>
          <t>Barangay 109-A</t>
        </is>
      </c>
    </row>
    <row r="17847" spans="1:1">
      <c r="A17847" t="inlineStr">
        <is>
          <t>Barangay 110</t>
        </is>
      </c>
    </row>
    <row r="17848" spans="1:1">
      <c r="A17848" t="inlineStr">
        <is>
          <t>Barangay 12</t>
        </is>
      </c>
    </row>
    <row r="17849" spans="1:1">
      <c r="A17849" t="inlineStr">
        <is>
          <t>Barangay 13</t>
        </is>
      </c>
    </row>
    <row r="17850" spans="1:1">
      <c r="A17850" t="inlineStr">
        <is>
          <t>Barangay 14</t>
        </is>
      </c>
    </row>
    <row r="17851" spans="1:1">
      <c r="A17851" t="inlineStr">
        <is>
          <t>Barangay 15</t>
        </is>
      </c>
    </row>
    <row r="17852" spans="1:1">
      <c r="A17852" t="inlineStr">
        <is>
          <t>Barangay 16</t>
        </is>
      </c>
    </row>
    <row r="17853" spans="1:1">
      <c r="A17853" t="inlineStr">
        <is>
          <t>Barangay 17</t>
        </is>
      </c>
    </row>
    <row r="17854" spans="1:1">
      <c r="A17854" t="inlineStr">
        <is>
          <t>Barangay 18</t>
        </is>
      </c>
    </row>
    <row r="17855" spans="1:1">
      <c r="A17855" t="inlineStr">
        <is>
          <t>Barangay 19</t>
        </is>
      </c>
    </row>
    <row r="17856" spans="1:1">
      <c r="A17856" t="inlineStr">
        <is>
          <t>Barangay 2</t>
        </is>
      </c>
    </row>
    <row r="17857" spans="1:1">
      <c r="A17857" t="inlineStr">
        <is>
          <t>Barangay 20</t>
        </is>
      </c>
    </row>
    <row r="17858" spans="1:1">
      <c r="A17858" t="inlineStr">
        <is>
          <t>Barangay 21</t>
        </is>
      </c>
    </row>
    <row r="17859" spans="1:1">
      <c r="A17859" t="inlineStr">
        <is>
          <t>Barangay 21-A</t>
        </is>
      </c>
    </row>
    <row r="17860" spans="1:1">
      <c r="A17860" t="inlineStr">
        <is>
          <t>Barangay 22</t>
        </is>
      </c>
    </row>
    <row r="17861" spans="1:1">
      <c r="A17861" t="inlineStr">
        <is>
          <t>Barangay 23</t>
        </is>
      </c>
    </row>
    <row r="17862" spans="1:1">
      <c r="A17862" t="inlineStr">
        <is>
          <t>Barangay 23-A</t>
        </is>
      </c>
    </row>
    <row r="17863" spans="1:1">
      <c r="A17863" t="inlineStr">
        <is>
          <t>Barangay 24</t>
        </is>
      </c>
    </row>
    <row r="17864" spans="1:1">
      <c r="A17864" t="inlineStr">
        <is>
          <t>Barangay 25</t>
        </is>
      </c>
    </row>
    <row r="17865" spans="1:1">
      <c r="A17865" t="inlineStr">
        <is>
          <t>Barangay 26</t>
        </is>
      </c>
    </row>
    <row r="17866" spans="1:1">
      <c r="A17866" t="inlineStr">
        <is>
          <t>Barangay 27</t>
        </is>
      </c>
    </row>
    <row r="17867" spans="1:1">
      <c r="A17867" t="inlineStr">
        <is>
          <t>Barangay 28</t>
        </is>
      </c>
    </row>
    <row r="17868" spans="1:1">
      <c r="A17868" t="inlineStr">
        <is>
          <t>Barangay 29</t>
        </is>
      </c>
    </row>
    <row r="17869" spans="1:1">
      <c r="A17869" t="inlineStr">
        <is>
          <t>Barangay 30</t>
        </is>
      </c>
    </row>
    <row r="17870" spans="1:1">
      <c r="A17870" t="inlineStr">
        <is>
          <t>Barangay 31</t>
        </is>
      </c>
    </row>
    <row r="17871" spans="1:1">
      <c r="A17871" t="inlineStr">
        <is>
          <t>Barangay 32</t>
        </is>
      </c>
    </row>
    <row r="17872" spans="1:1">
      <c r="A17872" t="inlineStr">
        <is>
          <t>Barangay 33</t>
        </is>
      </c>
    </row>
    <row r="17873" spans="1:1">
      <c r="A17873" t="inlineStr">
        <is>
          <t>Barangay 34</t>
        </is>
      </c>
    </row>
    <row r="17874" spans="1:1">
      <c r="A17874" t="inlineStr">
        <is>
          <t>Barangay 35</t>
        </is>
      </c>
    </row>
    <row r="17875" spans="1:1">
      <c r="A17875" t="inlineStr">
        <is>
          <t>Barangay 35-A</t>
        </is>
      </c>
    </row>
    <row r="17876" spans="1:1">
      <c r="A17876" t="inlineStr">
        <is>
          <t>Barangay 36</t>
        </is>
      </c>
    </row>
    <row r="17877" spans="1:1">
      <c r="A17877" t="inlineStr">
        <is>
          <t>Barangay 36-A</t>
        </is>
      </c>
    </row>
    <row r="17878" spans="1:1">
      <c r="A17878" t="inlineStr">
        <is>
          <t>Barangay 37</t>
        </is>
      </c>
    </row>
    <row r="17879" spans="1:1">
      <c r="A17879" t="inlineStr">
        <is>
          <t>Barangay 37-A</t>
        </is>
      </c>
    </row>
    <row r="17880" spans="1:1">
      <c r="A17880" t="inlineStr">
        <is>
          <t>Barangay 38</t>
        </is>
      </c>
    </row>
    <row r="17881" spans="1:1">
      <c r="A17881" t="inlineStr">
        <is>
          <t>Barangay 39</t>
        </is>
      </c>
    </row>
    <row r="17882" spans="1:1">
      <c r="A17882" t="inlineStr">
        <is>
          <t>Barangay 40</t>
        </is>
      </c>
    </row>
    <row r="17883" spans="1:1">
      <c r="A17883" t="inlineStr">
        <is>
          <t>Barangay 41</t>
        </is>
      </c>
    </row>
    <row r="17884" spans="1:1">
      <c r="A17884" t="inlineStr">
        <is>
          <t>Barangay 42</t>
        </is>
      </c>
    </row>
    <row r="17885" spans="1:1">
      <c r="A17885" t="inlineStr">
        <is>
          <t>Barangay 42-A</t>
        </is>
      </c>
    </row>
    <row r="17886" spans="1:1">
      <c r="A17886" t="inlineStr">
        <is>
          <t>Barangay 43</t>
        </is>
      </c>
    </row>
    <row r="17887" spans="1:1">
      <c r="A17887" t="inlineStr">
        <is>
          <t>Barangay 43-A</t>
        </is>
      </c>
    </row>
    <row r="17888" spans="1:1">
      <c r="A17888" t="inlineStr">
        <is>
          <t>Barangay 43-B</t>
        </is>
      </c>
    </row>
    <row r="17889" spans="1:1">
      <c r="A17889" t="inlineStr">
        <is>
          <t>Barangay 44</t>
        </is>
      </c>
    </row>
    <row r="17890" spans="1:1">
      <c r="A17890" t="inlineStr">
        <is>
          <t>Barangay 44-A</t>
        </is>
      </c>
    </row>
    <row r="17891" spans="1:1">
      <c r="A17891" t="inlineStr">
        <is>
          <t>Barangay 45</t>
        </is>
      </c>
    </row>
    <row r="17892" spans="1:1">
      <c r="A17892" t="inlineStr">
        <is>
          <t>Barangay 46</t>
        </is>
      </c>
    </row>
    <row r="17893" spans="1:1">
      <c r="A17893" t="inlineStr">
        <is>
          <t>Barangay 47</t>
        </is>
      </c>
    </row>
    <row r="17894" spans="1:1">
      <c r="A17894" t="inlineStr">
        <is>
          <t>Barangay 48</t>
        </is>
      </c>
    </row>
    <row r="17895" spans="1:1">
      <c r="A17895" t="inlineStr">
        <is>
          <t>Barangay 48-A</t>
        </is>
      </c>
    </row>
    <row r="17896" spans="1:1">
      <c r="A17896" t="inlineStr">
        <is>
          <t>Barangay 48-B</t>
        </is>
      </c>
    </row>
    <row r="17897" spans="1:1">
      <c r="A17897" t="inlineStr">
        <is>
          <t>Barangay 49</t>
        </is>
      </c>
    </row>
    <row r="17898" spans="1:1">
      <c r="A17898" t="inlineStr">
        <is>
          <t>Barangay 5</t>
        </is>
      </c>
    </row>
    <row r="17899" spans="1:1">
      <c r="A17899" t="inlineStr">
        <is>
          <t>Barangay 5-A</t>
        </is>
      </c>
    </row>
    <row r="17900" spans="1:1">
      <c r="A17900" t="inlineStr">
        <is>
          <t>Barangay 50</t>
        </is>
      </c>
    </row>
    <row r="17901" spans="1:1">
      <c r="A17901" t="inlineStr">
        <is>
          <t>Barangay 50-A</t>
        </is>
      </c>
    </row>
    <row r="17902" spans="1:1">
      <c r="A17902" t="inlineStr">
        <is>
          <t>Barangay 50-B</t>
        </is>
      </c>
    </row>
    <row r="17903" spans="1:1">
      <c r="A17903" t="inlineStr">
        <is>
          <t>Barangay 51</t>
        </is>
      </c>
    </row>
    <row r="17904" spans="1:1">
      <c r="A17904" t="inlineStr">
        <is>
          <t>Barangay 51-A</t>
        </is>
      </c>
    </row>
    <row r="17905" spans="1:1">
      <c r="A17905" t="inlineStr">
        <is>
          <t>Barangay 52</t>
        </is>
      </c>
    </row>
    <row r="17906" spans="1:1">
      <c r="A17906" t="inlineStr">
        <is>
          <t>Barangay 53</t>
        </is>
      </c>
    </row>
    <row r="17907" spans="1:1">
      <c r="A17907" t="inlineStr">
        <is>
          <t>Barangay 54</t>
        </is>
      </c>
    </row>
    <row r="17908" spans="1:1">
      <c r="A17908" t="inlineStr">
        <is>
          <t>Barangay 54-A</t>
        </is>
      </c>
    </row>
    <row r="17909" spans="1:1">
      <c r="A17909" t="inlineStr">
        <is>
          <t>Barangay 56</t>
        </is>
      </c>
    </row>
    <row r="17910" spans="1:1">
      <c r="A17910" t="inlineStr">
        <is>
          <t>Barangay 56-A</t>
        </is>
      </c>
    </row>
    <row r="17911" spans="1:1">
      <c r="A17911" t="inlineStr">
        <is>
          <t>Barangay 57</t>
        </is>
      </c>
    </row>
    <row r="17912" spans="1:1">
      <c r="A17912" t="inlineStr">
        <is>
          <t>Barangay 58</t>
        </is>
      </c>
    </row>
    <row r="17913" spans="1:1">
      <c r="A17913" t="inlineStr">
        <is>
          <t>Barangay 59</t>
        </is>
      </c>
    </row>
    <row r="17914" spans="1:1">
      <c r="A17914" t="inlineStr">
        <is>
          <t>Barangay 59-A</t>
        </is>
      </c>
    </row>
    <row r="17915" spans="1:1">
      <c r="A17915" t="inlineStr">
        <is>
          <t>Barangay 59-B</t>
        </is>
      </c>
    </row>
    <row r="17916" spans="1:1">
      <c r="A17916" t="inlineStr">
        <is>
          <t>Barangay 6</t>
        </is>
      </c>
    </row>
    <row r="17917" spans="1:1">
      <c r="A17917" t="inlineStr">
        <is>
          <t>Barangay 6-A</t>
        </is>
      </c>
    </row>
    <row r="17918" spans="1:1">
      <c r="A17918" t="inlineStr">
        <is>
          <t>Barangay 60</t>
        </is>
      </c>
    </row>
    <row r="17919" spans="1:1">
      <c r="A17919" t="inlineStr">
        <is>
          <t>Barangay 60-A</t>
        </is>
      </c>
    </row>
    <row r="17920" spans="1:1">
      <c r="A17920" t="inlineStr">
        <is>
          <t>Barangay 61</t>
        </is>
      </c>
    </row>
    <row r="17921" spans="1:1">
      <c r="A17921" t="inlineStr">
        <is>
          <t>Barangay 62</t>
        </is>
      </c>
    </row>
    <row r="17922" spans="1:1">
      <c r="A17922" t="inlineStr">
        <is>
          <t>Barangay 62-A</t>
        </is>
      </c>
    </row>
    <row r="17923" spans="1:1">
      <c r="A17923" t="inlineStr">
        <is>
          <t>Barangay 62-B</t>
        </is>
      </c>
    </row>
    <row r="17924" spans="1:1">
      <c r="A17924" t="inlineStr">
        <is>
          <t>Barangay 63</t>
        </is>
      </c>
    </row>
    <row r="17925" spans="1:1">
      <c r="A17925" t="inlineStr">
        <is>
          <t>Barangay 64</t>
        </is>
      </c>
    </row>
    <row r="17926" spans="1:1">
      <c r="A17926" t="inlineStr">
        <is>
          <t>Barangay 65</t>
        </is>
      </c>
    </row>
    <row r="17927" spans="1:1">
      <c r="A17927" t="inlineStr">
        <is>
          <t>Barangay 66</t>
        </is>
      </c>
    </row>
    <row r="17928" spans="1:1">
      <c r="A17928" t="inlineStr">
        <is>
          <t>Barangay 66-A</t>
        </is>
      </c>
    </row>
    <row r="17929" spans="1:1">
      <c r="A17929" t="inlineStr">
        <is>
          <t>Barangay 67</t>
        </is>
      </c>
    </row>
    <row r="17930" spans="1:1">
      <c r="A17930" t="inlineStr">
        <is>
          <t>Barangay 68</t>
        </is>
      </c>
    </row>
    <row r="17931" spans="1:1">
      <c r="A17931" t="inlineStr">
        <is>
          <t>Barangay 69</t>
        </is>
      </c>
    </row>
    <row r="17932" spans="1:1">
      <c r="A17932" t="inlineStr">
        <is>
          <t>Barangay 7</t>
        </is>
      </c>
    </row>
    <row r="17933" spans="1:1">
      <c r="A17933" t="inlineStr">
        <is>
          <t>Barangay 70</t>
        </is>
      </c>
    </row>
    <row r="17934" spans="1:1">
      <c r="A17934" t="inlineStr">
        <is>
          <t>Barangay 71</t>
        </is>
      </c>
    </row>
    <row r="17935" spans="1:1">
      <c r="A17935" t="inlineStr">
        <is>
          <t>Barangay 72</t>
        </is>
      </c>
    </row>
    <row r="17936" spans="1:1">
      <c r="A17936" t="inlineStr">
        <is>
          <t>Barangay 73</t>
        </is>
      </c>
    </row>
    <row r="17937" spans="1:1">
      <c r="A17937" t="inlineStr">
        <is>
          <t>Barangay 74</t>
        </is>
      </c>
    </row>
    <row r="17938" spans="1:1">
      <c r="A17938" t="inlineStr">
        <is>
          <t>Barangay 75</t>
        </is>
      </c>
    </row>
    <row r="17939" spans="1:1">
      <c r="A17939" t="inlineStr">
        <is>
          <t>Barangay 76</t>
        </is>
      </c>
    </row>
    <row r="17940" spans="1:1">
      <c r="A17940" t="inlineStr">
        <is>
          <t>Barangay 77</t>
        </is>
      </c>
    </row>
    <row r="17941" spans="1:1">
      <c r="A17941" t="inlineStr">
        <is>
          <t>Barangay 78</t>
        </is>
      </c>
    </row>
    <row r="17942" spans="1:1">
      <c r="A17942" t="inlineStr">
        <is>
          <t>Barangay 79</t>
        </is>
      </c>
    </row>
    <row r="17943" spans="1:1">
      <c r="A17943" t="inlineStr">
        <is>
          <t>Barangay 8</t>
        </is>
      </c>
    </row>
    <row r="17944" spans="1:1">
      <c r="A17944" t="inlineStr">
        <is>
          <t>Barangay 8-A</t>
        </is>
      </c>
    </row>
    <row r="17945" spans="1:1">
      <c r="A17945" t="inlineStr">
        <is>
          <t>Barangay 80</t>
        </is>
      </c>
    </row>
    <row r="17946" spans="1:1">
      <c r="A17946" t="inlineStr">
        <is>
          <t>Barangay 81</t>
        </is>
      </c>
    </row>
    <row r="17947" spans="1:1">
      <c r="A17947" t="inlineStr">
        <is>
          <t>Barangay 82</t>
        </is>
      </c>
    </row>
    <row r="17948" spans="1:1">
      <c r="A17948" t="inlineStr">
        <is>
          <t>Barangay 83</t>
        </is>
      </c>
    </row>
    <row r="17949" spans="1:1">
      <c r="A17949" t="inlineStr">
        <is>
          <t>Barangay 83-A</t>
        </is>
      </c>
    </row>
    <row r="17950" spans="1:1">
      <c r="A17950" t="inlineStr">
        <is>
          <t>Barangay 83-B</t>
        </is>
      </c>
    </row>
    <row r="17951" spans="1:1">
      <c r="A17951" t="inlineStr">
        <is>
          <t>Barangay 83-C</t>
        </is>
      </c>
    </row>
    <row r="17952" spans="1:1">
      <c r="A17952" t="inlineStr">
        <is>
          <t>Barangay 84</t>
        </is>
      </c>
    </row>
    <row r="17953" spans="1:1">
      <c r="A17953" t="inlineStr">
        <is>
          <t>Barangay 85</t>
        </is>
      </c>
    </row>
    <row r="17954" spans="1:1">
      <c r="A17954" t="inlineStr">
        <is>
          <t>Barangay 86</t>
        </is>
      </c>
    </row>
    <row r="17955" spans="1:1">
      <c r="A17955" t="inlineStr">
        <is>
          <t>Barangay 87</t>
        </is>
      </c>
    </row>
    <row r="17956" spans="1:1">
      <c r="A17956" t="inlineStr">
        <is>
          <t>Barangay 88</t>
        </is>
      </c>
    </row>
    <row r="17957" spans="1:1">
      <c r="A17957" t="inlineStr">
        <is>
          <t>Barangay 89</t>
        </is>
      </c>
    </row>
    <row r="17958" spans="1:1">
      <c r="A17958" t="inlineStr">
        <is>
          <t>Barangay 90</t>
        </is>
      </c>
    </row>
    <row r="17959" spans="1:1">
      <c r="A17959" t="inlineStr">
        <is>
          <t>Barangay 91</t>
        </is>
      </c>
    </row>
    <row r="17960" spans="1:1">
      <c r="A17960" t="inlineStr">
        <is>
          <t>Barangay 92</t>
        </is>
      </c>
    </row>
    <row r="17961" spans="1:1">
      <c r="A17961" t="inlineStr">
        <is>
          <t>Barangay 93</t>
        </is>
      </c>
    </row>
    <row r="17962" spans="1:1">
      <c r="A17962" t="inlineStr">
        <is>
          <t>Barangay 94</t>
        </is>
      </c>
    </row>
    <row r="17963" spans="1:1">
      <c r="A17963" t="inlineStr">
        <is>
          <t>Barangay 94-A</t>
        </is>
      </c>
    </row>
    <row r="17964" spans="1:1">
      <c r="A17964" t="inlineStr">
        <is>
          <t>Barangay 95</t>
        </is>
      </c>
    </row>
    <row r="17965" spans="1:1">
      <c r="A17965" t="inlineStr">
        <is>
          <t>Barangay 95-A</t>
        </is>
      </c>
    </row>
    <row r="17966" spans="1:1">
      <c r="A17966" t="inlineStr">
        <is>
          <t>Barangay 96</t>
        </is>
      </c>
    </row>
    <row r="17967" spans="1:1">
      <c r="A17967" t="inlineStr">
        <is>
          <t>Barangay 97</t>
        </is>
      </c>
    </row>
    <row r="17968" spans="1:1">
      <c r="A17968" t="inlineStr">
        <is>
          <t>Barangay 98</t>
        </is>
      </c>
    </row>
    <row r="17969" spans="1:1">
      <c r="A17969" t="inlineStr">
        <is>
          <t>Barangay 99</t>
        </is>
      </c>
    </row>
    <row r="17970" spans="1:1">
      <c r="A17970" t="inlineStr">
        <is>
          <t>El Reposo</t>
        </is>
      </c>
    </row>
    <row r="17971" spans="1:1">
      <c r="A17971" t="inlineStr">
        <is>
          <t>Libertad</t>
        </is>
      </c>
    </row>
    <row r="17972" spans="1:1">
      <c r="A17972" t="inlineStr">
        <is>
          <t>Nula-tula</t>
        </is>
      </c>
    </row>
    <row r="17973" spans="1:1">
      <c r="A17973" t="inlineStr">
        <is>
          <t>Agusan</t>
        </is>
      </c>
    </row>
    <row r="17974" spans="1:1">
      <c r="A17974" t="inlineStr">
        <is>
          <t>Baikingon</t>
        </is>
      </c>
    </row>
    <row r="17975" spans="1:1">
      <c r="A17975" t="inlineStr">
        <is>
          <t>Balubal</t>
        </is>
      </c>
    </row>
    <row r="17976" spans="1:1">
      <c r="A17976" t="inlineStr">
        <is>
          <t>Balulang</t>
        </is>
      </c>
    </row>
    <row r="17977" spans="1:1">
      <c r="A17977" t="inlineStr">
        <is>
          <t>Barangay 1</t>
        </is>
      </c>
    </row>
    <row r="17978" spans="1:1">
      <c r="A17978" t="inlineStr">
        <is>
          <t>Barangay 10</t>
        </is>
      </c>
    </row>
    <row r="17979" spans="1:1">
      <c r="A17979" t="inlineStr">
        <is>
          <t>Barangay 11</t>
        </is>
      </c>
    </row>
    <row r="17980" spans="1:1">
      <c r="A17980" t="inlineStr">
        <is>
          <t>Barangay 12</t>
        </is>
      </c>
    </row>
    <row r="17981" spans="1:1">
      <c r="A17981" t="inlineStr">
        <is>
          <t>Barangay 13</t>
        </is>
      </c>
    </row>
    <row r="17982" spans="1:1">
      <c r="A17982" t="inlineStr">
        <is>
          <t>Barangay 14</t>
        </is>
      </c>
    </row>
    <row r="17983" spans="1:1">
      <c r="A17983" t="inlineStr">
        <is>
          <t>Barangay 15</t>
        </is>
      </c>
    </row>
    <row r="17984" spans="1:1">
      <c r="A17984" t="inlineStr">
        <is>
          <t>Barangay 16</t>
        </is>
      </c>
    </row>
    <row r="17985" spans="1:1">
      <c r="A17985" t="inlineStr">
        <is>
          <t>Barangay 17</t>
        </is>
      </c>
    </row>
    <row r="17986" spans="1:1">
      <c r="A17986" t="inlineStr">
        <is>
          <t>Barangay 18</t>
        </is>
      </c>
    </row>
    <row r="17987" spans="1:1">
      <c r="A17987" t="inlineStr">
        <is>
          <t>Barangay 19</t>
        </is>
      </c>
    </row>
    <row r="17988" spans="1:1">
      <c r="A17988" t="inlineStr">
        <is>
          <t>Barangay 2</t>
        </is>
      </c>
    </row>
    <row r="17989" spans="1:1">
      <c r="A17989" t="inlineStr">
        <is>
          <t>Barangay 20</t>
        </is>
      </c>
    </row>
    <row r="17990" spans="1:1">
      <c r="A17990" t="inlineStr">
        <is>
          <t>Barangay 21</t>
        </is>
      </c>
    </row>
    <row r="17991" spans="1:1">
      <c r="A17991" t="inlineStr">
        <is>
          <t>Barangay 22</t>
        </is>
      </c>
    </row>
    <row r="17992" spans="1:1">
      <c r="A17992" t="inlineStr">
        <is>
          <t>Barangay 23</t>
        </is>
      </c>
    </row>
    <row r="17993" spans="1:1">
      <c r="A17993" t="inlineStr">
        <is>
          <t>Barangay 24</t>
        </is>
      </c>
    </row>
    <row r="17994" spans="1:1">
      <c r="A17994" t="inlineStr">
        <is>
          <t>Barangay 25</t>
        </is>
      </c>
    </row>
    <row r="17995" spans="1:1">
      <c r="A17995" t="inlineStr">
        <is>
          <t>Barangay 26</t>
        </is>
      </c>
    </row>
    <row r="17996" spans="1:1">
      <c r="A17996" t="inlineStr">
        <is>
          <t>Barangay 27</t>
        </is>
      </c>
    </row>
    <row r="17997" spans="1:1">
      <c r="A17997" t="inlineStr">
        <is>
          <t>Barangay 28</t>
        </is>
      </c>
    </row>
    <row r="17998" spans="1:1">
      <c r="A17998" t="inlineStr">
        <is>
          <t>Barangay 29</t>
        </is>
      </c>
    </row>
    <row r="17999" spans="1:1">
      <c r="A17999" t="inlineStr">
        <is>
          <t>Barangay 3</t>
        </is>
      </c>
    </row>
    <row r="18000" spans="1:1">
      <c r="A18000" t="inlineStr">
        <is>
          <t>Barangay 30</t>
        </is>
      </c>
    </row>
    <row r="18001" spans="1:1">
      <c r="A18001" t="inlineStr">
        <is>
          <t>Barangay 31</t>
        </is>
      </c>
    </row>
    <row r="18002" spans="1:1">
      <c r="A18002" t="inlineStr">
        <is>
          <t>Barangay 32</t>
        </is>
      </c>
    </row>
    <row r="18003" spans="1:1">
      <c r="A18003" t="inlineStr">
        <is>
          <t>Barangay 33</t>
        </is>
      </c>
    </row>
    <row r="18004" spans="1:1">
      <c r="A18004" t="inlineStr">
        <is>
          <t>Barangay 34</t>
        </is>
      </c>
    </row>
    <row r="18005" spans="1:1">
      <c r="A18005" t="inlineStr">
        <is>
          <t>Barangay 35</t>
        </is>
      </c>
    </row>
    <row r="18006" spans="1:1">
      <c r="A18006" t="inlineStr">
        <is>
          <t>Barangay 36</t>
        </is>
      </c>
    </row>
    <row r="18007" spans="1:1">
      <c r="A18007" t="inlineStr">
        <is>
          <t>Barangay 37</t>
        </is>
      </c>
    </row>
    <row r="18008" spans="1:1">
      <c r="A18008" t="inlineStr">
        <is>
          <t>Barangay 38</t>
        </is>
      </c>
    </row>
    <row r="18009" spans="1:1">
      <c r="A18009" t="inlineStr">
        <is>
          <t>Barangay 39</t>
        </is>
      </c>
    </row>
    <row r="18010" spans="1:1">
      <c r="A18010" t="inlineStr">
        <is>
          <t>Barangay 4</t>
        </is>
      </c>
    </row>
    <row r="18011" spans="1:1">
      <c r="A18011" t="inlineStr">
        <is>
          <t>Barangay 40</t>
        </is>
      </c>
    </row>
    <row r="18012" spans="1:1">
      <c r="A18012" t="inlineStr">
        <is>
          <t>Barangay 5</t>
        </is>
      </c>
    </row>
    <row r="18013" spans="1:1">
      <c r="A18013" t="inlineStr">
        <is>
          <t>Barangay 6</t>
        </is>
      </c>
    </row>
    <row r="18014" spans="1:1">
      <c r="A18014" t="inlineStr">
        <is>
          <t>Barangay 7</t>
        </is>
      </c>
    </row>
    <row r="18015" spans="1:1">
      <c r="A18015" t="inlineStr">
        <is>
          <t>Barangay 8</t>
        </is>
      </c>
    </row>
    <row r="18016" spans="1:1">
      <c r="A18016" t="inlineStr">
        <is>
          <t>Barangay 9</t>
        </is>
      </c>
    </row>
    <row r="18017" spans="1:1">
      <c r="A18017" t="inlineStr">
        <is>
          <t>Bayabas</t>
        </is>
      </c>
    </row>
    <row r="18018" spans="1:1">
      <c r="A18018" t="inlineStr">
        <is>
          <t>Bayanga</t>
        </is>
      </c>
    </row>
    <row r="18019" spans="1:1">
      <c r="A18019" t="inlineStr">
        <is>
          <t>Besigan</t>
        </is>
      </c>
    </row>
    <row r="18020" spans="1:1">
      <c r="A18020" t="inlineStr">
        <is>
          <t>Bonbon</t>
        </is>
      </c>
    </row>
    <row r="18021" spans="1:1">
      <c r="A18021" t="inlineStr">
        <is>
          <t>Bugo</t>
        </is>
      </c>
    </row>
    <row r="18022" spans="1:1">
      <c r="A18022" t="inlineStr">
        <is>
          <t>Bulua</t>
        </is>
      </c>
    </row>
    <row r="18023" spans="1:1">
      <c r="A18023" t="inlineStr">
        <is>
          <t>Camaman-an</t>
        </is>
      </c>
    </row>
    <row r="18024" spans="1:1">
      <c r="A18024" t="inlineStr">
        <is>
          <t>Canito-an</t>
        </is>
      </c>
    </row>
    <row r="18025" spans="1:1">
      <c r="A18025" t="inlineStr">
        <is>
          <t>Carmen</t>
        </is>
      </c>
    </row>
    <row r="18026" spans="1:1">
      <c r="A18026" t="inlineStr">
        <is>
          <t>Consolacion</t>
        </is>
      </c>
    </row>
    <row r="18027" spans="1:1">
      <c r="A18027" t="inlineStr">
        <is>
          <t>Cugman</t>
        </is>
      </c>
    </row>
    <row r="18028" spans="1:1">
      <c r="A18028" t="inlineStr">
        <is>
          <t>Dansolihon</t>
        </is>
      </c>
    </row>
    <row r="18029" spans="1:1">
      <c r="A18029" t="inlineStr">
        <is>
          <t>F. S. Catanico</t>
        </is>
      </c>
    </row>
    <row r="18030" spans="1:1">
      <c r="A18030" t="inlineStr">
        <is>
          <t>Gusa</t>
        </is>
      </c>
    </row>
    <row r="18031" spans="1:1">
      <c r="A18031" t="inlineStr">
        <is>
          <t>Indahag</t>
        </is>
      </c>
    </row>
    <row r="18032" spans="1:1">
      <c r="A18032" t="inlineStr">
        <is>
          <t>Iponan</t>
        </is>
      </c>
    </row>
    <row r="18033" spans="1:1">
      <c r="A18033" t="inlineStr">
        <is>
          <t>Kauswagan</t>
        </is>
      </c>
    </row>
    <row r="18034" spans="1:1">
      <c r="A18034" t="inlineStr">
        <is>
          <t>Lapasan</t>
        </is>
      </c>
    </row>
    <row r="18035" spans="1:1">
      <c r="A18035" t="inlineStr">
        <is>
          <t>Lumbia</t>
        </is>
      </c>
    </row>
    <row r="18036" spans="1:1">
      <c r="A18036" t="inlineStr">
        <is>
          <t>Macabalan</t>
        </is>
      </c>
    </row>
    <row r="18037" spans="1:1">
      <c r="A18037" t="inlineStr">
        <is>
          <t>Macasandig</t>
        </is>
      </c>
    </row>
    <row r="18038" spans="1:1">
      <c r="A18038" t="inlineStr">
        <is>
          <t>Mambuaya</t>
        </is>
      </c>
    </row>
    <row r="18039" spans="1:1">
      <c r="A18039" t="inlineStr">
        <is>
          <t>Nazareth</t>
        </is>
      </c>
    </row>
    <row r="18040" spans="1:1">
      <c r="A18040" t="inlineStr">
        <is>
          <t>Pagalungan</t>
        </is>
      </c>
    </row>
    <row r="18041" spans="1:1">
      <c r="A18041" t="inlineStr">
        <is>
          <t>Pagatpat</t>
        </is>
      </c>
    </row>
    <row r="18042" spans="1:1">
      <c r="A18042" t="inlineStr">
        <is>
          <t>Patag</t>
        </is>
      </c>
    </row>
    <row r="18043" spans="1:1">
      <c r="A18043" t="inlineStr">
        <is>
          <t>Pigsag-an</t>
        </is>
      </c>
    </row>
    <row r="18044" spans="1:1">
      <c r="A18044" t="inlineStr">
        <is>
          <t>Puerto</t>
        </is>
      </c>
    </row>
    <row r="18045" spans="1:1">
      <c r="A18045" t="inlineStr">
        <is>
          <t>Puntod</t>
        </is>
      </c>
    </row>
    <row r="18046" spans="1:1">
      <c r="A18046" t="inlineStr">
        <is>
          <t>San Simon</t>
        </is>
      </c>
    </row>
    <row r="18047" spans="1:1">
      <c r="A18047" t="inlineStr">
        <is>
          <t>Tablon</t>
        </is>
      </c>
    </row>
    <row r="18048" spans="1:1">
      <c r="A18048" t="inlineStr">
        <is>
          <t>Taglimao</t>
        </is>
      </c>
    </row>
    <row r="18049" spans="1:1">
      <c r="A18049" t="inlineStr">
        <is>
          <t>Tagpangi</t>
        </is>
      </c>
    </row>
    <row r="18050" spans="1:1">
      <c r="A18050" t="inlineStr">
        <is>
          <t>Tignapoloan</t>
        </is>
      </c>
    </row>
    <row r="18051" spans="1:1">
      <c r="A18051" t="inlineStr">
        <is>
          <t>Tuburan</t>
        </is>
      </c>
    </row>
    <row r="18052" spans="1:1">
      <c r="A18052" t="inlineStr">
        <is>
          <t>Tumpagon</t>
        </is>
      </c>
    </row>
    <row r="18053" spans="1:1">
      <c r="A18053" t="inlineStr">
        <is>
          <t>Abuno</t>
        </is>
      </c>
    </row>
    <row r="18054" spans="1:1">
      <c r="A18054" t="inlineStr">
        <is>
          <t>Acmac-Mariano Badelles Sr.</t>
        </is>
      </c>
    </row>
    <row r="18055" spans="1:1">
      <c r="A18055" t="inlineStr">
        <is>
          <t>Bagong Silang</t>
        </is>
      </c>
    </row>
    <row r="18056" spans="1:1">
      <c r="A18056" t="inlineStr">
        <is>
          <t>Bonbonon</t>
        </is>
      </c>
    </row>
    <row r="18057" spans="1:1">
      <c r="A18057" t="inlineStr">
        <is>
          <t>Bunawan</t>
        </is>
      </c>
    </row>
    <row r="18058" spans="1:1">
      <c r="A18058" t="inlineStr">
        <is>
          <t>Buru-un</t>
        </is>
      </c>
    </row>
    <row r="18059" spans="1:1">
      <c r="A18059" t="inlineStr">
        <is>
          <t>Dalipuga</t>
        </is>
      </c>
    </row>
    <row r="18060" spans="1:1">
      <c r="A18060" t="inlineStr">
        <is>
          <t>Del Carmen</t>
        </is>
      </c>
    </row>
    <row r="18061" spans="1:1">
      <c r="A18061" t="inlineStr">
        <is>
          <t>Digkilaan</t>
        </is>
      </c>
    </row>
    <row r="18062" spans="1:1">
      <c r="A18062" t="inlineStr">
        <is>
          <t>Ditucalan</t>
        </is>
      </c>
    </row>
    <row r="18063" spans="1:1">
      <c r="A18063" t="inlineStr">
        <is>
          <t>Dulag</t>
        </is>
      </c>
    </row>
    <row r="18064" spans="1:1">
      <c r="A18064" t="inlineStr">
        <is>
          <t>Hinaplanon</t>
        </is>
      </c>
    </row>
    <row r="18065" spans="1:1">
      <c r="A18065" t="inlineStr">
        <is>
          <t>Hindang</t>
        </is>
      </c>
    </row>
    <row r="18066" spans="1:1">
      <c r="A18066" t="inlineStr">
        <is>
          <t>Kabacsanan</t>
        </is>
      </c>
    </row>
    <row r="18067" spans="1:1">
      <c r="A18067" t="inlineStr">
        <is>
          <t>Kalilangan</t>
        </is>
      </c>
    </row>
    <row r="18068" spans="1:1">
      <c r="A18068" t="inlineStr">
        <is>
          <t>Kiwalan</t>
        </is>
      </c>
    </row>
    <row r="18069" spans="1:1">
      <c r="A18069" t="inlineStr">
        <is>
          <t>Lanipao</t>
        </is>
      </c>
    </row>
    <row r="18070" spans="1:1">
      <c r="A18070" t="inlineStr">
        <is>
          <t>Luinab</t>
        </is>
      </c>
    </row>
    <row r="18071" spans="1:1">
      <c r="A18071" t="inlineStr">
        <is>
          <t>Mahayahay</t>
        </is>
      </c>
    </row>
    <row r="18072" spans="1:1">
      <c r="A18072" t="inlineStr">
        <is>
          <t>Mainit</t>
        </is>
      </c>
    </row>
    <row r="18073" spans="1:1">
      <c r="A18073" t="inlineStr">
        <is>
          <t>Mandulog</t>
        </is>
      </c>
    </row>
    <row r="18074" spans="1:1">
      <c r="A18074" t="inlineStr">
        <is>
          <t>Maria Cristina</t>
        </is>
      </c>
    </row>
    <row r="18075" spans="1:1">
      <c r="A18075" t="inlineStr">
        <is>
          <t>Palao</t>
        </is>
      </c>
    </row>
    <row r="18076" spans="1:1">
      <c r="A18076" t="inlineStr">
        <is>
          <t>Panoroganan</t>
        </is>
      </c>
    </row>
    <row r="18077" spans="1:1">
      <c r="A18077" t="inlineStr">
        <is>
          <t>Poblacion</t>
        </is>
      </c>
    </row>
    <row r="18078" spans="1:1">
      <c r="A18078" t="inlineStr">
        <is>
          <t>Puga-an</t>
        </is>
      </c>
    </row>
    <row r="18079" spans="1:1">
      <c r="A18079" t="inlineStr">
        <is>
          <t>Rogongon</t>
        </is>
      </c>
    </row>
    <row r="18080" spans="1:1">
      <c r="A18080" t="inlineStr">
        <is>
          <t>San Miguel</t>
        </is>
      </c>
    </row>
    <row r="18081" spans="1:1">
      <c r="A18081" t="inlineStr">
        <is>
          <t>San Roque</t>
        </is>
      </c>
    </row>
    <row r="18082" spans="1:1">
      <c r="A18082" t="inlineStr">
        <is>
          <t>Santa Elena</t>
        </is>
      </c>
    </row>
    <row r="18083" spans="1:1">
      <c r="A18083" t="inlineStr">
        <is>
          <t>Santa Filomena</t>
        </is>
      </c>
    </row>
    <row r="18084" spans="1:1">
      <c r="A18084" t="inlineStr">
        <is>
          <t>Santiago</t>
        </is>
      </c>
    </row>
    <row r="18085" spans="1:1">
      <c r="A18085" t="inlineStr">
        <is>
          <t>Santo Rosario</t>
        </is>
      </c>
    </row>
    <row r="18086" spans="1:1">
      <c r="A18086" t="inlineStr">
        <is>
          <t>Saray</t>
        </is>
      </c>
    </row>
    <row r="18087" spans="1:1">
      <c r="A18087" t="inlineStr">
        <is>
          <t>Suarez</t>
        </is>
      </c>
    </row>
    <row r="18088" spans="1:1">
      <c r="A18088" t="inlineStr">
        <is>
          <t>Tambacan</t>
        </is>
      </c>
    </row>
    <row r="18089" spans="1:1">
      <c r="A18089" t="inlineStr">
        <is>
          <t>Tibanga</t>
        </is>
      </c>
    </row>
    <row r="18090" spans="1:1">
      <c r="A18090" t="inlineStr">
        <is>
          <t>Tipanoy</t>
        </is>
      </c>
    </row>
    <row r="18091" spans="1:1">
      <c r="A18091" t="inlineStr">
        <is>
          <t>Tomas L. Cabili</t>
        </is>
      </c>
    </row>
    <row r="18092" spans="1:1">
      <c r="A18092" t="inlineStr">
        <is>
          <t>Tubod</t>
        </is>
      </c>
    </row>
    <row r="18093" spans="1:1">
      <c r="A18093" t="inlineStr">
        <is>
          <t>Ubaldo Laya</t>
        </is>
      </c>
    </row>
    <row r="18094" spans="1:1">
      <c r="A18094" t="inlineStr">
        <is>
          <t>Upper Hinaplanon</t>
        </is>
      </c>
    </row>
    <row r="18095" spans="1:1">
      <c r="A18095" t="inlineStr">
        <is>
          <t>Upper Tominobo</t>
        </is>
      </c>
    </row>
    <row r="18096" spans="1:1">
      <c r="A18096" t="inlineStr">
        <is>
          <t>Villa Verde</t>
        </is>
      </c>
    </row>
    <row r="18097" spans="1:1">
      <c r="A18097" t="inlineStr">
        <is>
          <t>Acacia</t>
        </is>
      </c>
    </row>
    <row r="18098" spans="1:1">
      <c r="A18098" t="inlineStr">
        <is>
          <t>Agdao</t>
        </is>
      </c>
    </row>
    <row r="18099" spans="1:1">
      <c r="A18099" t="inlineStr">
        <is>
          <t>Alambre</t>
        </is>
      </c>
    </row>
    <row r="18100" spans="1:1">
      <c r="A18100" t="inlineStr">
        <is>
          <t>Alejandra Navarro</t>
        </is>
      </c>
    </row>
    <row r="18101" spans="1:1">
      <c r="A18101" t="inlineStr">
        <is>
          <t>Alfonso Angliongto Sr.</t>
        </is>
      </c>
    </row>
    <row r="18102" spans="1:1">
      <c r="A18102" t="inlineStr">
        <is>
          <t>Angalan</t>
        </is>
      </c>
    </row>
    <row r="18103" spans="1:1">
      <c r="A18103" t="inlineStr">
        <is>
          <t>Atan-Awe</t>
        </is>
      </c>
    </row>
    <row r="18104" spans="1:1">
      <c r="A18104" t="inlineStr">
        <is>
          <t>Baganihan</t>
        </is>
      </c>
    </row>
    <row r="18105" spans="1:1">
      <c r="A18105" t="inlineStr">
        <is>
          <t>Bago Aplaya</t>
        </is>
      </c>
    </row>
    <row r="18106" spans="1:1">
      <c r="A18106" t="inlineStr">
        <is>
          <t>Bago Gallera</t>
        </is>
      </c>
    </row>
    <row r="18107" spans="1:1">
      <c r="A18107" t="inlineStr">
        <is>
          <t>Bago Oshiro</t>
        </is>
      </c>
    </row>
    <row r="18108" spans="1:1">
      <c r="A18108" t="inlineStr">
        <is>
          <t>Baguio</t>
        </is>
      </c>
    </row>
    <row r="18109" spans="1:1">
      <c r="A18109" t="inlineStr">
        <is>
          <t>Balengaeng</t>
        </is>
      </c>
    </row>
    <row r="18110" spans="1:1">
      <c r="A18110" t="inlineStr">
        <is>
          <t>Baliok</t>
        </is>
      </c>
    </row>
    <row r="18111" spans="1:1">
      <c r="A18111" t="inlineStr">
        <is>
          <t>Bangkas Heights</t>
        </is>
      </c>
    </row>
    <row r="18112" spans="1:1">
      <c r="A18112" t="inlineStr">
        <is>
          <t>Bantol</t>
        </is>
      </c>
    </row>
    <row r="18113" spans="1:1">
      <c r="A18113" t="inlineStr">
        <is>
          <t>Baracatan</t>
        </is>
      </c>
    </row>
    <row r="18114" spans="1:1">
      <c r="A18114" t="inlineStr">
        <is>
          <t>Barangay 1-A</t>
        </is>
      </c>
    </row>
    <row r="18115" spans="1:1">
      <c r="A18115" t="inlineStr">
        <is>
          <t>Barangay 10-A</t>
        </is>
      </c>
    </row>
    <row r="18116" spans="1:1">
      <c r="A18116" t="inlineStr">
        <is>
          <t>Barangay 11-B</t>
        </is>
      </c>
    </row>
    <row r="18117" spans="1:1">
      <c r="A18117" t="inlineStr">
        <is>
          <t>Barangay 12-B</t>
        </is>
      </c>
    </row>
    <row r="18118" spans="1:1">
      <c r="A18118" t="inlineStr">
        <is>
          <t>Barangay 13-B</t>
        </is>
      </c>
    </row>
    <row r="18119" spans="1:1">
      <c r="A18119" t="inlineStr">
        <is>
          <t>Barangay 14-B</t>
        </is>
      </c>
    </row>
    <row r="18120" spans="1:1">
      <c r="A18120" t="inlineStr">
        <is>
          <t>Barangay 15-B</t>
        </is>
      </c>
    </row>
    <row r="18121" spans="1:1">
      <c r="A18121" t="inlineStr">
        <is>
          <t>Barangay 16-B</t>
        </is>
      </c>
    </row>
    <row r="18122" spans="1:1">
      <c r="A18122" t="inlineStr">
        <is>
          <t>Barangay 17-B</t>
        </is>
      </c>
    </row>
    <row r="18123" spans="1:1">
      <c r="A18123" t="inlineStr">
        <is>
          <t>Barangay 18-B</t>
        </is>
      </c>
    </row>
    <row r="18124" spans="1:1">
      <c r="A18124" t="inlineStr">
        <is>
          <t>Barangay 19-B</t>
        </is>
      </c>
    </row>
    <row r="18125" spans="1:1">
      <c r="A18125" t="inlineStr">
        <is>
          <t>Barangay 2-A</t>
        </is>
      </c>
    </row>
    <row r="18126" spans="1:1">
      <c r="A18126" t="inlineStr">
        <is>
          <t>Barangay 20-B</t>
        </is>
      </c>
    </row>
    <row r="18127" spans="1:1">
      <c r="A18127" t="inlineStr">
        <is>
          <t>Barangay 21-C</t>
        </is>
      </c>
    </row>
    <row r="18128" spans="1:1">
      <c r="A18128" t="inlineStr">
        <is>
          <t>Barangay 22-C</t>
        </is>
      </c>
    </row>
    <row r="18129" spans="1:1">
      <c r="A18129" t="inlineStr">
        <is>
          <t>Barangay 23-C</t>
        </is>
      </c>
    </row>
    <row r="18130" spans="1:1">
      <c r="A18130" t="inlineStr">
        <is>
          <t>Barangay 24-C</t>
        </is>
      </c>
    </row>
    <row r="18131" spans="1:1">
      <c r="A18131" t="inlineStr">
        <is>
          <t>Barangay 25-C</t>
        </is>
      </c>
    </row>
    <row r="18132" spans="1:1">
      <c r="A18132" t="inlineStr">
        <is>
          <t>Barangay 26-C</t>
        </is>
      </c>
    </row>
    <row r="18133" spans="1:1">
      <c r="A18133" t="inlineStr">
        <is>
          <t>Barangay 27-C</t>
        </is>
      </c>
    </row>
    <row r="18134" spans="1:1">
      <c r="A18134" t="inlineStr">
        <is>
          <t>Barangay 28-C</t>
        </is>
      </c>
    </row>
    <row r="18135" spans="1:1">
      <c r="A18135" t="inlineStr">
        <is>
          <t>Barangay 29-C</t>
        </is>
      </c>
    </row>
    <row r="18136" spans="1:1">
      <c r="A18136" t="inlineStr">
        <is>
          <t>Barangay 3-A</t>
        </is>
      </c>
    </row>
    <row r="18137" spans="1:1">
      <c r="A18137" t="inlineStr">
        <is>
          <t>Barangay 30-C</t>
        </is>
      </c>
    </row>
    <row r="18138" spans="1:1">
      <c r="A18138" t="inlineStr">
        <is>
          <t>Barangay 31-D</t>
        </is>
      </c>
    </row>
    <row r="18139" spans="1:1">
      <c r="A18139" t="inlineStr">
        <is>
          <t>Barangay 32-D</t>
        </is>
      </c>
    </row>
    <row r="18140" spans="1:1">
      <c r="A18140" t="inlineStr">
        <is>
          <t>Barangay 33-D</t>
        </is>
      </c>
    </row>
    <row r="18141" spans="1:1">
      <c r="A18141" t="inlineStr">
        <is>
          <t>Barangay 34-D</t>
        </is>
      </c>
    </row>
    <row r="18142" spans="1:1">
      <c r="A18142" t="inlineStr">
        <is>
          <t>Barangay 35-D</t>
        </is>
      </c>
    </row>
    <row r="18143" spans="1:1">
      <c r="A18143" t="inlineStr">
        <is>
          <t>Barangay 36-D</t>
        </is>
      </c>
    </row>
    <row r="18144" spans="1:1">
      <c r="A18144" t="inlineStr">
        <is>
          <t>Barangay 37-D</t>
        </is>
      </c>
    </row>
    <row r="18145" spans="1:1">
      <c r="A18145" t="inlineStr">
        <is>
          <t>Barangay 38-D</t>
        </is>
      </c>
    </row>
    <row r="18146" spans="1:1">
      <c r="A18146" t="inlineStr">
        <is>
          <t>Barangay 39-D</t>
        </is>
      </c>
    </row>
    <row r="18147" spans="1:1">
      <c r="A18147" t="inlineStr">
        <is>
          <t>Barangay 4-A</t>
        </is>
      </c>
    </row>
    <row r="18148" spans="1:1">
      <c r="A18148" t="inlineStr">
        <is>
          <t>Barangay 40-D</t>
        </is>
      </c>
    </row>
    <row r="18149" spans="1:1">
      <c r="A18149" t="inlineStr">
        <is>
          <t>Barangay 5-A</t>
        </is>
      </c>
    </row>
    <row r="18150" spans="1:1">
      <c r="A18150" t="inlineStr">
        <is>
          <t>Barangay 6-A</t>
        </is>
      </c>
    </row>
    <row r="18151" spans="1:1">
      <c r="A18151" t="inlineStr">
        <is>
          <t>Barangay 7-A</t>
        </is>
      </c>
    </row>
    <row r="18152" spans="1:1">
      <c r="A18152" t="inlineStr">
        <is>
          <t>Barangay 8-A</t>
        </is>
      </c>
    </row>
    <row r="18153" spans="1:1">
      <c r="A18153" t="inlineStr">
        <is>
          <t>Barangay 9-A</t>
        </is>
      </c>
    </row>
    <row r="18154" spans="1:1">
      <c r="A18154" t="inlineStr">
        <is>
          <t>Bato</t>
        </is>
      </c>
    </row>
    <row r="18155" spans="1:1">
      <c r="A18155" t="inlineStr">
        <is>
          <t>Bayabas</t>
        </is>
      </c>
    </row>
    <row r="18156" spans="1:1">
      <c r="A18156" t="inlineStr">
        <is>
          <t>Biao Escuela</t>
        </is>
      </c>
    </row>
    <row r="18157" spans="1:1">
      <c r="A18157" t="inlineStr">
        <is>
          <t>Biao Guianga</t>
        </is>
      </c>
    </row>
    <row r="18158" spans="1:1">
      <c r="A18158" t="inlineStr">
        <is>
          <t>Biao Joaquin</t>
        </is>
      </c>
    </row>
    <row r="18159" spans="1:1">
      <c r="A18159" t="inlineStr">
        <is>
          <t>Binugao</t>
        </is>
      </c>
    </row>
    <row r="18160" spans="1:1">
      <c r="A18160" t="inlineStr">
        <is>
          <t>Bucana</t>
        </is>
      </c>
    </row>
    <row r="18161" spans="1:1">
      <c r="A18161" t="inlineStr">
        <is>
          <t>Buda</t>
        </is>
      </c>
    </row>
    <row r="18162" spans="1:1">
      <c r="A18162" t="inlineStr">
        <is>
          <t>Buhangin</t>
        </is>
      </c>
    </row>
    <row r="18163" spans="1:1">
      <c r="A18163" t="inlineStr">
        <is>
          <t>Bunawan</t>
        </is>
      </c>
    </row>
    <row r="18164" spans="1:1">
      <c r="A18164" t="inlineStr">
        <is>
          <t>Cabantian</t>
        </is>
      </c>
    </row>
    <row r="18165" spans="1:1">
      <c r="A18165" t="inlineStr">
        <is>
          <t>Cadalian</t>
        </is>
      </c>
    </row>
    <row r="18166" spans="1:1">
      <c r="A18166" t="inlineStr">
        <is>
          <t>Calinan</t>
        </is>
      </c>
    </row>
    <row r="18167" spans="1:1">
      <c r="A18167" t="inlineStr">
        <is>
          <t>Callawa</t>
        </is>
      </c>
    </row>
    <row r="18168" spans="1:1">
      <c r="A18168" t="inlineStr">
        <is>
          <t>Camansi</t>
        </is>
      </c>
    </row>
    <row r="18169" spans="1:1">
      <c r="A18169" t="inlineStr">
        <is>
          <t>Carmen</t>
        </is>
      </c>
    </row>
    <row r="18170" spans="1:1">
      <c r="A18170" t="inlineStr">
        <is>
          <t>Catalunan Grande</t>
        </is>
      </c>
    </row>
    <row r="18171" spans="1:1">
      <c r="A18171" t="inlineStr">
        <is>
          <t>Catalunan Pequeño</t>
        </is>
      </c>
    </row>
    <row r="18172" spans="1:1">
      <c r="A18172" t="inlineStr">
        <is>
          <t>Catigan</t>
        </is>
      </c>
    </row>
    <row r="18173" spans="1:1">
      <c r="A18173" t="inlineStr">
        <is>
          <t>Cawayan</t>
        </is>
      </c>
    </row>
    <row r="18174" spans="1:1">
      <c r="A18174" t="inlineStr">
        <is>
          <t>Centro</t>
        </is>
      </c>
    </row>
    <row r="18175" spans="1:1">
      <c r="A18175" t="inlineStr">
        <is>
          <t>Colosas</t>
        </is>
      </c>
    </row>
    <row r="18176" spans="1:1">
      <c r="A18176" t="inlineStr">
        <is>
          <t>Communal</t>
        </is>
      </c>
    </row>
    <row r="18177" spans="1:1">
      <c r="A18177" t="inlineStr">
        <is>
          <t>Crossing Bayabas</t>
        </is>
      </c>
    </row>
    <row r="18178" spans="1:1">
      <c r="A18178" t="inlineStr">
        <is>
          <t>Dacudao</t>
        </is>
      </c>
    </row>
    <row r="18179" spans="1:1">
      <c r="A18179" t="inlineStr">
        <is>
          <t>Dalag</t>
        </is>
      </c>
    </row>
    <row r="18180" spans="1:1">
      <c r="A18180" t="inlineStr">
        <is>
          <t>Dalagdag</t>
        </is>
      </c>
    </row>
    <row r="18181" spans="1:1">
      <c r="A18181" t="inlineStr">
        <is>
          <t>Daliao</t>
        </is>
      </c>
    </row>
    <row r="18182" spans="1:1">
      <c r="A18182" t="inlineStr">
        <is>
          <t>Daliaon Plantation</t>
        </is>
      </c>
    </row>
    <row r="18183" spans="1:1">
      <c r="A18183" t="inlineStr">
        <is>
          <t>Datu Salumay</t>
        </is>
      </c>
    </row>
    <row r="18184" spans="1:1">
      <c r="A18184" t="inlineStr">
        <is>
          <t>Dominga</t>
        </is>
      </c>
    </row>
    <row r="18185" spans="1:1">
      <c r="A18185" t="inlineStr">
        <is>
          <t>Dumoy</t>
        </is>
      </c>
    </row>
    <row r="18186" spans="1:1">
      <c r="A18186" t="inlineStr">
        <is>
          <t>Eden</t>
        </is>
      </c>
    </row>
    <row r="18187" spans="1:1">
      <c r="A18187" t="inlineStr">
        <is>
          <t>Fatima</t>
        </is>
      </c>
    </row>
    <row r="18188" spans="1:1">
      <c r="A18188" t="inlineStr">
        <is>
          <t>Gatungan</t>
        </is>
      </c>
    </row>
    <row r="18189" spans="1:1">
      <c r="A18189" t="inlineStr">
        <is>
          <t>Gov. Paciano Bangoy</t>
        </is>
      </c>
    </row>
    <row r="18190" spans="1:1">
      <c r="A18190" t="inlineStr">
        <is>
          <t>Gov. Vicente Duterte</t>
        </is>
      </c>
    </row>
    <row r="18191" spans="1:1">
      <c r="A18191" t="inlineStr">
        <is>
          <t>Gumalang</t>
        </is>
      </c>
    </row>
    <row r="18192" spans="1:1">
      <c r="A18192" t="inlineStr">
        <is>
          <t>Gumitan</t>
        </is>
      </c>
    </row>
    <row r="18193" spans="1:1">
      <c r="A18193" t="inlineStr">
        <is>
          <t>Ilang</t>
        </is>
      </c>
    </row>
    <row r="18194" spans="1:1">
      <c r="A18194" t="inlineStr">
        <is>
          <t>Inayangan</t>
        </is>
      </c>
    </row>
    <row r="18195" spans="1:1">
      <c r="A18195" t="inlineStr">
        <is>
          <t>Indangan</t>
        </is>
      </c>
    </row>
    <row r="18196" spans="1:1">
      <c r="A18196" t="inlineStr">
        <is>
          <t>Kap. Tomas Monteverde, Sr.</t>
        </is>
      </c>
    </row>
    <row r="18197" spans="1:1">
      <c r="A18197" t="inlineStr">
        <is>
          <t>Kilate</t>
        </is>
      </c>
    </row>
    <row r="18198" spans="1:1">
      <c r="A18198" t="inlineStr">
        <is>
          <t>Lacson</t>
        </is>
      </c>
    </row>
    <row r="18199" spans="1:1">
      <c r="A18199" t="inlineStr">
        <is>
          <t>Lamanan</t>
        </is>
      </c>
    </row>
    <row r="18200" spans="1:1">
      <c r="A18200" t="inlineStr">
        <is>
          <t>Lampianao</t>
        </is>
      </c>
    </row>
    <row r="18201" spans="1:1">
      <c r="A18201" t="inlineStr">
        <is>
          <t>Langub</t>
        </is>
      </c>
    </row>
    <row r="18202" spans="1:1">
      <c r="A18202" t="inlineStr">
        <is>
          <t>Lapu-lapu</t>
        </is>
      </c>
    </row>
    <row r="18203" spans="1:1">
      <c r="A18203" t="inlineStr">
        <is>
          <t>Leon Garcia, Sr.</t>
        </is>
      </c>
    </row>
    <row r="18204" spans="1:1">
      <c r="A18204" t="inlineStr">
        <is>
          <t>Lizada</t>
        </is>
      </c>
    </row>
    <row r="18205" spans="1:1">
      <c r="A18205" t="inlineStr">
        <is>
          <t>Los Amigos</t>
        </is>
      </c>
    </row>
    <row r="18206" spans="1:1">
      <c r="A18206" t="inlineStr">
        <is>
          <t>Lubogan</t>
        </is>
      </c>
    </row>
    <row r="18207" spans="1:1">
      <c r="A18207" t="inlineStr">
        <is>
          <t>Lumiad</t>
        </is>
      </c>
    </row>
    <row r="18208" spans="1:1">
      <c r="A18208" t="inlineStr">
        <is>
          <t>Ma-a</t>
        </is>
      </c>
    </row>
    <row r="18209" spans="1:1">
      <c r="A18209" t="inlineStr">
        <is>
          <t>Mabuhay</t>
        </is>
      </c>
    </row>
    <row r="18210" spans="1:1">
      <c r="A18210" t="inlineStr">
        <is>
          <t>Magsaysay</t>
        </is>
      </c>
    </row>
    <row r="18211" spans="1:1">
      <c r="A18211" t="inlineStr">
        <is>
          <t>Magtuod</t>
        </is>
      </c>
    </row>
    <row r="18212" spans="1:1">
      <c r="A18212" t="inlineStr">
        <is>
          <t>Mahayag</t>
        </is>
      </c>
    </row>
    <row r="18213" spans="1:1">
      <c r="A18213" t="inlineStr">
        <is>
          <t>Malabog</t>
        </is>
      </c>
    </row>
    <row r="18214" spans="1:1">
      <c r="A18214" t="inlineStr">
        <is>
          <t>Malagos</t>
        </is>
      </c>
    </row>
    <row r="18215" spans="1:1">
      <c r="A18215" t="inlineStr">
        <is>
          <t>Malamba</t>
        </is>
      </c>
    </row>
    <row r="18216" spans="1:1">
      <c r="A18216" t="inlineStr">
        <is>
          <t>Manambulan</t>
        </is>
      </c>
    </row>
    <row r="18217" spans="1:1">
      <c r="A18217" t="inlineStr">
        <is>
          <t>Mandug</t>
        </is>
      </c>
    </row>
    <row r="18218" spans="1:1">
      <c r="A18218" t="inlineStr">
        <is>
          <t>Manuel Guianga</t>
        </is>
      </c>
    </row>
    <row r="18219" spans="1:1">
      <c r="A18219" t="inlineStr">
        <is>
          <t>Mapula</t>
        </is>
      </c>
    </row>
    <row r="18220" spans="1:1">
      <c r="A18220" t="inlineStr">
        <is>
          <t>Marapangi</t>
        </is>
      </c>
    </row>
    <row r="18221" spans="1:1">
      <c r="A18221" t="inlineStr">
        <is>
          <t>Marilog</t>
        </is>
      </c>
    </row>
    <row r="18222" spans="1:1">
      <c r="A18222" t="inlineStr">
        <is>
          <t>Matina Aplaya</t>
        </is>
      </c>
    </row>
    <row r="18223" spans="1:1">
      <c r="A18223" t="inlineStr">
        <is>
          <t>Matina Biao</t>
        </is>
      </c>
    </row>
    <row r="18224" spans="1:1">
      <c r="A18224" t="inlineStr">
        <is>
          <t>Matina Crossing</t>
        </is>
      </c>
    </row>
    <row r="18225" spans="1:1">
      <c r="A18225" t="inlineStr">
        <is>
          <t>Matina Pangi</t>
        </is>
      </c>
    </row>
    <row r="18226" spans="1:1">
      <c r="A18226" t="inlineStr">
        <is>
          <t>Megkawayan</t>
        </is>
      </c>
    </row>
    <row r="18227" spans="1:1">
      <c r="A18227" t="inlineStr">
        <is>
          <t>Mintal</t>
        </is>
      </c>
    </row>
    <row r="18228" spans="1:1">
      <c r="A18228" t="inlineStr">
        <is>
          <t>Mudiang</t>
        </is>
      </c>
    </row>
    <row r="18229" spans="1:1">
      <c r="A18229" t="inlineStr">
        <is>
          <t>Mulig</t>
        </is>
      </c>
    </row>
    <row r="18230" spans="1:1">
      <c r="A18230" t="inlineStr">
        <is>
          <t>New Carmen</t>
        </is>
      </c>
    </row>
    <row r="18231" spans="1:1">
      <c r="A18231" t="inlineStr">
        <is>
          <t>New Valencia</t>
        </is>
      </c>
    </row>
    <row r="18232" spans="1:1">
      <c r="A18232" t="inlineStr">
        <is>
          <t>Pampanga</t>
        </is>
      </c>
    </row>
    <row r="18233" spans="1:1">
      <c r="A18233" t="inlineStr">
        <is>
          <t>Panacan</t>
        </is>
      </c>
    </row>
    <row r="18234" spans="1:1">
      <c r="A18234" t="inlineStr">
        <is>
          <t>Panalum</t>
        </is>
      </c>
    </row>
    <row r="18235" spans="1:1">
      <c r="A18235" t="inlineStr">
        <is>
          <t>Pandaitan</t>
        </is>
      </c>
    </row>
    <row r="18236" spans="1:1">
      <c r="A18236" t="inlineStr">
        <is>
          <t>Pangyan</t>
        </is>
      </c>
    </row>
    <row r="18237" spans="1:1">
      <c r="A18237" t="inlineStr">
        <is>
          <t>Paquibato</t>
        </is>
      </c>
    </row>
    <row r="18238" spans="1:1">
      <c r="A18238" t="inlineStr">
        <is>
          <t>Paradise Embak</t>
        </is>
      </c>
    </row>
    <row r="18239" spans="1:1">
      <c r="A18239" t="inlineStr">
        <is>
          <t>Rafael Castillo</t>
        </is>
      </c>
    </row>
    <row r="18240" spans="1:1">
      <c r="A18240" t="inlineStr">
        <is>
          <t>Riverside</t>
        </is>
      </c>
    </row>
    <row r="18241" spans="1:1">
      <c r="A18241" t="inlineStr">
        <is>
          <t>Salapawan</t>
        </is>
      </c>
    </row>
    <row r="18242" spans="1:1">
      <c r="A18242" t="inlineStr">
        <is>
          <t>Salaysay</t>
        </is>
      </c>
    </row>
    <row r="18243" spans="1:1">
      <c r="A18243" t="inlineStr">
        <is>
          <t>Saloy</t>
        </is>
      </c>
    </row>
    <row r="18244" spans="1:1">
      <c r="A18244" t="inlineStr">
        <is>
          <t>San Antonio</t>
        </is>
      </c>
    </row>
    <row r="18245" spans="1:1">
      <c r="A18245" t="inlineStr">
        <is>
          <t>San Isidro</t>
        </is>
      </c>
    </row>
    <row r="18246" spans="1:1">
      <c r="A18246" t="inlineStr">
        <is>
          <t>Santo Niño</t>
        </is>
      </c>
    </row>
    <row r="18247" spans="1:1">
      <c r="A18247" t="inlineStr">
        <is>
          <t>Sasa</t>
        </is>
      </c>
    </row>
    <row r="18248" spans="1:1">
      <c r="A18248" t="inlineStr">
        <is>
          <t>Sibulan</t>
        </is>
      </c>
    </row>
    <row r="18249" spans="1:1">
      <c r="A18249" t="inlineStr">
        <is>
          <t>Sirawan</t>
        </is>
      </c>
    </row>
    <row r="18250" spans="1:1">
      <c r="A18250" t="inlineStr">
        <is>
          <t>Sirib</t>
        </is>
      </c>
    </row>
    <row r="18251" spans="1:1">
      <c r="A18251" t="inlineStr">
        <is>
          <t>Suawan</t>
        </is>
      </c>
    </row>
    <row r="18252" spans="1:1">
      <c r="A18252" t="inlineStr">
        <is>
          <t>Subasta</t>
        </is>
      </c>
    </row>
    <row r="18253" spans="1:1">
      <c r="A18253" t="inlineStr">
        <is>
          <t>Sumimao</t>
        </is>
      </c>
    </row>
    <row r="18254" spans="1:1">
      <c r="A18254" t="inlineStr">
        <is>
          <t>Tacunan</t>
        </is>
      </c>
    </row>
    <row r="18255" spans="1:1">
      <c r="A18255" t="inlineStr">
        <is>
          <t>Tagakpan</t>
        </is>
      </c>
    </row>
    <row r="18256" spans="1:1">
      <c r="A18256" t="inlineStr">
        <is>
          <t>Tagluno</t>
        </is>
      </c>
    </row>
    <row r="18257" spans="1:1">
      <c r="A18257" t="inlineStr">
        <is>
          <t>Tagurano</t>
        </is>
      </c>
    </row>
    <row r="18258" spans="1:1">
      <c r="A18258" t="inlineStr">
        <is>
          <t>Talandang</t>
        </is>
      </c>
    </row>
    <row r="18259" spans="1:1">
      <c r="A18259" t="inlineStr">
        <is>
          <t>Talomo</t>
        </is>
      </c>
    </row>
    <row r="18260" spans="1:1">
      <c r="A18260" t="inlineStr">
        <is>
          <t>Talomo River</t>
        </is>
      </c>
    </row>
    <row r="18261" spans="1:1">
      <c r="A18261" t="inlineStr">
        <is>
          <t>Tamayong</t>
        </is>
      </c>
    </row>
    <row r="18262" spans="1:1">
      <c r="A18262" t="inlineStr">
        <is>
          <t>Tambobong</t>
        </is>
      </c>
    </row>
    <row r="18263" spans="1:1">
      <c r="A18263" t="inlineStr">
        <is>
          <t>Tamugan</t>
        </is>
      </c>
    </row>
    <row r="18264" spans="1:1">
      <c r="A18264" t="inlineStr">
        <is>
          <t>Tapak</t>
        </is>
      </c>
    </row>
    <row r="18265" spans="1:1">
      <c r="A18265" t="inlineStr">
        <is>
          <t>Tawan-tawan</t>
        </is>
      </c>
    </row>
    <row r="18266" spans="1:1">
      <c r="A18266" t="inlineStr">
        <is>
          <t>Tibuloy</t>
        </is>
      </c>
    </row>
    <row r="18267" spans="1:1">
      <c r="A18267" t="inlineStr">
        <is>
          <t>Tibungco</t>
        </is>
      </c>
    </row>
    <row r="18268" spans="1:1">
      <c r="A18268" t="inlineStr">
        <is>
          <t>Tigatto</t>
        </is>
      </c>
    </row>
    <row r="18269" spans="1:1">
      <c r="A18269" t="inlineStr">
        <is>
          <t>Toril</t>
        </is>
      </c>
    </row>
    <row r="18270" spans="1:1">
      <c r="A18270" t="inlineStr">
        <is>
          <t>Tugbok</t>
        </is>
      </c>
    </row>
    <row r="18271" spans="1:1">
      <c r="A18271" t="inlineStr">
        <is>
          <t>Tungakalan</t>
        </is>
      </c>
    </row>
    <row r="18272" spans="1:1">
      <c r="A18272" t="inlineStr">
        <is>
          <t>Ubalde</t>
        </is>
      </c>
    </row>
    <row r="18273" spans="1:1">
      <c r="A18273" t="inlineStr">
        <is>
          <t>Ula</t>
        </is>
      </c>
    </row>
    <row r="18274" spans="1:1">
      <c r="A18274" t="inlineStr">
        <is>
          <t>Vicente Hizon Sr.</t>
        </is>
      </c>
    </row>
    <row r="18275" spans="1:1">
      <c r="A18275" t="inlineStr">
        <is>
          <t>Waan</t>
        </is>
      </c>
    </row>
    <row r="18276" spans="1:1">
      <c r="A18276" t="inlineStr">
        <is>
          <t>Wangan</t>
        </is>
      </c>
    </row>
    <row r="18277" spans="1:1">
      <c r="A18277" t="inlineStr">
        <is>
          <t>Wilfredo Aquino</t>
        </is>
      </c>
    </row>
    <row r="18278" spans="1:1">
      <c r="A18278" t="inlineStr">
        <is>
          <t>Wines</t>
        </is>
      </c>
    </row>
    <row r="18279" spans="1:1">
      <c r="A18279" t="inlineStr">
        <is>
          <t>Apopong</t>
        </is>
      </c>
    </row>
    <row r="18280" spans="1:1">
      <c r="A18280" t="inlineStr">
        <is>
          <t>Baluan</t>
        </is>
      </c>
    </row>
    <row r="18281" spans="1:1">
      <c r="A18281" t="inlineStr">
        <is>
          <t>Batomelong</t>
        </is>
      </c>
    </row>
    <row r="18282" spans="1:1">
      <c r="A18282" t="inlineStr">
        <is>
          <t>Buayan</t>
        </is>
      </c>
    </row>
    <row r="18283" spans="1:1">
      <c r="A18283" t="inlineStr">
        <is>
          <t>Bula</t>
        </is>
      </c>
    </row>
    <row r="18284" spans="1:1">
      <c r="A18284" t="inlineStr">
        <is>
          <t>Calumpang</t>
        </is>
      </c>
    </row>
    <row r="18285" spans="1:1">
      <c r="A18285" t="inlineStr">
        <is>
          <t>City Heights</t>
        </is>
      </c>
    </row>
    <row r="18286" spans="1:1">
      <c r="A18286" t="inlineStr">
        <is>
          <t>Conel</t>
        </is>
      </c>
    </row>
    <row r="18287" spans="1:1">
      <c r="A18287" t="inlineStr">
        <is>
          <t>Dadiangas East</t>
        </is>
      </c>
    </row>
    <row r="18288" spans="1:1">
      <c r="A18288" t="inlineStr">
        <is>
          <t>Dadiangas North</t>
        </is>
      </c>
    </row>
    <row r="18289" spans="1:1">
      <c r="A18289" t="inlineStr">
        <is>
          <t>Dadiangas South</t>
        </is>
      </c>
    </row>
    <row r="18290" spans="1:1">
      <c r="A18290" t="inlineStr">
        <is>
          <t>Dadiangas West</t>
        </is>
      </c>
    </row>
    <row r="18291" spans="1:1">
      <c r="A18291" t="inlineStr">
        <is>
          <t>Fatima</t>
        </is>
      </c>
    </row>
    <row r="18292" spans="1:1">
      <c r="A18292" t="inlineStr">
        <is>
          <t>Katangawan</t>
        </is>
      </c>
    </row>
    <row r="18293" spans="1:1">
      <c r="A18293" t="inlineStr">
        <is>
          <t>Labangal</t>
        </is>
      </c>
    </row>
    <row r="18294" spans="1:1">
      <c r="A18294" t="inlineStr">
        <is>
          <t>Lagao</t>
        </is>
      </c>
    </row>
    <row r="18295" spans="1:1">
      <c r="A18295" t="inlineStr">
        <is>
          <t>Ligaya</t>
        </is>
      </c>
    </row>
    <row r="18296" spans="1:1">
      <c r="A18296" t="inlineStr">
        <is>
          <t>Mabuhay</t>
        </is>
      </c>
    </row>
    <row r="18297" spans="1:1">
      <c r="A18297" t="inlineStr">
        <is>
          <t>Olympog</t>
        </is>
      </c>
    </row>
    <row r="18298" spans="1:1">
      <c r="A18298" t="inlineStr">
        <is>
          <t>San Isidro</t>
        </is>
      </c>
    </row>
    <row r="18299" spans="1:1">
      <c r="A18299" t="inlineStr">
        <is>
          <t>San Jose</t>
        </is>
      </c>
    </row>
    <row r="18300" spans="1:1">
      <c r="A18300" t="inlineStr">
        <is>
          <t>Siguel</t>
        </is>
      </c>
    </row>
    <row r="18301" spans="1:1">
      <c r="A18301" t="inlineStr">
        <is>
          <t>Sinawal</t>
        </is>
      </c>
    </row>
    <row r="18302" spans="1:1">
      <c r="A18302" t="inlineStr">
        <is>
          <t>Tambler</t>
        </is>
      </c>
    </row>
    <row r="18303" spans="1:1">
      <c r="A18303" t="inlineStr">
        <is>
          <t>Tinagacan</t>
        </is>
      </c>
    </row>
    <row r="18304" spans="1:1">
      <c r="A18304" t="inlineStr">
        <is>
          <t>Upper Labay</t>
        </is>
      </c>
    </row>
    <row r="18305" spans="1:1">
      <c r="A18305" t="inlineStr">
        <is>
          <t>Agao Pob.</t>
        </is>
      </c>
    </row>
    <row r="18306" spans="1:1">
      <c r="A18306" t="inlineStr">
        <is>
          <t>Agusan Pequeño</t>
        </is>
      </c>
    </row>
    <row r="18307" spans="1:1">
      <c r="A18307" t="inlineStr">
        <is>
          <t>Ambago</t>
        </is>
      </c>
    </row>
    <row r="18308" spans="1:1">
      <c r="A18308" t="inlineStr">
        <is>
          <t>Amparo</t>
        </is>
      </c>
    </row>
    <row r="18309" spans="1:1">
      <c r="A18309" t="inlineStr">
        <is>
          <t>Ampayon</t>
        </is>
      </c>
    </row>
    <row r="18310" spans="1:1">
      <c r="A18310" t="inlineStr">
        <is>
          <t>Anticala</t>
        </is>
      </c>
    </row>
    <row r="18311" spans="1:1">
      <c r="A18311" t="inlineStr">
        <is>
          <t>Antongalon</t>
        </is>
      </c>
    </row>
    <row r="18312" spans="1:1">
      <c r="A18312" t="inlineStr">
        <is>
          <t>Aupagan</t>
        </is>
      </c>
    </row>
    <row r="18313" spans="1:1">
      <c r="A18313" t="inlineStr">
        <is>
          <t>Baan KM 3</t>
        </is>
      </c>
    </row>
    <row r="18314" spans="1:1">
      <c r="A18314" t="inlineStr">
        <is>
          <t>Baan Riverside Pob.</t>
        </is>
      </c>
    </row>
    <row r="18315" spans="1:1">
      <c r="A18315" t="inlineStr">
        <is>
          <t>Babag</t>
        </is>
      </c>
    </row>
    <row r="18316" spans="1:1">
      <c r="A18316" t="inlineStr">
        <is>
          <t>Bading Pob.</t>
        </is>
      </c>
    </row>
    <row r="18317" spans="1:1">
      <c r="A18317" t="inlineStr">
        <is>
          <t>Bancasi</t>
        </is>
      </c>
    </row>
    <row r="18318" spans="1:1">
      <c r="A18318" t="inlineStr">
        <is>
          <t>Banza</t>
        </is>
      </c>
    </row>
    <row r="18319" spans="1:1">
      <c r="A18319" t="inlineStr">
        <is>
          <t>Baobaoan</t>
        </is>
      </c>
    </row>
    <row r="18320" spans="1:1">
      <c r="A18320" t="inlineStr">
        <is>
          <t>Basag</t>
        </is>
      </c>
    </row>
    <row r="18321" spans="1:1">
      <c r="A18321" t="inlineStr">
        <is>
          <t>Bayanihan Pob.</t>
        </is>
      </c>
    </row>
    <row r="18322" spans="1:1">
      <c r="A18322" t="inlineStr">
        <is>
          <t>Bilay</t>
        </is>
      </c>
    </row>
    <row r="18323" spans="1:1">
      <c r="A18323" t="inlineStr">
        <is>
          <t>Bit-os</t>
        </is>
      </c>
    </row>
    <row r="18324" spans="1:1">
      <c r="A18324" t="inlineStr">
        <is>
          <t>Bitan-agan</t>
        </is>
      </c>
    </row>
    <row r="18325" spans="1:1">
      <c r="A18325" t="inlineStr">
        <is>
          <t>Bobon</t>
        </is>
      </c>
    </row>
    <row r="18326" spans="1:1">
      <c r="A18326" t="inlineStr">
        <is>
          <t>Bonbon</t>
        </is>
      </c>
    </row>
    <row r="18327" spans="1:1">
      <c r="A18327" t="inlineStr">
        <is>
          <t>Bugabus</t>
        </is>
      </c>
    </row>
    <row r="18328" spans="1:1">
      <c r="A18328" t="inlineStr">
        <is>
          <t>Bugsukan</t>
        </is>
      </c>
    </row>
    <row r="18329" spans="1:1">
      <c r="A18329" t="inlineStr">
        <is>
          <t>Buhangin Pob.</t>
        </is>
      </c>
    </row>
    <row r="18330" spans="1:1">
      <c r="A18330" t="inlineStr">
        <is>
          <t>Cabcabon</t>
        </is>
      </c>
    </row>
    <row r="18331" spans="1:1">
      <c r="A18331" t="inlineStr">
        <is>
          <t>Camayahan</t>
        </is>
      </c>
    </row>
    <row r="18332" spans="1:1">
      <c r="A18332" t="inlineStr">
        <is>
          <t>Dagohoy Pob.</t>
        </is>
      </c>
    </row>
    <row r="18333" spans="1:1">
      <c r="A18333" t="inlineStr">
        <is>
          <t>Dankias</t>
        </is>
      </c>
    </row>
    <row r="18334" spans="1:1">
      <c r="A18334" t="inlineStr">
        <is>
          <t>De Oro</t>
        </is>
      </c>
    </row>
    <row r="18335" spans="1:1">
      <c r="A18335" t="inlineStr">
        <is>
          <t>Diego Silang Pob.</t>
        </is>
      </c>
    </row>
    <row r="18336" spans="1:1">
      <c r="A18336" t="inlineStr">
        <is>
          <t>Don Francisco</t>
        </is>
      </c>
    </row>
    <row r="18337" spans="1:1">
      <c r="A18337" t="inlineStr">
        <is>
          <t>Doongan</t>
        </is>
      </c>
    </row>
    <row r="18338" spans="1:1">
      <c r="A18338" t="inlineStr">
        <is>
          <t>Dulag</t>
        </is>
      </c>
    </row>
    <row r="18339" spans="1:1">
      <c r="A18339" t="inlineStr">
        <is>
          <t>Dumalagan</t>
        </is>
      </c>
    </row>
    <row r="18340" spans="1:1">
      <c r="A18340" t="inlineStr">
        <is>
          <t>Florida</t>
        </is>
      </c>
    </row>
    <row r="18341" spans="1:1">
      <c r="A18341" t="inlineStr">
        <is>
          <t>Golden Ribbon Pob.</t>
        </is>
      </c>
    </row>
    <row r="18342" spans="1:1">
      <c r="A18342" t="inlineStr">
        <is>
          <t>Holy Redeemer Pob.</t>
        </is>
      </c>
    </row>
    <row r="18343" spans="1:1">
      <c r="A18343" t="inlineStr">
        <is>
          <t>Humabon Pob.</t>
        </is>
      </c>
    </row>
    <row r="18344" spans="1:1">
      <c r="A18344" t="inlineStr">
        <is>
          <t>Imadejas Pob.</t>
        </is>
      </c>
    </row>
    <row r="18345" spans="1:1">
      <c r="A18345" t="inlineStr">
        <is>
          <t>Jose Rizal Pob.</t>
        </is>
      </c>
    </row>
    <row r="18346" spans="1:1">
      <c r="A18346" t="inlineStr">
        <is>
          <t>Kinamlutan</t>
        </is>
      </c>
    </row>
    <row r="18347" spans="1:1">
      <c r="A18347" t="inlineStr">
        <is>
          <t>Lapu-lapu Pob.</t>
        </is>
      </c>
    </row>
    <row r="18348" spans="1:1">
      <c r="A18348" t="inlineStr">
        <is>
          <t>Lemon</t>
        </is>
      </c>
    </row>
    <row r="18349" spans="1:1">
      <c r="A18349" t="inlineStr">
        <is>
          <t>Leon Kilat Pob.</t>
        </is>
      </c>
    </row>
    <row r="18350" spans="1:1">
      <c r="A18350" t="inlineStr">
        <is>
          <t>Libertad</t>
        </is>
      </c>
    </row>
    <row r="18351" spans="1:1">
      <c r="A18351" t="inlineStr">
        <is>
          <t>Limaha Pob.</t>
        </is>
      </c>
    </row>
    <row r="18352" spans="1:1">
      <c r="A18352" t="inlineStr">
        <is>
          <t>Los Angeles</t>
        </is>
      </c>
    </row>
    <row r="18353" spans="1:1">
      <c r="A18353" t="inlineStr">
        <is>
          <t>Lumbocan</t>
        </is>
      </c>
    </row>
    <row r="18354" spans="1:1">
      <c r="A18354" t="inlineStr">
        <is>
          <t>Maguinda</t>
        </is>
      </c>
    </row>
    <row r="18355" spans="1:1">
      <c r="A18355" t="inlineStr">
        <is>
          <t>Mahay</t>
        </is>
      </c>
    </row>
    <row r="18356" spans="1:1">
      <c r="A18356" t="inlineStr">
        <is>
          <t>Mahogany Pob.</t>
        </is>
      </c>
    </row>
    <row r="18357" spans="1:1">
      <c r="A18357" t="inlineStr">
        <is>
          <t>Maibu</t>
        </is>
      </c>
    </row>
    <row r="18358" spans="1:1">
      <c r="A18358" t="inlineStr">
        <is>
          <t>Mandamo</t>
        </is>
      </c>
    </row>
    <row r="18359" spans="1:1">
      <c r="A18359" t="inlineStr">
        <is>
          <t>Manila de Bugabus</t>
        </is>
      </c>
    </row>
    <row r="18360" spans="1:1">
      <c r="A18360" t="inlineStr">
        <is>
          <t>Maon Pob.</t>
        </is>
      </c>
    </row>
    <row r="18361" spans="1:1">
      <c r="A18361" t="inlineStr">
        <is>
          <t>Masao</t>
        </is>
      </c>
    </row>
    <row r="18362" spans="1:1">
      <c r="A18362" t="inlineStr">
        <is>
          <t>Maug</t>
        </is>
      </c>
    </row>
    <row r="18363" spans="1:1">
      <c r="A18363" t="inlineStr">
        <is>
          <t>New Society Village Pob.</t>
        </is>
      </c>
    </row>
    <row r="18364" spans="1:1">
      <c r="A18364" t="inlineStr">
        <is>
          <t>Nong-nong</t>
        </is>
      </c>
    </row>
    <row r="18365" spans="1:1">
      <c r="A18365" t="inlineStr">
        <is>
          <t>Obrero Pob.</t>
        </is>
      </c>
    </row>
    <row r="18366" spans="1:1">
      <c r="A18366" t="inlineStr">
        <is>
          <t>Ong Yiu Pob.</t>
        </is>
      </c>
    </row>
    <row r="18367" spans="1:1">
      <c r="A18367" t="inlineStr">
        <is>
          <t>Pagatpatan</t>
        </is>
      </c>
    </row>
    <row r="18368" spans="1:1">
      <c r="A18368" t="inlineStr">
        <is>
          <t>Pangabugan</t>
        </is>
      </c>
    </row>
    <row r="18369" spans="1:1">
      <c r="A18369" t="inlineStr">
        <is>
          <t>Pianing</t>
        </is>
      </c>
    </row>
    <row r="18370" spans="1:1">
      <c r="A18370" t="inlineStr">
        <is>
          <t>Pigdaulan</t>
        </is>
      </c>
    </row>
    <row r="18371" spans="1:1">
      <c r="A18371" t="inlineStr">
        <is>
          <t>Pinamanculan</t>
        </is>
      </c>
    </row>
    <row r="18372" spans="1:1">
      <c r="A18372" t="inlineStr">
        <is>
          <t>Port Poyohon Pob.</t>
        </is>
      </c>
    </row>
    <row r="18373" spans="1:1">
      <c r="A18373" t="inlineStr">
        <is>
          <t>Rajah Soliman Pob.</t>
        </is>
      </c>
    </row>
    <row r="18374" spans="1:1">
      <c r="A18374" t="inlineStr">
        <is>
          <t>Salvacion</t>
        </is>
      </c>
    </row>
    <row r="18375" spans="1:1">
      <c r="A18375" t="inlineStr">
        <is>
          <t>San Ignacio Pob.</t>
        </is>
      </c>
    </row>
    <row r="18376" spans="1:1">
      <c r="A18376" t="inlineStr">
        <is>
          <t>San Mateo</t>
        </is>
      </c>
    </row>
    <row r="18377" spans="1:1">
      <c r="A18377" t="inlineStr">
        <is>
          <t>San Vicente</t>
        </is>
      </c>
    </row>
    <row r="18378" spans="1:1">
      <c r="A18378" t="inlineStr">
        <is>
          <t>Santo Niño</t>
        </is>
      </c>
    </row>
    <row r="18379" spans="1:1">
      <c r="A18379" t="inlineStr">
        <is>
          <t>Sikatuna Pob.</t>
        </is>
      </c>
    </row>
    <row r="18380" spans="1:1">
      <c r="A18380" t="inlineStr">
        <is>
          <t>Silongan Pob.</t>
        </is>
      </c>
    </row>
    <row r="18381" spans="1:1">
      <c r="A18381" t="inlineStr">
        <is>
          <t>Sumile</t>
        </is>
      </c>
    </row>
    <row r="18382" spans="1:1">
      <c r="A18382" t="inlineStr">
        <is>
          <t>Sumilihon</t>
        </is>
      </c>
    </row>
    <row r="18383" spans="1:1">
      <c r="A18383" t="inlineStr">
        <is>
          <t>Tagabaca</t>
        </is>
      </c>
    </row>
    <row r="18384" spans="1:1">
      <c r="A18384" t="inlineStr">
        <is>
          <t>Taguibo</t>
        </is>
      </c>
    </row>
    <row r="18385" spans="1:1">
      <c r="A18385" t="inlineStr">
        <is>
          <t>Taligaman</t>
        </is>
      </c>
    </row>
    <row r="18386" spans="1:1">
      <c r="A18386" t="inlineStr">
        <is>
          <t>Tandang Sora Pob.</t>
        </is>
      </c>
    </row>
    <row r="18387" spans="1:1">
      <c r="A18387" t="inlineStr">
        <is>
          <t>Tiniwisan</t>
        </is>
      </c>
    </row>
    <row r="18388" spans="1:1">
      <c r="A18388" t="inlineStr">
        <is>
          <t>Tungao</t>
        </is>
      </c>
    </row>
    <row r="18389" spans="1:1">
      <c r="A18389" t="inlineStr">
        <is>
          <t>Urduja Pob.</t>
        </is>
      </c>
    </row>
    <row r="18390" spans="1:1">
      <c r="A18390" t="inlineStr">
        <is>
          <t>Villa Kananga</t>
        </is>
      </c>
    </row>
    <row r="18391" spans="1:1">
      <c r="A18391" t="inlineStr">
        <is>
          <t>Amistad</t>
        </is>
      </c>
    </row>
    <row r="18392" spans="1:1">
      <c r="A18392" t="inlineStr">
        <is>
          <t>Antonino</t>
        </is>
      </c>
    </row>
    <row r="18393" spans="1:1">
      <c r="A18393" t="inlineStr">
        <is>
          <t>Apanay</t>
        </is>
      </c>
    </row>
    <row r="18394" spans="1:1">
      <c r="A18394" t="inlineStr">
        <is>
          <t>Aurora</t>
        </is>
      </c>
    </row>
    <row r="18395" spans="1:1">
      <c r="A18395" t="inlineStr">
        <is>
          <t>Bagnos</t>
        </is>
      </c>
    </row>
    <row r="18396" spans="1:1">
      <c r="A18396" t="inlineStr">
        <is>
          <t>Bagong Sikat</t>
        </is>
      </c>
    </row>
    <row r="18397" spans="1:1">
      <c r="A18397" t="inlineStr">
        <is>
          <t>Bantug-Petines</t>
        </is>
      </c>
    </row>
    <row r="18398" spans="1:1">
      <c r="A18398" t="inlineStr">
        <is>
          <t>Bonifacio</t>
        </is>
      </c>
    </row>
    <row r="18399" spans="1:1">
      <c r="A18399" t="inlineStr">
        <is>
          <t>Burgos</t>
        </is>
      </c>
    </row>
    <row r="18400" spans="1:1">
      <c r="A18400" t="inlineStr">
        <is>
          <t>Calaocan</t>
        </is>
      </c>
    </row>
    <row r="18401" spans="1:1">
      <c r="A18401" t="inlineStr">
        <is>
          <t>Callao</t>
        </is>
      </c>
    </row>
    <row r="18402" spans="1:1">
      <c r="A18402" t="inlineStr">
        <is>
          <t>Dagupan</t>
        </is>
      </c>
    </row>
    <row r="18403" spans="1:1">
      <c r="A18403" t="inlineStr">
        <is>
          <t>Inanama</t>
        </is>
      </c>
    </row>
    <row r="18404" spans="1:1">
      <c r="A18404" t="inlineStr">
        <is>
          <t>Linglingay</t>
        </is>
      </c>
    </row>
    <row r="18405" spans="1:1">
      <c r="A18405" t="inlineStr">
        <is>
          <t>M.H. del Pilar</t>
        </is>
      </c>
    </row>
    <row r="18406" spans="1:1">
      <c r="A18406" t="inlineStr">
        <is>
          <t>Mabini</t>
        </is>
      </c>
    </row>
    <row r="18407" spans="1:1">
      <c r="A18407" t="inlineStr">
        <is>
          <t>Magsaysay</t>
        </is>
      </c>
    </row>
    <row r="18408" spans="1:1">
      <c r="A18408" t="inlineStr">
        <is>
          <t>Mataas na Kahoy</t>
        </is>
      </c>
    </row>
    <row r="18409" spans="1:1">
      <c r="A18409" t="inlineStr">
        <is>
          <t>Paddad</t>
        </is>
      </c>
    </row>
    <row r="18410" spans="1:1">
      <c r="A18410" t="inlineStr">
        <is>
          <t>Rizal</t>
        </is>
      </c>
    </row>
    <row r="18411" spans="1:1">
      <c r="A18411" t="inlineStr">
        <is>
          <t>Rizaluna</t>
        </is>
      </c>
    </row>
    <row r="18412" spans="1:1">
      <c r="A18412" t="inlineStr">
        <is>
          <t>Salvacion</t>
        </is>
      </c>
    </row>
    <row r="18413" spans="1:1">
      <c r="A18413" t="inlineStr">
        <is>
          <t>San Antonio</t>
        </is>
      </c>
    </row>
    <row r="18414" spans="1:1">
      <c r="A18414" t="inlineStr">
        <is>
          <t>San Fernando</t>
        </is>
      </c>
    </row>
    <row r="18415" spans="1:1">
      <c r="A18415" t="inlineStr">
        <is>
          <t>San Francisco</t>
        </is>
      </c>
    </row>
    <row r="18416" spans="1:1">
      <c r="A18416" t="inlineStr">
        <is>
          <t>San Juan</t>
        </is>
      </c>
    </row>
    <row r="18417" spans="1:1">
      <c r="A18417" t="inlineStr">
        <is>
          <t>San Pablo</t>
        </is>
      </c>
    </row>
    <row r="18418" spans="1:1">
      <c r="A18418" t="inlineStr">
        <is>
          <t>San Pedro</t>
        </is>
      </c>
    </row>
    <row r="18419" spans="1:1">
      <c r="A18419" t="inlineStr">
        <is>
          <t>Santa Cruz</t>
        </is>
      </c>
    </row>
    <row r="18420" spans="1:1">
      <c r="A18420" t="inlineStr">
        <is>
          <t>Santa Maria</t>
        </is>
      </c>
    </row>
    <row r="18421" spans="1:1">
      <c r="A18421" t="inlineStr">
        <is>
          <t>Santo Domingo</t>
        </is>
      </c>
    </row>
    <row r="18422" spans="1:1">
      <c r="A18422" t="inlineStr">
        <is>
          <t>Santo Tomas</t>
        </is>
      </c>
    </row>
    <row r="18423" spans="1:1">
      <c r="A18423" t="inlineStr">
        <is>
          <t>Victoria</t>
        </is>
      </c>
    </row>
    <row r="18424" spans="1:1">
      <c r="A18424" t="inlineStr">
        <is>
          <t>Zamora</t>
        </is>
      </c>
    </row>
    <row r="18425" spans="1:1">
      <c r="A18425" t="inlineStr">
        <is>
          <t>Allangigan</t>
        </is>
      </c>
    </row>
    <row r="18426" spans="1:1">
      <c r="A18426" t="inlineStr">
        <is>
          <t>Aniog</t>
        </is>
      </c>
    </row>
    <row r="18427" spans="1:1">
      <c r="A18427" t="inlineStr">
        <is>
          <t>Baniket</t>
        </is>
      </c>
    </row>
    <row r="18428" spans="1:1">
      <c r="A18428" t="inlineStr">
        <is>
          <t>Bannawag</t>
        </is>
      </c>
    </row>
    <row r="18429" spans="1:1">
      <c r="A18429" t="inlineStr">
        <is>
          <t>Bantug</t>
        </is>
      </c>
    </row>
    <row r="18430" spans="1:1">
      <c r="A18430" t="inlineStr">
        <is>
          <t>Barangcuag</t>
        </is>
      </c>
    </row>
    <row r="18431" spans="1:1">
      <c r="A18431" t="inlineStr">
        <is>
          <t>Baui</t>
        </is>
      </c>
    </row>
    <row r="18432" spans="1:1">
      <c r="A18432" t="inlineStr">
        <is>
          <t>Bonifacio</t>
        </is>
      </c>
    </row>
    <row r="18433" spans="1:1">
      <c r="A18433" t="inlineStr">
        <is>
          <t>Buenavista</t>
        </is>
      </c>
    </row>
    <row r="18434" spans="1:1">
      <c r="A18434" t="inlineStr">
        <is>
          <t>Bunnay</t>
        </is>
      </c>
    </row>
    <row r="18435" spans="1:1">
      <c r="A18435" t="inlineStr">
        <is>
          <t>Calabayan-Minanga</t>
        </is>
      </c>
    </row>
    <row r="18436" spans="1:1">
      <c r="A18436" t="inlineStr">
        <is>
          <t>Calaccab</t>
        </is>
      </c>
    </row>
    <row r="18437" spans="1:1">
      <c r="A18437" t="inlineStr">
        <is>
          <t>Calaocan</t>
        </is>
      </c>
    </row>
    <row r="18438" spans="1:1">
      <c r="A18438" t="inlineStr">
        <is>
          <t>Campanario</t>
        </is>
      </c>
    </row>
    <row r="18439" spans="1:1">
      <c r="A18439" t="inlineStr">
        <is>
          <t>Canangan</t>
        </is>
      </c>
    </row>
    <row r="18440" spans="1:1">
      <c r="A18440" t="inlineStr">
        <is>
          <t>Centro I</t>
        </is>
      </c>
    </row>
    <row r="18441" spans="1:1">
      <c r="A18441" t="inlineStr">
        <is>
          <t>Centro II</t>
        </is>
      </c>
    </row>
    <row r="18442" spans="1:1">
      <c r="A18442" t="inlineStr">
        <is>
          <t>Centro III</t>
        </is>
      </c>
    </row>
    <row r="18443" spans="1:1">
      <c r="A18443" t="inlineStr">
        <is>
          <t>Consular</t>
        </is>
      </c>
    </row>
    <row r="18444" spans="1:1">
      <c r="A18444" t="inlineStr">
        <is>
          <t>Cumu</t>
        </is>
      </c>
    </row>
    <row r="18445" spans="1:1">
      <c r="A18445" t="inlineStr">
        <is>
          <t>Dalakip</t>
        </is>
      </c>
    </row>
    <row r="18446" spans="1:1">
      <c r="A18446" t="inlineStr">
        <is>
          <t>Dalenat</t>
        </is>
      </c>
    </row>
    <row r="18447" spans="1:1">
      <c r="A18447" t="inlineStr">
        <is>
          <t>Dipaluda</t>
        </is>
      </c>
    </row>
    <row r="18448" spans="1:1">
      <c r="A18448" t="inlineStr">
        <is>
          <t>Duroc</t>
        </is>
      </c>
    </row>
    <row r="18449" spans="1:1">
      <c r="A18449" t="inlineStr">
        <is>
          <t>Esperanza</t>
        </is>
      </c>
    </row>
    <row r="18450" spans="1:1">
      <c r="A18450" t="inlineStr">
        <is>
          <t>Fugaru</t>
        </is>
      </c>
    </row>
    <row r="18451" spans="1:1">
      <c r="A18451" t="inlineStr">
        <is>
          <t>Ingud Norte</t>
        </is>
      </c>
    </row>
    <row r="18452" spans="1:1">
      <c r="A18452" t="inlineStr">
        <is>
          <t>Ingud Sur</t>
        </is>
      </c>
    </row>
    <row r="18453" spans="1:1">
      <c r="A18453" t="inlineStr">
        <is>
          <t>Kalusutan</t>
        </is>
      </c>
    </row>
    <row r="18454" spans="1:1">
      <c r="A18454" t="inlineStr">
        <is>
          <t>La Suerte</t>
        </is>
      </c>
    </row>
    <row r="18455" spans="1:1">
      <c r="A18455" t="inlineStr">
        <is>
          <t>Liwliwa</t>
        </is>
      </c>
    </row>
    <row r="18456" spans="1:1">
      <c r="A18456" t="inlineStr">
        <is>
          <t>Lomboy</t>
        </is>
      </c>
    </row>
    <row r="18457" spans="1:1">
      <c r="A18457" t="inlineStr">
        <is>
          <t>Loria</t>
        </is>
      </c>
    </row>
    <row r="18458" spans="1:1">
      <c r="A18458" t="inlineStr">
        <is>
          <t>Lourdes</t>
        </is>
      </c>
    </row>
    <row r="18459" spans="1:1">
      <c r="A18459" t="inlineStr">
        <is>
          <t>Mabuhay</t>
        </is>
      </c>
    </row>
    <row r="18460" spans="1:1">
      <c r="A18460" t="inlineStr">
        <is>
          <t>Macalauat</t>
        </is>
      </c>
    </row>
    <row r="18461" spans="1:1">
      <c r="A18461" t="inlineStr">
        <is>
          <t>Macaniao</t>
        </is>
      </c>
    </row>
    <row r="18462" spans="1:1">
      <c r="A18462" t="inlineStr">
        <is>
          <t>Malannao</t>
        </is>
      </c>
    </row>
    <row r="18463" spans="1:1">
      <c r="A18463" t="inlineStr">
        <is>
          <t>Malasin</t>
        </is>
      </c>
    </row>
    <row r="18464" spans="1:1">
      <c r="A18464" t="inlineStr">
        <is>
          <t>Mangandingay</t>
        </is>
      </c>
    </row>
    <row r="18465" spans="1:1">
      <c r="A18465" t="inlineStr">
        <is>
          <t>Minanga Proper</t>
        </is>
      </c>
    </row>
    <row r="18466" spans="1:1">
      <c r="A18466" t="inlineStr">
        <is>
          <t>Pappat</t>
        </is>
      </c>
    </row>
    <row r="18467" spans="1:1">
      <c r="A18467" t="inlineStr">
        <is>
          <t>Pissay</t>
        </is>
      </c>
    </row>
    <row r="18468" spans="1:1">
      <c r="A18468" t="inlineStr">
        <is>
          <t>Ramona</t>
        </is>
      </c>
    </row>
    <row r="18469" spans="1:1">
      <c r="A18469" t="inlineStr">
        <is>
          <t>Rancho Bassit</t>
        </is>
      </c>
    </row>
    <row r="18470" spans="1:1">
      <c r="A18470" t="inlineStr">
        <is>
          <t>Rang-ayan</t>
        </is>
      </c>
    </row>
    <row r="18471" spans="1:1">
      <c r="A18471" t="inlineStr">
        <is>
          <t>Salay</t>
        </is>
      </c>
    </row>
    <row r="18472" spans="1:1">
      <c r="A18472" t="inlineStr">
        <is>
          <t>San Ambrocio</t>
        </is>
      </c>
    </row>
    <row r="18473" spans="1:1">
      <c r="A18473" t="inlineStr">
        <is>
          <t>San Guillermo</t>
        </is>
      </c>
    </row>
    <row r="18474" spans="1:1">
      <c r="A18474" t="inlineStr">
        <is>
          <t>San Isidro</t>
        </is>
      </c>
    </row>
    <row r="18475" spans="1:1">
      <c r="A18475" t="inlineStr">
        <is>
          <t>San Marcelo</t>
        </is>
      </c>
    </row>
    <row r="18476" spans="1:1">
      <c r="A18476" t="inlineStr">
        <is>
          <t>San Roque</t>
        </is>
      </c>
    </row>
    <row r="18477" spans="1:1">
      <c r="A18477" t="inlineStr">
        <is>
          <t>San Vicente</t>
        </is>
      </c>
    </row>
    <row r="18478" spans="1:1">
      <c r="A18478" t="inlineStr">
        <is>
          <t>Santo Niño</t>
        </is>
      </c>
    </row>
    <row r="18479" spans="1:1">
      <c r="A18479" t="inlineStr">
        <is>
          <t>Saranay</t>
        </is>
      </c>
    </row>
    <row r="18480" spans="1:1">
      <c r="A18480" t="inlineStr">
        <is>
          <t>Sinabbaran</t>
        </is>
      </c>
    </row>
    <row r="18481" spans="1:1">
      <c r="A18481" t="inlineStr">
        <is>
          <t>Victory</t>
        </is>
      </c>
    </row>
    <row r="18482" spans="1:1">
      <c r="A18482" t="inlineStr">
        <is>
          <t>Viga</t>
        </is>
      </c>
    </row>
    <row r="18483" spans="1:1">
      <c r="A18483" t="inlineStr">
        <is>
          <t>Villa Domingo</t>
        </is>
      </c>
    </row>
    <row r="18484" spans="1:1">
      <c r="A18484" t="inlineStr">
        <is>
          <t>Apiat</t>
        </is>
      </c>
    </row>
    <row r="18485" spans="1:1">
      <c r="A18485" t="inlineStr">
        <is>
          <t>Bagnos</t>
        </is>
      </c>
    </row>
    <row r="18486" spans="1:1">
      <c r="A18486" t="inlineStr">
        <is>
          <t>Bagong Tanza</t>
        </is>
      </c>
    </row>
    <row r="18487" spans="1:1">
      <c r="A18487" t="inlineStr">
        <is>
          <t>Ballesteros</t>
        </is>
      </c>
    </row>
    <row r="18488" spans="1:1">
      <c r="A18488" t="inlineStr">
        <is>
          <t>Bannagao</t>
        </is>
      </c>
    </row>
    <row r="18489" spans="1:1">
      <c r="A18489" t="inlineStr">
        <is>
          <t>Bannawag</t>
        </is>
      </c>
    </row>
    <row r="18490" spans="1:1">
      <c r="A18490" t="inlineStr">
        <is>
          <t>Bolinao</t>
        </is>
      </c>
    </row>
    <row r="18491" spans="1:1">
      <c r="A18491" t="inlineStr">
        <is>
          <t>Caipilan</t>
        </is>
      </c>
    </row>
    <row r="18492" spans="1:1">
      <c r="A18492" t="inlineStr">
        <is>
          <t>Camarunggayan</t>
        </is>
      </c>
    </row>
    <row r="18493" spans="1:1">
      <c r="A18493" t="inlineStr">
        <is>
          <t>Dalig Kalinga</t>
        </is>
      </c>
    </row>
    <row r="18494" spans="1:1">
      <c r="A18494" t="inlineStr">
        <is>
          <t>Diamantina</t>
        </is>
      </c>
    </row>
    <row r="18495" spans="1:1">
      <c r="A18495" t="inlineStr">
        <is>
          <t>Divisoria</t>
        </is>
      </c>
    </row>
    <row r="18496" spans="1:1">
      <c r="A18496" t="inlineStr">
        <is>
          <t>Esperanza East</t>
        </is>
      </c>
    </row>
    <row r="18497" spans="1:1">
      <c r="A18497" t="inlineStr">
        <is>
          <t>Esperanza West</t>
        </is>
      </c>
    </row>
    <row r="18498" spans="1:1">
      <c r="A18498" t="inlineStr">
        <is>
          <t>Kalabaza</t>
        </is>
      </c>
    </row>
    <row r="18499" spans="1:1">
      <c r="A18499" t="inlineStr">
        <is>
          <t>Macatal</t>
        </is>
      </c>
    </row>
    <row r="18500" spans="1:1">
      <c r="A18500" t="inlineStr">
        <is>
          <t>Malasin</t>
        </is>
      </c>
    </row>
    <row r="18501" spans="1:1">
      <c r="A18501" t="inlineStr">
        <is>
          <t>Nampicuan</t>
        </is>
      </c>
    </row>
    <row r="18502" spans="1:1">
      <c r="A18502" t="inlineStr">
        <is>
          <t>Panecien</t>
        </is>
      </c>
    </row>
    <row r="18503" spans="1:1">
      <c r="A18503" t="inlineStr">
        <is>
          <t>Rizalina</t>
        </is>
      </c>
    </row>
    <row r="18504" spans="1:1">
      <c r="A18504" t="inlineStr">
        <is>
          <t>San Andres</t>
        </is>
      </c>
    </row>
    <row r="18505" spans="1:1">
      <c r="A18505" t="inlineStr">
        <is>
          <t>San Jose</t>
        </is>
      </c>
    </row>
    <row r="18506" spans="1:1">
      <c r="A18506" t="inlineStr">
        <is>
          <t>San Juan</t>
        </is>
      </c>
    </row>
    <row r="18507" spans="1:1">
      <c r="A18507" t="inlineStr">
        <is>
          <t>San Pedro-San Pablo</t>
        </is>
      </c>
    </row>
    <row r="18508" spans="1:1">
      <c r="A18508" t="inlineStr">
        <is>
          <t>San Rafael</t>
        </is>
      </c>
    </row>
    <row r="18509" spans="1:1">
      <c r="A18509" t="inlineStr">
        <is>
          <t>San Ramon</t>
        </is>
      </c>
    </row>
    <row r="18510" spans="1:1">
      <c r="A18510" t="inlineStr">
        <is>
          <t>Santa Rita</t>
        </is>
      </c>
    </row>
    <row r="18511" spans="1:1">
      <c r="A18511" t="inlineStr">
        <is>
          <t>Santa Rosa</t>
        </is>
      </c>
    </row>
    <row r="18512" spans="1:1">
      <c r="A18512" t="inlineStr">
        <is>
          <t>Saranay</t>
        </is>
      </c>
    </row>
    <row r="18513" spans="1:1">
      <c r="A18513" t="inlineStr">
        <is>
          <t>Sili</t>
        </is>
      </c>
    </row>
    <row r="18514" spans="1:1">
      <c r="A18514" t="inlineStr">
        <is>
          <t>Victoria</t>
        </is>
      </c>
    </row>
    <row r="18515" spans="1:1">
      <c r="A18515" t="inlineStr">
        <is>
          <t>Villa Fugu</t>
        </is>
      </c>
    </row>
    <row r="18516" spans="1:1">
      <c r="A18516" t="inlineStr">
        <is>
          <t>Villa Nuesa</t>
        </is>
      </c>
    </row>
    <row r="18517" spans="1:1">
      <c r="A18517" t="inlineStr">
        <is>
          <t>Andabuen</t>
        </is>
      </c>
    </row>
    <row r="18518" spans="1:1">
      <c r="A18518" t="inlineStr">
        <is>
          <t>Ara</t>
        </is>
      </c>
    </row>
    <row r="18519" spans="1:1">
      <c r="A18519" t="inlineStr">
        <is>
          <t>Balliao</t>
        </is>
      </c>
    </row>
    <row r="18520" spans="1:1">
      <c r="A18520" t="inlineStr">
        <is>
          <t>Binogtungan</t>
        </is>
      </c>
    </row>
    <row r="18521" spans="1:1">
      <c r="A18521" t="inlineStr">
        <is>
          <t>Capuseran</t>
        </is>
      </c>
    </row>
    <row r="18522" spans="1:1">
      <c r="A18522" t="inlineStr">
        <is>
          <t>Dagupan</t>
        </is>
      </c>
    </row>
    <row r="18523" spans="1:1">
      <c r="A18523" t="inlineStr">
        <is>
          <t>Danipa</t>
        </is>
      </c>
    </row>
    <row r="18524" spans="1:1">
      <c r="A18524" t="inlineStr">
        <is>
          <t>District I</t>
        </is>
      </c>
    </row>
    <row r="18525" spans="1:1">
      <c r="A18525" t="inlineStr">
        <is>
          <t>District II</t>
        </is>
      </c>
    </row>
    <row r="18526" spans="1:1">
      <c r="A18526" t="inlineStr">
        <is>
          <t>Gomez</t>
        </is>
      </c>
    </row>
    <row r="18527" spans="1:1">
      <c r="A18527" t="inlineStr">
        <is>
          <t>Guilingan</t>
        </is>
      </c>
    </row>
    <row r="18528" spans="1:1">
      <c r="A18528" t="inlineStr">
        <is>
          <t>La Salette</t>
        </is>
      </c>
    </row>
    <row r="18529" spans="1:1">
      <c r="A18529" t="inlineStr">
        <is>
          <t>Lucban</t>
        </is>
      </c>
    </row>
    <row r="18530" spans="1:1">
      <c r="A18530" t="inlineStr">
        <is>
          <t>Makindol</t>
        </is>
      </c>
    </row>
    <row r="18531" spans="1:1">
      <c r="A18531" t="inlineStr">
        <is>
          <t>Maluno Norte</t>
        </is>
      </c>
    </row>
    <row r="18532" spans="1:1">
      <c r="A18532" t="inlineStr">
        <is>
          <t>Maluno Sur</t>
        </is>
      </c>
    </row>
    <row r="18533" spans="1:1">
      <c r="A18533" t="inlineStr">
        <is>
          <t>Nacalma</t>
        </is>
      </c>
    </row>
    <row r="18534" spans="1:1">
      <c r="A18534" t="inlineStr">
        <is>
          <t>New Magsaysay</t>
        </is>
      </c>
    </row>
    <row r="18535" spans="1:1">
      <c r="A18535" t="inlineStr">
        <is>
          <t>Placer</t>
        </is>
      </c>
    </row>
    <row r="18536" spans="1:1">
      <c r="A18536" t="inlineStr">
        <is>
          <t>Punit</t>
        </is>
      </c>
    </row>
    <row r="18537" spans="1:1">
      <c r="A18537" t="inlineStr">
        <is>
          <t>San Carlos</t>
        </is>
      </c>
    </row>
    <row r="18538" spans="1:1">
      <c r="A18538" t="inlineStr">
        <is>
          <t>San Francisco</t>
        </is>
      </c>
    </row>
    <row r="18539" spans="1:1">
      <c r="A18539" t="inlineStr">
        <is>
          <t>Santa Cruz</t>
        </is>
      </c>
    </row>
    <row r="18540" spans="1:1">
      <c r="A18540" t="inlineStr">
        <is>
          <t>Santiago</t>
        </is>
      </c>
    </row>
    <row r="18541" spans="1:1">
      <c r="A18541" t="inlineStr">
        <is>
          <t>Sevillana</t>
        </is>
      </c>
    </row>
    <row r="18542" spans="1:1">
      <c r="A18542" t="inlineStr">
        <is>
          <t>Sinipit</t>
        </is>
      </c>
    </row>
    <row r="18543" spans="1:1">
      <c r="A18543" t="inlineStr">
        <is>
          <t>Villaluz</t>
        </is>
      </c>
    </row>
    <row r="18544" spans="1:1">
      <c r="A18544" t="inlineStr">
        <is>
          <t>Yeban Norte</t>
        </is>
      </c>
    </row>
    <row r="18545" spans="1:1">
      <c r="A18545" t="inlineStr">
        <is>
          <t>Yeban Sur</t>
        </is>
      </c>
    </row>
    <row r="18546" spans="1:1">
      <c r="A18546" t="inlineStr">
        <is>
          <t>Bacnor East</t>
        </is>
      </c>
    </row>
    <row r="18547" spans="1:1">
      <c r="A18547" t="inlineStr">
        <is>
          <t>Bacnor West</t>
        </is>
      </c>
    </row>
    <row r="18548" spans="1:1">
      <c r="A18548" t="inlineStr">
        <is>
          <t>Caliguian</t>
        </is>
      </c>
    </row>
    <row r="18549" spans="1:1">
      <c r="A18549" t="inlineStr">
        <is>
          <t>Catabban</t>
        </is>
      </c>
    </row>
    <row r="18550" spans="1:1">
      <c r="A18550" t="inlineStr">
        <is>
          <t>Cullalabo Del Norte</t>
        </is>
      </c>
    </row>
    <row r="18551" spans="1:1">
      <c r="A18551" t="inlineStr">
        <is>
          <t>Cullalabo Del Sur</t>
        </is>
      </c>
    </row>
    <row r="18552" spans="1:1">
      <c r="A18552" t="inlineStr">
        <is>
          <t>Cullalabo San Antonio</t>
        </is>
      </c>
    </row>
    <row r="18553" spans="1:1">
      <c r="A18553" t="inlineStr">
        <is>
          <t>Dalig</t>
        </is>
      </c>
    </row>
    <row r="18554" spans="1:1">
      <c r="A18554" t="inlineStr">
        <is>
          <t>Malasin</t>
        </is>
      </c>
    </row>
    <row r="18555" spans="1:1">
      <c r="A18555" t="inlineStr">
        <is>
          <t>Masigun</t>
        </is>
      </c>
    </row>
    <row r="18556" spans="1:1">
      <c r="A18556" t="inlineStr">
        <is>
          <t>Raniag</t>
        </is>
      </c>
    </row>
    <row r="18557" spans="1:1">
      <c r="A18557" t="inlineStr">
        <is>
          <t>San Bonifacio</t>
        </is>
      </c>
    </row>
    <row r="18558" spans="1:1">
      <c r="A18558" t="inlineStr">
        <is>
          <t>San Miguel</t>
        </is>
      </c>
    </row>
    <row r="18559" spans="1:1">
      <c r="A18559" t="inlineStr">
        <is>
          <t>San Roque</t>
        </is>
      </c>
    </row>
    <row r="18560" spans="1:1">
      <c r="A18560" t="inlineStr">
        <is>
          <t>Aggub</t>
        </is>
      </c>
    </row>
    <row r="18561" spans="1:1">
      <c r="A18561" t="inlineStr">
        <is>
          <t>Anao</t>
        </is>
      </c>
    </row>
    <row r="18562" spans="1:1">
      <c r="A18562" t="inlineStr">
        <is>
          <t>Angancasilian</t>
        </is>
      </c>
    </row>
    <row r="18563" spans="1:1">
      <c r="A18563" t="inlineStr">
        <is>
          <t>Balasig</t>
        </is>
      </c>
    </row>
    <row r="18564" spans="1:1">
      <c r="A18564" t="inlineStr">
        <is>
          <t>Cansan</t>
        </is>
      </c>
    </row>
    <row r="18565" spans="1:1">
      <c r="A18565" t="inlineStr">
        <is>
          <t>Casibarag Norte</t>
        </is>
      </c>
    </row>
    <row r="18566" spans="1:1">
      <c r="A18566" t="inlineStr">
        <is>
          <t>Casibarag Sur</t>
        </is>
      </c>
    </row>
    <row r="18567" spans="1:1">
      <c r="A18567" t="inlineStr">
        <is>
          <t>Catabayungan</t>
        </is>
      </c>
    </row>
    <row r="18568" spans="1:1">
      <c r="A18568" t="inlineStr">
        <is>
          <t>Centro</t>
        </is>
      </c>
    </row>
    <row r="18569" spans="1:1">
      <c r="A18569" t="inlineStr">
        <is>
          <t>Cubag</t>
        </is>
      </c>
    </row>
    <row r="18570" spans="1:1">
      <c r="A18570" t="inlineStr">
        <is>
          <t>Garita</t>
        </is>
      </c>
    </row>
    <row r="18571" spans="1:1">
      <c r="A18571" t="inlineStr">
        <is>
          <t>Luquilu</t>
        </is>
      </c>
    </row>
    <row r="18572" spans="1:1">
      <c r="A18572" t="inlineStr">
        <is>
          <t>Mabangug</t>
        </is>
      </c>
    </row>
    <row r="18573" spans="1:1">
      <c r="A18573" t="inlineStr">
        <is>
          <t>Magassi</t>
        </is>
      </c>
    </row>
    <row r="18574" spans="1:1">
      <c r="A18574" t="inlineStr">
        <is>
          <t>Masipi East</t>
        </is>
      </c>
    </row>
    <row r="18575" spans="1:1">
      <c r="A18575" t="inlineStr">
        <is>
          <t>Masipi West</t>
        </is>
      </c>
    </row>
    <row r="18576" spans="1:1">
      <c r="A18576" t="inlineStr">
        <is>
          <t>Ngarag</t>
        </is>
      </c>
    </row>
    <row r="18577" spans="1:1">
      <c r="A18577" t="inlineStr">
        <is>
          <t>Pilig Abajo</t>
        </is>
      </c>
    </row>
    <row r="18578" spans="1:1">
      <c r="A18578" t="inlineStr">
        <is>
          <t>Pilig Alto</t>
        </is>
      </c>
    </row>
    <row r="18579" spans="1:1">
      <c r="A18579" t="inlineStr">
        <is>
          <t>San Antonio</t>
        </is>
      </c>
    </row>
    <row r="18580" spans="1:1">
      <c r="A18580" t="inlineStr">
        <is>
          <t>San Bernardo</t>
        </is>
      </c>
    </row>
    <row r="18581" spans="1:1">
      <c r="A18581" t="inlineStr">
        <is>
          <t>San Juan</t>
        </is>
      </c>
    </row>
    <row r="18582" spans="1:1">
      <c r="A18582" t="inlineStr">
        <is>
          <t>Saui</t>
        </is>
      </c>
    </row>
    <row r="18583" spans="1:1">
      <c r="A18583" t="inlineStr">
        <is>
          <t>Tallag</t>
        </is>
      </c>
    </row>
    <row r="18584" spans="1:1">
      <c r="A18584" t="inlineStr">
        <is>
          <t>Ugad</t>
        </is>
      </c>
    </row>
    <row r="18585" spans="1:1">
      <c r="A18585" t="inlineStr">
        <is>
          <t>Union</t>
        </is>
      </c>
    </row>
    <row r="18586" spans="1:1">
      <c r="A18586" t="inlineStr">
        <is>
          <t>Calaocan</t>
        </is>
      </c>
    </row>
    <row r="18587" spans="1:1">
      <c r="A18587" t="inlineStr">
        <is>
          <t>Canan</t>
        </is>
      </c>
    </row>
    <row r="18588" spans="1:1">
      <c r="A18588" t="inlineStr">
        <is>
          <t>Centro</t>
        </is>
      </c>
    </row>
    <row r="18589" spans="1:1">
      <c r="A18589" t="inlineStr">
        <is>
          <t>Culing Centro</t>
        </is>
      </c>
    </row>
    <row r="18590" spans="1:1">
      <c r="A18590" t="inlineStr">
        <is>
          <t>Culing East</t>
        </is>
      </c>
    </row>
    <row r="18591" spans="1:1">
      <c r="A18591" t="inlineStr">
        <is>
          <t>Culing West</t>
        </is>
      </c>
    </row>
    <row r="18592" spans="1:1">
      <c r="A18592" t="inlineStr">
        <is>
          <t>Del Corpuz</t>
        </is>
      </c>
    </row>
    <row r="18593" spans="1:1">
      <c r="A18593" t="inlineStr">
        <is>
          <t>Del Pilar</t>
        </is>
      </c>
    </row>
    <row r="18594" spans="1:1">
      <c r="A18594" t="inlineStr">
        <is>
          <t>Diamantina</t>
        </is>
      </c>
    </row>
    <row r="18595" spans="1:1">
      <c r="A18595" t="inlineStr">
        <is>
          <t>La Paz</t>
        </is>
      </c>
    </row>
    <row r="18596" spans="1:1">
      <c r="A18596" t="inlineStr">
        <is>
          <t>Luzon</t>
        </is>
      </c>
    </row>
    <row r="18597" spans="1:1">
      <c r="A18597" t="inlineStr">
        <is>
          <t>Macalaoat</t>
        </is>
      </c>
    </row>
    <row r="18598" spans="1:1">
      <c r="A18598" t="inlineStr">
        <is>
          <t>Magdalena</t>
        </is>
      </c>
    </row>
    <row r="18599" spans="1:1">
      <c r="A18599" t="inlineStr">
        <is>
          <t>Magsaysay</t>
        </is>
      </c>
    </row>
    <row r="18600" spans="1:1">
      <c r="A18600" t="inlineStr">
        <is>
          <t>Namnama</t>
        </is>
      </c>
    </row>
    <row r="18601" spans="1:1">
      <c r="A18601" t="inlineStr">
        <is>
          <t>Nueva Era</t>
        </is>
      </c>
    </row>
    <row r="18602" spans="1:1">
      <c r="A18602" t="inlineStr">
        <is>
          <t>Paraiso</t>
        </is>
      </c>
    </row>
    <row r="18603" spans="1:1">
      <c r="A18603" t="inlineStr">
        <is>
          <t>Rang-ay</t>
        </is>
      </c>
    </row>
    <row r="18604" spans="1:1">
      <c r="A18604" t="inlineStr">
        <is>
          <t>Sampaloc</t>
        </is>
      </c>
    </row>
    <row r="18605" spans="1:1">
      <c r="A18605" t="inlineStr">
        <is>
          <t>San Andres</t>
        </is>
      </c>
    </row>
    <row r="18606" spans="1:1">
      <c r="A18606" t="inlineStr">
        <is>
          <t>Saranay</t>
        </is>
      </c>
    </row>
    <row r="18607" spans="1:1">
      <c r="A18607" t="inlineStr">
        <is>
          <t>Tandul</t>
        </is>
      </c>
    </row>
    <row r="18608" spans="1:1">
      <c r="A18608" t="inlineStr">
        <is>
          <t>Alicaocao</t>
        </is>
      </c>
    </row>
    <row r="18609" spans="1:1">
      <c r="A18609" t="inlineStr">
        <is>
          <t>Alinam</t>
        </is>
      </c>
    </row>
    <row r="18610" spans="1:1">
      <c r="A18610" t="inlineStr">
        <is>
          <t>Amobocan</t>
        </is>
      </c>
    </row>
    <row r="18611" spans="1:1">
      <c r="A18611" t="inlineStr">
        <is>
          <t>Andarayan</t>
        </is>
      </c>
    </row>
    <row r="18612" spans="1:1">
      <c r="A18612" t="inlineStr">
        <is>
          <t>Baculod</t>
        </is>
      </c>
    </row>
    <row r="18613" spans="1:1">
      <c r="A18613" t="inlineStr">
        <is>
          <t>Baringin Norte</t>
        </is>
      </c>
    </row>
    <row r="18614" spans="1:1">
      <c r="A18614" t="inlineStr">
        <is>
          <t>Baringin Sur</t>
        </is>
      </c>
    </row>
    <row r="18615" spans="1:1">
      <c r="A18615" t="inlineStr">
        <is>
          <t>Buena Suerte</t>
        </is>
      </c>
    </row>
    <row r="18616" spans="1:1">
      <c r="A18616" t="inlineStr">
        <is>
          <t>Bugallon</t>
        </is>
      </c>
    </row>
    <row r="18617" spans="1:1">
      <c r="A18617" t="inlineStr">
        <is>
          <t>Buyon</t>
        </is>
      </c>
    </row>
    <row r="18618" spans="1:1">
      <c r="A18618" t="inlineStr">
        <is>
          <t>Cabaruan</t>
        </is>
      </c>
    </row>
    <row r="18619" spans="1:1">
      <c r="A18619" t="inlineStr">
        <is>
          <t>Cabugao</t>
        </is>
      </c>
    </row>
    <row r="18620" spans="1:1">
      <c r="A18620" t="inlineStr">
        <is>
          <t>Carabatan Bacareno</t>
        </is>
      </c>
    </row>
    <row r="18621" spans="1:1">
      <c r="A18621" t="inlineStr">
        <is>
          <t>Carabatan Chica</t>
        </is>
      </c>
    </row>
    <row r="18622" spans="1:1">
      <c r="A18622" t="inlineStr">
        <is>
          <t>Carabatan Grande</t>
        </is>
      </c>
    </row>
    <row r="18623" spans="1:1">
      <c r="A18623" t="inlineStr">
        <is>
          <t>Carabatan Punta</t>
        </is>
      </c>
    </row>
    <row r="18624" spans="1:1">
      <c r="A18624" t="inlineStr">
        <is>
          <t>Casalatan</t>
        </is>
      </c>
    </row>
    <row r="18625" spans="1:1">
      <c r="A18625" t="inlineStr">
        <is>
          <t>Cassap Fuera</t>
        </is>
      </c>
    </row>
    <row r="18626" spans="1:1">
      <c r="A18626" t="inlineStr">
        <is>
          <t>Catalina</t>
        </is>
      </c>
    </row>
    <row r="18627" spans="1:1">
      <c r="A18627" t="inlineStr">
        <is>
          <t>Culalabat</t>
        </is>
      </c>
    </row>
    <row r="18628" spans="1:1">
      <c r="A18628" t="inlineStr">
        <is>
          <t>Dabburab</t>
        </is>
      </c>
    </row>
    <row r="18629" spans="1:1">
      <c r="A18629" t="inlineStr">
        <is>
          <t>De Vera</t>
        </is>
      </c>
    </row>
    <row r="18630" spans="1:1">
      <c r="A18630" t="inlineStr">
        <is>
          <t>Dianao</t>
        </is>
      </c>
    </row>
    <row r="18631" spans="1:1">
      <c r="A18631" t="inlineStr">
        <is>
          <t>Disimuray</t>
        </is>
      </c>
    </row>
    <row r="18632" spans="1:1">
      <c r="A18632" t="inlineStr">
        <is>
          <t>District I</t>
        </is>
      </c>
    </row>
    <row r="18633" spans="1:1">
      <c r="A18633" t="inlineStr">
        <is>
          <t>District II</t>
        </is>
      </c>
    </row>
    <row r="18634" spans="1:1">
      <c r="A18634" t="inlineStr">
        <is>
          <t>District III</t>
        </is>
      </c>
    </row>
    <row r="18635" spans="1:1">
      <c r="A18635" t="inlineStr">
        <is>
          <t>Duminit</t>
        </is>
      </c>
    </row>
    <row r="18636" spans="1:1">
      <c r="A18636" t="inlineStr">
        <is>
          <t>Faustino</t>
        </is>
      </c>
    </row>
    <row r="18637" spans="1:1">
      <c r="A18637" t="inlineStr">
        <is>
          <t>Gagabutan</t>
        </is>
      </c>
    </row>
    <row r="18638" spans="1:1">
      <c r="A18638" t="inlineStr">
        <is>
          <t>Gappal</t>
        </is>
      </c>
    </row>
    <row r="18639" spans="1:1">
      <c r="A18639" t="inlineStr">
        <is>
          <t>Guayabal</t>
        </is>
      </c>
    </row>
    <row r="18640" spans="1:1">
      <c r="A18640" t="inlineStr">
        <is>
          <t>Labinab</t>
        </is>
      </c>
    </row>
    <row r="18641" spans="1:1">
      <c r="A18641" t="inlineStr">
        <is>
          <t>Linglingay</t>
        </is>
      </c>
    </row>
    <row r="18642" spans="1:1">
      <c r="A18642" t="inlineStr">
        <is>
          <t>Mabantad</t>
        </is>
      </c>
    </row>
    <row r="18643" spans="1:1">
      <c r="A18643" t="inlineStr">
        <is>
          <t>Maligaya</t>
        </is>
      </c>
    </row>
    <row r="18644" spans="1:1">
      <c r="A18644" t="inlineStr">
        <is>
          <t>Manaoag</t>
        </is>
      </c>
    </row>
    <row r="18645" spans="1:1">
      <c r="A18645" t="inlineStr">
        <is>
          <t>Marabulig I</t>
        </is>
      </c>
    </row>
    <row r="18646" spans="1:1">
      <c r="A18646" t="inlineStr">
        <is>
          <t>Marabulig II</t>
        </is>
      </c>
    </row>
    <row r="18647" spans="1:1">
      <c r="A18647" t="inlineStr">
        <is>
          <t>Minante I</t>
        </is>
      </c>
    </row>
    <row r="18648" spans="1:1">
      <c r="A18648" t="inlineStr">
        <is>
          <t>Minante II</t>
        </is>
      </c>
    </row>
    <row r="18649" spans="1:1">
      <c r="A18649" t="inlineStr">
        <is>
          <t>Naganacan</t>
        </is>
      </c>
    </row>
    <row r="18650" spans="1:1">
      <c r="A18650" t="inlineStr">
        <is>
          <t>Nagcampegan</t>
        </is>
      </c>
    </row>
    <row r="18651" spans="1:1">
      <c r="A18651" t="inlineStr">
        <is>
          <t>Nagrumbuan</t>
        </is>
      </c>
    </row>
    <row r="18652" spans="1:1">
      <c r="A18652" t="inlineStr">
        <is>
          <t>Nungnungan I</t>
        </is>
      </c>
    </row>
    <row r="18653" spans="1:1">
      <c r="A18653" t="inlineStr">
        <is>
          <t>Nungnungan II</t>
        </is>
      </c>
    </row>
    <row r="18654" spans="1:1">
      <c r="A18654" t="inlineStr">
        <is>
          <t>Pinoma</t>
        </is>
      </c>
    </row>
    <row r="18655" spans="1:1">
      <c r="A18655" t="inlineStr">
        <is>
          <t>Rizal</t>
        </is>
      </c>
    </row>
    <row r="18656" spans="1:1">
      <c r="A18656" t="inlineStr">
        <is>
          <t>Rogus</t>
        </is>
      </c>
    </row>
    <row r="18657" spans="1:1">
      <c r="A18657" t="inlineStr">
        <is>
          <t>San Antonio</t>
        </is>
      </c>
    </row>
    <row r="18658" spans="1:1">
      <c r="A18658" t="inlineStr">
        <is>
          <t>San Fermin</t>
        </is>
      </c>
    </row>
    <row r="18659" spans="1:1">
      <c r="A18659" t="inlineStr">
        <is>
          <t>San Francisco</t>
        </is>
      </c>
    </row>
    <row r="18660" spans="1:1">
      <c r="A18660" t="inlineStr">
        <is>
          <t>San Isidro</t>
        </is>
      </c>
    </row>
    <row r="18661" spans="1:1">
      <c r="A18661" t="inlineStr">
        <is>
          <t>San Luis</t>
        </is>
      </c>
    </row>
    <row r="18662" spans="1:1">
      <c r="A18662" t="inlineStr">
        <is>
          <t>San Pablo</t>
        </is>
      </c>
    </row>
    <row r="18663" spans="1:1">
      <c r="A18663" t="inlineStr">
        <is>
          <t>Santa Luciana</t>
        </is>
      </c>
    </row>
    <row r="18664" spans="1:1">
      <c r="A18664" t="inlineStr">
        <is>
          <t>Santa Maria</t>
        </is>
      </c>
    </row>
    <row r="18665" spans="1:1">
      <c r="A18665" t="inlineStr">
        <is>
          <t>Sillawit</t>
        </is>
      </c>
    </row>
    <row r="18666" spans="1:1">
      <c r="A18666" t="inlineStr">
        <is>
          <t>Sinippil</t>
        </is>
      </c>
    </row>
    <row r="18667" spans="1:1">
      <c r="A18667" t="inlineStr">
        <is>
          <t>Tagaran</t>
        </is>
      </c>
    </row>
    <row r="18668" spans="1:1">
      <c r="A18668" t="inlineStr">
        <is>
          <t>Turayong</t>
        </is>
      </c>
    </row>
    <row r="18669" spans="1:1">
      <c r="A18669" t="inlineStr">
        <is>
          <t>Union</t>
        </is>
      </c>
    </row>
    <row r="18670" spans="1:1">
      <c r="A18670" t="inlineStr">
        <is>
          <t>Villa Concepcion</t>
        </is>
      </c>
    </row>
    <row r="18671" spans="1:1">
      <c r="A18671" t="inlineStr">
        <is>
          <t>Villa Luna</t>
        </is>
      </c>
    </row>
    <row r="18672" spans="1:1">
      <c r="A18672" t="inlineStr">
        <is>
          <t>Villaflor</t>
        </is>
      </c>
    </row>
    <row r="18673" spans="1:1">
      <c r="A18673" t="inlineStr">
        <is>
          <t>Aggasian</t>
        </is>
      </c>
    </row>
    <row r="18674" spans="1:1">
      <c r="A18674" t="inlineStr">
        <is>
          <t>Alibagu</t>
        </is>
      </c>
    </row>
    <row r="18675" spans="1:1">
      <c r="A18675" t="inlineStr">
        <is>
          <t>Allinguigan 1st</t>
        </is>
      </c>
    </row>
    <row r="18676" spans="1:1">
      <c r="A18676" t="inlineStr">
        <is>
          <t>Allinguigan 2nd</t>
        </is>
      </c>
    </row>
    <row r="18677" spans="1:1">
      <c r="A18677" t="inlineStr">
        <is>
          <t>Allinguigan 3rd</t>
        </is>
      </c>
    </row>
    <row r="18678" spans="1:1">
      <c r="A18678" t="inlineStr">
        <is>
          <t>Arusip</t>
        </is>
      </c>
    </row>
    <row r="18679" spans="1:1">
      <c r="A18679" t="inlineStr">
        <is>
          <t>Baculod</t>
        </is>
      </c>
    </row>
    <row r="18680" spans="1:1">
      <c r="A18680" t="inlineStr">
        <is>
          <t>Bagong Silang</t>
        </is>
      </c>
    </row>
    <row r="18681" spans="1:1">
      <c r="A18681" t="inlineStr">
        <is>
          <t>Bagumbayan</t>
        </is>
      </c>
    </row>
    <row r="18682" spans="1:1">
      <c r="A18682" t="inlineStr">
        <is>
          <t>Baligatan</t>
        </is>
      </c>
    </row>
    <row r="18683" spans="1:1">
      <c r="A18683" t="inlineStr">
        <is>
          <t>Ballacong</t>
        </is>
      </c>
    </row>
    <row r="18684" spans="1:1">
      <c r="A18684" t="inlineStr">
        <is>
          <t>Bangag</t>
        </is>
      </c>
    </row>
    <row r="18685" spans="1:1">
      <c r="A18685" t="inlineStr">
        <is>
          <t>Batong-Labang</t>
        </is>
      </c>
    </row>
    <row r="18686" spans="1:1">
      <c r="A18686" t="inlineStr">
        <is>
          <t>Bigao</t>
        </is>
      </c>
    </row>
    <row r="18687" spans="1:1">
      <c r="A18687" t="inlineStr">
        <is>
          <t>Cabannungan 1st</t>
        </is>
      </c>
    </row>
    <row r="18688" spans="1:1">
      <c r="A18688" t="inlineStr">
        <is>
          <t>Cabannungan 2nd</t>
        </is>
      </c>
    </row>
    <row r="18689" spans="1:1">
      <c r="A18689" t="inlineStr">
        <is>
          <t>Cabeseria 10</t>
        </is>
      </c>
    </row>
    <row r="18690" spans="1:1">
      <c r="A18690" t="inlineStr">
        <is>
          <t>Cabeseria 14 and 16</t>
        </is>
      </c>
    </row>
    <row r="18691" spans="1:1">
      <c r="A18691" t="inlineStr">
        <is>
          <t>Cabeseria 17 and 21</t>
        </is>
      </c>
    </row>
    <row r="18692" spans="1:1">
      <c r="A18692" t="inlineStr">
        <is>
          <t>Cabeseria 19</t>
        </is>
      </c>
    </row>
    <row r="18693" spans="1:1">
      <c r="A18693" t="inlineStr">
        <is>
          <t>Cabeseria 2</t>
        </is>
      </c>
    </row>
    <row r="18694" spans="1:1">
      <c r="A18694" t="inlineStr">
        <is>
          <t>Cabeseria 22</t>
        </is>
      </c>
    </row>
    <row r="18695" spans="1:1">
      <c r="A18695" t="inlineStr">
        <is>
          <t>Cabeseria 23</t>
        </is>
      </c>
    </row>
    <row r="18696" spans="1:1">
      <c r="A18696" t="inlineStr">
        <is>
          <t>Cabeseria 25</t>
        </is>
      </c>
    </row>
    <row r="18697" spans="1:1">
      <c r="A18697" t="inlineStr">
        <is>
          <t>Cabeseria 27</t>
        </is>
      </c>
    </row>
    <row r="18698" spans="1:1">
      <c r="A18698" t="inlineStr">
        <is>
          <t>Cabeseria 3</t>
        </is>
      </c>
    </row>
    <row r="18699" spans="1:1">
      <c r="A18699" t="inlineStr">
        <is>
          <t>Cabeseria 4</t>
        </is>
      </c>
    </row>
    <row r="18700" spans="1:1">
      <c r="A18700" t="inlineStr">
        <is>
          <t>Cabeseria 5</t>
        </is>
      </c>
    </row>
    <row r="18701" spans="1:1">
      <c r="A18701" t="inlineStr">
        <is>
          <t>Cabeseria 6 &amp; 24</t>
        </is>
      </c>
    </row>
    <row r="18702" spans="1:1">
      <c r="A18702" t="inlineStr">
        <is>
          <t>Cabeseria 7</t>
        </is>
      </c>
    </row>
    <row r="18703" spans="1:1">
      <c r="A18703" t="inlineStr">
        <is>
          <t>Cabeseria 9 and 11</t>
        </is>
      </c>
    </row>
    <row r="18704" spans="1:1">
      <c r="A18704" t="inlineStr">
        <is>
          <t>Cadu</t>
        </is>
      </c>
    </row>
    <row r="18705" spans="1:1">
      <c r="A18705" t="inlineStr">
        <is>
          <t>Calamagui 1st</t>
        </is>
      </c>
    </row>
    <row r="18706" spans="1:1">
      <c r="A18706" t="inlineStr">
        <is>
          <t>Calamagui 2nd</t>
        </is>
      </c>
    </row>
    <row r="18707" spans="1:1">
      <c r="A18707" t="inlineStr">
        <is>
          <t>Camunatan</t>
        </is>
      </c>
    </row>
    <row r="18708" spans="1:1">
      <c r="A18708" t="inlineStr">
        <is>
          <t>Capellan</t>
        </is>
      </c>
    </row>
    <row r="18709" spans="1:1">
      <c r="A18709" t="inlineStr">
        <is>
          <t>Capo</t>
        </is>
      </c>
    </row>
    <row r="18710" spans="1:1">
      <c r="A18710" t="inlineStr">
        <is>
          <t>Carikkikan Norte</t>
        </is>
      </c>
    </row>
    <row r="18711" spans="1:1">
      <c r="A18711" t="inlineStr">
        <is>
          <t>Carikkikan Sur</t>
        </is>
      </c>
    </row>
    <row r="18712" spans="1:1">
      <c r="A18712" t="inlineStr">
        <is>
          <t>Centro - San Antonio</t>
        </is>
      </c>
    </row>
    <row r="18713" spans="1:1">
      <c r="A18713" t="inlineStr">
        <is>
          <t>Centro Poblacion</t>
        </is>
      </c>
    </row>
    <row r="18714" spans="1:1">
      <c r="A18714" t="inlineStr">
        <is>
          <t>Fugu</t>
        </is>
      </c>
    </row>
    <row r="18715" spans="1:1">
      <c r="A18715" t="inlineStr">
        <is>
          <t>Fuyo</t>
        </is>
      </c>
    </row>
    <row r="18716" spans="1:1">
      <c r="A18716" t="inlineStr">
        <is>
          <t>Gayong-Gayong Norte</t>
        </is>
      </c>
    </row>
    <row r="18717" spans="1:1">
      <c r="A18717" t="inlineStr">
        <is>
          <t>Gayong-Gayong Sur</t>
        </is>
      </c>
    </row>
    <row r="18718" spans="1:1">
      <c r="A18718" t="inlineStr">
        <is>
          <t>Guinatan</t>
        </is>
      </c>
    </row>
    <row r="18719" spans="1:1">
      <c r="A18719" t="inlineStr">
        <is>
          <t>Imelda Bliss Village</t>
        </is>
      </c>
    </row>
    <row r="18720" spans="1:1">
      <c r="A18720" t="inlineStr">
        <is>
          <t>Lullutan</t>
        </is>
      </c>
    </row>
    <row r="18721" spans="1:1">
      <c r="A18721" t="inlineStr">
        <is>
          <t>Malalam</t>
        </is>
      </c>
    </row>
    <row r="18722" spans="1:1">
      <c r="A18722" t="inlineStr">
        <is>
          <t>Malasin</t>
        </is>
      </c>
    </row>
    <row r="18723" spans="1:1">
      <c r="A18723" t="inlineStr">
        <is>
          <t>Manaring</t>
        </is>
      </c>
    </row>
    <row r="18724" spans="1:1">
      <c r="A18724" t="inlineStr">
        <is>
          <t>Mangcuram</t>
        </is>
      </c>
    </row>
    <row r="18725" spans="1:1">
      <c r="A18725" t="inlineStr">
        <is>
          <t>Marana I</t>
        </is>
      </c>
    </row>
    <row r="18726" spans="1:1">
      <c r="A18726" t="inlineStr">
        <is>
          <t>Marana II</t>
        </is>
      </c>
    </row>
    <row r="18727" spans="1:1">
      <c r="A18727" t="inlineStr">
        <is>
          <t>Marana III</t>
        </is>
      </c>
    </row>
    <row r="18728" spans="1:1">
      <c r="A18728" t="inlineStr">
        <is>
          <t>Minabang</t>
        </is>
      </c>
    </row>
    <row r="18729" spans="1:1">
      <c r="A18729" t="inlineStr">
        <is>
          <t>Morado</t>
        </is>
      </c>
    </row>
    <row r="18730" spans="1:1">
      <c r="A18730" t="inlineStr">
        <is>
          <t>Naguilian Norte</t>
        </is>
      </c>
    </row>
    <row r="18731" spans="1:1">
      <c r="A18731" t="inlineStr">
        <is>
          <t>Naguilian Sur</t>
        </is>
      </c>
    </row>
    <row r="18732" spans="1:1">
      <c r="A18732" t="inlineStr">
        <is>
          <t>Namnama</t>
        </is>
      </c>
    </row>
    <row r="18733" spans="1:1">
      <c r="A18733" t="inlineStr">
        <is>
          <t>Nanaguan</t>
        </is>
      </c>
    </row>
    <row r="18734" spans="1:1">
      <c r="A18734" t="inlineStr">
        <is>
          <t>Osmeña</t>
        </is>
      </c>
    </row>
    <row r="18735" spans="1:1">
      <c r="A18735" t="inlineStr">
        <is>
          <t>Paliueg</t>
        </is>
      </c>
    </row>
    <row r="18736" spans="1:1">
      <c r="A18736" t="inlineStr">
        <is>
          <t>Pasa</t>
        </is>
      </c>
    </row>
    <row r="18737" spans="1:1">
      <c r="A18737" t="inlineStr">
        <is>
          <t>Pilar</t>
        </is>
      </c>
    </row>
    <row r="18738" spans="1:1">
      <c r="A18738" t="inlineStr">
        <is>
          <t>Quimalabasa</t>
        </is>
      </c>
    </row>
    <row r="18739" spans="1:1">
      <c r="A18739" t="inlineStr">
        <is>
          <t>Rang-ayan</t>
        </is>
      </c>
    </row>
    <row r="18740" spans="1:1">
      <c r="A18740" t="inlineStr">
        <is>
          <t>Rugao</t>
        </is>
      </c>
    </row>
    <row r="18741" spans="1:1">
      <c r="A18741" t="inlineStr">
        <is>
          <t>Salindingan</t>
        </is>
      </c>
    </row>
    <row r="18742" spans="1:1">
      <c r="A18742" t="inlineStr">
        <is>
          <t>San Andres</t>
        </is>
      </c>
    </row>
    <row r="18743" spans="1:1">
      <c r="A18743" t="inlineStr">
        <is>
          <t>San Felipe</t>
        </is>
      </c>
    </row>
    <row r="18744" spans="1:1">
      <c r="A18744" t="inlineStr">
        <is>
          <t>San Ignacio</t>
        </is>
      </c>
    </row>
    <row r="18745" spans="1:1">
      <c r="A18745" t="inlineStr">
        <is>
          <t>San Isidro</t>
        </is>
      </c>
    </row>
    <row r="18746" spans="1:1">
      <c r="A18746" t="inlineStr">
        <is>
          <t>San Juan</t>
        </is>
      </c>
    </row>
    <row r="18747" spans="1:1">
      <c r="A18747" t="inlineStr">
        <is>
          <t>San Lorenzo</t>
        </is>
      </c>
    </row>
    <row r="18748" spans="1:1">
      <c r="A18748" t="inlineStr">
        <is>
          <t>San Pablo</t>
        </is>
      </c>
    </row>
    <row r="18749" spans="1:1">
      <c r="A18749" t="inlineStr">
        <is>
          <t>San Rodrigo</t>
        </is>
      </c>
    </row>
    <row r="18750" spans="1:1">
      <c r="A18750" t="inlineStr">
        <is>
          <t>San Vicente</t>
        </is>
      </c>
    </row>
    <row r="18751" spans="1:1">
      <c r="A18751" t="inlineStr">
        <is>
          <t>Santa Barbara</t>
        </is>
      </c>
    </row>
    <row r="18752" spans="1:1">
      <c r="A18752" t="inlineStr">
        <is>
          <t>Santa Catalina</t>
        </is>
      </c>
    </row>
    <row r="18753" spans="1:1">
      <c r="A18753" t="inlineStr">
        <is>
          <t>Santa Isabel Norte</t>
        </is>
      </c>
    </row>
    <row r="18754" spans="1:1">
      <c r="A18754" t="inlineStr">
        <is>
          <t>Santa Isabel Sur</t>
        </is>
      </c>
    </row>
    <row r="18755" spans="1:1">
      <c r="A18755" t="inlineStr">
        <is>
          <t>Santa Maria</t>
        </is>
      </c>
    </row>
    <row r="18756" spans="1:1">
      <c r="A18756" t="inlineStr">
        <is>
          <t>Santa Victoria</t>
        </is>
      </c>
    </row>
    <row r="18757" spans="1:1">
      <c r="A18757" t="inlineStr">
        <is>
          <t>Santo Tomas</t>
        </is>
      </c>
    </row>
    <row r="18758" spans="1:1">
      <c r="A18758" t="inlineStr">
        <is>
          <t>Siffu</t>
        </is>
      </c>
    </row>
    <row r="18759" spans="1:1">
      <c r="A18759" t="inlineStr">
        <is>
          <t>Sindon Bayabo</t>
        </is>
      </c>
    </row>
    <row r="18760" spans="1:1">
      <c r="A18760" t="inlineStr">
        <is>
          <t>Sindon Maride</t>
        </is>
      </c>
    </row>
    <row r="18761" spans="1:1">
      <c r="A18761" t="inlineStr">
        <is>
          <t>Sipay</t>
        </is>
      </c>
    </row>
    <row r="18762" spans="1:1">
      <c r="A18762" t="inlineStr">
        <is>
          <t>Tangcul</t>
        </is>
      </c>
    </row>
    <row r="18763" spans="1:1">
      <c r="A18763" t="inlineStr">
        <is>
          <t>Villa Imelda</t>
        </is>
      </c>
    </row>
    <row r="18764" spans="1:1">
      <c r="A18764" t="inlineStr">
        <is>
          <t>Abra</t>
        </is>
      </c>
    </row>
    <row r="18765" spans="1:1">
      <c r="A18765" t="inlineStr">
        <is>
          <t>Ambalatungan</t>
        </is>
      </c>
    </row>
    <row r="18766" spans="1:1">
      <c r="A18766" t="inlineStr">
        <is>
          <t>Balintocatoc</t>
        </is>
      </c>
    </row>
    <row r="18767" spans="1:1">
      <c r="A18767" t="inlineStr">
        <is>
          <t>Baluarte</t>
        </is>
      </c>
    </row>
    <row r="18768" spans="1:1">
      <c r="A18768" t="inlineStr">
        <is>
          <t>Bannawag Norte</t>
        </is>
      </c>
    </row>
    <row r="18769" spans="1:1">
      <c r="A18769" t="inlineStr">
        <is>
          <t>Batal</t>
        </is>
      </c>
    </row>
    <row r="18770" spans="1:1">
      <c r="A18770" t="inlineStr">
        <is>
          <t>Buenavista</t>
        </is>
      </c>
    </row>
    <row r="18771" spans="1:1">
      <c r="A18771" t="inlineStr">
        <is>
          <t>Cabulay</t>
        </is>
      </c>
    </row>
    <row r="18772" spans="1:1">
      <c r="A18772" t="inlineStr">
        <is>
          <t>Calao East</t>
        </is>
      </c>
    </row>
    <row r="18773" spans="1:1">
      <c r="A18773" t="inlineStr">
        <is>
          <t>Calao West</t>
        </is>
      </c>
    </row>
    <row r="18774" spans="1:1">
      <c r="A18774" t="inlineStr">
        <is>
          <t>Calaocan</t>
        </is>
      </c>
    </row>
    <row r="18775" spans="1:1">
      <c r="A18775" t="inlineStr">
        <is>
          <t>Centro East</t>
        </is>
      </c>
    </row>
    <row r="18776" spans="1:1">
      <c r="A18776" t="inlineStr">
        <is>
          <t>Centro West</t>
        </is>
      </c>
    </row>
    <row r="18777" spans="1:1">
      <c r="A18777" t="inlineStr">
        <is>
          <t>Divisoria</t>
        </is>
      </c>
    </row>
    <row r="18778" spans="1:1">
      <c r="A18778" t="inlineStr">
        <is>
          <t>Dubinan East</t>
        </is>
      </c>
    </row>
    <row r="18779" spans="1:1">
      <c r="A18779" t="inlineStr">
        <is>
          <t>Dubinan West</t>
        </is>
      </c>
    </row>
    <row r="18780" spans="1:1">
      <c r="A18780" t="inlineStr">
        <is>
          <t>Luna</t>
        </is>
      </c>
    </row>
    <row r="18781" spans="1:1">
      <c r="A18781" t="inlineStr">
        <is>
          <t>Mabini</t>
        </is>
      </c>
    </row>
    <row r="18782" spans="1:1">
      <c r="A18782" t="inlineStr">
        <is>
          <t>Malvar</t>
        </is>
      </c>
    </row>
    <row r="18783" spans="1:1">
      <c r="A18783" t="inlineStr">
        <is>
          <t>Nabbuan</t>
        </is>
      </c>
    </row>
    <row r="18784" spans="1:1">
      <c r="A18784" t="inlineStr">
        <is>
          <t>Naggasican</t>
        </is>
      </c>
    </row>
    <row r="18785" spans="1:1">
      <c r="A18785" t="inlineStr">
        <is>
          <t>Patul</t>
        </is>
      </c>
    </row>
    <row r="18786" spans="1:1">
      <c r="A18786" t="inlineStr">
        <is>
          <t>Plaridel</t>
        </is>
      </c>
    </row>
    <row r="18787" spans="1:1">
      <c r="A18787" t="inlineStr">
        <is>
          <t>Rizal</t>
        </is>
      </c>
    </row>
    <row r="18788" spans="1:1">
      <c r="A18788" t="inlineStr">
        <is>
          <t>Rosario</t>
        </is>
      </c>
    </row>
    <row r="18789" spans="1:1">
      <c r="A18789" t="inlineStr">
        <is>
          <t>Sagana</t>
        </is>
      </c>
    </row>
    <row r="18790" spans="1:1">
      <c r="A18790" t="inlineStr">
        <is>
          <t>Salvador</t>
        </is>
      </c>
    </row>
    <row r="18791" spans="1:1">
      <c r="A18791" t="inlineStr">
        <is>
          <t>San Andres</t>
        </is>
      </c>
    </row>
    <row r="18792" spans="1:1">
      <c r="A18792" t="inlineStr">
        <is>
          <t>San Isidro</t>
        </is>
      </c>
    </row>
    <row r="18793" spans="1:1">
      <c r="A18793" t="inlineStr">
        <is>
          <t>San Jose</t>
        </is>
      </c>
    </row>
    <row r="18794" spans="1:1">
      <c r="A18794" t="inlineStr">
        <is>
          <t>Santa Rosa</t>
        </is>
      </c>
    </row>
    <row r="18795" spans="1:1">
      <c r="A18795" t="inlineStr">
        <is>
          <t>Sinili</t>
        </is>
      </c>
    </row>
    <row r="18796" spans="1:1">
      <c r="A18796" t="inlineStr">
        <is>
          <t>Sinsayon</t>
        </is>
      </c>
    </row>
    <row r="18797" spans="1:1">
      <c r="A18797" t="inlineStr">
        <is>
          <t>Victory Norte</t>
        </is>
      </c>
    </row>
    <row r="18798" spans="1:1">
      <c r="A18798" t="inlineStr">
        <is>
          <t>Victory Sur</t>
        </is>
      </c>
    </row>
    <row r="18799" spans="1:1">
      <c r="A18799" t="inlineStr">
        <is>
          <t>Villa Gonzaga</t>
        </is>
      </c>
    </row>
    <row r="18800" spans="1:1">
      <c r="A18800" t="inlineStr">
        <is>
          <t>Villasis</t>
        </is>
      </c>
    </row>
    <row r="18801" spans="1:1">
      <c r="A18801" t="inlineStr">
        <is>
          <t>Aguinaldo</t>
        </is>
      </c>
    </row>
    <row r="18802" spans="1:1">
      <c r="A18802" t="inlineStr">
        <is>
          <t>Anonang</t>
        </is>
      </c>
    </row>
    <row r="18803" spans="1:1">
      <c r="A18803" t="inlineStr">
        <is>
          <t>Calimaturod</t>
        </is>
      </c>
    </row>
    <row r="18804" spans="1:1">
      <c r="A18804" t="inlineStr">
        <is>
          <t>Camarao</t>
        </is>
      </c>
    </row>
    <row r="18805" spans="1:1">
      <c r="A18805" t="inlineStr">
        <is>
          <t>Capirpiriwan</t>
        </is>
      </c>
    </row>
    <row r="18806" spans="1:1">
      <c r="A18806" t="inlineStr">
        <is>
          <t>Caquilingan</t>
        </is>
      </c>
    </row>
    <row r="18807" spans="1:1">
      <c r="A18807" t="inlineStr">
        <is>
          <t>Dallao</t>
        </is>
      </c>
    </row>
    <row r="18808" spans="1:1">
      <c r="A18808" t="inlineStr">
        <is>
          <t>Gayong</t>
        </is>
      </c>
    </row>
    <row r="18809" spans="1:1">
      <c r="A18809" t="inlineStr">
        <is>
          <t>Laurel</t>
        </is>
      </c>
    </row>
    <row r="18810" spans="1:1">
      <c r="A18810" t="inlineStr">
        <is>
          <t>Magsaysay</t>
        </is>
      </c>
    </row>
    <row r="18811" spans="1:1">
      <c r="A18811" t="inlineStr">
        <is>
          <t>Malapat</t>
        </is>
      </c>
    </row>
    <row r="18812" spans="1:1">
      <c r="A18812" t="inlineStr">
        <is>
          <t>Osmena</t>
        </is>
      </c>
    </row>
    <row r="18813" spans="1:1">
      <c r="A18813" t="inlineStr">
        <is>
          <t>Quezon</t>
        </is>
      </c>
    </row>
    <row r="18814" spans="1:1">
      <c r="A18814" t="inlineStr">
        <is>
          <t>Quirino</t>
        </is>
      </c>
    </row>
    <row r="18815" spans="1:1">
      <c r="A18815" t="inlineStr">
        <is>
          <t>Rizaluna</t>
        </is>
      </c>
    </row>
    <row r="18816" spans="1:1">
      <c r="A18816" t="inlineStr">
        <is>
          <t>Roxas Pob.</t>
        </is>
      </c>
    </row>
    <row r="18817" spans="1:1">
      <c r="A18817" t="inlineStr">
        <is>
          <t>Sagat</t>
        </is>
      </c>
    </row>
    <row r="18818" spans="1:1">
      <c r="A18818" t="inlineStr">
        <is>
          <t>San Juan</t>
        </is>
      </c>
    </row>
    <row r="18819" spans="1:1">
      <c r="A18819" t="inlineStr">
        <is>
          <t>Taliktik</t>
        </is>
      </c>
    </row>
    <row r="18820" spans="1:1">
      <c r="A18820" t="inlineStr">
        <is>
          <t>Tanggal</t>
        </is>
      </c>
    </row>
    <row r="18821" spans="1:1">
      <c r="A18821" t="inlineStr">
        <is>
          <t>Tarinsing</t>
        </is>
      </c>
    </row>
    <row r="18822" spans="1:1">
      <c r="A18822" t="inlineStr">
        <is>
          <t>Turod Norte</t>
        </is>
      </c>
    </row>
    <row r="18823" spans="1:1">
      <c r="A18823" t="inlineStr">
        <is>
          <t>Turod Sur</t>
        </is>
      </c>
    </row>
    <row r="18824" spans="1:1">
      <c r="A18824" t="inlineStr">
        <is>
          <t>Villamarzo</t>
        </is>
      </c>
    </row>
    <row r="18825" spans="1:1">
      <c r="A18825" t="inlineStr">
        <is>
          <t>Villamiemban</t>
        </is>
      </c>
    </row>
    <row r="18826" spans="1:1">
      <c r="A18826" t="inlineStr">
        <is>
          <t>Wigan</t>
        </is>
      </c>
    </row>
    <row r="18827" spans="1:1">
      <c r="A18827" t="inlineStr">
        <is>
          <t>Aga</t>
        </is>
      </c>
    </row>
    <row r="18828" spans="1:1">
      <c r="A18828" t="inlineStr">
        <is>
          <t>Andarayan</t>
        </is>
      </c>
    </row>
    <row r="18829" spans="1:1">
      <c r="A18829" t="inlineStr">
        <is>
          <t>Aneg</t>
        </is>
      </c>
    </row>
    <row r="18830" spans="1:1">
      <c r="A18830" t="inlineStr">
        <is>
          <t>Bayabo</t>
        </is>
      </c>
    </row>
    <row r="18831" spans="1:1">
      <c r="A18831" t="inlineStr">
        <is>
          <t>Calaocan</t>
        </is>
      </c>
    </row>
    <row r="18832" spans="1:1">
      <c r="A18832" t="inlineStr">
        <is>
          <t>Calinaoan Sur</t>
        </is>
      </c>
    </row>
    <row r="18833" spans="1:1">
      <c r="A18833" t="inlineStr">
        <is>
          <t>Capitol</t>
        </is>
      </c>
    </row>
    <row r="18834" spans="1:1">
      <c r="A18834" t="inlineStr">
        <is>
          <t>Carmencita</t>
        </is>
      </c>
    </row>
    <row r="18835" spans="1:1">
      <c r="A18835" t="inlineStr">
        <is>
          <t>Concepcion</t>
        </is>
      </c>
    </row>
    <row r="18836" spans="1:1">
      <c r="A18836" t="inlineStr">
        <is>
          <t>Maui</t>
        </is>
      </c>
    </row>
    <row r="18837" spans="1:1">
      <c r="A18837" t="inlineStr">
        <is>
          <t>Quibal</t>
        </is>
      </c>
    </row>
    <row r="18838" spans="1:1">
      <c r="A18838" t="inlineStr">
        <is>
          <t>Ragan Almacen</t>
        </is>
      </c>
    </row>
    <row r="18839" spans="1:1">
      <c r="A18839" t="inlineStr">
        <is>
          <t>Ragan Norte</t>
        </is>
      </c>
    </row>
    <row r="18840" spans="1:1">
      <c r="A18840" t="inlineStr">
        <is>
          <t>Ragan Sur</t>
        </is>
      </c>
    </row>
    <row r="18841" spans="1:1">
      <c r="A18841" t="inlineStr">
        <is>
          <t>Rizal</t>
        </is>
      </c>
    </row>
    <row r="18842" spans="1:1">
      <c r="A18842" t="inlineStr">
        <is>
          <t>San Andres</t>
        </is>
      </c>
    </row>
    <row r="18843" spans="1:1">
      <c r="A18843" t="inlineStr">
        <is>
          <t>San Antonio</t>
        </is>
      </c>
    </row>
    <row r="18844" spans="1:1">
      <c r="A18844" t="inlineStr">
        <is>
          <t>San Isidro</t>
        </is>
      </c>
    </row>
    <row r="18845" spans="1:1">
      <c r="A18845" t="inlineStr">
        <is>
          <t>San Jose</t>
        </is>
      </c>
    </row>
    <row r="18846" spans="1:1">
      <c r="A18846" t="inlineStr">
        <is>
          <t>San Juan</t>
        </is>
      </c>
    </row>
    <row r="18847" spans="1:1">
      <c r="A18847" t="inlineStr">
        <is>
          <t>San Macario</t>
        </is>
      </c>
    </row>
    <row r="18848" spans="1:1">
      <c r="A18848" t="inlineStr">
        <is>
          <t>San Nicolas</t>
        </is>
      </c>
    </row>
    <row r="18849" spans="1:1">
      <c r="A18849" t="inlineStr">
        <is>
          <t>San Patricio</t>
        </is>
      </c>
    </row>
    <row r="18850" spans="1:1">
      <c r="A18850" t="inlineStr">
        <is>
          <t>San Roque</t>
        </is>
      </c>
    </row>
    <row r="18851" spans="1:1">
      <c r="A18851" t="inlineStr">
        <is>
          <t>Santor</t>
        </is>
      </c>
    </row>
    <row r="18852" spans="1:1">
      <c r="A18852" t="inlineStr">
        <is>
          <t>Sto. Rosario</t>
        </is>
      </c>
    </row>
    <row r="18853" spans="1:1">
      <c r="A18853" t="inlineStr">
        <is>
          <t>Villa Luz</t>
        </is>
      </c>
    </row>
    <row r="18854" spans="1:1">
      <c r="A18854" t="inlineStr">
        <is>
          <t>Villa Pereda</t>
        </is>
      </c>
    </row>
    <row r="18855" spans="1:1">
      <c r="A18855" t="inlineStr">
        <is>
          <t>Visitacion</t>
        </is>
      </c>
    </row>
    <row r="18856" spans="1:1">
      <c r="A18856" t="inlineStr">
        <is>
          <t>Ayod</t>
        </is>
      </c>
    </row>
    <row r="18857" spans="1:1">
      <c r="A18857" t="inlineStr">
        <is>
          <t>Bucal Norte</t>
        </is>
      </c>
    </row>
    <row r="18858" spans="1:1">
      <c r="A18858" t="inlineStr">
        <is>
          <t>Bucal Sur</t>
        </is>
      </c>
    </row>
    <row r="18859" spans="1:1">
      <c r="A18859" t="inlineStr">
        <is>
          <t>Dibulo</t>
        </is>
      </c>
    </row>
    <row r="18860" spans="1:1">
      <c r="A18860" t="inlineStr">
        <is>
          <t>Digumased</t>
        </is>
      </c>
    </row>
    <row r="18861" spans="1:1">
      <c r="A18861" t="inlineStr">
        <is>
          <t>Dimaluade</t>
        </is>
      </c>
    </row>
    <row r="18862" spans="1:1">
      <c r="A18862" t="inlineStr">
        <is>
          <t>Bicobian</t>
        </is>
      </c>
    </row>
    <row r="18863" spans="1:1">
      <c r="A18863" t="inlineStr">
        <is>
          <t>Dibulos</t>
        </is>
      </c>
    </row>
    <row r="18864" spans="1:1">
      <c r="A18864" t="inlineStr">
        <is>
          <t>Dicambangan</t>
        </is>
      </c>
    </row>
    <row r="18865" spans="1:1">
      <c r="A18865" t="inlineStr">
        <is>
          <t>Dicaroyan</t>
        </is>
      </c>
    </row>
    <row r="18866" spans="1:1">
      <c r="A18866" t="inlineStr">
        <is>
          <t>Dicatian</t>
        </is>
      </c>
    </row>
    <row r="18867" spans="1:1">
      <c r="A18867" t="inlineStr">
        <is>
          <t>Dilakit</t>
        </is>
      </c>
    </row>
    <row r="18868" spans="1:1">
      <c r="A18868" t="inlineStr">
        <is>
          <t>Dimapnat</t>
        </is>
      </c>
    </row>
    <row r="18869" spans="1:1">
      <c r="A18869" t="inlineStr">
        <is>
          <t>Dimapula</t>
        </is>
      </c>
    </row>
    <row r="18870" spans="1:1">
      <c r="A18870" t="inlineStr">
        <is>
          <t>Dimasalansan</t>
        </is>
      </c>
    </row>
    <row r="18871" spans="1:1">
      <c r="A18871" t="inlineStr">
        <is>
          <t>Dipudo</t>
        </is>
      </c>
    </row>
    <row r="18872" spans="1:1">
      <c r="A18872" t="inlineStr">
        <is>
          <t>Ditarum</t>
        </is>
      </c>
    </row>
    <row r="18873" spans="1:1">
      <c r="A18873" t="inlineStr">
        <is>
          <t>Sapinit</t>
        </is>
      </c>
    </row>
    <row r="18874" spans="1:1">
      <c r="A18874" t="inlineStr">
        <is>
          <t>Angoluan</t>
        </is>
      </c>
    </row>
    <row r="18875" spans="1:1">
      <c r="A18875" t="inlineStr">
        <is>
          <t>Annafunan</t>
        </is>
      </c>
    </row>
    <row r="18876" spans="1:1">
      <c r="A18876" t="inlineStr">
        <is>
          <t>Arabiat</t>
        </is>
      </c>
    </row>
    <row r="18877" spans="1:1">
      <c r="A18877" t="inlineStr">
        <is>
          <t>Aromin</t>
        </is>
      </c>
    </row>
    <row r="18878" spans="1:1">
      <c r="A18878" t="inlineStr">
        <is>
          <t>Babaran</t>
        </is>
      </c>
    </row>
    <row r="18879" spans="1:1">
      <c r="A18879" t="inlineStr">
        <is>
          <t>Bacradal</t>
        </is>
      </c>
    </row>
    <row r="18880" spans="1:1">
      <c r="A18880" t="inlineStr">
        <is>
          <t>Benguet</t>
        </is>
      </c>
    </row>
    <row r="18881" spans="1:1">
      <c r="A18881" t="inlineStr">
        <is>
          <t>Buneg</t>
        </is>
      </c>
    </row>
    <row r="18882" spans="1:1">
      <c r="A18882" t="inlineStr">
        <is>
          <t>Busilelao</t>
        </is>
      </c>
    </row>
    <row r="18883" spans="1:1">
      <c r="A18883" t="inlineStr">
        <is>
          <t>Cabugao</t>
        </is>
      </c>
    </row>
    <row r="18884" spans="1:1">
      <c r="A18884" t="inlineStr">
        <is>
          <t>Caniguing</t>
        </is>
      </c>
    </row>
    <row r="18885" spans="1:1">
      <c r="A18885" t="inlineStr">
        <is>
          <t>Carulay</t>
        </is>
      </c>
    </row>
    <row r="18886" spans="1:1">
      <c r="A18886" t="inlineStr">
        <is>
          <t>Castillo</t>
        </is>
      </c>
    </row>
    <row r="18887" spans="1:1">
      <c r="A18887" t="inlineStr">
        <is>
          <t>Dammang East</t>
        </is>
      </c>
    </row>
    <row r="18888" spans="1:1">
      <c r="A18888" t="inlineStr">
        <is>
          <t>Dammang West</t>
        </is>
      </c>
    </row>
    <row r="18889" spans="1:1">
      <c r="A18889" t="inlineStr">
        <is>
          <t>Diasan</t>
        </is>
      </c>
    </row>
    <row r="18890" spans="1:1">
      <c r="A18890" t="inlineStr">
        <is>
          <t>Dicaraoyan</t>
        </is>
      </c>
    </row>
    <row r="18891" spans="1:1">
      <c r="A18891" t="inlineStr">
        <is>
          <t>Dugayong</t>
        </is>
      </c>
    </row>
    <row r="18892" spans="1:1">
      <c r="A18892" t="inlineStr">
        <is>
          <t>Fugu</t>
        </is>
      </c>
    </row>
    <row r="18893" spans="1:1">
      <c r="A18893" t="inlineStr">
        <is>
          <t>Garit Norte</t>
        </is>
      </c>
    </row>
    <row r="18894" spans="1:1">
      <c r="A18894" t="inlineStr">
        <is>
          <t>Garit Sur</t>
        </is>
      </c>
    </row>
    <row r="18895" spans="1:1">
      <c r="A18895" t="inlineStr">
        <is>
          <t>Gucab</t>
        </is>
      </c>
    </row>
    <row r="18896" spans="1:1">
      <c r="A18896" t="inlineStr">
        <is>
          <t>Gumbauan</t>
        </is>
      </c>
    </row>
    <row r="18897" spans="1:1">
      <c r="A18897" t="inlineStr">
        <is>
          <t>Ipil</t>
        </is>
      </c>
    </row>
    <row r="18898" spans="1:1">
      <c r="A18898" t="inlineStr">
        <is>
          <t>Libertad</t>
        </is>
      </c>
    </row>
    <row r="18899" spans="1:1">
      <c r="A18899" t="inlineStr">
        <is>
          <t>Mabbayad</t>
        </is>
      </c>
    </row>
    <row r="18900" spans="1:1">
      <c r="A18900" t="inlineStr">
        <is>
          <t>Mabuhay</t>
        </is>
      </c>
    </row>
    <row r="18901" spans="1:1">
      <c r="A18901" t="inlineStr">
        <is>
          <t>Madadamian</t>
        </is>
      </c>
    </row>
    <row r="18902" spans="1:1">
      <c r="A18902" t="inlineStr">
        <is>
          <t>Magleticia</t>
        </is>
      </c>
    </row>
    <row r="18903" spans="1:1">
      <c r="A18903" t="inlineStr">
        <is>
          <t>Malibago</t>
        </is>
      </c>
    </row>
    <row r="18904" spans="1:1">
      <c r="A18904" t="inlineStr">
        <is>
          <t>Maligaya</t>
        </is>
      </c>
    </row>
    <row r="18905" spans="1:1">
      <c r="A18905" t="inlineStr">
        <is>
          <t>Malitao</t>
        </is>
      </c>
    </row>
    <row r="18906" spans="1:1">
      <c r="A18906" t="inlineStr">
        <is>
          <t>Narra</t>
        </is>
      </c>
    </row>
    <row r="18907" spans="1:1">
      <c r="A18907" t="inlineStr">
        <is>
          <t>Nilumisu</t>
        </is>
      </c>
    </row>
    <row r="18908" spans="1:1">
      <c r="A18908" t="inlineStr">
        <is>
          <t>Pag-asa</t>
        </is>
      </c>
    </row>
    <row r="18909" spans="1:1">
      <c r="A18909" t="inlineStr">
        <is>
          <t>Pangal Norte</t>
        </is>
      </c>
    </row>
    <row r="18910" spans="1:1">
      <c r="A18910" t="inlineStr">
        <is>
          <t>Pangal Sur</t>
        </is>
      </c>
    </row>
    <row r="18911" spans="1:1">
      <c r="A18911" t="inlineStr">
        <is>
          <t>Rumang-ay</t>
        </is>
      </c>
    </row>
    <row r="18912" spans="1:1">
      <c r="A18912" t="inlineStr">
        <is>
          <t>Salay</t>
        </is>
      </c>
    </row>
    <row r="18913" spans="1:1">
      <c r="A18913" t="inlineStr">
        <is>
          <t>Salvacion</t>
        </is>
      </c>
    </row>
    <row r="18914" spans="1:1">
      <c r="A18914" t="inlineStr">
        <is>
          <t>San Antonio Minit</t>
        </is>
      </c>
    </row>
    <row r="18915" spans="1:1">
      <c r="A18915" t="inlineStr">
        <is>
          <t>San Antonio Ugad</t>
        </is>
      </c>
    </row>
    <row r="18916" spans="1:1">
      <c r="A18916" t="inlineStr">
        <is>
          <t>San Carlos</t>
        </is>
      </c>
    </row>
    <row r="18917" spans="1:1">
      <c r="A18917" t="inlineStr">
        <is>
          <t>San Fabian</t>
        </is>
      </c>
    </row>
    <row r="18918" spans="1:1">
      <c r="A18918" t="inlineStr">
        <is>
          <t>San Felipe</t>
        </is>
      </c>
    </row>
    <row r="18919" spans="1:1">
      <c r="A18919" t="inlineStr">
        <is>
          <t>San Juan</t>
        </is>
      </c>
    </row>
    <row r="18920" spans="1:1">
      <c r="A18920" t="inlineStr">
        <is>
          <t>San Manuel</t>
        </is>
      </c>
    </row>
    <row r="18921" spans="1:1">
      <c r="A18921" t="inlineStr">
        <is>
          <t>San Miguel</t>
        </is>
      </c>
    </row>
    <row r="18922" spans="1:1">
      <c r="A18922" t="inlineStr">
        <is>
          <t>San Salvador</t>
        </is>
      </c>
    </row>
    <row r="18923" spans="1:1">
      <c r="A18923" t="inlineStr">
        <is>
          <t>Santa Ana</t>
        </is>
      </c>
    </row>
    <row r="18924" spans="1:1">
      <c r="A18924" t="inlineStr">
        <is>
          <t>Santa Cruz</t>
        </is>
      </c>
    </row>
    <row r="18925" spans="1:1">
      <c r="A18925" t="inlineStr">
        <is>
          <t>Santa Maria</t>
        </is>
      </c>
    </row>
    <row r="18926" spans="1:1">
      <c r="A18926" t="inlineStr">
        <is>
          <t>Santa Monica</t>
        </is>
      </c>
    </row>
    <row r="18927" spans="1:1">
      <c r="A18927" t="inlineStr">
        <is>
          <t>Santo Domingo</t>
        </is>
      </c>
    </row>
    <row r="18928" spans="1:1">
      <c r="A18928" t="inlineStr">
        <is>
          <t>Silauan Norte</t>
        </is>
      </c>
    </row>
    <row r="18929" spans="1:1">
      <c r="A18929" t="inlineStr">
        <is>
          <t>Silauan Sur</t>
        </is>
      </c>
    </row>
    <row r="18930" spans="1:1">
      <c r="A18930" t="inlineStr">
        <is>
          <t>Sinabbaran</t>
        </is>
      </c>
    </row>
    <row r="18931" spans="1:1">
      <c r="A18931" t="inlineStr">
        <is>
          <t>Soyung</t>
        </is>
      </c>
    </row>
    <row r="18932" spans="1:1">
      <c r="A18932" t="inlineStr">
        <is>
          <t>Taggappan</t>
        </is>
      </c>
    </row>
    <row r="18933" spans="1:1">
      <c r="A18933" t="inlineStr">
        <is>
          <t>Tuguegarao</t>
        </is>
      </c>
    </row>
    <row r="18934" spans="1:1">
      <c r="A18934" t="inlineStr">
        <is>
          <t>Villa Campo</t>
        </is>
      </c>
    </row>
    <row r="18935" spans="1:1">
      <c r="A18935" t="inlineStr">
        <is>
          <t>Villa Fermin</t>
        </is>
      </c>
    </row>
    <row r="18936" spans="1:1">
      <c r="A18936" t="inlineStr">
        <is>
          <t>Villa Rey</t>
        </is>
      </c>
    </row>
    <row r="18937" spans="1:1">
      <c r="A18937" t="inlineStr">
        <is>
          <t>Villa Victoria</t>
        </is>
      </c>
    </row>
    <row r="18938" spans="1:1">
      <c r="A18938" t="inlineStr">
        <is>
          <t>Barcolan</t>
        </is>
      </c>
    </row>
    <row r="18939" spans="1:1">
      <c r="A18939" t="inlineStr">
        <is>
          <t>Buenavista</t>
        </is>
      </c>
    </row>
    <row r="18940" spans="1:1">
      <c r="A18940" t="inlineStr">
        <is>
          <t>Dammao</t>
        </is>
      </c>
    </row>
    <row r="18941" spans="1:1">
      <c r="A18941" t="inlineStr">
        <is>
          <t>District I</t>
        </is>
      </c>
    </row>
    <row r="18942" spans="1:1">
      <c r="A18942" t="inlineStr">
        <is>
          <t>District II</t>
        </is>
      </c>
    </row>
    <row r="18943" spans="1:1">
      <c r="A18943" t="inlineStr">
        <is>
          <t>District III</t>
        </is>
      </c>
    </row>
    <row r="18944" spans="1:1">
      <c r="A18944" t="inlineStr">
        <is>
          <t>Furao</t>
        </is>
      </c>
    </row>
    <row r="18945" spans="1:1">
      <c r="A18945" t="inlineStr">
        <is>
          <t>Guibang</t>
        </is>
      </c>
    </row>
    <row r="18946" spans="1:1">
      <c r="A18946" t="inlineStr">
        <is>
          <t>Lenzon</t>
        </is>
      </c>
    </row>
    <row r="18947" spans="1:1">
      <c r="A18947" t="inlineStr">
        <is>
          <t>Linglingay</t>
        </is>
      </c>
    </row>
    <row r="18948" spans="1:1">
      <c r="A18948" t="inlineStr">
        <is>
          <t>Mabini</t>
        </is>
      </c>
    </row>
    <row r="18949" spans="1:1">
      <c r="A18949" t="inlineStr">
        <is>
          <t>Pintor</t>
        </is>
      </c>
    </row>
    <row r="18950" spans="1:1">
      <c r="A18950" t="inlineStr">
        <is>
          <t>Rizal</t>
        </is>
      </c>
    </row>
    <row r="18951" spans="1:1">
      <c r="A18951" t="inlineStr">
        <is>
          <t>Songsong</t>
        </is>
      </c>
    </row>
    <row r="18952" spans="1:1">
      <c r="A18952" t="inlineStr">
        <is>
          <t>Union</t>
        </is>
      </c>
    </row>
    <row r="18953" spans="1:1">
      <c r="A18953" t="inlineStr">
        <is>
          <t>Upi</t>
        </is>
      </c>
    </row>
    <row r="18954" spans="1:1">
      <c r="A18954" t="inlineStr">
        <is>
          <t>Abulan</t>
        </is>
      </c>
    </row>
    <row r="18955" spans="1:1">
      <c r="A18955" t="inlineStr">
        <is>
          <t>Addalam</t>
        </is>
      </c>
    </row>
    <row r="18956" spans="1:1">
      <c r="A18956" t="inlineStr">
        <is>
          <t>Arubub</t>
        </is>
      </c>
    </row>
    <row r="18957" spans="1:1">
      <c r="A18957" t="inlineStr">
        <is>
          <t>Bannawag</t>
        </is>
      </c>
    </row>
    <row r="18958" spans="1:1">
      <c r="A18958" t="inlineStr">
        <is>
          <t>Bantay</t>
        </is>
      </c>
    </row>
    <row r="18959" spans="1:1">
      <c r="A18959" t="inlineStr">
        <is>
          <t>Barangay I</t>
        </is>
      </c>
    </row>
    <row r="18960" spans="1:1">
      <c r="A18960" t="inlineStr">
        <is>
          <t>Barangay II</t>
        </is>
      </c>
    </row>
    <row r="18961" spans="1:1">
      <c r="A18961" t="inlineStr">
        <is>
          <t>Barangcuag</t>
        </is>
      </c>
    </row>
    <row r="18962" spans="1:1">
      <c r="A18962" t="inlineStr">
        <is>
          <t>Dalibubon</t>
        </is>
      </c>
    </row>
    <row r="18963" spans="1:1">
      <c r="A18963" t="inlineStr">
        <is>
          <t>Daligan</t>
        </is>
      </c>
    </row>
    <row r="18964" spans="1:1">
      <c r="A18964" t="inlineStr">
        <is>
          <t>Diarao</t>
        </is>
      </c>
    </row>
    <row r="18965" spans="1:1">
      <c r="A18965" t="inlineStr">
        <is>
          <t>Dibuluan</t>
        </is>
      </c>
    </row>
    <row r="18966" spans="1:1">
      <c r="A18966" t="inlineStr">
        <is>
          <t>Dicamay I</t>
        </is>
      </c>
    </row>
    <row r="18967" spans="1:1">
      <c r="A18967" t="inlineStr">
        <is>
          <t>Dicamay II</t>
        </is>
      </c>
    </row>
    <row r="18968" spans="1:1">
      <c r="A18968" t="inlineStr">
        <is>
          <t>Dipangit</t>
        </is>
      </c>
    </row>
    <row r="18969" spans="1:1">
      <c r="A18969" t="inlineStr">
        <is>
          <t>Disimpit</t>
        </is>
      </c>
    </row>
    <row r="18970" spans="1:1">
      <c r="A18970" t="inlineStr">
        <is>
          <t>Divinan</t>
        </is>
      </c>
    </row>
    <row r="18971" spans="1:1">
      <c r="A18971" t="inlineStr">
        <is>
          <t>Dumawing</t>
        </is>
      </c>
    </row>
    <row r="18972" spans="1:1">
      <c r="A18972" t="inlineStr">
        <is>
          <t>Fugu</t>
        </is>
      </c>
    </row>
    <row r="18973" spans="1:1">
      <c r="A18973" t="inlineStr">
        <is>
          <t>Lacab</t>
        </is>
      </c>
    </row>
    <row r="18974" spans="1:1">
      <c r="A18974" t="inlineStr">
        <is>
          <t>Linamanan</t>
        </is>
      </c>
    </row>
    <row r="18975" spans="1:1">
      <c r="A18975" t="inlineStr">
        <is>
          <t>Linomot</t>
        </is>
      </c>
    </row>
    <row r="18976" spans="1:1">
      <c r="A18976" t="inlineStr">
        <is>
          <t>Malannit</t>
        </is>
      </c>
    </row>
    <row r="18977" spans="1:1">
      <c r="A18977" t="inlineStr">
        <is>
          <t>Minuri</t>
        </is>
      </c>
    </row>
    <row r="18978" spans="1:1">
      <c r="A18978" t="inlineStr">
        <is>
          <t>Namnama</t>
        </is>
      </c>
    </row>
    <row r="18979" spans="1:1">
      <c r="A18979" t="inlineStr">
        <is>
          <t>Napaliong</t>
        </is>
      </c>
    </row>
    <row r="18980" spans="1:1">
      <c r="A18980" t="inlineStr">
        <is>
          <t>Palagao</t>
        </is>
      </c>
    </row>
    <row r="18981" spans="1:1">
      <c r="A18981" t="inlineStr">
        <is>
          <t>Papan Este</t>
        </is>
      </c>
    </row>
    <row r="18982" spans="1:1">
      <c r="A18982" t="inlineStr">
        <is>
          <t>Papan Weste</t>
        </is>
      </c>
    </row>
    <row r="18983" spans="1:1">
      <c r="A18983" t="inlineStr">
        <is>
          <t>Payac</t>
        </is>
      </c>
    </row>
    <row r="18984" spans="1:1">
      <c r="A18984" t="inlineStr">
        <is>
          <t>Pungpongan</t>
        </is>
      </c>
    </row>
    <row r="18985" spans="1:1">
      <c r="A18985" t="inlineStr">
        <is>
          <t>San Antonio</t>
        </is>
      </c>
    </row>
    <row r="18986" spans="1:1">
      <c r="A18986" t="inlineStr">
        <is>
          <t>San Isidro</t>
        </is>
      </c>
    </row>
    <row r="18987" spans="1:1">
      <c r="A18987" t="inlineStr">
        <is>
          <t>San Jose</t>
        </is>
      </c>
    </row>
    <row r="18988" spans="1:1">
      <c r="A18988" t="inlineStr">
        <is>
          <t>San Roque</t>
        </is>
      </c>
    </row>
    <row r="18989" spans="1:1">
      <c r="A18989" t="inlineStr">
        <is>
          <t>San Sebastian</t>
        </is>
      </c>
    </row>
    <row r="18990" spans="1:1">
      <c r="A18990" t="inlineStr">
        <is>
          <t>San Vicente</t>
        </is>
      </c>
    </row>
    <row r="18991" spans="1:1">
      <c r="A18991" t="inlineStr">
        <is>
          <t>Santa Isabel</t>
        </is>
      </c>
    </row>
    <row r="18992" spans="1:1">
      <c r="A18992" t="inlineStr">
        <is>
          <t>Santo Domingo</t>
        </is>
      </c>
    </row>
    <row r="18993" spans="1:1">
      <c r="A18993" t="inlineStr">
        <is>
          <t>Tupax</t>
        </is>
      </c>
    </row>
    <row r="18994" spans="1:1">
      <c r="A18994" t="inlineStr">
        <is>
          <t>Usol</t>
        </is>
      </c>
    </row>
    <row r="18995" spans="1:1">
      <c r="A18995" t="inlineStr">
        <is>
          <t>Villa Bello</t>
        </is>
      </c>
    </row>
    <row r="18996" spans="1:1">
      <c r="A18996" t="inlineStr">
        <is>
          <t>Bustamante</t>
        </is>
      </c>
    </row>
    <row r="18997" spans="1:1">
      <c r="A18997" t="inlineStr">
        <is>
          <t>Centro 1</t>
        </is>
      </c>
    </row>
    <row r="18998" spans="1:1">
      <c r="A18998" t="inlineStr">
        <is>
          <t>Centro 2</t>
        </is>
      </c>
    </row>
    <row r="18999" spans="1:1">
      <c r="A18999" t="inlineStr">
        <is>
          <t>Centro 3</t>
        </is>
      </c>
    </row>
    <row r="19000" spans="1:1">
      <c r="A19000" t="inlineStr">
        <is>
          <t>Concepcion</t>
        </is>
      </c>
    </row>
    <row r="19001" spans="1:1">
      <c r="A19001" t="inlineStr">
        <is>
          <t>Dadap</t>
        </is>
      </c>
    </row>
    <row r="19002" spans="1:1">
      <c r="A19002" t="inlineStr">
        <is>
          <t>Harana</t>
        </is>
      </c>
    </row>
    <row r="19003" spans="1:1">
      <c r="A19003" t="inlineStr">
        <is>
          <t>Lalog 1</t>
        </is>
      </c>
    </row>
    <row r="19004" spans="1:1">
      <c r="A19004" t="inlineStr">
        <is>
          <t>Lalog 2</t>
        </is>
      </c>
    </row>
    <row r="19005" spans="1:1">
      <c r="A19005" t="inlineStr">
        <is>
          <t>Luyao</t>
        </is>
      </c>
    </row>
    <row r="19006" spans="1:1">
      <c r="A19006" t="inlineStr">
        <is>
          <t>Macañao</t>
        </is>
      </c>
    </row>
    <row r="19007" spans="1:1">
      <c r="A19007" t="inlineStr">
        <is>
          <t>Macugay</t>
        </is>
      </c>
    </row>
    <row r="19008" spans="1:1">
      <c r="A19008" t="inlineStr">
        <is>
          <t>Mambabanga</t>
        </is>
      </c>
    </row>
    <row r="19009" spans="1:1">
      <c r="A19009" t="inlineStr">
        <is>
          <t>Pulay</t>
        </is>
      </c>
    </row>
    <row r="19010" spans="1:1">
      <c r="A19010" t="inlineStr">
        <is>
          <t>Puroc</t>
        </is>
      </c>
    </row>
    <row r="19011" spans="1:1">
      <c r="A19011" t="inlineStr">
        <is>
          <t>San Isidro</t>
        </is>
      </c>
    </row>
    <row r="19012" spans="1:1">
      <c r="A19012" t="inlineStr">
        <is>
          <t>San Miguel</t>
        </is>
      </c>
    </row>
    <row r="19013" spans="1:1">
      <c r="A19013" t="inlineStr">
        <is>
          <t>Santo Domingo</t>
        </is>
      </c>
    </row>
    <row r="19014" spans="1:1">
      <c r="A19014" t="inlineStr">
        <is>
          <t>Union Kalinga</t>
        </is>
      </c>
    </row>
    <row r="19015" spans="1:1">
      <c r="A19015" t="inlineStr">
        <is>
          <t>Aplaya</t>
        </is>
      </c>
    </row>
    <row r="19016" spans="1:1">
      <c r="A19016" t="inlineStr">
        <is>
          <t>Canadam</t>
        </is>
      </c>
    </row>
    <row r="19017" spans="1:1">
      <c r="A19017" t="inlineStr">
        <is>
          <t>Diana</t>
        </is>
      </c>
    </row>
    <row r="19018" spans="1:1">
      <c r="A19018" t="inlineStr">
        <is>
          <t>Eleanor</t>
        </is>
      </c>
    </row>
    <row r="19019" spans="1:1">
      <c r="A19019" t="inlineStr">
        <is>
          <t>Fely</t>
        </is>
      </c>
    </row>
    <row r="19020" spans="1:1">
      <c r="A19020" t="inlineStr">
        <is>
          <t>Lita</t>
        </is>
      </c>
    </row>
    <row r="19021" spans="1:1">
      <c r="A19021" t="inlineStr">
        <is>
          <t>Malasin</t>
        </is>
      </c>
    </row>
    <row r="19022" spans="1:1">
      <c r="A19022" t="inlineStr">
        <is>
          <t>Minanga</t>
        </is>
      </c>
    </row>
    <row r="19023" spans="1:1">
      <c r="A19023" t="inlineStr">
        <is>
          <t>Reina Mercedes</t>
        </is>
      </c>
    </row>
    <row r="19024" spans="1:1">
      <c r="A19024" t="inlineStr">
        <is>
          <t>Santa Marina</t>
        </is>
      </c>
    </row>
    <row r="19025" spans="1:1">
      <c r="A19025" t="inlineStr">
        <is>
          <t>Binmonton</t>
        </is>
      </c>
    </row>
    <row r="19026" spans="1:1">
      <c r="A19026" t="inlineStr">
        <is>
          <t>Casili</t>
        </is>
      </c>
    </row>
    <row r="19027" spans="1:1">
      <c r="A19027" t="inlineStr">
        <is>
          <t>Centro I</t>
        </is>
      </c>
    </row>
    <row r="19028" spans="1:1">
      <c r="A19028" t="inlineStr">
        <is>
          <t>Centro II</t>
        </is>
      </c>
    </row>
    <row r="19029" spans="1:1">
      <c r="A19029" t="inlineStr">
        <is>
          <t>Holy Friday</t>
        </is>
      </c>
    </row>
    <row r="19030" spans="1:1">
      <c r="A19030" t="inlineStr">
        <is>
          <t>Maligaya</t>
        </is>
      </c>
    </row>
    <row r="19031" spans="1:1">
      <c r="A19031" t="inlineStr">
        <is>
          <t>Manano</t>
        </is>
      </c>
    </row>
    <row r="19032" spans="1:1">
      <c r="A19032" t="inlineStr">
        <is>
          <t>Olango</t>
        </is>
      </c>
    </row>
    <row r="19033" spans="1:1">
      <c r="A19033" t="inlineStr">
        <is>
          <t>Rang-ayan</t>
        </is>
      </c>
    </row>
    <row r="19034" spans="1:1">
      <c r="A19034" t="inlineStr">
        <is>
          <t>San Jose Norte I</t>
        </is>
      </c>
    </row>
    <row r="19035" spans="1:1">
      <c r="A19035" t="inlineStr">
        <is>
          <t>San Jose Norte II</t>
        </is>
      </c>
    </row>
    <row r="19036" spans="1:1">
      <c r="A19036" t="inlineStr">
        <is>
          <t>San Jose Sur</t>
        </is>
      </c>
    </row>
    <row r="19037" spans="1:1">
      <c r="A19037" t="inlineStr">
        <is>
          <t>San Pedro</t>
        </is>
      </c>
    </row>
    <row r="19038" spans="1:1">
      <c r="A19038" t="inlineStr">
        <is>
          <t>San Ramon</t>
        </is>
      </c>
    </row>
    <row r="19039" spans="1:1">
      <c r="A19039" t="inlineStr">
        <is>
          <t>Siempre Viva Norte</t>
        </is>
      </c>
    </row>
    <row r="19040" spans="1:1">
      <c r="A19040" t="inlineStr">
        <is>
          <t>Siempre Viva Sur</t>
        </is>
      </c>
    </row>
    <row r="19041" spans="1:1">
      <c r="A19041" t="inlineStr">
        <is>
          <t>Trinidad</t>
        </is>
      </c>
    </row>
    <row r="19042" spans="1:1">
      <c r="A19042" t="inlineStr">
        <is>
          <t>Victoria</t>
        </is>
      </c>
    </row>
    <row r="19043" spans="1:1">
      <c r="A19043" t="inlineStr">
        <is>
          <t>Aguinaldo</t>
        </is>
      </c>
    </row>
    <row r="19044" spans="1:1">
      <c r="A19044" t="inlineStr">
        <is>
          <t>Bagong Sikat</t>
        </is>
      </c>
    </row>
    <row r="19045" spans="1:1">
      <c r="A19045" t="inlineStr">
        <is>
          <t>Burgos</t>
        </is>
      </c>
    </row>
    <row r="19046" spans="1:1">
      <c r="A19046" t="inlineStr">
        <is>
          <t>Cabaruan</t>
        </is>
      </c>
    </row>
    <row r="19047" spans="1:1">
      <c r="A19047" t="inlineStr">
        <is>
          <t>Flores</t>
        </is>
      </c>
    </row>
    <row r="19048" spans="1:1">
      <c r="A19048" t="inlineStr">
        <is>
          <t>La Union</t>
        </is>
      </c>
    </row>
    <row r="19049" spans="1:1">
      <c r="A19049" t="inlineStr">
        <is>
          <t>Magsaysay</t>
        </is>
      </c>
    </row>
    <row r="19050" spans="1:1">
      <c r="A19050" t="inlineStr">
        <is>
          <t>Manaring</t>
        </is>
      </c>
    </row>
    <row r="19051" spans="1:1">
      <c r="A19051" t="inlineStr">
        <is>
          <t>Mansibang</t>
        </is>
      </c>
    </row>
    <row r="19052" spans="1:1">
      <c r="A19052" t="inlineStr">
        <is>
          <t>Minallo</t>
        </is>
      </c>
    </row>
    <row r="19053" spans="1:1">
      <c r="A19053" t="inlineStr">
        <is>
          <t>Minanga</t>
        </is>
      </c>
    </row>
    <row r="19054" spans="1:1">
      <c r="A19054" t="inlineStr">
        <is>
          <t>Palattao</t>
        </is>
      </c>
    </row>
    <row r="19055" spans="1:1">
      <c r="A19055" t="inlineStr">
        <is>
          <t>Quezon</t>
        </is>
      </c>
    </row>
    <row r="19056" spans="1:1">
      <c r="A19056" t="inlineStr">
        <is>
          <t>Quinalabasa</t>
        </is>
      </c>
    </row>
    <row r="19057" spans="1:1">
      <c r="A19057" t="inlineStr">
        <is>
          <t>Quirino</t>
        </is>
      </c>
    </row>
    <row r="19058" spans="1:1">
      <c r="A19058" t="inlineStr">
        <is>
          <t>Rangayan</t>
        </is>
      </c>
    </row>
    <row r="19059" spans="1:1">
      <c r="A19059" t="inlineStr">
        <is>
          <t>Rizal</t>
        </is>
      </c>
    </row>
    <row r="19060" spans="1:1">
      <c r="A19060" t="inlineStr">
        <is>
          <t>Roxas</t>
        </is>
      </c>
    </row>
    <row r="19061" spans="1:1">
      <c r="A19061" t="inlineStr">
        <is>
          <t>San Manuel</t>
        </is>
      </c>
    </row>
    <row r="19062" spans="1:1">
      <c r="A19062" t="inlineStr">
        <is>
          <t>Santa Victoria</t>
        </is>
      </c>
    </row>
    <row r="19063" spans="1:1">
      <c r="A19063" t="inlineStr">
        <is>
          <t>Santo Tomas</t>
        </is>
      </c>
    </row>
    <row r="19064" spans="1:1">
      <c r="A19064" t="inlineStr">
        <is>
          <t>Sunlife</t>
        </is>
      </c>
    </row>
    <row r="19065" spans="1:1">
      <c r="A19065" t="inlineStr">
        <is>
          <t>Surcoc</t>
        </is>
      </c>
    </row>
    <row r="19066" spans="1:1">
      <c r="A19066" t="inlineStr">
        <is>
          <t>Tomines</t>
        </is>
      </c>
    </row>
    <row r="19067" spans="1:1">
      <c r="A19067" t="inlineStr">
        <is>
          <t>Villa Paz</t>
        </is>
      </c>
    </row>
    <row r="19068" spans="1:1">
      <c r="A19068" t="inlineStr">
        <is>
          <t>Alomanay</t>
        </is>
      </c>
    </row>
    <row r="19069" spans="1:1">
      <c r="A19069" t="inlineStr">
        <is>
          <t>Bisag</t>
        </is>
      </c>
    </row>
    <row r="19070" spans="1:1">
      <c r="A19070" t="inlineStr">
        <is>
          <t>Culasi</t>
        </is>
      </c>
    </row>
    <row r="19071" spans="1:1">
      <c r="A19071" t="inlineStr">
        <is>
          <t>Dialaoyao</t>
        </is>
      </c>
    </row>
    <row r="19072" spans="1:1">
      <c r="A19072" t="inlineStr">
        <is>
          <t>Dicabisagan East</t>
        </is>
      </c>
    </row>
    <row r="19073" spans="1:1">
      <c r="A19073" t="inlineStr">
        <is>
          <t>Dicabisagan West</t>
        </is>
      </c>
    </row>
    <row r="19074" spans="1:1">
      <c r="A19074" t="inlineStr">
        <is>
          <t>Dicadyuan</t>
        </is>
      </c>
    </row>
    <row r="19075" spans="1:1">
      <c r="A19075" t="inlineStr">
        <is>
          <t>Didaddungan</t>
        </is>
      </c>
    </row>
    <row r="19076" spans="1:1">
      <c r="A19076" t="inlineStr">
        <is>
          <t>Didiyan</t>
        </is>
      </c>
    </row>
    <row r="19077" spans="1:1">
      <c r="A19077" t="inlineStr">
        <is>
          <t>Dimalicu-licu</t>
        </is>
      </c>
    </row>
    <row r="19078" spans="1:1">
      <c r="A19078" t="inlineStr">
        <is>
          <t>Dimasari</t>
        </is>
      </c>
    </row>
    <row r="19079" spans="1:1">
      <c r="A19079" t="inlineStr">
        <is>
          <t>Dimatican</t>
        </is>
      </c>
    </row>
    <row r="19080" spans="1:1">
      <c r="A19080" t="inlineStr">
        <is>
          <t>Maligaya</t>
        </is>
      </c>
    </row>
    <row r="19081" spans="1:1">
      <c r="A19081" t="inlineStr">
        <is>
          <t>Marikit</t>
        </is>
      </c>
    </row>
    <row r="19082" spans="1:1">
      <c r="A19082" t="inlineStr">
        <is>
          <t>San Isidro</t>
        </is>
      </c>
    </row>
    <row r="19083" spans="1:1">
      <c r="A19083" t="inlineStr">
        <is>
          <t>Santa Jacinta</t>
        </is>
      </c>
    </row>
    <row r="19084" spans="1:1">
      <c r="A19084" t="inlineStr">
        <is>
          <t>Villa Robles</t>
        </is>
      </c>
    </row>
    <row r="19085" spans="1:1">
      <c r="A19085" t="inlineStr">
        <is>
          <t>Abut</t>
        </is>
      </c>
    </row>
    <row r="19086" spans="1:1">
      <c r="A19086" t="inlineStr">
        <is>
          <t>Alunan</t>
        </is>
      </c>
    </row>
    <row r="19087" spans="1:1">
      <c r="A19087" t="inlineStr">
        <is>
          <t>Arellano</t>
        </is>
      </c>
    </row>
    <row r="19088" spans="1:1">
      <c r="A19088" t="inlineStr">
        <is>
          <t>Aurora</t>
        </is>
      </c>
    </row>
    <row r="19089" spans="1:1">
      <c r="A19089" t="inlineStr">
        <is>
          <t>Barucboc Norte</t>
        </is>
      </c>
    </row>
    <row r="19090" spans="1:1">
      <c r="A19090" t="inlineStr">
        <is>
          <t>Calangigan</t>
        </is>
      </c>
    </row>
    <row r="19091" spans="1:1">
      <c r="A19091" t="inlineStr">
        <is>
          <t>Dunmon</t>
        </is>
      </c>
    </row>
    <row r="19092" spans="1:1">
      <c r="A19092" t="inlineStr">
        <is>
          <t>Estrada</t>
        </is>
      </c>
    </row>
    <row r="19093" spans="1:1">
      <c r="A19093" t="inlineStr">
        <is>
          <t>Lepanto</t>
        </is>
      </c>
    </row>
    <row r="19094" spans="1:1">
      <c r="A19094" t="inlineStr">
        <is>
          <t>Mangga</t>
        </is>
      </c>
    </row>
    <row r="19095" spans="1:1">
      <c r="A19095" t="inlineStr">
        <is>
          <t>Minagbag</t>
        </is>
      </c>
    </row>
    <row r="19096" spans="1:1">
      <c r="A19096" t="inlineStr">
        <is>
          <t>Samonte</t>
        </is>
      </c>
    </row>
    <row r="19097" spans="1:1">
      <c r="A19097" t="inlineStr">
        <is>
          <t>San Juan</t>
        </is>
      </c>
    </row>
    <row r="19098" spans="1:1">
      <c r="A19098" t="inlineStr">
        <is>
          <t>Santos</t>
        </is>
      </c>
    </row>
    <row r="19099" spans="1:1">
      <c r="A19099" t="inlineStr">
        <is>
          <t>Turod</t>
        </is>
      </c>
    </row>
    <row r="19100" spans="1:1">
      <c r="A19100" t="inlineStr">
        <is>
          <t>Binarzang</t>
        </is>
      </c>
    </row>
    <row r="19101" spans="1:1">
      <c r="A19101" t="inlineStr">
        <is>
          <t>Cabaruan</t>
        </is>
      </c>
    </row>
    <row r="19102" spans="1:1">
      <c r="A19102" t="inlineStr">
        <is>
          <t>Camaal</t>
        </is>
      </c>
    </row>
    <row r="19103" spans="1:1">
      <c r="A19103" t="inlineStr">
        <is>
          <t>Dolores</t>
        </is>
      </c>
    </row>
    <row r="19104" spans="1:1">
      <c r="A19104" t="inlineStr">
        <is>
          <t>Luna</t>
        </is>
      </c>
    </row>
    <row r="19105" spans="1:1">
      <c r="A19105" t="inlineStr">
        <is>
          <t>Manaoag</t>
        </is>
      </c>
    </row>
    <row r="19106" spans="1:1">
      <c r="A19106" t="inlineStr">
        <is>
          <t>Rizal</t>
        </is>
      </c>
    </row>
    <row r="19107" spans="1:1">
      <c r="A19107" t="inlineStr">
        <is>
          <t>San Isidro</t>
        </is>
      </c>
    </row>
    <row r="19108" spans="1:1">
      <c r="A19108" t="inlineStr">
        <is>
          <t>San Jose</t>
        </is>
      </c>
    </row>
    <row r="19109" spans="1:1">
      <c r="A19109" t="inlineStr">
        <is>
          <t>San Juan</t>
        </is>
      </c>
    </row>
    <row r="19110" spans="1:1">
      <c r="A19110" t="inlineStr">
        <is>
          <t>San Mateo</t>
        </is>
      </c>
    </row>
    <row r="19111" spans="1:1">
      <c r="A19111" t="inlineStr">
        <is>
          <t>San Vicente</t>
        </is>
      </c>
    </row>
    <row r="19112" spans="1:1">
      <c r="A19112" t="inlineStr">
        <is>
          <t>Santa Lucia</t>
        </is>
      </c>
    </row>
    <row r="19113" spans="1:1">
      <c r="A19113" t="inlineStr">
        <is>
          <t>Santiago</t>
        </is>
      </c>
    </row>
    <row r="19114" spans="1:1">
      <c r="A19114" t="inlineStr">
        <is>
          <t>Sinait</t>
        </is>
      </c>
    </row>
    <row r="19115" spans="1:1">
      <c r="A19115" t="inlineStr">
        <is>
          <t>Sta. Catalina</t>
        </is>
      </c>
    </row>
    <row r="19116" spans="1:1">
      <c r="A19116" t="inlineStr">
        <is>
          <t>Sto. Domingo</t>
        </is>
      </c>
    </row>
    <row r="19117" spans="1:1">
      <c r="A19117" t="inlineStr">
        <is>
          <t>Suerte</t>
        </is>
      </c>
    </row>
    <row r="19118" spans="1:1">
      <c r="A19118" t="inlineStr">
        <is>
          <t>Villa Bulusan</t>
        </is>
      </c>
    </row>
    <row r="19119" spans="1:1">
      <c r="A19119" t="inlineStr">
        <is>
          <t>Villa Miguel</t>
        </is>
      </c>
    </row>
    <row r="19120" spans="1:1">
      <c r="A19120" t="inlineStr">
        <is>
          <t>Vintar</t>
        </is>
      </c>
    </row>
    <row r="19121" spans="1:1">
      <c r="A19121" t="inlineStr">
        <is>
          <t>Ambatali</t>
        </is>
      </c>
    </row>
    <row r="19122" spans="1:1">
      <c r="A19122" t="inlineStr">
        <is>
          <t>Bantug</t>
        </is>
      </c>
    </row>
    <row r="19123" spans="1:1">
      <c r="A19123" t="inlineStr">
        <is>
          <t>Bugallon Norte</t>
        </is>
      </c>
    </row>
    <row r="19124" spans="1:1">
      <c r="A19124" t="inlineStr">
        <is>
          <t>Bugallon Proper</t>
        </is>
      </c>
    </row>
    <row r="19125" spans="1:1">
      <c r="A19125" t="inlineStr">
        <is>
          <t>Burgos</t>
        </is>
      </c>
    </row>
    <row r="19126" spans="1:1">
      <c r="A19126" t="inlineStr">
        <is>
          <t>General Aguinaldo</t>
        </is>
      </c>
    </row>
    <row r="19127" spans="1:1">
      <c r="A19127" t="inlineStr">
        <is>
          <t>Nagbacalan</t>
        </is>
      </c>
    </row>
    <row r="19128" spans="1:1">
      <c r="A19128" t="inlineStr">
        <is>
          <t>Oscariz</t>
        </is>
      </c>
    </row>
    <row r="19129" spans="1:1">
      <c r="A19129" t="inlineStr">
        <is>
          <t>Pabil</t>
        </is>
      </c>
    </row>
    <row r="19130" spans="1:1">
      <c r="A19130" t="inlineStr">
        <is>
          <t>Pagrang-ayan</t>
        </is>
      </c>
    </row>
    <row r="19131" spans="1:1">
      <c r="A19131" t="inlineStr">
        <is>
          <t>Planas</t>
        </is>
      </c>
    </row>
    <row r="19132" spans="1:1">
      <c r="A19132" t="inlineStr">
        <is>
          <t>Purok ni Bulan</t>
        </is>
      </c>
    </row>
    <row r="19133" spans="1:1">
      <c r="A19133" t="inlineStr">
        <is>
          <t>Raniag</t>
        </is>
      </c>
    </row>
    <row r="19134" spans="1:1">
      <c r="A19134" t="inlineStr">
        <is>
          <t>San Antonio</t>
        </is>
      </c>
    </row>
    <row r="19135" spans="1:1">
      <c r="A19135" t="inlineStr">
        <is>
          <t>San Miguel</t>
        </is>
      </c>
    </row>
    <row r="19136" spans="1:1">
      <c r="A19136" t="inlineStr">
        <is>
          <t>San Sebastian</t>
        </is>
      </c>
    </row>
    <row r="19137" spans="1:1">
      <c r="A19137" t="inlineStr">
        <is>
          <t>Villa Beltran</t>
        </is>
      </c>
    </row>
    <row r="19138" spans="1:1">
      <c r="A19138" t="inlineStr">
        <is>
          <t>Villa Carmen</t>
        </is>
      </c>
    </row>
    <row r="19139" spans="1:1">
      <c r="A19139" t="inlineStr">
        <is>
          <t>Villa Marcos</t>
        </is>
      </c>
    </row>
    <row r="19140" spans="1:1">
      <c r="A19140" t="inlineStr">
        <is>
          <t>Banquero</t>
        </is>
      </c>
    </row>
    <row r="19141" spans="1:1">
      <c r="A19141" t="inlineStr">
        <is>
          <t>Binarsang</t>
        </is>
      </c>
    </row>
    <row r="19142" spans="1:1">
      <c r="A19142" t="inlineStr">
        <is>
          <t>Cutog Grande</t>
        </is>
      </c>
    </row>
    <row r="19143" spans="1:1">
      <c r="A19143" t="inlineStr">
        <is>
          <t>Cutog Pequeño</t>
        </is>
      </c>
    </row>
    <row r="19144" spans="1:1">
      <c r="A19144" t="inlineStr">
        <is>
          <t>Dangan</t>
        </is>
      </c>
    </row>
    <row r="19145" spans="1:1">
      <c r="A19145" t="inlineStr">
        <is>
          <t>District I</t>
        </is>
      </c>
    </row>
    <row r="19146" spans="1:1">
      <c r="A19146" t="inlineStr">
        <is>
          <t>District II</t>
        </is>
      </c>
    </row>
    <row r="19147" spans="1:1">
      <c r="A19147" t="inlineStr">
        <is>
          <t>Labinab Grande</t>
        </is>
      </c>
    </row>
    <row r="19148" spans="1:1">
      <c r="A19148" t="inlineStr">
        <is>
          <t>Labinab Pequeño</t>
        </is>
      </c>
    </row>
    <row r="19149" spans="1:1">
      <c r="A19149" t="inlineStr">
        <is>
          <t>Mallalatang Grande</t>
        </is>
      </c>
    </row>
    <row r="19150" spans="1:1">
      <c r="A19150" t="inlineStr">
        <is>
          <t>Mallalatang Tunggui</t>
        </is>
      </c>
    </row>
    <row r="19151" spans="1:1">
      <c r="A19151" t="inlineStr">
        <is>
          <t>Nappaccu Grande</t>
        </is>
      </c>
    </row>
    <row r="19152" spans="1:1">
      <c r="A19152" t="inlineStr">
        <is>
          <t>Nappaccu Pequeño</t>
        </is>
      </c>
    </row>
    <row r="19153" spans="1:1">
      <c r="A19153" t="inlineStr">
        <is>
          <t>Sallucong</t>
        </is>
      </c>
    </row>
    <row r="19154" spans="1:1">
      <c r="A19154" t="inlineStr">
        <is>
          <t>Santiago</t>
        </is>
      </c>
    </row>
    <row r="19155" spans="1:1">
      <c r="A19155" t="inlineStr">
        <is>
          <t>Santor</t>
        </is>
      </c>
    </row>
    <row r="19156" spans="1:1">
      <c r="A19156" t="inlineStr">
        <is>
          <t>Sinippil</t>
        </is>
      </c>
    </row>
    <row r="19157" spans="1:1">
      <c r="A19157" t="inlineStr">
        <is>
          <t>Tallungan</t>
        </is>
      </c>
    </row>
    <row r="19158" spans="1:1">
      <c r="A19158" t="inlineStr">
        <is>
          <t>Turod</t>
        </is>
      </c>
    </row>
    <row r="19159" spans="1:1">
      <c r="A19159" t="inlineStr">
        <is>
          <t>Villador</t>
        </is>
      </c>
    </row>
    <row r="19160" spans="1:1">
      <c r="A19160" t="inlineStr">
        <is>
          <t>Anao</t>
        </is>
      </c>
    </row>
    <row r="19161" spans="1:1">
      <c r="A19161" t="inlineStr">
        <is>
          <t>Bantug</t>
        </is>
      </c>
    </row>
    <row r="19162" spans="1:1">
      <c r="A19162" t="inlineStr">
        <is>
          <t>Doña Concha</t>
        </is>
      </c>
    </row>
    <row r="19163" spans="1:1">
      <c r="A19163" t="inlineStr">
        <is>
          <t>Imbiao</t>
        </is>
      </c>
    </row>
    <row r="19164" spans="1:1">
      <c r="A19164" t="inlineStr">
        <is>
          <t>Lanting</t>
        </is>
      </c>
    </row>
    <row r="19165" spans="1:1">
      <c r="A19165" t="inlineStr">
        <is>
          <t>Lucban</t>
        </is>
      </c>
    </row>
    <row r="19166" spans="1:1">
      <c r="A19166" t="inlineStr">
        <is>
          <t>Luna</t>
        </is>
      </c>
    </row>
    <row r="19167" spans="1:1">
      <c r="A19167" t="inlineStr">
        <is>
          <t>Marcos</t>
        </is>
      </c>
    </row>
    <row r="19168" spans="1:1">
      <c r="A19168" t="inlineStr">
        <is>
          <t>Masigun</t>
        </is>
      </c>
    </row>
    <row r="19169" spans="1:1">
      <c r="A19169" t="inlineStr">
        <is>
          <t>Matusalem</t>
        </is>
      </c>
    </row>
    <row r="19170" spans="1:1">
      <c r="A19170" t="inlineStr">
        <is>
          <t>Muñoz East</t>
        </is>
      </c>
    </row>
    <row r="19171" spans="1:1">
      <c r="A19171" t="inlineStr">
        <is>
          <t>Muñoz West</t>
        </is>
      </c>
    </row>
    <row r="19172" spans="1:1">
      <c r="A19172" t="inlineStr">
        <is>
          <t>Quiling</t>
        </is>
      </c>
    </row>
    <row r="19173" spans="1:1">
      <c r="A19173" t="inlineStr">
        <is>
          <t>Rang-ayan</t>
        </is>
      </c>
    </row>
    <row r="19174" spans="1:1">
      <c r="A19174" t="inlineStr">
        <is>
          <t>Rizal</t>
        </is>
      </c>
    </row>
    <row r="19175" spans="1:1">
      <c r="A19175" t="inlineStr">
        <is>
          <t>San Antonio</t>
        </is>
      </c>
    </row>
    <row r="19176" spans="1:1">
      <c r="A19176" t="inlineStr">
        <is>
          <t>San Jose</t>
        </is>
      </c>
    </row>
    <row r="19177" spans="1:1">
      <c r="A19177" t="inlineStr">
        <is>
          <t>San Luis</t>
        </is>
      </c>
    </row>
    <row r="19178" spans="1:1">
      <c r="A19178" t="inlineStr">
        <is>
          <t>San Pedro</t>
        </is>
      </c>
    </row>
    <row r="19179" spans="1:1">
      <c r="A19179" t="inlineStr">
        <is>
          <t>San Placido</t>
        </is>
      </c>
    </row>
    <row r="19180" spans="1:1">
      <c r="A19180" t="inlineStr">
        <is>
          <t>San Rafael</t>
        </is>
      </c>
    </row>
    <row r="19181" spans="1:1">
      <c r="A19181" t="inlineStr">
        <is>
          <t>Simimbaan</t>
        </is>
      </c>
    </row>
    <row r="19182" spans="1:1">
      <c r="A19182" t="inlineStr">
        <is>
          <t>Sinamar</t>
        </is>
      </c>
    </row>
    <row r="19183" spans="1:1">
      <c r="A19183" t="inlineStr">
        <is>
          <t>Sotero Nuesa</t>
        </is>
      </c>
    </row>
    <row r="19184" spans="1:1">
      <c r="A19184" t="inlineStr">
        <is>
          <t>Villa Concepcion</t>
        </is>
      </c>
    </row>
    <row r="19185" spans="1:1">
      <c r="A19185" t="inlineStr">
        <is>
          <t>Vira</t>
        </is>
      </c>
    </row>
    <row r="19186" spans="1:1">
      <c r="A19186" t="inlineStr">
        <is>
          <t>Bautista</t>
        </is>
      </c>
    </row>
    <row r="19187" spans="1:1">
      <c r="A19187" t="inlineStr">
        <is>
          <t>Calaocan</t>
        </is>
      </c>
    </row>
    <row r="19188" spans="1:1">
      <c r="A19188" t="inlineStr">
        <is>
          <t>Dabubu Grande</t>
        </is>
      </c>
    </row>
    <row r="19189" spans="1:1">
      <c r="A19189" t="inlineStr">
        <is>
          <t>Dabubu Pequeño</t>
        </is>
      </c>
    </row>
    <row r="19190" spans="1:1">
      <c r="A19190" t="inlineStr">
        <is>
          <t>Dappig</t>
        </is>
      </c>
    </row>
    <row r="19191" spans="1:1">
      <c r="A19191" t="inlineStr">
        <is>
          <t>Laoag</t>
        </is>
      </c>
    </row>
    <row r="19192" spans="1:1">
      <c r="A19192" t="inlineStr">
        <is>
          <t>Mapalad</t>
        </is>
      </c>
    </row>
    <row r="19193" spans="1:1">
      <c r="A19193" t="inlineStr">
        <is>
          <t>Masaya Centro</t>
        </is>
      </c>
    </row>
    <row r="19194" spans="1:1">
      <c r="A19194" t="inlineStr">
        <is>
          <t>Masaya Norte</t>
        </is>
      </c>
    </row>
    <row r="19195" spans="1:1">
      <c r="A19195" t="inlineStr">
        <is>
          <t>Masaya Sur</t>
        </is>
      </c>
    </row>
    <row r="19196" spans="1:1">
      <c r="A19196" t="inlineStr">
        <is>
          <t>Nemmatan</t>
        </is>
      </c>
    </row>
    <row r="19197" spans="1:1">
      <c r="A19197" t="inlineStr">
        <is>
          <t>Palacian</t>
        </is>
      </c>
    </row>
    <row r="19198" spans="1:1">
      <c r="A19198" t="inlineStr">
        <is>
          <t>Panang</t>
        </is>
      </c>
    </row>
    <row r="19199" spans="1:1">
      <c r="A19199" t="inlineStr">
        <is>
          <t>Quimalabasa Norte</t>
        </is>
      </c>
    </row>
    <row r="19200" spans="1:1">
      <c r="A19200" t="inlineStr">
        <is>
          <t>Quimalabasa Sur</t>
        </is>
      </c>
    </row>
    <row r="19201" spans="1:1">
      <c r="A19201" t="inlineStr">
        <is>
          <t>Rang-ay</t>
        </is>
      </c>
    </row>
    <row r="19202" spans="1:1">
      <c r="A19202" t="inlineStr">
        <is>
          <t>Salay</t>
        </is>
      </c>
    </row>
    <row r="19203" spans="1:1">
      <c r="A19203" t="inlineStr">
        <is>
          <t>San Antonio</t>
        </is>
      </c>
    </row>
    <row r="19204" spans="1:1">
      <c r="A19204" t="inlineStr">
        <is>
          <t>Santo Niño</t>
        </is>
      </c>
    </row>
    <row r="19205" spans="1:1">
      <c r="A19205" t="inlineStr">
        <is>
          <t>Santos</t>
        </is>
      </c>
    </row>
    <row r="19206" spans="1:1">
      <c r="A19206" t="inlineStr">
        <is>
          <t>Sinaoangan Norte</t>
        </is>
      </c>
    </row>
    <row r="19207" spans="1:1">
      <c r="A19207" t="inlineStr">
        <is>
          <t>Sinaoangan Sur</t>
        </is>
      </c>
    </row>
    <row r="19208" spans="1:1">
      <c r="A19208" t="inlineStr">
        <is>
          <t>Virgoneza</t>
        </is>
      </c>
    </row>
    <row r="19209" spans="1:1">
      <c r="A19209" t="inlineStr">
        <is>
          <t>Anonang</t>
        </is>
      </c>
    </row>
    <row r="19210" spans="1:1">
      <c r="A19210" t="inlineStr">
        <is>
          <t>Aringay</t>
        </is>
      </c>
    </row>
    <row r="19211" spans="1:1">
      <c r="A19211" t="inlineStr">
        <is>
          <t>Burgos</t>
        </is>
      </c>
    </row>
    <row r="19212" spans="1:1">
      <c r="A19212" t="inlineStr">
        <is>
          <t>Calaoagan</t>
        </is>
      </c>
    </row>
    <row r="19213" spans="1:1">
      <c r="A19213" t="inlineStr">
        <is>
          <t>Centro 1</t>
        </is>
      </c>
    </row>
    <row r="19214" spans="1:1">
      <c r="A19214" t="inlineStr">
        <is>
          <t>Centro 2</t>
        </is>
      </c>
    </row>
    <row r="19215" spans="1:1">
      <c r="A19215" t="inlineStr">
        <is>
          <t>Colorado</t>
        </is>
      </c>
    </row>
    <row r="19216" spans="1:1">
      <c r="A19216" t="inlineStr">
        <is>
          <t>Dietban</t>
        </is>
      </c>
    </row>
    <row r="19217" spans="1:1">
      <c r="A19217" t="inlineStr">
        <is>
          <t>Dingading</t>
        </is>
      </c>
    </row>
    <row r="19218" spans="1:1">
      <c r="A19218" t="inlineStr">
        <is>
          <t>Dipacamo</t>
        </is>
      </c>
    </row>
    <row r="19219" spans="1:1">
      <c r="A19219" t="inlineStr">
        <is>
          <t>Estrella</t>
        </is>
      </c>
    </row>
    <row r="19220" spans="1:1">
      <c r="A19220" t="inlineStr">
        <is>
          <t>Guam</t>
        </is>
      </c>
    </row>
    <row r="19221" spans="1:1">
      <c r="A19221" t="inlineStr">
        <is>
          <t>Nakar</t>
        </is>
      </c>
    </row>
    <row r="19222" spans="1:1">
      <c r="A19222" t="inlineStr">
        <is>
          <t>Palawan</t>
        </is>
      </c>
    </row>
    <row r="19223" spans="1:1">
      <c r="A19223" t="inlineStr">
        <is>
          <t>Progreso</t>
        </is>
      </c>
    </row>
    <row r="19224" spans="1:1">
      <c r="A19224" t="inlineStr">
        <is>
          <t>Rizal</t>
        </is>
      </c>
    </row>
    <row r="19225" spans="1:1">
      <c r="A19225" t="inlineStr">
        <is>
          <t>San Francisco Norte</t>
        </is>
      </c>
    </row>
    <row r="19226" spans="1:1">
      <c r="A19226" t="inlineStr">
        <is>
          <t>San Francisco Sur</t>
        </is>
      </c>
    </row>
    <row r="19227" spans="1:1">
      <c r="A19227" t="inlineStr">
        <is>
          <t>San Mariano Norte</t>
        </is>
      </c>
    </row>
    <row r="19228" spans="1:1">
      <c r="A19228" t="inlineStr">
        <is>
          <t>San Mariano Sur</t>
        </is>
      </c>
    </row>
    <row r="19229" spans="1:1">
      <c r="A19229" t="inlineStr">
        <is>
          <t>San Rafael</t>
        </is>
      </c>
    </row>
    <row r="19230" spans="1:1">
      <c r="A19230" t="inlineStr">
        <is>
          <t>Sinalugan</t>
        </is>
      </c>
    </row>
    <row r="19231" spans="1:1">
      <c r="A19231" t="inlineStr">
        <is>
          <t>Villa Remedios</t>
        </is>
      </c>
    </row>
    <row r="19232" spans="1:1">
      <c r="A19232" t="inlineStr">
        <is>
          <t>Villa Rose</t>
        </is>
      </c>
    </row>
    <row r="19233" spans="1:1">
      <c r="A19233" t="inlineStr">
        <is>
          <t>Villa Sanchez</t>
        </is>
      </c>
    </row>
    <row r="19234" spans="1:1">
      <c r="A19234" t="inlineStr">
        <is>
          <t>Villa Teresita</t>
        </is>
      </c>
    </row>
    <row r="19235" spans="1:1">
      <c r="A19235" t="inlineStr">
        <is>
          <t>Camarag</t>
        </is>
      </c>
    </row>
    <row r="19236" spans="1:1">
      <c r="A19236" t="inlineStr">
        <is>
          <t>Cebu</t>
        </is>
      </c>
    </row>
    <row r="19237" spans="1:1">
      <c r="A19237" t="inlineStr">
        <is>
          <t>Gomez</t>
        </is>
      </c>
    </row>
    <row r="19238" spans="1:1">
      <c r="A19238" t="inlineStr">
        <is>
          <t>Gud</t>
        </is>
      </c>
    </row>
    <row r="19239" spans="1:1">
      <c r="A19239" t="inlineStr">
        <is>
          <t>Nagbukel</t>
        </is>
      </c>
    </row>
    <row r="19240" spans="1:1">
      <c r="A19240" t="inlineStr">
        <is>
          <t>Patanad</t>
        </is>
      </c>
    </row>
    <row r="19241" spans="1:1">
      <c r="A19241" t="inlineStr">
        <is>
          <t>Quezon</t>
        </is>
      </c>
    </row>
    <row r="19242" spans="1:1">
      <c r="A19242" t="inlineStr">
        <is>
          <t>Ramos East</t>
        </is>
      </c>
    </row>
    <row r="19243" spans="1:1">
      <c r="A19243" t="inlineStr">
        <is>
          <t>Ramos West</t>
        </is>
      </c>
    </row>
    <row r="19244" spans="1:1">
      <c r="A19244" t="inlineStr">
        <is>
          <t>Rizal East</t>
        </is>
      </c>
    </row>
    <row r="19245" spans="1:1">
      <c r="A19245" t="inlineStr">
        <is>
          <t>Rizal West</t>
        </is>
      </c>
    </row>
    <row r="19246" spans="1:1">
      <c r="A19246" t="inlineStr">
        <is>
          <t>Victoria</t>
        </is>
      </c>
    </row>
    <row r="19247" spans="1:1">
      <c r="A19247" t="inlineStr">
        <is>
          <t>Villaflor</t>
        </is>
      </c>
    </row>
    <row r="19248" spans="1:1">
      <c r="A19248" t="inlineStr">
        <is>
          <t>Agliam</t>
        </is>
      </c>
    </row>
    <row r="19249" spans="1:1">
      <c r="A19249" t="inlineStr">
        <is>
          <t>Babanuang</t>
        </is>
      </c>
    </row>
    <row r="19250" spans="1:1">
      <c r="A19250" t="inlineStr">
        <is>
          <t>Cabaritan</t>
        </is>
      </c>
    </row>
    <row r="19251" spans="1:1">
      <c r="A19251" t="inlineStr">
        <is>
          <t>Caraniogan</t>
        </is>
      </c>
    </row>
    <row r="19252" spans="1:1">
      <c r="A19252" t="inlineStr">
        <is>
          <t>District 1</t>
        </is>
      </c>
    </row>
    <row r="19253" spans="1:1">
      <c r="A19253" t="inlineStr">
        <is>
          <t>District 2</t>
        </is>
      </c>
    </row>
    <row r="19254" spans="1:1">
      <c r="A19254" t="inlineStr">
        <is>
          <t>District 3</t>
        </is>
      </c>
    </row>
    <row r="19255" spans="1:1">
      <c r="A19255" t="inlineStr">
        <is>
          <t>District 4</t>
        </is>
      </c>
    </row>
    <row r="19256" spans="1:1">
      <c r="A19256" t="inlineStr">
        <is>
          <t>Eden</t>
        </is>
      </c>
    </row>
    <row r="19257" spans="1:1">
      <c r="A19257" t="inlineStr">
        <is>
          <t>Malalinta</t>
        </is>
      </c>
    </row>
    <row r="19258" spans="1:1">
      <c r="A19258" t="inlineStr">
        <is>
          <t>Mararigue</t>
        </is>
      </c>
    </row>
    <row r="19259" spans="1:1">
      <c r="A19259" t="inlineStr">
        <is>
          <t>Nueva Era</t>
        </is>
      </c>
    </row>
    <row r="19260" spans="1:1">
      <c r="A19260" t="inlineStr">
        <is>
          <t>Pisang</t>
        </is>
      </c>
    </row>
    <row r="19261" spans="1:1">
      <c r="A19261" t="inlineStr">
        <is>
          <t>San Francisco</t>
        </is>
      </c>
    </row>
    <row r="19262" spans="1:1">
      <c r="A19262" t="inlineStr">
        <is>
          <t>Sandiat Centro</t>
        </is>
      </c>
    </row>
    <row r="19263" spans="1:1">
      <c r="A19263" t="inlineStr">
        <is>
          <t>Sandiat East</t>
        </is>
      </c>
    </row>
    <row r="19264" spans="1:1">
      <c r="A19264" t="inlineStr">
        <is>
          <t>Sandiat West</t>
        </is>
      </c>
    </row>
    <row r="19265" spans="1:1">
      <c r="A19265" t="inlineStr">
        <is>
          <t>Sta. Cruz</t>
        </is>
      </c>
    </row>
    <row r="19266" spans="1:1">
      <c r="A19266" t="inlineStr">
        <is>
          <t>Villanueva</t>
        </is>
      </c>
    </row>
    <row r="19267" spans="1:1">
      <c r="A19267" t="inlineStr">
        <is>
          <t>Alibadabad</t>
        </is>
      </c>
    </row>
    <row r="19268" spans="1:1">
      <c r="A19268" t="inlineStr">
        <is>
          <t>Balagan</t>
        </is>
      </c>
    </row>
    <row r="19269" spans="1:1">
      <c r="A19269" t="inlineStr">
        <is>
          <t>Binatug</t>
        </is>
      </c>
    </row>
    <row r="19270" spans="1:1">
      <c r="A19270" t="inlineStr">
        <is>
          <t>Bitabian</t>
        </is>
      </c>
    </row>
    <row r="19271" spans="1:1">
      <c r="A19271" t="inlineStr">
        <is>
          <t>Buyasan</t>
        </is>
      </c>
    </row>
    <row r="19272" spans="1:1">
      <c r="A19272" t="inlineStr">
        <is>
          <t>Cadsalan</t>
        </is>
      </c>
    </row>
    <row r="19273" spans="1:1">
      <c r="A19273" t="inlineStr">
        <is>
          <t>Casala</t>
        </is>
      </c>
    </row>
    <row r="19274" spans="1:1">
      <c r="A19274" t="inlineStr">
        <is>
          <t>Cataguing</t>
        </is>
      </c>
    </row>
    <row r="19275" spans="1:1">
      <c r="A19275" t="inlineStr">
        <is>
          <t>Daragutan East</t>
        </is>
      </c>
    </row>
    <row r="19276" spans="1:1">
      <c r="A19276" t="inlineStr">
        <is>
          <t>Daragutan West</t>
        </is>
      </c>
    </row>
    <row r="19277" spans="1:1">
      <c r="A19277" t="inlineStr">
        <is>
          <t>Del Pilar</t>
        </is>
      </c>
    </row>
    <row r="19278" spans="1:1">
      <c r="A19278" t="inlineStr">
        <is>
          <t>Dibuluan</t>
        </is>
      </c>
    </row>
    <row r="19279" spans="1:1">
      <c r="A19279" t="inlineStr">
        <is>
          <t>Dicamay</t>
        </is>
      </c>
    </row>
    <row r="19280" spans="1:1">
      <c r="A19280" t="inlineStr">
        <is>
          <t>Dipusu</t>
        </is>
      </c>
    </row>
    <row r="19281" spans="1:1">
      <c r="A19281" t="inlineStr">
        <is>
          <t>Disulap</t>
        </is>
      </c>
    </row>
    <row r="19282" spans="1:1">
      <c r="A19282" t="inlineStr">
        <is>
          <t>Disusuan</t>
        </is>
      </c>
    </row>
    <row r="19283" spans="1:1">
      <c r="A19283" t="inlineStr">
        <is>
          <t>Gangalan</t>
        </is>
      </c>
    </row>
    <row r="19284" spans="1:1">
      <c r="A19284" t="inlineStr">
        <is>
          <t>Ibujan</t>
        </is>
      </c>
    </row>
    <row r="19285" spans="1:1">
      <c r="A19285" t="inlineStr">
        <is>
          <t>Libertad</t>
        </is>
      </c>
    </row>
    <row r="19286" spans="1:1">
      <c r="A19286" t="inlineStr">
        <is>
          <t>Macayucayu</t>
        </is>
      </c>
    </row>
    <row r="19287" spans="1:1">
      <c r="A19287" t="inlineStr">
        <is>
          <t>Mallabo</t>
        </is>
      </c>
    </row>
    <row r="19288" spans="1:1">
      <c r="A19288" t="inlineStr">
        <is>
          <t>Marannao</t>
        </is>
      </c>
    </row>
    <row r="19289" spans="1:1">
      <c r="A19289" t="inlineStr">
        <is>
          <t>Minanga</t>
        </is>
      </c>
    </row>
    <row r="19290" spans="1:1">
      <c r="A19290" t="inlineStr">
        <is>
          <t>Old San Mariano</t>
        </is>
      </c>
    </row>
    <row r="19291" spans="1:1">
      <c r="A19291" t="inlineStr">
        <is>
          <t>Palutan</t>
        </is>
      </c>
    </row>
    <row r="19292" spans="1:1">
      <c r="A19292" t="inlineStr">
        <is>
          <t>Panninan</t>
        </is>
      </c>
    </row>
    <row r="19293" spans="1:1">
      <c r="A19293" t="inlineStr">
        <is>
          <t>San Jose</t>
        </is>
      </c>
    </row>
    <row r="19294" spans="1:1">
      <c r="A19294" t="inlineStr">
        <is>
          <t>San Pablo</t>
        </is>
      </c>
    </row>
    <row r="19295" spans="1:1">
      <c r="A19295" t="inlineStr">
        <is>
          <t>San Pedro</t>
        </is>
      </c>
    </row>
    <row r="19296" spans="1:1">
      <c r="A19296" t="inlineStr">
        <is>
          <t>Sta. Filomena</t>
        </is>
      </c>
    </row>
    <row r="19297" spans="1:1">
      <c r="A19297" t="inlineStr">
        <is>
          <t>Tappa</t>
        </is>
      </c>
    </row>
    <row r="19298" spans="1:1">
      <c r="A19298" t="inlineStr">
        <is>
          <t>Ueg</t>
        </is>
      </c>
    </row>
    <row r="19299" spans="1:1">
      <c r="A19299" t="inlineStr">
        <is>
          <t>Zamora</t>
        </is>
      </c>
    </row>
    <row r="19300" spans="1:1">
      <c r="A19300" t="inlineStr">
        <is>
          <t>Zone I</t>
        </is>
      </c>
    </row>
    <row r="19301" spans="1:1">
      <c r="A19301" t="inlineStr">
        <is>
          <t>Zone II</t>
        </is>
      </c>
    </row>
    <row r="19302" spans="1:1">
      <c r="A19302" t="inlineStr">
        <is>
          <t>Zone III</t>
        </is>
      </c>
    </row>
    <row r="19303" spans="1:1">
      <c r="A19303" t="inlineStr">
        <is>
          <t>Bacarreña</t>
        </is>
      </c>
    </row>
    <row r="19304" spans="1:1">
      <c r="A19304" t="inlineStr">
        <is>
          <t>Bagong Sikat</t>
        </is>
      </c>
    </row>
    <row r="19305" spans="1:1">
      <c r="A19305" t="inlineStr">
        <is>
          <t>Barangay I</t>
        </is>
      </c>
    </row>
    <row r="19306" spans="1:1">
      <c r="A19306" t="inlineStr">
        <is>
          <t>Barangay II</t>
        </is>
      </c>
    </row>
    <row r="19307" spans="1:1">
      <c r="A19307" t="inlineStr">
        <is>
          <t>Barangay III</t>
        </is>
      </c>
    </row>
    <row r="19308" spans="1:1">
      <c r="A19308" t="inlineStr">
        <is>
          <t>Barangay IV</t>
        </is>
      </c>
    </row>
    <row r="19309" spans="1:1">
      <c r="A19309" t="inlineStr">
        <is>
          <t>Bella Luz</t>
        </is>
      </c>
    </row>
    <row r="19310" spans="1:1">
      <c r="A19310" t="inlineStr">
        <is>
          <t>Dagupan</t>
        </is>
      </c>
    </row>
    <row r="19311" spans="1:1">
      <c r="A19311" t="inlineStr">
        <is>
          <t>Daramuangan Norte</t>
        </is>
      </c>
    </row>
    <row r="19312" spans="1:1">
      <c r="A19312" t="inlineStr">
        <is>
          <t>Daramuangan Sur</t>
        </is>
      </c>
    </row>
    <row r="19313" spans="1:1">
      <c r="A19313" t="inlineStr">
        <is>
          <t>Estrella</t>
        </is>
      </c>
    </row>
    <row r="19314" spans="1:1">
      <c r="A19314" t="inlineStr">
        <is>
          <t>Gaddanan</t>
        </is>
      </c>
    </row>
    <row r="19315" spans="1:1">
      <c r="A19315" t="inlineStr">
        <is>
          <t>Malasin</t>
        </is>
      </c>
    </row>
    <row r="19316" spans="1:1">
      <c r="A19316" t="inlineStr">
        <is>
          <t>Mapuroc</t>
        </is>
      </c>
    </row>
    <row r="19317" spans="1:1">
      <c r="A19317" t="inlineStr">
        <is>
          <t>Marasat Grande</t>
        </is>
      </c>
    </row>
    <row r="19318" spans="1:1">
      <c r="A19318" t="inlineStr">
        <is>
          <t>Marasat Pequeño</t>
        </is>
      </c>
    </row>
    <row r="19319" spans="1:1">
      <c r="A19319" t="inlineStr">
        <is>
          <t>Old Centro I</t>
        </is>
      </c>
    </row>
    <row r="19320" spans="1:1">
      <c r="A19320" t="inlineStr">
        <is>
          <t>Old Centro II</t>
        </is>
      </c>
    </row>
    <row r="19321" spans="1:1">
      <c r="A19321" t="inlineStr">
        <is>
          <t>Salinungan East</t>
        </is>
      </c>
    </row>
    <row r="19322" spans="1:1">
      <c r="A19322" t="inlineStr">
        <is>
          <t>Salinungan West</t>
        </is>
      </c>
    </row>
    <row r="19323" spans="1:1">
      <c r="A19323" t="inlineStr">
        <is>
          <t>San Andres</t>
        </is>
      </c>
    </row>
    <row r="19324" spans="1:1">
      <c r="A19324" t="inlineStr">
        <is>
          <t>San Antonio</t>
        </is>
      </c>
    </row>
    <row r="19325" spans="1:1">
      <c r="A19325" t="inlineStr">
        <is>
          <t>San Ignacio</t>
        </is>
      </c>
    </row>
    <row r="19326" spans="1:1">
      <c r="A19326" t="inlineStr">
        <is>
          <t>San Manuel</t>
        </is>
      </c>
    </row>
    <row r="19327" spans="1:1">
      <c r="A19327" t="inlineStr">
        <is>
          <t>San Marcos</t>
        </is>
      </c>
    </row>
    <row r="19328" spans="1:1">
      <c r="A19328" t="inlineStr">
        <is>
          <t>San Roque</t>
        </is>
      </c>
    </row>
    <row r="19329" spans="1:1">
      <c r="A19329" t="inlineStr">
        <is>
          <t>Sinamar Norte</t>
        </is>
      </c>
    </row>
    <row r="19330" spans="1:1">
      <c r="A19330" t="inlineStr">
        <is>
          <t>Sinamar Sur</t>
        </is>
      </c>
    </row>
    <row r="19331" spans="1:1">
      <c r="A19331" t="inlineStr">
        <is>
          <t>Victoria</t>
        </is>
      </c>
    </row>
    <row r="19332" spans="1:1">
      <c r="A19332" t="inlineStr">
        <is>
          <t>Villa Cruz</t>
        </is>
      </c>
    </row>
    <row r="19333" spans="1:1">
      <c r="A19333" t="inlineStr">
        <is>
          <t>Villa Gamiao</t>
        </is>
      </c>
    </row>
    <row r="19334" spans="1:1">
      <c r="A19334" t="inlineStr">
        <is>
          <t>Villa Magat</t>
        </is>
      </c>
    </row>
    <row r="19335" spans="1:1">
      <c r="A19335" t="inlineStr">
        <is>
          <t>Villafuerte</t>
        </is>
      </c>
    </row>
    <row r="19336" spans="1:1">
      <c r="A19336" t="inlineStr">
        <is>
          <t>Annanuman</t>
        </is>
      </c>
    </row>
    <row r="19337" spans="1:1">
      <c r="A19337" t="inlineStr">
        <is>
          <t>Auitan</t>
        </is>
      </c>
    </row>
    <row r="19338" spans="1:1">
      <c r="A19338" t="inlineStr">
        <is>
          <t>Ballacayu</t>
        </is>
      </c>
    </row>
    <row r="19339" spans="1:1">
      <c r="A19339" t="inlineStr">
        <is>
          <t>Binguang</t>
        </is>
      </c>
    </row>
    <row r="19340" spans="1:1">
      <c r="A19340" t="inlineStr">
        <is>
          <t>Bungad</t>
        </is>
      </c>
    </row>
    <row r="19341" spans="1:1">
      <c r="A19341" t="inlineStr">
        <is>
          <t>Caddangan/Limbauan</t>
        </is>
      </c>
    </row>
    <row r="19342" spans="1:1">
      <c r="A19342" t="inlineStr">
        <is>
          <t>Calamagui</t>
        </is>
      </c>
    </row>
    <row r="19343" spans="1:1">
      <c r="A19343" t="inlineStr">
        <is>
          <t>Caralucud</t>
        </is>
      </c>
    </row>
    <row r="19344" spans="1:1">
      <c r="A19344" t="inlineStr">
        <is>
          <t>Dalena</t>
        </is>
      </c>
    </row>
    <row r="19345" spans="1:1">
      <c r="A19345" t="inlineStr">
        <is>
          <t>Guminga</t>
        </is>
      </c>
    </row>
    <row r="19346" spans="1:1">
      <c r="A19346" t="inlineStr">
        <is>
          <t>Minanga Norte</t>
        </is>
      </c>
    </row>
    <row r="19347" spans="1:1">
      <c r="A19347" t="inlineStr">
        <is>
          <t>Minanga Sur</t>
        </is>
      </c>
    </row>
    <row r="19348" spans="1:1">
      <c r="A19348" t="inlineStr">
        <is>
          <t>Poblacion</t>
        </is>
      </c>
    </row>
    <row r="19349" spans="1:1">
      <c r="A19349" t="inlineStr">
        <is>
          <t>San Jose</t>
        </is>
      </c>
    </row>
    <row r="19350" spans="1:1">
      <c r="A19350" t="inlineStr">
        <is>
          <t>Simanu Norte</t>
        </is>
      </c>
    </row>
    <row r="19351" spans="1:1">
      <c r="A19351" t="inlineStr">
        <is>
          <t>Simanu Sur</t>
        </is>
      </c>
    </row>
    <row r="19352" spans="1:1">
      <c r="A19352" t="inlineStr">
        <is>
          <t>Tupa</t>
        </is>
      </c>
    </row>
    <row r="19353" spans="1:1">
      <c r="A19353" t="inlineStr">
        <is>
          <t>Bangad</t>
        </is>
      </c>
    </row>
    <row r="19354" spans="1:1">
      <c r="A19354" t="inlineStr">
        <is>
          <t>Buenavista</t>
        </is>
      </c>
    </row>
    <row r="19355" spans="1:1">
      <c r="A19355" t="inlineStr">
        <is>
          <t>Calamagui East</t>
        </is>
      </c>
    </row>
    <row r="19356" spans="1:1">
      <c r="A19356" t="inlineStr">
        <is>
          <t>Calamagui North</t>
        </is>
      </c>
    </row>
    <row r="19357" spans="1:1">
      <c r="A19357" t="inlineStr">
        <is>
          <t>Calamagui West</t>
        </is>
      </c>
    </row>
    <row r="19358" spans="1:1">
      <c r="A19358" t="inlineStr">
        <is>
          <t>Divisoria</t>
        </is>
      </c>
    </row>
    <row r="19359" spans="1:1">
      <c r="A19359" t="inlineStr">
        <is>
          <t>Lingaling</t>
        </is>
      </c>
    </row>
    <row r="19360" spans="1:1">
      <c r="A19360" t="inlineStr">
        <is>
          <t>Mozzozzin North</t>
        </is>
      </c>
    </row>
    <row r="19361" spans="1:1">
      <c r="A19361" t="inlineStr">
        <is>
          <t>Mozzozzin Sur</t>
        </is>
      </c>
    </row>
    <row r="19362" spans="1:1">
      <c r="A19362" t="inlineStr">
        <is>
          <t>Naganacan</t>
        </is>
      </c>
    </row>
    <row r="19363" spans="1:1">
      <c r="A19363" t="inlineStr">
        <is>
          <t>Poblacion 1</t>
        </is>
      </c>
    </row>
    <row r="19364" spans="1:1">
      <c r="A19364" t="inlineStr">
        <is>
          <t>Poblacion 2</t>
        </is>
      </c>
    </row>
    <row r="19365" spans="1:1">
      <c r="A19365" t="inlineStr">
        <is>
          <t>Poblacion 3</t>
        </is>
      </c>
    </row>
    <row r="19366" spans="1:1">
      <c r="A19366" t="inlineStr">
        <is>
          <t>Quinagabian</t>
        </is>
      </c>
    </row>
    <row r="19367" spans="1:1">
      <c r="A19367" t="inlineStr">
        <is>
          <t>San Antonio</t>
        </is>
      </c>
    </row>
    <row r="19368" spans="1:1">
      <c r="A19368" t="inlineStr">
        <is>
          <t>San Isidro East</t>
        </is>
      </c>
    </row>
    <row r="19369" spans="1:1">
      <c r="A19369" t="inlineStr">
        <is>
          <t>San Isidro West</t>
        </is>
      </c>
    </row>
    <row r="19370" spans="1:1">
      <c r="A19370" t="inlineStr">
        <is>
          <t>San Rafael East</t>
        </is>
      </c>
    </row>
    <row r="19371" spans="1:1">
      <c r="A19371" t="inlineStr">
        <is>
          <t>San Rafael West</t>
        </is>
      </c>
    </row>
    <row r="19372" spans="1:1">
      <c r="A19372" t="inlineStr">
        <is>
          <t>Villabuena</t>
        </is>
      </c>
    </row>
    <row r="19373" spans="1:1">
      <c r="A19373" t="inlineStr">
        <is>
          <t>Ammugauan</t>
        </is>
      </c>
    </row>
    <row r="19374" spans="1:1">
      <c r="A19374" t="inlineStr">
        <is>
          <t>Antagan</t>
        </is>
      </c>
    </row>
    <row r="19375" spans="1:1">
      <c r="A19375" t="inlineStr">
        <is>
          <t>Bagabag</t>
        </is>
      </c>
    </row>
    <row r="19376" spans="1:1">
      <c r="A19376" t="inlineStr">
        <is>
          <t>Bagutari</t>
        </is>
      </c>
    </row>
    <row r="19377" spans="1:1">
      <c r="A19377" t="inlineStr">
        <is>
          <t>Balelleng</t>
        </is>
      </c>
    </row>
    <row r="19378" spans="1:1">
      <c r="A19378" t="inlineStr">
        <is>
          <t>Barumbong</t>
        </is>
      </c>
    </row>
    <row r="19379" spans="1:1">
      <c r="A19379" t="inlineStr">
        <is>
          <t>Biga Occidental</t>
        </is>
      </c>
    </row>
    <row r="19380" spans="1:1">
      <c r="A19380" t="inlineStr">
        <is>
          <t>Biga Oriental</t>
        </is>
      </c>
    </row>
    <row r="19381" spans="1:1">
      <c r="A19381" t="inlineStr">
        <is>
          <t>Bolinao-Culalabo</t>
        </is>
      </c>
    </row>
    <row r="19382" spans="1:1">
      <c r="A19382" t="inlineStr">
        <is>
          <t>Bubug</t>
        </is>
      </c>
    </row>
    <row r="19383" spans="1:1">
      <c r="A19383" t="inlineStr">
        <is>
          <t>Calanigan Norte</t>
        </is>
      </c>
    </row>
    <row r="19384" spans="1:1">
      <c r="A19384" t="inlineStr">
        <is>
          <t>Calanigan Sur</t>
        </is>
      </c>
    </row>
    <row r="19385" spans="1:1">
      <c r="A19385" t="inlineStr">
        <is>
          <t>Calinaoan Centro</t>
        </is>
      </c>
    </row>
    <row r="19386" spans="1:1">
      <c r="A19386" t="inlineStr">
        <is>
          <t>Calinaoan Malasin</t>
        </is>
      </c>
    </row>
    <row r="19387" spans="1:1">
      <c r="A19387" t="inlineStr">
        <is>
          <t>Calinaoan Norte</t>
        </is>
      </c>
    </row>
    <row r="19388" spans="1:1">
      <c r="A19388" t="inlineStr">
        <is>
          <t>Cañogan Abajo Norte</t>
        </is>
      </c>
    </row>
    <row r="19389" spans="1:1">
      <c r="A19389" t="inlineStr">
        <is>
          <t>Cañogan Abajo Sur</t>
        </is>
      </c>
    </row>
    <row r="19390" spans="1:1">
      <c r="A19390" t="inlineStr">
        <is>
          <t>Cañogan Alto</t>
        </is>
      </c>
    </row>
    <row r="19391" spans="1:1">
      <c r="A19391" t="inlineStr">
        <is>
          <t>Centro</t>
        </is>
      </c>
    </row>
    <row r="19392" spans="1:1">
      <c r="A19392" t="inlineStr">
        <is>
          <t>Colunguan</t>
        </is>
      </c>
    </row>
    <row r="19393" spans="1:1">
      <c r="A19393" t="inlineStr">
        <is>
          <t>Malapagay</t>
        </is>
      </c>
    </row>
    <row r="19394" spans="1:1">
      <c r="A19394" t="inlineStr">
        <is>
          <t>San Rafael Abajo</t>
        </is>
      </c>
    </row>
    <row r="19395" spans="1:1">
      <c r="A19395" t="inlineStr">
        <is>
          <t>San Rafael Alto</t>
        </is>
      </c>
    </row>
    <row r="19396" spans="1:1">
      <c r="A19396" t="inlineStr">
        <is>
          <t>San Roque</t>
        </is>
      </c>
    </row>
    <row r="19397" spans="1:1">
      <c r="A19397" t="inlineStr">
        <is>
          <t>San Vicente</t>
        </is>
      </c>
    </row>
    <row r="19398" spans="1:1">
      <c r="A19398" t="inlineStr">
        <is>
          <t>Uauang Galicia</t>
        </is>
      </c>
    </row>
    <row r="19399" spans="1:1">
      <c r="A19399" t="inlineStr">
        <is>
          <t>Uauang Tuliao</t>
        </is>
      </c>
    </row>
    <row r="19400" spans="1:1">
      <c r="A19400" t="inlineStr">
        <is>
          <t>Annafunan</t>
        </is>
      </c>
    </row>
    <row r="19401" spans="1:1">
      <c r="A19401" t="inlineStr">
        <is>
          <t>Antagan I</t>
        </is>
      </c>
    </row>
    <row r="19402" spans="1:1">
      <c r="A19402" t="inlineStr">
        <is>
          <t>Antagan II</t>
        </is>
      </c>
    </row>
    <row r="19403" spans="1:1">
      <c r="A19403" t="inlineStr">
        <is>
          <t>Arcon</t>
        </is>
      </c>
    </row>
    <row r="19404" spans="1:1">
      <c r="A19404" t="inlineStr">
        <is>
          <t>Balug</t>
        </is>
      </c>
    </row>
    <row r="19405" spans="1:1">
      <c r="A19405" t="inlineStr">
        <is>
          <t>Banig</t>
        </is>
      </c>
    </row>
    <row r="19406" spans="1:1">
      <c r="A19406" t="inlineStr">
        <is>
          <t>Bantug</t>
        </is>
      </c>
    </row>
    <row r="19407" spans="1:1">
      <c r="A19407" t="inlineStr">
        <is>
          <t>Barangay District 1</t>
        </is>
      </c>
    </row>
    <row r="19408" spans="1:1">
      <c r="A19408" t="inlineStr">
        <is>
          <t>Barangay District 2</t>
        </is>
      </c>
    </row>
    <row r="19409" spans="1:1">
      <c r="A19409" t="inlineStr">
        <is>
          <t>Barangay District 3</t>
        </is>
      </c>
    </row>
    <row r="19410" spans="1:1">
      <c r="A19410" t="inlineStr">
        <is>
          <t>Barangay District 4</t>
        </is>
      </c>
    </row>
    <row r="19411" spans="1:1">
      <c r="A19411" t="inlineStr">
        <is>
          <t>Bayabo East</t>
        </is>
      </c>
    </row>
    <row r="19412" spans="1:1">
      <c r="A19412" t="inlineStr">
        <is>
          <t>Caligayan</t>
        </is>
      </c>
    </row>
    <row r="19413" spans="1:1">
      <c r="A19413" t="inlineStr">
        <is>
          <t>Camasi</t>
        </is>
      </c>
    </row>
    <row r="19414" spans="1:1">
      <c r="A19414" t="inlineStr">
        <is>
          <t>Carpentero</t>
        </is>
      </c>
    </row>
    <row r="19415" spans="1:1">
      <c r="A19415" t="inlineStr">
        <is>
          <t>Compania</t>
        </is>
      </c>
    </row>
    <row r="19416" spans="1:1">
      <c r="A19416" t="inlineStr">
        <is>
          <t>Cumabao</t>
        </is>
      </c>
    </row>
    <row r="19417" spans="1:1">
      <c r="A19417" t="inlineStr">
        <is>
          <t>Fermeldy</t>
        </is>
      </c>
    </row>
    <row r="19418" spans="1:1">
      <c r="A19418" t="inlineStr">
        <is>
          <t>Fugu Abajo</t>
        </is>
      </c>
    </row>
    <row r="19419" spans="1:1">
      <c r="A19419" t="inlineStr">
        <is>
          <t>Fugu Norte</t>
        </is>
      </c>
    </row>
    <row r="19420" spans="1:1">
      <c r="A19420" t="inlineStr">
        <is>
          <t>Fugu Sur</t>
        </is>
      </c>
    </row>
    <row r="19421" spans="1:1">
      <c r="A19421" t="inlineStr">
        <is>
          <t>Lalauanan</t>
        </is>
      </c>
    </row>
    <row r="19422" spans="1:1">
      <c r="A19422" t="inlineStr">
        <is>
          <t>Lanna</t>
        </is>
      </c>
    </row>
    <row r="19423" spans="1:1">
      <c r="A19423" t="inlineStr">
        <is>
          <t>Lapogan</t>
        </is>
      </c>
    </row>
    <row r="19424" spans="1:1">
      <c r="A19424" t="inlineStr">
        <is>
          <t>Lingaling</t>
        </is>
      </c>
    </row>
    <row r="19425" spans="1:1">
      <c r="A19425" t="inlineStr">
        <is>
          <t>Liwanag</t>
        </is>
      </c>
    </row>
    <row r="19426" spans="1:1">
      <c r="A19426" t="inlineStr">
        <is>
          <t>Malamag East</t>
        </is>
      </c>
    </row>
    <row r="19427" spans="1:1">
      <c r="A19427" t="inlineStr">
        <is>
          <t>Malamag West</t>
        </is>
      </c>
    </row>
    <row r="19428" spans="1:1">
      <c r="A19428" t="inlineStr">
        <is>
          <t>Maligaya</t>
        </is>
      </c>
    </row>
    <row r="19429" spans="1:1">
      <c r="A19429" t="inlineStr">
        <is>
          <t>Minanga</t>
        </is>
      </c>
    </row>
    <row r="19430" spans="1:1">
      <c r="A19430" t="inlineStr">
        <is>
          <t>Moldero</t>
        </is>
      </c>
    </row>
    <row r="19431" spans="1:1">
      <c r="A19431" t="inlineStr">
        <is>
          <t>Namnama</t>
        </is>
      </c>
    </row>
    <row r="19432" spans="1:1">
      <c r="A19432" t="inlineStr">
        <is>
          <t>Paragu</t>
        </is>
      </c>
    </row>
    <row r="19433" spans="1:1">
      <c r="A19433" t="inlineStr">
        <is>
          <t>Pilitan</t>
        </is>
      </c>
    </row>
    <row r="19434" spans="1:1">
      <c r="A19434" t="inlineStr">
        <is>
          <t>San Mateo</t>
        </is>
      </c>
    </row>
    <row r="19435" spans="1:1">
      <c r="A19435" t="inlineStr">
        <is>
          <t>San Pedro</t>
        </is>
      </c>
    </row>
    <row r="19436" spans="1:1">
      <c r="A19436" t="inlineStr">
        <is>
          <t>San Vicente</t>
        </is>
      </c>
    </row>
    <row r="19437" spans="1:1">
      <c r="A19437" t="inlineStr">
        <is>
          <t>Santa</t>
        </is>
      </c>
    </row>
    <row r="19438" spans="1:1">
      <c r="A19438" t="inlineStr">
        <is>
          <t>Sinippil</t>
        </is>
      </c>
    </row>
    <row r="19439" spans="1:1">
      <c r="A19439" t="inlineStr">
        <is>
          <t>Sisim Abajo</t>
        </is>
      </c>
    </row>
    <row r="19440" spans="1:1">
      <c r="A19440" t="inlineStr">
        <is>
          <t>Sisim Alto</t>
        </is>
      </c>
    </row>
    <row r="19441" spans="1:1">
      <c r="A19441" t="inlineStr">
        <is>
          <t>Sta. Catalina</t>
        </is>
      </c>
    </row>
    <row r="19442" spans="1:1">
      <c r="A19442" t="inlineStr">
        <is>
          <t>Sta. Visitacion</t>
        </is>
      </c>
    </row>
    <row r="19443" spans="1:1">
      <c r="A19443" t="inlineStr">
        <is>
          <t>Sto. Niño</t>
        </is>
      </c>
    </row>
    <row r="19444" spans="1:1">
      <c r="A19444" t="inlineStr">
        <is>
          <t>Tunggui</t>
        </is>
      </c>
    </row>
    <row r="19445" spans="1:1">
      <c r="A19445" t="inlineStr">
        <is>
          <t>Ugad</t>
        </is>
      </c>
    </row>
    <row r="19446" spans="1:1">
      <c r="A19446" t="inlineStr">
        <is>
          <t>Ababa-an</t>
        </is>
      </c>
    </row>
    <row r="19447" spans="1:1">
      <c r="A19447" t="inlineStr">
        <is>
          <t>Balantoy</t>
        </is>
      </c>
    </row>
    <row r="19448" spans="1:1">
      <c r="A19448" t="inlineStr">
        <is>
          <t>Balbalan Proper</t>
        </is>
      </c>
    </row>
    <row r="19449" spans="1:1">
      <c r="A19449" t="inlineStr">
        <is>
          <t>Balbalasang</t>
        </is>
      </c>
    </row>
    <row r="19450" spans="1:1">
      <c r="A19450" t="inlineStr">
        <is>
          <t>Buaya</t>
        </is>
      </c>
    </row>
    <row r="19451" spans="1:1">
      <c r="A19451" t="inlineStr">
        <is>
          <t>Dao-angan</t>
        </is>
      </c>
    </row>
    <row r="19452" spans="1:1">
      <c r="A19452" t="inlineStr">
        <is>
          <t>Gawa-an</t>
        </is>
      </c>
    </row>
    <row r="19453" spans="1:1">
      <c r="A19453" t="inlineStr">
        <is>
          <t>Mabaca</t>
        </is>
      </c>
    </row>
    <row r="19454" spans="1:1">
      <c r="A19454" t="inlineStr">
        <is>
          <t>Maling</t>
        </is>
      </c>
    </row>
    <row r="19455" spans="1:1">
      <c r="A19455" t="inlineStr">
        <is>
          <t>Pantikian</t>
        </is>
      </c>
    </row>
    <row r="19456" spans="1:1">
      <c r="A19456" t="inlineStr">
        <is>
          <t>Poblacion</t>
        </is>
      </c>
    </row>
    <row r="19457" spans="1:1">
      <c r="A19457" t="inlineStr">
        <is>
          <t>Poswoy</t>
        </is>
      </c>
    </row>
    <row r="19458" spans="1:1">
      <c r="A19458" t="inlineStr">
        <is>
          <t>Talalang</t>
        </is>
      </c>
    </row>
    <row r="19459" spans="1:1">
      <c r="A19459" t="inlineStr">
        <is>
          <t>Tawang</t>
        </is>
      </c>
    </row>
    <row r="19460" spans="1:1">
      <c r="A19460" t="inlineStr">
        <is>
          <t>Agbannawag</t>
        </is>
      </c>
    </row>
    <row r="19461" spans="1:1">
      <c r="A19461" t="inlineStr">
        <is>
          <t>Amlao</t>
        </is>
      </c>
    </row>
    <row r="19462" spans="1:1">
      <c r="A19462" t="inlineStr">
        <is>
          <t>Appas</t>
        </is>
      </c>
    </row>
    <row r="19463" spans="1:1">
      <c r="A19463" t="inlineStr">
        <is>
          <t>Bado Dangwa</t>
        </is>
      </c>
    </row>
    <row r="19464" spans="1:1">
      <c r="A19464" t="inlineStr">
        <is>
          <t>Bagumbayan</t>
        </is>
      </c>
    </row>
    <row r="19465" spans="1:1">
      <c r="A19465" t="inlineStr">
        <is>
          <t>Balawag</t>
        </is>
      </c>
    </row>
    <row r="19466" spans="1:1">
      <c r="A19466" t="inlineStr">
        <is>
          <t>Balong</t>
        </is>
      </c>
    </row>
    <row r="19467" spans="1:1">
      <c r="A19467" t="inlineStr">
        <is>
          <t>Bantay</t>
        </is>
      </c>
    </row>
    <row r="19468" spans="1:1">
      <c r="A19468" t="inlineStr">
        <is>
          <t>Bulanao</t>
        </is>
      </c>
    </row>
    <row r="19469" spans="1:1">
      <c r="A19469" t="inlineStr">
        <is>
          <t>Bulanao Norte</t>
        </is>
      </c>
    </row>
    <row r="19470" spans="1:1">
      <c r="A19470" t="inlineStr">
        <is>
          <t>Bulo</t>
        </is>
      </c>
    </row>
    <row r="19471" spans="1:1">
      <c r="A19471" t="inlineStr">
        <is>
          <t>Cabaritan</t>
        </is>
      </c>
    </row>
    <row r="19472" spans="1:1">
      <c r="A19472" t="inlineStr">
        <is>
          <t>Cabaruan</t>
        </is>
      </c>
    </row>
    <row r="19473" spans="1:1">
      <c r="A19473" t="inlineStr">
        <is>
          <t>Calaccad</t>
        </is>
      </c>
    </row>
    <row r="19474" spans="1:1">
      <c r="A19474" t="inlineStr">
        <is>
          <t>Calanan</t>
        </is>
      </c>
    </row>
    <row r="19475" spans="1:1">
      <c r="A19475" t="inlineStr">
        <is>
          <t>Casigayan</t>
        </is>
      </c>
    </row>
    <row r="19476" spans="1:1">
      <c r="A19476" t="inlineStr">
        <is>
          <t>Cudal</t>
        </is>
      </c>
    </row>
    <row r="19477" spans="1:1">
      <c r="A19477" t="inlineStr">
        <is>
          <t>Dagupan Centro</t>
        </is>
      </c>
    </row>
    <row r="19478" spans="1:1">
      <c r="A19478" t="inlineStr">
        <is>
          <t>Dagupan Weste</t>
        </is>
      </c>
    </row>
    <row r="19479" spans="1:1">
      <c r="A19479" t="inlineStr">
        <is>
          <t>Dilag</t>
        </is>
      </c>
    </row>
    <row r="19480" spans="1:1">
      <c r="A19480" t="inlineStr">
        <is>
          <t>Dupag</t>
        </is>
      </c>
    </row>
    <row r="19481" spans="1:1">
      <c r="A19481" t="inlineStr">
        <is>
          <t>Gobgob</t>
        </is>
      </c>
    </row>
    <row r="19482" spans="1:1">
      <c r="A19482" t="inlineStr">
        <is>
          <t>Guilayon</t>
        </is>
      </c>
    </row>
    <row r="19483" spans="1:1">
      <c r="A19483" t="inlineStr">
        <is>
          <t>Ipil</t>
        </is>
      </c>
    </row>
    <row r="19484" spans="1:1">
      <c r="A19484" t="inlineStr">
        <is>
          <t>Lacnog</t>
        </is>
      </c>
    </row>
    <row r="19485" spans="1:1">
      <c r="A19485" t="inlineStr">
        <is>
          <t>Lacnog West</t>
        </is>
      </c>
    </row>
    <row r="19486" spans="1:1">
      <c r="A19486" t="inlineStr">
        <is>
          <t>Lanna</t>
        </is>
      </c>
    </row>
    <row r="19487" spans="1:1">
      <c r="A19487" t="inlineStr">
        <is>
          <t>Laya East</t>
        </is>
      </c>
    </row>
    <row r="19488" spans="1:1">
      <c r="A19488" t="inlineStr">
        <is>
          <t>Laya West</t>
        </is>
      </c>
    </row>
    <row r="19489" spans="1:1">
      <c r="A19489" t="inlineStr">
        <is>
          <t>Lucog</t>
        </is>
      </c>
    </row>
    <row r="19490" spans="1:1">
      <c r="A19490" t="inlineStr">
        <is>
          <t>Magnao</t>
        </is>
      </c>
    </row>
    <row r="19491" spans="1:1">
      <c r="A19491" t="inlineStr">
        <is>
          <t>Magsaysay</t>
        </is>
      </c>
    </row>
    <row r="19492" spans="1:1">
      <c r="A19492" t="inlineStr">
        <is>
          <t>Malalao</t>
        </is>
      </c>
    </row>
    <row r="19493" spans="1:1">
      <c r="A19493" t="inlineStr">
        <is>
          <t>Malin-awa</t>
        </is>
      </c>
    </row>
    <row r="19494" spans="1:1">
      <c r="A19494" t="inlineStr">
        <is>
          <t>Masablang</t>
        </is>
      </c>
    </row>
    <row r="19495" spans="1:1">
      <c r="A19495" t="inlineStr">
        <is>
          <t>Nambaran</t>
        </is>
      </c>
    </row>
    <row r="19496" spans="1:1">
      <c r="A19496" t="inlineStr">
        <is>
          <t>Nambucayan</t>
        </is>
      </c>
    </row>
    <row r="19497" spans="1:1">
      <c r="A19497" t="inlineStr">
        <is>
          <t>Naneng</t>
        </is>
      </c>
    </row>
    <row r="19498" spans="1:1">
      <c r="A19498" t="inlineStr">
        <is>
          <t>New Tanglag</t>
        </is>
      </c>
    </row>
    <row r="19499" spans="1:1">
      <c r="A19499" t="inlineStr">
        <is>
          <t>San Juan</t>
        </is>
      </c>
    </row>
    <row r="19500" spans="1:1">
      <c r="A19500" t="inlineStr">
        <is>
          <t>San Julian</t>
        </is>
      </c>
    </row>
    <row r="19501" spans="1:1">
      <c r="A19501" t="inlineStr">
        <is>
          <t>Suyang</t>
        </is>
      </c>
    </row>
    <row r="19502" spans="1:1">
      <c r="A19502" t="inlineStr">
        <is>
          <t>Tuga</t>
        </is>
      </c>
    </row>
    <row r="19503" spans="1:1">
      <c r="A19503" t="inlineStr">
        <is>
          <t>Antonio Canao</t>
        </is>
      </c>
    </row>
    <row r="19504" spans="1:1">
      <c r="A19504" t="inlineStr">
        <is>
          <t>Dangoy</t>
        </is>
      </c>
    </row>
    <row r="19505" spans="1:1">
      <c r="A19505" t="inlineStr">
        <is>
          <t>Lower Uma</t>
        </is>
      </c>
    </row>
    <row r="19506" spans="1:1">
      <c r="A19506" t="inlineStr">
        <is>
          <t>Mabilong</t>
        </is>
      </c>
    </row>
    <row r="19507" spans="1:1">
      <c r="A19507" t="inlineStr">
        <is>
          <t>Mabongtot</t>
        </is>
      </c>
    </row>
    <row r="19508" spans="1:1">
      <c r="A19508" t="inlineStr">
        <is>
          <t>Poblacion</t>
        </is>
      </c>
    </row>
    <row r="19509" spans="1:1">
      <c r="A19509" t="inlineStr">
        <is>
          <t>Tanglag</t>
        </is>
      </c>
    </row>
    <row r="19510" spans="1:1">
      <c r="A19510" t="inlineStr">
        <is>
          <t>Uma del Norte</t>
        </is>
      </c>
    </row>
    <row r="19511" spans="1:1">
      <c r="A19511" t="inlineStr">
        <is>
          <t>Upper Uma</t>
        </is>
      </c>
    </row>
    <row r="19512" spans="1:1">
      <c r="A19512" t="inlineStr">
        <is>
          <t>Ableg</t>
        </is>
      </c>
    </row>
    <row r="19513" spans="1:1">
      <c r="A19513" t="inlineStr">
        <is>
          <t>Bagtayan</t>
        </is>
      </c>
    </row>
    <row r="19514" spans="1:1">
      <c r="A19514" t="inlineStr">
        <is>
          <t>Balatoc</t>
        </is>
      </c>
    </row>
    <row r="19515" spans="1:1">
      <c r="A19515" t="inlineStr">
        <is>
          <t>Balenciagao Sur</t>
        </is>
      </c>
    </row>
    <row r="19516" spans="1:1">
      <c r="A19516" t="inlineStr">
        <is>
          <t>Balinciagao Norte</t>
        </is>
      </c>
    </row>
    <row r="19517" spans="1:1">
      <c r="A19517" t="inlineStr">
        <is>
          <t>Cagaluan</t>
        </is>
      </c>
    </row>
    <row r="19518" spans="1:1">
      <c r="A19518" t="inlineStr">
        <is>
          <t>Colayo</t>
        </is>
      </c>
    </row>
    <row r="19519" spans="1:1">
      <c r="A19519" t="inlineStr">
        <is>
          <t>Dalupa</t>
        </is>
      </c>
    </row>
    <row r="19520" spans="1:1">
      <c r="A19520" t="inlineStr">
        <is>
          <t>Dangtalan</t>
        </is>
      </c>
    </row>
    <row r="19521" spans="1:1">
      <c r="A19521" t="inlineStr">
        <is>
          <t>Galdang</t>
        </is>
      </c>
    </row>
    <row r="19522" spans="1:1">
      <c r="A19522" t="inlineStr">
        <is>
          <t>Guina-ang</t>
        </is>
      </c>
    </row>
    <row r="19523" spans="1:1">
      <c r="A19523" t="inlineStr">
        <is>
          <t>Magsilay</t>
        </is>
      </c>
    </row>
    <row r="19524" spans="1:1">
      <c r="A19524" t="inlineStr">
        <is>
          <t>Malucsad</t>
        </is>
      </c>
    </row>
    <row r="19525" spans="1:1">
      <c r="A19525" t="inlineStr">
        <is>
          <t>Pugong</t>
        </is>
      </c>
    </row>
    <row r="19526" spans="1:1">
      <c r="A19526" t="inlineStr">
        <is>
          <t>Aciga</t>
        </is>
      </c>
    </row>
    <row r="19527" spans="1:1">
      <c r="A19527" t="inlineStr">
        <is>
          <t>Allaguia</t>
        </is>
      </c>
    </row>
    <row r="19528" spans="1:1">
      <c r="A19528" t="inlineStr">
        <is>
          <t>Ammacian</t>
        </is>
      </c>
    </row>
    <row r="19529" spans="1:1">
      <c r="A19529" t="inlineStr">
        <is>
          <t>Apatan</t>
        </is>
      </c>
    </row>
    <row r="19530" spans="1:1">
      <c r="A19530" t="inlineStr">
        <is>
          <t>Asibanglan</t>
        </is>
      </c>
    </row>
    <row r="19531" spans="1:1">
      <c r="A19531" t="inlineStr">
        <is>
          <t>Ba-ay</t>
        </is>
      </c>
    </row>
    <row r="19532" spans="1:1">
      <c r="A19532" t="inlineStr">
        <is>
          <t>Ballayangon</t>
        </is>
      </c>
    </row>
    <row r="19533" spans="1:1">
      <c r="A19533" t="inlineStr">
        <is>
          <t>Bayao</t>
        </is>
      </c>
    </row>
    <row r="19534" spans="1:1">
      <c r="A19534" t="inlineStr">
        <is>
          <t>Camalog</t>
        </is>
      </c>
    </row>
    <row r="19535" spans="1:1">
      <c r="A19535" t="inlineStr">
        <is>
          <t>Cawagayan</t>
        </is>
      </c>
    </row>
    <row r="19536" spans="1:1">
      <c r="A19536" t="inlineStr">
        <is>
          <t>Dugpa</t>
        </is>
      </c>
    </row>
    <row r="19537" spans="1:1">
      <c r="A19537" t="inlineStr">
        <is>
          <t>Katabbogan</t>
        </is>
      </c>
    </row>
    <row r="19538" spans="1:1">
      <c r="A19538" t="inlineStr">
        <is>
          <t>Limos</t>
        </is>
      </c>
    </row>
    <row r="19539" spans="1:1">
      <c r="A19539" t="inlineStr">
        <is>
          <t>Magaogao</t>
        </is>
      </c>
    </row>
    <row r="19540" spans="1:1">
      <c r="A19540" t="inlineStr">
        <is>
          <t>Malagnat</t>
        </is>
      </c>
    </row>
    <row r="19541" spans="1:1">
      <c r="A19541" t="inlineStr">
        <is>
          <t>Mapaco</t>
        </is>
      </c>
    </row>
    <row r="19542" spans="1:1">
      <c r="A19542" t="inlineStr">
        <is>
          <t>Pakawit</t>
        </is>
      </c>
    </row>
    <row r="19543" spans="1:1">
      <c r="A19543" t="inlineStr">
        <is>
          <t>Pinococ</t>
        </is>
      </c>
    </row>
    <row r="19544" spans="1:1">
      <c r="A19544" t="inlineStr">
        <is>
          <t>Pinukpuk Junction</t>
        </is>
      </c>
    </row>
    <row r="19545" spans="1:1">
      <c r="A19545" t="inlineStr">
        <is>
          <t>Socbot</t>
        </is>
      </c>
    </row>
    <row r="19546" spans="1:1">
      <c r="A19546" t="inlineStr">
        <is>
          <t>Taga</t>
        </is>
      </c>
    </row>
    <row r="19547" spans="1:1">
      <c r="A19547" t="inlineStr">
        <is>
          <t>Taggay</t>
        </is>
      </c>
    </row>
    <row r="19548" spans="1:1">
      <c r="A19548" t="inlineStr">
        <is>
          <t>Wagud</t>
        </is>
      </c>
    </row>
    <row r="19549" spans="1:1">
      <c r="A19549" t="inlineStr">
        <is>
          <t>Babalag East</t>
        </is>
      </c>
    </row>
    <row r="19550" spans="1:1">
      <c r="A19550" t="inlineStr">
        <is>
          <t>Babalag West</t>
        </is>
      </c>
    </row>
    <row r="19551" spans="1:1">
      <c r="A19551" t="inlineStr">
        <is>
          <t>Bulbol</t>
        </is>
      </c>
    </row>
    <row r="19552" spans="1:1">
      <c r="A19552" t="inlineStr">
        <is>
          <t>Calaocan</t>
        </is>
      </c>
    </row>
    <row r="19553" spans="1:1">
      <c r="A19553" t="inlineStr">
        <is>
          <t>Kinama</t>
        </is>
      </c>
    </row>
    <row r="19554" spans="1:1">
      <c r="A19554" t="inlineStr">
        <is>
          <t>Liwan East</t>
        </is>
      </c>
    </row>
    <row r="19555" spans="1:1">
      <c r="A19555" t="inlineStr">
        <is>
          <t>Liwan West</t>
        </is>
      </c>
    </row>
    <row r="19556" spans="1:1">
      <c r="A19556" t="inlineStr">
        <is>
          <t>Macutay</t>
        </is>
      </c>
    </row>
    <row r="19557" spans="1:1">
      <c r="A19557" t="inlineStr">
        <is>
          <t>Romualdez</t>
        </is>
      </c>
    </row>
    <row r="19558" spans="1:1">
      <c r="A19558" t="inlineStr">
        <is>
          <t>San Francisco</t>
        </is>
      </c>
    </row>
    <row r="19559" spans="1:1">
      <c r="A19559" t="inlineStr">
        <is>
          <t>San Pascual</t>
        </is>
      </c>
    </row>
    <row r="19560" spans="1:1">
      <c r="A19560" t="inlineStr">
        <is>
          <t>San Pedro</t>
        </is>
      </c>
    </row>
    <row r="19561" spans="1:1">
      <c r="A19561" t="inlineStr">
        <is>
          <t>San Quintin</t>
        </is>
      </c>
    </row>
    <row r="19562" spans="1:1">
      <c r="A19562" t="inlineStr">
        <is>
          <t>Santor</t>
        </is>
      </c>
    </row>
    <row r="19563" spans="1:1">
      <c r="A19563" t="inlineStr">
        <is>
          <t>Anggacan</t>
        </is>
      </c>
    </row>
    <row r="19564" spans="1:1">
      <c r="A19564" t="inlineStr">
        <is>
          <t>Anggacan Sur</t>
        </is>
      </c>
    </row>
    <row r="19565" spans="1:1">
      <c r="A19565" t="inlineStr">
        <is>
          <t>Babbanoy</t>
        </is>
      </c>
    </row>
    <row r="19566" spans="1:1">
      <c r="A19566" t="inlineStr">
        <is>
          <t>Dacalan</t>
        </is>
      </c>
    </row>
    <row r="19567" spans="1:1">
      <c r="A19567" t="inlineStr">
        <is>
          <t>Dupligan</t>
        </is>
      </c>
    </row>
    <row r="19568" spans="1:1">
      <c r="A19568" t="inlineStr">
        <is>
          <t>Gaang</t>
        </is>
      </c>
    </row>
    <row r="19569" spans="1:1">
      <c r="A19569" t="inlineStr">
        <is>
          <t>Lay-asan</t>
        </is>
      </c>
    </row>
    <row r="19570" spans="1:1">
      <c r="A19570" t="inlineStr">
        <is>
          <t>Lower Lubo</t>
        </is>
      </c>
    </row>
    <row r="19571" spans="1:1">
      <c r="A19571" t="inlineStr">
        <is>
          <t>Lower Mangali</t>
        </is>
      </c>
    </row>
    <row r="19572" spans="1:1">
      <c r="A19572" t="inlineStr">
        <is>
          <t>Lower Taloctoc</t>
        </is>
      </c>
    </row>
    <row r="19573" spans="1:1">
      <c r="A19573" t="inlineStr">
        <is>
          <t>Mabaca</t>
        </is>
      </c>
    </row>
    <row r="19574" spans="1:1">
      <c r="A19574" t="inlineStr">
        <is>
          <t>Mangali Centro</t>
        </is>
      </c>
    </row>
    <row r="19575" spans="1:1">
      <c r="A19575" t="inlineStr">
        <is>
          <t>Pangol</t>
        </is>
      </c>
    </row>
    <row r="19576" spans="1:1">
      <c r="A19576" t="inlineStr">
        <is>
          <t>Poblacion</t>
        </is>
      </c>
    </row>
    <row r="19577" spans="1:1">
      <c r="A19577" t="inlineStr">
        <is>
          <t>Upper Lubo</t>
        </is>
      </c>
    </row>
    <row r="19578" spans="1:1">
      <c r="A19578" t="inlineStr">
        <is>
          <t>Upper Taloctoc</t>
        </is>
      </c>
    </row>
    <row r="19579" spans="1:1">
      <c r="A19579" t="inlineStr">
        <is>
          <t>Ambato Legleg</t>
        </is>
      </c>
    </row>
    <row r="19580" spans="1:1">
      <c r="A19580" t="inlineStr">
        <is>
          <t>Bangad Centro</t>
        </is>
      </c>
    </row>
    <row r="19581" spans="1:1">
      <c r="A19581" t="inlineStr">
        <is>
          <t>Basao</t>
        </is>
      </c>
    </row>
    <row r="19582" spans="1:1">
      <c r="A19582" t="inlineStr">
        <is>
          <t>Belong Manubal</t>
        </is>
      </c>
    </row>
    <row r="19583" spans="1:1">
      <c r="A19583" t="inlineStr">
        <is>
          <t>Bugnay</t>
        </is>
      </c>
    </row>
    <row r="19584" spans="1:1">
      <c r="A19584" t="inlineStr">
        <is>
          <t>Buscalan</t>
        </is>
      </c>
    </row>
    <row r="19585" spans="1:1">
      <c r="A19585" t="inlineStr">
        <is>
          <t>Butbut</t>
        </is>
      </c>
    </row>
    <row r="19586" spans="1:1">
      <c r="A19586" t="inlineStr">
        <is>
          <t>Dananao</t>
        </is>
      </c>
    </row>
    <row r="19587" spans="1:1">
      <c r="A19587" t="inlineStr">
        <is>
          <t>Loccong</t>
        </is>
      </c>
    </row>
    <row r="19588" spans="1:1">
      <c r="A19588" t="inlineStr">
        <is>
          <t>Lower Bangad</t>
        </is>
      </c>
    </row>
    <row r="19589" spans="1:1">
      <c r="A19589" t="inlineStr">
        <is>
          <t>Luplupa</t>
        </is>
      </c>
    </row>
    <row r="19590" spans="1:1">
      <c r="A19590" t="inlineStr">
        <is>
          <t>Mallango</t>
        </is>
      </c>
    </row>
    <row r="19591" spans="1:1">
      <c r="A19591" t="inlineStr">
        <is>
          <t>Ngibat</t>
        </is>
      </c>
    </row>
    <row r="19592" spans="1:1">
      <c r="A19592" t="inlineStr">
        <is>
          <t>Old Tinglayan</t>
        </is>
      </c>
    </row>
    <row r="19593" spans="1:1">
      <c r="A19593" t="inlineStr">
        <is>
          <t>Poblacion</t>
        </is>
      </c>
    </row>
    <row r="19594" spans="1:1">
      <c r="A19594" t="inlineStr">
        <is>
          <t>Sumadel 1</t>
        </is>
      </c>
    </row>
    <row r="19595" spans="1:1">
      <c r="A19595" t="inlineStr">
        <is>
          <t>Sumadel 2</t>
        </is>
      </c>
    </row>
    <row r="19596" spans="1:1">
      <c r="A19596" t="inlineStr">
        <is>
          <t>Tulgao East</t>
        </is>
      </c>
    </row>
    <row r="19597" spans="1:1">
      <c r="A19597" t="inlineStr">
        <is>
          <t>Tulgao West</t>
        </is>
      </c>
    </row>
    <row r="19598" spans="1:1">
      <c r="A19598" t="inlineStr">
        <is>
          <t>Upper Bangad</t>
        </is>
      </c>
    </row>
    <row r="19599" spans="1:1">
      <c r="A19599" t="inlineStr">
        <is>
          <t>Ambitacay</t>
        </is>
      </c>
    </row>
    <row r="19600" spans="1:1">
      <c r="A19600" t="inlineStr">
        <is>
          <t>Balawarte</t>
        </is>
      </c>
    </row>
    <row r="19601" spans="1:1">
      <c r="A19601" t="inlineStr">
        <is>
          <t>Capas</t>
        </is>
      </c>
    </row>
    <row r="19602" spans="1:1">
      <c r="A19602" t="inlineStr">
        <is>
          <t>Consolacion</t>
        </is>
      </c>
    </row>
    <row r="19603" spans="1:1">
      <c r="A19603" t="inlineStr">
        <is>
          <t>Macalva Central</t>
        </is>
      </c>
    </row>
    <row r="19604" spans="1:1">
      <c r="A19604" t="inlineStr">
        <is>
          <t>Macalva Norte</t>
        </is>
      </c>
    </row>
    <row r="19605" spans="1:1">
      <c r="A19605" t="inlineStr">
        <is>
          <t>Macalva Sur</t>
        </is>
      </c>
    </row>
    <row r="19606" spans="1:1">
      <c r="A19606" t="inlineStr">
        <is>
          <t>Nazareno</t>
        </is>
      </c>
    </row>
    <row r="19607" spans="1:1">
      <c r="A19607" t="inlineStr">
        <is>
          <t>Purok</t>
        </is>
      </c>
    </row>
    <row r="19608" spans="1:1">
      <c r="A19608" t="inlineStr">
        <is>
          <t>San Agustin East</t>
        </is>
      </c>
    </row>
    <row r="19609" spans="1:1">
      <c r="A19609" t="inlineStr">
        <is>
          <t>San Agustin Norte</t>
        </is>
      </c>
    </row>
    <row r="19610" spans="1:1">
      <c r="A19610" t="inlineStr">
        <is>
          <t>San Agustin Sur</t>
        </is>
      </c>
    </row>
    <row r="19611" spans="1:1">
      <c r="A19611" t="inlineStr">
        <is>
          <t>San Antonino</t>
        </is>
      </c>
    </row>
    <row r="19612" spans="1:1">
      <c r="A19612" t="inlineStr">
        <is>
          <t>San Antonio</t>
        </is>
      </c>
    </row>
    <row r="19613" spans="1:1">
      <c r="A19613" t="inlineStr">
        <is>
          <t>San Francisco</t>
        </is>
      </c>
    </row>
    <row r="19614" spans="1:1">
      <c r="A19614" t="inlineStr">
        <is>
          <t>San Isidro</t>
        </is>
      </c>
    </row>
    <row r="19615" spans="1:1">
      <c r="A19615" t="inlineStr">
        <is>
          <t>San Joaquin Norte</t>
        </is>
      </c>
    </row>
    <row r="19616" spans="1:1">
      <c r="A19616" t="inlineStr">
        <is>
          <t>San Joaquin Sur</t>
        </is>
      </c>
    </row>
    <row r="19617" spans="1:1">
      <c r="A19617" t="inlineStr">
        <is>
          <t>San Jose Norte</t>
        </is>
      </c>
    </row>
    <row r="19618" spans="1:1">
      <c r="A19618" t="inlineStr">
        <is>
          <t>San Jose Sur</t>
        </is>
      </c>
    </row>
    <row r="19619" spans="1:1">
      <c r="A19619" t="inlineStr">
        <is>
          <t>San Juan</t>
        </is>
      </c>
    </row>
    <row r="19620" spans="1:1">
      <c r="A19620" t="inlineStr">
        <is>
          <t>San Julian Central</t>
        </is>
      </c>
    </row>
    <row r="19621" spans="1:1">
      <c r="A19621" t="inlineStr">
        <is>
          <t>San Julian East</t>
        </is>
      </c>
    </row>
    <row r="19622" spans="1:1">
      <c r="A19622" t="inlineStr">
        <is>
          <t>San Julian Norte</t>
        </is>
      </c>
    </row>
    <row r="19623" spans="1:1">
      <c r="A19623" t="inlineStr">
        <is>
          <t>San Julian West</t>
        </is>
      </c>
    </row>
    <row r="19624" spans="1:1">
      <c r="A19624" t="inlineStr">
        <is>
          <t>San Manuel Norte</t>
        </is>
      </c>
    </row>
    <row r="19625" spans="1:1">
      <c r="A19625" t="inlineStr">
        <is>
          <t>San Manuel Sur</t>
        </is>
      </c>
    </row>
    <row r="19626" spans="1:1">
      <c r="A19626" t="inlineStr">
        <is>
          <t>San Marcos</t>
        </is>
      </c>
    </row>
    <row r="19627" spans="1:1">
      <c r="A19627" t="inlineStr">
        <is>
          <t>San Miguel</t>
        </is>
      </c>
    </row>
    <row r="19628" spans="1:1">
      <c r="A19628" t="inlineStr">
        <is>
          <t>San Nicolas Central</t>
        </is>
      </c>
    </row>
    <row r="19629" spans="1:1">
      <c r="A19629" t="inlineStr">
        <is>
          <t>San Nicolas East</t>
        </is>
      </c>
    </row>
    <row r="19630" spans="1:1">
      <c r="A19630" t="inlineStr">
        <is>
          <t>San Nicolas Norte</t>
        </is>
      </c>
    </row>
    <row r="19631" spans="1:1">
      <c r="A19631" t="inlineStr">
        <is>
          <t>San Nicolas Sur</t>
        </is>
      </c>
    </row>
    <row r="19632" spans="1:1">
      <c r="A19632" t="inlineStr">
        <is>
          <t>San Nicolas West</t>
        </is>
      </c>
    </row>
    <row r="19633" spans="1:1">
      <c r="A19633" t="inlineStr">
        <is>
          <t>San Pedro</t>
        </is>
      </c>
    </row>
    <row r="19634" spans="1:1">
      <c r="A19634" t="inlineStr">
        <is>
          <t>San Roque East</t>
        </is>
      </c>
    </row>
    <row r="19635" spans="1:1">
      <c r="A19635" t="inlineStr">
        <is>
          <t>San Roque West</t>
        </is>
      </c>
    </row>
    <row r="19636" spans="1:1">
      <c r="A19636" t="inlineStr">
        <is>
          <t>San Vicente Norte</t>
        </is>
      </c>
    </row>
    <row r="19637" spans="1:1">
      <c r="A19637" t="inlineStr">
        <is>
          <t>San Vicente Sur</t>
        </is>
      </c>
    </row>
    <row r="19638" spans="1:1">
      <c r="A19638" t="inlineStr">
        <is>
          <t>Santa Ana</t>
        </is>
      </c>
    </row>
    <row r="19639" spans="1:1">
      <c r="A19639" t="inlineStr">
        <is>
          <t>Santa Barbara</t>
        </is>
      </c>
    </row>
    <row r="19640" spans="1:1">
      <c r="A19640" t="inlineStr">
        <is>
          <t>Santa Fe</t>
        </is>
      </c>
    </row>
    <row r="19641" spans="1:1">
      <c r="A19641" t="inlineStr">
        <is>
          <t>Santa Maria</t>
        </is>
      </c>
    </row>
    <row r="19642" spans="1:1">
      <c r="A19642" t="inlineStr">
        <is>
          <t>Santa Monica</t>
        </is>
      </c>
    </row>
    <row r="19643" spans="1:1">
      <c r="A19643" t="inlineStr">
        <is>
          <t>Santa Rita</t>
        </is>
      </c>
    </row>
    <row r="19644" spans="1:1">
      <c r="A19644" t="inlineStr">
        <is>
          <t>Santa Rita East</t>
        </is>
      </c>
    </row>
    <row r="19645" spans="1:1">
      <c r="A19645" t="inlineStr">
        <is>
          <t>Santa Rita Norte</t>
        </is>
      </c>
    </row>
    <row r="19646" spans="1:1">
      <c r="A19646" t="inlineStr">
        <is>
          <t>Santa Rita Sur</t>
        </is>
      </c>
    </row>
    <row r="19647" spans="1:1">
      <c r="A19647" t="inlineStr">
        <is>
          <t>Santa Rita West</t>
        </is>
      </c>
    </row>
    <row r="19648" spans="1:1">
      <c r="A19648" t="inlineStr">
        <is>
          <t>Alaska</t>
        </is>
      </c>
    </row>
    <row r="19649" spans="1:1">
      <c r="A19649" t="inlineStr">
        <is>
          <t>Basca</t>
        </is>
      </c>
    </row>
    <row r="19650" spans="1:1">
      <c r="A19650" t="inlineStr">
        <is>
          <t>Dulao</t>
        </is>
      </c>
    </row>
    <row r="19651" spans="1:1">
      <c r="A19651" t="inlineStr">
        <is>
          <t>Gallano</t>
        </is>
      </c>
    </row>
    <row r="19652" spans="1:1">
      <c r="A19652" t="inlineStr">
        <is>
          <t>Macabato</t>
        </is>
      </c>
    </row>
    <row r="19653" spans="1:1">
      <c r="A19653" t="inlineStr">
        <is>
          <t>Manga</t>
        </is>
      </c>
    </row>
    <row r="19654" spans="1:1">
      <c r="A19654" t="inlineStr">
        <is>
          <t>Pangao-aoan East</t>
        </is>
      </c>
    </row>
    <row r="19655" spans="1:1">
      <c r="A19655" t="inlineStr">
        <is>
          <t>Pangao-aoan West</t>
        </is>
      </c>
    </row>
    <row r="19656" spans="1:1">
      <c r="A19656" t="inlineStr">
        <is>
          <t>Poblacion</t>
        </is>
      </c>
    </row>
    <row r="19657" spans="1:1">
      <c r="A19657" t="inlineStr">
        <is>
          <t>Samara</t>
        </is>
      </c>
    </row>
    <row r="19658" spans="1:1">
      <c r="A19658" t="inlineStr">
        <is>
          <t>San Antonio</t>
        </is>
      </c>
    </row>
    <row r="19659" spans="1:1">
      <c r="A19659" t="inlineStr">
        <is>
          <t>San Benito Norte</t>
        </is>
      </c>
    </row>
    <row r="19660" spans="1:1">
      <c r="A19660" t="inlineStr">
        <is>
          <t>San Benito Sur</t>
        </is>
      </c>
    </row>
    <row r="19661" spans="1:1">
      <c r="A19661" t="inlineStr">
        <is>
          <t>San Eugenio</t>
        </is>
      </c>
    </row>
    <row r="19662" spans="1:1">
      <c r="A19662" t="inlineStr">
        <is>
          <t>San Juan East</t>
        </is>
      </c>
    </row>
    <row r="19663" spans="1:1">
      <c r="A19663" t="inlineStr">
        <is>
          <t>San Juan West</t>
        </is>
      </c>
    </row>
    <row r="19664" spans="1:1">
      <c r="A19664" t="inlineStr">
        <is>
          <t>San Simon East</t>
        </is>
      </c>
    </row>
    <row r="19665" spans="1:1">
      <c r="A19665" t="inlineStr">
        <is>
          <t>San Simon West</t>
        </is>
      </c>
    </row>
    <row r="19666" spans="1:1">
      <c r="A19666" t="inlineStr">
        <is>
          <t>Santa Cecilia</t>
        </is>
      </c>
    </row>
    <row r="19667" spans="1:1">
      <c r="A19667" t="inlineStr">
        <is>
          <t>Santa Lucia</t>
        </is>
      </c>
    </row>
    <row r="19668" spans="1:1">
      <c r="A19668" t="inlineStr">
        <is>
          <t>Santa Rita East</t>
        </is>
      </c>
    </row>
    <row r="19669" spans="1:1">
      <c r="A19669" t="inlineStr">
        <is>
          <t>Santa Rita West</t>
        </is>
      </c>
    </row>
    <row r="19670" spans="1:1">
      <c r="A19670" t="inlineStr">
        <is>
          <t>Santo Rosario East</t>
        </is>
      </c>
    </row>
    <row r="19671" spans="1:1">
      <c r="A19671" t="inlineStr">
        <is>
          <t>Santo Rosario West</t>
        </is>
      </c>
    </row>
    <row r="19672" spans="1:1">
      <c r="A19672" t="inlineStr">
        <is>
          <t>Agtipal</t>
        </is>
      </c>
    </row>
    <row r="19673" spans="1:1">
      <c r="A19673" t="inlineStr">
        <is>
          <t>Arosip</t>
        </is>
      </c>
    </row>
    <row r="19674" spans="1:1">
      <c r="A19674" t="inlineStr">
        <is>
          <t>Bacqui</t>
        </is>
      </c>
    </row>
    <row r="19675" spans="1:1">
      <c r="A19675" t="inlineStr">
        <is>
          <t>Bacsil</t>
        </is>
      </c>
    </row>
    <row r="19676" spans="1:1">
      <c r="A19676" t="inlineStr">
        <is>
          <t>Bagutot</t>
        </is>
      </c>
    </row>
    <row r="19677" spans="1:1">
      <c r="A19677" t="inlineStr">
        <is>
          <t>Ballogo</t>
        </is>
      </c>
    </row>
    <row r="19678" spans="1:1">
      <c r="A19678" t="inlineStr">
        <is>
          <t>Baroro</t>
        </is>
      </c>
    </row>
    <row r="19679" spans="1:1">
      <c r="A19679" t="inlineStr">
        <is>
          <t>Bitalag</t>
        </is>
      </c>
    </row>
    <row r="19680" spans="1:1">
      <c r="A19680" t="inlineStr">
        <is>
          <t>Bulala</t>
        </is>
      </c>
    </row>
    <row r="19681" spans="1:1">
      <c r="A19681" t="inlineStr">
        <is>
          <t>Burayoc</t>
        </is>
      </c>
    </row>
    <row r="19682" spans="1:1">
      <c r="A19682" t="inlineStr">
        <is>
          <t>Bussaoit</t>
        </is>
      </c>
    </row>
    <row r="19683" spans="1:1">
      <c r="A19683" t="inlineStr">
        <is>
          <t>Cabaroan</t>
        </is>
      </c>
    </row>
    <row r="19684" spans="1:1">
      <c r="A19684" t="inlineStr">
        <is>
          <t>Cabarsican</t>
        </is>
      </c>
    </row>
    <row r="19685" spans="1:1">
      <c r="A19685" t="inlineStr">
        <is>
          <t>Cabugao</t>
        </is>
      </c>
    </row>
    <row r="19686" spans="1:1">
      <c r="A19686" t="inlineStr">
        <is>
          <t>Calautit</t>
        </is>
      </c>
    </row>
    <row r="19687" spans="1:1">
      <c r="A19687" t="inlineStr">
        <is>
          <t>Carcarmay</t>
        </is>
      </c>
    </row>
    <row r="19688" spans="1:1">
      <c r="A19688" t="inlineStr">
        <is>
          <t>Casiaman</t>
        </is>
      </c>
    </row>
    <row r="19689" spans="1:1">
      <c r="A19689" t="inlineStr">
        <is>
          <t>Galongen</t>
        </is>
      </c>
    </row>
    <row r="19690" spans="1:1">
      <c r="A19690" t="inlineStr">
        <is>
          <t>Guinabang</t>
        </is>
      </c>
    </row>
    <row r="19691" spans="1:1">
      <c r="A19691" t="inlineStr">
        <is>
          <t>Legleg</t>
        </is>
      </c>
    </row>
    <row r="19692" spans="1:1">
      <c r="A19692" t="inlineStr">
        <is>
          <t>Lisqueb</t>
        </is>
      </c>
    </row>
    <row r="19693" spans="1:1">
      <c r="A19693" t="inlineStr">
        <is>
          <t>Mabanengbeng 1st</t>
        </is>
      </c>
    </row>
    <row r="19694" spans="1:1">
      <c r="A19694" t="inlineStr">
        <is>
          <t>Mabanengbeng 2nd</t>
        </is>
      </c>
    </row>
    <row r="19695" spans="1:1">
      <c r="A19695" t="inlineStr">
        <is>
          <t>Maragayap</t>
        </is>
      </c>
    </row>
    <row r="19696" spans="1:1">
      <c r="A19696" t="inlineStr">
        <is>
          <t>Nagatiran</t>
        </is>
      </c>
    </row>
    <row r="19697" spans="1:1">
      <c r="A19697" t="inlineStr">
        <is>
          <t>Nagsaraboan</t>
        </is>
      </c>
    </row>
    <row r="19698" spans="1:1">
      <c r="A19698" t="inlineStr">
        <is>
          <t>Nagsimbaanan</t>
        </is>
      </c>
    </row>
    <row r="19699" spans="1:1">
      <c r="A19699" t="inlineStr">
        <is>
          <t>Nangalisan</t>
        </is>
      </c>
    </row>
    <row r="19700" spans="1:1">
      <c r="A19700" t="inlineStr">
        <is>
          <t>Narra</t>
        </is>
      </c>
    </row>
    <row r="19701" spans="1:1">
      <c r="A19701" t="inlineStr">
        <is>
          <t>Ortega</t>
        </is>
      </c>
    </row>
    <row r="19702" spans="1:1">
      <c r="A19702" t="inlineStr">
        <is>
          <t>Oya-oy</t>
        </is>
      </c>
    </row>
    <row r="19703" spans="1:1">
      <c r="A19703" t="inlineStr">
        <is>
          <t>Paagan</t>
        </is>
      </c>
    </row>
    <row r="19704" spans="1:1">
      <c r="A19704" t="inlineStr">
        <is>
          <t>Pandan</t>
        </is>
      </c>
    </row>
    <row r="19705" spans="1:1">
      <c r="A19705" t="inlineStr">
        <is>
          <t>Pang-pang</t>
        </is>
      </c>
    </row>
    <row r="19706" spans="1:1">
      <c r="A19706" t="inlineStr">
        <is>
          <t>Poblacion</t>
        </is>
      </c>
    </row>
    <row r="19707" spans="1:1">
      <c r="A19707" t="inlineStr">
        <is>
          <t>Quirino</t>
        </is>
      </c>
    </row>
    <row r="19708" spans="1:1">
      <c r="A19708" t="inlineStr">
        <is>
          <t>Raois</t>
        </is>
      </c>
    </row>
    <row r="19709" spans="1:1">
      <c r="A19709" t="inlineStr">
        <is>
          <t>Salincob</t>
        </is>
      </c>
    </row>
    <row r="19710" spans="1:1">
      <c r="A19710" t="inlineStr">
        <is>
          <t>San Martin</t>
        </is>
      </c>
    </row>
    <row r="19711" spans="1:1">
      <c r="A19711" t="inlineStr">
        <is>
          <t>Santa Cruz</t>
        </is>
      </c>
    </row>
    <row r="19712" spans="1:1">
      <c r="A19712" t="inlineStr">
        <is>
          <t>Santa Rita</t>
        </is>
      </c>
    </row>
    <row r="19713" spans="1:1">
      <c r="A19713" t="inlineStr">
        <is>
          <t>Sapilang</t>
        </is>
      </c>
    </row>
    <row r="19714" spans="1:1">
      <c r="A19714" t="inlineStr">
        <is>
          <t>Sayoan</t>
        </is>
      </c>
    </row>
    <row r="19715" spans="1:1">
      <c r="A19715" t="inlineStr">
        <is>
          <t>Sipulo</t>
        </is>
      </c>
    </row>
    <row r="19716" spans="1:1">
      <c r="A19716" t="inlineStr">
        <is>
          <t>Tammocalao</t>
        </is>
      </c>
    </row>
    <row r="19717" spans="1:1">
      <c r="A19717" t="inlineStr">
        <is>
          <t>Ubbog</t>
        </is>
      </c>
    </row>
    <row r="19718" spans="1:1">
      <c r="A19718" t="inlineStr">
        <is>
          <t>Zaragosa</t>
        </is>
      </c>
    </row>
    <row r="19719" spans="1:1">
      <c r="A19719" t="inlineStr">
        <is>
          <t>Alibangsay</t>
        </is>
      </c>
    </row>
    <row r="19720" spans="1:1">
      <c r="A19720" t="inlineStr">
        <is>
          <t>Baay</t>
        </is>
      </c>
    </row>
    <row r="19721" spans="1:1">
      <c r="A19721" t="inlineStr">
        <is>
          <t>Cambaly</t>
        </is>
      </c>
    </row>
    <row r="19722" spans="1:1">
      <c r="A19722" t="inlineStr">
        <is>
          <t>Cardiz</t>
        </is>
      </c>
    </row>
    <row r="19723" spans="1:1">
      <c r="A19723" t="inlineStr">
        <is>
          <t>Dagup</t>
        </is>
      </c>
    </row>
    <row r="19724" spans="1:1">
      <c r="A19724" t="inlineStr">
        <is>
          <t>Libbo</t>
        </is>
      </c>
    </row>
    <row r="19725" spans="1:1">
      <c r="A19725" t="inlineStr">
        <is>
          <t>Suyo</t>
        </is>
      </c>
    </row>
    <row r="19726" spans="1:1">
      <c r="A19726" t="inlineStr">
        <is>
          <t>Tagudtud</t>
        </is>
      </c>
    </row>
    <row r="19727" spans="1:1">
      <c r="A19727" t="inlineStr">
        <is>
          <t>Tio-angan</t>
        </is>
      </c>
    </row>
    <row r="19728" spans="1:1">
      <c r="A19728" t="inlineStr">
        <is>
          <t>Wallayan</t>
        </is>
      </c>
    </row>
    <row r="19729" spans="1:1">
      <c r="A19729" t="inlineStr">
        <is>
          <t>Almeida</t>
        </is>
      </c>
    </row>
    <row r="19730" spans="1:1">
      <c r="A19730" t="inlineStr">
        <is>
          <t>Antonino</t>
        </is>
      </c>
    </row>
    <row r="19731" spans="1:1">
      <c r="A19731" t="inlineStr">
        <is>
          <t>Apatut</t>
        </is>
      </c>
    </row>
    <row r="19732" spans="1:1">
      <c r="A19732" t="inlineStr">
        <is>
          <t>Ar-arampang</t>
        </is>
      </c>
    </row>
    <row r="19733" spans="1:1">
      <c r="A19733" t="inlineStr">
        <is>
          <t>Baracbac Este</t>
        </is>
      </c>
    </row>
    <row r="19734" spans="1:1">
      <c r="A19734" t="inlineStr">
        <is>
          <t>Baracbac Oeste</t>
        </is>
      </c>
    </row>
    <row r="19735" spans="1:1">
      <c r="A19735" t="inlineStr">
        <is>
          <t>Bet-ang</t>
        </is>
      </c>
    </row>
    <row r="19736" spans="1:1">
      <c r="A19736" t="inlineStr">
        <is>
          <t>Bulbulala</t>
        </is>
      </c>
    </row>
    <row r="19737" spans="1:1">
      <c r="A19737" t="inlineStr">
        <is>
          <t>Bungol</t>
        </is>
      </c>
    </row>
    <row r="19738" spans="1:1">
      <c r="A19738" t="inlineStr">
        <is>
          <t>Butubut Este</t>
        </is>
      </c>
    </row>
    <row r="19739" spans="1:1">
      <c r="A19739" t="inlineStr">
        <is>
          <t>Butubut Norte</t>
        </is>
      </c>
    </row>
    <row r="19740" spans="1:1">
      <c r="A19740" t="inlineStr">
        <is>
          <t>Butubut Oeste</t>
        </is>
      </c>
    </row>
    <row r="19741" spans="1:1">
      <c r="A19741" t="inlineStr">
        <is>
          <t>Butubut Sur</t>
        </is>
      </c>
    </row>
    <row r="19742" spans="1:1">
      <c r="A19742" t="inlineStr">
        <is>
          <t>Cabuaan Oeste</t>
        </is>
      </c>
    </row>
    <row r="19743" spans="1:1">
      <c r="A19743" t="inlineStr">
        <is>
          <t>Calliat</t>
        </is>
      </c>
    </row>
    <row r="19744" spans="1:1">
      <c r="A19744" t="inlineStr">
        <is>
          <t>Calungbuyan</t>
        </is>
      </c>
    </row>
    <row r="19745" spans="1:1">
      <c r="A19745" t="inlineStr">
        <is>
          <t>Camiling</t>
        </is>
      </c>
    </row>
    <row r="19746" spans="1:1">
      <c r="A19746" t="inlineStr">
        <is>
          <t>Dr. Camilo Osias Pob.</t>
        </is>
      </c>
    </row>
    <row r="19747" spans="1:1">
      <c r="A19747" t="inlineStr">
        <is>
          <t>Guinaburan</t>
        </is>
      </c>
    </row>
    <row r="19748" spans="1:1">
      <c r="A19748" t="inlineStr">
        <is>
          <t>Masupe</t>
        </is>
      </c>
    </row>
    <row r="19749" spans="1:1">
      <c r="A19749" t="inlineStr">
        <is>
          <t>Nagsabaran Norte</t>
        </is>
      </c>
    </row>
    <row r="19750" spans="1:1">
      <c r="A19750" t="inlineStr">
        <is>
          <t>Nagsabaran Sur</t>
        </is>
      </c>
    </row>
    <row r="19751" spans="1:1">
      <c r="A19751" t="inlineStr">
        <is>
          <t>Nalasin</t>
        </is>
      </c>
    </row>
    <row r="19752" spans="1:1">
      <c r="A19752" t="inlineStr">
        <is>
          <t>Napaset</t>
        </is>
      </c>
    </row>
    <row r="19753" spans="1:1">
      <c r="A19753" t="inlineStr">
        <is>
          <t>Pa-o</t>
        </is>
      </c>
    </row>
    <row r="19754" spans="1:1">
      <c r="A19754" t="inlineStr">
        <is>
          <t>Pagbennecan</t>
        </is>
      </c>
    </row>
    <row r="19755" spans="1:1">
      <c r="A19755" t="inlineStr">
        <is>
          <t>Pagleddegan</t>
        </is>
      </c>
    </row>
    <row r="19756" spans="1:1">
      <c r="A19756" t="inlineStr">
        <is>
          <t>Pantar Norte</t>
        </is>
      </c>
    </row>
    <row r="19757" spans="1:1">
      <c r="A19757" t="inlineStr">
        <is>
          <t>Pantar Sur</t>
        </is>
      </c>
    </row>
    <row r="19758" spans="1:1">
      <c r="A19758" t="inlineStr">
        <is>
          <t>Paraoir</t>
        </is>
      </c>
    </row>
    <row r="19759" spans="1:1">
      <c r="A19759" t="inlineStr">
        <is>
          <t>Patpata</t>
        </is>
      </c>
    </row>
    <row r="19760" spans="1:1">
      <c r="A19760" t="inlineStr">
        <is>
          <t>Sablut</t>
        </is>
      </c>
    </row>
    <row r="19761" spans="1:1">
      <c r="A19761" t="inlineStr">
        <is>
          <t>San Pablo</t>
        </is>
      </c>
    </row>
    <row r="19762" spans="1:1">
      <c r="A19762" t="inlineStr">
        <is>
          <t>Sinapangan Norte</t>
        </is>
      </c>
    </row>
    <row r="19763" spans="1:1">
      <c r="A19763" t="inlineStr">
        <is>
          <t>Sinapangan Sur</t>
        </is>
      </c>
    </row>
    <row r="19764" spans="1:1">
      <c r="A19764" t="inlineStr">
        <is>
          <t>Tallipugo</t>
        </is>
      </c>
    </row>
    <row r="19765" spans="1:1">
      <c r="A19765" t="inlineStr">
        <is>
          <t>Agdeppa</t>
        </is>
      </c>
    </row>
    <row r="19766" spans="1:1">
      <c r="A19766" t="inlineStr">
        <is>
          <t>Alzate</t>
        </is>
      </c>
    </row>
    <row r="19767" spans="1:1">
      <c r="A19767" t="inlineStr">
        <is>
          <t>Bangaoilan East</t>
        </is>
      </c>
    </row>
    <row r="19768" spans="1:1">
      <c r="A19768" t="inlineStr">
        <is>
          <t>Bangaoilan West</t>
        </is>
      </c>
    </row>
    <row r="19769" spans="1:1">
      <c r="A19769" t="inlineStr">
        <is>
          <t>Barraca</t>
        </is>
      </c>
    </row>
    <row r="19770" spans="1:1">
      <c r="A19770" t="inlineStr">
        <is>
          <t>Cadapli</t>
        </is>
      </c>
    </row>
    <row r="19771" spans="1:1">
      <c r="A19771" t="inlineStr">
        <is>
          <t>Caggao</t>
        </is>
      </c>
    </row>
    <row r="19772" spans="1:1">
      <c r="A19772" t="inlineStr">
        <is>
          <t>Central East No. 1</t>
        </is>
      </c>
    </row>
    <row r="19773" spans="1:1">
      <c r="A19773" t="inlineStr">
        <is>
          <t>Central East No. 2</t>
        </is>
      </c>
    </row>
    <row r="19774" spans="1:1">
      <c r="A19774" t="inlineStr">
        <is>
          <t>Central West No. 1</t>
        </is>
      </c>
    </row>
    <row r="19775" spans="1:1">
      <c r="A19775" t="inlineStr">
        <is>
          <t>Central West No. 2</t>
        </is>
      </c>
    </row>
    <row r="19776" spans="1:1">
      <c r="A19776" t="inlineStr">
        <is>
          <t>Central West No. 3</t>
        </is>
      </c>
    </row>
    <row r="19777" spans="1:1">
      <c r="A19777" t="inlineStr">
        <is>
          <t>Consuegra</t>
        </is>
      </c>
    </row>
    <row r="19778" spans="1:1">
      <c r="A19778" t="inlineStr">
        <is>
          <t>General Prim East</t>
        </is>
      </c>
    </row>
    <row r="19779" spans="1:1">
      <c r="A19779" t="inlineStr">
        <is>
          <t>General Prim West</t>
        </is>
      </c>
    </row>
    <row r="19780" spans="1:1">
      <c r="A19780" t="inlineStr">
        <is>
          <t>General Terrero</t>
        </is>
      </c>
    </row>
    <row r="19781" spans="1:1">
      <c r="A19781" t="inlineStr">
        <is>
          <t>Luzong Norte</t>
        </is>
      </c>
    </row>
    <row r="19782" spans="1:1">
      <c r="A19782" t="inlineStr">
        <is>
          <t>Luzong Sur</t>
        </is>
      </c>
    </row>
    <row r="19783" spans="1:1">
      <c r="A19783" t="inlineStr">
        <is>
          <t>Maria Cristina East</t>
        </is>
      </c>
    </row>
    <row r="19784" spans="1:1">
      <c r="A19784" t="inlineStr">
        <is>
          <t>Maria Cristina West</t>
        </is>
      </c>
    </row>
    <row r="19785" spans="1:1">
      <c r="A19785" t="inlineStr">
        <is>
          <t>Mindoro</t>
        </is>
      </c>
    </row>
    <row r="19786" spans="1:1">
      <c r="A19786" t="inlineStr">
        <is>
          <t>Nagsabaran</t>
        </is>
      </c>
    </row>
    <row r="19787" spans="1:1">
      <c r="A19787" t="inlineStr">
        <is>
          <t>Paratong No. 3</t>
        </is>
      </c>
    </row>
    <row r="19788" spans="1:1">
      <c r="A19788" t="inlineStr">
        <is>
          <t>Paratong No. 4</t>
        </is>
      </c>
    </row>
    <row r="19789" spans="1:1">
      <c r="A19789" t="inlineStr">
        <is>
          <t>Paratong Norte</t>
        </is>
      </c>
    </row>
    <row r="19790" spans="1:1">
      <c r="A19790" t="inlineStr">
        <is>
          <t>Quintarong</t>
        </is>
      </c>
    </row>
    <row r="19791" spans="1:1">
      <c r="A19791" t="inlineStr">
        <is>
          <t>Reyna Regente</t>
        </is>
      </c>
    </row>
    <row r="19792" spans="1:1">
      <c r="A19792" t="inlineStr">
        <is>
          <t>Rissing</t>
        </is>
      </c>
    </row>
    <row r="19793" spans="1:1">
      <c r="A19793" t="inlineStr">
        <is>
          <t>San Blas</t>
        </is>
      </c>
    </row>
    <row r="19794" spans="1:1">
      <c r="A19794" t="inlineStr">
        <is>
          <t>San Cristobal</t>
        </is>
      </c>
    </row>
    <row r="19795" spans="1:1">
      <c r="A19795" t="inlineStr">
        <is>
          <t>Sinapangan Norte</t>
        </is>
      </c>
    </row>
    <row r="19796" spans="1:1">
      <c r="A19796" t="inlineStr">
        <is>
          <t>Sinapangan Sur</t>
        </is>
      </c>
    </row>
    <row r="19797" spans="1:1">
      <c r="A19797" t="inlineStr">
        <is>
          <t>Ubbog</t>
        </is>
      </c>
    </row>
    <row r="19798" spans="1:1">
      <c r="A19798" t="inlineStr">
        <is>
          <t>Acao</t>
        </is>
      </c>
    </row>
    <row r="19799" spans="1:1">
      <c r="A19799" t="inlineStr">
        <is>
          <t>Baccuit Norte</t>
        </is>
      </c>
    </row>
    <row r="19800" spans="1:1">
      <c r="A19800" t="inlineStr">
        <is>
          <t>Baccuit Sur</t>
        </is>
      </c>
    </row>
    <row r="19801" spans="1:1">
      <c r="A19801" t="inlineStr">
        <is>
          <t>Bagbag</t>
        </is>
      </c>
    </row>
    <row r="19802" spans="1:1">
      <c r="A19802" t="inlineStr">
        <is>
          <t>Ballay</t>
        </is>
      </c>
    </row>
    <row r="19803" spans="1:1">
      <c r="A19803" t="inlineStr">
        <is>
          <t>Bawanta</t>
        </is>
      </c>
    </row>
    <row r="19804" spans="1:1">
      <c r="A19804" t="inlineStr">
        <is>
          <t>Boy-utan</t>
        </is>
      </c>
    </row>
    <row r="19805" spans="1:1">
      <c r="A19805" t="inlineStr">
        <is>
          <t>Bucayab</t>
        </is>
      </c>
    </row>
    <row r="19806" spans="1:1">
      <c r="A19806" t="inlineStr">
        <is>
          <t>Cabalayangan</t>
        </is>
      </c>
    </row>
    <row r="19807" spans="1:1">
      <c r="A19807" t="inlineStr">
        <is>
          <t>Cabisilan</t>
        </is>
      </c>
    </row>
    <row r="19808" spans="1:1">
      <c r="A19808" t="inlineStr">
        <is>
          <t>Calumbaya</t>
        </is>
      </c>
    </row>
    <row r="19809" spans="1:1">
      <c r="A19809" t="inlineStr">
        <is>
          <t>Carmay</t>
        </is>
      </c>
    </row>
    <row r="19810" spans="1:1">
      <c r="A19810" t="inlineStr">
        <is>
          <t>Casilagan</t>
        </is>
      </c>
    </row>
    <row r="19811" spans="1:1">
      <c r="A19811" t="inlineStr">
        <is>
          <t>Central East</t>
        </is>
      </c>
    </row>
    <row r="19812" spans="1:1">
      <c r="A19812" t="inlineStr">
        <is>
          <t>Central West</t>
        </is>
      </c>
    </row>
    <row r="19813" spans="1:1">
      <c r="A19813" t="inlineStr">
        <is>
          <t>Dili</t>
        </is>
      </c>
    </row>
    <row r="19814" spans="1:1">
      <c r="A19814" t="inlineStr">
        <is>
          <t>Disso-or</t>
        </is>
      </c>
    </row>
    <row r="19815" spans="1:1">
      <c r="A19815" t="inlineStr">
        <is>
          <t>Guerrero</t>
        </is>
      </c>
    </row>
    <row r="19816" spans="1:1">
      <c r="A19816" t="inlineStr">
        <is>
          <t>Lower San Agustin</t>
        </is>
      </c>
    </row>
    <row r="19817" spans="1:1">
      <c r="A19817" t="inlineStr">
        <is>
          <t>Nagrebcan</t>
        </is>
      </c>
    </row>
    <row r="19818" spans="1:1">
      <c r="A19818" t="inlineStr">
        <is>
          <t>Pagdalagan Sur</t>
        </is>
      </c>
    </row>
    <row r="19819" spans="1:1">
      <c r="A19819" t="inlineStr">
        <is>
          <t>Palintucang</t>
        </is>
      </c>
    </row>
    <row r="19820" spans="1:1">
      <c r="A19820" t="inlineStr">
        <is>
          <t>Palugsi-Limmansangan</t>
        </is>
      </c>
    </row>
    <row r="19821" spans="1:1">
      <c r="A19821" t="inlineStr">
        <is>
          <t>Parian Este</t>
        </is>
      </c>
    </row>
    <row r="19822" spans="1:1">
      <c r="A19822" t="inlineStr">
        <is>
          <t>Parian Oeste</t>
        </is>
      </c>
    </row>
    <row r="19823" spans="1:1">
      <c r="A19823" t="inlineStr">
        <is>
          <t>Paringao</t>
        </is>
      </c>
    </row>
    <row r="19824" spans="1:1">
      <c r="A19824" t="inlineStr">
        <is>
          <t>Payocpoc Norte Este</t>
        </is>
      </c>
    </row>
    <row r="19825" spans="1:1">
      <c r="A19825" t="inlineStr">
        <is>
          <t>Payocpoc Norte Oeste</t>
        </is>
      </c>
    </row>
    <row r="19826" spans="1:1">
      <c r="A19826" t="inlineStr">
        <is>
          <t>Payocpoc Sur</t>
        </is>
      </c>
    </row>
    <row r="19827" spans="1:1">
      <c r="A19827" t="inlineStr">
        <is>
          <t>Pilar</t>
        </is>
      </c>
    </row>
    <row r="19828" spans="1:1">
      <c r="A19828" t="inlineStr">
        <is>
          <t>Pottot</t>
        </is>
      </c>
    </row>
    <row r="19829" spans="1:1">
      <c r="A19829" t="inlineStr">
        <is>
          <t>Pudoc</t>
        </is>
      </c>
    </row>
    <row r="19830" spans="1:1">
      <c r="A19830" t="inlineStr">
        <is>
          <t>Pugo</t>
        </is>
      </c>
    </row>
    <row r="19831" spans="1:1">
      <c r="A19831" t="inlineStr">
        <is>
          <t>Quinavite</t>
        </is>
      </c>
    </row>
    <row r="19832" spans="1:1">
      <c r="A19832" t="inlineStr">
        <is>
          <t>Santa Monica</t>
        </is>
      </c>
    </row>
    <row r="19833" spans="1:1">
      <c r="A19833" t="inlineStr">
        <is>
          <t>Santiago</t>
        </is>
      </c>
    </row>
    <row r="19834" spans="1:1">
      <c r="A19834" t="inlineStr">
        <is>
          <t>Taberna</t>
        </is>
      </c>
    </row>
    <row r="19835" spans="1:1">
      <c r="A19835" t="inlineStr">
        <is>
          <t>Upper San Agustin</t>
        </is>
      </c>
    </row>
    <row r="19836" spans="1:1">
      <c r="A19836" t="inlineStr">
        <is>
          <t>Urayong</t>
        </is>
      </c>
    </row>
    <row r="19837" spans="1:1">
      <c r="A19837" t="inlineStr">
        <is>
          <t>Agpay</t>
        </is>
      </c>
    </row>
    <row r="19838" spans="1:1">
      <c r="A19838" t="inlineStr">
        <is>
          <t>Bilis</t>
        </is>
      </c>
    </row>
    <row r="19839" spans="1:1">
      <c r="A19839" t="inlineStr">
        <is>
          <t>Caoayan</t>
        </is>
      </c>
    </row>
    <row r="19840" spans="1:1">
      <c r="A19840" t="inlineStr">
        <is>
          <t>Dalacdac</t>
        </is>
      </c>
    </row>
    <row r="19841" spans="1:1">
      <c r="A19841" t="inlineStr">
        <is>
          <t>Delles</t>
        </is>
      </c>
    </row>
    <row r="19842" spans="1:1">
      <c r="A19842" t="inlineStr">
        <is>
          <t>Imelda</t>
        </is>
      </c>
    </row>
    <row r="19843" spans="1:1">
      <c r="A19843" t="inlineStr">
        <is>
          <t>Libtong</t>
        </is>
      </c>
    </row>
    <row r="19844" spans="1:1">
      <c r="A19844" t="inlineStr">
        <is>
          <t>Linuan</t>
        </is>
      </c>
    </row>
    <row r="19845" spans="1:1">
      <c r="A19845" t="inlineStr">
        <is>
          <t>Lower Tumapoc</t>
        </is>
      </c>
    </row>
    <row r="19846" spans="1:1">
      <c r="A19846" t="inlineStr">
        <is>
          <t>New Poblacion</t>
        </is>
      </c>
    </row>
    <row r="19847" spans="1:1">
      <c r="A19847" t="inlineStr">
        <is>
          <t>Old Poblacion</t>
        </is>
      </c>
    </row>
    <row r="19848" spans="1:1">
      <c r="A19848" t="inlineStr">
        <is>
          <t>Upper Tumapoc</t>
        </is>
      </c>
    </row>
    <row r="19849" spans="1:1">
      <c r="A19849" t="inlineStr">
        <is>
          <t>Bautista</t>
        </is>
      </c>
    </row>
    <row r="19850" spans="1:1">
      <c r="A19850" t="inlineStr">
        <is>
          <t>Gana</t>
        </is>
      </c>
    </row>
    <row r="19851" spans="1:1">
      <c r="A19851" t="inlineStr">
        <is>
          <t>Juan Cartas</t>
        </is>
      </c>
    </row>
    <row r="19852" spans="1:1">
      <c r="A19852" t="inlineStr">
        <is>
          <t>Las-ud</t>
        </is>
      </c>
    </row>
    <row r="19853" spans="1:1">
      <c r="A19853" t="inlineStr">
        <is>
          <t>Liquicia</t>
        </is>
      </c>
    </row>
    <row r="19854" spans="1:1">
      <c r="A19854" t="inlineStr">
        <is>
          <t>Poblacion Norte</t>
        </is>
      </c>
    </row>
    <row r="19855" spans="1:1">
      <c r="A19855" t="inlineStr">
        <is>
          <t>Poblacion Sur</t>
        </is>
      </c>
    </row>
    <row r="19856" spans="1:1">
      <c r="A19856" t="inlineStr">
        <is>
          <t>San Carlos</t>
        </is>
      </c>
    </row>
    <row r="19857" spans="1:1">
      <c r="A19857" t="inlineStr">
        <is>
          <t>San Cornelio</t>
        </is>
      </c>
    </row>
    <row r="19858" spans="1:1">
      <c r="A19858" t="inlineStr">
        <is>
          <t>San Fermin</t>
        </is>
      </c>
    </row>
    <row r="19859" spans="1:1">
      <c r="A19859" t="inlineStr">
        <is>
          <t>San Gregorio</t>
        </is>
      </c>
    </row>
    <row r="19860" spans="1:1">
      <c r="A19860" t="inlineStr">
        <is>
          <t>San Jose</t>
        </is>
      </c>
    </row>
    <row r="19861" spans="1:1">
      <c r="A19861" t="inlineStr">
        <is>
          <t>Santiago Norte</t>
        </is>
      </c>
    </row>
    <row r="19862" spans="1:1">
      <c r="A19862" t="inlineStr">
        <is>
          <t>Santiago Sur</t>
        </is>
      </c>
    </row>
    <row r="19863" spans="1:1">
      <c r="A19863" t="inlineStr">
        <is>
          <t>Sobredillo</t>
        </is>
      </c>
    </row>
    <row r="19864" spans="1:1">
      <c r="A19864" t="inlineStr">
        <is>
          <t>Urayong</t>
        </is>
      </c>
    </row>
    <row r="19865" spans="1:1">
      <c r="A19865" t="inlineStr">
        <is>
          <t>Wenceslao</t>
        </is>
      </c>
    </row>
    <row r="19866" spans="1:1">
      <c r="A19866" t="inlineStr">
        <is>
          <t>Abut</t>
        </is>
      </c>
    </row>
    <row r="19867" spans="1:1">
      <c r="A19867" t="inlineStr">
        <is>
          <t>Apaleng</t>
        </is>
      </c>
    </row>
    <row r="19868" spans="1:1">
      <c r="A19868" t="inlineStr">
        <is>
          <t>Bacsil</t>
        </is>
      </c>
    </row>
    <row r="19869" spans="1:1">
      <c r="A19869" t="inlineStr">
        <is>
          <t>Bangbangolan</t>
        </is>
      </c>
    </row>
    <row r="19870" spans="1:1">
      <c r="A19870" t="inlineStr">
        <is>
          <t>Bangcusay</t>
        </is>
      </c>
    </row>
    <row r="19871" spans="1:1">
      <c r="A19871" t="inlineStr">
        <is>
          <t>Barangay I</t>
        </is>
      </c>
    </row>
    <row r="19872" spans="1:1">
      <c r="A19872" t="inlineStr">
        <is>
          <t>Barangay II</t>
        </is>
      </c>
    </row>
    <row r="19873" spans="1:1">
      <c r="A19873" t="inlineStr">
        <is>
          <t>Barangay III</t>
        </is>
      </c>
    </row>
    <row r="19874" spans="1:1">
      <c r="A19874" t="inlineStr">
        <is>
          <t>Barangay IV</t>
        </is>
      </c>
    </row>
    <row r="19875" spans="1:1">
      <c r="A19875" t="inlineStr">
        <is>
          <t>Baraoas</t>
        </is>
      </c>
    </row>
    <row r="19876" spans="1:1">
      <c r="A19876" t="inlineStr">
        <is>
          <t>Bato</t>
        </is>
      </c>
    </row>
    <row r="19877" spans="1:1">
      <c r="A19877" t="inlineStr">
        <is>
          <t>Biday</t>
        </is>
      </c>
    </row>
    <row r="19878" spans="1:1">
      <c r="A19878" t="inlineStr">
        <is>
          <t>Birunget</t>
        </is>
      </c>
    </row>
    <row r="19879" spans="1:1">
      <c r="A19879" t="inlineStr">
        <is>
          <t>Bungro</t>
        </is>
      </c>
    </row>
    <row r="19880" spans="1:1">
      <c r="A19880" t="inlineStr">
        <is>
          <t>Cabaroan</t>
        </is>
      </c>
    </row>
    <row r="19881" spans="1:1">
      <c r="A19881" t="inlineStr">
        <is>
          <t>Cabarsican</t>
        </is>
      </c>
    </row>
    <row r="19882" spans="1:1">
      <c r="A19882" t="inlineStr">
        <is>
          <t>Cadaclan</t>
        </is>
      </c>
    </row>
    <row r="19883" spans="1:1">
      <c r="A19883" t="inlineStr">
        <is>
          <t>Calabugao</t>
        </is>
      </c>
    </row>
    <row r="19884" spans="1:1">
      <c r="A19884" t="inlineStr">
        <is>
          <t>Camansi</t>
        </is>
      </c>
    </row>
    <row r="19885" spans="1:1">
      <c r="A19885" t="inlineStr">
        <is>
          <t>Canaoay</t>
        </is>
      </c>
    </row>
    <row r="19886" spans="1:1">
      <c r="A19886" t="inlineStr">
        <is>
          <t>Carlatan</t>
        </is>
      </c>
    </row>
    <row r="19887" spans="1:1">
      <c r="A19887" t="inlineStr">
        <is>
          <t>Catbangen</t>
        </is>
      </c>
    </row>
    <row r="19888" spans="1:1">
      <c r="A19888" t="inlineStr">
        <is>
          <t>Dallangayan Este</t>
        </is>
      </c>
    </row>
    <row r="19889" spans="1:1">
      <c r="A19889" t="inlineStr">
        <is>
          <t>Dallangayan Oeste</t>
        </is>
      </c>
    </row>
    <row r="19890" spans="1:1">
      <c r="A19890" t="inlineStr">
        <is>
          <t>Dalumpinas Este</t>
        </is>
      </c>
    </row>
    <row r="19891" spans="1:1">
      <c r="A19891" t="inlineStr">
        <is>
          <t>Dalumpinas Oeste</t>
        </is>
      </c>
    </row>
    <row r="19892" spans="1:1">
      <c r="A19892" t="inlineStr">
        <is>
          <t>Ilocanos Norte</t>
        </is>
      </c>
    </row>
    <row r="19893" spans="1:1">
      <c r="A19893" t="inlineStr">
        <is>
          <t>Ilocanos Sur</t>
        </is>
      </c>
    </row>
    <row r="19894" spans="1:1">
      <c r="A19894" t="inlineStr">
        <is>
          <t>Langcuas</t>
        </is>
      </c>
    </row>
    <row r="19895" spans="1:1">
      <c r="A19895" t="inlineStr">
        <is>
          <t>Lingsat</t>
        </is>
      </c>
    </row>
    <row r="19896" spans="1:1">
      <c r="A19896" t="inlineStr">
        <is>
          <t>Madayegdeg</t>
        </is>
      </c>
    </row>
    <row r="19897" spans="1:1">
      <c r="A19897" t="inlineStr">
        <is>
          <t>Mameltac</t>
        </is>
      </c>
    </row>
    <row r="19898" spans="1:1">
      <c r="A19898" t="inlineStr">
        <is>
          <t>Masicong</t>
        </is>
      </c>
    </row>
    <row r="19899" spans="1:1">
      <c r="A19899" t="inlineStr">
        <is>
          <t>Nagyubuyuban</t>
        </is>
      </c>
    </row>
    <row r="19900" spans="1:1">
      <c r="A19900" t="inlineStr">
        <is>
          <t>Namtutan</t>
        </is>
      </c>
    </row>
    <row r="19901" spans="1:1">
      <c r="A19901" t="inlineStr">
        <is>
          <t>Narra Este</t>
        </is>
      </c>
    </row>
    <row r="19902" spans="1:1">
      <c r="A19902" t="inlineStr">
        <is>
          <t>Narra Oeste</t>
        </is>
      </c>
    </row>
    <row r="19903" spans="1:1">
      <c r="A19903" t="inlineStr">
        <is>
          <t>Pacpaco</t>
        </is>
      </c>
    </row>
    <row r="19904" spans="1:1">
      <c r="A19904" t="inlineStr">
        <is>
          <t>Pagdalagan</t>
        </is>
      </c>
    </row>
    <row r="19905" spans="1:1">
      <c r="A19905" t="inlineStr">
        <is>
          <t>Pagdaraoan</t>
        </is>
      </c>
    </row>
    <row r="19906" spans="1:1">
      <c r="A19906" t="inlineStr">
        <is>
          <t>Pagudpud</t>
        </is>
      </c>
    </row>
    <row r="19907" spans="1:1">
      <c r="A19907" t="inlineStr">
        <is>
          <t>Pao Norte</t>
        </is>
      </c>
    </row>
    <row r="19908" spans="1:1">
      <c r="A19908" t="inlineStr">
        <is>
          <t>Pao Sur</t>
        </is>
      </c>
    </row>
    <row r="19909" spans="1:1">
      <c r="A19909" t="inlineStr">
        <is>
          <t>Parian</t>
        </is>
      </c>
    </row>
    <row r="19910" spans="1:1">
      <c r="A19910" t="inlineStr">
        <is>
          <t>Pias</t>
        </is>
      </c>
    </row>
    <row r="19911" spans="1:1">
      <c r="A19911" t="inlineStr">
        <is>
          <t>Poro</t>
        </is>
      </c>
    </row>
    <row r="19912" spans="1:1">
      <c r="A19912" t="inlineStr">
        <is>
          <t>Puspus</t>
        </is>
      </c>
    </row>
    <row r="19913" spans="1:1">
      <c r="A19913" t="inlineStr">
        <is>
          <t>Sacyud</t>
        </is>
      </c>
    </row>
    <row r="19914" spans="1:1">
      <c r="A19914" t="inlineStr">
        <is>
          <t>Sagayad</t>
        </is>
      </c>
    </row>
    <row r="19915" spans="1:1">
      <c r="A19915" t="inlineStr">
        <is>
          <t>San Agustin</t>
        </is>
      </c>
    </row>
    <row r="19916" spans="1:1">
      <c r="A19916" t="inlineStr">
        <is>
          <t>San Francisco</t>
        </is>
      </c>
    </row>
    <row r="19917" spans="1:1">
      <c r="A19917" t="inlineStr">
        <is>
          <t>San Vicente</t>
        </is>
      </c>
    </row>
    <row r="19918" spans="1:1">
      <c r="A19918" t="inlineStr">
        <is>
          <t>Santiago Norte</t>
        </is>
      </c>
    </row>
    <row r="19919" spans="1:1">
      <c r="A19919" t="inlineStr">
        <is>
          <t>Santiago Sur</t>
        </is>
      </c>
    </row>
    <row r="19920" spans="1:1">
      <c r="A19920" t="inlineStr">
        <is>
          <t>Saoay</t>
        </is>
      </c>
    </row>
    <row r="19921" spans="1:1">
      <c r="A19921" t="inlineStr">
        <is>
          <t>Sevilla</t>
        </is>
      </c>
    </row>
    <row r="19922" spans="1:1">
      <c r="A19922" t="inlineStr">
        <is>
          <t>Siboan-Otong</t>
        </is>
      </c>
    </row>
    <row r="19923" spans="1:1">
      <c r="A19923" t="inlineStr">
        <is>
          <t>Tanqui</t>
        </is>
      </c>
    </row>
    <row r="19924" spans="1:1">
      <c r="A19924" t="inlineStr">
        <is>
          <t>Tanquigan</t>
        </is>
      </c>
    </row>
    <row r="19925" spans="1:1">
      <c r="A19925" t="inlineStr">
        <is>
          <t>Alcala</t>
        </is>
      </c>
    </row>
    <row r="19926" spans="1:1">
      <c r="A19926" t="inlineStr">
        <is>
          <t>Ayaoan</t>
        </is>
      </c>
    </row>
    <row r="19927" spans="1:1">
      <c r="A19927" t="inlineStr">
        <is>
          <t>Barangobong</t>
        </is>
      </c>
    </row>
    <row r="19928" spans="1:1">
      <c r="A19928" t="inlineStr">
        <is>
          <t>Barrientos</t>
        </is>
      </c>
    </row>
    <row r="19929" spans="1:1">
      <c r="A19929" t="inlineStr">
        <is>
          <t>Bungro</t>
        </is>
      </c>
    </row>
    <row r="19930" spans="1:1">
      <c r="A19930" t="inlineStr">
        <is>
          <t>Buselbusel</t>
        </is>
      </c>
    </row>
    <row r="19931" spans="1:1">
      <c r="A19931" t="inlineStr">
        <is>
          <t>Cabalitocan</t>
        </is>
      </c>
    </row>
    <row r="19932" spans="1:1">
      <c r="A19932" t="inlineStr">
        <is>
          <t>Cantoria No. 1</t>
        </is>
      </c>
    </row>
    <row r="19933" spans="1:1">
      <c r="A19933" t="inlineStr">
        <is>
          <t>Cantoria No. 2</t>
        </is>
      </c>
    </row>
    <row r="19934" spans="1:1">
      <c r="A19934" t="inlineStr">
        <is>
          <t>Cantoria No. 3</t>
        </is>
      </c>
    </row>
    <row r="19935" spans="1:1">
      <c r="A19935" t="inlineStr">
        <is>
          <t>Cantoria No. 4</t>
        </is>
      </c>
    </row>
    <row r="19936" spans="1:1">
      <c r="A19936" t="inlineStr">
        <is>
          <t>Carisquis</t>
        </is>
      </c>
    </row>
    <row r="19937" spans="1:1">
      <c r="A19937" t="inlineStr">
        <is>
          <t>Darigayos</t>
        </is>
      </c>
    </row>
    <row r="19938" spans="1:1">
      <c r="A19938" t="inlineStr">
        <is>
          <t>Magallanes</t>
        </is>
      </c>
    </row>
    <row r="19939" spans="1:1">
      <c r="A19939" t="inlineStr">
        <is>
          <t>Magsiping</t>
        </is>
      </c>
    </row>
    <row r="19940" spans="1:1">
      <c r="A19940" t="inlineStr">
        <is>
          <t>Mamay</t>
        </is>
      </c>
    </row>
    <row r="19941" spans="1:1">
      <c r="A19941" t="inlineStr">
        <is>
          <t>Nagrebcan</t>
        </is>
      </c>
    </row>
    <row r="19942" spans="1:1">
      <c r="A19942" t="inlineStr">
        <is>
          <t>Nalvo Norte</t>
        </is>
      </c>
    </row>
    <row r="19943" spans="1:1">
      <c r="A19943" t="inlineStr">
        <is>
          <t>Nalvo Sur</t>
        </is>
      </c>
    </row>
    <row r="19944" spans="1:1">
      <c r="A19944" t="inlineStr">
        <is>
          <t>Napaset</t>
        </is>
      </c>
    </row>
    <row r="19945" spans="1:1">
      <c r="A19945" t="inlineStr">
        <is>
          <t>Oaqui No. 1</t>
        </is>
      </c>
    </row>
    <row r="19946" spans="1:1">
      <c r="A19946" t="inlineStr">
        <is>
          <t>Oaqui No. 2</t>
        </is>
      </c>
    </row>
    <row r="19947" spans="1:1">
      <c r="A19947" t="inlineStr">
        <is>
          <t>Oaqui No. 3</t>
        </is>
      </c>
    </row>
    <row r="19948" spans="1:1">
      <c r="A19948" t="inlineStr">
        <is>
          <t>Oaqui No. 4</t>
        </is>
      </c>
    </row>
    <row r="19949" spans="1:1">
      <c r="A19949" t="inlineStr">
        <is>
          <t>Pila</t>
        </is>
      </c>
    </row>
    <row r="19950" spans="1:1">
      <c r="A19950" t="inlineStr">
        <is>
          <t>Pitpitac</t>
        </is>
      </c>
    </row>
    <row r="19951" spans="1:1">
      <c r="A19951" t="inlineStr">
        <is>
          <t>Rimos No. 1</t>
        </is>
      </c>
    </row>
    <row r="19952" spans="1:1">
      <c r="A19952" t="inlineStr">
        <is>
          <t>Rimos No. 2</t>
        </is>
      </c>
    </row>
    <row r="19953" spans="1:1">
      <c r="A19953" t="inlineStr">
        <is>
          <t>Rimos No. 3</t>
        </is>
      </c>
    </row>
    <row r="19954" spans="1:1">
      <c r="A19954" t="inlineStr">
        <is>
          <t>Rimos No. 4</t>
        </is>
      </c>
    </row>
    <row r="19955" spans="1:1">
      <c r="A19955" t="inlineStr">
        <is>
          <t>Rimos No. 5</t>
        </is>
      </c>
    </row>
    <row r="19956" spans="1:1">
      <c r="A19956" t="inlineStr">
        <is>
          <t>Rissing</t>
        </is>
      </c>
    </row>
    <row r="19957" spans="1:1">
      <c r="A19957" t="inlineStr">
        <is>
          <t>Salcedo</t>
        </is>
      </c>
    </row>
    <row r="19958" spans="1:1">
      <c r="A19958" t="inlineStr">
        <is>
          <t>Santo Domingo Norte</t>
        </is>
      </c>
    </row>
    <row r="19959" spans="1:1">
      <c r="A19959" t="inlineStr">
        <is>
          <t>Santo Domingo Sur</t>
        </is>
      </c>
    </row>
    <row r="19960" spans="1:1">
      <c r="A19960" t="inlineStr">
        <is>
          <t>Sucoc Norte</t>
        </is>
      </c>
    </row>
    <row r="19961" spans="1:1">
      <c r="A19961" t="inlineStr">
        <is>
          <t>Sucoc Sur</t>
        </is>
      </c>
    </row>
    <row r="19962" spans="1:1">
      <c r="A19962" t="inlineStr">
        <is>
          <t>Suyo</t>
        </is>
      </c>
    </row>
    <row r="19963" spans="1:1">
      <c r="A19963" t="inlineStr">
        <is>
          <t>Tallaoen</t>
        </is>
      </c>
    </row>
    <row r="19964" spans="1:1">
      <c r="A19964" t="inlineStr">
        <is>
          <t>Victoria</t>
        </is>
      </c>
    </row>
    <row r="19965" spans="1:1">
      <c r="A19965" t="inlineStr">
        <is>
          <t>Aguioas</t>
        </is>
      </c>
    </row>
    <row r="19966" spans="1:1">
      <c r="A19966" t="inlineStr">
        <is>
          <t>Al-alinao Norte</t>
        </is>
      </c>
    </row>
    <row r="19967" spans="1:1">
      <c r="A19967" t="inlineStr">
        <is>
          <t>Al-alinao Sur</t>
        </is>
      </c>
    </row>
    <row r="19968" spans="1:1">
      <c r="A19968" t="inlineStr">
        <is>
          <t>Ambaracao Norte</t>
        </is>
      </c>
    </row>
    <row r="19969" spans="1:1">
      <c r="A19969" t="inlineStr">
        <is>
          <t>Ambaracao Sur</t>
        </is>
      </c>
    </row>
    <row r="19970" spans="1:1">
      <c r="A19970" t="inlineStr">
        <is>
          <t>Angin</t>
        </is>
      </c>
    </row>
    <row r="19971" spans="1:1">
      <c r="A19971" t="inlineStr">
        <is>
          <t>Balecbec</t>
        </is>
      </c>
    </row>
    <row r="19972" spans="1:1">
      <c r="A19972" t="inlineStr">
        <is>
          <t>Bancagan</t>
        </is>
      </c>
    </row>
    <row r="19973" spans="1:1">
      <c r="A19973" t="inlineStr">
        <is>
          <t>Baraoas Norte</t>
        </is>
      </c>
    </row>
    <row r="19974" spans="1:1">
      <c r="A19974" t="inlineStr">
        <is>
          <t>Baraoas Sur</t>
        </is>
      </c>
    </row>
    <row r="19975" spans="1:1">
      <c r="A19975" t="inlineStr">
        <is>
          <t>Bariquir</t>
        </is>
      </c>
    </row>
    <row r="19976" spans="1:1">
      <c r="A19976" t="inlineStr">
        <is>
          <t>Bato</t>
        </is>
      </c>
    </row>
    <row r="19977" spans="1:1">
      <c r="A19977" t="inlineStr">
        <is>
          <t>Bimmotobot</t>
        </is>
      </c>
    </row>
    <row r="19978" spans="1:1">
      <c r="A19978" t="inlineStr">
        <is>
          <t>Cabaritan Norte</t>
        </is>
      </c>
    </row>
    <row r="19979" spans="1:1">
      <c r="A19979" t="inlineStr">
        <is>
          <t>Cabaritan Sur</t>
        </is>
      </c>
    </row>
    <row r="19980" spans="1:1">
      <c r="A19980" t="inlineStr">
        <is>
          <t>Casilagan</t>
        </is>
      </c>
    </row>
    <row r="19981" spans="1:1">
      <c r="A19981" t="inlineStr">
        <is>
          <t>Dal-lipaoen</t>
        </is>
      </c>
    </row>
    <row r="19982" spans="1:1">
      <c r="A19982" t="inlineStr">
        <is>
          <t>Daramuangan</t>
        </is>
      </c>
    </row>
    <row r="19983" spans="1:1">
      <c r="A19983" t="inlineStr">
        <is>
          <t>Guesset</t>
        </is>
      </c>
    </row>
    <row r="19984" spans="1:1">
      <c r="A19984" t="inlineStr">
        <is>
          <t>Gusing Norte</t>
        </is>
      </c>
    </row>
    <row r="19985" spans="1:1">
      <c r="A19985" t="inlineStr">
        <is>
          <t>Gusing Sur</t>
        </is>
      </c>
    </row>
    <row r="19986" spans="1:1">
      <c r="A19986" t="inlineStr">
        <is>
          <t>Imelda</t>
        </is>
      </c>
    </row>
    <row r="19987" spans="1:1">
      <c r="A19987" t="inlineStr">
        <is>
          <t>Lioac Norte</t>
        </is>
      </c>
    </row>
    <row r="19988" spans="1:1">
      <c r="A19988" t="inlineStr">
        <is>
          <t>Lioac Sur</t>
        </is>
      </c>
    </row>
    <row r="19989" spans="1:1">
      <c r="A19989" t="inlineStr">
        <is>
          <t>Magungunay</t>
        </is>
      </c>
    </row>
    <row r="19990" spans="1:1">
      <c r="A19990" t="inlineStr">
        <is>
          <t>Mamat-ing Norte</t>
        </is>
      </c>
    </row>
    <row r="19991" spans="1:1">
      <c r="A19991" t="inlineStr">
        <is>
          <t>Mamat-ing Sur</t>
        </is>
      </c>
    </row>
    <row r="19992" spans="1:1">
      <c r="A19992" t="inlineStr">
        <is>
          <t>Nagsidorisan</t>
        </is>
      </c>
    </row>
    <row r="19993" spans="1:1">
      <c r="A19993" t="inlineStr">
        <is>
          <t>Natividad</t>
        </is>
      </c>
    </row>
    <row r="19994" spans="1:1">
      <c r="A19994" t="inlineStr">
        <is>
          <t>Ortiz</t>
        </is>
      </c>
    </row>
    <row r="19995" spans="1:1">
      <c r="A19995" t="inlineStr">
        <is>
          <t>Ribsuan</t>
        </is>
      </c>
    </row>
    <row r="19996" spans="1:1">
      <c r="A19996" t="inlineStr">
        <is>
          <t>San Antonio</t>
        </is>
      </c>
    </row>
    <row r="19997" spans="1:1">
      <c r="A19997" t="inlineStr">
        <is>
          <t>San Isidro</t>
        </is>
      </c>
    </row>
    <row r="19998" spans="1:1">
      <c r="A19998" t="inlineStr">
        <is>
          <t>Sili</t>
        </is>
      </c>
    </row>
    <row r="19999" spans="1:1">
      <c r="A19999" t="inlineStr">
        <is>
          <t>Suguidan Norte</t>
        </is>
      </c>
    </row>
    <row r="20000" spans="1:1">
      <c r="A20000" t="inlineStr">
        <is>
          <t>Suguidan Sur</t>
        </is>
      </c>
    </row>
    <row r="20001" spans="1:1">
      <c r="A20001" t="inlineStr">
        <is>
          <t>Tuddingan</t>
        </is>
      </c>
    </row>
    <row r="20002" spans="1:1">
      <c r="A20002" t="inlineStr">
        <is>
          <t>Ambalite</t>
        </is>
      </c>
    </row>
    <row r="20003" spans="1:1">
      <c r="A20003" t="inlineStr">
        <is>
          <t>Ambangonan</t>
        </is>
      </c>
    </row>
    <row r="20004" spans="1:1">
      <c r="A20004" t="inlineStr">
        <is>
          <t>Cares</t>
        </is>
      </c>
    </row>
    <row r="20005" spans="1:1">
      <c r="A20005" t="inlineStr">
        <is>
          <t>Cuenca</t>
        </is>
      </c>
    </row>
    <row r="20006" spans="1:1">
      <c r="A20006" t="inlineStr">
        <is>
          <t>Duplas</t>
        </is>
      </c>
    </row>
    <row r="20007" spans="1:1">
      <c r="A20007" t="inlineStr">
        <is>
          <t>Maoasoas Norte</t>
        </is>
      </c>
    </row>
    <row r="20008" spans="1:1">
      <c r="A20008" t="inlineStr">
        <is>
          <t>Maoasoas Sur</t>
        </is>
      </c>
    </row>
    <row r="20009" spans="1:1">
      <c r="A20009" t="inlineStr">
        <is>
          <t>Palina</t>
        </is>
      </c>
    </row>
    <row r="20010" spans="1:1">
      <c r="A20010" t="inlineStr">
        <is>
          <t>Poblacion East</t>
        </is>
      </c>
    </row>
    <row r="20011" spans="1:1">
      <c r="A20011" t="inlineStr">
        <is>
          <t>Poblacion West</t>
        </is>
      </c>
    </row>
    <row r="20012" spans="1:1">
      <c r="A20012" t="inlineStr">
        <is>
          <t>San Luis</t>
        </is>
      </c>
    </row>
    <row r="20013" spans="1:1">
      <c r="A20013" t="inlineStr">
        <is>
          <t>Saytan</t>
        </is>
      </c>
    </row>
    <row r="20014" spans="1:1">
      <c r="A20014" t="inlineStr">
        <is>
          <t>Tavora East</t>
        </is>
      </c>
    </row>
    <row r="20015" spans="1:1">
      <c r="A20015" t="inlineStr">
        <is>
          <t>Tavora Proper</t>
        </is>
      </c>
    </row>
    <row r="20016" spans="1:1">
      <c r="A20016" t="inlineStr">
        <is>
          <t>Alipang</t>
        </is>
      </c>
    </row>
    <row r="20017" spans="1:1">
      <c r="A20017" t="inlineStr">
        <is>
          <t>Ambangonan</t>
        </is>
      </c>
    </row>
    <row r="20018" spans="1:1">
      <c r="A20018" t="inlineStr">
        <is>
          <t>Amlang</t>
        </is>
      </c>
    </row>
    <row r="20019" spans="1:1">
      <c r="A20019" t="inlineStr">
        <is>
          <t>Bacani</t>
        </is>
      </c>
    </row>
    <row r="20020" spans="1:1">
      <c r="A20020" t="inlineStr">
        <is>
          <t>Bangar</t>
        </is>
      </c>
    </row>
    <row r="20021" spans="1:1">
      <c r="A20021" t="inlineStr">
        <is>
          <t>Bani</t>
        </is>
      </c>
    </row>
    <row r="20022" spans="1:1">
      <c r="A20022" t="inlineStr">
        <is>
          <t>Benteng-Sapilang</t>
        </is>
      </c>
    </row>
    <row r="20023" spans="1:1">
      <c r="A20023" t="inlineStr">
        <is>
          <t>Cadumanian</t>
        </is>
      </c>
    </row>
    <row r="20024" spans="1:1">
      <c r="A20024" t="inlineStr">
        <is>
          <t>Camp One</t>
        </is>
      </c>
    </row>
    <row r="20025" spans="1:1">
      <c r="A20025" t="inlineStr">
        <is>
          <t>Carunuan East</t>
        </is>
      </c>
    </row>
    <row r="20026" spans="1:1">
      <c r="A20026" t="inlineStr">
        <is>
          <t>Carunuan West</t>
        </is>
      </c>
    </row>
    <row r="20027" spans="1:1">
      <c r="A20027" t="inlineStr">
        <is>
          <t>Casilagan</t>
        </is>
      </c>
    </row>
    <row r="20028" spans="1:1">
      <c r="A20028" t="inlineStr">
        <is>
          <t>Cataguingtingan</t>
        </is>
      </c>
    </row>
    <row r="20029" spans="1:1">
      <c r="A20029" t="inlineStr">
        <is>
          <t>Concepcion</t>
        </is>
      </c>
    </row>
    <row r="20030" spans="1:1">
      <c r="A20030" t="inlineStr">
        <is>
          <t>Damortis</t>
        </is>
      </c>
    </row>
    <row r="20031" spans="1:1">
      <c r="A20031" t="inlineStr">
        <is>
          <t>Gumot-Nagcolaran</t>
        </is>
      </c>
    </row>
    <row r="20032" spans="1:1">
      <c r="A20032" t="inlineStr">
        <is>
          <t>Inabaan Norte</t>
        </is>
      </c>
    </row>
    <row r="20033" spans="1:1">
      <c r="A20033" t="inlineStr">
        <is>
          <t>Inabaan Sur</t>
        </is>
      </c>
    </row>
    <row r="20034" spans="1:1">
      <c r="A20034" t="inlineStr">
        <is>
          <t>Marcos</t>
        </is>
      </c>
    </row>
    <row r="20035" spans="1:1">
      <c r="A20035" t="inlineStr">
        <is>
          <t>Nagtagaan</t>
        </is>
      </c>
    </row>
    <row r="20036" spans="1:1">
      <c r="A20036" t="inlineStr">
        <is>
          <t>Nangcamotian</t>
        </is>
      </c>
    </row>
    <row r="20037" spans="1:1">
      <c r="A20037" t="inlineStr">
        <is>
          <t>Parasapas</t>
        </is>
      </c>
    </row>
    <row r="20038" spans="1:1">
      <c r="A20038" t="inlineStr">
        <is>
          <t>Poblacion East</t>
        </is>
      </c>
    </row>
    <row r="20039" spans="1:1">
      <c r="A20039" t="inlineStr">
        <is>
          <t>Poblacion West</t>
        </is>
      </c>
    </row>
    <row r="20040" spans="1:1">
      <c r="A20040" t="inlineStr">
        <is>
          <t>Puzon</t>
        </is>
      </c>
    </row>
    <row r="20041" spans="1:1">
      <c r="A20041" t="inlineStr">
        <is>
          <t>Rabon</t>
        </is>
      </c>
    </row>
    <row r="20042" spans="1:1">
      <c r="A20042" t="inlineStr">
        <is>
          <t>San Jose</t>
        </is>
      </c>
    </row>
    <row r="20043" spans="1:1">
      <c r="A20043" t="inlineStr">
        <is>
          <t>Subusub</t>
        </is>
      </c>
    </row>
    <row r="20044" spans="1:1">
      <c r="A20044" t="inlineStr">
        <is>
          <t>Tabtabungao</t>
        </is>
      </c>
    </row>
    <row r="20045" spans="1:1">
      <c r="A20045" t="inlineStr">
        <is>
          <t>Tanglag</t>
        </is>
      </c>
    </row>
    <row r="20046" spans="1:1">
      <c r="A20046" t="inlineStr">
        <is>
          <t>Tay-ac</t>
        </is>
      </c>
    </row>
    <row r="20047" spans="1:1">
      <c r="A20047" t="inlineStr">
        <is>
          <t>Udiao</t>
        </is>
      </c>
    </row>
    <row r="20048" spans="1:1">
      <c r="A20048" t="inlineStr">
        <is>
          <t>Vila</t>
        </is>
      </c>
    </row>
    <row r="20049" spans="1:1">
      <c r="A20049" t="inlineStr">
        <is>
          <t>Amontoc</t>
        </is>
      </c>
    </row>
    <row r="20050" spans="1:1">
      <c r="A20050" t="inlineStr">
        <is>
          <t>Apayao</t>
        </is>
      </c>
    </row>
    <row r="20051" spans="1:1">
      <c r="A20051" t="inlineStr">
        <is>
          <t>Balbalayang</t>
        </is>
      </c>
    </row>
    <row r="20052" spans="1:1">
      <c r="A20052" t="inlineStr">
        <is>
          <t>Bayabas</t>
        </is>
      </c>
    </row>
    <row r="20053" spans="1:1">
      <c r="A20053" t="inlineStr">
        <is>
          <t>Bucao</t>
        </is>
      </c>
    </row>
    <row r="20054" spans="1:1">
      <c r="A20054" t="inlineStr">
        <is>
          <t>Bumbuneg</t>
        </is>
      </c>
    </row>
    <row r="20055" spans="1:1">
      <c r="A20055" t="inlineStr">
        <is>
          <t>Daking</t>
        </is>
      </c>
    </row>
    <row r="20056" spans="1:1">
      <c r="A20056" t="inlineStr">
        <is>
          <t>Lacong</t>
        </is>
      </c>
    </row>
    <row r="20057" spans="1:1">
      <c r="A20057" t="inlineStr">
        <is>
          <t>Lipay Este</t>
        </is>
      </c>
    </row>
    <row r="20058" spans="1:1">
      <c r="A20058" t="inlineStr">
        <is>
          <t>Lipay Norte</t>
        </is>
      </c>
    </row>
    <row r="20059" spans="1:1">
      <c r="A20059" t="inlineStr">
        <is>
          <t>Lipay Proper</t>
        </is>
      </c>
    </row>
    <row r="20060" spans="1:1">
      <c r="A20060" t="inlineStr">
        <is>
          <t>Lipay Sur</t>
        </is>
      </c>
    </row>
    <row r="20061" spans="1:1">
      <c r="A20061" t="inlineStr">
        <is>
          <t>Lon-oy</t>
        </is>
      </c>
    </row>
    <row r="20062" spans="1:1">
      <c r="A20062" t="inlineStr">
        <is>
          <t>Poblacion</t>
        </is>
      </c>
    </row>
    <row r="20063" spans="1:1">
      <c r="A20063" t="inlineStr">
        <is>
          <t>Polipol</t>
        </is>
      </c>
    </row>
    <row r="20064" spans="1:1">
      <c r="A20064" t="inlineStr">
        <is>
          <t>Allangigan</t>
        </is>
      </c>
    </row>
    <row r="20065" spans="1:1">
      <c r="A20065" t="inlineStr">
        <is>
          <t>Aludaid</t>
        </is>
      </c>
    </row>
    <row r="20066" spans="1:1">
      <c r="A20066" t="inlineStr">
        <is>
          <t>Bacsayan</t>
        </is>
      </c>
    </row>
    <row r="20067" spans="1:1">
      <c r="A20067" t="inlineStr">
        <is>
          <t>Balballosa</t>
        </is>
      </c>
    </row>
    <row r="20068" spans="1:1">
      <c r="A20068" t="inlineStr">
        <is>
          <t>Bambanay</t>
        </is>
      </c>
    </row>
    <row r="20069" spans="1:1">
      <c r="A20069" t="inlineStr">
        <is>
          <t>Bugbugcao</t>
        </is>
      </c>
    </row>
    <row r="20070" spans="1:1">
      <c r="A20070" t="inlineStr">
        <is>
          <t>Caarusipan</t>
        </is>
      </c>
    </row>
    <row r="20071" spans="1:1">
      <c r="A20071" t="inlineStr">
        <is>
          <t>Cabaroan</t>
        </is>
      </c>
    </row>
    <row r="20072" spans="1:1">
      <c r="A20072" t="inlineStr">
        <is>
          <t>Cabugnayan</t>
        </is>
      </c>
    </row>
    <row r="20073" spans="1:1">
      <c r="A20073" t="inlineStr">
        <is>
          <t>Cacapian</t>
        </is>
      </c>
    </row>
    <row r="20074" spans="1:1">
      <c r="A20074" t="inlineStr">
        <is>
          <t>Caculangan</t>
        </is>
      </c>
    </row>
    <row r="20075" spans="1:1">
      <c r="A20075" t="inlineStr">
        <is>
          <t>Calincamasan</t>
        </is>
      </c>
    </row>
    <row r="20076" spans="1:1">
      <c r="A20076" t="inlineStr">
        <is>
          <t>Casilagan</t>
        </is>
      </c>
    </row>
    <row r="20077" spans="1:1">
      <c r="A20077" t="inlineStr">
        <is>
          <t>Catdongan</t>
        </is>
      </c>
    </row>
    <row r="20078" spans="1:1">
      <c r="A20078" t="inlineStr">
        <is>
          <t>Dangdangla</t>
        </is>
      </c>
    </row>
    <row r="20079" spans="1:1">
      <c r="A20079" t="inlineStr">
        <is>
          <t>Dasay</t>
        </is>
      </c>
    </row>
    <row r="20080" spans="1:1">
      <c r="A20080" t="inlineStr">
        <is>
          <t>Dinanum</t>
        </is>
      </c>
    </row>
    <row r="20081" spans="1:1">
      <c r="A20081" t="inlineStr">
        <is>
          <t>Duplas</t>
        </is>
      </c>
    </row>
    <row r="20082" spans="1:1">
      <c r="A20082" t="inlineStr">
        <is>
          <t>Guinguinabang</t>
        </is>
      </c>
    </row>
    <row r="20083" spans="1:1">
      <c r="A20083" t="inlineStr">
        <is>
          <t>Ili Norte</t>
        </is>
      </c>
    </row>
    <row r="20084" spans="1:1">
      <c r="A20084" t="inlineStr">
        <is>
          <t>Ili Sur</t>
        </is>
      </c>
    </row>
    <row r="20085" spans="1:1">
      <c r="A20085" t="inlineStr">
        <is>
          <t>Legleg</t>
        </is>
      </c>
    </row>
    <row r="20086" spans="1:1">
      <c r="A20086" t="inlineStr">
        <is>
          <t>Lubing</t>
        </is>
      </c>
    </row>
    <row r="20087" spans="1:1">
      <c r="A20087" t="inlineStr">
        <is>
          <t>Nadsaag</t>
        </is>
      </c>
    </row>
    <row r="20088" spans="1:1">
      <c r="A20088" t="inlineStr">
        <is>
          <t>Nagsabaran</t>
        </is>
      </c>
    </row>
    <row r="20089" spans="1:1">
      <c r="A20089" t="inlineStr">
        <is>
          <t>Naguirangan</t>
        </is>
      </c>
    </row>
    <row r="20090" spans="1:1">
      <c r="A20090" t="inlineStr">
        <is>
          <t>Naguituban</t>
        </is>
      </c>
    </row>
    <row r="20091" spans="1:1">
      <c r="A20091" t="inlineStr">
        <is>
          <t>Nagyubuyuban</t>
        </is>
      </c>
    </row>
    <row r="20092" spans="1:1">
      <c r="A20092" t="inlineStr">
        <is>
          <t>Oaquing</t>
        </is>
      </c>
    </row>
    <row r="20093" spans="1:1">
      <c r="A20093" t="inlineStr">
        <is>
          <t>Pacpacac</t>
        </is>
      </c>
    </row>
    <row r="20094" spans="1:1">
      <c r="A20094" t="inlineStr">
        <is>
          <t>Pagdildilan</t>
        </is>
      </c>
    </row>
    <row r="20095" spans="1:1">
      <c r="A20095" t="inlineStr">
        <is>
          <t>Panicsican</t>
        </is>
      </c>
    </row>
    <row r="20096" spans="1:1">
      <c r="A20096" t="inlineStr">
        <is>
          <t>Quidem</t>
        </is>
      </c>
    </row>
    <row r="20097" spans="1:1">
      <c r="A20097" t="inlineStr">
        <is>
          <t>San Felipe</t>
        </is>
      </c>
    </row>
    <row r="20098" spans="1:1">
      <c r="A20098" t="inlineStr">
        <is>
          <t>Santa Rosa</t>
        </is>
      </c>
    </row>
    <row r="20099" spans="1:1">
      <c r="A20099" t="inlineStr">
        <is>
          <t>Santo Rosario</t>
        </is>
      </c>
    </row>
    <row r="20100" spans="1:1">
      <c r="A20100" t="inlineStr">
        <is>
          <t>Saracat</t>
        </is>
      </c>
    </row>
    <row r="20101" spans="1:1">
      <c r="A20101" t="inlineStr">
        <is>
          <t>Sinapangan</t>
        </is>
      </c>
    </row>
    <row r="20102" spans="1:1">
      <c r="A20102" t="inlineStr">
        <is>
          <t>Taboc</t>
        </is>
      </c>
    </row>
    <row r="20103" spans="1:1">
      <c r="A20103" t="inlineStr">
        <is>
          <t>Talogtog</t>
        </is>
      </c>
    </row>
    <row r="20104" spans="1:1">
      <c r="A20104" t="inlineStr">
        <is>
          <t>Urbiztondo</t>
        </is>
      </c>
    </row>
    <row r="20105" spans="1:1">
      <c r="A20105" t="inlineStr">
        <is>
          <t>Ambitacay</t>
        </is>
      </c>
    </row>
    <row r="20106" spans="1:1">
      <c r="A20106" t="inlineStr">
        <is>
          <t>Bail</t>
        </is>
      </c>
    </row>
    <row r="20107" spans="1:1">
      <c r="A20107" t="inlineStr">
        <is>
          <t>Balaoc</t>
        </is>
      </c>
    </row>
    <row r="20108" spans="1:1">
      <c r="A20108" t="inlineStr">
        <is>
          <t>Balsaan</t>
        </is>
      </c>
    </row>
    <row r="20109" spans="1:1">
      <c r="A20109" t="inlineStr">
        <is>
          <t>Baybay</t>
        </is>
      </c>
    </row>
    <row r="20110" spans="1:1">
      <c r="A20110" t="inlineStr">
        <is>
          <t>Cabaruan</t>
        </is>
      </c>
    </row>
    <row r="20111" spans="1:1">
      <c r="A20111" t="inlineStr">
        <is>
          <t>Casantaan</t>
        </is>
      </c>
    </row>
    <row r="20112" spans="1:1">
      <c r="A20112" t="inlineStr">
        <is>
          <t>Casilagan</t>
        </is>
      </c>
    </row>
    <row r="20113" spans="1:1">
      <c r="A20113" t="inlineStr">
        <is>
          <t>Cupang</t>
        </is>
      </c>
    </row>
    <row r="20114" spans="1:1">
      <c r="A20114" t="inlineStr">
        <is>
          <t>Damortis</t>
        </is>
      </c>
    </row>
    <row r="20115" spans="1:1">
      <c r="A20115" t="inlineStr">
        <is>
          <t>Fernando</t>
        </is>
      </c>
    </row>
    <row r="20116" spans="1:1">
      <c r="A20116" t="inlineStr">
        <is>
          <t>Linong</t>
        </is>
      </c>
    </row>
    <row r="20117" spans="1:1">
      <c r="A20117" t="inlineStr">
        <is>
          <t>Lomboy</t>
        </is>
      </c>
    </row>
    <row r="20118" spans="1:1">
      <c r="A20118" t="inlineStr">
        <is>
          <t>Malabago</t>
        </is>
      </c>
    </row>
    <row r="20119" spans="1:1">
      <c r="A20119" t="inlineStr">
        <is>
          <t>Namboongan</t>
        </is>
      </c>
    </row>
    <row r="20120" spans="1:1">
      <c r="A20120" t="inlineStr">
        <is>
          <t>Namonitan</t>
        </is>
      </c>
    </row>
    <row r="20121" spans="1:1">
      <c r="A20121" t="inlineStr">
        <is>
          <t>Narvacan</t>
        </is>
      </c>
    </row>
    <row r="20122" spans="1:1">
      <c r="A20122" t="inlineStr">
        <is>
          <t>Patac</t>
        </is>
      </c>
    </row>
    <row r="20123" spans="1:1">
      <c r="A20123" t="inlineStr">
        <is>
          <t>Poblacion</t>
        </is>
      </c>
    </row>
    <row r="20124" spans="1:1">
      <c r="A20124" t="inlineStr">
        <is>
          <t>Pongpong</t>
        </is>
      </c>
    </row>
    <row r="20125" spans="1:1">
      <c r="A20125" t="inlineStr">
        <is>
          <t>Raois</t>
        </is>
      </c>
    </row>
    <row r="20126" spans="1:1">
      <c r="A20126" t="inlineStr">
        <is>
          <t>Tococ</t>
        </is>
      </c>
    </row>
    <row r="20127" spans="1:1">
      <c r="A20127" t="inlineStr">
        <is>
          <t>Tubod</t>
        </is>
      </c>
    </row>
    <row r="20128" spans="1:1">
      <c r="A20128" t="inlineStr">
        <is>
          <t>Ubagan</t>
        </is>
      </c>
    </row>
    <row r="20129" spans="1:1">
      <c r="A20129" t="inlineStr">
        <is>
          <t>Corrooy</t>
        </is>
      </c>
    </row>
    <row r="20130" spans="1:1">
      <c r="A20130" t="inlineStr">
        <is>
          <t>Lettac Norte</t>
        </is>
      </c>
    </row>
    <row r="20131" spans="1:1">
      <c r="A20131" t="inlineStr">
        <is>
          <t>Lettac Sur</t>
        </is>
      </c>
    </row>
    <row r="20132" spans="1:1">
      <c r="A20132" t="inlineStr">
        <is>
          <t>Mangaan</t>
        </is>
      </c>
    </row>
    <row r="20133" spans="1:1">
      <c r="A20133" t="inlineStr">
        <is>
          <t>Paagan</t>
        </is>
      </c>
    </row>
    <row r="20134" spans="1:1">
      <c r="A20134" t="inlineStr">
        <is>
          <t>Poblacion</t>
        </is>
      </c>
    </row>
    <row r="20135" spans="1:1">
      <c r="A20135" t="inlineStr">
        <is>
          <t>Puguil</t>
        </is>
      </c>
    </row>
    <row r="20136" spans="1:1">
      <c r="A20136" t="inlineStr">
        <is>
          <t>Ramot</t>
        </is>
      </c>
    </row>
    <row r="20137" spans="1:1">
      <c r="A20137" t="inlineStr">
        <is>
          <t>Sapdaan</t>
        </is>
      </c>
    </row>
    <row r="20138" spans="1:1">
      <c r="A20138" t="inlineStr">
        <is>
          <t>Sasaba</t>
        </is>
      </c>
    </row>
    <row r="20139" spans="1:1">
      <c r="A20139" t="inlineStr">
        <is>
          <t>Tubaday</t>
        </is>
      </c>
    </row>
    <row r="20140" spans="1:1">
      <c r="A20140" t="inlineStr">
        <is>
          <t>Bigbiga</t>
        </is>
      </c>
    </row>
    <row r="20141" spans="1:1">
      <c r="A20141" t="inlineStr">
        <is>
          <t>Bulalaan</t>
        </is>
      </c>
    </row>
    <row r="20142" spans="1:1">
      <c r="A20142" t="inlineStr">
        <is>
          <t>Castro</t>
        </is>
      </c>
    </row>
    <row r="20143" spans="1:1">
      <c r="A20143" t="inlineStr">
        <is>
          <t>Duplas</t>
        </is>
      </c>
    </row>
    <row r="20144" spans="1:1">
      <c r="A20144" t="inlineStr">
        <is>
          <t>Ilocano</t>
        </is>
      </c>
    </row>
    <row r="20145" spans="1:1">
      <c r="A20145" t="inlineStr">
        <is>
          <t>Ipet</t>
        </is>
      </c>
    </row>
    <row r="20146" spans="1:1">
      <c r="A20146" t="inlineStr">
        <is>
          <t>Maliclico</t>
        </is>
      </c>
    </row>
    <row r="20147" spans="1:1">
      <c r="A20147" t="inlineStr">
        <is>
          <t>Namaltugan</t>
        </is>
      </c>
    </row>
    <row r="20148" spans="1:1">
      <c r="A20148" t="inlineStr">
        <is>
          <t>Old Central</t>
        </is>
      </c>
    </row>
    <row r="20149" spans="1:1">
      <c r="A20149" t="inlineStr">
        <is>
          <t>Poblacion</t>
        </is>
      </c>
    </row>
    <row r="20150" spans="1:1">
      <c r="A20150" t="inlineStr">
        <is>
          <t>Porporiket</t>
        </is>
      </c>
    </row>
    <row r="20151" spans="1:1">
      <c r="A20151" t="inlineStr">
        <is>
          <t>San Francisco Norte</t>
        </is>
      </c>
    </row>
    <row r="20152" spans="1:1">
      <c r="A20152" t="inlineStr">
        <is>
          <t>San Francisco Sur</t>
        </is>
      </c>
    </row>
    <row r="20153" spans="1:1">
      <c r="A20153" t="inlineStr">
        <is>
          <t>San Jose</t>
        </is>
      </c>
    </row>
    <row r="20154" spans="1:1">
      <c r="A20154" t="inlineStr">
        <is>
          <t>Sengngat</t>
        </is>
      </c>
    </row>
    <row r="20155" spans="1:1">
      <c r="A20155" t="inlineStr">
        <is>
          <t>Turod</t>
        </is>
      </c>
    </row>
    <row r="20156" spans="1:1">
      <c r="A20156" t="inlineStr">
        <is>
          <t>Up-uplas</t>
        </is>
      </c>
    </row>
    <row r="20157" spans="1:1">
      <c r="A20157" t="inlineStr">
        <is>
          <t>Amallapay</t>
        </is>
      </c>
    </row>
    <row r="20158" spans="1:1">
      <c r="A20158" t="inlineStr">
        <is>
          <t>Anduyan</t>
        </is>
      </c>
    </row>
    <row r="20159" spans="1:1">
      <c r="A20159" t="inlineStr">
        <is>
          <t>Caoigue</t>
        </is>
      </c>
    </row>
    <row r="20160" spans="1:1">
      <c r="A20160" t="inlineStr">
        <is>
          <t>Francia Sur</t>
        </is>
      </c>
    </row>
    <row r="20161" spans="1:1">
      <c r="A20161" t="inlineStr">
        <is>
          <t>Francia West</t>
        </is>
      </c>
    </row>
    <row r="20162" spans="1:1">
      <c r="A20162" t="inlineStr">
        <is>
          <t>Garcia</t>
        </is>
      </c>
    </row>
    <row r="20163" spans="1:1">
      <c r="A20163" t="inlineStr">
        <is>
          <t>Gonzales</t>
        </is>
      </c>
    </row>
    <row r="20164" spans="1:1">
      <c r="A20164" t="inlineStr">
        <is>
          <t>Halog East</t>
        </is>
      </c>
    </row>
    <row r="20165" spans="1:1">
      <c r="A20165" t="inlineStr">
        <is>
          <t>Halog West</t>
        </is>
      </c>
    </row>
    <row r="20166" spans="1:1">
      <c r="A20166" t="inlineStr">
        <is>
          <t>Leones East</t>
        </is>
      </c>
    </row>
    <row r="20167" spans="1:1">
      <c r="A20167" t="inlineStr">
        <is>
          <t>Leones West</t>
        </is>
      </c>
    </row>
    <row r="20168" spans="1:1">
      <c r="A20168" t="inlineStr">
        <is>
          <t>Linapew</t>
        </is>
      </c>
    </row>
    <row r="20169" spans="1:1">
      <c r="A20169" t="inlineStr">
        <is>
          <t>Lloren</t>
        </is>
      </c>
    </row>
    <row r="20170" spans="1:1">
      <c r="A20170" t="inlineStr">
        <is>
          <t>Magsaysay</t>
        </is>
      </c>
    </row>
    <row r="20171" spans="1:1">
      <c r="A20171" t="inlineStr">
        <is>
          <t>Pideg</t>
        </is>
      </c>
    </row>
    <row r="20172" spans="1:1">
      <c r="A20172" t="inlineStr">
        <is>
          <t>Poblacion</t>
        </is>
      </c>
    </row>
    <row r="20173" spans="1:1">
      <c r="A20173" t="inlineStr">
        <is>
          <t>Rizal</t>
        </is>
      </c>
    </row>
    <row r="20174" spans="1:1">
      <c r="A20174" t="inlineStr">
        <is>
          <t>Santa Teresa</t>
        </is>
      </c>
    </row>
    <row r="20175" spans="1:1">
      <c r="A20175" t="inlineStr">
        <is>
          <t>Barangay I</t>
        </is>
      </c>
    </row>
    <row r="20176" spans="1:1">
      <c r="A20176" t="inlineStr">
        <is>
          <t>Barangay II</t>
        </is>
      </c>
    </row>
    <row r="20177" spans="1:1">
      <c r="A20177" t="inlineStr">
        <is>
          <t>Barangay III</t>
        </is>
      </c>
    </row>
    <row r="20178" spans="1:1">
      <c r="A20178" t="inlineStr">
        <is>
          <t>Barangay IV</t>
        </is>
      </c>
    </row>
    <row r="20179" spans="1:1">
      <c r="A20179" t="inlineStr">
        <is>
          <t>Del Carmen</t>
        </is>
      </c>
    </row>
    <row r="20180" spans="1:1">
      <c r="A20180" t="inlineStr">
        <is>
          <t>Palma</t>
        </is>
      </c>
    </row>
    <row r="20181" spans="1:1">
      <c r="A20181" t="inlineStr">
        <is>
          <t>San Agustin</t>
        </is>
      </c>
    </row>
    <row r="20182" spans="1:1">
      <c r="A20182" t="inlineStr">
        <is>
          <t>San Andres</t>
        </is>
      </c>
    </row>
    <row r="20183" spans="1:1">
      <c r="A20183" t="inlineStr">
        <is>
          <t>San Benito</t>
        </is>
      </c>
    </row>
    <row r="20184" spans="1:1">
      <c r="A20184" t="inlineStr">
        <is>
          <t>San Gregorio</t>
        </is>
      </c>
    </row>
    <row r="20185" spans="1:1">
      <c r="A20185" t="inlineStr">
        <is>
          <t>San Ildefonso</t>
        </is>
      </c>
    </row>
    <row r="20186" spans="1:1">
      <c r="A20186" t="inlineStr">
        <is>
          <t>San Juan</t>
        </is>
      </c>
    </row>
    <row r="20187" spans="1:1">
      <c r="A20187" t="inlineStr">
        <is>
          <t>San Miguel</t>
        </is>
      </c>
    </row>
    <row r="20188" spans="1:1">
      <c r="A20188" t="inlineStr">
        <is>
          <t>San Roque</t>
        </is>
      </c>
    </row>
    <row r="20189" spans="1:1">
      <c r="A20189" t="inlineStr">
        <is>
          <t>Santa Rosa</t>
        </is>
      </c>
    </row>
    <row r="20190" spans="1:1">
      <c r="A20190" t="inlineStr">
        <is>
          <t>Bitin</t>
        </is>
      </c>
    </row>
    <row r="20191" spans="1:1">
      <c r="A20191" t="inlineStr">
        <is>
          <t>Calo</t>
        </is>
      </c>
    </row>
    <row r="20192" spans="1:1">
      <c r="A20192" t="inlineStr">
        <is>
          <t>Dila</t>
        </is>
      </c>
    </row>
    <row r="20193" spans="1:1">
      <c r="A20193" t="inlineStr">
        <is>
          <t>Maitim</t>
        </is>
      </c>
    </row>
    <row r="20194" spans="1:1">
      <c r="A20194" t="inlineStr">
        <is>
          <t>Masaya</t>
        </is>
      </c>
    </row>
    <row r="20195" spans="1:1">
      <c r="A20195" t="inlineStr">
        <is>
          <t>Paciano Rizal</t>
        </is>
      </c>
    </row>
    <row r="20196" spans="1:1">
      <c r="A20196" t="inlineStr">
        <is>
          <t>Puypuy</t>
        </is>
      </c>
    </row>
    <row r="20197" spans="1:1">
      <c r="A20197" t="inlineStr">
        <is>
          <t>San Agustin</t>
        </is>
      </c>
    </row>
    <row r="20198" spans="1:1">
      <c r="A20198" t="inlineStr">
        <is>
          <t>San Antonio</t>
        </is>
      </c>
    </row>
    <row r="20199" spans="1:1">
      <c r="A20199" t="inlineStr">
        <is>
          <t>San Isidro</t>
        </is>
      </c>
    </row>
    <row r="20200" spans="1:1">
      <c r="A20200" t="inlineStr">
        <is>
          <t>San Nicolas</t>
        </is>
      </c>
    </row>
    <row r="20201" spans="1:1">
      <c r="A20201" t="inlineStr">
        <is>
          <t>Santa Cruz</t>
        </is>
      </c>
    </row>
    <row r="20202" spans="1:1">
      <c r="A20202" t="inlineStr">
        <is>
          <t>Santo Domingo</t>
        </is>
      </c>
    </row>
    <row r="20203" spans="1:1">
      <c r="A20203" t="inlineStr">
        <is>
          <t>Tagumpay</t>
        </is>
      </c>
    </row>
    <row r="20204" spans="1:1">
      <c r="A20204" t="inlineStr">
        <is>
          <t>Tranca</t>
        </is>
      </c>
    </row>
    <row r="20205" spans="1:1">
      <c r="A20205" t="inlineStr">
        <is>
          <t>Balayhangin</t>
        </is>
      </c>
    </row>
    <row r="20206" spans="1:1">
      <c r="A20206" t="inlineStr">
        <is>
          <t>Bangyas</t>
        </is>
      </c>
    </row>
    <row r="20207" spans="1:1">
      <c r="A20207" t="inlineStr">
        <is>
          <t>Dayap</t>
        </is>
      </c>
    </row>
    <row r="20208" spans="1:1">
      <c r="A20208" t="inlineStr">
        <is>
          <t>Hanggan</t>
        </is>
      </c>
    </row>
    <row r="20209" spans="1:1">
      <c r="A20209" t="inlineStr">
        <is>
          <t>Imok</t>
        </is>
      </c>
    </row>
    <row r="20210" spans="1:1">
      <c r="A20210" t="inlineStr">
        <is>
          <t>Kanluran</t>
        </is>
      </c>
    </row>
    <row r="20211" spans="1:1">
      <c r="A20211" t="inlineStr">
        <is>
          <t>Lamot 1</t>
        </is>
      </c>
    </row>
    <row r="20212" spans="1:1">
      <c r="A20212" t="inlineStr">
        <is>
          <t>Lamot 2</t>
        </is>
      </c>
    </row>
    <row r="20213" spans="1:1">
      <c r="A20213" t="inlineStr">
        <is>
          <t>Limao</t>
        </is>
      </c>
    </row>
    <row r="20214" spans="1:1">
      <c r="A20214" t="inlineStr">
        <is>
          <t>Mabacan</t>
        </is>
      </c>
    </row>
    <row r="20215" spans="1:1">
      <c r="A20215" t="inlineStr">
        <is>
          <t>Masiit</t>
        </is>
      </c>
    </row>
    <row r="20216" spans="1:1">
      <c r="A20216" t="inlineStr">
        <is>
          <t>Paliparan</t>
        </is>
      </c>
    </row>
    <row r="20217" spans="1:1">
      <c r="A20217" t="inlineStr">
        <is>
          <t>Perez</t>
        </is>
      </c>
    </row>
    <row r="20218" spans="1:1">
      <c r="A20218" t="inlineStr">
        <is>
          <t>Prinza</t>
        </is>
      </c>
    </row>
    <row r="20219" spans="1:1">
      <c r="A20219" t="inlineStr">
        <is>
          <t>San Isidro</t>
        </is>
      </c>
    </row>
    <row r="20220" spans="1:1">
      <c r="A20220" t="inlineStr">
        <is>
          <t>Santo Tomas</t>
        </is>
      </c>
    </row>
    <row r="20221" spans="1:1">
      <c r="A20221" t="inlineStr">
        <is>
          <t>Silangan</t>
        </is>
      </c>
    </row>
    <row r="20222" spans="1:1">
      <c r="A20222" t="inlineStr">
        <is>
          <t>Anglas</t>
        </is>
      </c>
    </row>
    <row r="20223" spans="1:1">
      <c r="A20223" t="inlineStr">
        <is>
          <t>Bangco</t>
        </is>
      </c>
    </row>
    <row r="20224" spans="1:1">
      <c r="A20224" t="inlineStr">
        <is>
          <t>Bukal</t>
        </is>
      </c>
    </row>
    <row r="20225" spans="1:1">
      <c r="A20225" t="inlineStr">
        <is>
          <t>Bulajo</t>
        </is>
      </c>
    </row>
    <row r="20226" spans="1:1">
      <c r="A20226" t="inlineStr">
        <is>
          <t>Cansuso</t>
        </is>
      </c>
    </row>
    <row r="20227" spans="1:1">
      <c r="A20227" t="inlineStr">
        <is>
          <t>Duhat</t>
        </is>
      </c>
    </row>
    <row r="20228" spans="1:1">
      <c r="A20228" t="inlineStr">
        <is>
          <t>Inao-Awan</t>
        </is>
      </c>
    </row>
    <row r="20229" spans="1:1">
      <c r="A20229" t="inlineStr">
        <is>
          <t>Kanluran Talaongan</t>
        </is>
      </c>
    </row>
    <row r="20230" spans="1:1">
      <c r="A20230" t="inlineStr">
        <is>
          <t>Labayo</t>
        </is>
      </c>
    </row>
    <row r="20231" spans="1:1">
      <c r="A20231" t="inlineStr">
        <is>
          <t>Layasin</t>
        </is>
      </c>
    </row>
    <row r="20232" spans="1:1">
      <c r="A20232" t="inlineStr">
        <is>
          <t>Layug</t>
        </is>
      </c>
    </row>
    <row r="20233" spans="1:1">
      <c r="A20233" t="inlineStr">
        <is>
          <t>Mahipon</t>
        </is>
      </c>
    </row>
    <row r="20234" spans="1:1">
      <c r="A20234" t="inlineStr">
        <is>
          <t>Paowin</t>
        </is>
      </c>
    </row>
    <row r="20235" spans="1:1">
      <c r="A20235" t="inlineStr">
        <is>
          <t>Poblacion</t>
        </is>
      </c>
    </row>
    <row r="20236" spans="1:1">
      <c r="A20236" t="inlineStr">
        <is>
          <t>Silangan Talaongan</t>
        </is>
      </c>
    </row>
    <row r="20237" spans="1:1">
      <c r="A20237" t="inlineStr">
        <is>
          <t>Sisilmin</t>
        </is>
      </c>
    </row>
    <row r="20238" spans="1:1">
      <c r="A20238" t="inlineStr">
        <is>
          <t>Sumucab</t>
        </is>
      </c>
    </row>
    <row r="20239" spans="1:1">
      <c r="A20239" t="inlineStr">
        <is>
          <t>Tibatib</t>
        </is>
      </c>
    </row>
    <row r="20240" spans="1:1">
      <c r="A20240" t="inlineStr">
        <is>
          <t>Udia</t>
        </is>
      </c>
    </row>
    <row r="20241" spans="1:1">
      <c r="A20241" t="inlineStr">
        <is>
          <t>Biñan</t>
        </is>
      </c>
    </row>
    <row r="20242" spans="1:1">
      <c r="A20242" t="inlineStr">
        <is>
          <t>Bungahan</t>
        </is>
      </c>
    </row>
    <row r="20243" spans="1:1">
      <c r="A20243" t="inlineStr">
        <is>
          <t>Canlalay</t>
        </is>
      </c>
    </row>
    <row r="20244" spans="1:1">
      <c r="A20244" t="inlineStr">
        <is>
          <t>Casile</t>
        </is>
      </c>
    </row>
    <row r="20245" spans="1:1">
      <c r="A20245" t="inlineStr">
        <is>
          <t>De La Paz</t>
        </is>
      </c>
    </row>
    <row r="20246" spans="1:1">
      <c r="A20246" t="inlineStr">
        <is>
          <t>Ganado</t>
        </is>
      </c>
    </row>
    <row r="20247" spans="1:1">
      <c r="A20247" t="inlineStr">
        <is>
          <t>Langkiwa</t>
        </is>
      </c>
    </row>
    <row r="20248" spans="1:1">
      <c r="A20248" t="inlineStr">
        <is>
          <t>Loma</t>
        </is>
      </c>
    </row>
    <row r="20249" spans="1:1">
      <c r="A20249" t="inlineStr">
        <is>
          <t>Malaban</t>
        </is>
      </c>
    </row>
    <row r="20250" spans="1:1">
      <c r="A20250" t="inlineStr">
        <is>
          <t>Malamig</t>
        </is>
      </c>
    </row>
    <row r="20251" spans="1:1">
      <c r="A20251" t="inlineStr">
        <is>
          <t>Mampalasan</t>
        </is>
      </c>
    </row>
    <row r="20252" spans="1:1">
      <c r="A20252" t="inlineStr">
        <is>
          <t>Platero</t>
        </is>
      </c>
    </row>
    <row r="20253" spans="1:1">
      <c r="A20253" t="inlineStr">
        <is>
          <t>Poblacion</t>
        </is>
      </c>
    </row>
    <row r="20254" spans="1:1">
      <c r="A20254" t="inlineStr">
        <is>
          <t>San Antonio</t>
        </is>
      </c>
    </row>
    <row r="20255" spans="1:1">
      <c r="A20255" t="inlineStr">
        <is>
          <t>San Francisco</t>
        </is>
      </c>
    </row>
    <row r="20256" spans="1:1">
      <c r="A20256" t="inlineStr">
        <is>
          <t>San Jose</t>
        </is>
      </c>
    </row>
    <row r="20257" spans="1:1">
      <c r="A20257" t="inlineStr">
        <is>
          <t>San Vicente</t>
        </is>
      </c>
    </row>
    <row r="20258" spans="1:1">
      <c r="A20258" t="inlineStr">
        <is>
          <t>Santo Domingo</t>
        </is>
      </c>
    </row>
    <row r="20259" spans="1:1">
      <c r="A20259" t="inlineStr">
        <is>
          <t>Santo Niño</t>
        </is>
      </c>
    </row>
    <row r="20260" spans="1:1">
      <c r="A20260" t="inlineStr">
        <is>
          <t>Santo Tomas</t>
        </is>
      </c>
    </row>
    <row r="20261" spans="1:1">
      <c r="A20261" t="inlineStr">
        <is>
          <t>Soro-soro</t>
        </is>
      </c>
    </row>
    <row r="20262" spans="1:1">
      <c r="A20262" t="inlineStr">
        <is>
          <t>Timbao</t>
        </is>
      </c>
    </row>
    <row r="20263" spans="1:1">
      <c r="A20263" t="inlineStr">
        <is>
          <t>Tubigan</t>
        </is>
      </c>
    </row>
    <row r="20264" spans="1:1">
      <c r="A20264" t="inlineStr">
        <is>
          <t>Zapote</t>
        </is>
      </c>
    </row>
    <row r="20265" spans="1:1">
      <c r="A20265" t="inlineStr">
        <is>
          <t>Baclaran</t>
        </is>
      </c>
    </row>
    <row r="20266" spans="1:1">
      <c r="A20266" t="inlineStr">
        <is>
          <t>Banaybanay</t>
        </is>
      </c>
    </row>
    <row r="20267" spans="1:1">
      <c r="A20267" t="inlineStr">
        <is>
          <t>Banlic</t>
        </is>
      </c>
    </row>
    <row r="20268" spans="1:1">
      <c r="A20268" t="inlineStr">
        <is>
          <t>Barangay Dos</t>
        </is>
      </c>
    </row>
    <row r="20269" spans="1:1">
      <c r="A20269" t="inlineStr">
        <is>
          <t>Barangay Tres</t>
        </is>
      </c>
    </row>
    <row r="20270" spans="1:1">
      <c r="A20270" t="inlineStr">
        <is>
          <t>Barangay Uno</t>
        </is>
      </c>
    </row>
    <row r="20271" spans="1:1">
      <c r="A20271" t="inlineStr">
        <is>
          <t>Bigaa</t>
        </is>
      </c>
    </row>
    <row r="20272" spans="1:1">
      <c r="A20272" t="inlineStr">
        <is>
          <t>Butong</t>
        </is>
      </c>
    </row>
    <row r="20273" spans="1:1">
      <c r="A20273" t="inlineStr">
        <is>
          <t>Casile</t>
        </is>
      </c>
    </row>
    <row r="20274" spans="1:1">
      <c r="A20274" t="inlineStr">
        <is>
          <t>Diezmo</t>
        </is>
      </c>
    </row>
    <row r="20275" spans="1:1">
      <c r="A20275" t="inlineStr">
        <is>
          <t>Gulod</t>
        </is>
      </c>
    </row>
    <row r="20276" spans="1:1">
      <c r="A20276" t="inlineStr">
        <is>
          <t>Mamatid</t>
        </is>
      </c>
    </row>
    <row r="20277" spans="1:1">
      <c r="A20277" t="inlineStr">
        <is>
          <t>Marinig</t>
        </is>
      </c>
    </row>
    <row r="20278" spans="1:1">
      <c r="A20278" t="inlineStr">
        <is>
          <t>Niugan</t>
        </is>
      </c>
    </row>
    <row r="20279" spans="1:1">
      <c r="A20279" t="inlineStr">
        <is>
          <t>Pittland</t>
        </is>
      </c>
    </row>
    <row r="20280" spans="1:1">
      <c r="A20280" t="inlineStr">
        <is>
          <t>Pulo</t>
        </is>
      </c>
    </row>
    <row r="20281" spans="1:1">
      <c r="A20281" t="inlineStr">
        <is>
          <t>Sala</t>
        </is>
      </c>
    </row>
    <row r="20282" spans="1:1">
      <c r="A20282" t="inlineStr">
        <is>
          <t>San Isidro</t>
        </is>
      </c>
    </row>
    <row r="20283" spans="1:1">
      <c r="A20283" t="inlineStr">
        <is>
          <t>Bagong Kalsada</t>
        </is>
      </c>
    </row>
    <row r="20284" spans="1:1">
      <c r="A20284" t="inlineStr">
        <is>
          <t>Banadero</t>
        </is>
      </c>
    </row>
    <row r="20285" spans="1:1">
      <c r="A20285" t="inlineStr">
        <is>
          <t>Banlic</t>
        </is>
      </c>
    </row>
    <row r="20286" spans="1:1">
      <c r="A20286" t="inlineStr">
        <is>
          <t>Barandal</t>
        </is>
      </c>
    </row>
    <row r="20287" spans="1:1">
      <c r="A20287" t="inlineStr">
        <is>
          <t>Barangay 1</t>
        </is>
      </c>
    </row>
    <row r="20288" spans="1:1">
      <c r="A20288" t="inlineStr">
        <is>
          <t>Barangay 2</t>
        </is>
      </c>
    </row>
    <row r="20289" spans="1:1">
      <c r="A20289" t="inlineStr">
        <is>
          <t>Barangay 3</t>
        </is>
      </c>
    </row>
    <row r="20290" spans="1:1">
      <c r="A20290" t="inlineStr">
        <is>
          <t>Barangay 4</t>
        </is>
      </c>
    </row>
    <row r="20291" spans="1:1">
      <c r="A20291" t="inlineStr">
        <is>
          <t>Barangay 5</t>
        </is>
      </c>
    </row>
    <row r="20292" spans="1:1">
      <c r="A20292" t="inlineStr">
        <is>
          <t>Barangay 6</t>
        </is>
      </c>
    </row>
    <row r="20293" spans="1:1">
      <c r="A20293" t="inlineStr">
        <is>
          <t>Barangay 7</t>
        </is>
      </c>
    </row>
    <row r="20294" spans="1:1">
      <c r="A20294" t="inlineStr">
        <is>
          <t>Batino</t>
        </is>
      </c>
    </row>
    <row r="20295" spans="1:1">
      <c r="A20295" t="inlineStr">
        <is>
          <t>Bubuyan</t>
        </is>
      </c>
    </row>
    <row r="20296" spans="1:1">
      <c r="A20296" t="inlineStr">
        <is>
          <t>Bucal</t>
        </is>
      </c>
    </row>
    <row r="20297" spans="1:1">
      <c r="A20297" t="inlineStr">
        <is>
          <t>Bunggo</t>
        </is>
      </c>
    </row>
    <row r="20298" spans="1:1">
      <c r="A20298" t="inlineStr">
        <is>
          <t>Burol</t>
        </is>
      </c>
    </row>
    <row r="20299" spans="1:1">
      <c r="A20299" t="inlineStr">
        <is>
          <t>Camaligan</t>
        </is>
      </c>
    </row>
    <row r="20300" spans="1:1">
      <c r="A20300" t="inlineStr">
        <is>
          <t>Canlubang</t>
        </is>
      </c>
    </row>
    <row r="20301" spans="1:1">
      <c r="A20301" t="inlineStr">
        <is>
          <t>Halang</t>
        </is>
      </c>
    </row>
    <row r="20302" spans="1:1">
      <c r="A20302" t="inlineStr">
        <is>
          <t>Hornalan</t>
        </is>
      </c>
    </row>
    <row r="20303" spans="1:1">
      <c r="A20303" t="inlineStr">
        <is>
          <t>Kay-Anlog</t>
        </is>
      </c>
    </row>
    <row r="20304" spans="1:1">
      <c r="A20304" t="inlineStr">
        <is>
          <t>La Mesa</t>
        </is>
      </c>
    </row>
    <row r="20305" spans="1:1">
      <c r="A20305" t="inlineStr">
        <is>
          <t>Laguerta</t>
        </is>
      </c>
    </row>
    <row r="20306" spans="1:1">
      <c r="A20306" t="inlineStr">
        <is>
          <t>Lawa</t>
        </is>
      </c>
    </row>
    <row r="20307" spans="1:1">
      <c r="A20307" t="inlineStr">
        <is>
          <t>Lecheria</t>
        </is>
      </c>
    </row>
    <row r="20308" spans="1:1">
      <c r="A20308" t="inlineStr">
        <is>
          <t>Lingga</t>
        </is>
      </c>
    </row>
    <row r="20309" spans="1:1">
      <c r="A20309" t="inlineStr">
        <is>
          <t>Looc</t>
        </is>
      </c>
    </row>
    <row r="20310" spans="1:1">
      <c r="A20310" t="inlineStr">
        <is>
          <t>Mabato</t>
        </is>
      </c>
    </row>
    <row r="20311" spans="1:1">
      <c r="A20311" t="inlineStr">
        <is>
          <t>Majada Labas</t>
        </is>
      </c>
    </row>
    <row r="20312" spans="1:1">
      <c r="A20312" t="inlineStr">
        <is>
          <t>Makiling</t>
        </is>
      </c>
    </row>
    <row r="20313" spans="1:1">
      <c r="A20313" t="inlineStr">
        <is>
          <t>Mapagong</t>
        </is>
      </c>
    </row>
    <row r="20314" spans="1:1">
      <c r="A20314" t="inlineStr">
        <is>
          <t>Masili</t>
        </is>
      </c>
    </row>
    <row r="20315" spans="1:1">
      <c r="A20315" t="inlineStr">
        <is>
          <t>Maunong</t>
        </is>
      </c>
    </row>
    <row r="20316" spans="1:1">
      <c r="A20316" t="inlineStr">
        <is>
          <t>Mayapa</t>
        </is>
      </c>
    </row>
    <row r="20317" spans="1:1">
      <c r="A20317" t="inlineStr">
        <is>
          <t>Milagrosa</t>
        </is>
      </c>
    </row>
    <row r="20318" spans="1:1">
      <c r="A20318" t="inlineStr">
        <is>
          <t>Paciano Rizal</t>
        </is>
      </c>
    </row>
    <row r="20319" spans="1:1">
      <c r="A20319" t="inlineStr">
        <is>
          <t>Palingon</t>
        </is>
      </c>
    </row>
    <row r="20320" spans="1:1">
      <c r="A20320" t="inlineStr">
        <is>
          <t>Palo-Alto</t>
        </is>
      </c>
    </row>
    <row r="20321" spans="1:1">
      <c r="A20321" t="inlineStr">
        <is>
          <t>Pansol</t>
        </is>
      </c>
    </row>
    <row r="20322" spans="1:1">
      <c r="A20322" t="inlineStr">
        <is>
          <t>Parian</t>
        </is>
      </c>
    </row>
    <row r="20323" spans="1:1">
      <c r="A20323" t="inlineStr">
        <is>
          <t>Prinza</t>
        </is>
      </c>
    </row>
    <row r="20324" spans="1:1">
      <c r="A20324" t="inlineStr">
        <is>
          <t>Punta</t>
        </is>
      </c>
    </row>
    <row r="20325" spans="1:1">
      <c r="A20325" t="inlineStr">
        <is>
          <t>Puting Lupa</t>
        </is>
      </c>
    </row>
    <row r="20326" spans="1:1">
      <c r="A20326" t="inlineStr">
        <is>
          <t>Real</t>
        </is>
      </c>
    </row>
    <row r="20327" spans="1:1">
      <c r="A20327" t="inlineStr">
        <is>
          <t>Saimsim</t>
        </is>
      </c>
    </row>
    <row r="20328" spans="1:1">
      <c r="A20328" t="inlineStr">
        <is>
          <t>Sampiruhan</t>
        </is>
      </c>
    </row>
    <row r="20329" spans="1:1">
      <c r="A20329" t="inlineStr">
        <is>
          <t>San Cristobal</t>
        </is>
      </c>
    </row>
    <row r="20330" spans="1:1">
      <c r="A20330" t="inlineStr">
        <is>
          <t>San Jose</t>
        </is>
      </c>
    </row>
    <row r="20331" spans="1:1">
      <c r="A20331" t="inlineStr">
        <is>
          <t>San Juan</t>
        </is>
      </c>
    </row>
    <row r="20332" spans="1:1">
      <c r="A20332" t="inlineStr">
        <is>
          <t>Sirang Lupa</t>
        </is>
      </c>
    </row>
    <row r="20333" spans="1:1">
      <c r="A20333" t="inlineStr">
        <is>
          <t>Sucol</t>
        </is>
      </c>
    </row>
    <row r="20334" spans="1:1">
      <c r="A20334" t="inlineStr">
        <is>
          <t>Turbina</t>
        </is>
      </c>
    </row>
    <row r="20335" spans="1:1">
      <c r="A20335" t="inlineStr">
        <is>
          <t>Ulango</t>
        </is>
      </c>
    </row>
    <row r="20336" spans="1:1">
      <c r="A20336" t="inlineStr">
        <is>
          <t>Uwisan</t>
        </is>
      </c>
    </row>
    <row r="20337" spans="1:1">
      <c r="A20337" t="inlineStr">
        <is>
          <t>Atisan</t>
        </is>
      </c>
    </row>
    <row r="20338" spans="1:1">
      <c r="A20338" t="inlineStr">
        <is>
          <t>Bagong Bayan II-A</t>
        </is>
      </c>
    </row>
    <row r="20339" spans="1:1">
      <c r="A20339" t="inlineStr">
        <is>
          <t>Bagong Pook VI-C</t>
        </is>
      </c>
    </row>
    <row r="20340" spans="1:1">
      <c r="A20340" t="inlineStr">
        <is>
          <t>Barangay I-A</t>
        </is>
      </c>
    </row>
    <row r="20341" spans="1:1">
      <c r="A20341" t="inlineStr">
        <is>
          <t>Barangay I-B</t>
        </is>
      </c>
    </row>
    <row r="20342" spans="1:1">
      <c r="A20342" t="inlineStr">
        <is>
          <t>Barangay II-A</t>
        </is>
      </c>
    </row>
    <row r="20343" spans="1:1">
      <c r="A20343" t="inlineStr">
        <is>
          <t>Barangay II-B</t>
        </is>
      </c>
    </row>
    <row r="20344" spans="1:1">
      <c r="A20344" t="inlineStr">
        <is>
          <t>Barangay II-C</t>
        </is>
      </c>
    </row>
    <row r="20345" spans="1:1">
      <c r="A20345" t="inlineStr">
        <is>
          <t>Barangay II-D</t>
        </is>
      </c>
    </row>
    <row r="20346" spans="1:1">
      <c r="A20346" t="inlineStr">
        <is>
          <t>Barangay II-E</t>
        </is>
      </c>
    </row>
    <row r="20347" spans="1:1">
      <c r="A20347" t="inlineStr">
        <is>
          <t>Barangay II-F</t>
        </is>
      </c>
    </row>
    <row r="20348" spans="1:1">
      <c r="A20348" t="inlineStr">
        <is>
          <t>Barangay III-A</t>
        </is>
      </c>
    </row>
    <row r="20349" spans="1:1">
      <c r="A20349" t="inlineStr">
        <is>
          <t>Barangay III-B</t>
        </is>
      </c>
    </row>
    <row r="20350" spans="1:1">
      <c r="A20350" t="inlineStr">
        <is>
          <t>Barangay III-C</t>
        </is>
      </c>
    </row>
    <row r="20351" spans="1:1">
      <c r="A20351" t="inlineStr">
        <is>
          <t>Barangay III-D</t>
        </is>
      </c>
    </row>
    <row r="20352" spans="1:1">
      <c r="A20352" t="inlineStr">
        <is>
          <t>Barangay III-E</t>
        </is>
      </c>
    </row>
    <row r="20353" spans="1:1">
      <c r="A20353" t="inlineStr">
        <is>
          <t>Barangay III-F</t>
        </is>
      </c>
    </row>
    <row r="20354" spans="1:1">
      <c r="A20354" t="inlineStr">
        <is>
          <t>Barangay IV-A</t>
        </is>
      </c>
    </row>
    <row r="20355" spans="1:1">
      <c r="A20355" t="inlineStr">
        <is>
          <t>Barangay IV-B</t>
        </is>
      </c>
    </row>
    <row r="20356" spans="1:1">
      <c r="A20356" t="inlineStr">
        <is>
          <t>Barangay IV-C</t>
        </is>
      </c>
    </row>
    <row r="20357" spans="1:1">
      <c r="A20357" t="inlineStr">
        <is>
          <t>Barangay V-A</t>
        </is>
      </c>
    </row>
    <row r="20358" spans="1:1">
      <c r="A20358" t="inlineStr">
        <is>
          <t>Barangay V-B</t>
        </is>
      </c>
    </row>
    <row r="20359" spans="1:1">
      <c r="A20359" t="inlineStr">
        <is>
          <t>Barangay V-C</t>
        </is>
      </c>
    </row>
    <row r="20360" spans="1:1">
      <c r="A20360" t="inlineStr">
        <is>
          <t>Barangay V-D</t>
        </is>
      </c>
    </row>
    <row r="20361" spans="1:1">
      <c r="A20361" t="inlineStr">
        <is>
          <t>Barangay VI-A</t>
        </is>
      </c>
    </row>
    <row r="20362" spans="1:1">
      <c r="A20362" t="inlineStr">
        <is>
          <t>Barangay VI-B</t>
        </is>
      </c>
    </row>
    <row r="20363" spans="1:1">
      <c r="A20363" t="inlineStr">
        <is>
          <t>Barangay VI-D</t>
        </is>
      </c>
    </row>
    <row r="20364" spans="1:1">
      <c r="A20364" t="inlineStr">
        <is>
          <t>Barangay VI-E</t>
        </is>
      </c>
    </row>
    <row r="20365" spans="1:1">
      <c r="A20365" t="inlineStr">
        <is>
          <t>Barangay VII-A</t>
        </is>
      </c>
    </row>
    <row r="20366" spans="1:1">
      <c r="A20366" t="inlineStr">
        <is>
          <t>Barangay VII-B</t>
        </is>
      </c>
    </row>
    <row r="20367" spans="1:1">
      <c r="A20367" t="inlineStr">
        <is>
          <t>Barangay VII-C</t>
        </is>
      </c>
    </row>
    <row r="20368" spans="1:1">
      <c r="A20368" t="inlineStr">
        <is>
          <t>Barangay VII-D</t>
        </is>
      </c>
    </row>
    <row r="20369" spans="1:1">
      <c r="A20369" t="inlineStr">
        <is>
          <t>Barangay VII-E</t>
        </is>
      </c>
    </row>
    <row r="20370" spans="1:1">
      <c r="A20370" t="inlineStr">
        <is>
          <t>Bautista</t>
        </is>
      </c>
    </row>
    <row r="20371" spans="1:1">
      <c r="A20371" t="inlineStr">
        <is>
          <t>Concepcion</t>
        </is>
      </c>
    </row>
    <row r="20372" spans="1:1">
      <c r="A20372" t="inlineStr">
        <is>
          <t>Del Remedio</t>
        </is>
      </c>
    </row>
    <row r="20373" spans="1:1">
      <c r="A20373" t="inlineStr">
        <is>
          <t>Dolores</t>
        </is>
      </c>
    </row>
    <row r="20374" spans="1:1">
      <c r="A20374" t="inlineStr">
        <is>
          <t>San Antonio 1</t>
        </is>
      </c>
    </row>
    <row r="20375" spans="1:1">
      <c r="A20375" t="inlineStr">
        <is>
          <t>San Antonio 2</t>
        </is>
      </c>
    </row>
    <row r="20376" spans="1:1">
      <c r="A20376" t="inlineStr">
        <is>
          <t>San Bartolome</t>
        </is>
      </c>
    </row>
    <row r="20377" spans="1:1">
      <c r="A20377" t="inlineStr">
        <is>
          <t>San Buenaventura</t>
        </is>
      </c>
    </row>
    <row r="20378" spans="1:1">
      <c r="A20378" t="inlineStr">
        <is>
          <t>San Crispin</t>
        </is>
      </c>
    </row>
    <row r="20379" spans="1:1">
      <c r="A20379" t="inlineStr">
        <is>
          <t>San Cristobal</t>
        </is>
      </c>
    </row>
    <row r="20380" spans="1:1">
      <c r="A20380" t="inlineStr">
        <is>
          <t>San Diego</t>
        </is>
      </c>
    </row>
    <row r="20381" spans="1:1">
      <c r="A20381" t="inlineStr">
        <is>
          <t>San Francisco</t>
        </is>
      </c>
    </row>
    <row r="20382" spans="1:1">
      <c r="A20382" t="inlineStr">
        <is>
          <t>San Gabriel</t>
        </is>
      </c>
    </row>
    <row r="20383" spans="1:1">
      <c r="A20383" t="inlineStr">
        <is>
          <t>San Gregorio</t>
        </is>
      </c>
    </row>
    <row r="20384" spans="1:1">
      <c r="A20384" t="inlineStr">
        <is>
          <t>San Ignacio</t>
        </is>
      </c>
    </row>
    <row r="20385" spans="1:1">
      <c r="A20385" t="inlineStr">
        <is>
          <t>San Isidro</t>
        </is>
      </c>
    </row>
    <row r="20386" spans="1:1">
      <c r="A20386" t="inlineStr">
        <is>
          <t>San Joaquin</t>
        </is>
      </c>
    </row>
    <row r="20387" spans="1:1">
      <c r="A20387" t="inlineStr">
        <is>
          <t>San Jose</t>
        </is>
      </c>
    </row>
    <row r="20388" spans="1:1">
      <c r="A20388" t="inlineStr">
        <is>
          <t>San Juan</t>
        </is>
      </c>
    </row>
    <row r="20389" spans="1:1">
      <c r="A20389" t="inlineStr">
        <is>
          <t>San Lorenzo</t>
        </is>
      </c>
    </row>
    <row r="20390" spans="1:1">
      <c r="A20390" t="inlineStr">
        <is>
          <t>San Lucas 1</t>
        </is>
      </c>
    </row>
    <row r="20391" spans="1:1">
      <c r="A20391" t="inlineStr">
        <is>
          <t>San Lucas 2</t>
        </is>
      </c>
    </row>
    <row r="20392" spans="1:1">
      <c r="A20392" t="inlineStr">
        <is>
          <t>San Marcos</t>
        </is>
      </c>
    </row>
    <row r="20393" spans="1:1">
      <c r="A20393" t="inlineStr">
        <is>
          <t>San Mateo</t>
        </is>
      </c>
    </row>
    <row r="20394" spans="1:1">
      <c r="A20394" t="inlineStr">
        <is>
          <t>San Miguel</t>
        </is>
      </c>
    </row>
    <row r="20395" spans="1:1">
      <c r="A20395" t="inlineStr">
        <is>
          <t>San Nicolas</t>
        </is>
      </c>
    </row>
    <row r="20396" spans="1:1">
      <c r="A20396" t="inlineStr">
        <is>
          <t>San Pedro</t>
        </is>
      </c>
    </row>
    <row r="20397" spans="1:1">
      <c r="A20397" t="inlineStr">
        <is>
          <t>San Rafael</t>
        </is>
      </c>
    </row>
    <row r="20398" spans="1:1">
      <c r="A20398" t="inlineStr">
        <is>
          <t>San Roque</t>
        </is>
      </c>
    </row>
    <row r="20399" spans="1:1">
      <c r="A20399" t="inlineStr">
        <is>
          <t>San Vicente</t>
        </is>
      </c>
    </row>
    <row r="20400" spans="1:1">
      <c r="A20400" t="inlineStr">
        <is>
          <t>Santa Ana</t>
        </is>
      </c>
    </row>
    <row r="20401" spans="1:1">
      <c r="A20401" t="inlineStr">
        <is>
          <t>Santa Catalina</t>
        </is>
      </c>
    </row>
    <row r="20402" spans="1:1">
      <c r="A20402" t="inlineStr">
        <is>
          <t>Santa Cruz</t>
        </is>
      </c>
    </row>
    <row r="20403" spans="1:1">
      <c r="A20403" t="inlineStr">
        <is>
          <t>Santa Elena</t>
        </is>
      </c>
    </row>
    <row r="20404" spans="1:1">
      <c r="A20404" t="inlineStr">
        <is>
          <t>Santa Felomina</t>
        </is>
      </c>
    </row>
    <row r="20405" spans="1:1">
      <c r="A20405" t="inlineStr">
        <is>
          <t>Santa Isabel</t>
        </is>
      </c>
    </row>
    <row r="20406" spans="1:1">
      <c r="A20406" t="inlineStr">
        <is>
          <t>Santa Maria</t>
        </is>
      </c>
    </row>
    <row r="20407" spans="1:1">
      <c r="A20407" t="inlineStr">
        <is>
          <t>Santa Maria Magdalena</t>
        </is>
      </c>
    </row>
    <row r="20408" spans="1:1">
      <c r="A20408" t="inlineStr">
        <is>
          <t>Santa Monica</t>
        </is>
      </c>
    </row>
    <row r="20409" spans="1:1">
      <c r="A20409" t="inlineStr">
        <is>
          <t>Santa Veronica</t>
        </is>
      </c>
    </row>
    <row r="20410" spans="1:1">
      <c r="A20410" t="inlineStr">
        <is>
          <t>Santiago I</t>
        </is>
      </c>
    </row>
    <row r="20411" spans="1:1">
      <c r="A20411" t="inlineStr">
        <is>
          <t>Santiago II</t>
        </is>
      </c>
    </row>
    <row r="20412" spans="1:1">
      <c r="A20412" t="inlineStr">
        <is>
          <t>Santisimo Rosario</t>
        </is>
      </c>
    </row>
    <row r="20413" spans="1:1">
      <c r="A20413" t="inlineStr">
        <is>
          <t>Santo Angel</t>
        </is>
      </c>
    </row>
    <row r="20414" spans="1:1">
      <c r="A20414" t="inlineStr">
        <is>
          <t>Santo Cristo</t>
        </is>
      </c>
    </row>
    <row r="20415" spans="1:1">
      <c r="A20415" t="inlineStr">
        <is>
          <t>Santo Niño</t>
        </is>
      </c>
    </row>
    <row r="20416" spans="1:1">
      <c r="A20416" t="inlineStr">
        <is>
          <t>Soledad</t>
        </is>
      </c>
    </row>
    <row r="20417" spans="1:1">
      <c r="A20417" t="inlineStr">
        <is>
          <t>Bagong Silang</t>
        </is>
      </c>
    </row>
    <row r="20418" spans="1:1">
      <c r="A20418" t="inlineStr">
        <is>
          <t>Calendola</t>
        </is>
      </c>
    </row>
    <row r="20419" spans="1:1">
      <c r="A20419" t="inlineStr">
        <is>
          <t>Chrysanthemum</t>
        </is>
      </c>
    </row>
    <row r="20420" spans="1:1">
      <c r="A20420" t="inlineStr">
        <is>
          <t>Cuyab</t>
        </is>
      </c>
    </row>
    <row r="20421" spans="1:1">
      <c r="A20421" t="inlineStr">
        <is>
          <t>Estrella</t>
        </is>
      </c>
    </row>
    <row r="20422" spans="1:1">
      <c r="A20422" t="inlineStr">
        <is>
          <t>Fatima</t>
        </is>
      </c>
    </row>
    <row r="20423" spans="1:1">
      <c r="A20423" t="inlineStr">
        <is>
          <t>G.S.I.S.</t>
        </is>
      </c>
    </row>
    <row r="20424" spans="1:1">
      <c r="A20424" t="inlineStr">
        <is>
          <t>Landayan</t>
        </is>
      </c>
    </row>
    <row r="20425" spans="1:1">
      <c r="A20425" t="inlineStr">
        <is>
          <t>Langgam</t>
        </is>
      </c>
    </row>
    <row r="20426" spans="1:1">
      <c r="A20426" t="inlineStr">
        <is>
          <t>Laram</t>
        </is>
      </c>
    </row>
    <row r="20427" spans="1:1">
      <c r="A20427" t="inlineStr">
        <is>
          <t>Magsaysay</t>
        </is>
      </c>
    </row>
    <row r="20428" spans="1:1">
      <c r="A20428" t="inlineStr">
        <is>
          <t>Maharlika</t>
        </is>
      </c>
    </row>
    <row r="20429" spans="1:1">
      <c r="A20429" t="inlineStr">
        <is>
          <t>Narra</t>
        </is>
      </c>
    </row>
    <row r="20430" spans="1:1">
      <c r="A20430" t="inlineStr">
        <is>
          <t>Nueva</t>
        </is>
      </c>
    </row>
    <row r="20431" spans="1:1">
      <c r="A20431" t="inlineStr">
        <is>
          <t>Pacita 1</t>
        </is>
      </c>
    </row>
    <row r="20432" spans="1:1">
      <c r="A20432" t="inlineStr">
        <is>
          <t>Pacita 2</t>
        </is>
      </c>
    </row>
    <row r="20433" spans="1:1">
      <c r="A20433" t="inlineStr">
        <is>
          <t>Poblacion</t>
        </is>
      </c>
    </row>
    <row r="20434" spans="1:1">
      <c r="A20434" t="inlineStr">
        <is>
          <t>Riverside</t>
        </is>
      </c>
    </row>
    <row r="20435" spans="1:1">
      <c r="A20435" t="inlineStr">
        <is>
          <t>Rosario</t>
        </is>
      </c>
    </row>
    <row r="20436" spans="1:1">
      <c r="A20436" t="inlineStr">
        <is>
          <t>Sampaguita Village</t>
        </is>
      </c>
    </row>
    <row r="20437" spans="1:1">
      <c r="A20437" t="inlineStr">
        <is>
          <t>San Antonio</t>
        </is>
      </c>
    </row>
    <row r="20438" spans="1:1">
      <c r="A20438" t="inlineStr">
        <is>
          <t>San Lorenzo Ruiz</t>
        </is>
      </c>
    </row>
    <row r="20439" spans="1:1">
      <c r="A20439" t="inlineStr">
        <is>
          <t>San Roque</t>
        </is>
      </c>
    </row>
    <row r="20440" spans="1:1">
      <c r="A20440" t="inlineStr">
        <is>
          <t>San Vicente</t>
        </is>
      </c>
    </row>
    <row r="20441" spans="1:1">
      <c r="A20441" t="inlineStr">
        <is>
          <t>Santo Niño</t>
        </is>
      </c>
    </row>
    <row r="20442" spans="1:1">
      <c r="A20442" t="inlineStr">
        <is>
          <t>United Bayanihan</t>
        </is>
      </c>
    </row>
    <row r="20443" spans="1:1">
      <c r="A20443" t="inlineStr">
        <is>
          <t>United Better Living</t>
        </is>
      </c>
    </row>
    <row r="20444" spans="1:1">
      <c r="A20444" t="inlineStr">
        <is>
          <t>Aplaya</t>
        </is>
      </c>
    </row>
    <row r="20445" spans="1:1">
      <c r="A20445" t="inlineStr">
        <is>
          <t>Balibago</t>
        </is>
      </c>
    </row>
    <row r="20446" spans="1:1">
      <c r="A20446" t="inlineStr">
        <is>
          <t>Caingin</t>
        </is>
      </c>
    </row>
    <row r="20447" spans="1:1">
      <c r="A20447" t="inlineStr">
        <is>
          <t>Dila</t>
        </is>
      </c>
    </row>
    <row r="20448" spans="1:1">
      <c r="A20448" t="inlineStr">
        <is>
          <t>Dita</t>
        </is>
      </c>
    </row>
    <row r="20449" spans="1:1">
      <c r="A20449" t="inlineStr">
        <is>
          <t>Don Jose</t>
        </is>
      </c>
    </row>
    <row r="20450" spans="1:1">
      <c r="A20450" t="inlineStr">
        <is>
          <t>Ibaba</t>
        </is>
      </c>
    </row>
    <row r="20451" spans="1:1">
      <c r="A20451" t="inlineStr">
        <is>
          <t>Kanluran</t>
        </is>
      </c>
    </row>
    <row r="20452" spans="1:1">
      <c r="A20452" t="inlineStr">
        <is>
          <t>Labas</t>
        </is>
      </c>
    </row>
    <row r="20453" spans="1:1">
      <c r="A20453" t="inlineStr">
        <is>
          <t>Macabling</t>
        </is>
      </c>
    </row>
    <row r="20454" spans="1:1">
      <c r="A20454" t="inlineStr">
        <is>
          <t>Malitlit</t>
        </is>
      </c>
    </row>
    <row r="20455" spans="1:1">
      <c r="A20455" t="inlineStr">
        <is>
          <t>Malusak</t>
        </is>
      </c>
    </row>
    <row r="20456" spans="1:1">
      <c r="A20456" t="inlineStr">
        <is>
          <t>Market Area</t>
        </is>
      </c>
    </row>
    <row r="20457" spans="1:1">
      <c r="A20457" t="inlineStr">
        <is>
          <t>Pooc</t>
        </is>
      </c>
    </row>
    <row r="20458" spans="1:1">
      <c r="A20458" t="inlineStr">
        <is>
          <t>Pulong Santa Cruz</t>
        </is>
      </c>
    </row>
    <row r="20459" spans="1:1">
      <c r="A20459" t="inlineStr">
        <is>
          <t>Santo Domingo</t>
        </is>
      </c>
    </row>
    <row r="20460" spans="1:1">
      <c r="A20460" t="inlineStr">
        <is>
          <t>Sinalhan</t>
        </is>
      </c>
    </row>
    <row r="20461" spans="1:1">
      <c r="A20461" t="inlineStr">
        <is>
          <t>Tagapo</t>
        </is>
      </c>
    </row>
    <row r="20462" spans="1:1">
      <c r="A20462" t="inlineStr">
        <is>
          <t>Asana</t>
        </is>
      </c>
    </row>
    <row r="20463" spans="1:1">
      <c r="A20463" t="inlineStr">
        <is>
          <t>Bacong-Sigsigan</t>
        </is>
      </c>
    </row>
    <row r="20464" spans="1:1">
      <c r="A20464" t="inlineStr">
        <is>
          <t>Bagong Pag-Asa</t>
        </is>
      </c>
    </row>
    <row r="20465" spans="1:1">
      <c r="A20465" t="inlineStr">
        <is>
          <t>Balitoc</t>
        </is>
      </c>
    </row>
    <row r="20466" spans="1:1">
      <c r="A20466" t="inlineStr">
        <is>
          <t>Banaba</t>
        </is>
      </c>
    </row>
    <row r="20467" spans="1:1">
      <c r="A20467" t="inlineStr">
        <is>
          <t>Batuhan</t>
        </is>
      </c>
    </row>
    <row r="20468" spans="1:1">
      <c r="A20468" t="inlineStr">
        <is>
          <t>Bulihan</t>
        </is>
      </c>
    </row>
    <row r="20469" spans="1:1">
      <c r="A20469" t="inlineStr">
        <is>
          <t>Caballero</t>
        </is>
      </c>
    </row>
    <row r="20470" spans="1:1">
      <c r="A20470" t="inlineStr">
        <is>
          <t>Calumpang</t>
        </is>
      </c>
    </row>
    <row r="20471" spans="1:1">
      <c r="A20471" t="inlineStr">
        <is>
          <t>Cuebang Bato</t>
        </is>
      </c>
    </row>
    <row r="20472" spans="1:1">
      <c r="A20472" t="inlineStr">
        <is>
          <t>Damayan</t>
        </is>
      </c>
    </row>
    <row r="20473" spans="1:1">
      <c r="A20473" t="inlineStr">
        <is>
          <t>Kapatalan</t>
        </is>
      </c>
    </row>
    <row r="20474" spans="1:1">
      <c r="A20474" t="inlineStr">
        <is>
          <t>Kataypuanan</t>
        </is>
      </c>
    </row>
    <row r="20475" spans="1:1">
      <c r="A20475" t="inlineStr">
        <is>
          <t>Liyang</t>
        </is>
      </c>
    </row>
    <row r="20476" spans="1:1">
      <c r="A20476" t="inlineStr">
        <is>
          <t>Maate</t>
        </is>
      </c>
    </row>
    <row r="20477" spans="1:1">
      <c r="A20477" t="inlineStr">
        <is>
          <t>Magdalo</t>
        </is>
      </c>
    </row>
    <row r="20478" spans="1:1">
      <c r="A20478" t="inlineStr">
        <is>
          <t>Mayatba</t>
        </is>
      </c>
    </row>
    <row r="20479" spans="1:1">
      <c r="A20479" t="inlineStr">
        <is>
          <t>Minayutan</t>
        </is>
      </c>
    </row>
    <row r="20480" spans="1:1">
      <c r="A20480" t="inlineStr">
        <is>
          <t>Salangbato</t>
        </is>
      </c>
    </row>
    <row r="20481" spans="1:1">
      <c r="A20481" t="inlineStr">
        <is>
          <t>Tunhac</t>
        </is>
      </c>
    </row>
    <row r="20482" spans="1:1">
      <c r="A20482" t="inlineStr">
        <is>
          <t>Longos</t>
        </is>
      </c>
    </row>
    <row r="20483" spans="1:1">
      <c r="A20483" t="inlineStr">
        <is>
          <t>San Antonio</t>
        </is>
      </c>
    </row>
    <row r="20484" spans="1:1">
      <c r="A20484" t="inlineStr">
        <is>
          <t>San Juan</t>
        </is>
      </c>
    </row>
    <row r="20485" spans="1:1">
      <c r="A20485" t="inlineStr">
        <is>
          <t>Bagong Anyo</t>
        </is>
      </c>
    </row>
    <row r="20486" spans="1:1">
      <c r="A20486" t="inlineStr">
        <is>
          <t>Bayate</t>
        </is>
      </c>
    </row>
    <row r="20487" spans="1:1">
      <c r="A20487" t="inlineStr">
        <is>
          <t>Bongkol</t>
        </is>
      </c>
    </row>
    <row r="20488" spans="1:1">
      <c r="A20488" t="inlineStr">
        <is>
          <t>Bubukal</t>
        </is>
      </c>
    </row>
    <row r="20489" spans="1:1">
      <c r="A20489" t="inlineStr">
        <is>
          <t>Cabuyew</t>
        </is>
      </c>
    </row>
    <row r="20490" spans="1:1">
      <c r="A20490" t="inlineStr">
        <is>
          <t>Calumpang</t>
        </is>
      </c>
    </row>
    <row r="20491" spans="1:1">
      <c r="A20491" t="inlineStr">
        <is>
          <t>Culoy</t>
        </is>
      </c>
    </row>
    <row r="20492" spans="1:1">
      <c r="A20492" t="inlineStr">
        <is>
          <t>Dagatan</t>
        </is>
      </c>
    </row>
    <row r="20493" spans="1:1">
      <c r="A20493" t="inlineStr">
        <is>
          <t>Daniw</t>
        </is>
      </c>
    </row>
    <row r="20494" spans="1:1">
      <c r="A20494" t="inlineStr">
        <is>
          <t>Dita</t>
        </is>
      </c>
    </row>
    <row r="20495" spans="1:1">
      <c r="A20495" t="inlineStr">
        <is>
          <t>Ibabang Palina</t>
        </is>
      </c>
    </row>
    <row r="20496" spans="1:1">
      <c r="A20496" t="inlineStr">
        <is>
          <t>Ibabang San Roque</t>
        </is>
      </c>
    </row>
    <row r="20497" spans="1:1">
      <c r="A20497" t="inlineStr">
        <is>
          <t>Ibabang Sungi</t>
        </is>
      </c>
    </row>
    <row r="20498" spans="1:1">
      <c r="A20498" t="inlineStr">
        <is>
          <t>Ibabang Taykin</t>
        </is>
      </c>
    </row>
    <row r="20499" spans="1:1">
      <c r="A20499" t="inlineStr">
        <is>
          <t>Ilayang Palina</t>
        </is>
      </c>
    </row>
    <row r="20500" spans="1:1">
      <c r="A20500" t="inlineStr">
        <is>
          <t>Ilayang San Roque</t>
        </is>
      </c>
    </row>
    <row r="20501" spans="1:1">
      <c r="A20501" t="inlineStr">
        <is>
          <t>Ilayang Sungi</t>
        </is>
      </c>
    </row>
    <row r="20502" spans="1:1">
      <c r="A20502" t="inlineStr">
        <is>
          <t>Ilayang Taykin</t>
        </is>
      </c>
    </row>
    <row r="20503" spans="1:1">
      <c r="A20503" t="inlineStr">
        <is>
          <t>Kanlurang Bukal</t>
        </is>
      </c>
    </row>
    <row r="20504" spans="1:1">
      <c r="A20504" t="inlineStr">
        <is>
          <t>Laguan</t>
        </is>
      </c>
    </row>
    <row r="20505" spans="1:1">
      <c r="A20505" t="inlineStr">
        <is>
          <t>Luquin</t>
        </is>
      </c>
    </row>
    <row r="20506" spans="1:1">
      <c r="A20506" t="inlineStr">
        <is>
          <t>Malabo-Kalantukan</t>
        </is>
      </c>
    </row>
    <row r="20507" spans="1:1">
      <c r="A20507" t="inlineStr">
        <is>
          <t>Masikap</t>
        </is>
      </c>
    </row>
    <row r="20508" spans="1:1">
      <c r="A20508" t="inlineStr">
        <is>
          <t>Maslun</t>
        </is>
      </c>
    </row>
    <row r="20509" spans="1:1">
      <c r="A20509" t="inlineStr">
        <is>
          <t>Mojon</t>
        </is>
      </c>
    </row>
    <row r="20510" spans="1:1">
      <c r="A20510" t="inlineStr">
        <is>
          <t>Novaliches</t>
        </is>
      </c>
    </row>
    <row r="20511" spans="1:1">
      <c r="A20511" t="inlineStr">
        <is>
          <t>Oples</t>
        </is>
      </c>
    </row>
    <row r="20512" spans="1:1">
      <c r="A20512" t="inlineStr">
        <is>
          <t>Pag-Asa</t>
        </is>
      </c>
    </row>
    <row r="20513" spans="1:1">
      <c r="A20513" t="inlineStr">
        <is>
          <t>Palayan</t>
        </is>
      </c>
    </row>
    <row r="20514" spans="1:1">
      <c r="A20514" t="inlineStr">
        <is>
          <t>Rizal</t>
        </is>
      </c>
    </row>
    <row r="20515" spans="1:1">
      <c r="A20515" t="inlineStr">
        <is>
          <t>San Isidro</t>
        </is>
      </c>
    </row>
    <row r="20516" spans="1:1">
      <c r="A20516" t="inlineStr">
        <is>
          <t>Silangang Bukal</t>
        </is>
      </c>
    </row>
    <row r="20517" spans="1:1">
      <c r="A20517" t="inlineStr">
        <is>
          <t>Tuy-Baanan</t>
        </is>
      </c>
    </row>
    <row r="20518" spans="1:1">
      <c r="A20518" t="inlineStr">
        <is>
          <t>Anos</t>
        </is>
      </c>
    </row>
    <row r="20519" spans="1:1">
      <c r="A20519" t="inlineStr">
        <is>
          <t>Bagong Silang</t>
        </is>
      </c>
    </row>
    <row r="20520" spans="1:1">
      <c r="A20520" t="inlineStr">
        <is>
          <t>Bambang</t>
        </is>
      </c>
    </row>
    <row r="20521" spans="1:1">
      <c r="A20521" t="inlineStr">
        <is>
          <t>Batong Malake</t>
        </is>
      </c>
    </row>
    <row r="20522" spans="1:1">
      <c r="A20522" t="inlineStr">
        <is>
          <t>Baybayin</t>
        </is>
      </c>
    </row>
    <row r="20523" spans="1:1">
      <c r="A20523" t="inlineStr">
        <is>
          <t>Bayog</t>
        </is>
      </c>
    </row>
    <row r="20524" spans="1:1">
      <c r="A20524" t="inlineStr">
        <is>
          <t>Lalakay</t>
        </is>
      </c>
    </row>
    <row r="20525" spans="1:1">
      <c r="A20525" t="inlineStr">
        <is>
          <t>Maahas</t>
        </is>
      </c>
    </row>
    <row r="20526" spans="1:1">
      <c r="A20526" t="inlineStr">
        <is>
          <t>Malinta</t>
        </is>
      </c>
    </row>
    <row r="20527" spans="1:1">
      <c r="A20527" t="inlineStr">
        <is>
          <t>Mayondon</t>
        </is>
      </c>
    </row>
    <row r="20528" spans="1:1">
      <c r="A20528" t="inlineStr">
        <is>
          <t>Putho Tuntungin</t>
        </is>
      </c>
    </row>
    <row r="20529" spans="1:1">
      <c r="A20529" t="inlineStr">
        <is>
          <t>San Antonio</t>
        </is>
      </c>
    </row>
    <row r="20530" spans="1:1">
      <c r="A20530" t="inlineStr">
        <is>
          <t>Tadlak</t>
        </is>
      </c>
    </row>
    <row r="20531" spans="1:1">
      <c r="A20531" t="inlineStr">
        <is>
          <t>Timugan</t>
        </is>
      </c>
    </row>
    <row r="20532" spans="1:1">
      <c r="A20532" t="inlineStr">
        <is>
          <t>Barangay Zone I</t>
        </is>
      </c>
    </row>
    <row r="20533" spans="1:1">
      <c r="A20533" t="inlineStr">
        <is>
          <t>Barangay Zone II</t>
        </is>
      </c>
    </row>
    <row r="20534" spans="1:1">
      <c r="A20534" t="inlineStr">
        <is>
          <t>Barangay Zone III</t>
        </is>
      </c>
    </row>
    <row r="20535" spans="1:1">
      <c r="A20535" t="inlineStr">
        <is>
          <t>Barangay Zone IV</t>
        </is>
      </c>
    </row>
    <row r="20536" spans="1:1">
      <c r="A20536" t="inlineStr">
        <is>
          <t>Barangay Zone V</t>
        </is>
      </c>
    </row>
    <row r="20537" spans="1:1">
      <c r="A20537" t="inlineStr">
        <is>
          <t>Barangay Zone VI</t>
        </is>
      </c>
    </row>
    <row r="20538" spans="1:1">
      <c r="A20538" t="inlineStr">
        <is>
          <t>Barangay Zone VII</t>
        </is>
      </c>
    </row>
    <row r="20539" spans="1:1">
      <c r="A20539" t="inlineStr">
        <is>
          <t>Barangay Zone VIII</t>
        </is>
      </c>
    </row>
    <row r="20540" spans="1:1">
      <c r="A20540" t="inlineStr">
        <is>
          <t>De La Paz</t>
        </is>
      </c>
    </row>
    <row r="20541" spans="1:1">
      <c r="A20541" t="inlineStr">
        <is>
          <t>San Antonio</t>
        </is>
      </c>
    </row>
    <row r="20542" spans="1:1">
      <c r="A20542" t="inlineStr">
        <is>
          <t>San Buenaventura</t>
        </is>
      </c>
    </row>
    <row r="20543" spans="1:1">
      <c r="A20543" t="inlineStr">
        <is>
          <t>San Diego</t>
        </is>
      </c>
    </row>
    <row r="20544" spans="1:1">
      <c r="A20544" t="inlineStr">
        <is>
          <t>San Isidro</t>
        </is>
      </c>
    </row>
    <row r="20545" spans="1:1">
      <c r="A20545" t="inlineStr">
        <is>
          <t>San Jose</t>
        </is>
      </c>
    </row>
    <row r="20546" spans="1:1">
      <c r="A20546" t="inlineStr">
        <is>
          <t>San Juan</t>
        </is>
      </c>
    </row>
    <row r="20547" spans="1:1">
      <c r="A20547" t="inlineStr">
        <is>
          <t>San Luis</t>
        </is>
      </c>
    </row>
    <row r="20548" spans="1:1">
      <c r="A20548" t="inlineStr">
        <is>
          <t>San Pablo</t>
        </is>
      </c>
    </row>
    <row r="20549" spans="1:1">
      <c r="A20549" t="inlineStr">
        <is>
          <t>San Pedro</t>
        </is>
      </c>
    </row>
    <row r="20550" spans="1:1">
      <c r="A20550" t="inlineStr">
        <is>
          <t>San Rafael</t>
        </is>
      </c>
    </row>
    <row r="20551" spans="1:1">
      <c r="A20551" t="inlineStr">
        <is>
          <t>San Roque</t>
        </is>
      </c>
    </row>
    <row r="20552" spans="1:1">
      <c r="A20552" t="inlineStr">
        <is>
          <t>San Salvador</t>
        </is>
      </c>
    </row>
    <row r="20553" spans="1:1">
      <c r="A20553" t="inlineStr">
        <is>
          <t>Santo Domingo</t>
        </is>
      </c>
    </row>
    <row r="20554" spans="1:1">
      <c r="A20554" t="inlineStr">
        <is>
          <t>Santo Tomas</t>
        </is>
      </c>
    </row>
    <row r="20555" spans="1:1">
      <c r="A20555" t="inlineStr">
        <is>
          <t>Bagong Silang</t>
        </is>
      </c>
    </row>
    <row r="20556" spans="1:1">
      <c r="A20556" t="inlineStr">
        <is>
          <t>Balimbingan</t>
        </is>
      </c>
    </row>
    <row r="20557" spans="1:1">
      <c r="A20557" t="inlineStr">
        <is>
          <t>Balubad</t>
        </is>
      </c>
    </row>
    <row r="20558" spans="1:1">
      <c r="A20558" t="inlineStr">
        <is>
          <t>Caliraya</t>
        </is>
      </c>
    </row>
    <row r="20559" spans="1:1">
      <c r="A20559" t="inlineStr">
        <is>
          <t>Concepcion</t>
        </is>
      </c>
    </row>
    <row r="20560" spans="1:1">
      <c r="A20560" t="inlineStr">
        <is>
          <t>Lewin</t>
        </is>
      </c>
    </row>
    <row r="20561" spans="1:1">
      <c r="A20561" t="inlineStr">
        <is>
          <t>Maracta</t>
        </is>
      </c>
    </row>
    <row r="20562" spans="1:1">
      <c r="A20562" t="inlineStr">
        <is>
          <t>Maytalang I</t>
        </is>
      </c>
    </row>
    <row r="20563" spans="1:1">
      <c r="A20563" t="inlineStr">
        <is>
          <t>Maytalang II</t>
        </is>
      </c>
    </row>
    <row r="20564" spans="1:1">
      <c r="A20564" t="inlineStr">
        <is>
          <t>Primera Parang</t>
        </is>
      </c>
    </row>
    <row r="20565" spans="1:1">
      <c r="A20565" t="inlineStr">
        <is>
          <t>Primera Pulo</t>
        </is>
      </c>
    </row>
    <row r="20566" spans="1:1">
      <c r="A20566" t="inlineStr">
        <is>
          <t>Salac</t>
        </is>
      </c>
    </row>
    <row r="20567" spans="1:1">
      <c r="A20567" t="inlineStr">
        <is>
          <t>Santo Niño</t>
        </is>
      </c>
    </row>
    <row r="20568" spans="1:1">
      <c r="A20568" t="inlineStr">
        <is>
          <t>Segunda Parang</t>
        </is>
      </c>
    </row>
    <row r="20569" spans="1:1">
      <c r="A20569" t="inlineStr">
        <is>
          <t>Segunda Pulo</t>
        </is>
      </c>
    </row>
    <row r="20570" spans="1:1">
      <c r="A20570" t="inlineStr">
        <is>
          <t>Wawa</t>
        </is>
      </c>
    </row>
    <row r="20571" spans="1:1">
      <c r="A20571" t="inlineStr">
        <is>
          <t>Amuyong</t>
        </is>
      </c>
    </row>
    <row r="20572" spans="1:1">
      <c r="A20572" t="inlineStr">
        <is>
          <t>Bayanihan</t>
        </is>
      </c>
    </row>
    <row r="20573" spans="1:1">
      <c r="A20573" t="inlineStr">
        <is>
          <t>Lambac</t>
        </is>
      </c>
    </row>
    <row r="20574" spans="1:1">
      <c r="A20574" t="inlineStr">
        <is>
          <t>Libis ng Nayon</t>
        </is>
      </c>
    </row>
    <row r="20575" spans="1:1">
      <c r="A20575" t="inlineStr">
        <is>
          <t>Lucong</t>
        </is>
      </c>
    </row>
    <row r="20576" spans="1:1">
      <c r="A20576" t="inlineStr">
        <is>
          <t>Maligaya</t>
        </is>
      </c>
    </row>
    <row r="20577" spans="1:1">
      <c r="A20577" t="inlineStr">
        <is>
          <t>Masikap</t>
        </is>
      </c>
    </row>
    <row r="20578" spans="1:1">
      <c r="A20578" t="inlineStr">
        <is>
          <t>Matalatala</t>
        </is>
      </c>
    </row>
    <row r="20579" spans="1:1">
      <c r="A20579" t="inlineStr">
        <is>
          <t>Nanguma</t>
        </is>
      </c>
    </row>
    <row r="20580" spans="1:1">
      <c r="A20580" t="inlineStr">
        <is>
          <t>Numero</t>
        </is>
      </c>
    </row>
    <row r="20581" spans="1:1">
      <c r="A20581" t="inlineStr">
        <is>
          <t>Paagahan</t>
        </is>
      </c>
    </row>
    <row r="20582" spans="1:1">
      <c r="A20582" t="inlineStr">
        <is>
          <t>Pag-Asa</t>
        </is>
      </c>
    </row>
    <row r="20583" spans="1:1">
      <c r="A20583" t="inlineStr">
        <is>
          <t>San Antonio</t>
        </is>
      </c>
    </row>
    <row r="20584" spans="1:1">
      <c r="A20584" t="inlineStr">
        <is>
          <t>San Miguel</t>
        </is>
      </c>
    </row>
    <row r="20585" spans="1:1">
      <c r="A20585" t="inlineStr">
        <is>
          <t>Sinagtala</t>
        </is>
      </c>
    </row>
    <row r="20586" spans="1:1">
      <c r="A20586" t="inlineStr">
        <is>
          <t>Alipit</t>
        </is>
      </c>
    </row>
    <row r="20587" spans="1:1">
      <c r="A20587" t="inlineStr">
        <is>
          <t>Baanan</t>
        </is>
      </c>
    </row>
    <row r="20588" spans="1:1">
      <c r="A20588" t="inlineStr">
        <is>
          <t>Balanac</t>
        </is>
      </c>
    </row>
    <row r="20589" spans="1:1">
      <c r="A20589" t="inlineStr">
        <is>
          <t>Bucal</t>
        </is>
      </c>
    </row>
    <row r="20590" spans="1:1">
      <c r="A20590" t="inlineStr">
        <is>
          <t>Buenavista</t>
        </is>
      </c>
    </row>
    <row r="20591" spans="1:1">
      <c r="A20591" t="inlineStr">
        <is>
          <t>Bungkol</t>
        </is>
      </c>
    </row>
    <row r="20592" spans="1:1">
      <c r="A20592" t="inlineStr">
        <is>
          <t>Buo</t>
        </is>
      </c>
    </row>
    <row r="20593" spans="1:1">
      <c r="A20593" t="inlineStr">
        <is>
          <t>Burlungan</t>
        </is>
      </c>
    </row>
    <row r="20594" spans="1:1">
      <c r="A20594" t="inlineStr">
        <is>
          <t>Cigaras</t>
        </is>
      </c>
    </row>
    <row r="20595" spans="1:1">
      <c r="A20595" t="inlineStr">
        <is>
          <t>Halayhayin</t>
        </is>
      </c>
    </row>
    <row r="20596" spans="1:1">
      <c r="A20596" t="inlineStr">
        <is>
          <t>Ibabang Atingay</t>
        </is>
      </c>
    </row>
    <row r="20597" spans="1:1">
      <c r="A20597" t="inlineStr">
        <is>
          <t>Ibabang Butnong</t>
        </is>
      </c>
    </row>
    <row r="20598" spans="1:1">
      <c r="A20598" t="inlineStr">
        <is>
          <t>Ilayang Atingay</t>
        </is>
      </c>
    </row>
    <row r="20599" spans="1:1">
      <c r="A20599" t="inlineStr">
        <is>
          <t>Ilayang Butnong</t>
        </is>
      </c>
    </row>
    <row r="20600" spans="1:1">
      <c r="A20600" t="inlineStr">
        <is>
          <t>Ilog</t>
        </is>
      </c>
    </row>
    <row r="20601" spans="1:1">
      <c r="A20601" t="inlineStr">
        <is>
          <t>Malaking Ambling</t>
        </is>
      </c>
    </row>
    <row r="20602" spans="1:1">
      <c r="A20602" t="inlineStr">
        <is>
          <t>Malinao</t>
        </is>
      </c>
    </row>
    <row r="20603" spans="1:1">
      <c r="A20603" t="inlineStr">
        <is>
          <t>Maravilla</t>
        </is>
      </c>
    </row>
    <row r="20604" spans="1:1">
      <c r="A20604" t="inlineStr">
        <is>
          <t>Munting Ambling</t>
        </is>
      </c>
    </row>
    <row r="20605" spans="1:1">
      <c r="A20605" t="inlineStr">
        <is>
          <t>Poblacion</t>
        </is>
      </c>
    </row>
    <row r="20606" spans="1:1">
      <c r="A20606" t="inlineStr">
        <is>
          <t>Sabang</t>
        </is>
      </c>
    </row>
    <row r="20607" spans="1:1">
      <c r="A20607" t="inlineStr">
        <is>
          <t>Salasad</t>
        </is>
      </c>
    </row>
    <row r="20608" spans="1:1">
      <c r="A20608" t="inlineStr">
        <is>
          <t>Tanawan</t>
        </is>
      </c>
    </row>
    <row r="20609" spans="1:1">
      <c r="A20609" t="inlineStr">
        <is>
          <t>Tipunan</t>
        </is>
      </c>
    </row>
    <row r="20610" spans="1:1">
      <c r="A20610" t="inlineStr">
        <is>
          <t>Amonoy</t>
        </is>
      </c>
    </row>
    <row r="20611" spans="1:1">
      <c r="A20611" t="inlineStr">
        <is>
          <t>Bakia</t>
        </is>
      </c>
    </row>
    <row r="20612" spans="1:1">
      <c r="A20612" t="inlineStr">
        <is>
          <t>Balanac</t>
        </is>
      </c>
    </row>
    <row r="20613" spans="1:1">
      <c r="A20613" t="inlineStr">
        <is>
          <t>Balayong</t>
        </is>
      </c>
    </row>
    <row r="20614" spans="1:1">
      <c r="A20614" t="inlineStr">
        <is>
          <t>Banilad</t>
        </is>
      </c>
    </row>
    <row r="20615" spans="1:1">
      <c r="A20615" t="inlineStr">
        <is>
          <t>Banti</t>
        </is>
      </c>
    </row>
    <row r="20616" spans="1:1">
      <c r="A20616" t="inlineStr">
        <is>
          <t>Bitaoy</t>
        </is>
      </c>
    </row>
    <row r="20617" spans="1:1">
      <c r="A20617" t="inlineStr">
        <is>
          <t>Botocan</t>
        </is>
      </c>
    </row>
    <row r="20618" spans="1:1">
      <c r="A20618" t="inlineStr">
        <is>
          <t>Bukal</t>
        </is>
      </c>
    </row>
    <row r="20619" spans="1:1">
      <c r="A20619" t="inlineStr">
        <is>
          <t>Burgos</t>
        </is>
      </c>
    </row>
    <row r="20620" spans="1:1">
      <c r="A20620" t="inlineStr">
        <is>
          <t>Burol</t>
        </is>
      </c>
    </row>
    <row r="20621" spans="1:1">
      <c r="A20621" t="inlineStr">
        <is>
          <t>Coralao</t>
        </is>
      </c>
    </row>
    <row r="20622" spans="1:1">
      <c r="A20622" t="inlineStr">
        <is>
          <t>Gagalot</t>
        </is>
      </c>
    </row>
    <row r="20623" spans="1:1">
      <c r="A20623" t="inlineStr">
        <is>
          <t>Ibabang Banga</t>
        </is>
      </c>
    </row>
    <row r="20624" spans="1:1">
      <c r="A20624" t="inlineStr">
        <is>
          <t>Ibabang Bayucain</t>
        </is>
      </c>
    </row>
    <row r="20625" spans="1:1">
      <c r="A20625" t="inlineStr">
        <is>
          <t>Ilayang Banga</t>
        </is>
      </c>
    </row>
    <row r="20626" spans="1:1">
      <c r="A20626" t="inlineStr">
        <is>
          <t>Ilayang Bayucain</t>
        </is>
      </c>
    </row>
    <row r="20627" spans="1:1">
      <c r="A20627" t="inlineStr">
        <is>
          <t>Isabang</t>
        </is>
      </c>
    </row>
    <row r="20628" spans="1:1">
      <c r="A20628" t="inlineStr">
        <is>
          <t>Malinao</t>
        </is>
      </c>
    </row>
    <row r="20629" spans="1:1">
      <c r="A20629" t="inlineStr">
        <is>
          <t>May-It</t>
        </is>
      </c>
    </row>
    <row r="20630" spans="1:1">
      <c r="A20630" t="inlineStr">
        <is>
          <t>Munting Kawayan</t>
        </is>
      </c>
    </row>
    <row r="20631" spans="1:1">
      <c r="A20631" t="inlineStr">
        <is>
          <t>Olla</t>
        </is>
      </c>
    </row>
    <row r="20632" spans="1:1">
      <c r="A20632" t="inlineStr">
        <is>
          <t>Oobi</t>
        </is>
      </c>
    </row>
    <row r="20633" spans="1:1">
      <c r="A20633" t="inlineStr">
        <is>
          <t>Origuel</t>
        </is>
      </c>
    </row>
    <row r="20634" spans="1:1">
      <c r="A20634" t="inlineStr">
        <is>
          <t>Panalaban</t>
        </is>
      </c>
    </row>
    <row r="20635" spans="1:1">
      <c r="A20635" t="inlineStr">
        <is>
          <t>Pangil</t>
        </is>
      </c>
    </row>
    <row r="20636" spans="1:1">
      <c r="A20636" t="inlineStr">
        <is>
          <t>Panglan</t>
        </is>
      </c>
    </row>
    <row r="20637" spans="1:1">
      <c r="A20637" t="inlineStr">
        <is>
          <t>Piit</t>
        </is>
      </c>
    </row>
    <row r="20638" spans="1:1">
      <c r="A20638" t="inlineStr">
        <is>
          <t>Pook</t>
        </is>
      </c>
    </row>
    <row r="20639" spans="1:1">
      <c r="A20639" t="inlineStr">
        <is>
          <t>Rizal</t>
        </is>
      </c>
    </row>
    <row r="20640" spans="1:1">
      <c r="A20640" t="inlineStr">
        <is>
          <t>San Francisco</t>
        </is>
      </c>
    </row>
    <row r="20641" spans="1:1">
      <c r="A20641" t="inlineStr">
        <is>
          <t>San Isidro</t>
        </is>
      </c>
    </row>
    <row r="20642" spans="1:1">
      <c r="A20642" t="inlineStr">
        <is>
          <t>San Miguel</t>
        </is>
      </c>
    </row>
    <row r="20643" spans="1:1">
      <c r="A20643" t="inlineStr">
        <is>
          <t>San Roque</t>
        </is>
      </c>
    </row>
    <row r="20644" spans="1:1">
      <c r="A20644" t="inlineStr">
        <is>
          <t>Santa Catalina</t>
        </is>
      </c>
    </row>
    <row r="20645" spans="1:1">
      <c r="A20645" t="inlineStr">
        <is>
          <t>Suba</t>
        </is>
      </c>
    </row>
    <row r="20646" spans="1:1">
      <c r="A20646" t="inlineStr">
        <is>
          <t>Talortor</t>
        </is>
      </c>
    </row>
    <row r="20647" spans="1:1">
      <c r="A20647" t="inlineStr">
        <is>
          <t>Tanawan</t>
        </is>
      </c>
    </row>
    <row r="20648" spans="1:1">
      <c r="A20648" t="inlineStr">
        <is>
          <t>Taytay</t>
        </is>
      </c>
    </row>
    <row r="20649" spans="1:1">
      <c r="A20649" t="inlineStr">
        <is>
          <t>Villa Nogales</t>
        </is>
      </c>
    </row>
    <row r="20650" spans="1:1">
      <c r="A20650" t="inlineStr">
        <is>
          <t>Abo</t>
        </is>
      </c>
    </row>
    <row r="20651" spans="1:1">
      <c r="A20651" t="inlineStr">
        <is>
          <t>Alibungbungan</t>
        </is>
      </c>
    </row>
    <row r="20652" spans="1:1">
      <c r="A20652" t="inlineStr">
        <is>
          <t>Alumbrado</t>
        </is>
      </c>
    </row>
    <row r="20653" spans="1:1">
      <c r="A20653" t="inlineStr">
        <is>
          <t>Balayong</t>
        </is>
      </c>
    </row>
    <row r="20654" spans="1:1">
      <c r="A20654" t="inlineStr">
        <is>
          <t>Balimbing</t>
        </is>
      </c>
    </row>
    <row r="20655" spans="1:1">
      <c r="A20655" t="inlineStr">
        <is>
          <t>Balinacon</t>
        </is>
      </c>
    </row>
    <row r="20656" spans="1:1">
      <c r="A20656" t="inlineStr">
        <is>
          <t>Bambang</t>
        </is>
      </c>
    </row>
    <row r="20657" spans="1:1">
      <c r="A20657" t="inlineStr">
        <is>
          <t>Banago</t>
        </is>
      </c>
    </row>
    <row r="20658" spans="1:1">
      <c r="A20658" t="inlineStr">
        <is>
          <t>Banca-banca</t>
        </is>
      </c>
    </row>
    <row r="20659" spans="1:1">
      <c r="A20659" t="inlineStr">
        <is>
          <t>Bangcuro</t>
        </is>
      </c>
    </row>
    <row r="20660" spans="1:1">
      <c r="A20660" t="inlineStr">
        <is>
          <t>Banilad</t>
        </is>
      </c>
    </row>
    <row r="20661" spans="1:1">
      <c r="A20661" t="inlineStr">
        <is>
          <t>Bayaquitos</t>
        </is>
      </c>
    </row>
    <row r="20662" spans="1:1">
      <c r="A20662" t="inlineStr">
        <is>
          <t>Buboy</t>
        </is>
      </c>
    </row>
    <row r="20663" spans="1:1">
      <c r="A20663" t="inlineStr">
        <is>
          <t>Buenavista</t>
        </is>
      </c>
    </row>
    <row r="20664" spans="1:1">
      <c r="A20664" t="inlineStr">
        <is>
          <t>Buhanginan</t>
        </is>
      </c>
    </row>
    <row r="20665" spans="1:1">
      <c r="A20665" t="inlineStr">
        <is>
          <t>Bukal</t>
        </is>
      </c>
    </row>
    <row r="20666" spans="1:1">
      <c r="A20666" t="inlineStr">
        <is>
          <t>Bunga</t>
        </is>
      </c>
    </row>
    <row r="20667" spans="1:1">
      <c r="A20667" t="inlineStr">
        <is>
          <t>Cabuyew</t>
        </is>
      </c>
    </row>
    <row r="20668" spans="1:1">
      <c r="A20668" t="inlineStr">
        <is>
          <t>Calumpang</t>
        </is>
      </c>
    </row>
    <row r="20669" spans="1:1">
      <c r="A20669" t="inlineStr">
        <is>
          <t>Kanluran Kabubuhayan</t>
        </is>
      </c>
    </row>
    <row r="20670" spans="1:1">
      <c r="A20670" t="inlineStr">
        <is>
          <t>Kanluran Lazaan</t>
        </is>
      </c>
    </row>
    <row r="20671" spans="1:1">
      <c r="A20671" t="inlineStr">
        <is>
          <t>Labangan</t>
        </is>
      </c>
    </row>
    <row r="20672" spans="1:1">
      <c r="A20672" t="inlineStr">
        <is>
          <t>Lagulo</t>
        </is>
      </c>
    </row>
    <row r="20673" spans="1:1">
      <c r="A20673" t="inlineStr">
        <is>
          <t>Lawaguin</t>
        </is>
      </c>
    </row>
    <row r="20674" spans="1:1">
      <c r="A20674" t="inlineStr">
        <is>
          <t>Maiit</t>
        </is>
      </c>
    </row>
    <row r="20675" spans="1:1">
      <c r="A20675" t="inlineStr">
        <is>
          <t>Malaya</t>
        </is>
      </c>
    </row>
    <row r="20676" spans="1:1">
      <c r="A20676" t="inlineStr">
        <is>
          <t>Malinao</t>
        </is>
      </c>
    </row>
    <row r="20677" spans="1:1">
      <c r="A20677" t="inlineStr">
        <is>
          <t>Manaol</t>
        </is>
      </c>
    </row>
    <row r="20678" spans="1:1">
      <c r="A20678" t="inlineStr">
        <is>
          <t>Maravilla</t>
        </is>
      </c>
    </row>
    <row r="20679" spans="1:1">
      <c r="A20679" t="inlineStr">
        <is>
          <t>Nagcalbang</t>
        </is>
      </c>
    </row>
    <row r="20680" spans="1:1">
      <c r="A20680" t="inlineStr">
        <is>
          <t>Oples</t>
        </is>
      </c>
    </row>
    <row r="20681" spans="1:1">
      <c r="A20681" t="inlineStr">
        <is>
          <t>Palayan</t>
        </is>
      </c>
    </row>
    <row r="20682" spans="1:1">
      <c r="A20682" t="inlineStr">
        <is>
          <t>Palina</t>
        </is>
      </c>
    </row>
    <row r="20683" spans="1:1">
      <c r="A20683" t="inlineStr">
        <is>
          <t>Poblacion I</t>
        </is>
      </c>
    </row>
    <row r="20684" spans="1:1">
      <c r="A20684" t="inlineStr">
        <is>
          <t>Poblacion II</t>
        </is>
      </c>
    </row>
    <row r="20685" spans="1:1">
      <c r="A20685" t="inlineStr">
        <is>
          <t>Poblacion III</t>
        </is>
      </c>
    </row>
    <row r="20686" spans="1:1">
      <c r="A20686" t="inlineStr">
        <is>
          <t>Sabang</t>
        </is>
      </c>
    </row>
    <row r="20687" spans="1:1">
      <c r="A20687" t="inlineStr">
        <is>
          <t>San Francisco</t>
        </is>
      </c>
    </row>
    <row r="20688" spans="1:1">
      <c r="A20688" t="inlineStr">
        <is>
          <t>Santa Lucia</t>
        </is>
      </c>
    </row>
    <row r="20689" spans="1:1">
      <c r="A20689" t="inlineStr">
        <is>
          <t>Sibulan</t>
        </is>
      </c>
    </row>
    <row r="20690" spans="1:1">
      <c r="A20690" t="inlineStr">
        <is>
          <t>Silangan Ilaya</t>
        </is>
      </c>
    </row>
    <row r="20691" spans="1:1">
      <c r="A20691" t="inlineStr">
        <is>
          <t>Silangan Kabubuhayan</t>
        </is>
      </c>
    </row>
    <row r="20692" spans="1:1">
      <c r="A20692" t="inlineStr">
        <is>
          <t>Silangan Lazaan</t>
        </is>
      </c>
    </row>
    <row r="20693" spans="1:1">
      <c r="A20693" t="inlineStr">
        <is>
          <t>Silangan Napapatid</t>
        </is>
      </c>
    </row>
    <row r="20694" spans="1:1">
      <c r="A20694" t="inlineStr">
        <is>
          <t>Sinipian</t>
        </is>
      </c>
    </row>
    <row r="20695" spans="1:1">
      <c r="A20695" t="inlineStr">
        <is>
          <t>Sulsuguin</t>
        </is>
      </c>
    </row>
    <row r="20696" spans="1:1">
      <c r="A20696" t="inlineStr">
        <is>
          <t>Talahib</t>
        </is>
      </c>
    </row>
    <row r="20697" spans="1:1">
      <c r="A20697" t="inlineStr">
        <is>
          <t>Talangan</t>
        </is>
      </c>
    </row>
    <row r="20698" spans="1:1">
      <c r="A20698" t="inlineStr">
        <is>
          <t>Taytay</t>
        </is>
      </c>
    </row>
    <row r="20699" spans="1:1">
      <c r="A20699" t="inlineStr">
        <is>
          <t>Tipacan</t>
        </is>
      </c>
    </row>
    <row r="20700" spans="1:1">
      <c r="A20700" t="inlineStr">
        <is>
          <t>Wakat</t>
        </is>
      </c>
    </row>
    <row r="20701" spans="1:1">
      <c r="A20701" t="inlineStr">
        <is>
          <t>Yukos</t>
        </is>
      </c>
    </row>
    <row r="20702" spans="1:1">
      <c r="A20702" t="inlineStr">
        <is>
          <t>Bagumbayan</t>
        </is>
      </c>
    </row>
    <row r="20703" spans="1:1">
      <c r="A20703" t="inlineStr">
        <is>
          <t>Bangkusay</t>
        </is>
      </c>
    </row>
    <row r="20704" spans="1:1">
      <c r="A20704" t="inlineStr">
        <is>
          <t>Ermita</t>
        </is>
      </c>
    </row>
    <row r="20705" spans="1:1">
      <c r="A20705" t="inlineStr">
        <is>
          <t>Ibaba del Norte</t>
        </is>
      </c>
    </row>
    <row r="20706" spans="1:1">
      <c r="A20706" t="inlineStr">
        <is>
          <t>Ibaba del Sur</t>
        </is>
      </c>
    </row>
    <row r="20707" spans="1:1">
      <c r="A20707" t="inlineStr">
        <is>
          <t>Ilaya del Norte</t>
        </is>
      </c>
    </row>
    <row r="20708" spans="1:1">
      <c r="A20708" t="inlineStr">
        <is>
          <t>Ilaya del Sur</t>
        </is>
      </c>
    </row>
    <row r="20709" spans="1:1">
      <c r="A20709" t="inlineStr">
        <is>
          <t>Maytoong</t>
        </is>
      </c>
    </row>
    <row r="20710" spans="1:1">
      <c r="A20710" t="inlineStr">
        <is>
          <t>Quinale</t>
        </is>
      </c>
    </row>
    <row r="20711" spans="1:1">
      <c r="A20711" t="inlineStr">
        <is>
          <t>Anibong</t>
        </is>
      </c>
    </row>
    <row r="20712" spans="1:1">
      <c r="A20712" t="inlineStr">
        <is>
          <t>Barangay I</t>
        </is>
      </c>
    </row>
    <row r="20713" spans="1:1">
      <c r="A20713" t="inlineStr">
        <is>
          <t>Barangay II</t>
        </is>
      </c>
    </row>
    <row r="20714" spans="1:1">
      <c r="A20714" t="inlineStr">
        <is>
          <t>Biñan</t>
        </is>
      </c>
    </row>
    <row r="20715" spans="1:1">
      <c r="A20715" t="inlineStr">
        <is>
          <t>Buboy</t>
        </is>
      </c>
    </row>
    <row r="20716" spans="1:1">
      <c r="A20716" t="inlineStr">
        <is>
          <t>Cabanbanan</t>
        </is>
      </c>
    </row>
    <row r="20717" spans="1:1">
      <c r="A20717" t="inlineStr">
        <is>
          <t>Calusiche</t>
        </is>
      </c>
    </row>
    <row r="20718" spans="1:1">
      <c r="A20718" t="inlineStr">
        <is>
          <t>Dingin</t>
        </is>
      </c>
    </row>
    <row r="20719" spans="1:1">
      <c r="A20719" t="inlineStr">
        <is>
          <t>Lambac</t>
        </is>
      </c>
    </row>
    <row r="20720" spans="1:1">
      <c r="A20720" t="inlineStr">
        <is>
          <t>Layugan</t>
        </is>
      </c>
    </row>
    <row r="20721" spans="1:1">
      <c r="A20721" t="inlineStr">
        <is>
          <t>Magdapio</t>
        </is>
      </c>
    </row>
    <row r="20722" spans="1:1">
      <c r="A20722" t="inlineStr">
        <is>
          <t>Maulawin</t>
        </is>
      </c>
    </row>
    <row r="20723" spans="1:1">
      <c r="A20723" t="inlineStr">
        <is>
          <t>Pinagsanjan</t>
        </is>
      </c>
    </row>
    <row r="20724" spans="1:1">
      <c r="A20724" t="inlineStr">
        <is>
          <t>Sabang</t>
        </is>
      </c>
    </row>
    <row r="20725" spans="1:1">
      <c r="A20725" t="inlineStr">
        <is>
          <t>Sampaloc</t>
        </is>
      </c>
    </row>
    <row r="20726" spans="1:1">
      <c r="A20726" t="inlineStr">
        <is>
          <t>San Isidro</t>
        </is>
      </c>
    </row>
    <row r="20727" spans="1:1">
      <c r="A20727" t="inlineStr">
        <is>
          <t>Banilan</t>
        </is>
      </c>
    </row>
    <row r="20728" spans="1:1">
      <c r="A20728" t="inlineStr">
        <is>
          <t>Baño</t>
        </is>
      </c>
    </row>
    <row r="20729" spans="1:1">
      <c r="A20729" t="inlineStr">
        <is>
          <t>Burgos</t>
        </is>
      </c>
    </row>
    <row r="20730" spans="1:1">
      <c r="A20730" t="inlineStr">
        <is>
          <t>Casa Real</t>
        </is>
      </c>
    </row>
    <row r="20731" spans="1:1">
      <c r="A20731" t="inlineStr">
        <is>
          <t>Casinsin</t>
        </is>
      </c>
    </row>
    <row r="20732" spans="1:1">
      <c r="A20732" t="inlineStr">
        <is>
          <t>Dorado</t>
        </is>
      </c>
    </row>
    <row r="20733" spans="1:1">
      <c r="A20733" t="inlineStr">
        <is>
          <t>Gonzales</t>
        </is>
      </c>
    </row>
    <row r="20734" spans="1:1">
      <c r="A20734" t="inlineStr">
        <is>
          <t>Kabulusan</t>
        </is>
      </c>
    </row>
    <row r="20735" spans="1:1">
      <c r="A20735" t="inlineStr">
        <is>
          <t>Matikiw</t>
        </is>
      </c>
    </row>
    <row r="20736" spans="1:1">
      <c r="A20736" t="inlineStr">
        <is>
          <t>Rizal</t>
        </is>
      </c>
    </row>
    <row r="20737" spans="1:1">
      <c r="A20737" t="inlineStr">
        <is>
          <t>Saray</t>
        </is>
      </c>
    </row>
    <row r="20738" spans="1:1">
      <c r="A20738" t="inlineStr">
        <is>
          <t>Taft</t>
        </is>
      </c>
    </row>
    <row r="20739" spans="1:1">
      <c r="A20739" t="inlineStr">
        <is>
          <t>Tavera</t>
        </is>
      </c>
    </row>
    <row r="20740" spans="1:1">
      <c r="A20740" t="inlineStr">
        <is>
          <t>Balian</t>
        </is>
      </c>
    </row>
    <row r="20741" spans="1:1">
      <c r="A20741" t="inlineStr">
        <is>
          <t>Dambo</t>
        </is>
      </c>
    </row>
    <row r="20742" spans="1:1">
      <c r="A20742" t="inlineStr">
        <is>
          <t>Galalan</t>
        </is>
      </c>
    </row>
    <row r="20743" spans="1:1">
      <c r="A20743" t="inlineStr">
        <is>
          <t>Isla</t>
        </is>
      </c>
    </row>
    <row r="20744" spans="1:1">
      <c r="A20744" t="inlineStr">
        <is>
          <t>Mabato-Azufre</t>
        </is>
      </c>
    </row>
    <row r="20745" spans="1:1">
      <c r="A20745" t="inlineStr">
        <is>
          <t>Natividad</t>
        </is>
      </c>
    </row>
    <row r="20746" spans="1:1">
      <c r="A20746" t="inlineStr">
        <is>
          <t>San Jose</t>
        </is>
      </c>
    </row>
    <row r="20747" spans="1:1">
      <c r="A20747" t="inlineStr">
        <is>
          <t>Sulib</t>
        </is>
      </c>
    </row>
    <row r="20748" spans="1:1">
      <c r="A20748" t="inlineStr">
        <is>
          <t>Aplaya</t>
        </is>
      </c>
    </row>
    <row r="20749" spans="1:1">
      <c r="A20749" t="inlineStr">
        <is>
          <t>Bagong Pook</t>
        </is>
      </c>
    </row>
    <row r="20750" spans="1:1">
      <c r="A20750" t="inlineStr">
        <is>
          <t>Bukal</t>
        </is>
      </c>
    </row>
    <row r="20751" spans="1:1">
      <c r="A20751" t="inlineStr">
        <is>
          <t>Bulilan Norte</t>
        </is>
      </c>
    </row>
    <row r="20752" spans="1:1">
      <c r="A20752" t="inlineStr">
        <is>
          <t>Bulilan Sur</t>
        </is>
      </c>
    </row>
    <row r="20753" spans="1:1">
      <c r="A20753" t="inlineStr">
        <is>
          <t>Concepcion</t>
        </is>
      </c>
    </row>
    <row r="20754" spans="1:1">
      <c r="A20754" t="inlineStr">
        <is>
          <t>Labuin</t>
        </is>
      </c>
    </row>
    <row r="20755" spans="1:1">
      <c r="A20755" t="inlineStr">
        <is>
          <t>Linga</t>
        </is>
      </c>
    </row>
    <row r="20756" spans="1:1">
      <c r="A20756" t="inlineStr">
        <is>
          <t>Masico</t>
        </is>
      </c>
    </row>
    <row r="20757" spans="1:1">
      <c r="A20757" t="inlineStr">
        <is>
          <t>Mojon</t>
        </is>
      </c>
    </row>
    <row r="20758" spans="1:1">
      <c r="A20758" t="inlineStr">
        <is>
          <t>Pansol</t>
        </is>
      </c>
    </row>
    <row r="20759" spans="1:1">
      <c r="A20759" t="inlineStr">
        <is>
          <t>Pinagbayanan</t>
        </is>
      </c>
    </row>
    <row r="20760" spans="1:1">
      <c r="A20760" t="inlineStr">
        <is>
          <t>San Antonio</t>
        </is>
      </c>
    </row>
    <row r="20761" spans="1:1">
      <c r="A20761" t="inlineStr">
        <is>
          <t>San Miguel</t>
        </is>
      </c>
    </row>
    <row r="20762" spans="1:1">
      <c r="A20762" t="inlineStr">
        <is>
          <t>Santa Clara Norte</t>
        </is>
      </c>
    </row>
    <row r="20763" spans="1:1">
      <c r="A20763" t="inlineStr">
        <is>
          <t>Santa Clara Sur</t>
        </is>
      </c>
    </row>
    <row r="20764" spans="1:1">
      <c r="A20764" t="inlineStr">
        <is>
          <t>Tubuan</t>
        </is>
      </c>
    </row>
    <row r="20765" spans="1:1">
      <c r="A20765" t="inlineStr">
        <is>
          <t>Antipolo</t>
        </is>
      </c>
    </row>
    <row r="20766" spans="1:1">
      <c r="A20766" t="inlineStr">
        <is>
          <t>East Poblacion</t>
        </is>
      </c>
    </row>
    <row r="20767" spans="1:1">
      <c r="A20767" t="inlineStr">
        <is>
          <t>Entablado</t>
        </is>
      </c>
    </row>
    <row r="20768" spans="1:1">
      <c r="A20768" t="inlineStr">
        <is>
          <t>Laguan</t>
        </is>
      </c>
    </row>
    <row r="20769" spans="1:1">
      <c r="A20769" t="inlineStr">
        <is>
          <t>Paule 1</t>
        </is>
      </c>
    </row>
    <row r="20770" spans="1:1">
      <c r="A20770" t="inlineStr">
        <is>
          <t>Paule 2</t>
        </is>
      </c>
    </row>
    <row r="20771" spans="1:1">
      <c r="A20771" t="inlineStr">
        <is>
          <t>Pook</t>
        </is>
      </c>
    </row>
    <row r="20772" spans="1:1">
      <c r="A20772" t="inlineStr">
        <is>
          <t>Tala</t>
        </is>
      </c>
    </row>
    <row r="20773" spans="1:1">
      <c r="A20773" t="inlineStr">
        <is>
          <t>Talaga</t>
        </is>
      </c>
    </row>
    <row r="20774" spans="1:1">
      <c r="A20774" t="inlineStr">
        <is>
          <t>Tuy</t>
        </is>
      </c>
    </row>
    <row r="20775" spans="1:1">
      <c r="A20775" t="inlineStr">
        <is>
          <t>West Poblacion</t>
        </is>
      </c>
    </row>
    <row r="20776" spans="1:1">
      <c r="A20776" t="inlineStr">
        <is>
          <t>Alipit</t>
        </is>
      </c>
    </row>
    <row r="20777" spans="1:1">
      <c r="A20777" t="inlineStr">
        <is>
          <t>Bagumbayan</t>
        </is>
      </c>
    </row>
    <row r="20778" spans="1:1">
      <c r="A20778" t="inlineStr">
        <is>
          <t>Barangay I</t>
        </is>
      </c>
    </row>
    <row r="20779" spans="1:1">
      <c r="A20779" t="inlineStr">
        <is>
          <t>Barangay II</t>
        </is>
      </c>
    </row>
    <row r="20780" spans="1:1">
      <c r="A20780" t="inlineStr">
        <is>
          <t>Barangay III</t>
        </is>
      </c>
    </row>
    <row r="20781" spans="1:1">
      <c r="A20781" t="inlineStr">
        <is>
          <t>Barangay IV</t>
        </is>
      </c>
    </row>
    <row r="20782" spans="1:1">
      <c r="A20782" t="inlineStr">
        <is>
          <t>Barangay V</t>
        </is>
      </c>
    </row>
    <row r="20783" spans="1:1">
      <c r="A20783" t="inlineStr">
        <is>
          <t>Bubukal</t>
        </is>
      </c>
    </row>
    <row r="20784" spans="1:1">
      <c r="A20784" t="inlineStr">
        <is>
          <t>Calios</t>
        </is>
      </c>
    </row>
    <row r="20785" spans="1:1">
      <c r="A20785" t="inlineStr">
        <is>
          <t>Duhat</t>
        </is>
      </c>
    </row>
    <row r="20786" spans="1:1">
      <c r="A20786" t="inlineStr">
        <is>
          <t>Gatid</t>
        </is>
      </c>
    </row>
    <row r="20787" spans="1:1">
      <c r="A20787" t="inlineStr">
        <is>
          <t>Jasaan</t>
        </is>
      </c>
    </row>
    <row r="20788" spans="1:1">
      <c r="A20788" t="inlineStr">
        <is>
          <t>Labuin</t>
        </is>
      </c>
    </row>
    <row r="20789" spans="1:1">
      <c r="A20789" t="inlineStr">
        <is>
          <t>Malinao</t>
        </is>
      </c>
    </row>
    <row r="20790" spans="1:1">
      <c r="A20790" t="inlineStr">
        <is>
          <t>Oogong</t>
        </is>
      </c>
    </row>
    <row r="20791" spans="1:1">
      <c r="A20791" t="inlineStr">
        <is>
          <t>Pagsawitan</t>
        </is>
      </c>
    </row>
    <row r="20792" spans="1:1">
      <c r="A20792" t="inlineStr">
        <is>
          <t>Palasan</t>
        </is>
      </c>
    </row>
    <row r="20793" spans="1:1">
      <c r="A20793" t="inlineStr">
        <is>
          <t>Patimbao</t>
        </is>
      </c>
    </row>
    <row r="20794" spans="1:1">
      <c r="A20794" t="inlineStr">
        <is>
          <t>San Jose</t>
        </is>
      </c>
    </row>
    <row r="20795" spans="1:1">
      <c r="A20795" t="inlineStr">
        <is>
          <t>San Juan</t>
        </is>
      </c>
    </row>
    <row r="20796" spans="1:1">
      <c r="A20796" t="inlineStr">
        <is>
          <t>San Pablo Norte</t>
        </is>
      </c>
    </row>
    <row r="20797" spans="1:1">
      <c r="A20797" t="inlineStr">
        <is>
          <t>San Pablo Sur</t>
        </is>
      </c>
    </row>
    <row r="20798" spans="1:1">
      <c r="A20798" t="inlineStr">
        <is>
          <t>Santisima Cruz</t>
        </is>
      </c>
    </row>
    <row r="20799" spans="1:1">
      <c r="A20799" t="inlineStr">
        <is>
          <t>Santo Angel Central</t>
        </is>
      </c>
    </row>
    <row r="20800" spans="1:1">
      <c r="A20800" t="inlineStr">
        <is>
          <t>Santo Angel Norte</t>
        </is>
      </c>
    </row>
    <row r="20801" spans="1:1">
      <c r="A20801" t="inlineStr">
        <is>
          <t>Santo Angel Sur</t>
        </is>
      </c>
    </row>
    <row r="20802" spans="1:1">
      <c r="A20802" t="inlineStr">
        <is>
          <t>Adia</t>
        </is>
      </c>
    </row>
    <row r="20803" spans="1:1">
      <c r="A20803" t="inlineStr">
        <is>
          <t>Bagong Pook</t>
        </is>
      </c>
    </row>
    <row r="20804" spans="1:1">
      <c r="A20804" t="inlineStr">
        <is>
          <t>Bagumbayan</t>
        </is>
      </c>
    </row>
    <row r="20805" spans="1:1">
      <c r="A20805" t="inlineStr">
        <is>
          <t>Barangay I</t>
        </is>
      </c>
    </row>
    <row r="20806" spans="1:1">
      <c r="A20806" t="inlineStr">
        <is>
          <t>Barangay II</t>
        </is>
      </c>
    </row>
    <row r="20807" spans="1:1">
      <c r="A20807" t="inlineStr">
        <is>
          <t>Barangay III</t>
        </is>
      </c>
    </row>
    <row r="20808" spans="1:1">
      <c r="A20808" t="inlineStr">
        <is>
          <t>Barangay IV</t>
        </is>
      </c>
    </row>
    <row r="20809" spans="1:1">
      <c r="A20809" t="inlineStr">
        <is>
          <t>Bubukal</t>
        </is>
      </c>
    </row>
    <row r="20810" spans="1:1">
      <c r="A20810" t="inlineStr">
        <is>
          <t>Cabooan</t>
        </is>
      </c>
    </row>
    <row r="20811" spans="1:1">
      <c r="A20811" t="inlineStr">
        <is>
          <t>Calangay</t>
        </is>
      </c>
    </row>
    <row r="20812" spans="1:1">
      <c r="A20812" t="inlineStr">
        <is>
          <t>Cambuja</t>
        </is>
      </c>
    </row>
    <row r="20813" spans="1:1">
      <c r="A20813" t="inlineStr">
        <is>
          <t>Coralan</t>
        </is>
      </c>
    </row>
    <row r="20814" spans="1:1">
      <c r="A20814" t="inlineStr">
        <is>
          <t>Cueva</t>
        </is>
      </c>
    </row>
    <row r="20815" spans="1:1">
      <c r="A20815" t="inlineStr">
        <is>
          <t>Inayapan</t>
        </is>
      </c>
    </row>
    <row r="20816" spans="1:1">
      <c r="A20816" t="inlineStr">
        <is>
          <t>Jose Laurel, Sr.</t>
        </is>
      </c>
    </row>
    <row r="20817" spans="1:1">
      <c r="A20817" t="inlineStr">
        <is>
          <t>Jose Rizal</t>
        </is>
      </c>
    </row>
    <row r="20818" spans="1:1">
      <c r="A20818" t="inlineStr">
        <is>
          <t>Kayhakat</t>
        </is>
      </c>
    </row>
    <row r="20819" spans="1:1">
      <c r="A20819" t="inlineStr">
        <is>
          <t>Macasipac</t>
        </is>
      </c>
    </row>
    <row r="20820" spans="1:1">
      <c r="A20820" t="inlineStr">
        <is>
          <t>Masinao</t>
        </is>
      </c>
    </row>
    <row r="20821" spans="1:1">
      <c r="A20821" t="inlineStr">
        <is>
          <t>Mataling-Ting</t>
        </is>
      </c>
    </row>
    <row r="20822" spans="1:1">
      <c r="A20822" t="inlineStr">
        <is>
          <t>Pao-o</t>
        </is>
      </c>
    </row>
    <row r="20823" spans="1:1">
      <c r="A20823" t="inlineStr">
        <is>
          <t>Parang Ng Buho</t>
        </is>
      </c>
    </row>
    <row r="20824" spans="1:1">
      <c r="A20824" t="inlineStr">
        <is>
          <t>Santiago</t>
        </is>
      </c>
    </row>
    <row r="20825" spans="1:1">
      <c r="A20825" t="inlineStr">
        <is>
          <t>Talangka</t>
        </is>
      </c>
    </row>
    <row r="20826" spans="1:1">
      <c r="A20826" t="inlineStr">
        <is>
          <t>Tungkod</t>
        </is>
      </c>
    </row>
    <row r="20827" spans="1:1">
      <c r="A20827" t="inlineStr">
        <is>
          <t>Acevida</t>
        </is>
      </c>
    </row>
    <row r="20828" spans="1:1">
      <c r="A20828" t="inlineStr">
        <is>
          <t>Bagong Pag-Asa</t>
        </is>
      </c>
    </row>
    <row r="20829" spans="1:1">
      <c r="A20829" t="inlineStr">
        <is>
          <t>Bagumbarangay</t>
        </is>
      </c>
    </row>
    <row r="20830" spans="1:1">
      <c r="A20830" t="inlineStr">
        <is>
          <t>Buhay</t>
        </is>
      </c>
    </row>
    <row r="20831" spans="1:1">
      <c r="A20831" t="inlineStr">
        <is>
          <t>G. Redor</t>
        </is>
      </c>
    </row>
    <row r="20832" spans="1:1">
      <c r="A20832" t="inlineStr">
        <is>
          <t>Gen. Luna</t>
        </is>
      </c>
    </row>
    <row r="20833" spans="1:1">
      <c r="A20833" t="inlineStr">
        <is>
          <t>Halayhayin</t>
        </is>
      </c>
    </row>
    <row r="20834" spans="1:1">
      <c r="A20834" t="inlineStr">
        <is>
          <t>J. Rizal</t>
        </is>
      </c>
    </row>
    <row r="20835" spans="1:1">
      <c r="A20835" t="inlineStr">
        <is>
          <t>Kapatalan</t>
        </is>
      </c>
    </row>
    <row r="20836" spans="1:1">
      <c r="A20836" t="inlineStr">
        <is>
          <t>Laguio</t>
        </is>
      </c>
    </row>
    <row r="20837" spans="1:1">
      <c r="A20837" t="inlineStr">
        <is>
          <t>Liyang</t>
        </is>
      </c>
    </row>
    <row r="20838" spans="1:1">
      <c r="A20838" t="inlineStr">
        <is>
          <t>Llavac</t>
        </is>
      </c>
    </row>
    <row r="20839" spans="1:1">
      <c r="A20839" t="inlineStr">
        <is>
          <t>Macatad</t>
        </is>
      </c>
    </row>
    <row r="20840" spans="1:1">
      <c r="A20840" t="inlineStr">
        <is>
          <t>Magsaysay</t>
        </is>
      </c>
    </row>
    <row r="20841" spans="1:1">
      <c r="A20841" t="inlineStr">
        <is>
          <t>Mayatba</t>
        </is>
      </c>
    </row>
    <row r="20842" spans="1:1">
      <c r="A20842" t="inlineStr">
        <is>
          <t>Mendiola</t>
        </is>
      </c>
    </row>
    <row r="20843" spans="1:1">
      <c r="A20843" t="inlineStr">
        <is>
          <t>P. Burgos</t>
        </is>
      </c>
    </row>
    <row r="20844" spans="1:1">
      <c r="A20844" t="inlineStr">
        <is>
          <t>Pandeno</t>
        </is>
      </c>
    </row>
    <row r="20845" spans="1:1">
      <c r="A20845" t="inlineStr">
        <is>
          <t>Salubungan</t>
        </is>
      </c>
    </row>
    <row r="20846" spans="1:1">
      <c r="A20846" t="inlineStr">
        <is>
          <t>Wawa</t>
        </is>
      </c>
    </row>
    <row r="20847" spans="1:1">
      <c r="A20847" t="inlineStr">
        <is>
          <t>Banca-banca</t>
        </is>
      </c>
    </row>
    <row r="20848" spans="1:1">
      <c r="A20848" t="inlineStr">
        <is>
          <t>Daniw</t>
        </is>
      </c>
    </row>
    <row r="20849" spans="1:1">
      <c r="A20849" t="inlineStr">
        <is>
          <t>Masapang</t>
        </is>
      </c>
    </row>
    <row r="20850" spans="1:1">
      <c r="A20850" t="inlineStr">
        <is>
          <t>Nanhaya</t>
        </is>
      </c>
    </row>
    <row r="20851" spans="1:1">
      <c r="A20851" t="inlineStr">
        <is>
          <t>Pagalangan</t>
        </is>
      </c>
    </row>
    <row r="20852" spans="1:1">
      <c r="A20852" t="inlineStr">
        <is>
          <t>San Benito</t>
        </is>
      </c>
    </row>
    <row r="20853" spans="1:1">
      <c r="A20853" t="inlineStr">
        <is>
          <t>San Felix</t>
        </is>
      </c>
    </row>
    <row r="20854" spans="1:1">
      <c r="A20854" t="inlineStr">
        <is>
          <t>San Francisco</t>
        </is>
      </c>
    </row>
    <row r="20855" spans="1:1">
      <c r="A20855" t="inlineStr">
        <is>
          <t>San Roque</t>
        </is>
      </c>
    </row>
    <row r="20856" spans="1:1">
      <c r="A20856" t="inlineStr">
        <is>
          <t>Alegria</t>
        </is>
      </c>
    </row>
    <row r="20857" spans="1:1">
      <c r="A20857" t="inlineStr">
        <is>
          <t>Babalaya</t>
        </is>
      </c>
    </row>
    <row r="20858" spans="1:1">
      <c r="A20858" t="inlineStr">
        <is>
          <t>Babalayan Townsite</t>
        </is>
      </c>
    </row>
    <row r="20859" spans="1:1">
      <c r="A20859" t="inlineStr">
        <is>
          <t>Binuni</t>
        </is>
      </c>
    </row>
    <row r="20860" spans="1:1">
      <c r="A20860" t="inlineStr">
        <is>
          <t>Delabayan West</t>
        </is>
      </c>
    </row>
    <row r="20861" spans="1:1">
      <c r="A20861" t="inlineStr">
        <is>
          <t>Demologan</t>
        </is>
      </c>
    </row>
    <row r="20862" spans="1:1">
      <c r="A20862" t="inlineStr">
        <is>
          <t>Dimarao</t>
        </is>
      </c>
    </row>
    <row r="20863" spans="1:1">
      <c r="A20863" t="inlineStr">
        <is>
          <t>Esperanza</t>
        </is>
      </c>
    </row>
    <row r="20864" spans="1:1">
      <c r="A20864" t="inlineStr">
        <is>
          <t>Kahayag</t>
        </is>
      </c>
    </row>
    <row r="20865" spans="1:1">
      <c r="A20865" t="inlineStr">
        <is>
          <t>Liangan East</t>
        </is>
      </c>
    </row>
    <row r="20866" spans="1:1">
      <c r="A20866" t="inlineStr">
        <is>
          <t>Mati</t>
        </is>
      </c>
    </row>
    <row r="20867" spans="1:1">
      <c r="A20867" t="inlineStr">
        <is>
          <t>Minaulon</t>
        </is>
      </c>
    </row>
    <row r="20868" spans="1:1">
      <c r="A20868" t="inlineStr">
        <is>
          <t>Pagayawan</t>
        </is>
      </c>
    </row>
    <row r="20869" spans="1:1">
      <c r="A20869" t="inlineStr">
        <is>
          <t>Poblacion Bacolod</t>
        </is>
      </c>
    </row>
    <row r="20870" spans="1:1">
      <c r="A20870" t="inlineStr">
        <is>
          <t>Punod</t>
        </is>
      </c>
    </row>
    <row r="20871" spans="1:1">
      <c r="A20871" t="inlineStr">
        <is>
          <t>Rupagan</t>
        </is>
      </c>
    </row>
    <row r="20872" spans="1:1">
      <c r="A20872" t="inlineStr">
        <is>
          <t>Abaga</t>
        </is>
      </c>
    </row>
    <row r="20873" spans="1:1">
      <c r="A20873" t="inlineStr">
        <is>
          <t>Adapun-Ali</t>
        </is>
      </c>
    </row>
    <row r="20874" spans="1:1">
      <c r="A20874" t="inlineStr">
        <is>
          <t>Angandog</t>
        </is>
      </c>
    </row>
    <row r="20875" spans="1:1">
      <c r="A20875" t="inlineStr">
        <is>
          <t>Angayen</t>
        </is>
      </c>
    </row>
    <row r="20876" spans="1:1">
      <c r="A20876" t="inlineStr">
        <is>
          <t>Bangko</t>
        </is>
      </c>
    </row>
    <row r="20877" spans="1:1">
      <c r="A20877" t="inlineStr">
        <is>
          <t>Batolacongan</t>
        </is>
      </c>
    </row>
    <row r="20878" spans="1:1">
      <c r="A20878" t="inlineStr">
        <is>
          <t>Buenavista</t>
        </is>
      </c>
    </row>
    <row r="20879" spans="1:1">
      <c r="A20879" t="inlineStr">
        <is>
          <t>Cadayonan</t>
        </is>
      </c>
    </row>
    <row r="20880" spans="1:1">
      <c r="A20880" t="inlineStr">
        <is>
          <t>Landa</t>
        </is>
      </c>
    </row>
    <row r="20881" spans="1:1">
      <c r="A20881" t="inlineStr">
        <is>
          <t>Lumbac</t>
        </is>
      </c>
    </row>
    <row r="20882" spans="1:1">
      <c r="A20882" t="inlineStr">
        <is>
          <t>Mamaanun</t>
        </is>
      </c>
    </row>
    <row r="20883" spans="1:1">
      <c r="A20883" t="inlineStr">
        <is>
          <t>Maria-Cristina</t>
        </is>
      </c>
    </row>
    <row r="20884" spans="1:1">
      <c r="A20884" t="inlineStr">
        <is>
          <t>Matampay</t>
        </is>
      </c>
    </row>
    <row r="20885" spans="1:1">
      <c r="A20885" t="inlineStr">
        <is>
          <t>Nangka</t>
        </is>
      </c>
    </row>
    <row r="20886" spans="1:1">
      <c r="A20886" t="inlineStr">
        <is>
          <t>Pacalundo</t>
        </is>
      </c>
    </row>
    <row r="20887" spans="1:1">
      <c r="A20887" t="inlineStr">
        <is>
          <t>Poblacion East</t>
        </is>
      </c>
    </row>
    <row r="20888" spans="1:1">
      <c r="A20888" t="inlineStr">
        <is>
          <t>Poblacion West</t>
        </is>
      </c>
    </row>
    <row r="20889" spans="1:1">
      <c r="A20889" t="inlineStr">
        <is>
          <t>Sandor</t>
        </is>
      </c>
    </row>
    <row r="20890" spans="1:1">
      <c r="A20890" t="inlineStr">
        <is>
          <t>Sangcad</t>
        </is>
      </c>
    </row>
    <row r="20891" spans="1:1">
      <c r="A20891" t="inlineStr">
        <is>
          <t>Sarip-Alawi</t>
        </is>
      </c>
    </row>
    <row r="20892" spans="1:1">
      <c r="A20892" t="inlineStr">
        <is>
          <t>Sigayan</t>
        </is>
      </c>
    </row>
    <row r="20893" spans="1:1">
      <c r="A20893" t="inlineStr">
        <is>
          <t>Andil</t>
        </is>
      </c>
    </row>
    <row r="20894" spans="1:1">
      <c r="A20894" t="inlineStr">
        <is>
          <t>Bagong Dawis</t>
        </is>
      </c>
    </row>
    <row r="20895" spans="1:1">
      <c r="A20895" t="inlineStr">
        <is>
          <t>Baroy Daku</t>
        </is>
      </c>
    </row>
    <row r="20896" spans="1:1">
      <c r="A20896" t="inlineStr">
        <is>
          <t>Bato</t>
        </is>
      </c>
    </row>
    <row r="20897" spans="1:1">
      <c r="A20897" t="inlineStr">
        <is>
          <t>Cabasagan</t>
        </is>
      </c>
    </row>
    <row r="20898" spans="1:1">
      <c r="A20898" t="inlineStr">
        <is>
          <t>Dalama</t>
        </is>
      </c>
    </row>
    <row r="20899" spans="1:1">
      <c r="A20899" t="inlineStr">
        <is>
          <t>Libertad</t>
        </is>
      </c>
    </row>
    <row r="20900" spans="1:1">
      <c r="A20900" t="inlineStr">
        <is>
          <t>Limwag</t>
        </is>
      </c>
    </row>
    <row r="20901" spans="1:1">
      <c r="A20901" t="inlineStr">
        <is>
          <t>Lindongan</t>
        </is>
      </c>
    </row>
    <row r="20902" spans="1:1">
      <c r="A20902" t="inlineStr">
        <is>
          <t>Maliwanag</t>
        </is>
      </c>
    </row>
    <row r="20903" spans="1:1">
      <c r="A20903" t="inlineStr">
        <is>
          <t>Manan-ao</t>
        </is>
      </c>
    </row>
    <row r="20904" spans="1:1">
      <c r="A20904" t="inlineStr">
        <is>
          <t>Pange</t>
        </is>
      </c>
    </row>
    <row r="20905" spans="1:1">
      <c r="A20905" t="inlineStr">
        <is>
          <t>Pindolonan</t>
        </is>
      </c>
    </row>
    <row r="20906" spans="1:1">
      <c r="A20906" t="inlineStr">
        <is>
          <t>Poblacion</t>
        </is>
      </c>
    </row>
    <row r="20907" spans="1:1">
      <c r="A20907" t="inlineStr">
        <is>
          <t>Princesa</t>
        </is>
      </c>
    </row>
    <row r="20908" spans="1:1">
      <c r="A20908" t="inlineStr">
        <is>
          <t>Rawan Point</t>
        </is>
      </c>
    </row>
    <row r="20909" spans="1:1">
      <c r="A20909" t="inlineStr">
        <is>
          <t>Riverside</t>
        </is>
      </c>
    </row>
    <row r="20910" spans="1:1">
      <c r="A20910" t="inlineStr">
        <is>
          <t>Sagadan</t>
        </is>
      </c>
    </row>
    <row r="20911" spans="1:1">
      <c r="A20911" t="inlineStr">
        <is>
          <t>Sagadan Upper</t>
        </is>
      </c>
    </row>
    <row r="20912" spans="1:1">
      <c r="A20912" t="inlineStr">
        <is>
          <t>Salong</t>
        </is>
      </c>
    </row>
    <row r="20913" spans="1:1">
      <c r="A20913" t="inlineStr">
        <is>
          <t>San Juan</t>
        </is>
      </c>
    </row>
    <row r="20914" spans="1:1">
      <c r="A20914" t="inlineStr">
        <is>
          <t>Tinubdan</t>
        </is>
      </c>
    </row>
    <row r="20915" spans="1:1">
      <c r="A20915" t="inlineStr">
        <is>
          <t>Village</t>
        </is>
      </c>
    </row>
    <row r="20916" spans="1:1">
      <c r="A20916" t="inlineStr">
        <is>
          <t>Bagong Badian</t>
        </is>
      </c>
    </row>
    <row r="20917" spans="1:1">
      <c r="A20917" t="inlineStr">
        <is>
          <t>Bagong Silang</t>
        </is>
      </c>
    </row>
    <row r="20918" spans="1:1">
      <c r="A20918" t="inlineStr">
        <is>
          <t>Balili</t>
        </is>
      </c>
    </row>
    <row r="20919" spans="1:1">
      <c r="A20919" t="inlineStr">
        <is>
          <t>Bansarvil</t>
        </is>
      </c>
    </row>
    <row r="20920" spans="1:1">
      <c r="A20920" t="inlineStr">
        <is>
          <t>Belis</t>
        </is>
      </c>
    </row>
    <row r="20921" spans="1:1">
      <c r="A20921" t="inlineStr">
        <is>
          <t>Buenavista</t>
        </is>
      </c>
    </row>
    <row r="20922" spans="1:1">
      <c r="A20922" t="inlineStr">
        <is>
          <t>Butadon</t>
        </is>
      </c>
    </row>
    <row r="20923" spans="1:1">
      <c r="A20923" t="inlineStr">
        <is>
          <t>Cathedral Falls</t>
        </is>
      </c>
    </row>
    <row r="20924" spans="1:1">
      <c r="A20924" t="inlineStr">
        <is>
          <t>Concepcion</t>
        </is>
      </c>
    </row>
    <row r="20925" spans="1:1">
      <c r="A20925" t="inlineStr">
        <is>
          <t>Curvada</t>
        </is>
      </c>
    </row>
    <row r="20926" spans="1:1">
      <c r="A20926" t="inlineStr">
        <is>
          <t>De Asis</t>
        </is>
      </c>
    </row>
    <row r="20927" spans="1:1">
      <c r="A20927" t="inlineStr">
        <is>
          <t>Donggoan</t>
        </is>
      </c>
    </row>
    <row r="20928" spans="1:1">
      <c r="A20928" t="inlineStr">
        <is>
          <t>Durano</t>
        </is>
      </c>
    </row>
    <row r="20929" spans="1:1">
      <c r="A20929" t="inlineStr">
        <is>
          <t>Kahayagan</t>
        </is>
      </c>
    </row>
    <row r="20930" spans="1:1">
      <c r="A20930" t="inlineStr">
        <is>
          <t>Kidalos</t>
        </is>
      </c>
    </row>
    <row r="20931" spans="1:1">
      <c r="A20931" t="inlineStr">
        <is>
          <t>La Libertad</t>
        </is>
      </c>
    </row>
    <row r="20932" spans="1:1">
      <c r="A20932" t="inlineStr">
        <is>
          <t>Lapinig</t>
        </is>
      </c>
    </row>
    <row r="20933" spans="1:1">
      <c r="A20933" t="inlineStr">
        <is>
          <t>Mahayahay</t>
        </is>
      </c>
    </row>
    <row r="20934" spans="1:1">
      <c r="A20934" t="inlineStr">
        <is>
          <t>Malinas</t>
        </is>
      </c>
    </row>
    <row r="20935" spans="1:1">
      <c r="A20935" t="inlineStr">
        <is>
          <t>Maranding</t>
        </is>
      </c>
    </row>
    <row r="20936" spans="1:1">
      <c r="A20936" t="inlineStr">
        <is>
          <t>Margos</t>
        </is>
      </c>
    </row>
    <row r="20937" spans="1:1">
      <c r="A20937" t="inlineStr">
        <is>
          <t>Poblacion</t>
        </is>
      </c>
    </row>
    <row r="20938" spans="1:1">
      <c r="A20938" t="inlineStr">
        <is>
          <t>Pulang Yuta</t>
        </is>
      </c>
    </row>
    <row r="20939" spans="1:1">
      <c r="A20939" t="inlineStr">
        <is>
          <t>San Isidro</t>
        </is>
      </c>
    </row>
    <row r="20940" spans="1:1">
      <c r="A20940" t="inlineStr">
        <is>
          <t>San Vicente</t>
        </is>
      </c>
    </row>
    <row r="20941" spans="1:1">
      <c r="A20941" t="inlineStr">
        <is>
          <t>Santa Cruz</t>
        </is>
      </c>
    </row>
    <row r="20942" spans="1:1">
      <c r="A20942" t="inlineStr">
        <is>
          <t>Santo Tomas</t>
        </is>
      </c>
    </row>
    <row r="20943" spans="1:1">
      <c r="A20943" t="inlineStr">
        <is>
          <t>Suso</t>
        </is>
      </c>
    </row>
    <row r="20944" spans="1:1">
      <c r="A20944" t="inlineStr">
        <is>
          <t>Taguitic</t>
        </is>
      </c>
    </row>
    <row r="20945" spans="1:1">
      <c r="A20945" t="inlineStr">
        <is>
          <t>Tiacongan</t>
        </is>
      </c>
    </row>
    <row r="20946" spans="1:1">
      <c r="A20946" t="inlineStr">
        <is>
          <t>Tipolo</t>
        </is>
      </c>
    </row>
    <row r="20947" spans="1:1">
      <c r="A20947" t="inlineStr">
        <is>
          <t>Tulatulahan</t>
        </is>
      </c>
    </row>
    <row r="20948" spans="1:1">
      <c r="A20948" t="inlineStr">
        <is>
          <t>Waterfalls</t>
        </is>
      </c>
    </row>
    <row r="20949" spans="1:1">
      <c r="A20949" t="inlineStr">
        <is>
          <t>Bagumbayan</t>
        </is>
      </c>
    </row>
    <row r="20950" spans="1:1">
      <c r="A20950" t="inlineStr">
        <is>
          <t>Bara-ason</t>
        </is>
      </c>
    </row>
    <row r="20951" spans="1:1">
      <c r="A20951" t="inlineStr">
        <is>
          <t>Cayontor</t>
        </is>
      </c>
    </row>
    <row r="20952" spans="1:1">
      <c r="A20952" t="inlineStr">
        <is>
          <t>Delabayan</t>
        </is>
      </c>
    </row>
    <row r="20953" spans="1:1">
      <c r="A20953" t="inlineStr">
        <is>
          <t>Inudaran</t>
        </is>
      </c>
    </row>
    <row r="20954" spans="1:1">
      <c r="A20954" t="inlineStr">
        <is>
          <t>Kawit Occidental</t>
        </is>
      </c>
    </row>
    <row r="20955" spans="1:1">
      <c r="A20955" t="inlineStr">
        <is>
          <t>Kawit Oriental</t>
        </is>
      </c>
    </row>
    <row r="20956" spans="1:1">
      <c r="A20956" t="inlineStr">
        <is>
          <t>Libertad</t>
        </is>
      </c>
    </row>
    <row r="20957" spans="1:1">
      <c r="A20957" t="inlineStr">
        <is>
          <t>Paiton</t>
        </is>
      </c>
    </row>
    <row r="20958" spans="1:1">
      <c r="A20958" t="inlineStr">
        <is>
          <t>Poblacion</t>
        </is>
      </c>
    </row>
    <row r="20959" spans="1:1">
      <c r="A20959" t="inlineStr">
        <is>
          <t>Tacub</t>
        </is>
      </c>
    </row>
    <row r="20960" spans="1:1">
      <c r="A20960" t="inlineStr">
        <is>
          <t>Tingintingin</t>
        </is>
      </c>
    </row>
    <row r="20961" spans="1:1">
      <c r="A20961" t="inlineStr">
        <is>
          <t>Tugar</t>
        </is>
      </c>
    </row>
    <row r="20962" spans="1:1">
      <c r="A20962" t="inlineStr">
        <is>
          <t>Austin Heights</t>
        </is>
      </c>
    </row>
    <row r="20963" spans="1:1">
      <c r="A20963" t="inlineStr">
        <is>
          <t>Baybay</t>
        </is>
      </c>
    </row>
    <row r="20964" spans="1:1">
      <c r="A20964" t="inlineStr">
        <is>
          <t>Bubong</t>
        </is>
      </c>
    </row>
    <row r="20965" spans="1:1">
      <c r="A20965" t="inlineStr">
        <is>
          <t>Caromatan</t>
        </is>
      </c>
    </row>
    <row r="20966" spans="1:1">
      <c r="A20966" t="inlineStr">
        <is>
          <t>Inudaran</t>
        </is>
      </c>
    </row>
    <row r="20967" spans="1:1">
      <c r="A20967" t="inlineStr">
        <is>
          <t>Kulasihan</t>
        </is>
      </c>
    </row>
    <row r="20968" spans="1:1">
      <c r="A20968" t="inlineStr">
        <is>
          <t>Libertad</t>
        </is>
      </c>
    </row>
    <row r="20969" spans="1:1">
      <c r="A20969" t="inlineStr">
        <is>
          <t>Lumbac</t>
        </is>
      </c>
    </row>
    <row r="20970" spans="1:1">
      <c r="A20970" t="inlineStr">
        <is>
          <t>Manga</t>
        </is>
      </c>
    </row>
    <row r="20971" spans="1:1">
      <c r="A20971" t="inlineStr">
        <is>
          <t>Matampay</t>
        </is>
      </c>
    </row>
    <row r="20972" spans="1:1">
      <c r="A20972" t="inlineStr">
        <is>
          <t>Mukas</t>
        </is>
      </c>
    </row>
    <row r="20973" spans="1:1">
      <c r="A20973" t="inlineStr">
        <is>
          <t>Muntay</t>
        </is>
      </c>
    </row>
    <row r="20974" spans="1:1">
      <c r="A20974" t="inlineStr">
        <is>
          <t>Pagalungan</t>
        </is>
      </c>
    </row>
    <row r="20975" spans="1:1">
      <c r="A20975" t="inlineStr">
        <is>
          <t>Palao</t>
        </is>
      </c>
    </row>
    <row r="20976" spans="1:1">
      <c r="A20976" t="inlineStr">
        <is>
          <t>Pantaon</t>
        </is>
      </c>
    </row>
    <row r="20977" spans="1:1">
      <c r="A20977" t="inlineStr">
        <is>
          <t>Pantar</t>
        </is>
      </c>
    </row>
    <row r="20978" spans="1:1">
      <c r="A20978" t="inlineStr">
        <is>
          <t>Poblacion</t>
        </is>
      </c>
    </row>
    <row r="20979" spans="1:1">
      <c r="A20979" t="inlineStr">
        <is>
          <t>Rebucon</t>
        </is>
      </c>
    </row>
    <row r="20980" spans="1:1">
      <c r="A20980" t="inlineStr">
        <is>
          <t>Riverside</t>
        </is>
      </c>
    </row>
    <row r="20981" spans="1:1">
      <c r="A20981" t="inlineStr">
        <is>
          <t>San Roque</t>
        </is>
      </c>
    </row>
    <row r="20982" spans="1:1">
      <c r="A20982" t="inlineStr">
        <is>
          <t>Santo Niño</t>
        </is>
      </c>
    </row>
    <row r="20983" spans="1:1">
      <c r="A20983" t="inlineStr">
        <is>
          <t>Simbuco</t>
        </is>
      </c>
    </row>
    <row r="20984" spans="1:1">
      <c r="A20984" t="inlineStr">
        <is>
          <t>Small Banisilan</t>
        </is>
      </c>
    </row>
    <row r="20985" spans="1:1">
      <c r="A20985" t="inlineStr">
        <is>
          <t>Sucodan</t>
        </is>
      </c>
    </row>
    <row r="20986" spans="1:1">
      <c r="A20986" t="inlineStr">
        <is>
          <t>Tabigue</t>
        </is>
      </c>
    </row>
    <row r="20987" spans="1:1">
      <c r="A20987" t="inlineStr">
        <is>
          <t>Titunod</t>
        </is>
      </c>
    </row>
    <row r="20988" spans="1:1">
      <c r="A20988" t="inlineStr">
        <is>
          <t>Abaga</t>
        </is>
      </c>
    </row>
    <row r="20989" spans="1:1">
      <c r="A20989" t="inlineStr">
        <is>
          <t>Andil</t>
        </is>
      </c>
    </row>
    <row r="20990" spans="1:1">
      <c r="A20990" t="inlineStr">
        <is>
          <t>Cabasagan</t>
        </is>
      </c>
    </row>
    <row r="20991" spans="1:1">
      <c r="A20991" t="inlineStr">
        <is>
          <t>Camalan</t>
        </is>
      </c>
    </row>
    <row r="20992" spans="1:1">
      <c r="A20992" t="inlineStr">
        <is>
          <t>Darumawang Bucana</t>
        </is>
      </c>
    </row>
    <row r="20993" spans="1:1">
      <c r="A20993" t="inlineStr">
        <is>
          <t>Darumawang Ilaya</t>
        </is>
      </c>
    </row>
    <row r="20994" spans="1:1">
      <c r="A20994" t="inlineStr">
        <is>
          <t>El Salvador</t>
        </is>
      </c>
    </row>
    <row r="20995" spans="1:1">
      <c r="A20995" t="inlineStr">
        <is>
          <t>Gumagamot</t>
        </is>
      </c>
    </row>
    <row r="20996" spans="1:1">
      <c r="A20996" t="inlineStr">
        <is>
          <t>Lala Proper</t>
        </is>
      </c>
    </row>
    <row r="20997" spans="1:1">
      <c r="A20997" t="inlineStr">
        <is>
          <t>Lanipao</t>
        </is>
      </c>
    </row>
    <row r="20998" spans="1:1">
      <c r="A20998" t="inlineStr">
        <is>
          <t>Magpatao</t>
        </is>
      </c>
    </row>
    <row r="20999" spans="1:1">
      <c r="A20999" t="inlineStr">
        <is>
          <t>Maranding</t>
        </is>
      </c>
    </row>
    <row r="21000" spans="1:1">
      <c r="A21000" t="inlineStr">
        <is>
          <t>Matampay Bucana</t>
        </is>
      </c>
    </row>
    <row r="21001" spans="1:1">
      <c r="A21001" t="inlineStr">
        <is>
          <t>Matampay Ilaya</t>
        </is>
      </c>
    </row>
    <row r="21002" spans="1:1">
      <c r="A21002" t="inlineStr">
        <is>
          <t>Pacita</t>
        </is>
      </c>
    </row>
    <row r="21003" spans="1:1">
      <c r="A21003" t="inlineStr">
        <is>
          <t>Pendolonan</t>
        </is>
      </c>
    </row>
    <row r="21004" spans="1:1">
      <c r="A21004" t="inlineStr">
        <is>
          <t>Pinoyak</t>
        </is>
      </c>
    </row>
    <row r="21005" spans="1:1">
      <c r="A21005" t="inlineStr">
        <is>
          <t>Raw-an</t>
        </is>
      </c>
    </row>
    <row r="21006" spans="1:1">
      <c r="A21006" t="inlineStr">
        <is>
          <t>Rebe</t>
        </is>
      </c>
    </row>
    <row r="21007" spans="1:1">
      <c r="A21007" t="inlineStr">
        <is>
          <t>San Isidro Lower</t>
        </is>
      </c>
    </row>
    <row r="21008" spans="1:1">
      <c r="A21008" t="inlineStr">
        <is>
          <t>San Isidro Upper</t>
        </is>
      </c>
    </row>
    <row r="21009" spans="1:1">
      <c r="A21009" t="inlineStr">
        <is>
          <t>San Manuel</t>
        </is>
      </c>
    </row>
    <row r="21010" spans="1:1">
      <c r="A21010" t="inlineStr">
        <is>
          <t>Santa Cruz Lower</t>
        </is>
      </c>
    </row>
    <row r="21011" spans="1:1">
      <c r="A21011" t="inlineStr">
        <is>
          <t>Santa Cruz Upper</t>
        </is>
      </c>
    </row>
    <row r="21012" spans="1:1">
      <c r="A21012" t="inlineStr">
        <is>
          <t>Simpak</t>
        </is>
      </c>
    </row>
    <row r="21013" spans="1:1">
      <c r="A21013" t="inlineStr">
        <is>
          <t>Tenazas</t>
        </is>
      </c>
    </row>
    <row r="21014" spans="1:1">
      <c r="A21014" t="inlineStr">
        <is>
          <t>Tuna-an</t>
        </is>
      </c>
    </row>
    <row r="21015" spans="1:1">
      <c r="A21015" t="inlineStr">
        <is>
          <t>Busque</t>
        </is>
      </c>
    </row>
    <row r="21016" spans="1:1">
      <c r="A21016" t="inlineStr">
        <is>
          <t>Larapan</t>
        </is>
      </c>
    </row>
    <row r="21017" spans="1:1">
      <c r="A21017" t="inlineStr">
        <is>
          <t>Magoong</t>
        </is>
      </c>
    </row>
    <row r="21018" spans="1:1">
      <c r="A21018" t="inlineStr">
        <is>
          <t>Napo</t>
        </is>
      </c>
    </row>
    <row r="21019" spans="1:1">
      <c r="A21019" t="inlineStr">
        <is>
          <t>Poblacion</t>
        </is>
      </c>
    </row>
    <row r="21020" spans="1:1">
      <c r="A21020" t="inlineStr">
        <is>
          <t>Purakan</t>
        </is>
      </c>
    </row>
    <row r="21021" spans="1:1">
      <c r="A21021" t="inlineStr">
        <is>
          <t>Robocon</t>
        </is>
      </c>
    </row>
    <row r="21022" spans="1:1">
      <c r="A21022" t="inlineStr">
        <is>
          <t>Samburon</t>
        </is>
      </c>
    </row>
    <row r="21023" spans="1:1">
      <c r="A21023" t="inlineStr">
        <is>
          <t>Babasalon</t>
        </is>
      </c>
    </row>
    <row r="21024" spans="1:1">
      <c r="A21024" t="inlineStr">
        <is>
          <t>Baguiguicon</t>
        </is>
      </c>
    </row>
    <row r="21025" spans="1:1">
      <c r="A21025" t="inlineStr">
        <is>
          <t>Daan Campo</t>
        </is>
      </c>
    </row>
    <row r="21026" spans="1:1">
      <c r="A21026" t="inlineStr">
        <is>
          <t>Durianon</t>
        </is>
      </c>
    </row>
    <row r="21027" spans="1:1">
      <c r="A21027" t="inlineStr">
        <is>
          <t>Ilihan</t>
        </is>
      </c>
    </row>
    <row r="21028" spans="1:1">
      <c r="A21028" t="inlineStr">
        <is>
          <t>Lamigadato</t>
        </is>
      </c>
    </row>
    <row r="21029" spans="1:1">
      <c r="A21029" t="inlineStr">
        <is>
          <t>Lemoncret</t>
        </is>
      </c>
    </row>
    <row r="21030" spans="1:1">
      <c r="A21030" t="inlineStr">
        <is>
          <t>Lower Caningag</t>
        </is>
      </c>
    </row>
    <row r="21031" spans="1:1">
      <c r="A21031" t="inlineStr">
        <is>
          <t>Lubo</t>
        </is>
      </c>
    </row>
    <row r="21032" spans="1:1">
      <c r="A21032" t="inlineStr">
        <is>
          <t>Lumbac</t>
        </is>
      </c>
    </row>
    <row r="21033" spans="1:1">
      <c r="A21033" t="inlineStr">
        <is>
          <t>Malabaogan</t>
        </is>
      </c>
    </row>
    <row r="21034" spans="1:1">
      <c r="A21034" t="inlineStr">
        <is>
          <t>Mapantao</t>
        </is>
      </c>
    </row>
    <row r="21035" spans="1:1">
      <c r="A21035" t="inlineStr">
        <is>
          <t>Olango</t>
        </is>
      </c>
    </row>
    <row r="21036" spans="1:1">
      <c r="A21036" t="inlineStr">
        <is>
          <t>Pangao</t>
        </is>
      </c>
    </row>
    <row r="21037" spans="1:1">
      <c r="A21037" t="inlineStr">
        <is>
          <t>Pelingkingan</t>
        </is>
      </c>
    </row>
    <row r="21038" spans="1:1">
      <c r="A21038" t="inlineStr">
        <is>
          <t>Poblacion</t>
        </is>
      </c>
    </row>
    <row r="21039" spans="1:1">
      <c r="A21039" t="inlineStr">
        <is>
          <t>Rarab</t>
        </is>
      </c>
    </row>
    <row r="21040" spans="1:1">
      <c r="A21040" t="inlineStr">
        <is>
          <t>Somiorang</t>
        </is>
      </c>
    </row>
    <row r="21041" spans="1:1">
      <c r="A21041" t="inlineStr">
        <is>
          <t>Talambo</t>
        </is>
      </c>
    </row>
    <row r="21042" spans="1:1">
      <c r="A21042" t="inlineStr">
        <is>
          <t>Tambacon</t>
        </is>
      </c>
    </row>
    <row r="21043" spans="1:1">
      <c r="A21043" t="inlineStr">
        <is>
          <t>Tawinian</t>
        </is>
      </c>
    </row>
    <row r="21044" spans="1:1">
      <c r="A21044" t="inlineStr">
        <is>
          <t>Tipaan</t>
        </is>
      </c>
    </row>
    <row r="21045" spans="1:1">
      <c r="A21045" t="inlineStr">
        <is>
          <t>Tombador</t>
        </is>
      </c>
    </row>
    <row r="21046" spans="1:1">
      <c r="A21046" t="inlineStr">
        <is>
          <t>Upper Caningag</t>
        </is>
      </c>
    </row>
    <row r="21047" spans="1:1">
      <c r="A21047" t="inlineStr">
        <is>
          <t>Balagatasa</t>
        </is>
      </c>
    </row>
    <row r="21048" spans="1:1">
      <c r="A21048" t="inlineStr">
        <is>
          <t>Camp 1</t>
        </is>
      </c>
    </row>
    <row r="21049" spans="1:1">
      <c r="A21049" t="inlineStr">
        <is>
          <t>Claro M. Recto</t>
        </is>
      </c>
    </row>
    <row r="21050" spans="1:1">
      <c r="A21050" t="inlineStr">
        <is>
          <t>Inoma</t>
        </is>
      </c>
    </row>
    <row r="21051" spans="1:1">
      <c r="A21051" t="inlineStr">
        <is>
          <t>Kulasihan</t>
        </is>
      </c>
    </row>
    <row r="21052" spans="1:1">
      <c r="A21052" t="inlineStr">
        <is>
          <t>Labuay</t>
        </is>
      </c>
    </row>
    <row r="21053" spans="1:1">
      <c r="A21053" t="inlineStr">
        <is>
          <t>Liangan West</t>
        </is>
      </c>
    </row>
    <row r="21054" spans="1:1">
      <c r="A21054" t="inlineStr">
        <is>
          <t>Mahayahay</t>
        </is>
      </c>
    </row>
    <row r="21055" spans="1:1">
      <c r="A21055" t="inlineStr">
        <is>
          <t>Maliwanag</t>
        </is>
      </c>
    </row>
    <row r="21056" spans="1:1">
      <c r="A21056" t="inlineStr">
        <is>
          <t>Mentring</t>
        </is>
      </c>
    </row>
    <row r="21057" spans="1:1">
      <c r="A21057" t="inlineStr">
        <is>
          <t>Poblacion</t>
        </is>
      </c>
    </row>
    <row r="21058" spans="1:1">
      <c r="A21058" t="inlineStr">
        <is>
          <t>Santa Cruz</t>
        </is>
      </c>
    </row>
    <row r="21059" spans="1:1">
      <c r="A21059" t="inlineStr">
        <is>
          <t>Segapod</t>
        </is>
      </c>
    </row>
    <row r="21060" spans="1:1">
      <c r="A21060" t="inlineStr">
        <is>
          <t>Bangco</t>
        </is>
      </c>
    </row>
    <row r="21061" spans="1:1">
      <c r="A21061" t="inlineStr">
        <is>
          <t>Batal</t>
        </is>
      </c>
    </row>
    <row r="21062" spans="1:1">
      <c r="A21062" t="inlineStr">
        <is>
          <t>Batangan</t>
        </is>
      </c>
    </row>
    <row r="21063" spans="1:1">
      <c r="A21063" t="inlineStr">
        <is>
          <t>Bubong Radapan</t>
        </is>
      </c>
    </row>
    <row r="21064" spans="1:1">
      <c r="A21064" t="inlineStr">
        <is>
          <t>Cadayonan</t>
        </is>
      </c>
    </row>
    <row r="21065" spans="1:1">
      <c r="A21065" t="inlineStr">
        <is>
          <t>Matampay</t>
        </is>
      </c>
    </row>
    <row r="21066" spans="1:1">
      <c r="A21066" t="inlineStr">
        <is>
          <t>Pangi</t>
        </is>
      </c>
    </row>
    <row r="21067" spans="1:1">
      <c r="A21067" t="inlineStr">
        <is>
          <t>Pasayanon</t>
        </is>
      </c>
    </row>
    <row r="21068" spans="1:1">
      <c r="A21068" t="inlineStr">
        <is>
          <t>Poblacion</t>
        </is>
      </c>
    </row>
    <row r="21069" spans="1:1">
      <c r="A21069" t="inlineStr">
        <is>
          <t>Puntod</t>
        </is>
      </c>
    </row>
    <row r="21070" spans="1:1">
      <c r="A21070" t="inlineStr">
        <is>
          <t>Santa Cruz</t>
        </is>
      </c>
    </row>
    <row r="21071" spans="1:1">
      <c r="A21071" t="inlineStr">
        <is>
          <t>Somiorang</t>
        </is>
      </c>
    </row>
    <row r="21072" spans="1:1">
      <c r="A21072" t="inlineStr">
        <is>
          <t>Bacayawan</t>
        </is>
      </c>
    </row>
    <row r="21073" spans="1:1">
      <c r="A21073" t="inlineStr">
        <is>
          <t>Balabacun</t>
        </is>
      </c>
    </row>
    <row r="21074" spans="1:1">
      <c r="A21074" t="inlineStr">
        <is>
          <t>Balintad</t>
        </is>
      </c>
    </row>
    <row r="21075" spans="1:1">
      <c r="A21075" t="inlineStr">
        <is>
          <t>Dalama</t>
        </is>
      </c>
    </row>
    <row r="21076" spans="1:1">
      <c r="A21076" t="inlineStr">
        <is>
          <t>Kadayonan</t>
        </is>
      </c>
    </row>
    <row r="21077" spans="1:1">
      <c r="A21077" t="inlineStr">
        <is>
          <t>Lindongan</t>
        </is>
      </c>
    </row>
    <row r="21078" spans="1:1">
      <c r="A21078" t="inlineStr">
        <is>
          <t>Lingco-an</t>
        </is>
      </c>
    </row>
    <row r="21079" spans="1:1">
      <c r="A21079" t="inlineStr">
        <is>
          <t>Lininding</t>
        </is>
      </c>
    </row>
    <row r="21080" spans="1:1">
      <c r="A21080" t="inlineStr">
        <is>
          <t>Lumba-Bayabao</t>
        </is>
      </c>
    </row>
    <row r="21081" spans="1:1">
      <c r="A21081" t="inlineStr">
        <is>
          <t>Madaya</t>
        </is>
      </c>
    </row>
    <row r="21082" spans="1:1">
      <c r="A21082" t="inlineStr">
        <is>
          <t>Maganding</t>
        </is>
      </c>
    </row>
    <row r="21083" spans="1:1">
      <c r="A21083" t="inlineStr">
        <is>
          <t>Matampay</t>
        </is>
      </c>
    </row>
    <row r="21084" spans="1:1">
      <c r="A21084" t="inlineStr">
        <is>
          <t>North Cadulawan</t>
        </is>
      </c>
    </row>
    <row r="21085" spans="1:1">
      <c r="A21085" t="inlineStr">
        <is>
          <t>Old Poblacion</t>
        </is>
      </c>
    </row>
    <row r="21086" spans="1:1">
      <c r="A21086" t="inlineStr">
        <is>
          <t>Panggao</t>
        </is>
      </c>
    </row>
    <row r="21087" spans="1:1">
      <c r="A21087" t="inlineStr">
        <is>
          <t>Pantao</t>
        </is>
      </c>
    </row>
    <row r="21088" spans="1:1">
      <c r="A21088" t="inlineStr">
        <is>
          <t>Pantao-A-Munai</t>
        </is>
      </c>
    </row>
    <row r="21089" spans="1:1">
      <c r="A21089" t="inlineStr">
        <is>
          <t>Pantaon</t>
        </is>
      </c>
    </row>
    <row r="21090" spans="1:1">
      <c r="A21090" t="inlineStr">
        <is>
          <t>Pindolonan</t>
        </is>
      </c>
    </row>
    <row r="21091" spans="1:1">
      <c r="A21091" t="inlineStr">
        <is>
          <t>Punong</t>
        </is>
      </c>
    </row>
    <row r="21092" spans="1:1">
      <c r="A21092" t="inlineStr">
        <is>
          <t>Ramain</t>
        </is>
      </c>
    </row>
    <row r="21093" spans="1:1">
      <c r="A21093" t="inlineStr">
        <is>
          <t>Sandigamunai</t>
        </is>
      </c>
    </row>
    <row r="21094" spans="1:1">
      <c r="A21094" t="inlineStr">
        <is>
          <t>Tagoranao</t>
        </is>
      </c>
    </row>
    <row r="21095" spans="1:1">
      <c r="A21095" t="inlineStr">
        <is>
          <t>Tambo</t>
        </is>
      </c>
    </row>
    <row r="21096" spans="1:1">
      <c r="A21096" t="inlineStr">
        <is>
          <t>Tamparan</t>
        </is>
      </c>
    </row>
    <row r="21097" spans="1:1">
      <c r="A21097" t="inlineStr">
        <is>
          <t>Taporog</t>
        </is>
      </c>
    </row>
    <row r="21098" spans="1:1">
      <c r="A21098" t="inlineStr">
        <is>
          <t>Abaga</t>
        </is>
      </c>
    </row>
    <row r="21099" spans="1:1">
      <c r="A21099" t="inlineStr">
        <is>
          <t>Bangco</t>
        </is>
      </c>
    </row>
    <row r="21100" spans="1:1">
      <c r="A21100" t="inlineStr">
        <is>
          <t>Cabasaran</t>
        </is>
      </c>
    </row>
    <row r="21101" spans="1:1">
      <c r="A21101" t="inlineStr">
        <is>
          <t>Canibongan</t>
        </is>
      </c>
    </row>
    <row r="21102" spans="1:1">
      <c r="A21102" t="inlineStr">
        <is>
          <t>Dimayon</t>
        </is>
      </c>
    </row>
    <row r="21103" spans="1:1">
      <c r="A21103" t="inlineStr">
        <is>
          <t>Inayawan</t>
        </is>
      </c>
    </row>
    <row r="21104" spans="1:1">
      <c r="A21104" t="inlineStr">
        <is>
          <t>Kaludan</t>
        </is>
      </c>
    </row>
    <row r="21105" spans="1:1">
      <c r="A21105" t="inlineStr">
        <is>
          <t>Karcum</t>
        </is>
      </c>
    </row>
    <row r="21106" spans="1:1">
      <c r="A21106" t="inlineStr">
        <is>
          <t>Katubuan</t>
        </is>
      </c>
    </row>
    <row r="21107" spans="1:1">
      <c r="A21107" t="inlineStr">
        <is>
          <t>Liangan</t>
        </is>
      </c>
    </row>
    <row r="21108" spans="1:1">
      <c r="A21108" t="inlineStr">
        <is>
          <t>Lupitan</t>
        </is>
      </c>
    </row>
    <row r="21109" spans="1:1">
      <c r="A21109" t="inlineStr">
        <is>
          <t>Malaig</t>
        </is>
      </c>
    </row>
    <row r="21110" spans="1:1">
      <c r="A21110" t="inlineStr">
        <is>
          <t>Mangan</t>
        </is>
      </c>
    </row>
    <row r="21111" spans="1:1">
      <c r="A21111" t="inlineStr">
        <is>
          <t>Masibay</t>
        </is>
      </c>
    </row>
    <row r="21112" spans="1:1">
      <c r="A21112" t="inlineStr">
        <is>
          <t>Notongan</t>
        </is>
      </c>
    </row>
    <row r="21113" spans="1:1">
      <c r="A21113" t="inlineStr">
        <is>
          <t>Panganapan</t>
        </is>
      </c>
    </row>
    <row r="21114" spans="1:1">
      <c r="A21114" t="inlineStr">
        <is>
          <t>Pantar</t>
        </is>
      </c>
    </row>
    <row r="21115" spans="1:1">
      <c r="A21115" t="inlineStr">
        <is>
          <t>Paridi</t>
        </is>
      </c>
    </row>
    <row r="21116" spans="1:1">
      <c r="A21116" t="inlineStr">
        <is>
          <t>Petadun</t>
        </is>
      </c>
    </row>
    <row r="21117" spans="1:1">
      <c r="A21117" t="inlineStr">
        <is>
          <t>Poblacion</t>
        </is>
      </c>
    </row>
    <row r="21118" spans="1:1">
      <c r="A21118" t="inlineStr">
        <is>
          <t>Rarab</t>
        </is>
      </c>
    </row>
    <row r="21119" spans="1:1">
      <c r="A21119" t="inlineStr">
        <is>
          <t>Raraban</t>
        </is>
      </c>
    </row>
    <row r="21120" spans="1:1">
      <c r="A21120" t="inlineStr">
        <is>
          <t>Rebucon</t>
        </is>
      </c>
    </row>
    <row r="21121" spans="1:1">
      <c r="A21121" t="inlineStr">
        <is>
          <t>Songgod</t>
        </is>
      </c>
    </row>
    <row r="21122" spans="1:1">
      <c r="A21122" t="inlineStr">
        <is>
          <t>Taraka</t>
        </is>
      </c>
    </row>
    <row r="21123" spans="1:1">
      <c r="A21123" t="inlineStr">
        <is>
          <t>Aloon</t>
        </is>
      </c>
    </row>
    <row r="21124" spans="1:1">
      <c r="A21124" t="inlineStr">
        <is>
          <t>Banday</t>
        </is>
      </c>
    </row>
    <row r="21125" spans="1:1">
      <c r="A21125" t="inlineStr">
        <is>
          <t>Bobonga Pantao Ragat</t>
        </is>
      </c>
    </row>
    <row r="21126" spans="1:1">
      <c r="A21126" t="inlineStr">
        <is>
          <t>Bobonga Radapan</t>
        </is>
      </c>
    </row>
    <row r="21127" spans="1:1">
      <c r="A21127" t="inlineStr">
        <is>
          <t>Cabasagan</t>
        </is>
      </c>
    </row>
    <row r="21128" spans="1:1">
      <c r="A21128" t="inlineStr">
        <is>
          <t>Calawe</t>
        </is>
      </c>
    </row>
    <row r="21129" spans="1:1">
      <c r="A21129" t="inlineStr">
        <is>
          <t>Culubun</t>
        </is>
      </c>
    </row>
    <row r="21130" spans="1:1">
      <c r="A21130" t="inlineStr">
        <is>
          <t>Dilimbayan</t>
        </is>
      </c>
    </row>
    <row r="21131" spans="1:1">
      <c r="A21131" t="inlineStr">
        <is>
          <t>Dimayon</t>
        </is>
      </c>
    </row>
    <row r="21132" spans="1:1">
      <c r="A21132" t="inlineStr">
        <is>
          <t>Lomidong</t>
        </is>
      </c>
    </row>
    <row r="21133" spans="1:1">
      <c r="A21133" t="inlineStr">
        <is>
          <t>Madaya</t>
        </is>
      </c>
    </row>
    <row r="21134" spans="1:1">
      <c r="A21134" t="inlineStr">
        <is>
          <t>Maliwanag</t>
        </is>
      </c>
    </row>
    <row r="21135" spans="1:1">
      <c r="A21135" t="inlineStr">
        <is>
          <t>Matampay</t>
        </is>
      </c>
    </row>
    <row r="21136" spans="1:1">
      <c r="A21136" t="inlineStr">
        <is>
          <t>Natangcopan</t>
        </is>
      </c>
    </row>
    <row r="21137" spans="1:1">
      <c r="A21137" t="inlineStr">
        <is>
          <t>Pansor</t>
        </is>
      </c>
    </row>
    <row r="21138" spans="1:1">
      <c r="A21138" t="inlineStr">
        <is>
          <t>Pantao Marug</t>
        </is>
      </c>
    </row>
    <row r="21139" spans="1:1">
      <c r="A21139" t="inlineStr">
        <is>
          <t>Poblacion East</t>
        </is>
      </c>
    </row>
    <row r="21140" spans="1:1">
      <c r="A21140" t="inlineStr">
        <is>
          <t>Poblacion West</t>
        </is>
      </c>
    </row>
    <row r="21141" spans="1:1">
      <c r="A21141" t="inlineStr">
        <is>
          <t>Tangcal</t>
        </is>
      </c>
    </row>
    <row r="21142" spans="1:1">
      <c r="A21142" t="inlineStr">
        <is>
          <t>Tongcopan</t>
        </is>
      </c>
    </row>
    <row r="21143" spans="1:1">
      <c r="A21143" t="inlineStr">
        <is>
          <t>Bangcal</t>
        </is>
      </c>
    </row>
    <row r="21144" spans="1:1">
      <c r="A21144" t="inlineStr">
        <is>
          <t>Bowi</t>
        </is>
      </c>
    </row>
    <row r="21145" spans="1:1">
      <c r="A21145" t="inlineStr">
        <is>
          <t>Bubong Madaya</t>
        </is>
      </c>
    </row>
    <row r="21146" spans="1:1">
      <c r="A21146" t="inlineStr">
        <is>
          <t>Cabasaran</t>
        </is>
      </c>
    </row>
    <row r="21147" spans="1:1">
      <c r="A21147" t="inlineStr">
        <is>
          <t>Cadayonan</t>
        </is>
      </c>
    </row>
    <row r="21148" spans="1:1">
      <c r="A21148" t="inlineStr">
        <is>
          <t>Campong</t>
        </is>
      </c>
    </row>
    <row r="21149" spans="1:1">
      <c r="A21149" t="inlineStr">
        <is>
          <t>Dibarosan</t>
        </is>
      </c>
    </row>
    <row r="21150" spans="1:1">
      <c r="A21150" t="inlineStr">
        <is>
          <t>Kalanganan East</t>
        </is>
      </c>
    </row>
    <row r="21151" spans="1:1">
      <c r="A21151" t="inlineStr">
        <is>
          <t>Kalanganan Lower</t>
        </is>
      </c>
    </row>
    <row r="21152" spans="1:1">
      <c r="A21152" t="inlineStr">
        <is>
          <t>Kalilangan</t>
        </is>
      </c>
    </row>
    <row r="21153" spans="1:1">
      <c r="A21153" t="inlineStr">
        <is>
          <t>Lumba-Punod</t>
        </is>
      </c>
    </row>
    <row r="21154" spans="1:1">
      <c r="A21154" t="inlineStr">
        <is>
          <t>Pantao-Marug</t>
        </is>
      </c>
    </row>
    <row r="21155" spans="1:1">
      <c r="A21155" t="inlineStr">
        <is>
          <t>Pantao-Ranao</t>
        </is>
      </c>
    </row>
    <row r="21156" spans="1:1">
      <c r="A21156" t="inlineStr">
        <is>
          <t>Pantar East</t>
        </is>
      </c>
    </row>
    <row r="21157" spans="1:1">
      <c r="A21157" t="inlineStr">
        <is>
          <t>Pitubo</t>
        </is>
      </c>
    </row>
    <row r="21158" spans="1:1">
      <c r="A21158" t="inlineStr">
        <is>
          <t>Poblacion</t>
        </is>
      </c>
    </row>
    <row r="21159" spans="1:1">
      <c r="A21159" t="inlineStr">
        <is>
          <t>Poona-Punod</t>
        </is>
      </c>
    </row>
    <row r="21160" spans="1:1">
      <c r="A21160" t="inlineStr">
        <is>
          <t>Punod</t>
        </is>
      </c>
    </row>
    <row r="21161" spans="1:1">
      <c r="A21161" t="inlineStr">
        <is>
          <t>Sundiga-Punod</t>
        </is>
      </c>
    </row>
    <row r="21162" spans="1:1">
      <c r="A21162" t="inlineStr">
        <is>
          <t>Tawanan</t>
        </is>
      </c>
    </row>
    <row r="21163" spans="1:1">
      <c r="A21163" t="inlineStr">
        <is>
          <t>West Pantar</t>
        </is>
      </c>
    </row>
    <row r="21164" spans="1:1">
      <c r="A21164" t="inlineStr">
        <is>
          <t>Alowin</t>
        </is>
      </c>
    </row>
    <row r="21165" spans="1:1">
      <c r="A21165" t="inlineStr">
        <is>
          <t>Bubong-Dinaig</t>
        </is>
      </c>
    </row>
    <row r="21166" spans="1:1">
      <c r="A21166" t="inlineStr">
        <is>
          <t>Cabasaran</t>
        </is>
      </c>
    </row>
    <row r="21167" spans="1:1">
      <c r="A21167" t="inlineStr">
        <is>
          <t>Cadayonan</t>
        </is>
      </c>
    </row>
    <row r="21168" spans="1:1">
      <c r="A21168" t="inlineStr">
        <is>
          <t>Caromatan</t>
        </is>
      </c>
    </row>
    <row r="21169" spans="1:1">
      <c r="A21169" t="inlineStr">
        <is>
          <t>Daramba</t>
        </is>
      </c>
    </row>
    <row r="21170" spans="1:1">
      <c r="A21170" t="inlineStr">
        <is>
          <t>Dinaig</t>
        </is>
      </c>
    </row>
    <row r="21171" spans="1:1">
      <c r="A21171" t="inlineStr">
        <is>
          <t>Kablangan</t>
        </is>
      </c>
    </row>
    <row r="21172" spans="1:1">
      <c r="A21172" t="inlineStr">
        <is>
          <t>Linindingan</t>
        </is>
      </c>
    </row>
    <row r="21173" spans="1:1">
      <c r="A21173" t="inlineStr">
        <is>
          <t>Lumbatan</t>
        </is>
      </c>
    </row>
    <row r="21174" spans="1:1">
      <c r="A21174" t="inlineStr">
        <is>
          <t>Lupitan</t>
        </is>
      </c>
    </row>
    <row r="21175" spans="1:1">
      <c r="A21175" t="inlineStr">
        <is>
          <t>Madamba</t>
        </is>
      </c>
    </row>
    <row r="21176" spans="1:1">
      <c r="A21176" t="inlineStr">
        <is>
          <t>Madaya</t>
        </is>
      </c>
    </row>
    <row r="21177" spans="1:1">
      <c r="A21177" t="inlineStr">
        <is>
          <t>Maliwanag</t>
        </is>
      </c>
    </row>
    <row r="21178" spans="1:1">
      <c r="A21178" t="inlineStr">
        <is>
          <t>Nunang</t>
        </is>
      </c>
    </row>
    <row r="21179" spans="1:1">
      <c r="A21179" t="inlineStr">
        <is>
          <t>Nunungan</t>
        </is>
      </c>
    </row>
    <row r="21180" spans="1:1">
      <c r="A21180" t="inlineStr">
        <is>
          <t>Pantao Raya</t>
        </is>
      </c>
    </row>
    <row r="21181" spans="1:1">
      <c r="A21181" t="inlineStr">
        <is>
          <t>Pantaon</t>
        </is>
      </c>
    </row>
    <row r="21182" spans="1:1">
      <c r="A21182" t="inlineStr">
        <is>
          <t>Pendolonan</t>
        </is>
      </c>
    </row>
    <row r="21183" spans="1:1">
      <c r="A21183" t="inlineStr">
        <is>
          <t>Pened</t>
        </is>
      </c>
    </row>
    <row r="21184" spans="1:1">
      <c r="A21184" t="inlineStr">
        <is>
          <t>Piangamangaan</t>
        </is>
      </c>
    </row>
    <row r="21185" spans="1:1">
      <c r="A21185" t="inlineStr">
        <is>
          <t>Poblacion</t>
        </is>
      </c>
    </row>
    <row r="21186" spans="1:1">
      <c r="A21186" t="inlineStr">
        <is>
          <t>Sulo</t>
        </is>
      </c>
    </row>
    <row r="21187" spans="1:1">
      <c r="A21187" t="inlineStr">
        <is>
          <t>Tagoranao</t>
        </is>
      </c>
    </row>
    <row r="21188" spans="1:1">
      <c r="A21188" t="inlineStr">
        <is>
          <t>Tangclao</t>
        </is>
      </c>
    </row>
    <row r="21189" spans="1:1">
      <c r="A21189" t="inlineStr">
        <is>
          <t>Timbangalan</t>
        </is>
      </c>
    </row>
    <row r="21190" spans="1:1">
      <c r="A21190" t="inlineStr">
        <is>
          <t>Barandia</t>
        </is>
      </c>
    </row>
    <row r="21191" spans="1:1">
      <c r="A21191" t="inlineStr">
        <is>
          <t>Bulacon</t>
        </is>
      </c>
    </row>
    <row r="21192" spans="1:1">
      <c r="A21192" t="inlineStr">
        <is>
          <t>Buntong</t>
        </is>
      </c>
    </row>
    <row r="21193" spans="1:1">
      <c r="A21193" t="inlineStr">
        <is>
          <t>Calimodan</t>
        </is>
      </c>
    </row>
    <row r="21194" spans="1:1">
      <c r="A21194" t="inlineStr">
        <is>
          <t>Camp III</t>
        </is>
      </c>
    </row>
    <row r="21195" spans="1:1">
      <c r="A21195" t="inlineStr">
        <is>
          <t>Curva-Miagao</t>
        </is>
      </c>
    </row>
    <row r="21196" spans="1:1">
      <c r="A21196" t="inlineStr">
        <is>
          <t>Daligdigan</t>
        </is>
      </c>
    </row>
    <row r="21197" spans="1:1">
      <c r="A21197" t="inlineStr">
        <is>
          <t>Inasagan</t>
        </is>
      </c>
    </row>
    <row r="21198" spans="1:1">
      <c r="A21198" t="inlineStr">
        <is>
          <t>Kilala</t>
        </is>
      </c>
    </row>
    <row r="21199" spans="1:1">
      <c r="A21199" t="inlineStr">
        <is>
          <t>Mabatao</t>
        </is>
      </c>
    </row>
    <row r="21200" spans="1:1">
      <c r="A21200" t="inlineStr">
        <is>
          <t>Madaya</t>
        </is>
      </c>
    </row>
    <row r="21201" spans="1:1">
      <c r="A21201" t="inlineStr">
        <is>
          <t>Mamaanon</t>
        </is>
      </c>
    </row>
    <row r="21202" spans="1:1">
      <c r="A21202" t="inlineStr">
        <is>
          <t>Mapantao</t>
        </is>
      </c>
    </row>
    <row r="21203" spans="1:1">
      <c r="A21203" t="inlineStr">
        <is>
          <t>Mindalano</t>
        </is>
      </c>
    </row>
    <row r="21204" spans="1:1">
      <c r="A21204" t="inlineStr">
        <is>
          <t>Padianan</t>
        </is>
      </c>
    </row>
    <row r="21205" spans="1:1">
      <c r="A21205" t="inlineStr">
        <is>
          <t>Pagalongan</t>
        </is>
      </c>
    </row>
    <row r="21206" spans="1:1">
      <c r="A21206" t="inlineStr">
        <is>
          <t>Pagayawan</t>
        </is>
      </c>
    </row>
    <row r="21207" spans="1:1">
      <c r="A21207" t="inlineStr">
        <is>
          <t>Panaliwad-on</t>
        </is>
      </c>
    </row>
    <row r="21208" spans="1:1">
      <c r="A21208" t="inlineStr">
        <is>
          <t>Pangantapan</t>
        </is>
      </c>
    </row>
    <row r="21209" spans="1:1">
      <c r="A21209" t="inlineStr">
        <is>
          <t>Pansor</t>
        </is>
      </c>
    </row>
    <row r="21210" spans="1:1">
      <c r="A21210" t="inlineStr">
        <is>
          <t>Patidon</t>
        </is>
      </c>
    </row>
    <row r="21211" spans="1:1">
      <c r="A21211" t="inlineStr">
        <is>
          <t>Pawak</t>
        </is>
      </c>
    </row>
    <row r="21212" spans="1:1">
      <c r="A21212" t="inlineStr">
        <is>
          <t>Poblacion</t>
        </is>
      </c>
    </row>
    <row r="21213" spans="1:1">
      <c r="A21213" t="inlineStr">
        <is>
          <t>Saumay</t>
        </is>
      </c>
    </row>
    <row r="21214" spans="1:1">
      <c r="A21214" t="inlineStr">
        <is>
          <t>Sudlon</t>
        </is>
      </c>
    </row>
    <row r="21215" spans="1:1">
      <c r="A21215" t="inlineStr">
        <is>
          <t>Baning</t>
        </is>
      </c>
    </row>
    <row r="21216" spans="1:1">
      <c r="A21216" t="inlineStr">
        <is>
          <t>Buriasan</t>
        </is>
      </c>
    </row>
    <row r="21217" spans="1:1">
      <c r="A21217" t="inlineStr">
        <is>
          <t>Dansalan</t>
        </is>
      </c>
    </row>
    <row r="21218" spans="1:1">
      <c r="A21218" t="inlineStr">
        <is>
          <t>Gamal</t>
        </is>
      </c>
    </row>
    <row r="21219" spans="1:1">
      <c r="A21219" t="inlineStr">
        <is>
          <t>Inudaran I</t>
        </is>
      </c>
    </row>
    <row r="21220" spans="1:1">
      <c r="A21220" t="inlineStr">
        <is>
          <t>Inudaran II</t>
        </is>
      </c>
    </row>
    <row r="21221" spans="1:1">
      <c r="A21221" t="inlineStr">
        <is>
          <t>Karkum</t>
        </is>
      </c>
    </row>
    <row r="21222" spans="1:1">
      <c r="A21222" t="inlineStr">
        <is>
          <t>Katipunan</t>
        </is>
      </c>
    </row>
    <row r="21223" spans="1:1">
      <c r="A21223" t="inlineStr">
        <is>
          <t>Mabugnao</t>
        </is>
      </c>
    </row>
    <row r="21224" spans="1:1">
      <c r="A21224" t="inlineStr">
        <is>
          <t>Maito Salug</t>
        </is>
      </c>
    </row>
    <row r="21225" spans="1:1">
      <c r="A21225" t="inlineStr">
        <is>
          <t>Mala Salug</t>
        </is>
      </c>
    </row>
    <row r="21226" spans="1:1">
      <c r="A21226" t="inlineStr">
        <is>
          <t>Mama-anon</t>
        </is>
      </c>
    </row>
    <row r="21227" spans="1:1">
      <c r="A21227" t="inlineStr">
        <is>
          <t>Mapurog</t>
        </is>
      </c>
    </row>
    <row r="21228" spans="1:1">
      <c r="A21228" t="inlineStr">
        <is>
          <t>Pancilan</t>
        </is>
      </c>
    </row>
    <row r="21229" spans="1:1">
      <c r="A21229" t="inlineStr">
        <is>
          <t>Panoloon</t>
        </is>
      </c>
    </row>
    <row r="21230" spans="1:1">
      <c r="A21230" t="inlineStr">
        <is>
          <t>Pili</t>
        </is>
      </c>
    </row>
    <row r="21231" spans="1:1">
      <c r="A21231" t="inlineStr">
        <is>
          <t>Sapad</t>
        </is>
      </c>
    </row>
    <row r="21232" spans="1:1">
      <c r="A21232" t="inlineStr">
        <is>
          <t>Bangaan</t>
        </is>
      </c>
    </row>
    <row r="21233" spans="1:1">
      <c r="A21233" t="inlineStr">
        <is>
          <t>Bangco</t>
        </is>
      </c>
    </row>
    <row r="21234" spans="1:1">
      <c r="A21234" t="inlineStr">
        <is>
          <t>Bansarvil II</t>
        </is>
      </c>
    </row>
    <row r="21235" spans="1:1">
      <c r="A21235" t="inlineStr">
        <is>
          <t>Bauyan</t>
        </is>
      </c>
    </row>
    <row r="21236" spans="1:1">
      <c r="A21236" t="inlineStr">
        <is>
          <t>Cabongbongan</t>
        </is>
      </c>
    </row>
    <row r="21237" spans="1:1">
      <c r="A21237" t="inlineStr">
        <is>
          <t>Calibao</t>
        </is>
      </c>
    </row>
    <row r="21238" spans="1:1">
      <c r="A21238" t="inlineStr">
        <is>
          <t>Calipapa</t>
        </is>
      </c>
    </row>
    <row r="21239" spans="1:1">
      <c r="A21239" t="inlineStr">
        <is>
          <t>Calube</t>
        </is>
      </c>
    </row>
    <row r="21240" spans="1:1">
      <c r="A21240" t="inlineStr">
        <is>
          <t>Campo Islam</t>
        </is>
      </c>
    </row>
    <row r="21241" spans="1:1">
      <c r="A21241" t="inlineStr">
        <is>
          <t>Capocao</t>
        </is>
      </c>
    </row>
    <row r="21242" spans="1:1">
      <c r="A21242" t="inlineStr">
        <is>
          <t>Dabliston</t>
        </is>
      </c>
    </row>
    <row r="21243" spans="1:1">
      <c r="A21243" t="inlineStr">
        <is>
          <t>Dalama</t>
        </is>
      </c>
    </row>
    <row r="21244" spans="1:1">
      <c r="A21244" t="inlineStr">
        <is>
          <t>Dangulaan</t>
        </is>
      </c>
    </row>
    <row r="21245" spans="1:1">
      <c r="A21245" t="inlineStr">
        <is>
          <t>Ditago</t>
        </is>
      </c>
    </row>
    <row r="21246" spans="1:1">
      <c r="A21246" t="inlineStr">
        <is>
          <t>Ilian</t>
        </is>
      </c>
    </row>
    <row r="21247" spans="1:1">
      <c r="A21247" t="inlineStr">
        <is>
          <t>Kauswagan</t>
        </is>
      </c>
    </row>
    <row r="21248" spans="1:1">
      <c r="A21248" t="inlineStr">
        <is>
          <t>Kirapan</t>
        </is>
      </c>
    </row>
    <row r="21249" spans="1:1">
      <c r="A21249" t="inlineStr">
        <is>
          <t>Koreo</t>
        </is>
      </c>
    </row>
    <row r="21250" spans="1:1">
      <c r="A21250" t="inlineStr">
        <is>
          <t>Lantawan</t>
        </is>
      </c>
    </row>
    <row r="21251" spans="1:1">
      <c r="A21251" t="inlineStr">
        <is>
          <t>Mabuhay</t>
        </is>
      </c>
    </row>
    <row r="21252" spans="1:1">
      <c r="A21252" t="inlineStr">
        <is>
          <t>Maguindanao</t>
        </is>
      </c>
    </row>
    <row r="21253" spans="1:1">
      <c r="A21253" t="inlineStr">
        <is>
          <t>Mahayahay</t>
        </is>
      </c>
    </row>
    <row r="21254" spans="1:1">
      <c r="A21254" t="inlineStr">
        <is>
          <t>Mamagum</t>
        </is>
      </c>
    </row>
    <row r="21255" spans="1:1">
      <c r="A21255" t="inlineStr">
        <is>
          <t>Mina</t>
        </is>
      </c>
    </row>
    <row r="21256" spans="1:1">
      <c r="A21256" t="inlineStr">
        <is>
          <t>Pandanan</t>
        </is>
      </c>
    </row>
    <row r="21257" spans="1:1">
      <c r="A21257" t="inlineStr">
        <is>
          <t>Payong</t>
        </is>
      </c>
    </row>
    <row r="21258" spans="1:1">
      <c r="A21258" t="inlineStr">
        <is>
          <t>Pikalawag</t>
        </is>
      </c>
    </row>
    <row r="21259" spans="1:1">
      <c r="A21259" t="inlineStr">
        <is>
          <t>Pikinit</t>
        </is>
      </c>
    </row>
    <row r="21260" spans="1:1">
      <c r="A21260" t="inlineStr">
        <is>
          <t>Piraka</t>
        </is>
      </c>
    </row>
    <row r="21261" spans="1:1">
      <c r="A21261" t="inlineStr">
        <is>
          <t>Poblacion</t>
        </is>
      </c>
    </row>
    <row r="21262" spans="1:1">
      <c r="A21262" t="inlineStr">
        <is>
          <t>Ramain</t>
        </is>
      </c>
    </row>
    <row r="21263" spans="1:1">
      <c r="A21263" t="inlineStr">
        <is>
          <t>Rebucon</t>
        </is>
      </c>
    </row>
    <row r="21264" spans="1:1">
      <c r="A21264" t="inlineStr">
        <is>
          <t>Sigayan</t>
        </is>
      </c>
    </row>
    <row r="21265" spans="1:1">
      <c r="A21265" t="inlineStr">
        <is>
          <t>Sugod</t>
        </is>
      </c>
    </row>
    <row r="21266" spans="1:1">
      <c r="A21266" t="inlineStr">
        <is>
          <t>Tagulo</t>
        </is>
      </c>
    </row>
    <row r="21267" spans="1:1">
      <c r="A21267" t="inlineStr">
        <is>
          <t>Tantaon</t>
        </is>
      </c>
    </row>
    <row r="21268" spans="1:1">
      <c r="A21268" t="inlineStr">
        <is>
          <t>Topocon</t>
        </is>
      </c>
    </row>
    <row r="21269" spans="1:1">
      <c r="A21269" t="inlineStr">
        <is>
          <t>Dalamas</t>
        </is>
      </c>
    </row>
    <row r="21270" spans="1:1">
      <c r="A21270" t="inlineStr">
        <is>
          <t>Darimbang</t>
        </is>
      </c>
    </row>
    <row r="21271" spans="1:1">
      <c r="A21271" t="inlineStr">
        <is>
          <t>Dimayon</t>
        </is>
      </c>
    </row>
    <row r="21272" spans="1:1">
      <c r="A21272" t="inlineStr">
        <is>
          <t>Inagongan</t>
        </is>
      </c>
    </row>
    <row r="21273" spans="1:1">
      <c r="A21273" t="inlineStr">
        <is>
          <t>Kiazar</t>
        </is>
      </c>
    </row>
    <row r="21274" spans="1:1">
      <c r="A21274" t="inlineStr">
        <is>
          <t>Malimbato</t>
        </is>
      </c>
    </row>
    <row r="21275" spans="1:1">
      <c r="A21275" t="inlineStr">
        <is>
          <t>Panalawan</t>
        </is>
      </c>
    </row>
    <row r="21276" spans="1:1">
      <c r="A21276" t="inlineStr">
        <is>
          <t>Bayabao</t>
        </is>
      </c>
    </row>
    <row r="21277" spans="1:1">
      <c r="A21277" t="inlineStr">
        <is>
          <t>Berwar</t>
        </is>
      </c>
    </row>
    <row r="21278" spans="1:1">
      <c r="A21278" t="inlineStr">
        <is>
          <t>Big Banisilon</t>
        </is>
      </c>
    </row>
    <row r="21279" spans="1:1">
      <c r="A21279" t="inlineStr">
        <is>
          <t>Big Meladoc</t>
        </is>
      </c>
    </row>
    <row r="21280" spans="1:1">
      <c r="A21280" t="inlineStr">
        <is>
          <t>Bubong</t>
        </is>
      </c>
    </row>
    <row r="21281" spans="1:1">
      <c r="A21281" t="inlineStr">
        <is>
          <t>Lamaosa</t>
        </is>
      </c>
    </row>
    <row r="21282" spans="1:1">
      <c r="A21282" t="inlineStr">
        <is>
          <t>Linao</t>
        </is>
      </c>
    </row>
    <row r="21283" spans="1:1">
      <c r="A21283" t="inlineStr">
        <is>
          <t>Lindongan</t>
        </is>
      </c>
    </row>
    <row r="21284" spans="1:1">
      <c r="A21284" t="inlineStr">
        <is>
          <t>Lingco-an</t>
        </is>
      </c>
    </row>
    <row r="21285" spans="1:1">
      <c r="A21285" t="inlineStr">
        <is>
          <t>Papan</t>
        </is>
      </c>
    </row>
    <row r="21286" spans="1:1">
      <c r="A21286" t="inlineStr">
        <is>
          <t>Pelingkingan</t>
        </is>
      </c>
    </row>
    <row r="21287" spans="1:1">
      <c r="A21287" t="inlineStr">
        <is>
          <t>Poblacion</t>
        </is>
      </c>
    </row>
    <row r="21288" spans="1:1">
      <c r="A21288" t="inlineStr">
        <is>
          <t>Poona Kapatagan</t>
        </is>
      </c>
    </row>
    <row r="21289" spans="1:1">
      <c r="A21289" t="inlineStr">
        <is>
          <t>Punod</t>
        </is>
      </c>
    </row>
    <row r="21290" spans="1:1">
      <c r="A21290" t="inlineStr">
        <is>
          <t>Small Banisilon</t>
        </is>
      </c>
    </row>
    <row r="21291" spans="1:1">
      <c r="A21291" t="inlineStr">
        <is>
          <t>Small Meladoc</t>
        </is>
      </c>
    </row>
    <row r="21292" spans="1:1">
      <c r="A21292" t="inlineStr">
        <is>
          <t>Somiorang</t>
        </is>
      </c>
    </row>
    <row r="21293" spans="1:1">
      <c r="A21293" t="inlineStr">
        <is>
          <t>Tangcal Proper</t>
        </is>
      </c>
    </row>
    <row r="21294" spans="1:1">
      <c r="A21294" t="inlineStr">
        <is>
          <t>Barakanas</t>
        </is>
      </c>
    </row>
    <row r="21295" spans="1:1">
      <c r="A21295" t="inlineStr">
        <is>
          <t>Baris</t>
        </is>
      </c>
    </row>
    <row r="21296" spans="1:1">
      <c r="A21296" t="inlineStr">
        <is>
          <t>Bualan</t>
        </is>
      </c>
    </row>
    <row r="21297" spans="1:1">
      <c r="A21297" t="inlineStr">
        <is>
          <t>Bulod</t>
        </is>
      </c>
    </row>
    <row r="21298" spans="1:1">
      <c r="A21298" t="inlineStr">
        <is>
          <t>Camp V</t>
        </is>
      </c>
    </row>
    <row r="21299" spans="1:1">
      <c r="A21299" t="inlineStr">
        <is>
          <t>Candis</t>
        </is>
      </c>
    </row>
    <row r="21300" spans="1:1">
      <c r="A21300" t="inlineStr">
        <is>
          <t>Caniogan</t>
        </is>
      </c>
    </row>
    <row r="21301" spans="1:1">
      <c r="A21301" t="inlineStr">
        <is>
          <t>Dalama</t>
        </is>
      </c>
    </row>
    <row r="21302" spans="1:1">
      <c r="A21302" t="inlineStr">
        <is>
          <t>Kakai Renabor</t>
        </is>
      </c>
    </row>
    <row r="21303" spans="1:1">
      <c r="A21303" t="inlineStr">
        <is>
          <t>Kalilangan</t>
        </is>
      </c>
    </row>
    <row r="21304" spans="1:1">
      <c r="A21304" t="inlineStr">
        <is>
          <t>Licapao</t>
        </is>
      </c>
    </row>
    <row r="21305" spans="1:1">
      <c r="A21305" t="inlineStr">
        <is>
          <t>Malingao</t>
        </is>
      </c>
    </row>
    <row r="21306" spans="1:1">
      <c r="A21306" t="inlineStr">
        <is>
          <t>Palao</t>
        </is>
      </c>
    </row>
    <row r="21307" spans="1:1">
      <c r="A21307" t="inlineStr">
        <is>
          <t>Patudan</t>
        </is>
      </c>
    </row>
    <row r="21308" spans="1:1">
      <c r="A21308" t="inlineStr">
        <is>
          <t>Pigcarangan</t>
        </is>
      </c>
    </row>
    <row r="21309" spans="1:1">
      <c r="A21309" t="inlineStr">
        <is>
          <t>Pinpin</t>
        </is>
      </c>
    </row>
    <row r="21310" spans="1:1">
      <c r="A21310" t="inlineStr">
        <is>
          <t>Poblacion</t>
        </is>
      </c>
    </row>
    <row r="21311" spans="1:1">
      <c r="A21311" t="inlineStr">
        <is>
          <t>Pualas</t>
        </is>
      </c>
    </row>
    <row r="21312" spans="1:1">
      <c r="A21312" t="inlineStr">
        <is>
          <t>San Antonio</t>
        </is>
      </c>
    </row>
    <row r="21313" spans="1:1">
      <c r="A21313" t="inlineStr">
        <is>
          <t>Santo Niño</t>
        </is>
      </c>
    </row>
    <row r="21314" spans="1:1">
      <c r="A21314" t="inlineStr">
        <is>
          <t>Taden</t>
        </is>
      </c>
    </row>
    <row r="21315" spans="1:1">
      <c r="A21315" t="inlineStr">
        <is>
          <t>Taguranao</t>
        </is>
      </c>
    </row>
    <row r="21316" spans="1:1">
      <c r="A21316" t="inlineStr">
        <is>
          <t>Tangueguiron</t>
        </is>
      </c>
    </row>
    <row r="21317" spans="1:1">
      <c r="A21317" t="inlineStr">
        <is>
          <t>Tubaran</t>
        </is>
      </c>
    </row>
    <row r="21318" spans="1:1">
      <c r="A21318" t="inlineStr">
        <is>
          <t>Bagumbayan</t>
        </is>
      </c>
    </row>
    <row r="21319" spans="1:1">
      <c r="A21319" t="inlineStr">
        <is>
          <t>Bandara-Ingud</t>
        </is>
      </c>
    </row>
    <row r="21320" spans="1:1">
      <c r="A21320" t="inlineStr">
        <is>
          <t>Comara</t>
        </is>
      </c>
    </row>
    <row r="21321" spans="1:1">
      <c r="A21321" t="inlineStr">
        <is>
          <t>Frankfort</t>
        </is>
      </c>
    </row>
    <row r="21322" spans="1:1">
      <c r="A21322" t="inlineStr">
        <is>
          <t>Lambanogan</t>
        </is>
      </c>
    </row>
    <row r="21323" spans="1:1">
      <c r="A21323" t="inlineStr">
        <is>
          <t>Lico</t>
        </is>
      </c>
    </row>
    <row r="21324" spans="1:1">
      <c r="A21324" t="inlineStr">
        <is>
          <t>Mansilano</t>
        </is>
      </c>
    </row>
    <row r="21325" spans="1:1">
      <c r="A21325" t="inlineStr">
        <is>
          <t>Natangcopan</t>
        </is>
      </c>
    </row>
    <row r="21326" spans="1:1">
      <c r="A21326" t="inlineStr">
        <is>
          <t>Pagalamatan</t>
        </is>
      </c>
    </row>
    <row r="21327" spans="1:1">
      <c r="A21327" t="inlineStr">
        <is>
          <t>Pagonayan</t>
        </is>
      </c>
    </row>
    <row r="21328" spans="1:1">
      <c r="A21328" t="inlineStr">
        <is>
          <t>Piagma</t>
        </is>
      </c>
    </row>
    <row r="21329" spans="1:1">
      <c r="A21329" t="inlineStr">
        <is>
          <t>Poblacion</t>
        </is>
      </c>
    </row>
    <row r="21330" spans="1:1">
      <c r="A21330" t="inlineStr">
        <is>
          <t>Punud</t>
        </is>
      </c>
    </row>
    <row r="21331" spans="1:1">
      <c r="A21331" t="inlineStr">
        <is>
          <t>Ranao-Baning</t>
        </is>
      </c>
    </row>
    <row r="21332" spans="1:1">
      <c r="A21332" t="inlineStr">
        <is>
          <t>Sagua-an</t>
        </is>
      </c>
    </row>
    <row r="21333" spans="1:1">
      <c r="A21333" t="inlineStr">
        <is>
          <t>Salam</t>
        </is>
      </c>
    </row>
    <row r="21334" spans="1:1">
      <c r="A21334" t="inlineStr">
        <is>
          <t>Sumugot</t>
        </is>
      </c>
    </row>
    <row r="21335" spans="1:1">
      <c r="A21335" t="inlineStr">
        <is>
          <t>Ampao</t>
        </is>
      </c>
    </row>
    <row r="21336" spans="1:1">
      <c r="A21336" t="inlineStr">
        <is>
          <t>Bagoaingud</t>
        </is>
      </c>
    </row>
    <row r="21337" spans="1:1">
      <c r="A21337" t="inlineStr">
        <is>
          <t>Balut</t>
        </is>
      </c>
    </row>
    <row r="21338" spans="1:1">
      <c r="A21338" t="inlineStr">
        <is>
          <t>Barua</t>
        </is>
      </c>
    </row>
    <row r="21339" spans="1:1">
      <c r="A21339" t="inlineStr">
        <is>
          <t>Buadiawani</t>
        </is>
      </c>
    </row>
    <row r="21340" spans="1:1">
      <c r="A21340" t="inlineStr">
        <is>
          <t>Bubong</t>
        </is>
      </c>
    </row>
    <row r="21341" spans="1:1">
      <c r="A21341" t="inlineStr">
        <is>
          <t>Daramoyod</t>
        </is>
      </c>
    </row>
    <row r="21342" spans="1:1">
      <c r="A21342" t="inlineStr">
        <is>
          <t>Dilabayan</t>
        </is>
      </c>
    </row>
    <row r="21343" spans="1:1">
      <c r="A21343" t="inlineStr">
        <is>
          <t>Dipatuan</t>
        </is>
      </c>
    </row>
    <row r="21344" spans="1:1">
      <c r="A21344" t="inlineStr">
        <is>
          <t>Gandamato</t>
        </is>
      </c>
    </row>
    <row r="21345" spans="1:1">
      <c r="A21345" t="inlineStr">
        <is>
          <t>Gurain</t>
        </is>
      </c>
    </row>
    <row r="21346" spans="1:1">
      <c r="A21346" t="inlineStr">
        <is>
          <t>Ilian</t>
        </is>
      </c>
    </row>
    <row r="21347" spans="1:1">
      <c r="A21347" t="inlineStr">
        <is>
          <t>Lama</t>
        </is>
      </c>
    </row>
    <row r="21348" spans="1:1">
      <c r="A21348" t="inlineStr">
        <is>
          <t>Liawao</t>
        </is>
      </c>
    </row>
    <row r="21349" spans="1:1">
      <c r="A21349" t="inlineStr">
        <is>
          <t>Lumbaca-Ingud</t>
        </is>
      </c>
    </row>
    <row r="21350" spans="1:1">
      <c r="A21350" t="inlineStr">
        <is>
          <t>Madanding</t>
        </is>
      </c>
    </row>
    <row r="21351" spans="1:1">
      <c r="A21351" t="inlineStr">
        <is>
          <t>Orong</t>
        </is>
      </c>
    </row>
    <row r="21352" spans="1:1">
      <c r="A21352" t="inlineStr">
        <is>
          <t>Pindolonan</t>
        </is>
      </c>
    </row>
    <row r="21353" spans="1:1">
      <c r="A21353" t="inlineStr">
        <is>
          <t>Poblacion I</t>
        </is>
      </c>
    </row>
    <row r="21354" spans="1:1">
      <c r="A21354" t="inlineStr">
        <is>
          <t>Poblacion II</t>
        </is>
      </c>
    </row>
    <row r="21355" spans="1:1">
      <c r="A21355" t="inlineStr">
        <is>
          <t>Raya</t>
        </is>
      </c>
    </row>
    <row r="21356" spans="1:1">
      <c r="A21356" t="inlineStr">
        <is>
          <t>Rorowan</t>
        </is>
      </c>
    </row>
    <row r="21357" spans="1:1">
      <c r="A21357" t="inlineStr">
        <is>
          <t>Sugod</t>
        </is>
      </c>
    </row>
    <row r="21358" spans="1:1">
      <c r="A21358" t="inlineStr">
        <is>
          <t>Tambo</t>
        </is>
      </c>
    </row>
    <row r="21359" spans="1:1">
      <c r="A21359" t="inlineStr">
        <is>
          <t>Tuka I</t>
        </is>
      </c>
    </row>
    <row r="21360" spans="1:1">
      <c r="A21360" t="inlineStr">
        <is>
          <t>Tuka II</t>
        </is>
      </c>
    </row>
    <row r="21361" spans="1:1">
      <c r="A21361" t="inlineStr">
        <is>
          <t>Bagoaingud</t>
        </is>
      </c>
    </row>
    <row r="21362" spans="1:1">
      <c r="A21362" t="inlineStr">
        <is>
          <t>Banago</t>
        </is>
      </c>
    </row>
    <row r="21363" spans="1:1">
      <c r="A21363" t="inlineStr">
        <is>
          <t>Barorao</t>
        </is>
      </c>
    </row>
    <row r="21364" spans="1:1">
      <c r="A21364" t="inlineStr">
        <is>
          <t>Batuan</t>
        </is>
      </c>
    </row>
    <row r="21365" spans="1:1">
      <c r="A21365" t="inlineStr">
        <is>
          <t>Budas</t>
        </is>
      </c>
    </row>
    <row r="21366" spans="1:1">
      <c r="A21366" t="inlineStr">
        <is>
          <t>Buenavista</t>
        </is>
      </c>
    </row>
    <row r="21367" spans="1:1">
      <c r="A21367" t="inlineStr">
        <is>
          <t>Buisan</t>
        </is>
      </c>
    </row>
    <row r="21368" spans="1:1">
      <c r="A21368" t="inlineStr">
        <is>
          <t>Calilangan</t>
        </is>
      </c>
    </row>
    <row r="21369" spans="1:1">
      <c r="A21369" t="inlineStr">
        <is>
          <t>Igabay</t>
        </is>
      </c>
    </row>
    <row r="21370" spans="1:1">
      <c r="A21370" t="inlineStr">
        <is>
          <t>Ilian</t>
        </is>
      </c>
    </row>
    <row r="21371" spans="1:1">
      <c r="A21371" t="inlineStr">
        <is>
          <t>Lalabuan</t>
        </is>
      </c>
    </row>
    <row r="21372" spans="1:1">
      <c r="A21372" t="inlineStr">
        <is>
          <t>Lorenzo</t>
        </is>
      </c>
    </row>
    <row r="21373" spans="1:1">
      <c r="A21373" t="inlineStr">
        <is>
          <t>Lower Itil</t>
        </is>
      </c>
    </row>
    <row r="21374" spans="1:1">
      <c r="A21374" t="inlineStr">
        <is>
          <t>Lumbac</t>
        </is>
      </c>
    </row>
    <row r="21375" spans="1:1">
      <c r="A21375" t="inlineStr">
        <is>
          <t>Macao</t>
        </is>
      </c>
    </row>
    <row r="21376" spans="1:1">
      <c r="A21376" t="inlineStr">
        <is>
          <t>Magulalung Occidental</t>
        </is>
      </c>
    </row>
    <row r="21377" spans="1:1">
      <c r="A21377" t="inlineStr">
        <is>
          <t>Magulalung Oriental</t>
        </is>
      </c>
    </row>
    <row r="21378" spans="1:1">
      <c r="A21378" t="inlineStr">
        <is>
          <t>Matampay</t>
        </is>
      </c>
    </row>
    <row r="21379" spans="1:1">
      <c r="A21379" t="inlineStr">
        <is>
          <t>Matanog</t>
        </is>
      </c>
    </row>
    <row r="21380" spans="1:1">
      <c r="A21380" t="inlineStr">
        <is>
          <t>Molimoc</t>
        </is>
      </c>
    </row>
    <row r="21381" spans="1:1">
      <c r="A21381" t="inlineStr">
        <is>
          <t>Narra</t>
        </is>
      </c>
    </row>
    <row r="21382" spans="1:1">
      <c r="A21382" t="inlineStr">
        <is>
          <t>Pindolonan</t>
        </is>
      </c>
    </row>
    <row r="21383" spans="1:1">
      <c r="A21383" t="inlineStr">
        <is>
          <t>Plasan</t>
        </is>
      </c>
    </row>
    <row r="21384" spans="1:1">
      <c r="A21384" t="inlineStr">
        <is>
          <t>Poblacion</t>
        </is>
      </c>
    </row>
    <row r="21385" spans="1:1">
      <c r="A21385" t="inlineStr">
        <is>
          <t>Purakan</t>
        </is>
      </c>
    </row>
    <row r="21386" spans="1:1">
      <c r="A21386" t="inlineStr">
        <is>
          <t>Tataya</t>
        </is>
      </c>
    </row>
    <row r="21387" spans="1:1">
      <c r="A21387" t="inlineStr">
        <is>
          <t>Upper Itil</t>
        </is>
      </c>
    </row>
    <row r="21388" spans="1:1">
      <c r="A21388" t="inlineStr">
        <is>
          <t>Abaga</t>
        </is>
      </c>
    </row>
    <row r="21389" spans="1:1">
      <c r="A21389" t="inlineStr">
        <is>
          <t>Bantoga Wato</t>
        </is>
      </c>
    </row>
    <row r="21390" spans="1:1">
      <c r="A21390" t="inlineStr">
        <is>
          <t>Barit</t>
        </is>
      </c>
    </row>
    <row r="21391" spans="1:1">
      <c r="A21391" t="inlineStr">
        <is>
          <t>Bolinsong</t>
        </is>
      </c>
    </row>
    <row r="21392" spans="1:1">
      <c r="A21392" t="inlineStr">
        <is>
          <t>Borakis</t>
        </is>
      </c>
    </row>
    <row r="21393" spans="1:1">
      <c r="A21393" t="inlineStr">
        <is>
          <t>Bualan</t>
        </is>
      </c>
    </row>
    <row r="21394" spans="1:1">
      <c r="A21394" t="inlineStr">
        <is>
          <t>Bubong</t>
        </is>
      </c>
    </row>
    <row r="21395" spans="1:1">
      <c r="A21395" t="inlineStr">
        <is>
          <t>Bubong Cadapaan</t>
        </is>
      </c>
    </row>
    <row r="21396" spans="1:1">
      <c r="A21396" t="inlineStr">
        <is>
          <t>Cadapaan</t>
        </is>
      </c>
    </row>
    <row r="21397" spans="1:1">
      <c r="A21397" t="inlineStr">
        <is>
          <t>Cadayonan</t>
        </is>
      </c>
    </row>
    <row r="21398" spans="1:1">
      <c r="A21398" t="inlineStr">
        <is>
          <t>Dadayag</t>
        </is>
      </c>
    </row>
    <row r="21399" spans="1:1">
      <c r="A21399" t="inlineStr">
        <is>
          <t>Dado</t>
        </is>
      </c>
    </row>
    <row r="21400" spans="1:1">
      <c r="A21400" t="inlineStr">
        <is>
          <t>Dibarusan</t>
        </is>
      </c>
    </row>
    <row r="21401" spans="1:1">
      <c r="A21401" t="inlineStr">
        <is>
          <t>Dilausan</t>
        </is>
      </c>
    </row>
    <row r="21402" spans="1:1">
      <c r="A21402" t="inlineStr">
        <is>
          <t>Dimarao</t>
        </is>
      </c>
    </row>
    <row r="21403" spans="1:1">
      <c r="A21403" t="inlineStr">
        <is>
          <t>Ingud</t>
        </is>
      </c>
    </row>
    <row r="21404" spans="1:1">
      <c r="A21404" t="inlineStr">
        <is>
          <t>Kaluntay</t>
        </is>
      </c>
    </row>
    <row r="21405" spans="1:1">
      <c r="A21405" t="inlineStr">
        <is>
          <t>Lalabuan</t>
        </is>
      </c>
    </row>
    <row r="21406" spans="1:1">
      <c r="A21406" t="inlineStr">
        <is>
          <t>Lati</t>
        </is>
      </c>
    </row>
    <row r="21407" spans="1:1">
      <c r="A21407" t="inlineStr">
        <is>
          <t>Lilod</t>
        </is>
      </c>
    </row>
    <row r="21408" spans="1:1">
      <c r="A21408" t="inlineStr">
        <is>
          <t>Limbo</t>
        </is>
      </c>
    </row>
    <row r="21409" spans="1:1">
      <c r="A21409" t="inlineStr">
        <is>
          <t>Lumbac Lalan</t>
        </is>
      </c>
    </row>
    <row r="21410" spans="1:1">
      <c r="A21410" t="inlineStr">
        <is>
          <t>Lumbac Wato</t>
        </is>
      </c>
    </row>
    <row r="21411" spans="1:1">
      <c r="A21411" t="inlineStr">
        <is>
          <t>Lumbayao</t>
        </is>
      </c>
    </row>
    <row r="21412" spans="1:1">
      <c r="A21412" t="inlineStr">
        <is>
          <t>Magarang</t>
        </is>
      </c>
    </row>
    <row r="21413" spans="1:1">
      <c r="A21413" t="inlineStr">
        <is>
          <t>Malaig</t>
        </is>
      </c>
    </row>
    <row r="21414" spans="1:1">
      <c r="A21414" t="inlineStr">
        <is>
          <t>Nusa Lumba Ranao</t>
        </is>
      </c>
    </row>
    <row r="21415" spans="1:1">
      <c r="A21415" t="inlineStr">
        <is>
          <t>Padila</t>
        </is>
      </c>
    </row>
    <row r="21416" spans="1:1">
      <c r="A21416" t="inlineStr">
        <is>
          <t>Pagayawan</t>
        </is>
      </c>
    </row>
    <row r="21417" spans="1:1">
      <c r="A21417" t="inlineStr">
        <is>
          <t>Paigoay</t>
        </is>
      </c>
    </row>
    <row r="21418" spans="1:1">
      <c r="A21418" t="inlineStr">
        <is>
          <t>Pantaragoo</t>
        </is>
      </c>
    </row>
    <row r="21419" spans="1:1">
      <c r="A21419" t="inlineStr">
        <is>
          <t>Poblacion</t>
        </is>
      </c>
    </row>
    <row r="21420" spans="1:1">
      <c r="A21420" t="inlineStr">
        <is>
          <t>Raya</t>
        </is>
      </c>
    </row>
    <row r="21421" spans="1:1">
      <c r="A21421" t="inlineStr">
        <is>
          <t>Salipongan</t>
        </is>
      </c>
    </row>
    <row r="21422" spans="1:1">
      <c r="A21422" t="inlineStr">
        <is>
          <t>Talub</t>
        </is>
      </c>
    </row>
    <row r="21423" spans="1:1">
      <c r="A21423" t="inlineStr">
        <is>
          <t>Tantua Raya</t>
        </is>
      </c>
    </row>
    <row r="21424" spans="1:1">
      <c r="A21424" t="inlineStr">
        <is>
          <t>Tomarompong</t>
        </is>
      </c>
    </row>
    <row r="21425" spans="1:1">
      <c r="A21425" t="inlineStr">
        <is>
          <t>Tuka Bubong</t>
        </is>
      </c>
    </row>
    <row r="21426" spans="1:1">
      <c r="A21426" t="inlineStr">
        <is>
          <t>Bagoaingud</t>
        </is>
      </c>
    </row>
    <row r="21427" spans="1:1">
      <c r="A21427" t="inlineStr">
        <is>
          <t>Bairan</t>
        </is>
      </c>
    </row>
    <row r="21428" spans="1:1">
      <c r="A21428" t="inlineStr">
        <is>
          <t>Bandingun</t>
        </is>
      </c>
    </row>
    <row r="21429" spans="1:1">
      <c r="A21429" t="inlineStr">
        <is>
          <t>Biabi</t>
        </is>
      </c>
    </row>
    <row r="21430" spans="1:1">
      <c r="A21430" t="inlineStr">
        <is>
          <t>Bialaan</t>
        </is>
      </c>
    </row>
    <row r="21431" spans="1:1">
      <c r="A21431" t="inlineStr">
        <is>
          <t>Bubong Lilod</t>
        </is>
      </c>
    </row>
    <row r="21432" spans="1:1">
      <c r="A21432" t="inlineStr">
        <is>
          <t>Bubong Raya</t>
        </is>
      </c>
    </row>
    <row r="21433" spans="1:1">
      <c r="A21433" t="inlineStr">
        <is>
          <t>Cadayonan</t>
        </is>
      </c>
    </row>
    <row r="21434" spans="1:1">
      <c r="A21434" t="inlineStr">
        <is>
          <t>Cadingilan Occidental</t>
        </is>
      </c>
    </row>
    <row r="21435" spans="1:1">
      <c r="A21435" t="inlineStr">
        <is>
          <t>Cadingilan Oriental</t>
        </is>
      </c>
    </row>
    <row r="21436" spans="1:1">
      <c r="A21436" t="inlineStr">
        <is>
          <t>Condaraan Pob.</t>
        </is>
      </c>
    </row>
    <row r="21437" spans="1:1">
      <c r="A21437" t="inlineStr">
        <is>
          <t>Cormatan</t>
        </is>
      </c>
    </row>
    <row r="21438" spans="1:1">
      <c r="A21438" t="inlineStr">
        <is>
          <t>Gandamato</t>
        </is>
      </c>
    </row>
    <row r="21439" spans="1:1">
      <c r="A21439" t="inlineStr">
        <is>
          <t>Ilian</t>
        </is>
      </c>
    </row>
    <row r="21440" spans="1:1">
      <c r="A21440" t="inlineStr">
        <is>
          <t>Lalapung Central</t>
        </is>
      </c>
    </row>
    <row r="21441" spans="1:1">
      <c r="A21441" t="inlineStr">
        <is>
          <t>Lalapung Proper</t>
        </is>
      </c>
    </row>
    <row r="21442" spans="1:1">
      <c r="A21442" t="inlineStr">
        <is>
          <t>Lalapung Upper</t>
        </is>
      </c>
    </row>
    <row r="21443" spans="1:1">
      <c r="A21443" t="inlineStr">
        <is>
          <t>Linao</t>
        </is>
      </c>
    </row>
    <row r="21444" spans="1:1">
      <c r="A21444" t="inlineStr">
        <is>
          <t>Linuk</t>
        </is>
      </c>
    </row>
    <row r="21445" spans="1:1">
      <c r="A21445" t="inlineStr">
        <is>
          <t>Liong</t>
        </is>
      </c>
    </row>
    <row r="21446" spans="1:1">
      <c r="A21446" t="inlineStr">
        <is>
          <t>Lumbac</t>
        </is>
      </c>
    </row>
    <row r="21447" spans="1:1">
      <c r="A21447" t="inlineStr">
        <is>
          <t>Lumbac Cadayonan</t>
        </is>
      </c>
    </row>
    <row r="21448" spans="1:1">
      <c r="A21448" t="inlineStr">
        <is>
          <t>Maliwanag</t>
        </is>
      </c>
    </row>
    <row r="21449" spans="1:1">
      <c r="A21449" t="inlineStr">
        <is>
          <t>Mapantao</t>
        </is>
      </c>
    </row>
    <row r="21450" spans="1:1">
      <c r="A21450" t="inlineStr">
        <is>
          <t>Mimbalawag</t>
        </is>
      </c>
    </row>
    <row r="21451" spans="1:1">
      <c r="A21451" t="inlineStr">
        <is>
          <t>Palao</t>
        </is>
      </c>
    </row>
    <row r="21452" spans="1:1">
      <c r="A21452" t="inlineStr">
        <is>
          <t>Pama-an</t>
        </is>
      </c>
    </row>
    <row r="21453" spans="1:1">
      <c r="A21453" t="inlineStr">
        <is>
          <t>Pamacotan</t>
        </is>
      </c>
    </row>
    <row r="21454" spans="1:1">
      <c r="A21454" t="inlineStr">
        <is>
          <t>Pantar</t>
        </is>
      </c>
    </row>
    <row r="21455" spans="1:1">
      <c r="A21455" t="inlineStr">
        <is>
          <t>Parao</t>
        </is>
      </c>
    </row>
    <row r="21456" spans="1:1">
      <c r="A21456" t="inlineStr">
        <is>
          <t>Patong</t>
        </is>
      </c>
    </row>
    <row r="21457" spans="1:1">
      <c r="A21457" t="inlineStr">
        <is>
          <t>Poblacion</t>
        </is>
      </c>
    </row>
    <row r="21458" spans="1:1">
      <c r="A21458" t="inlineStr">
        <is>
          <t>Porotan</t>
        </is>
      </c>
    </row>
    <row r="21459" spans="1:1">
      <c r="A21459" t="inlineStr">
        <is>
          <t>Rantian</t>
        </is>
      </c>
    </row>
    <row r="21460" spans="1:1">
      <c r="A21460" t="inlineStr">
        <is>
          <t>Raya Cadayonan</t>
        </is>
      </c>
    </row>
    <row r="21461" spans="1:1">
      <c r="A21461" t="inlineStr">
        <is>
          <t>Rinabor</t>
        </is>
      </c>
    </row>
    <row r="21462" spans="1:1">
      <c r="A21462" t="inlineStr">
        <is>
          <t>Samporna</t>
        </is>
      </c>
    </row>
    <row r="21463" spans="1:1">
      <c r="A21463" t="inlineStr">
        <is>
          <t>Sapa</t>
        </is>
      </c>
    </row>
    <row r="21464" spans="1:1">
      <c r="A21464" t="inlineStr">
        <is>
          <t>Silid</t>
        </is>
      </c>
    </row>
    <row r="21465" spans="1:1">
      <c r="A21465" t="inlineStr">
        <is>
          <t>Sugod</t>
        </is>
      </c>
    </row>
    <row r="21466" spans="1:1">
      <c r="A21466" t="inlineStr">
        <is>
          <t>Sultan Pandapatan</t>
        </is>
      </c>
    </row>
    <row r="21467" spans="1:1">
      <c r="A21467" t="inlineStr">
        <is>
          <t>Sumbag</t>
        </is>
      </c>
    </row>
    <row r="21468" spans="1:1">
      <c r="A21468" t="inlineStr">
        <is>
          <t>Tagoranao</t>
        </is>
      </c>
    </row>
    <row r="21469" spans="1:1">
      <c r="A21469" t="inlineStr">
        <is>
          <t>Tangcal</t>
        </is>
      </c>
    </row>
    <row r="21470" spans="1:1">
      <c r="A21470" t="inlineStr">
        <is>
          <t>Tangcal Proper</t>
        </is>
      </c>
    </row>
    <row r="21471" spans="1:1">
      <c r="A21471" t="inlineStr">
        <is>
          <t>Tomarompong</t>
        </is>
      </c>
    </row>
    <row r="21472" spans="1:1">
      <c r="A21472" t="inlineStr">
        <is>
          <t>Tomongcal Ligi</t>
        </is>
      </c>
    </row>
    <row r="21473" spans="1:1">
      <c r="A21473" t="inlineStr">
        <is>
          <t>Torogan</t>
        </is>
      </c>
    </row>
    <row r="21474" spans="1:1">
      <c r="A21474" t="inlineStr">
        <is>
          <t>Tuca</t>
        </is>
      </c>
    </row>
    <row r="21475" spans="1:1">
      <c r="A21475" t="inlineStr">
        <is>
          <t>Badak</t>
        </is>
      </c>
    </row>
    <row r="21476" spans="1:1">
      <c r="A21476" t="inlineStr">
        <is>
          <t>Baguiangun</t>
        </is>
      </c>
    </row>
    <row r="21477" spans="1:1">
      <c r="A21477" t="inlineStr">
        <is>
          <t>Balut Maito</t>
        </is>
      </c>
    </row>
    <row r="21478" spans="1:1">
      <c r="A21478" t="inlineStr">
        <is>
          <t>Basak</t>
        </is>
      </c>
    </row>
    <row r="21479" spans="1:1">
      <c r="A21479" t="inlineStr">
        <is>
          <t>Bubong</t>
        </is>
      </c>
    </row>
    <row r="21480" spans="1:1">
      <c r="A21480" t="inlineStr">
        <is>
          <t>Bubonga-Ranao</t>
        </is>
      </c>
    </row>
    <row r="21481" spans="1:1">
      <c r="A21481" t="inlineStr">
        <is>
          <t>Dansalan Dacsula</t>
        </is>
      </c>
    </row>
    <row r="21482" spans="1:1">
      <c r="A21482" t="inlineStr">
        <is>
          <t>Ingud</t>
        </is>
      </c>
    </row>
    <row r="21483" spans="1:1">
      <c r="A21483" t="inlineStr">
        <is>
          <t>Kialilidan</t>
        </is>
      </c>
    </row>
    <row r="21484" spans="1:1">
      <c r="A21484" t="inlineStr">
        <is>
          <t>Lumbac</t>
        </is>
      </c>
    </row>
    <row r="21485" spans="1:1">
      <c r="A21485" t="inlineStr">
        <is>
          <t>Macaguiling</t>
        </is>
      </c>
    </row>
    <row r="21486" spans="1:1">
      <c r="A21486" t="inlineStr">
        <is>
          <t>Madaya</t>
        </is>
      </c>
    </row>
    <row r="21487" spans="1:1">
      <c r="A21487" t="inlineStr">
        <is>
          <t>Magonaya</t>
        </is>
      </c>
    </row>
    <row r="21488" spans="1:1">
      <c r="A21488" t="inlineStr">
        <is>
          <t>Maindig</t>
        </is>
      </c>
    </row>
    <row r="21489" spans="1:1">
      <c r="A21489" t="inlineStr">
        <is>
          <t>Masolun</t>
        </is>
      </c>
    </row>
    <row r="21490" spans="1:1">
      <c r="A21490" t="inlineStr">
        <is>
          <t>Olama</t>
        </is>
      </c>
    </row>
    <row r="21491" spans="1:1">
      <c r="A21491" t="inlineStr">
        <is>
          <t>Pagalamatan</t>
        </is>
      </c>
    </row>
    <row r="21492" spans="1:1">
      <c r="A21492" t="inlineStr">
        <is>
          <t>Pantar</t>
        </is>
      </c>
    </row>
    <row r="21493" spans="1:1">
      <c r="A21493" t="inlineStr">
        <is>
          <t>Picalilangan</t>
        </is>
      </c>
    </row>
    <row r="21494" spans="1:1">
      <c r="A21494" t="inlineStr">
        <is>
          <t>Picotaan</t>
        </is>
      </c>
    </row>
    <row r="21495" spans="1:1">
      <c r="A21495" t="inlineStr">
        <is>
          <t>Pindolonan</t>
        </is>
      </c>
    </row>
    <row r="21496" spans="1:1">
      <c r="A21496" t="inlineStr">
        <is>
          <t>Poblacion</t>
        </is>
      </c>
    </row>
    <row r="21497" spans="1:1">
      <c r="A21497" t="inlineStr">
        <is>
          <t>Soldaroro</t>
        </is>
      </c>
    </row>
    <row r="21498" spans="1:1">
      <c r="A21498" t="inlineStr">
        <is>
          <t>Tambac</t>
        </is>
      </c>
    </row>
    <row r="21499" spans="1:1">
      <c r="A21499" t="inlineStr">
        <is>
          <t>Timbangan</t>
        </is>
      </c>
    </row>
    <row r="21500" spans="1:1">
      <c r="A21500" t="inlineStr">
        <is>
          <t>Tuca</t>
        </is>
      </c>
    </row>
    <row r="21501" spans="1:1">
      <c r="A21501" t="inlineStr">
        <is>
          <t>Bacolod</t>
        </is>
      </c>
    </row>
    <row r="21502" spans="1:1">
      <c r="A21502" t="inlineStr">
        <is>
          <t>Bangon</t>
        </is>
      </c>
    </row>
    <row r="21503" spans="1:1">
      <c r="A21503" t="inlineStr">
        <is>
          <t>Bangon Proper</t>
        </is>
      </c>
    </row>
    <row r="21504" spans="1:1">
      <c r="A21504" t="inlineStr">
        <is>
          <t>Boto Ragondingan</t>
        </is>
      </c>
    </row>
    <row r="21505" spans="1:1">
      <c r="A21505" t="inlineStr">
        <is>
          <t>Buadiposo Lilod</t>
        </is>
      </c>
    </row>
    <row r="21506" spans="1:1">
      <c r="A21506" t="inlineStr">
        <is>
          <t>Buadiposo Proper</t>
        </is>
      </c>
    </row>
    <row r="21507" spans="1:1">
      <c r="A21507" t="inlineStr">
        <is>
          <t>Buadiposo Raya</t>
        </is>
      </c>
    </row>
    <row r="21508" spans="1:1">
      <c r="A21508" t="inlineStr">
        <is>
          <t>Bubong</t>
        </is>
      </c>
    </row>
    <row r="21509" spans="1:1">
      <c r="A21509" t="inlineStr">
        <is>
          <t>Buntong Proper</t>
        </is>
      </c>
    </row>
    <row r="21510" spans="1:1">
      <c r="A21510" t="inlineStr">
        <is>
          <t>Cadayonan</t>
        </is>
      </c>
    </row>
    <row r="21511" spans="1:1">
      <c r="A21511" t="inlineStr">
        <is>
          <t>Dansalan</t>
        </is>
      </c>
    </row>
    <row r="21512" spans="1:1">
      <c r="A21512" t="inlineStr">
        <is>
          <t>Datu Tambara</t>
        </is>
      </c>
    </row>
    <row r="21513" spans="1:1">
      <c r="A21513" t="inlineStr">
        <is>
          <t>Dirisan</t>
        </is>
      </c>
    </row>
    <row r="21514" spans="1:1">
      <c r="A21514" t="inlineStr">
        <is>
          <t>Gata</t>
        </is>
      </c>
    </row>
    <row r="21515" spans="1:1">
      <c r="A21515" t="inlineStr">
        <is>
          <t>Kalakala</t>
        </is>
      </c>
    </row>
    <row r="21516" spans="1:1">
      <c r="A21516" t="inlineStr">
        <is>
          <t>Katogonan</t>
        </is>
      </c>
    </row>
    <row r="21517" spans="1:1">
      <c r="A21517" t="inlineStr">
        <is>
          <t>Lumbac</t>
        </is>
      </c>
    </row>
    <row r="21518" spans="1:1">
      <c r="A21518" t="inlineStr">
        <is>
          <t>Lumbatan Manacab</t>
        </is>
      </c>
    </row>
    <row r="21519" spans="1:1">
      <c r="A21519" t="inlineStr">
        <is>
          <t>Lumbatan Pataingud</t>
        </is>
      </c>
    </row>
    <row r="21520" spans="1:1">
      <c r="A21520" t="inlineStr">
        <is>
          <t>Lunduban</t>
        </is>
      </c>
    </row>
    <row r="21521" spans="1:1">
      <c r="A21521" t="inlineStr">
        <is>
          <t>Manacab</t>
        </is>
      </c>
    </row>
    <row r="21522" spans="1:1">
      <c r="A21522" t="inlineStr">
        <is>
          <t>Minanga</t>
        </is>
      </c>
    </row>
    <row r="21523" spans="1:1">
      <c r="A21523" t="inlineStr">
        <is>
          <t>Paling</t>
        </is>
      </c>
    </row>
    <row r="21524" spans="1:1">
      <c r="A21524" t="inlineStr">
        <is>
          <t>Pindolonan</t>
        </is>
      </c>
    </row>
    <row r="21525" spans="1:1">
      <c r="A21525" t="inlineStr">
        <is>
          <t>Pualas</t>
        </is>
      </c>
    </row>
    <row r="21526" spans="1:1">
      <c r="A21526" t="inlineStr">
        <is>
          <t>Ragondingan East</t>
        </is>
      </c>
    </row>
    <row r="21527" spans="1:1">
      <c r="A21527" t="inlineStr">
        <is>
          <t>Ragondingan Proper</t>
        </is>
      </c>
    </row>
    <row r="21528" spans="1:1">
      <c r="A21528" t="inlineStr">
        <is>
          <t>Ragondingan West</t>
        </is>
      </c>
    </row>
    <row r="21529" spans="1:1">
      <c r="A21529" t="inlineStr">
        <is>
          <t>Raya Buntong</t>
        </is>
      </c>
    </row>
    <row r="21530" spans="1:1">
      <c r="A21530" t="inlineStr">
        <is>
          <t>Sapot</t>
        </is>
      </c>
    </row>
    <row r="21531" spans="1:1">
      <c r="A21531" t="inlineStr">
        <is>
          <t>Tangcal</t>
        </is>
      </c>
    </row>
    <row r="21532" spans="1:1">
      <c r="A21532" t="inlineStr">
        <is>
          <t>Tarik</t>
        </is>
      </c>
    </row>
    <row r="21533" spans="1:1">
      <c r="A21533" t="inlineStr">
        <is>
          <t>Tuka</t>
        </is>
      </c>
    </row>
    <row r="21534" spans="1:1">
      <c r="A21534" t="inlineStr">
        <is>
          <t>Bacolod</t>
        </is>
      </c>
    </row>
    <row r="21535" spans="1:1">
      <c r="A21535" t="inlineStr">
        <is>
          <t>Bagoaingud</t>
        </is>
      </c>
    </row>
    <row r="21536" spans="1:1">
      <c r="A21536" t="inlineStr">
        <is>
          <t>Bansayan</t>
        </is>
      </c>
    </row>
    <row r="21537" spans="1:1">
      <c r="A21537" t="inlineStr">
        <is>
          <t>Basingan</t>
        </is>
      </c>
    </row>
    <row r="21538" spans="1:1">
      <c r="A21538" t="inlineStr">
        <is>
          <t>Batangan</t>
        </is>
      </c>
    </row>
    <row r="21539" spans="1:1">
      <c r="A21539" t="inlineStr">
        <is>
          <t>Bualan</t>
        </is>
      </c>
    </row>
    <row r="21540" spans="1:1">
      <c r="A21540" t="inlineStr">
        <is>
          <t>Bubonga Didagun</t>
        </is>
      </c>
    </row>
    <row r="21541" spans="1:1">
      <c r="A21541" t="inlineStr">
        <is>
          <t>Carigongan</t>
        </is>
      </c>
    </row>
    <row r="21542" spans="1:1">
      <c r="A21542" t="inlineStr">
        <is>
          <t>Dalaon</t>
        </is>
      </c>
    </row>
    <row r="21543" spans="1:1">
      <c r="A21543" t="inlineStr">
        <is>
          <t>Dibarosan</t>
        </is>
      </c>
    </row>
    <row r="21544" spans="1:1">
      <c r="A21544" t="inlineStr">
        <is>
          <t>Dilabayan</t>
        </is>
      </c>
    </row>
    <row r="21545" spans="1:1">
      <c r="A21545" t="inlineStr">
        <is>
          <t>Dimapatoy</t>
        </is>
      </c>
    </row>
    <row r="21546" spans="1:1">
      <c r="A21546" t="inlineStr">
        <is>
          <t>Dimayon</t>
        </is>
      </c>
    </row>
    <row r="21547" spans="1:1">
      <c r="A21547" t="inlineStr">
        <is>
          <t>Dimayon Proper</t>
        </is>
      </c>
    </row>
    <row r="21548" spans="1:1">
      <c r="A21548" t="inlineStr">
        <is>
          <t>Diolangan</t>
        </is>
      </c>
    </row>
    <row r="21549" spans="1:1">
      <c r="A21549" t="inlineStr">
        <is>
          <t>Guiguikun</t>
        </is>
      </c>
    </row>
    <row r="21550" spans="1:1">
      <c r="A21550" t="inlineStr">
        <is>
          <t>Madanding</t>
        </is>
      </c>
    </row>
    <row r="21551" spans="1:1">
      <c r="A21551" t="inlineStr">
        <is>
          <t>Malungun</t>
        </is>
      </c>
    </row>
    <row r="21552" spans="1:1">
      <c r="A21552" t="inlineStr">
        <is>
          <t>Masorot</t>
        </is>
      </c>
    </row>
    <row r="21553" spans="1:1">
      <c r="A21553" t="inlineStr">
        <is>
          <t>Matampay Dimarao</t>
        </is>
      </c>
    </row>
    <row r="21554" spans="1:1">
      <c r="A21554" t="inlineStr">
        <is>
          <t>Miabalawag</t>
        </is>
      </c>
    </row>
    <row r="21555" spans="1:1">
      <c r="A21555" t="inlineStr">
        <is>
          <t>Montiaan</t>
        </is>
      </c>
    </row>
    <row r="21556" spans="1:1">
      <c r="A21556" t="inlineStr">
        <is>
          <t>Pagayawan</t>
        </is>
      </c>
    </row>
    <row r="21557" spans="1:1">
      <c r="A21557" t="inlineStr">
        <is>
          <t>Palao</t>
        </is>
      </c>
    </row>
    <row r="21558" spans="1:1">
      <c r="A21558" t="inlineStr">
        <is>
          <t>Panalawan</t>
        </is>
      </c>
    </row>
    <row r="21559" spans="1:1">
      <c r="A21559" t="inlineStr">
        <is>
          <t>Pantar</t>
        </is>
      </c>
    </row>
    <row r="21560" spans="1:1">
      <c r="A21560" t="inlineStr">
        <is>
          <t>Pendogoan</t>
        </is>
      </c>
    </row>
    <row r="21561" spans="1:1">
      <c r="A21561" t="inlineStr">
        <is>
          <t>Pindolonan</t>
        </is>
      </c>
    </row>
    <row r="21562" spans="1:1">
      <c r="A21562" t="inlineStr">
        <is>
          <t>Poblacion</t>
        </is>
      </c>
    </row>
    <row r="21563" spans="1:1">
      <c r="A21563" t="inlineStr">
        <is>
          <t>Polayagan</t>
        </is>
      </c>
    </row>
    <row r="21564" spans="1:1">
      <c r="A21564" t="inlineStr">
        <is>
          <t>Punud</t>
        </is>
      </c>
    </row>
    <row r="21565" spans="1:1">
      <c r="A21565" t="inlineStr">
        <is>
          <t>Ramain Bubong</t>
        </is>
      </c>
    </row>
    <row r="21566" spans="1:1">
      <c r="A21566" t="inlineStr">
        <is>
          <t>Rogero</t>
        </is>
      </c>
    </row>
    <row r="21567" spans="1:1">
      <c r="A21567" t="inlineStr">
        <is>
          <t>Salipongan</t>
        </is>
      </c>
    </row>
    <row r="21568" spans="1:1">
      <c r="A21568" t="inlineStr">
        <is>
          <t>Sunggod</t>
        </is>
      </c>
    </row>
    <row r="21569" spans="1:1">
      <c r="A21569" t="inlineStr">
        <is>
          <t>Taboro</t>
        </is>
      </c>
    </row>
    <row r="21570" spans="1:1">
      <c r="A21570" t="inlineStr">
        <is>
          <t>Bayabao Poblacion</t>
        </is>
      </c>
    </row>
    <row r="21571" spans="1:1">
      <c r="A21571" t="inlineStr">
        <is>
          <t>Butig Proper</t>
        </is>
      </c>
    </row>
    <row r="21572" spans="1:1">
      <c r="A21572" t="inlineStr">
        <is>
          <t>Cabasaran</t>
        </is>
      </c>
    </row>
    <row r="21573" spans="1:1">
      <c r="A21573" t="inlineStr">
        <is>
          <t>Coloyan Tambo</t>
        </is>
      </c>
    </row>
    <row r="21574" spans="1:1">
      <c r="A21574" t="inlineStr">
        <is>
          <t>Dilimbayan</t>
        </is>
      </c>
    </row>
    <row r="21575" spans="1:1">
      <c r="A21575" t="inlineStr">
        <is>
          <t>Dolangan</t>
        </is>
      </c>
    </row>
    <row r="21576" spans="1:1">
      <c r="A21576" t="inlineStr">
        <is>
          <t>Malungun</t>
        </is>
      </c>
    </row>
    <row r="21577" spans="1:1">
      <c r="A21577" t="inlineStr">
        <is>
          <t>Pindolonan</t>
        </is>
      </c>
    </row>
    <row r="21578" spans="1:1">
      <c r="A21578" t="inlineStr">
        <is>
          <t>Poktan</t>
        </is>
      </c>
    </row>
    <row r="21579" spans="1:1">
      <c r="A21579" t="inlineStr">
        <is>
          <t>Ragayan</t>
        </is>
      </c>
    </row>
    <row r="21580" spans="1:1">
      <c r="A21580" t="inlineStr">
        <is>
          <t>Raya</t>
        </is>
      </c>
    </row>
    <row r="21581" spans="1:1">
      <c r="A21581" t="inlineStr">
        <is>
          <t>Samer</t>
        </is>
      </c>
    </row>
    <row r="21582" spans="1:1">
      <c r="A21582" t="inlineStr">
        <is>
          <t>Sandab Madaya</t>
        </is>
      </c>
    </row>
    <row r="21583" spans="1:1">
      <c r="A21583" t="inlineStr">
        <is>
          <t>Sundig</t>
        </is>
      </c>
    </row>
    <row r="21584" spans="1:1">
      <c r="A21584" t="inlineStr">
        <is>
          <t>Timbab</t>
        </is>
      </c>
    </row>
    <row r="21585" spans="1:1">
      <c r="A21585" t="inlineStr">
        <is>
          <t>Tiowi</t>
        </is>
      </c>
    </row>
    <row r="21586" spans="1:1">
      <c r="A21586" t="inlineStr">
        <is>
          <t>Bubonga Ranao</t>
        </is>
      </c>
    </row>
    <row r="21587" spans="1:1">
      <c r="A21587" t="inlineStr">
        <is>
          <t>Calalaoan</t>
        </is>
      </c>
    </row>
    <row r="21588" spans="1:1">
      <c r="A21588" t="inlineStr">
        <is>
          <t>Gas</t>
        </is>
      </c>
    </row>
    <row r="21589" spans="1:1">
      <c r="A21589" t="inlineStr">
        <is>
          <t>Inoma</t>
        </is>
      </c>
    </row>
    <row r="21590" spans="1:1">
      <c r="A21590" t="inlineStr">
        <is>
          <t>Inudaran</t>
        </is>
      </c>
    </row>
    <row r="21591" spans="1:1">
      <c r="A21591" t="inlineStr">
        <is>
          <t>Luguna</t>
        </is>
      </c>
    </row>
    <row r="21592" spans="1:1">
      <c r="A21592" t="inlineStr">
        <is>
          <t>Mimbalawag</t>
        </is>
      </c>
    </row>
    <row r="21593" spans="1:1">
      <c r="A21593" t="inlineStr">
        <is>
          <t>Ngingir</t>
        </is>
      </c>
    </row>
    <row r="21594" spans="1:1">
      <c r="A21594" t="inlineStr">
        <is>
          <t>Pagalongan</t>
        </is>
      </c>
    </row>
    <row r="21595" spans="1:1">
      <c r="A21595" t="inlineStr">
        <is>
          <t>Panggawalupa</t>
        </is>
      </c>
    </row>
    <row r="21596" spans="1:1">
      <c r="A21596" t="inlineStr">
        <is>
          <t>Pantaon</t>
        </is>
      </c>
    </row>
    <row r="21597" spans="1:1">
      <c r="A21597" t="inlineStr">
        <is>
          <t>Piksan</t>
        </is>
      </c>
    </row>
    <row r="21598" spans="1:1">
      <c r="A21598" t="inlineStr">
        <is>
          <t>Pindolonan</t>
        </is>
      </c>
    </row>
    <row r="21599" spans="1:1">
      <c r="A21599" t="inlineStr">
        <is>
          <t>Punud</t>
        </is>
      </c>
    </row>
    <row r="21600" spans="1:1">
      <c r="A21600" t="inlineStr">
        <is>
          <t>Tagoranao</t>
        </is>
      </c>
    </row>
    <row r="21601" spans="1:1">
      <c r="A21601" t="inlineStr">
        <is>
          <t>Taliboboka</t>
        </is>
      </c>
    </row>
    <row r="21602" spans="1:1">
      <c r="A21602" t="inlineStr">
        <is>
          <t>Tambac</t>
        </is>
      </c>
    </row>
    <row r="21603" spans="1:1">
      <c r="A21603" t="inlineStr">
        <is>
          <t>Ambolong</t>
        </is>
      </c>
    </row>
    <row r="21604" spans="1:1">
      <c r="A21604" t="inlineStr">
        <is>
          <t>Amito Marantao</t>
        </is>
      </c>
    </row>
    <row r="21605" spans="1:1">
      <c r="A21605" t="inlineStr">
        <is>
          <t>Angoyao</t>
        </is>
      </c>
    </row>
    <row r="21606" spans="1:1">
      <c r="A21606" t="inlineStr">
        <is>
          <t>Bacolod Chico Proper</t>
        </is>
      </c>
    </row>
    <row r="21607" spans="1:1">
      <c r="A21607" t="inlineStr">
        <is>
          <t>Banga</t>
        </is>
      </c>
    </row>
    <row r="21608" spans="1:1">
      <c r="A21608" t="inlineStr">
        <is>
          <t>Bangco</t>
        </is>
      </c>
    </row>
    <row r="21609" spans="1:1">
      <c r="A21609" t="inlineStr">
        <is>
          <t>Banggolo Poblacion</t>
        </is>
      </c>
    </row>
    <row r="21610" spans="1:1">
      <c r="A21610" t="inlineStr">
        <is>
          <t>Bangon</t>
        </is>
      </c>
    </row>
    <row r="21611" spans="1:1">
      <c r="A21611" t="inlineStr">
        <is>
          <t>Basak Malutlut</t>
        </is>
      </c>
    </row>
    <row r="21612" spans="1:1">
      <c r="A21612" t="inlineStr">
        <is>
          <t>Beyaba-Damag</t>
        </is>
      </c>
    </row>
    <row r="21613" spans="1:1">
      <c r="A21613" t="inlineStr">
        <is>
          <t>Bito Buadi Itowa</t>
        </is>
      </c>
    </row>
    <row r="21614" spans="1:1">
      <c r="A21614" t="inlineStr">
        <is>
          <t>Bito Buadi Parba</t>
        </is>
      </c>
    </row>
    <row r="21615" spans="1:1">
      <c r="A21615" t="inlineStr">
        <is>
          <t>Boganga</t>
        </is>
      </c>
    </row>
    <row r="21616" spans="1:1">
      <c r="A21616" t="inlineStr">
        <is>
          <t>Boganga II</t>
        </is>
      </c>
    </row>
    <row r="21617" spans="1:1">
      <c r="A21617" t="inlineStr">
        <is>
          <t>Boto Ambolong</t>
        </is>
      </c>
    </row>
    <row r="21618" spans="1:1">
      <c r="A21618" t="inlineStr">
        <is>
          <t>Buadi Sacayo</t>
        </is>
      </c>
    </row>
    <row r="21619" spans="1:1">
      <c r="A21619" t="inlineStr">
        <is>
          <t>Bubong Lumbac</t>
        </is>
      </c>
    </row>
    <row r="21620" spans="1:1">
      <c r="A21620" t="inlineStr">
        <is>
          <t>Bubonga Cadayonan</t>
        </is>
      </c>
    </row>
    <row r="21621" spans="1:1">
      <c r="A21621" t="inlineStr">
        <is>
          <t>Bubonga Lilod Madaya</t>
        </is>
      </c>
    </row>
    <row r="21622" spans="1:1">
      <c r="A21622" t="inlineStr">
        <is>
          <t>Bubonga Marawi</t>
        </is>
      </c>
    </row>
    <row r="21623" spans="1:1">
      <c r="A21623" t="inlineStr">
        <is>
          <t>Bubonga Pagalamatan</t>
        </is>
      </c>
    </row>
    <row r="21624" spans="1:1">
      <c r="A21624" t="inlineStr">
        <is>
          <t>Bubonga Punod</t>
        </is>
      </c>
    </row>
    <row r="21625" spans="1:1">
      <c r="A21625" t="inlineStr">
        <is>
          <t>Cabasaran</t>
        </is>
      </c>
    </row>
    <row r="21626" spans="1:1">
      <c r="A21626" t="inlineStr">
        <is>
          <t>Cabingan</t>
        </is>
      </c>
    </row>
    <row r="21627" spans="1:1">
      <c r="A21627" t="inlineStr">
        <is>
          <t>Cadayonan</t>
        </is>
      </c>
    </row>
    <row r="21628" spans="1:1">
      <c r="A21628" t="inlineStr">
        <is>
          <t>Cadayonan I</t>
        </is>
      </c>
    </row>
    <row r="21629" spans="1:1">
      <c r="A21629" t="inlineStr">
        <is>
          <t>Calocan East</t>
        </is>
      </c>
    </row>
    <row r="21630" spans="1:1">
      <c r="A21630" t="inlineStr">
        <is>
          <t>Calocan West</t>
        </is>
      </c>
    </row>
    <row r="21631" spans="1:1">
      <c r="A21631" t="inlineStr">
        <is>
          <t>Daguduban</t>
        </is>
      </c>
    </row>
    <row r="21632" spans="1:1">
      <c r="A21632" t="inlineStr">
        <is>
          <t>Dansalan</t>
        </is>
      </c>
    </row>
    <row r="21633" spans="1:1">
      <c r="A21633" t="inlineStr">
        <is>
          <t>Datu Dalidigan</t>
        </is>
      </c>
    </row>
    <row r="21634" spans="1:1">
      <c r="A21634" t="inlineStr">
        <is>
          <t>Datu Naga</t>
        </is>
      </c>
    </row>
    <row r="21635" spans="1:1">
      <c r="A21635" t="inlineStr">
        <is>
          <t>Datu Sa Dansalan</t>
        </is>
      </c>
    </row>
    <row r="21636" spans="1:1">
      <c r="A21636" t="inlineStr">
        <is>
          <t>Dayawan</t>
        </is>
      </c>
    </row>
    <row r="21637" spans="1:1">
      <c r="A21637" t="inlineStr">
        <is>
          <t>Dimaluna</t>
        </is>
      </c>
    </row>
    <row r="21638" spans="1:1">
      <c r="A21638" t="inlineStr">
        <is>
          <t>Dulay</t>
        </is>
      </c>
    </row>
    <row r="21639" spans="1:1">
      <c r="A21639" t="inlineStr">
        <is>
          <t>Dulay West</t>
        </is>
      </c>
    </row>
    <row r="21640" spans="1:1">
      <c r="A21640" t="inlineStr">
        <is>
          <t>East Basak</t>
        </is>
      </c>
    </row>
    <row r="21641" spans="1:1">
      <c r="A21641" t="inlineStr">
        <is>
          <t>Emie Punud</t>
        </is>
      </c>
    </row>
    <row r="21642" spans="1:1">
      <c r="A21642" t="inlineStr">
        <is>
          <t>Fort</t>
        </is>
      </c>
    </row>
    <row r="21643" spans="1:1">
      <c r="A21643" t="inlineStr">
        <is>
          <t>Gadongan</t>
        </is>
      </c>
    </row>
    <row r="21644" spans="1:1">
      <c r="A21644" t="inlineStr">
        <is>
          <t>Gadongan Mapantao</t>
        </is>
      </c>
    </row>
    <row r="21645" spans="1:1">
      <c r="A21645" t="inlineStr">
        <is>
          <t>Guimba</t>
        </is>
      </c>
    </row>
    <row r="21646" spans="1:1">
      <c r="A21646" t="inlineStr">
        <is>
          <t>Kapantaran</t>
        </is>
      </c>
    </row>
    <row r="21647" spans="1:1">
      <c r="A21647" t="inlineStr">
        <is>
          <t>Kilala</t>
        </is>
      </c>
    </row>
    <row r="21648" spans="1:1">
      <c r="A21648" t="inlineStr">
        <is>
          <t>Kormatan Matampay</t>
        </is>
      </c>
    </row>
    <row r="21649" spans="1:1">
      <c r="A21649" t="inlineStr">
        <is>
          <t>Lilod Madaya</t>
        </is>
      </c>
    </row>
    <row r="21650" spans="1:1">
      <c r="A21650" t="inlineStr">
        <is>
          <t>Lilod Saduc</t>
        </is>
      </c>
    </row>
    <row r="21651" spans="1:1">
      <c r="A21651" t="inlineStr">
        <is>
          <t>Lomidong</t>
        </is>
      </c>
    </row>
    <row r="21652" spans="1:1">
      <c r="A21652" t="inlineStr">
        <is>
          <t>Lumbac Marinaut</t>
        </is>
      </c>
    </row>
    <row r="21653" spans="1:1">
      <c r="A21653" t="inlineStr">
        <is>
          <t>Lumbaca Madaya</t>
        </is>
      </c>
    </row>
    <row r="21654" spans="1:1">
      <c r="A21654" t="inlineStr">
        <is>
          <t>Lumbaca Toros</t>
        </is>
      </c>
    </row>
    <row r="21655" spans="1:1">
      <c r="A21655" t="inlineStr">
        <is>
          <t>Malimono</t>
        </is>
      </c>
    </row>
    <row r="21656" spans="1:1">
      <c r="A21656" t="inlineStr">
        <is>
          <t>Marawi Poblacion</t>
        </is>
      </c>
    </row>
    <row r="21657" spans="1:1">
      <c r="A21657" t="inlineStr">
        <is>
          <t>Marinaut East</t>
        </is>
      </c>
    </row>
    <row r="21658" spans="1:1">
      <c r="A21658" t="inlineStr">
        <is>
          <t>Marinaut West</t>
        </is>
      </c>
    </row>
    <row r="21659" spans="1:1">
      <c r="A21659" t="inlineStr">
        <is>
          <t>Matampay</t>
        </is>
      </c>
    </row>
    <row r="21660" spans="1:1">
      <c r="A21660" t="inlineStr">
        <is>
          <t>Mipaga Proper</t>
        </is>
      </c>
    </row>
    <row r="21661" spans="1:1">
      <c r="A21661" t="inlineStr">
        <is>
          <t>Moncado Colony</t>
        </is>
      </c>
    </row>
    <row r="21662" spans="1:1">
      <c r="A21662" t="inlineStr">
        <is>
          <t>Moncado Kadingilan</t>
        </is>
      </c>
    </row>
    <row r="21663" spans="1:1">
      <c r="A21663" t="inlineStr">
        <is>
          <t>Moriatao Loksadato</t>
        </is>
      </c>
    </row>
    <row r="21664" spans="1:1">
      <c r="A21664" t="inlineStr">
        <is>
          <t>Navarro</t>
        </is>
      </c>
    </row>
    <row r="21665" spans="1:1">
      <c r="A21665" t="inlineStr">
        <is>
          <t>Norhaya Village</t>
        </is>
      </c>
    </row>
    <row r="21666" spans="1:1">
      <c r="A21666" t="inlineStr">
        <is>
          <t>Olawa Ambolong</t>
        </is>
      </c>
    </row>
    <row r="21667" spans="1:1">
      <c r="A21667" t="inlineStr">
        <is>
          <t>Pagalamatan Gambai</t>
        </is>
      </c>
    </row>
    <row r="21668" spans="1:1">
      <c r="A21668" t="inlineStr">
        <is>
          <t>Pagayawan</t>
        </is>
      </c>
    </row>
    <row r="21669" spans="1:1">
      <c r="A21669" t="inlineStr">
        <is>
          <t>Panggao Saduc</t>
        </is>
      </c>
    </row>
    <row r="21670" spans="1:1">
      <c r="A21670" t="inlineStr">
        <is>
          <t>Pantaon</t>
        </is>
      </c>
    </row>
    <row r="21671" spans="1:1">
      <c r="A21671" t="inlineStr">
        <is>
          <t>Papandayan</t>
        </is>
      </c>
    </row>
    <row r="21672" spans="1:1">
      <c r="A21672" t="inlineStr">
        <is>
          <t>Papandayan Caniogan</t>
        </is>
      </c>
    </row>
    <row r="21673" spans="1:1">
      <c r="A21673" t="inlineStr">
        <is>
          <t>Paridi</t>
        </is>
      </c>
    </row>
    <row r="21674" spans="1:1">
      <c r="A21674" t="inlineStr">
        <is>
          <t>Patani</t>
        </is>
      </c>
    </row>
    <row r="21675" spans="1:1">
      <c r="A21675" t="inlineStr">
        <is>
          <t>Pindolonan</t>
        </is>
      </c>
    </row>
    <row r="21676" spans="1:1">
      <c r="A21676" t="inlineStr">
        <is>
          <t>Poona Marantao</t>
        </is>
      </c>
    </row>
    <row r="21677" spans="1:1">
      <c r="A21677" t="inlineStr">
        <is>
          <t>Pugaan</t>
        </is>
      </c>
    </row>
    <row r="21678" spans="1:1">
      <c r="A21678" t="inlineStr">
        <is>
          <t>Rapasun MSU</t>
        </is>
      </c>
    </row>
    <row r="21679" spans="1:1">
      <c r="A21679" t="inlineStr">
        <is>
          <t>Raya Madaya I</t>
        </is>
      </c>
    </row>
    <row r="21680" spans="1:1">
      <c r="A21680" t="inlineStr">
        <is>
          <t>Raya Madaya II</t>
        </is>
      </c>
    </row>
    <row r="21681" spans="1:1">
      <c r="A21681" t="inlineStr">
        <is>
          <t>Raya Saduc</t>
        </is>
      </c>
    </row>
    <row r="21682" spans="1:1">
      <c r="A21682" t="inlineStr">
        <is>
          <t>Rorogagus East</t>
        </is>
      </c>
    </row>
    <row r="21683" spans="1:1">
      <c r="A21683" t="inlineStr">
        <is>
          <t>Rorogagus Proper</t>
        </is>
      </c>
    </row>
    <row r="21684" spans="1:1">
      <c r="A21684" t="inlineStr">
        <is>
          <t>Sabala Manao</t>
        </is>
      </c>
    </row>
    <row r="21685" spans="1:1">
      <c r="A21685" t="inlineStr">
        <is>
          <t>Sabala Manao Proper</t>
        </is>
      </c>
    </row>
    <row r="21686" spans="1:1">
      <c r="A21686" t="inlineStr">
        <is>
          <t>Saduc Proper</t>
        </is>
      </c>
    </row>
    <row r="21687" spans="1:1">
      <c r="A21687" t="inlineStr">
        <is>
          <t>Sagonsongan</t>
        </is>
      </c>
    </row>
    <row r="21688" spans="1:1">
      <c r="A21688" t="inlineStr">
        <is>
          <t>Sangcay Dansalan</t>
        </is>
      </c>
    </row>
    <row r="21689" spans="1:1">
      <c r="A21689" t="inlineStr">
        <is>
          <t>Somiorang</t>
        </is>
      </c>
    </row>
    <row r="21690" spans="1:1">
      <c r="A21690" t="inlineStr">
        <is>
          <t>South Madaya Proper</t>
        </is>
      </c>
    </row>
    <row r="21691" spans="1:1">
      <c r="A21691" t="inlineStr">
        <is>
          <t>Sugod Proper</t>
        </is>
      </c>
    </row>
    <row r="21692" spans="1:1">
      <c r="A21692" t="inlineStr">
        <is>
          <t>Sultan Corobong</t>
        </is>
      </c>
    </row>
    <row r="21693" spans="1:1">
      <c r="A21693" t="inlineStr">
        <is>
          <t>Sultan Panoroganan</t>
        </is>
      </c>
    </row>
    <row r="21694" spans="1:1">
      <c r="A21694" t="inlineStr">
        <is>
          <t>Tampilong</t>
        </is>
      </c>
    </row>
    <row r="21695" spans="1:1">
      <c r="A21695" t="inlineStr">
        <is>
          <t>Timbangalan</t>
        </is>
      </c>
    </row>
    <row r="21696" spans="1:1">
      <c r="A21696" t="inlineStr">
        <is>
          <t>Tolali</t>
        </is>
      </c>
    </row>
    <row r="21697" spans="1:1">
      <c r="A21697" t="inlineStr">
        <is>
          <t>Tongantongan-Tuca Timbangalan</t>
        </is>
      </c>
    </row>
    <row r="21698" spans="1:1">
      <c r="A21698" t="inlineStr">
        <is>
          <t>Toros</t>
        </is>
      </c>
    </row>
    <row r="21699" spans="1:1">
      <c r="A21699" t="inlineStr">
        <is>
          <t>Tuca</t>
        </is>
      </c>
    </row>
    <row r="21700" spans="1:1">
      <c r="A21700" t="inlineStr">
        <is>
          <t>Tuca Ambolong</t>
        </is>
      </c>
    </row>
    <row r="21701" spans="1:1">
      <c r="A21701" t="inlineStr">
        <is>
          <t>Tuca Marinaut</t>
        </is>
      </c>
    </row>
    <row r="21702" spans="1:1">
      <c r="A21702" t="inlineStr">
        <is>
          <t>Wawalayan Calocan</t>
        </is>
      </c>
    </row>
    <row r="21703" spans="1:1">
      <c r="A21703" t="inlineStr">
        <is>
          <t>Wawalayan Marinaut</t>
        </is>
      </c>
    </row>
    <row r="21704" spans="1:1">
      <c r="A21704" t="inlineStr">
        <is>
          <t>Baclayan Lilod</t>
        </is>
      </c>
    </row>
    <row r="21705" spans="1:1">
      <c r="A21705" t="inlineStr">
        <is>
          <t>Baclayan Raya</t>
        </is>
      </c>
    </row>
    <row r="21706" spans="1:1">
      <c r="A21706" t="inlineStr">
        <is>
          <t>Bagoaingud</t>
        </is>
      </c>
    </row>
    <row r="21707" spans="1:1">
      <c r="A21707" t="inlineStr">
        <is>
          <t>Barimbingan</t>
        </is>
      </c>
    </row>
    <row r="21708" spans="1:1">
      <c r="A21708" t="inlineStr">
        <is>
          <t>Bayabao</t>
        </is>
      </c>
    </row>
    <row r="21709" spans="1:1">
      <c r="A21709" t="inlineStr">
        <is>
          <t>Buadi Alao</t>
        </is>
      </c>
    </row>
    <row r="21710" spans="1:1">
      <c r="A21710" t="inlineStr">
        <is>
          <t>Buadi Babai</t>
        </is>
      </c>
    </row>
    <row r="21711" spans="1:1">
      <c r="A21711" t="inlineStr">
        <is>
          <t>Buadi Oloc</t>
        </is>
      </c>
    </row>
    <row r="21712" spans="1:1">
      <c r="A21712" t="inlineStr">
        <is>
          <t>Buayaan Lilod</t>
        </is>
      </c>
    </row>
    <row r="21713" spans="1:1">
      <c r="A21713" t="inlineStr">
        <is>
          <t>Buayaan Madanding</t>
        </is>
      </c>
    </row>
    <row r="21714" spans="1:1">
      <c r="A21714" t="inlineStr">
        <is>
          <t>Buayaan Raya</t>
        </is>
      </c>
    </row>
    <row r="21715" spans="1:1">
      <c r="A21715" t="inlineStr">
        <is>
          <t>Bubong Dangiprampiai</t>
        </is>
      </c>
    </row>
    <row r="21716" spans="1:1">
      <c r="A21716" t="inlineStr">
        <is>
          <t>Dado</t>
        </is>
      </c>
    </row>
    <row r="21717" spans="1:1">
      <c r="A21717" t="inlineStr">
        <is>
          <t>Dangimprampiai</t>
        </is>
      </c>
    </row>
    <row r="21718" spans="1:1">
      <c r="A21718" t="inlineStr">
        <is>
          <t>Darimbang</t>
        </is>
      </c>
    </row>
    <row r="21719" spans="1:1">
      <c r="A21719" t="inlineStr">
        <is>
          <t>Dilausan</t>
        </is>
      </c>
    </row>
    <row r="21720" spans="1:1">
      <c r="A21720" t="inlineStr">
        <is>
          <t>Ditsaan</t>
        </is>
      </c>
    </row>
    <row r="21721" spans="1:1">
      <c r="A21721" t="inlineStr">
        <is>
          <t>Gadongan</t>
        </is>
      </c>
    </row>
    <row r="21722" spans="1:1">
      <c r="A21722" t="inlineStr">
        <is>
          <t>Linamon</t>
        </is>
      </c>
    </row>
    <row r="21723" spans="1:1">
      <c r="A21723" t="inlineStr">
        <is>
          <t>Lumbatan Ramain</t>
        </is>
      </c>
    </row>
    <row r="21724" spans="1:1">
      <c r="A21724" t="inlineStr">
        <is>
          <t>Maindig Ditsaan</t>
        </is>
      </c>
    </row>
    <row r="21725" spans="1:1">
      <c r="A21725" t="inlineStr">
        <is>
          <t>Mandara</t>
        </is>
      </c>
    </row>
    <row r="21726" spans="1:1">
      <c r="A21726" t="inlineStr">
        <is>
          <t>Maranao Timber</t>
        </is>
      </c>
    </row>
    <row r="21727" spans="1:1">
      <c r="A21727" t="inlineStr">
        <is>
          <t>Pagalongan Buadiadingan</t>
        </is>
      </c>
    </row>
    <row r="21728" spans="1:1">
      <c r="A21728" t="inlineStr">
        <is>
          <t>Pagalongan Ginaopan</t>
        </is>
      </c>
    </row>
    <row r="21729" spans="1:1">
      <c r="A21729" t="inlineStr">
        <is>
          <t>Pagalongan Masioon</t>
        </is>
      </c>
    </row>
    <row r="21730" spans="1:1">
      <c r="A21730" t="inlineStr">
        <is>
          <t>Pagalongan Proper</t>
        </is>
      </c>
    </row>
    <row r="21731" spans="1:1">
      <c r="A21731" t="inlineStr">
        <is>
          <t>Polo</t>
        </is>
      </c>
    </row>
    <row r="21732" spans="1:1">
      <c r="A21732" t="inlineStr">
        <is>
          <t>Ramain Poblacion</t>
        </is>
      </c>
    </row>
    <row r="21733" spans="1:1">
      <c r="A21733" t="inlineStr">
        <is>
          <t>Ramain Proper</t>
        </is>
      </c>
    </row>
    <row r="21734" spans="1:1">
      <c r="A21734" t="inlineStr">
        <is>
          <t>Rantian</t>
        </is>
      </c>
    </row>
    <row r="21735" spans="1:1">
      <c r="A21735" t="inlineStr">
        <is>
          <t>Sultan Pangadapun</t>
        </is>
      </c>
    </row>
    <row r="21736" spans="1:1">
      <c r="A21736" t="inlineStr">
        <is>
          <t>Sundiga Bayabao</t>
        </is>
      </c>
    </row>
    <row r="21737" spans="1:1">
      <c r="A21737" t="inlineStr">
        <is>
          <t>Talub</t>
        </is>
      </c>
    </row>
    <row r="21738" spans="1:1">
      <c r="A21738" t="inlineStr">
        <is>
          <t>Upper Pugaan</t>
        </is>
      </c>
    </row>
    <row r="21739" spans="1:1">
      <c r="A21739" t="inlineStr">
        <is>
          <t>Bagoaingud</t>
        </is>
      </c>
    </row>
    <row r="21740" spans="1:1">
      <c r="A21740" t="inlineStr">
        <is>
          <t>Balintad</t>
        </is>
      </c>
    </row>
    <row r="21741" spans="1:1">
      <c r="A21741" t="inlineStr">
        <is>
          <t>Balintad A</t>
        </is>
      </c>
    </row>
    <row r="21742" spans="1:1">
      <c r="A21742" t="inlineStr">
        <is>
          <t>Barit</t>
        </is>
      </c>
    </row>
    <row r="21743" spans="1:1">
      <c r="A21743" t="inlineStr">
        <is>
          <t>Barorao</t>
        </is>
      </c>
    </row>
    <row r="21744" spans="1:1">
      <c r="A21744" t="inlineStr">
        <is>
          <t>Bato Batoray</t>
        </is>
      </c>
    </row>
    <row r="21745" spans="1:1">
      <c r="A21745" t="inlineStr">
        <is>
          <t>Baya</t>
        </is>
      </c>
    </row>
    <row r="21746" spans="1:1">
      <c r="A21746" t="inlineStr">
        <is>
          <t>Campong a Raya</t>
        </is>
      </c>
    </row>
    <row r="21747" spans="1:1">
      <c r="A21747" t="inlineStr">
        <is>
          <t>Campong Sabela</t>
        </is>
      </c>
    </row>
    <row r="21748" spans="1:1">
      <c r="A21748" t="inlineStr">
        <is>
          <t>Dapaan</t>
        </is>
      </c>
    </row>
    <row r="21749" spans="1:1">
      <c r="A21749" t="inlineStr">
        <is>
          <t>Gadongan</t>
        </is>
      </c>
    </row>
    <row r="21750" spans="1:1">
      <c r="A21750" t="inlineStr">
        <is>
          <t>Gui</t>
        </is>
      </c>
    </row>
    <row r="21751" spans="1:1">
      <c r="A21751" t="inlineStr">
        <is>
          <t>Linuk</t>
        </is>
      </c>
    </row>
    <row r="21752" spans="1:1">
      <c r="A21752" t="inlineStr">
        <is>
          <t>Lumbac</t>
        </is>
      </c>
    </row>
    <row r="21753" spans="1:1">
      <c r="A21753" t="inlineStr">
        <is>
          <t>Lumbacaingud</t>
        </is>
      </c>
    </row>
    <row r="21754" spans="1:1">
      <c r="A21754" t="inlineStr">
        <is>
          <t>Macabao</t>
        </is>
      </c>
    </row>
    <row r="21755" spans="1:1">
      <c r="A21755" t="inlineStr">
        <is>
          <t>Macaguiling</t>
        </is>
      </c>
    </row>
    <row r="21756" spans="1:1">
      <c r="A21756" t="inlineStr">
        <is>
          <t>Masolun</t>
        </is>
      </c>
    </row>
    <row r="21757" spans="1:1">
      <c r="A21757" t="inlineStr">
        <is>
          <t>Pagalongan</t>
        </is>
      </c>
    </row>
    <row r="21758" spans="1:1">
      <c r="A21758" t="inlineStr">
        <is>
          <t>Pamalian</t>
        </is>
      </c>
    </row>
    <row r="21759" spans="1:1">
      <c r="A21759" t="inlineStr">
        <is>
          <t>Pangadapun</t>
        </is>
      </c>
    </row>
    <row r="21760" spans="1:1">
      <c r="A21760" t="inlineStr">
        <is>
          <t>Panggawalupa</t>
        </is>
      </c>
    </row>
    <row r="21761" spans="1:1">
      <c r="A21761" t="inlineStr">
        <is>
          <t>Pantaon</t>
        </is>
      </c>
    </row>
    <row r="21762" spans="1:1">
      <c r="A21762" t="inlineStr">
        <is>
          <t>Pantaon A</t>
        </is>
      </c>
    </row>
    <row r="21763" spans="1:1">
      <c r="A21763" t="inlineStr">
        <is>
          <t>Para-aba</t>
        </is>
      </c>
    </row>
    <row r="21764" spans="1:1">
      <c r="A21764" t="inlineStr">
        <is>
          <t>Pindolonan</t>
        </is>
      </c>
    </row>
    <row r="21765" spans="1:1">
      <c r="A21765" t="inlineStr">
        <is>
          <t>Poblacion</t>
        </is>
      </c>
    </row>
    <row r="21766" spans="1:1">
      <c r="A21766" t="inlineStr">
        <is>
          <t>Sekun Matampay</t>
        </is>
      </c>
    </row>
    <row r="21767" spans="1:1">
      <c r="A21767" t="inlineStr">
        <is>
          <t>Sogod Madaya</t>
        </is>
      </c>
    </row>
    <row r="21768" spans="1:1">
      <c r="A21768" t="inlineStr">
        <is>
          <t>Tabuan</t>
        </is>
      </c>
    </row>
    <row r="21769" spans="1:1">
      <c r="A21769" t="inlineStr">
        <is>
          <t>Taganonok</t>
        </is>
      </c>
    </row>
    <row r="21770" spans="1:1">
      <c r="A21770" t="inlineStr">
        <is>
          <t>Taliogon</t>
        </is>
      </c>
    </row>
    <row r="21771" spans="1:1">
      <c r="A21771" t="inlineStr">
        <is>
          <t>Babayog</t>
        </is>
      </c>
    </row>
    <row r="21772" spans="1:1">
      <c r="A21772" t="inlineStr">
        <is>
          <t>Cormatan</t>
        </is>
      </c>
    </row>
    <row r="21773" spans="1:1">
      <c r="A21773" t="inlineStr">
        <is>
          <t>Dilabayan</t>
        </is>
      </c>
    </row>
    <row r="21774" spans="1:1">
      <c r="A21774" t="inlineStr">
        <is>
          <t>Dilimbayan</t>
        </is>
      </c>
    </row>
    <row r="21775" spans="1:1">
      <c r="A21775" t="inlineStr">
        <is>
          <t>Dimagaling</t>
        </is>
      </c>
    </row>
    <row r="21776" spans="1:1">
      <c r="A21776" t="inlineStr">
        <is>
          <t>Dimunda</t>
        </is>
      </c>
    </row>
    <row r="21777" spans="1:1">
      <c r="A21777" t="inlineStr">
        <is>
          <t>Doronan</t>
        </is>
      </c>
    </row>
    <row r="21778" spans="1:1">
      <c r="A21778" t="inlineStr">
        <is>
          <t>Gadongan</t>
        </is>
      </c>
    </row>
    <row r="21779" spans="1:1">
      <c r="A21779" t="inlineStr">
        <is>
          <t>Kasayanan</t>
        </is>
      </c>
    </row>
    <row r="21780" spans="1:1">
      <c r="A21780" t="inlineStr">
        <is>
          <t>Kasayanan West</t>
        </is>
      </c>
    </row>
    <row r="21781" spans="1:1">
      <c r="A21781" t="inlineStr">
        <is>
          <t>Kibolos</t>
        </is>
      </c>
    </row>
    <row r="21782" spans="1:1">
      <c r="A21782" t="inlineStr">
        <is>
          <t>Kining</t>
        </is>
      </c>
    </row>
    <row r="21783" spans="1:1">
      <c r="A21783" t="inlineStr">
        <is>
          <t>Lidasan</t>
        </is>
      </c>
    </row>
    <row r="21784" spans="1:1">
      <c r="A21784" t="inlineStr">
        <is>
          <t>Macadar</t>
        </is>
      </c>
    </row>
    <row r="21785" spans="1:1">
      <c r="A21785" t="inlineStr">
        <is>
          <t>Malna Proper</t>
        </is>
      </c>
    </row>
    <row r="21786" spans="1:1">
      <c r="A21786" t="inlineStr">
        <is>
          <t>Pagalongan</t>
        </is>
      </c>
    </row>
    <row r="21787" spans="1:1">
      <c r="A21787" t="inlineStr">
        <is>
          <t>Pantaon</t>
        </is>
      </c>
    </row>
    <row r="21788" spans="1:1">
      <c r="A21788" t="inlineStr">
        <is>
          <t>Parao</t>
        </is>
      </c>
    </row>
    <row r="21789" spans="1:1">
      <c r="A21789" t="inlineStr">
        <is>
          <t>Pindolonan</t>
        </is>
      </c>
    </row>
    <row r="21790" spans="1:1">
      <c r="A21790" t="inlineStr">
        <is>
          <t>Poblacion</t>
        </is>
      </c>
    </row>
    <row r="21791" spans="1:1">
      <c r="A21791" t="inlineStr">
        <is>
          <t>Bakikis</t>
        </is>
      </c>
    </row>
    <row r="21792" spans="1:1">
      <c r="A21792" t="inlineStr">
        <is>
          <t>Barao</t>
        </is>
      </c>
    </row>
    <row r="21793" spans="1:1">
      <c r="A21793" t="inlineStr">
        <is>
          <t>Bongabong</t>
        </is>
      </c>
    </row>
    <row r="21794" spans="1:1">
      <c r="A21794" t="inlineStr">
        <is>
          <t>Daguan</t>
        </is>
      </c>
    </row>
    <row r="21795" spans="1:1">
      <c r="A21795" t="inlineStr">
        <is>
          <t>Inudaran</t>
        </is>
      </c>
    </row>
    <row r="21796" spans="1:1">
      <c r="A21796" t="inlineStr">
        <is>
          <t>Kabaniakawan</t>
        </is>
      </c>
    </row>
    <row r="21797" spans="1:1">
      <c r="A21797" t="inlineStr">
        <is>
          <t>Kapatagan</t>
        </is>
      </c>
    </row>
    <row r="21798" spans="1:1">
      <c r="A21798" t="inlineStr">
        <is>
          <t>Lusain</t>
        </is>
      </c>
    </row>
    <row r="21799" spans="1:1">
      <c r="A21799" t="inlineStr">
        <is>
          <t>Matimos</t>
        </is>
      </c>
    </row>
    <row r="21800" spans="1:1">
      <c r="A21800" t="inlineStr">
        <is>
          <t>Minimao</t>
        </is>
      </c>
    </row>
    <row r="21801" spans="1:1">
      <c r="A21801" t="inlineStr">
        <is>
          <t>Pinantao</t>
        </is>
      </c>
    </row>
    <row r="21802" spans="1:1">
      <c r="A21802" t="inlineStr">
        <is>
          <t>Salaman</t>
        </is>
      </c>
    </row>
    <row r="21803" spans="1:1">
      <c r="A21803" t="inlineStr">
        <is>
          <t>Sigayan</t>
        </is>
      </c>
    </row>
    <row r="21804" spans="1:1">
      <c r="A21804" t="inlineStr">
        <is>
          <t>Tabuan</t>
        </is>
      </c>
    </row>
    <row r="21805" spans="1:1">
      <c r="A21805" t="inlineStr">
        <is>
          <t>Upper Igabay</t>
        </is>
      </c>
    </row>
    <row r="21806" spans="1:1">
      <c r="A21806" t="inlineStr">
        <is>
          <t>Bacolod I</t>
        </is>
      </c>
    </row>
    <row r="21807" spans="1:1">
      <c r="A21807" t="inlineStr">
        <is>
          <t>Bacolod II</t>
        </is>
      </c>
    </row>
    <row r="21808" spans="1:1">
      <c r="A21808" t="inlineStr">
        <is>
          <t>Bantayao</t>
        </is>
      </c>
    </row>
    <row r="21809" spans="1:1">
      <c r="A21809" t="inlineStr">
        <is>
          <t>Barit</t>
        </is>
      </c>
    </row>
    <row r="21810" spans="1:1">
      <c r="A21810" t="inlineStr">
        <is>
          <t>Baugan</t>
        </is>
      </c>
    </row>
    <row r="21811" spans="1:1">
      <c r="A21811" t="inlineStr">
        <is>
          <t>Buad Lumbac</t>
        </is>
      </c>
    </row>
    <row r="21812" spans="1:1">
      <c r="A21812" t="inlineStr">
        <is>
          <t>Cabasaran</t>
        </is>
      </c>
    </row>
    <row r="21813" spans="1:1">
      <c r="A21813" t="inlineStr">
        <is>
          <t>Calilangan</t>
        </is>
      </c>
    </row>
    <row r="21814" spans="1:1">
      <c r="A21814" t="inlineStr">
        <is>
          <t>Carandangan-Mipaga</t>
        </is>
      </c>
    </row>
    <row r="21815" spans="1:1">
      <c r="A21815" t="inlineStr">
        <is>
          <t>Cormatan Langban</t>
        </is>
      </c>
    </row>
    <row r="21816" spans="1:1">
      <c r="A21816" t="inlineStr">
        <is>
          <t>Dialongana</t>
        </is>
      </c>
    </row>
    <row r="21817" spans="1:1">
      <c r="A21817" t="inlineStr">
        <is>
          <t>Dilindongan-Cadayonan</t>
        </is>
      </c>
    </row>
    <row r="21818" spans="1:1">
      <c r="A21818" t="inlineStr">
        <is>
          <t>Gadongan</t>
        </is>
      </c>
    </row>
    <row r="21819" spans="1:1">
      <c r="A21819" t="inlineStr">
        <is>
          <t>Galawan</t>
        </is>
      </c>
    </row>
    <row r="21820" spans="1:1">
      <c r="A21820" t="inlineStr">
        <is>
          <t>Gambai</t>
        </is>
      </c>
    </row>
    <row r="21821" spans="1:1">
      <c r="A21821" t="inlineStr">
        <is>
          <t>Kasola</t>
        </is>
      </c>
    </row>
    <row r="21822" spans="1:1">
      <c r="A21822" t="inlineStr">
        <is>
          <t>Lalangitun</t>
        </is>
      </c>
    </row>
    <row r="21823" spans="1:1">
      <c r="A21823" t="inlineStr">
        <is>
          <t>Lama</t>
        </is>
      </c>
    </row>
    <row r="21824" spans="1:1">
      <c r="A21824" t="inlineStr">
        <is>
          <t>Lindongan Dialongana</t>
        </is>
      </c>
    </row>
    <row r="21825" spans="1:1">
      <c r="A21825" t="inlineStr">
        <is>
          <t>Lobo Basara</t>
        </is>
      </c>
    </row>
    <row r="21826" spans="1:1">
      <c r="A21826" t="inlineStr">
        <is>
          <t>Lumbac Bacayawan</t>
        </is>
      </c>
    </row>
    <row r="21827" spans="1:1">
      <c r="A21827" t="inlineStr">
        <is>
          <t>Macaguiling</t>
        </is>
      </c>
    </row>
    <row r="21828" spans="1:1">
      <c r="A21828" t="inlineStr">
        <is>
          <t>Mapantao</t>
        </is>
      </c>
    </row>
    <row r="21829" spans="1:1">
      <c r="A21829" t="inlineStr">
        <is>
          <t>Mapoling</t>
        </is>
      </c>
    </row>
    <row r="21830" spans="1:1">
      <c r="A21830" t="inlineStr">
        <is>
          <t>Maribo</t>
        </is>
      </c>
    </row>
    <row r="21831" spans="1:1">
      <c r="A21831" t="inlineStr">
        <is>
          <t>Minaring Diladigan</t>
        </is>
      </c>
    </row>
    <row r="21832" spans="1:1">
      <c r="A21832" t="inlineStr">
        <is>
          <t>Pagayawan</t>
        </is>
      </c>
    </row>
    <row r="21833" spans="1:1">
      <c r="A21833" t="inlineStr">
        <is>
          <t>Posudaragat</t>
        </is>
      </c>
    </row>
    <row r="21834" spans="1:1">
      <c r="A21834" t="inlineStr">
        <is>
          <t>Rumayas</t>
        </is>
      </c>
    </row>
    <row r="21835" spans="1:1">
      <c r="A21835" t="inlineStr">
        <is>
          <t>Sabala Bantayao</t>
        </is>
      </c>
    </row>
    <row r="21836" spans="1:1">
      <c r="A21836" t="inlineStr">
        <is>
          <t>Salaman</t>
        </is>
      </c>
    </row>
    <row r="21837" spans="1:1">
      <c r="A21837" t="inlineStr">
        <is>
          <t>Salolodun Berwar</t>
        </is>
      </c>
    </row>
    <row r="21838" spans="1:1">
      <c r="A21838" t="inlineStr">
        <is>
          <t>Sarigidan Madiar</t>
        </is>
      </c>
    </row>
    <row r="21839" spans="1:1">
      <c r="A21839" t="inlineStr">
        <is>
          <t>Sunggod</t>
        </is>
      </c>
    </row>
    <row r="21840" spans="1:1">
      <c r="A21840" t="inlineStr">
        <is>
          <t>Taluan</t>
        </is>
      </c>
    </row>
    <row r="21841" spans="1:1">
      <c r="A21841" t="inlineStr">
        <is>
          <t>Tamlang</t>
        </is>
      </c>
    </row>
    <row r="21842" spans="1:1">
      <c r="A21842" t="inlineStr">
        <is>
          <t>Tongcopan</t>
        </is>
      </c>
    </row>
    <row r="21843" spans="1:1">
      <c r="A21843" t="inlineStr">
        <is>
          <t>Turogan</t>
        </is>
      </c>
    </row>
    <row r="21844" spans="1:1">
      <c r="A21844" t="inlineStr">
        <is>
          <t>Bangon</t>
        </is>
      </c>
    </row>
    <row r="21845" spans="1:1">
      <c r="A21845" t="inlineStr">
        <is>
          <t>Beta</t>
        </is>
      </c>
    </row>
    <row r="21846" spans="1:1">
      <c r="A21846" t="inlineStr">
        <is>
          <t>Calalon</t>
        </is>
      </c>
    </row>
    <row r="21847" spans="1:1">
      <c r="A21847" t="inlineStr">
        <is>
          <t>Calipapa</t>
        </is>
      </c>
    </row>
    <row r="21848" spans="1:1">
      <c r="A21848" t="inlineStr">
        <is>
          <t>Dilausan</t>
        </is>
      </c>
    </row>
    <row r="21849" spans="1:1">
      <c r="A21849" t="inlineStr">
        <is>
          <t>Dimapaok</t>
        </is>
      </c>
    </row>
    <row r="21850" spans="1:1">
      <c r="A21850" t="inlineStr">
        <is>
          <t>Lumbac Dilausan</t>
        </is>
      </c>
    </row>
    <row r="21851" spans="1:1">
      <c r="A21851" t="inlineStr">
        <is>
          <t>Oriental Beta</t>
        </is>
      </c>
    </row>
    <row r="21852" spans="1:1">
      <c r="A21852" t="inlineStr">
        <is>
          <t>Tringun</t>
        </is>
      </c>
    </row>
    <row r="21853" spans="1:1">
      <c r="A21853" t="inlineStr">
        <is>
          <t>Alog</t>
        </is>
      </c>
    </row>
    <row r="21854" spans="1:1">
      <c r="A21854" t="inlineStr">
        <is>
          <t>Basayungun</t>
        </is>
      </c>
    </row>
    <row r="21855" spans="1:1">
      <c r="A21855" t="inlineStr">
        <is>
          <t>Buad</t>
        </is>
      </c>
    </row>
    <row r="21856" spans="1:1">
      <c r="A21856" t="inlineStr">
        <is>
          <t>Bubong Macadar</t>
        </is>
      </c>
    </row>
    <row r="21857" spans="1:1">
      <c r="A21857" t="inlineStr">
        <is>
          <t>Budi</t>
        </is>
      </c>
    </row>
    <row r="21858" spans="1:1">
      <c r="A21858" t="inlineStr">
        <is>
          <t>Dago-ok</t>
        </is>
      </c>
    </row>
    <row r="21859" spans="1:1">
      <c r="A21859" t="inlineStr">
        <is>
          <t>Dalama</t>
        </is>
      </c>
    </row>
    <row r="21860" spans="1:1">
      <c r="A21860" t="inlineStr">
        <is>
          <t>Dalipuga</t>
        </is>
      </c>
    </row>
    <row r="21861" spans="1:1">
      <c r="A21861" t="inlineStr">
        <is>
          <t>Lalapung</t>
        </is>
      </c>
    </row>
    <row r="21862" spans="1:1">
      <c r="A21862" t="inlineStr">
        <is>
          <t>Ligue</t>
        </is>
      </c>
    </row>
    <row r="21863" spans="1:1">
      <c r="A21863" t="inlineStr">
        <is>
          <t>Lumbac</t>
        </is>
      </c>
    </row>
    <row r="21864" spans="1:1">
      <c r="A21864" t="inlineStr">
        <is>
          <t>Lumbac Bacayawan</t>
        </is>
      </c>
    </row>
    <row r="21865" spans="1:1">
      <c r="A21865" t="inlineStr">
        <is>
          <t>Lunay</t>
        </is>
      </c>
    </row>
    <row r="21866" spans="1:1">
      <c r="A21866" t="inlineStr">
        <is>
          <t>Macadar</t>
        </is>
      </c>
    </row>
    <row r="21867" spans="1:1">
      <c r="A21867" t="inlineStr">
        <is>
          <t>Madaya</t>
        </is>
      </c>
    </row>
    <row r="21868" spans="1:1">
      <c r="A21868" t="inlineStr">
        <is>
          <t>Minanga</t>
        </is>
      </c>
    </row>
    <row r="21869" spans="1:1">
      <c r="A21869" t="inlineStr">
        <is>
          <t>Pantar</t>
        </is>
      </c>
    </row>
    <row r="21870" spans="1:1">
      <c r="A21870" t="inlineStr">
        <is>
          <t>Penaring</t>
        </is>
      </c>
    </row>
    <row r="21871" spans="1:1">
      <c r="A21871" t="inlineStr">
        <is>
          <t>Picotaan</t>
        </is>
      </c>
    </row>
    <row r="21872" spans="1:1">
      <c r="A21872" t="inlineStr">
        <is>
          <t>Poblacion</t>
        </is>
      </c>
    </row>
    <row r="21873" spans="1:1">
      <c r="A21873" t="inlineStr">
        <is>
          <t>Tambac</t>
        </is>
      </c>
    </row>
    <row r="21874" spans="1:1">
      <c r="A21874" t="inlineStr">
        <is>
          <t>Bagoaingud</t>
        </is>
      </c>
    </row>
    <row r="21875" spans="1:1">
      <c r="A21875" t="inlineStr">
        <is>
          <t>Balaigay</t>
        </is>
      </c>
    </row>
    <row r="21876" spans="1:1">
      <c r="A21876" t="inlineStr">
        <is>
          <t>Bualan</t>
        </is>
      </c>
    </row>
    <row r="21877" spans="1:1">
      <c r="A21877" t="inlineStr">
        <is>
          <t>Cabuntungan</t>
        </is>
      </c>
    </row>
    <row r="21878" spans="1:1">
      <c r="A21878" t="inlineStr">
        <is>
          <t>Cadayonan</t>
        </is>
      </c>
    </row>
    <row r="21879" spans="1:1">
      <c r="A21879" t="inlineStr">
        <is>
          <t>Cadingilan</t>
        </is>
      </c>
    </row>
    <row r="21880" spans="1:1">
      <c r="A21880" t="inlineStr">
        <is>
          <t>Cadingilan A</t>
        </is>
      </c>
    </row>
    <row r="21881" spans="1:1">
      <c r="A21881" t="inlineStr">
        <is>
          <t>Casalayan</t>
        </is>
      </c>
    </row>
    <row r="21882" spans="1:1">
      <c r="A21882" t="inlineStr">
        <is>
          <t>Dala</t>
        </is>
      </c>
    </row>
    <row r="21883" spans="1:1">
      <c r="A21883" t="inlineStr">
        <is>
          <t>Dilimbayan</t>
        </is>
      </c>
    </row>
    <row r="21884" spans="1:1">
      <c r="A21884" t="inlineStr">
        <is>
          <t>Diromoyod</t>
        </is>
      </c>
    </row>
    <row r="21885" spans="1:1">
      <c r="A21885" t="inlineStr">
        <is>
          <t>Kabasaran</t>
        </is>
      </c>
    </row>
    <row r="21886" spans="1:1">
      <c r="A21886" t="inlineStr">
        <is>
          <t>Lamin</t>
        </is>
      </c>
    </row>
    <row r="21887" spans="1:1">
      <c r="A21887" t="inlineStr">
        <is>
          <t>Mapantao-Balangas</t>
        </is>
      </c>
    </row>
    <row r="21888" spans="1:1">
      <c r="A21888" t="inlineStr">
        <is>
          <t>Miniros</t>
        </is>
      </c>
    </row>
    <row r="21889" spans="1:1">
      <c r="A21889" t="inlineStr">
        <is>
          <t>Nanagun</t>
        </is>
      </c>
    </row>
    <row r="21890" spans="1:1">
      <c r="A21890" t="inlineStr">
        <is>
          <t>Pantaon</t>
        </is>
      </c>
    </row>
    <row r="21891" spans="1:1">
      <c r="A21891" t="inlineStr">
        <is>
          <t>Pindolonan</t>
        </is>
      </c>
    </row>
    <row r="21892" spans="1:1">
      <c r="A21892" t="inlineStr">
        <is>
          <t>Pitatanglan</t>
        </is>
      </c>
    </row>
    <row r="21893" spans="1:1">
      <c r="A21893" t="inlineStr">
        <is>
          <t>Poctan</t>
        </is>
      </c>
    </row>
    <row r="21894" spans="1:1">
      <c r="A21894" t="inlineStr">
        <is>
          <t>Singcara</t>
        </is>
      </c>
    </row>
    <row r="21895" spans="1:1">
      <c r="A21895" t="inlineStr">
        <is>
          <t>Wago</t>
        </is>
      </c>
    </row>
    <row r="21896" spans="1:1">
      <c r="A21896" t="inlineStr">
        <is>
          <t>Abaga</t>
        </is>
      </c>
    </row>
    <row r="21897" spans="1:1">
      <c r="A21897" t="inlineStr">
        <is>
          <t>Bacayawan</t>
        </is>
      </c>
    </row>
    <row r="21898" spans="1:1">
      <c r="A21898" t="inlineStr">
        <is>
          <t>Bagoaingud</t>
        </is>
      </c>
    </row>
    <row r="21899" spans="1:1">
      <c r="A21899" t="inlineStr">
        <is>
          <t>Basak</t>
        </is>
      </c>
    </row>
    <row r="21900" spans="1:1">
      <c r="A21900" t="inlineStr">
        <is>
          <t>Bato</t>
        </is>
      </c>
    </row>
    <row r="21901" spans="1:1">
      <c r="A21901" t="inlineStr">
        <is>
          <t>Bubong</t>
        </is>
      </c>
    </row>
    <row r="21902" spans="1:1">
      <c r="A21902" t="inlineStr">
        <is>
          <t>Cabasaran</t>
        </is>
      </c>
    </row>
    <row r="21903" spans="1:1">
      <c r="A21903" t="inlineStr">
        <is>
          <t>Cadayonan</t>
        </is>
      </c>
    </row>
    <row r="21904" spans="1:1">
      <c r="A21904" t="inlineStr">
        <is>
          <t>Dandamun</t>
        </is>
      </c>
    </row>
    <row r="21905" spans="1:1">
      <c r="A21905" t="inlineStr">
        <is>
          <t>Delausan</t>
        </is>
      </c>
    </row>
    <row r="21906" spans="1:1">
      <c r="A21906" t="inlineStr">
        <is>
          <t>Diampaca</t>
        </is>
      </c>
    </row>
    <row r="21907" spans="1:1">
      <c r="A21907" t="inlineStr">
        <is>
          <t>Dibarosan</t>
        </is>
      </c>
    </row>
    <row r="21908" spans="1:1">
      <c r="A21908" t="inlineStr">
        <is>
          <t>Gadongan</t>
        </is>
      </c>
    </row>
    <row r="21909" spans="1:1">
      <c r="A21909" t="inlineStr">
        <is>
          <t>Gurain</t>
        </is>
      </c>
    </row>
    <row r="21910" spans="1:1">
      <c r="A21910" t="inlineStr">
        <is>
          <t>Kormatan</t>
        </is>
      </c>
    </row>
    <row r="21911" spans="1:1">
      <c r="A21911" t="inlineStr">
        <is>
          <t>Liangan</t>
        </is>
      </c>
    </row>
    <row r="21912" spans="1:1">
      <c r="A21912" t="inlineStr">
        <is>
          <t>Liangan I</t>
        </is>
      </c>
    </row>
    <row r="21913" spans="1:1">
      <c r="A21913" t="inlineStr">
        <is>
          <t>Lilitun</t>
        </is>
      </c>
    </row>
    <row r="21914" spans="1:1">
      <c r="A21914" t="inlineStr">
        <is>
          <t>Linao</t>
        </is>
      </c>
    </row>
    <row r="21915" spans="1:1">
      <c r="A21915" t="inlineStr">
        <is>
          <t>Linuk</t>
        </is>
      </c>
    </row>
    <row r="21916" spans="1:1">
      <c r="A21916" t="inlineStr">
        <is>
          <t>Lumbac</t>
        </is>
      </c>
    </row>
    <row r="21917" spans="1:1">
      <c r="A21917" t="inlineStr">
        <is>
          <t>Madaya</t>
        </is>
      </c>
    </row>
    <row r="21918" spans="1:1">
      <c r="A21918" t="inlineStr">
        <is>
          <t>Padian Torogan I</t>
        </is>
      </c>
    </row>
    <row r="21919" spans="1:1">
      <c r="A21919" t="inlineStr">
        <is>
          <t>Pagayawan</t>
        </is>
      </c>
    </row>
    <row r="21920" spans="1:1">
      <c r="A21920" t="inlineStr">
        <is>
          <t>Paridi-Kalimodan</t>
        </is>
      </c>
    </row>
    <row r="21921" spans="1:1">
      <c r="A21921" t="inlineStr">
        <is>
          <t>Poblacion</t>
        </is>
      </c>
    </row>
    <row r="21922" spans="1:1">
      <c r="A21922" t="inlineStr">
        <is>
          <t>Punud</t>
        </is>
      </c>
    </row>
    <row r="21923" spans="1:1">
      <c r="A21923" t="inlineStr">
        <is>
          <t>Racotan</t>
        </is>
      </c>
    </row>
    <row r="21924" spans="1:1">
      <c r="A21924" t="inlineStr">
        <is>
          <t>Raya</t>
        </is>
      </c>
    </row>
    <row r="21925" spans="1:1">
      <c r="A21925" t="inlineStr">
        <is>
          <t>Riray</t>
        </is>
      </c>
    </row>
    <row r="21926" spans="1:1">
      <c r="A21926" t="inlineStr">
        <is>
          <t>Sabanding</t>
        </is>
      </c>
    </row>
    <row r="21927" spans="1:1">
      <c r="A21927" t="inlineStr">
        <is>
          <t>Salongabanding</t>
        </is>
      </c>
    </row>
    <row r="21928" spans="1:1">
      <c r="A21928" t="inlineStr">
        <is>
          <t>Sogod Kaloy</t>
        </is>
      </c>
    </row>
    <row r="21929" spans="1:1">
      <c r="A21929" t="inlineStr">
        <is>
          <t>Sugod</t>
        </is>
      </c>
    </row>
    <row r="21930" spans="1:1">
      <c r="A21930" t="inlineStr">
        <is>
          <t>Tamporong</t>
        </is>
      </c>
    </row>
    <row r="21931" spans="1:1">
      <c r="A21931" t="inlineStr">
        <is>
          <t>Tongantongan</t>
        </is>
      </c>
    </row>
    <row r="21932" spans="1:1">
      <c r="A21932" t="inlineStr">
        <is>
          <t>Udangun</t>
        </is>
      </c>
    </row>
    <row r="21933" spans="1:1">
      <c r="A21933" t="inlineStr">
        <is>
          <t>Balagunun</t>
        </is>
      </c>
    </row>
    <row r="21934" spans="1:1">
      <c r="A21934" t="inlineStr">
        <is>
          <t>Balintad</t>
        </is>
      </c>
    </row>
    <row r="21935" spans="1:1">
      <c r="A21935" t="inlineStr">
        <is>
          <t>Bawang</t>
        </is>
      </c>
    </row>
    <row r="21936" spans="1:1">
      <c r="A21936" t="inlineStr">
        <is>
          <t>Biabe</t>
        </is>
      </c>
    </row>
    <row r="21937" spans="1:1">
      <c r="A21937" t="inlineStr">
        <is>
          <t>Bubong Uyaan</t>
        </is>
      </c>
    </row>
    <row r="21938" spans="1:1">
      <c r="A21938" t="inlineStr">
        <is>
          <t>Cabasaran</t>
        </is>
      </c>
    </row>
    <row r="21939" spans="1:1">
      <c r="A21939" t="inlineStr">
        <is>
          <t>Dibarusan</t>
        </is>
      </c>
    </row>
    <row r="21940" spans="1:1">
      <c r="A21940" t="inlineStr">
        <is>
          <t>Ilian</t>
        </is>
      </c>
    </row>
    <row r="21941" spans="1:1">
      <c r="A21941" t="inlineStr">
        <is>
          <t>Lakitan</t>
        </is>
      </c>
    </row>
    <row r="21942" spans="1:1">
      <c r="A21942" t="inlineStr">
        <is>
          <t>Liangan</t>
        </is>
      </c>
    </row>
    <row r="21943" spans="1:1">
      <c r="A21943" t="inlineStr">
        <is>
          <t>Linuk</t>
        </is>
      </c>
    </row>
    <row r="21944" spans="1:1">
      <c r="A21944" t="inlineStr">
        <is>
          <t>Lumbaca Ingud</t>
        </is>
      </c>
    </row>
    <row r="21945" spans="1:1">
      <c r="A21945" t="inlineStr">
        <is>
          <t>Madamba</t>
        </is>
      </c>
    </row>
    <row r="21946" spans="1:1">
      <c r="A21946" t="inlineStr">
        <is>
          <t>Pagayonan</t>
        </is>
      </c>
    </row>
    <row r="21947" spans="1:1">
      <c r="A21947" t="inlineStr">
        <is>
          <t>Palao</t>
        </is>
      </c>
    </row>
    <row r="21948" spans="1:1">
      <c r="A21948" t="inlineStr">
        <is>
          <t>Pangadapan</t>
        </is>
      </c>
    </row>
    <row r="21949" spans="1:1">
      <c r="A21949" t="inlineStr">
        <is>
          <t>Pantaon</t>
        </is>
      </c>
    </row>
    <row r="21950" spans="1:1">
      <c r="A21950" t="inlineStr">
        <is>
          <t>Pantar</t>
        </is>
      </c>
    </row>
    <row r="21951" spans="1:1">
      <c r="A21951" t="inlineStr">
        <is>
          <t>Punud</t>
        </is>
      </c>
    </row>
    <row r="21952" spans="1:1">
      <c r="A21952" t="inlineStr">
        <is>
          <t>Tambo</t>
        </is>
      </c>
    </row>
    <row r="21953" spans="1:1">
      <c r="A21953" t="inlineStr">
        <is>
          <t>Tubaran</t>
        </is>
      </c>
    </row>
    <row r="21954" spans="1:1">
      <c r="A21954" t="inlineStr">
        <is>
          <t>Tuca</t>
        </is>
      </c>
    </row>
    <row r="21955" spans="1:1">
      <c r="A21955" t="inlineStr">
        <is>
          <t>Tulay</t>
        </is>
      </c>
    </row>
    <row r="21956" spans="1:1">
      <c r="A21956" t="inlineStr">
        <is>
          <t>Uyaan Proper</t>
        </is>
      </c>
    </row>
    <row r="21957" spans="1:1">
      <c r="A21957" t="inlineStr">
        <is>
          <t>Agagan</t>
        </is>
      </c>
    </row>
    <row r="21958" spans="1:1">
      <c r="A21958" t="inlineStr">
        <is>
          <t>Balagunun</t>
        </is>
      </c>
    </row>
    <row r="21959" spans="1:1">
      <c r="A21959" t="inlineStr">
        <is>
          <t>Balawag</t>
        </is>
      </c>
    </row>
    <row r="21960" spans="1:1">
      <c r="A21960" t="inlineStr">
        <is>
          <t>Balintao</t>
        </is>
      </c>
    </row>
    <row r="21961" spans="1:1">
      <c r="A21961" t="inlineStr">
        <is>
          <t>Bato-bato</t>
        </is>
      </c>
    </row>
    <row r="21962" spans="1:1">
      <c r="A21962" t="inlineStr">
        <is>
          <t>Bolao</t>
        </is>
      </c>
    </row>
    <row r="21963" spans="1:1">
      <c r="A21963" t="inlineStr">
        <is>
          <t>Borocot</t>
        </is>
      </c>
    </row>
    <row r="21964" spans="1:1">
      <c r="A21964" t="inlineStr">
        <is>
          <t>Borrowa</t>
        </is>
      </c>
    </row>
    <row r="21965" spans="1:1">
      <c r="A21965" t="inlineStr">
        <is>
          <t>Botud</t>
        </is>
      </c>
    </row>
    <row r="21966" spans="1:1">
      <c r="A21966" t="inlineStr">
        <is>
          <t>Buadiangkay</t>
        </is>
      </c>
    </row>
    <row r="21967" spans="1:1">
      <c r="A21967" t="inlineStr">
        <is>
          <t>Bubong</t>
        </is>
      </c>
    </row>
    <row r="21968" spans="1:1">
      <c r="A21968" t="inlineStr">
        <is>
          <t>Bubong Bayabao</t>
        </is>
      </c>
    </row>
    <row r="21969" spans="1:1">
      <c r="A21969" t="inlineStr">
        <is>
          <t>Camalig</t>
        </is>
      </c>
    </row>
    <row r="21970" spans="1:1">
      <c r="A21970" t="inlineStr">
        <is>
          <t>Cambong</t>
        </is>
      </c>
    </row>
    <row r="21971" spans="1:1">
      <c r="A21971" t="inlineStr">
        <is>
          <t>Dilausan</t>
        </is>
      </c>
    </row>
    <row r="21972" spans="1:1">
      <c r="A21972" t="inlineStr">
        <is>
          <t>Dilimbayan</t>
        </is>
      </c>
    </row>
    <row r="21973" spans="1:1">
      <c r="A21973" t="inlineStr">
        <is>
          <t>Ilalag</t>
        </is>
      </c>
    </row>
    <row r="21974" spans="1:1">
      <c r="A21974" t="inlineStr">
        <is>
          <t>Kianodan</t>
        </is>
      </c>
    </row>
    <row r="21975" spans="1:1">
      <c r="A21975" t="inlineStr">
        <is>
          <t>Lilod Borocot</t>
        </is>
      </c>
    </row>
    <row r="21976" spans="1:1">
      <c r="A21976" t="inlineStr">
        <is>
          <t>Lilod Maguing</t>
        </is>
      </c>
    </row>
    <row r="21977" spans="1:1">
      <c r="A21977" t="inlineStr">
        <is>
          <t>Lumbac</t>
        </is>
      </c>
    </row>
    <row r="21978" spans="1:1">
      <c r="A21978" t="inlineStr">
        <is>
          <t>Lumbac-Dimarao</t>
        </is>
      </c>
    </row>
    <row r="21979" spans="1:1">
      <c r="A21979" t="inlineStr">
        <is>
          <t>Madanding</t>
        </is>
      </c>
    </row>
    <row r="21980" spans="1:1">
      <c r="A21980" t="inlineStr">
        <is>
          <t>Madaya</t>
        </is>
      </c>
    </row>
    <row r="21981" spans="1:1">
      <c r="A21981" t="inlineStr">
        <is>
          <t>Maguing Proper</t>
        </is>
      </c>
    </row>
    <row r="21982" spans="1:1">
      <c r="A21982" t="inlineStr">
        <is>
          <t>Malungun</t>
        </is>
      </c>
    </row>
    <row r="21983" spans="1:1">
      <c r="A21983" t="inlineStr">
        <is>
          <t>Malungun Borocot</t>
        </is>
      </c>
    </row>
    <row r="21984" spans="1:1">
      <c r="A21984" t="inlineStr">
        <is>
          <t>Malungun Pagalongan</t>
        </is>
      </c>
    </row>
    <row r="21985" spans="1:1">
      <c r="A21985" t="inlineStr">
        <is>
          <t>Pagalongan</t>
        </is>
      </c>
    </row>
    <row r="21986" spans="1:1">
      <c r="A21986" t="inlineStr">
        <is>
          <t>Panayangan</t>
        </is>
      </c>
    </row>
    <row r="21987" spans="1:1">
      <c r="A21987" t="inlineStr">
        <is>
          <t>Pilimoknan</t>
        </is>
      </c>
    </row>
    <row r="21988" spans="1:1">
      <c r="A21988" t="inlineStr">
        <is>
          <t>Pindolonan</t>
        </is>
      </c>
    </row>
    <row r="21989" spans="1:1">
      <c r="A21989" t="inlineStr">
        <is>
          <t>Ragayan</t>
        </is>
      </c>
    </row>
    <row r="21990" spans="1:1">
      <c r="A21990" t="inlineStr">
        <is>
          <t>Sabala Dilausan</t>
        </is>
      </c>
    </row>
    <row r="21991" spans="1:1">
      <c r="A21991" t="inlineStr">
        <is>
          <t>Bacayawan</t>
        </is>
      </c>
    </row>
    <row r="21992" spans="1:1">
      <c r="A21992" t="inlineStr">
        <is>
          <t>Badak Lumao</t>
        </is>
      </c>
    </row>
    <row r="21993" spans="1:1">
      <c r="A21993" t="inlineStr">
        <is>
          <t>Bagoaingud</t>
        </is>
      </c>
    </row>
    <row r="21994" spans="1:1">
      <c r="A21994" t="inlineStr">
        <is>
          <t>Banday</t>
        </is>
      </c>
    </row>
    <row r="21995" spans="1:1">
      <c r="A21995" t="inlineStr">
        <is>
          <t>Betayan</t>
        </is>
      </c>
    </row>
    <row r="21996" spans="1:1">
      <c r="A21996" t="inlineStr">
        <is>
          <t>Boniga</t>
        </is>
      </c>
    </row>
    <row r="21997" spans="1:1">
      <c r="A21997" t="inlineStr">
        <is>
          <t>BPS Village</t>
        </is>
      </c>
    </row>
    <row r="21998" spans="1:1">
      <c r="A21998" t="inlineStr">
        <is>
          <t>Bunk House</t>
        </is>
      </c>
    </row>
    <row r="21999" spans="1:1">
      <c r="A21999" t="inlineStr">
        <is>
          <t>Cabasaran</t>
        </is>
      </c>
    </row>
    <row r="22000" spans="1:1">
      <c r="A22000" t="inlineStr">
        <is>
          <t>Calibagat</t>
        </is>
      </c>
    </row>
    <row r="22001" spans="1:1">
      <c r="A22001" t="inlineStr">
        <is>
          <t>Calumbog</t>
        </is>
      </c>
    </row>
    <row r="22002" spans="1:1">
      <c r="A22002" t="inlineStr">
        <is>
          <t>Campo Muslim</t>
        </is>
      </c>
    </row>
    <row r="22003" spans="1:1">
      <c r="A22003" t="inlineStr">
        <is>
          <t>China Town</t>
        </is>
      </c>
    </row>
    <row r="22004" spans="1:1">
      <c r="A22004" t="inlineStr">
        <is>
          <t>Corahab</t>
        </is>
      </c>
    </row>
    <row r="22005" spans="1:1">
      <c r="A22005" t="inlineStr">
        <is>
          <t>Diamaro</t>
        </is>
      </c>
    </row>
    <row r="22006" spans="1:1">
      <c r="A22006" t="inlineStr">
        <is>
          <t>Inandayan</t>
        </is>
      </c>
    </row>
    <row r="22007" spans="1:1">
      <c r="A22007" t="inlineStr">
        <is>
          <t>Jose Abad Santos</t>
        </is>
      </c>
    </row>
    <row r="22008" spans="1:1">
      <c r="A22008" t="inlineStr">
        <is>
          <t>Lamin</t>
        </is>
      </c>
    </row>
    <row r="22009" spans="1:1">
      <c r="A22009" t="inlineStr">
        <is>
          <t>Mable</t>
        </is>
      </c>
    </row>
    <row r="22010" spans="1:1">
      <c r="A22010" t="inlineStr">
        <is>
          <t>Macuranding</t>
        </is>
      </c>
    </row>
    <row r="22011" spans="1:1">
      <c r="A22011" t="inlineStr">
        <is>
          <t>Madaya</t>
        </is>
      </c>
    </row>
    <row r="22012" spans="1:1">
      <c r="A22012" t="inlineStr">
        <is>
          <t>Mananayo</t>
        </is>
      </c>
    </row>
    <row r="22013" spans="1:1">
      <c r="A22013" t="inlineStr">
        <is>
          <t>Manggahan</t>
        </is>
      </c>
    </row>
    <row r="22014" spans="1:1">
      <c r="A22014" t="inlineStr">
        <is>
          <t>Masao</t>
        </is>
      </c>
    </row>
    <row r="22015" spans="1:1">
      <c r="A22015" t="inlineStr">
        <is>
          <t>Matalin</t>
        </is>
      </c>
    </row>
    <row r="22016" spans="1:1">
      <c r="A22016" t="inlineStr">
        <is>
          <t>Matampay</t>
        </is>
      </c>
    </row>
    <row r="22017" spans="1:1">
      <c r="A22017" t="inlineStr">
        <is>
          <t>Matling</t>
        </is>
      </c>
    </row>
    <row r="22018" spans="1:1">
      <c r="A22018" t="inlineStr">
        <is>
          <t>Montay</t>
        </is>
      </c>
    </row>
    <row r="22019" spans="1:1">
      <c r="A22019" t="inlineStr">
        <is>
          <t>Pasir</t>
        </is>
      </c>
    </row>
    <row r="22020" spans="1:1">
      <c r="A22020" t="inlineStr">
        <is>
          <t>Pialot</t>
        </is>
      </c>
    </row>
    <row r="22021" spans="1:1">
      <c r="A22021" t="inlineStr">
        <is>
          <t>Rebocun</t>
        </is>
      </c>
    </row>
    <row r="22022" spans="1:1">
      <c r="A22022" t="inlineStr">
        <is>
          <t>Sarang</t>
        </is>
      </c>
    </row>
    <row r="22023" spans="1:1">
      <c r="A22023" t="inlineStr">
        <is>
          <t>Sumbagarogong</t>
        </is>
      </c>
    </row>
    <row r="22024" spans="1:1">
      <c r="A22024" t="inlineStr">
        <is>
          <t>Tacub</t>
        </is>
      </c>
    </row>
    <row r="22025" spans="1:1">
      <c r="A22025" t="inlineStr">
        <is>
          <t>Tambara</t>
        </is>
      </c>
    </row>
    <row r="22026" spans="1:1">
      <c r="A22026" t="inlineStr">
        <is>
          <t>Tiongcop</t>
        </is>
      </c>
    </row>
    <row r="22027" spans="1:1">
      <c r="A22027" t="inlineStr">
        <is>
          <t>Tuboc</t>
        </is>
      </c>
    </row>
    <row r="22028" spans="1:1">
      <c r="A22028" t="inlineStr">
        <is>
          <t>Bacayawan</t>
        </is>
      </c>
    </row>
    <row r="22029" spans="1:1">
      <c r="A22029" t="inlineStr">
        <is>
          <t>Bacong</t>
        </is>
      </c>
    </row>
    <row r="22030" spans="1:1">
      <c r="A22030" t="inlineStr">
        <is>
          <t>Banga-Pantar</t>
        </is>
      </c>
    </row>
    <row r="22031" spans="1:1">
      <c r="A22031" t="inlineStr">
        <is>
          <t>Batal-Punud</t>
        </is>
      </c>
    </row>
    <row r="22032" spans="1:1">
      <c r="A22032" t="inlineStr">
        <is>
          <t>Bubong Madanding</t>
        </is>
      </c>
    </row>
    <row r="22033" spans="1:1">
      <c r="A22033" t="inlineStr">
        <is>
          <t>Camalig</t>
        </is>
      </c>
    </row>
    <row r="22034" spans="1:1">
      <c r="A22034" t="inlineStr">
        <is>
          <t>Camalig Bandara Ingud</t>
        </is>
      </c>
    </row>
    <row r="22035" spans="1:1">
      <c r="A22035" t="inlineStr">
        <is>
          <t>Camalig Bubong</t>
        </is>
      </c>
    </row>
    <row r="22036" spans="1:1">
      <c r="A22036" t="inlineStr">
        <is>
          <t>Cawayan</t>
        </is>
      </c>
    </row>
    <row r="22037" spans="1:1">
      <c r="A22037" t="inlineStr">
        <is>
          <t>Cawayan Bacolod</t>
        </is>
      </c>
    </row>
    <row r="22038" spans="1:1">
      <c r="A22038" t="inlineStr">
        <is>
          <t>Cawayan Kalaw</t>
        </is>
      </c>
    </row>
    <row r="22039" spans="1:1">
      <c r="A22039" t="inlineStr">
        <is>
          <t>Cawayan Linuk</t>
        </is>
      </c>
    </row>
    <row r="22040" spans="1:1">
      <c r="A22040" t="inlineStr">
        <is>
          <t>Daanaingud</t>
        </is>
      </c>
    </row>
    <row r="22041" spans="1:1">
      <c r="A22041" t="inlineStr">
        <is>
          <t>Ilian</t>
        </is>
      </c>
    </row>
    <row r="22042" spans="1:1">
      <c r="A22042" t="inlineStr">
        <is>
          <t>Inudaran Campong</t>
        </is>
      </c>
    </row>
    <row r="22043" spans="1:1">
      <c r="A22043" t="inlineStr">
        <is>
          <t>Inudaran Loway</t>
        </is>
      </c>
    </row>
    <row r="22044" spans="1:1">
      <c r="A22044" t="inlineStr">
        <is>
          <t>Inudaran Lumbac</t>
        </is>
      </c>
    </row>
    <row r="22045" spans="1:1">
      <c r="A22045" t="inlineStr">
        <is>
          <t>Kialdan</t>
        </is>
      </c>
    </row>
    <row r="22046" spans="1:1">
      <c r="A22046" t="inlineStr">
        <is>
          <t>Lubo</t>
        </is>
      </c>
    </row>
    <row r="22047" spans="1:1">
      <c r="A22047" t="inlineStr">
        <is>
          <t>Lumbac Kialdan</t>
        </is>
      </c>
    </row>
    <row r="22048" spans="1:1">
      <c r="A22048" t="inlineStr">
        <is>
          <t>Mantapoli</t>
        </is>
      </c>
    </row>
    <row r="22049" spans="1:1">
      <c r="A22049" t="inlineStr">
        <is>
          <t>Matampay</t>
        </is>
      </c>
    </row>
    <row r="22050" spans="1:1">
      <c r="A22050" t="inlineStr">
        <is>
          <t>Maul</t>
        </is>
      </c>
    </row>
    <row r="22051" spans="1:1">
      <c r="A22051" t="inlineStr">
        <is>
          <t>Maul Ilian</t>
        </is>
      </c>
    </row>
    <row r="22052" spans="1:1">
      <c r="A22052" t="inlineStr">
        <is>
          <t>Maul Lumbaca Ingud</t>
        </is>
      </c>
    </row>
    <row r="22053" spans="1:1">
      <c r="A22053" t="inlineStr">
        <is>
          <t>Nataron</t>
        </is>
      </c>
    </row>
    <row r="22054" spans="1:1">
      <c r="A22054" t="inlineStr">
        <is>
          <t>Pagalongan Bacayawan</t>
        </is>
      </c>
    </row>
    <row r="22055" spans="1:1">
      <c r="A22055" t="inlineStr">
        <is>
          <t>Palao</t>
        </is>
      </c>
    </row>
    <row r="22056" spans="1:1">
      <c r="A22056" t="inlineStr">
        <is>
          <t>Pataimas</t>
        </is>
      </c>
    </row>
    <row r="22057" spans="1:1">
      <c r="A22057" t="inlineStr">
        <is>
          <t>Poblacion</t>
        </is>
      </c>
    </row>
    <row r="22058" spans="1:1">
      <c r="A22058" t="inlineStr">
        <is>
          <t>Poona Marantao</t>
        </is>
      </c>
    </row>
    <row r="22059" spans="1:1">
      <c r="A22059" t="inlineStr">
        <is>
          <t>Punud Proper</t>
        </is>
      </c>
    </row>
    <row r="22060" spans="1:1">
      <c r="A22060" t="inlineStr">
        <is>
          <t>Tacub</t>
        </is>
      </c>
    </row>
    <row r="22061" spans="1:1">
      <c r="A22061" t="inlineStr">
        <is>
          <t>Tuca Kialdan</t>
        </is>
      </c>
    </row>
    <row r="22062" spans="1:1">
      <c r="A22062" t="inlineStr">
        <is>
          <t>Bagumbayan</t>
        </is>
      </c>
    </row>
    <row r="22063" spans="1:1">
      <c r="A22063" t="inlineStr">
        <is>
          <t>Balut</t>
        </is>
      </c>
    </row>
    <row r="22064" spans="1:1">
      <c r="A22064" t="inlineStr">
        <is>
          <t>Bitayan</t>
        </is>
      </c>
    </row>
    <row r="22065" spans="1:1">
      <c r="A22065" t="inlineStr">
        <is>
          <t>Bolawan</t>
        </is>
      </c>
    </row>
    <row r="22066" spans="1:1">
      <c r="A22066" t="inlineStr">
        <is>
          <t>Bonga</t>
        </is>
      </c>
    </row>
    <row r="22067" spans="1:1">
      <c r="A22067" t="inlineStr">
        <is>
          <t>Cabasaran</t>
        </is>
      </c>
    </row>
    <row r="22068" spans="1:1">
      <c r="A22068" t="inlineStr">
        <is>
          <t>Cadayonan</t>
        </is>
      </c>
    </row>
    <row r="22069" spans="1:1">
      <c r="A22069" t="inlineStr">
        <is>
          <t>Cahera</t>
        </is>
      </c>
    </row>
    <row r="22070" spans="1:1">
      <c r="A22070" t="inlineStr">
        <is>
          <t>Cairantang</t>
        </is>
      </c>
    </row>
    <row r="22071" spans="1:1">
      <c r="A22071" t="inlineStr">
        <is>
          <t>Calumbog</t>
        </is>
      </c>
    </row>
    <row r="22072" spans="1:1">
      <c r="A22072" t="inlineStr">
        <is>
          <t>Canibongan</t>
        </is>
      </c>
    </row>
    <row r="22073" spans="1:1">
      <c r="A22073" t="inlineStr">
        <is>
          <t>Diragun</t>
        </is>
      </c>
    </row>
    <row r="22074" spans="1:1">
      <c r="A22074" t="inlineStr">
        <is>
          <t>Mantailoco</t>
        </is>
      </c>
    </row>
    <row r="22075" spans="1:1">
      <c r="A22075" t="inlineStr">
        <is>
          <t>Mapantao</t>
        </is>
      </c>
    </row>
    <row r="22076" spans="1:1">
      <c r="A22076" t="inlineStr">
        <is>
          <t>Marogong East</t>
        </is>
      </c>
    </row>
    <row r="22077" spans="1:1">
      <c r="A22077" t="inlineStr">
        <is>
          <t>Marogong Proper</t>
        </is>
      </c>
    </row>
    <row r="22078" spans="1:1">
      <c r="A22078" t="inlineStr">
        <is>
          <t>Mayaman</t>
        </is>
      </c>
    </row>
    <row r="22079" spans="1:1">
      <c r="A22079" t="inlineStr">
        <is>
          <t>Pabrica</t>
        </is>
      </c>
    </row>
    <row r="22080" spans="1:1">
      <c r="A22080" t="inlineStr">
        <is>
          <t>Paigoay Coda</t>
        </is>
      </c>
    </row>
    <row r="22081" spans="1:1">
      <c r="A22081" t="inlineStr">
        <is>
          <t>Pasayanan</t>
        </is>
      </c>
    </row>
    <row r="22082" spans="1:1">
      <c r="A22082" t="inlineStr">
        <is>
          <t>Piangologan</t>
        </is>
      </c>
    </row>
    <row r="22083" spans="1:1">
      <c r="A22083" t="inlineStr">
        <is>
          <t>Puracan</t>
        </is>
      </c>
    </row>
    <row r="22084" spans="1:1">
      <c r="A22084" t="inlineStr">
        <is>
          <t>Romagondong</t>
        </is>
      </c>
    </row>
    <row r="22085" spans="1:1">
      <c r="A22085" t="inlineStr">
        <is>
          <t>Sarang</t>
        </is>
      </c>
    </row>
    <row r="22086" spans="1:1">
      <c r="A22086" t="inlineStr">
        <is>
          <t>Abdullah Buisan</t>
        </is>
      </c>
    </row>
    <row r="22087" spans="1:1">
      <c r="A22087" t="inlineStr">
        <is>
          <t>Alip Lalabuan</t>
        </is>
      </c>
    </row>
    <row r="22088" spans="1:1">
      <c r="A22088" t="inlineStr">
        <is>
          <t>Alumpang Paino Mimbalay</t>
        </is>
      </c>
    </row>
    <row r="22089" spans="1:1">
      <c r="A22089" t="inlineStr">
        <is>
          <t>Buadi Amloy</t>
        </is>
      </c>
    </row>
    <row r="22090" spans="1:1">
      <c r="A22090" t="inlineStr">
        <is>
          <t>Caramian Alim Raya</t>
        </is>
      </c>
    </row>
    <row r="22091" spans="1:1">
      <c r="A22091" t="inlineStr">
        <is>
          <t>Dalog Balut</t>
        </is>
      </c>
    </row>
    <row r="22092" spans="1:1">
      <c r="A22092" t="inlineStr">
        <is>
          <t>Gindolongan Alabat</t>
        </is>
      </c>
    </row>
    <row r="22093" spans="1:1">
      <c r="A22093" t="inlineStr">
        <is>
          <t>Gondarangin Asa Adigao</t>
        </is>
      </c>
    </row>
    <row r="22094" spans="1:1">
      <c r="A22094" t="inlineStr">
        <is>
          <t>Kalilangan</t>
        </is>
      </c>
    </row>
    <row r="22095" spans="1:1">
      <c r="A22095" t="inlineStr">
        <is>
          <t>Laila Lumbac Bacon</t>
        </is>
      </c>
    </row>
    <row r="22096" spans="1:1">
      <c r="A22096" t="inlineStr">
        <is>
          <t>Lakadun</t>
        </is>
      </c>
    </row>
    <row r="22097" spans="1:1">
      <c r="A22097" t="inlineStr">
        <is>
          <t>Lanco Dimapatoy</t>
        </is>
      </c>
    </row>
    <row r="22098" spans="1:1">
      <c r="A22098" t="inlineStr">
        <is>
          <t>Lomigis Sucod</t>
        </is>
      </c>
    </row>
    <row r="22099" spans="1:1">
      <c r="A22099" t="inlineStr">
        <is>
          <t>Lumbaca Ingud</t>
        </is>
      </c>
    </row>
    <row r="22100" spans="1:1">
      <c r="A22100" t="inlineStr">
        <is>
          <t>Macabangan Imbala</t>
        </is>
      </c>
    </row>
    <row r="22101" spans="1:1">
      <c r="A22101" t="inlineStr">
        <is>
          <t>Macadaag Talaguian</t>
        </is>
      </c>
    </row>
    <row r="22102" spans="1:1">
      <c r="A22102" t="inlineStr">
        <is>
          <t>Macalupang Lumbac Caramian</t>
        </is>
      </c>
    </row>
    <row r="22103" spans="1:1">
      <c r="A22103" t="inlineStr">
        <is>
          <t>Macompara Apa Mimbalay</t>
        </is>
      </c>
    </row>
    <row r="22104" spans="1:1">
      <c r="A22104" t="inlineStr">
        <is>
          <t>Magayo Bagoaingud</t>
        </is>
      </c>
    </row>
    <row r="22105" spans="1:1">
      <c r="A22105" t="inlineStr">
        <is>
          <t>Mai Ditimbang Balindong</t>
        </is>
      </c>
    </row>
    <row r="22106" spans="1:1">
      <c r="A22106" t="inlineStr">
        <is>
          <t>Mai Sindaoloan Dansalan</t>
        </is>
      </c>
    </row>
    <row r="22107" spans="1:1">
      <c r="A22107" t="inlineStr">
        <is>
          <t>Manalocon Talub</t>
        </is>
      </c>
    </row>
    <row r="22108" spans="1:1">
      <c r="A22108" t="inlineStr">
        <is>
          <t>Maranat Bontalis</t>
        </is>
      </c>
    </row>
    <row r="22109" spans="1:1">
      <c r="A22109" t="inlineStr">
        <is>
          <t>Matao Araza</t>
        </is>
      </c>
    </row>
    <row r="22110" spans="1:1">
      <c r="A22110" t="inlineStr">
        <is>
          <t>Mocamad Tangul</t>
        </is>
      </c>
    </row>
    <row r="22111" spans="1:1">
      <c r="A22111" t="inlineStr">
        <is>
          <t>Moriatao-Bai Labay</t>
        </is>
      </c>
    </row>
    <row r="22112" spans="1:1">
      <c r="A22112" t="inlineStr">
        <is>
          <t>Pantao</t>
        </is>
      </c>
    </row>
    <row r="22113" spans="1:1">
      <c r="A22113" t="inlineStr">
        <is>
          <t>Putad Marandang Buisan</t>
        </is>
      </c>
    </row>
    <row r="22114" spans="1:1">
      <c r="A22114" t="inlineStr">
        <is>
          <t>Sambowang Atawa</t>
        </is>
      </c>
    </row>
    <row r="22115" spans="1:1">
      <c r="A22115" t="inlineStr">
        <is>
          <t>Sawir</t>
        </is>
      </c>
    </row>
    <row r="22116" spans="1:1">
      <c r="A22116" t="inlineStr">
        <is>
          <t>Talub Langi</t>
        </is>
      </c>
    </row>
    <row r="22117" spans="1:1">
      <c r="A22117" t="inlineStr">
        <is>
          <t>Tamboro Cormatan</t>
        </is>
      </c>
    </row>
    <row r="22118" spans="1:1">
      <c r="A22118" t="inlineStr">
        <is>
          <t>Tomambiling Lumbaca Ingud</t>
        </is>
      </c>
    </row>
    <row r="22119" spans="1:1">
      <c r="A22119" t="inlineStr">
        <is>
          <t>Towanao Arangga</t>
        </is>
      </c>
    </row>
    <row r="22120" spans="1:1">
      <c r="A22120" t="inlineStr">
        <is>
          <t>Unda Dayawan</t>
        </is>
      </c>
    </row>
    <row r="22121" spans="1:1">
      <c r="A22121" t="inlineStr">
        <is>
          <t>Bagoaingud</t>
        </is>
      </c>
    </row>
    <row r="22122" spans="1:1">
      <c r="A22122" t="inlineStr">
        <is>
          <t>Bangon</t>
        </is>
      </c>
    </row>
    <row r="22123" spans="1:1">
      <c r="A22123" t="inlineStr">
        <is>
          <t>Buadi-Abala</t>
        </is>
      </c>
    </row>
    <row r="22124" spans="1:1">
      <c r="A22124" t="inlineStr">
        <is>
          <t>Buadi-Bayawa</t>
        </is>
      </c>
    </row>
    <row r="22125" spans="1:1">
      <c r="A22125" t="inlineStr">
        <is>
          <t>Buadi-Insuba</t>
        </is>
      </c>
    </row>
    <row r="22126" spans="1:1">
      <c r="A22126" t="inlineStr">
        <is>
          <t>Bubong</t>
        </is>
      </c>
    </row>
    <row r="22127" spans="1:1">
      <c r="A22127" t="inlineStr">
        <is>
          <t>Bubonga Guilopa</t>
        </is>
      </c>
    </row>
    <row r="22128" spans="1:1">
      <c r="A22128" t="inlineStr">
        <is>
          <t>Cabasaran</t>
        </is>
      </c>
    </row>
    <row r="22129" spans="1:1">
      <c r="A22129" t="inlineStr">
        <is>
          <t>Cairatan</t>
        </is>
      </c>
    </row>
    <row r="22130" spans="1:1">
      <c r="A22130" t="inlineStr">
        <is>
          <t>Cormatan</t>
        </is>
      </c>
    </row>
    <row r="22131" spans="1:1">
      <c r="A22131" t="inlineStr">
        <is>
          <t>Dalama</t>
        </is>
      </c>
    </row>
    <row r="22132" spans="1:1">
      <c r="A22132" t="inlineStr">
        <is>
          <t>Dansalan</t>
        </is>
      </c>
    </row>
    <row r="22133" spans="1:1">
      <c r="A22133" t="inlineStr">
        <is>
          <t>Dimarao</t>
        </is>
      </c>
    </row>
    <row r="22134" spans="1:1">
      <c r="A22134" t="inlineStr">
        <is>
          <t>Guilopa</t>
        </is>
      </c>
    </row>
    <row r="22135" spans="1:1">
      <c r="A22135" t="inlineStr">
        <is>
          <t>Ilian</t>
        </is>
      </c>
    </row>
    <row r="22136" spans="1:1">
      <c r="A22136" t="inlineStr">
        <is>
          <t>Kitambugun</t>
        </is>
      </c>
    </row>
    <row r="22137" spans="1:1">
      <c r="A22137" t="inlineStr">
        <is>
          <t>Lama</t>
        </is>
      </c>
    </row>
    <row r="22138" spans="1:1">
      <c r="A22138" t="inlineStr">
        <is>
          <t>Lilod</t>
        </is>
      </c>
    </row>
    <row r="22139" spans="1:1">
      <c r="A22139" t="inlineStr">
        <is>
          <t>Lilod Raybalai</t>
        </is>
      </c>
    </row>
    <row r="22140" spans="1:1">
      <c r="A22140" t="inlineStr">
        <is>
          <t>Lumbac</t>
        </is>
      </c>
    </row>
    <row r="22141" spans="1:1">
      <c r="A22141" t="inlineStr">
        <is>
          <t>Lumbaca Ingud</t>
        </is>
      </c>
    </row>
    <row r="22142" spans="1:1">
      <c r="A22142" t="inlineStr">
        <is>
          <t>Madaya</t>
        </is>
      </c>
    </row>
    <row r="22143" spans="1:1">
      <c r="A22143" t="inlineStr">
        <is>
          <t>Pindolonan</t>
        </is>
      </c>
    </row>
    <row r="22144" spans="1:1">
      <c r="A22144" t="inlineStr">
        <is>
          <t>Poblacion</t>
        </is>
      </c>
    </row>
    <row r="22145" spans="1:1">
      <c r="A22145" t="inlineStr">
        <is>
          <t>Salipongan</t>
        </is>
      </c>
    </row>
    <row r="22146" spans="1:1">
      <c r="A22146" t="inlineStr">
        <is>
          <t>Sugan</t>
        </is>
      </c>
    </row>
    <row r="22147" spans="1:1">
      <c r="A22147" t="inlineStr">
        <is>
          <t>Ayong</t>
        </is>
      </c>
    </row>
    <row r="22148" spans="1:1">
      <c r="A22148" t="inlineStr">
        <is>
          <t>Bandara Ingud</t>
        </is>
      </c>
    </row>
    <row r="22149" spans="1:1">
      <c r="A22149" t="inlineStr">
        <is>
          <t>Bangon</t>
        </is>
      </c>
    </row>
    <row r="22150" spans="1:1">
      <c r="A22150" t="inlineStr">
        <is>
          <t>Biala-an</t>
        </is>
      </c>
    </row>
    <row r="22151" spans="1:1">
      <c r="A22151" t="inlineStr">
        <is>
          <t>Diampaca</t>
        </is>
      </c>
    </row>
    <row r="22152" spans="1:1">
      <c r="A22152" t="inlineStr">
        <is>
          <t>Guiarong</t>
        </is>
      </c>
    </row>
    <row r="22153" spans="1:1">
      <c r="A22153" t="inlineStr">
        <is>
          <t>Ilian</t>
        </is>
      </c>
    </row>
    <row r="22154" spans="1:1">
      <c r="A22154" t="inlineStr">
        <is>
          <t>Kalaludan</t>
        </is>
      </c>
    </row>
    <row r="22155" spans="1:1">
      <c r="A22155" t="inlineStr">
        <is>
          <t>Linindingan</t>
        </is>
      </c>
    </row>
    <row r="22156" spans="1:1">
      <c r="A22156" t="inlineStr">
        <is>
          <t>Madang</t>
        </is>
      </c>
    </row>
    <row r="22157" spans="1:1">
      <c r="A22157" t="inlineStr">
        <is>
          <t>Mapantao</t>
        </is>
      </c>
    </row>
    <row r="22158" spans="1:1">
      <c r="A22158" t="inlineStr">
        <is>
          <t>Ngingir</t>
        </is>
      </c>
    </row>
    <row r="22159" spans="1:1">
      <c r="A22159" t="inlineStr">
        <is>
          <t>Padas</t>
        </is>
      </c>
    </row>
    <row r="22160" spans="1:1">
      <c r="A22160" t="inlineStr">
        <is>
          <t>Paigoay</t>
        </is>
      </c>
    </row>
    <row r="22161" spans="1:1">
      <c r="A22161" t="inlineStr">
        <is>
          <t>Pinalangca</t>
        </is>
      </c>
    </row>
    <row r="22162" spans="1:1">
      <c r="A22162" t="inlineStr">
        <is>
          <t>Poblacion</t>
        </is>
      </c>
    </row>
    <row r="22163" spans="1:1">
      <c r="A22163" t="inlineStr">
        <is>
          <t>Rangiran</t>
        </is>
      </c>
    </row>
    <row r="22164" spans="1:1">
      <c r="A22164" t="inlineStr">
        <is>
          <t>Rubokun</t>
        </is>
      </c>
    </row>
    <row r="22165" spans="1:1">
      <c r="A22165" t="inlineStr">
        <is>
          <t>Aposong</t>
        </is>
      </c>
    </row>
    <row r="22166" spans="1:1">
      <c r="A22166" t="inlineStr">
        <is>
          <t>Bagoaingud</t>
        </is>
      </c>
    </row>
    <row r="22167" spans="1:1">
      <c r="A22167" t="inlineStr">
        <is>
          <t>Bangco</t>
        </is>
      </c>
    </row>
    <row r="22168" spans="1:1">
      <c r="A22168" t="inlineStr">
        <is>
          <t>Bansayan</t>
        </is>
      </c>
    </row>
    <row r="22169" spans="1:1">
      <c r="A22169" t="inlineStr">
        <is>
          <t>Basak</t>
        </is>
      </c>
    </row>
    <row r="22170" spans="1:1">
      <c r="A22170" t="inlineStr">
        <is>
          <t>Bobo</t>
        </is>
      </c>
    </row>
    <row r="22171" spans="1:1">
      <c r="A22171" t="inlineStr">
        <is>
          <t>Bualan</t>
        </is>
      </c>
    </row>
    <row r="22172" spans="1:1">
      <c r="A22172" t="inlineStr">
        <is>
          <t>Bubong Ilian</t>
        </is>
      </c>
    </row>
    <row r="22173" spans="1:1">
      <c r="A22173" t="inlineStr">
        <is>
          <t>Bubong Tawa-an</t>
        </is>
      </c>
    </row>
    <row r="22174" spans="1:1">
      <c r="A22174" t="inlineStr">
        <is>
          <t>Bubonga Mamaanun</t>
        </is>
      </c>
    </row>
    <row r="22175" spans="1:1">
      <c r="A22175" t="inlineStr">
        <is>
          <t>Gacap</t>
        </is>
      </c>
    </row>
    <row r="22176" spans="1:1">
      <c r="A22176" t="inlineStr">
        <is>
          <t>Ilian</t>
        </is>
      </c>
    </row>
    <row r="22177" spans="1:1">
      <c r="A22177" t="inlineStr">
        <is>
          <t>Ilian Poblacion</t>
        </is>
      </c>
    </row>
    <row r="22178" spans="1:1">
      <c r="A22178" t="inlineStr">
        <is>
          <t>Kalanganan</t>
        </is>
      </c>
    </row>
    <row r="22179" spans="1:1">
      <c r="A22179" t="inlineStr">
        <is>
          <t>Katumbacan</t>
        </is>
      </c>
    </row>
    <row r="22180" spans="1:1">
      <c r="A22180" t="inlineStr">
        <is>
          <t>Lininding</t>
        </is>
      </c>
    </row>
    <row r="22181" spans="1:1">
      <c r="A22181" t="inlineStr">
        <is>
          <t>Lumbaca Mamaan</t>
        </is>
      </c>
    </row>
    <row r="22182" spans="1:1">
      <c r="A22182" t="inlineStr">
        <is>
          <t>Mamaanun</t>
        </is>
      </c>
    </row>
    <row r="22183" spans="1:1">
      <c r="A22183" t="inlineStr">
        <is>
          <t>Mentring</t>
        </is>
      </c>
    </row>
    <row r="22184" spans="1:1">
      <c r="A22184" t="inlineStr">
        <is>
          <t>Olango</t>
        </is>
      </c>
    </row>
    <row r="22185" spans="1:1">
      <c r="A22185" t="inlineStr">
        <is>
          <t>Palacat</t>
        </is>
      </c>
    </row>
    <row r="22186" spans="1:1">
      <c r="A22186" t="inlineStr">
        <is>
          <t>Palao</t>
        </is>
      </c>
    </row>
    <row r="22187" spans="1:1">
      <c r="A22187" t="inlineStr">
        <is>
          <t>Paling</t>
        </is>
      </c>
    </row>
    <row r="22188" spans="1:1">
      <c r="A22188" t="inlineStr">
        <is>
          <t>Pantaon</t>
        </is>
      </c>
    </row>
    <row r="22189" spans="1:1">
      <c r="A22189" t="inlineStr">
        <is>
          <t>Pantar</t>
        </is>
      </c>
    </row>
    <row r="22190" spans="1:1">
      <c r="A22190" t="inlineStr">
        <is>
          <t>Paridi</t>
        </is>
      </c>
    </row>
    <row r="22191" spans="1:1">
      <c r="A22191" t="inlineStr">
        <is>
          <t>Pindolonan</t>
        </is>
      </c>
    </row>
    <row r="22192" spans="1:1">
      <c r="A22192" t="inlineStr">
        <is>
          <t>Radapan</t>
        </is>
      </c>
    </row>
    <row r="22193" spans="1:1">
      <c r="A22193" t="inlineStr">
        <is>
          <t>Radapan Poblacion</t>
        </is>
      </c>
    </row>
    <row r="22194" spans="1:1">
      <c r="A22194" t="inlineStr">
        <is>
          <t>Rantian</t>
        </is>
      </c>
    </row>
    <row r="22195" spans="1:1">
      <c r="A22195" t="inlineStr">
        <is>
          <t>Sapingit</t>
        </is>
      </c>
    </row>
    <row r="22196" spans="1:1">
      <c r="A22196" t="inlineStr">
        <is>
          <t>Talao</t>
        </is>
      </c>
    </row>
    <row r="22197" spans="1:1">
      <c r="A22197" t="inlineStr">
        <is>
          <t>Tambo</t>
        </is>
      </c>
    </row>
    <row r="22198" spans="1:1">
      <c r="A22198" t="inlineStr">
        <is>
          <t>Tapocan</t>
        </is>
      </c>
    </row>
    <row r="22199" spans="1:1">
      <c r="A22199" t="inlineStr">
        <is>
          <t>Taporug</t>
        </is>
      </c>
    </row>
    <row r="22200" spans="1:1">
      <c r="A22200" t="inlineStr">
        <is>
          <t>Tawaan</t>
        </is>
      </c>
    </row>
    <row r="22201" spans="1:1">
      <c r="A22201" t="inlineStr">
        <is>
          <t>Udalo</t>
        </is>
      </c>
    </row>
    <row r="22202" spans="1:1">
      <c r="A22202" t="inlineStr">
        <is>
          <t>Anas</t>
        </is>
      </c>
    </row>
    <row r="22203" spans="1:1">
      <c r="A22203" t="inlineStr">
        <is>
          <t>Bara-as</t>
        </is>
      </c>
    </row>
    <row r="22204" spans="1:1">
      <c r="A22204" t="inlineStr">
        <is>
          <t>Biasong</t>
        </is>
      </c>
    </row>
    <row r="22205" spans="1:1">
      <c r="A22205" t="inlineStr">
        <is>
          <t>Bulangos</t>
        </is>
      </c>
    </row>
    <row r="22206" spans="1:1">
      <c r="A22206" t="inlineStr">
        <is>
          <t>Durian</t>
        </is>
      </c>
    </row>
    <row r="22207" spans="1:1">
      <c r="A22207" t="inlineStr">
        <is>
          <t>Ilian</t>
        </is>
      </c>
    </row>
    <row r="22208" spans="1:1">
      <c r="A22208" t="inlineStr">
        <is>
          <t>Liangan</t>
        </is>
      </c>
    </row>
    <row r="22209" spans="1:1">
      <c r="A22209" t="inlineStr">
        <is>
          <t>Maganding</t>
        </is>
      </c>
    </row>
    <row r="22210" spans="1:1">
      <c r="A22210" t="inlineStr">
        <is>
          <t>Maladi</t>
        </is>
      </c>
    </row>
    <row r="22211" spans="1:1">
      <c r="A22211" t="inlineStr">
        <is>
          <t>Mapantao</t>
        </is>
      </c>
    </row>
    <row r="22212" spans="1:1">
      <c r="A22212" t="inlineStr">
        <is>
          <t>Micalubo</t>
        </is>
      </c>
    </row>
    <row r="22213" spans="1:1">
      <c r="A22213" t="inlineStr">
        <is>
          <t>Mimbalawag</t>
        </is>
      </c>
    </row>
    <row r="22214" spans="1:1">
      <c r="A22214" t="inlineStr">
        <is>
          <t>Pindolonan</t>
        </is>
      </c>
    </row>
    <row r="22215" spans="1:1">
      <c r="A22215" t="inlineStr">
        <is>
          <t>Punong</t>
        </is>
      </c>
    </row>
    <row r="22216" spans="1:1">
      <c r="A22216" t="inlineStr">
        <is>
          <t>Ramitan</t>
        </is>
      </c>
    </row>
    <row r="22217" spans="1:1">
      <c r="A22217" t="inlineStr">
        <is>
          <t>Torogan</t>
        </is>
      </c>
    </row>
    <row r="22218" spans="1:1">
      <c r="A22218" t="inlineStr">
        <is>
          <t>Tual</t>
        </is>
      </c>
    </row>
    <row r="22219" spans="1:1">
      <c r="A22219" t="inlineStr">
        <is>
          <t>Tuca</t>
        </is>
      </c>
    </row>
    <row r="22220" spans="1:1">
      <c r="A22220" t="inlineStr">
        <is>
          <t>Ubanoban</t>
        </is>
      </c>
    </row>
    <row r="22221" spans="1:1">
      <c r="A22221" t="inlineStr">
        <is>
          <t>Ataragadong</t>
        </is>
      </c>
    </row>
    <row r="22222" spans="1:1">
      <c r="A22222" t="inlineStr">
        <is>
          <t>Bangon</t>
        </is>
      </c>
    </row>
    <row r="22223" spans="1:1">
      <c r="A22223" t="inlineStr">
        <is>
          <t>Bansayan</t>
        </is>
      </c>
    </row>
    <row r="22224" spans="1:1">
      <c r="A22224" t="inlineStr">
        <is>
          <t>Bualan</t>
        </is>
      </c>
    </row>
    <row r="22225" spans="1:1">
      <c r="A22225" t="inlineStr">
        <is>
          <t>Bubong-Dimunda</t>
        </is>
      </c>
    </row>
    <row r="22226" spans="1:1">
      <c r="A22226" t="inlineStr">
        <is>
          <t>Bugaran</t>
        </is>
      </c>
    </row>
    <row r="22227" spans="1:1">
      <c r="A22227" t="inlineStr">
        <is>
          <t>Cadayonan</t>
        </is>
      </c>
    </row>
    <row r="22228" spans="1:1">
      <c r="A22228" t="inlineStr">
        <is>
          <t>Calilangan Dicala</t>
        </is>
      </c>
    </row>
    <row r="22229" spans="1:1">
      <c r="A22229" t="inlineStr">
        <is>
          <t>Calupaan</t>
        </is>
      </c>
    </row>
    <row r="22230" spans="1:1">
      <c r="A22230" t="inlineStr">
        <is>
          <t>Dilausan</t>
        </is>
      </c>
    </row>
    <row r="22231" spans="1:1">
      <c r="A22231" t="inlineStr">
        <is>
          <t>Dimayon</t>
        </is>
      </c>
    </row>
    <row r="22232" spans="1:1">
      <c r="A22232" t="inlineStr">
        <is>
          <t>Dongcoan</t>
        </is>
      </c>
    </row>
    <row r="22233" spans="1:1">
      <c r="A22233" t="inlineStr">
        <is>
          <t>Gadongan</t>
        </is>
      </c>
    </row>
    <row r="22234" spans="1:1">
      <c r="A22234" t="inlineStr">
        <is>
          <t>Liangan</t>
        </is>
      </c>
    </row>
    <row r="22235" spans="1:1">
      <c r="A22235" t="inlineStr">
        <is>
          <t>Lumbac</t>
        </is>
      </c>
    </row>
    <row r="22236" spans="1:1">
      <c r="A22236" t="inlineStr">
        <is>
          <t>Lumbaca Ingud</t>
        </is>
      </c>
    </row>
    <row r="22237" spans="1:1">
      <c r="A22237" t="inlineStr">
        <is>
          <t>Madanding</t>
        </is>
      </c>
    </row>
    <row r="22238" spans="1:1">
      <c r="A22238" t="inlineStr">
        <is>
          <t>Pantao</t>
        </is>
      </c>
    </row>
    <row r="22239" spans="1:1">
      <c r="A22239" t="inlineStr">
        <is>
          <t>Poblacion</t>
        </is>
      </c>
    </row>
    <row r="22240" spans="1:1">
      <c r="A22240" t="inlineStr">
        <is>
          <t>Punud</t>
        </is>
      </c>
    </row>
    <row r="22241" spans="1:1">
      <c r="A22241" t="inlineStr">
        <is>
          <t>Ragayan</t>
        </is>
      </c>
    </row>
    <row r="22242" spans="1:1">
      <c r="A22242" t="inlineStr">
        <is>
          <t>Rogan Cairan</t>
        </is>
      </c>
    </row>
    <row r="22243" spans="1:1">
      <c r="A22243" t="inlineStr">
        <is>
          <t>Rogan Tandiong Dimayon</t>
        </is>
      </c>
    </row>
    <row r="22244" spans="1:1">
      <c r="A22244" t="inlineStr">
        <is>
          <t>Talaguian</t>
        </is>
      </c>
    </row>
    <row r="22245" spans="1:1">
      <c r="A22245" t="inlineStr">
        <is>
          <t>Taporog</t>
        </is>
      </c>
    </row>
    <row r="22246" spans="1:1">
      <c r="A22246" t="inlineStr">
        <is>
          <t>Badak</t>
        </is>
      </c>
    </row>
    <row r="22247" spans="1:1">
      <c r="A22247" t="inlineStr">
        <is>
          <t>Bantayan</t>
        </is>
      </c>
    </row>
    <row r="22248" spans="1:1">
      <c r="A22248" t="inlineStr">
        <is>
          <t>Basagad</t>
        </is>
      </c>
    </row>
    <row r="22249" spans="1:1">
      <c r="A22249" t="inlineStr">
        <is>
          <t>Bolinsong</t>
        </is>
      </c>
    </row>
    <row r="22250" spans="1:1">
      <c r="A22250" t="inlineStr">
        <is>
          <t>Boring</t>
        </is>
      </c>
    </row>
    <row r="22251" spans="1:1">
      <c r="A22251" t="inlineStr">
        <is>
          <t>Bualan</t>
        </is>
      </c>
    </row>
    <row r="22252" spans="1:1">
      <c r="A22252" t="inlineStr">
        <is>
          <t>Danugan</t>
        </is>
      </c>
    </row>
    <row r="22253" spans="1:1">
      <c r="A22253" t="inlineStr">
        <is>
          <t>Dapao</t>
        </is>
      </c>
    </row>
    <row r="22254" spans="1:1">
      <c r="A22254" t="inlineStr">
        <is>
          <t>Diamla</t>
        </is>
      </c>
    </row>
    <row r="22255" spans="1:1">
      <c r="A22255" t="inlineStr">
        <is>
          <t>Gadongan</t>
        </is>
      </c>
    </row>
    <row r="22256" spans="1:1">
      <c r="A22256" t="inlineStr">
        <is>
          <t>Ingud</t>
        </is>
      </c>
    </row>
    <row r="22257" spans="1:1">
      <c r="A22257" t="inlineStr">
        <is>
          <t>Linuk</t>
        </is>
      </c>
    </row>
    <row r="22258" spans="1:1">
      <c r="A22258" t="inlineStr">
        <is>
          <t>Lumbac</t>
        </is>
      </c>
    </row>
    <row r="22259" spans="1:1">
      <c r="A22259" t="inlineStr">
        <is>
          <t>Maligo</t>
        </is>
      </c>
    </row>
    <row r="22260" spans="1:1">
      <c r="A22260" t="inlineStr">
        <is>
          <t>Masao</t>
        </is>
      </c>
    </row>
    <row r="22261" spans="1:1">
      <c r="A22261" t="inlineStr">
        <is>
          <t>Notong</t>
        </is>
      </c>
    </row>
    <row r="22262" spans="1:1">
      <c r="A22262" t="inlineStr">
        <is>
          <t>Porug</t>
        </is>
      </c>
    </row>
    <row r="22263" spans="1:1">
      <c r="A22263" t="inlineStr">
        <is>
          <t>Romagondong</t>
        </is>
      </c>
    </row>
    <row r="22264" spans="1:1">
      <c r="A22264" t="inlineStr">
        <is>
          <t>Tambo</t>
        </is>
      </c>
    </row>
    <row r="22265" spans="1:1">
      <c r="A22265" t="inlineStr">
        <is>
          <t>Tamlang</t>
        </is>
      </c>
    </row>
    <row r="22266" spans="1:1">
      <c r="A22266" t="inlineStr">
        <is>
          <t>Tomarompong</t>
        </is>
      </c>
    </row>
    <row r="22267" spans="1:1">
      <c r="A22267" t="inlineStr">
        <is>
          <t>Tuka</t>
        </is>
      </c>
    </row>
    <row r="22268" spans="1:1">
      <c r="A22268" t="inlineStr">
        <is>
          <t>Yaran</t>
        </is>
      </c>
    </row>
    <row r="22269" spans="1:1">
      <c r="A22269" t="inlineStr">
        <is>
          <t>Alinun</t>
        </is>
      </c>
    </row>
    <row r="22270" spans="1:1">
      <c r="A22270" t="inlineStr">
        <is>
          <t>Bagoaingud</t>
        </is>
      </c>
    </row>
    <row r="22271" spans="1:1">
      <c r="A22271" t="inlineStr">
        <is>
          <t>Basak Maito</t>
        </is>
      </c>
    </row>
    <row r="22272" spans="1:1">
      <c r="A22272" t="inlineStr">
        <is>
          <t>Batangan</t>
        </is>
      </c>
    </row>
    <row r="22273" spans="1:1">
      <c r="A22273" t="inlineStr">
        <is>
          <t>Bubong</t>
        </is>
      </c>
    </row>
    <row r="22274" spans="1:1">
      <c r="A22274" t="inlineStr">
        <is>
          <t>Cadayon</t>
        </is>
      </c>
    </row>
    <row r="22275" spans="1:1">
      <c r="A22275" t="inlineStr">
        <is>
          <t>Cadingilan</t>
        </is>
      </c>
    </row>
    <row r="22276" spans="1:1">
      <c r="A22276" t="inlineStr">
        <is>
          <t>Comonal</t>
        </is>
      </c>
    </row>
    <row r="22277" spans="1:1">
      <c r="A22277" t="inlineStr">
        <is>
          <t>Dilausan</t>
        </is>
      </c>
    </row>
    <row r="22278" spans="1:1">
      <c r="A22278" t="inlineStr">
        <is>
          <t>Dilimbayan</t>
        </is>
      </c>
    </row>
    <row r="22279" spans="1:1">
      <c r="A22279" t="inlineStr">
        <is>
          <t>Gadongan</t>
        </is>
      </c>
    </row>
    <row r="22280" spans="1:1">
      <c r="A22280" t="inlineStr">
        <is>
          <t>Limogao</t>
        </is>
      </c>
    </row>
    <row r="22281" spans="1:1">
      <c r="A22281" t="inlineStr">
        <is>
          <t>Linao</t>
        </is>
      </c>
    </row>
    <row r="22282" spans="1:1">
      <c r="A22282" t="inlineStr">
        <is>
          <t>Lumbac Toros</t>
        </is>
      </c>
    </row>
    <row r="22283" spans="1:1">
      <c r="A22283" t="inlineStr">
        <is>
          <t>Lumbayanague</t>
        </is>
      </c>
    </row>
    <row r="22284" spans="1:1">
      <c r="A22284" t="inlineStr">
        <is>
          <t>Maliwanag</t>
        </is>
      </c>
    </row>
    <row r="22285" spans="1:1">
      <c r="A22285" t="inlineStr">
        <is>
          <t>Mapantao</t>
        </is>
      </c>
    </row>
    <row r="22286" spans="1:1">
      <c r="A22286" t="inlineStr">
        <is>
          <t>Mipaga</t>
        </is>
      </c>
    </row>
    <row r="22287" spans="1:1">
      <c r="A22287" t="inlineStr">
        <is>
          <t>Natangcopan</t>
        </is>
      </c>
    </row>
    <row r="22288" spans="1:1">
      <c r="A22288" t="inlineStr">
        <is>
          <t>Pagalamatan</t>
        </is>
      </c>
    </row>
    <row r="22289" spans="1:1">
      <c r="A22289" t="inlineStr">
        <is>
          <t>Pamacotan</t>
        </is>
      </c>
    </row>
    <row r="22290" spans="1:1">
      <c r="A22290" t="inlineStr">
        <is>
          <t>Panggao</t>
        </is>
      </c>
    </row>
    <row r="22291" spans="1:1">
      <c r="A22291" t="inlineStr">
        <is>
          <t>Pantao Raya</t>
        </is>
      </c>
    </row>
    <row r="22292" spans="1:1">
      <c r="A22292" t="inlineStr">
        <is>
          <t>Pantaon</t>
        </is>
      </c>
    </row>
    <row r="22293" spans="1:1">
      <c r="A22293" t="inlineStr">
        <is>
          <t>Patpangkat</t>
        </is>
      </c>
    </row>
    <row r="22294" spans="1:1">
      <c r="A22294" t="inlineStr">
        <is>
          <t>Pawak</t>
        </is>
      </c>
    </row>
    <row r="22295" spans="1:1">
      <c r="A22295" t="inlineStr">
        <is>
          <t>Pindolonan</t>
        </is>
      </c>
    </row>
    <row r="22296" spans="1:1">
      <c r="A22296" t="inlineStr">
        <is>
          <t>Poblacion</t>
        </is>
      </c>
    </row>
    <row r="22297" spans="1:1">
      <c r="A22297" t="inlineStr">
        <is>
          <t>Salocad</t>
        </is>
      </c>
    </row>
    <row r="22298" spans="1:1">
      <c r="A22298" t="inlineStr">
        <is>
          <t>Sungcod</t>
        </is>
      </c>
    </row>
    <row r="22299" spans="1:1">
      <c r="A22299" t="inlineStr">
        <is>
          <t>Bacayawan</t>
        </is>
      </c>
    </row>
    <row r="22300" spans="1:1">
      <c r="A22300" t="inlineStr">
        <is>
          <t>Buta</t>
        </is>
      </c>
    </row>
    <row r="22301" spans="1:1">
      <c r="A22301" t="inlineStr">
        <is>
          <t>Dinganun Guilopa</t>
        </is>
      </c>
    </row>
    <row r="22302" spans="1:1">
      <c r="A22302" t="inlineStr">
        <is>
          <t>Lumbac</t>
        </is>
      </c>
    </row>
    <row r="22303" spans="1:1">
      <c r="A22303" t="inlineStr">
        <is>
          <t>Malalis</t>
        </is>
      </c>
    </row>
    <row r="22304" spans="1:1">
      <c r="A22304" t="inlineStr">
        <is>
          <t>Pagalongan</t>
        </is>
      </c>
    </row>
    <row r="22305" spans="1:1">
      <c r="A22305" t="inlineStr">
        <is>
          <t>Tagoranao</t>
        </is>
      </c>
    </row>
    <row r="22306" spans="1:1">
      <c r="A22306" t="inlineStr">
        <is>
          <t>Bagoaingud</t>
        </is>
      </c>
    </row>
    <row r="22307" spans="1:1">
      <c r="A22307" t="inlineStr">
        <is>
          <t>Bantalan</t>
        </is>
      </c>
    </row>
    <row r="22308" spans="1:1">
      <c r="A22308" t="inlineStr">
        <is>
          <t>Bayog</t>
        </is>
      </c>
    </row>
    <row r="22309" spans="1:1">
      <c r="A22309" t="inlineStr">
        <is>
          <t>Cadayonan</t>
        </is>
      </c>
    </row>
    <row r="22310" spans="1:1">
      <c r="A22310" t="inlineStr">
        <is>
          <t>Dagonalan</t>
        </is>
      </c>
    </row>
    <row r="22311" spans="1:1">
      <c r="A22311" t="inlineStr">
        <is>
          <t>Dimalama</t>
        </is>
      </c>
    </row>
    <row r="22312" spans="1:1">
      <c r="A22312" t="inlineStr">
        <is>
          <t>Gayakay</t>
        </is>
      </c>
    </row>
    <row r="22313" spans="1:1">
      <c r="A22313" t="inlineStr">
        <is>
          <t>Inodaran</t>
        </is>
      </c>
    </row>
    <row r="22314" spans="1:1">
      <c r="A22314" t="inlineStr">
        <is>
          <t>Kalilangan</t>
        </is>
      </c>
    </row>
    <row r="22315" spans="1:1">
      <c r="A22315" t="inlineStr">
        <is>
          <t>Kianibong</t>
        </is>
      </c>
    </row>
    <row r="22316" spans="1:1">
      <c r="A22316" t="inlineStr">
        <is>
          <t>Kingan</t>
        </is>
      </c>
    </row>
    <row r="22317" spans="1:1">
      <c r="A22317" t="inlineStr">
        <is>
          <t>Kitaon</t>
        </is>
      </c>
    </row>
    <row r="22318" spans="1:1">
      <c r="A22318" t="inlineStr">
        <is>
          <t>Maimbaguiang</t>
        </is>
      </c>
    </row>
    <row r="22319" spans="1:1">
      <c r="A22319" t="inlineStr">
        <is>
          <t>Malinao</t>
        </is>
      </c>
    </row>
    <row r="22320" spans="1:1">
      <c r="A22320" t="inlineStr">
        <is>
          <t>Malingon</t>
        </is>
      </c>
    </row>
    <row r="22321" spans="1:1">
      <c r="A22321" t="inlineStr">
        <is>
          <t>Mama-an Pagalongan</t>
        </is>
      </c>
    </row>
    <row r="22322" spans="1:1">
      <c r="A22322" t="inlineStr">
        <is>
          <t>Marawi</t>
        </is>
      </c>
    </row>
    <row r="22323" spans="1:1">
      <c r="A22323" t="inlineStr">
        <is>
          <t>Sigayan</t>
        </is>
      </c>
    </row>
    <row r="22324" spans="1:1">
      <c r="A22324" t="inlineStr">
        <is>
          <t>Tagoloan Poblacion</t>
        </is>
      </c>
    </row>
    <row r="22325" spans="1:1">
      <c r="A22325" t="inlineStr">
        <is>
          <t>Balutmadiar</t>
        </is>
      </c>
    </row>
    <row r="22326" spans="1:1">
      <c r="A22326" t="inlineStr">
        <is>
          <t>Bangon</t>
        </is>
      </c>
    </row>
    <row r="22327" spans="1:1">
      <c r="A22327" t="inlineStr">
        <is>
          <t>Beruar</t>
        </is>
      </c>
    </row>
    <row r="22328" spans="1:1">
      <c r="A22328" t="inlineStr">
        <is>
          <t>Bocalan</t>
        </is>
      </c>
    </row>
    <row r="22329" spans="1:1">
      <c r="A22329" t="inlineStr">
        <is>
          <t>Cabasaran</t>
        </is>
      </c>
    </row>
    <row r="22330" spans="1:1">
      <c r="A22330" t="inlineStr">
        <is>
          <t>Dasomalong</t>
        </is>
      </c>
    </row>
    <row r="22331" spans="1:1">
      <c r="A22331" t="inlineStr">
        <is>
          <t>Dilausan</t>
        </is>
      </c>
    </row>
    <row r="22332" spans="1:1">
      <c r="A22332" t="inlineStr">
        <is>
          <t>Ginaopan</t>
        </is>
      </c>
    </row>
    <row r="22333" spans="1:1">
      <c r="A22333" t="inlineStr">
        <is>
          <t>Lalabuan</t>
        </is>
      </c>
    </row>
    <row r="22334" spans="1:1">
      <c r="A22334" t="inlineStr">
        <is>
          <t>Lilod Tamparan</t>
        </is>
      </c>
    </row>
    <row r="22335" spans="1:1">
      <c r="A22335" t="inlineStr">
        <is>
          <t>Lilod Tubok</t>
        </is>
      </c>
    </row>
    <row r="22336" spans="1:1">
      <c r="A22336" t="inlineStr">
        <is>
          <t>Lindongan</t>
        </is>
      </c>
    </row>
    <row r="22337" spans="1:1">
      <c r="A22337" t="inlineStr">
        <is>
          <t>Linuk</t>
        </is>
      </c>
    </row>
    <row r="22338" spans="1:1">
      <c r="A22338" t="inlineStr">
        <is>
          <t>Linuk Oriental</t>
        </is>
      </c>
    </row>
    <row r="22339" spans="1:1">
      <c r="A22339" t="inlineStr">
        <is>
          <t>Lumbac</t>
        </is>
      </c>
    </row>
    <row r="22340" spans="1:1">
      <c r="A22340" t="inlineStr">
        <is>
          <t>Lumbaca Ingud</t>
        </is>
      </c>
    </row>
    <row r="22341" spans="1:1">
      <c r="A22341" t="inlineStr">
        <is>
          <t>Lumbaca Lilod</t>
        </is>
      </c>
    </row>
    <row r="22342" spans="1:1">
      <c r="A22342" t="inlineStr">
        <is>
          <t>Lumbacaingud South</t>
        </is>
      </c>
    </row>
    <row r="22343" spans="1:1">
      <c r="A22343" t="inlineStr">
        <is>
          <t>Maidan Linuk</t>
        </is>
      </c>
    </row>
    <row r="22344" spans="1:1">
      <c r="A22344" t="inlineStr">
        <is>
          <t>Mala-abangon</t>
        </is>
      </c>
    </row>
    <row r="22345" spans="1:1">
      <c r="A22345" t="inlineStr">
        <is>
          <t>Maliwanag</t>
        </is>
      </c>
    </row>
    <row r="22346" spans="1:1">
      <c r="A22346" t="inlineStr">
        <is>
          <t>Mariatao Datu</t>
        </is>
      </c>
    </row>
    <row r="22347" spans="1:1">
      <c r="A22347" t="inlineStr">
        <is>
          <t>Minanga</t>
        </is>
      </c>
    </row>
    <row r="22348" spans="1:1">
      <c r="A22348" t="inlineStr">
        <is>
          <t>Miondas</t>
        </is>
      </c>
    </row>
    <row r="22349" spans="1:1">
      <c r="A22349" t="inlineStr">
        <is>
          <t>New Lumbacaingud</t>
        </is>
      </c>
    </row>
    <row r="22350" spans="1:1">
      <c r="A22350" t="inlineStr">
        <is>
          <t>Occidental Linuk</t>
        </is>
      </c>
    </row>
    <row r="22351" spans="1:1">
      <c r="A22351" t="inlineStr">
        <is>
          <t>Pagalamatan Linuk</t>
        </is>
      </c>
    </row>
    <row r="22352" spans="1:1">
      <c r="A22352" t="inlineStr">
        <is>
          <t>Pagayawan</t>
        </is>
      </c>
    </row>
    <row r="22353" spans="1:1">
      <c r="A22353" t="inlineStr">
        <is>
          <t>Picarabawan</t>
        </is>
      </c>
    </row>
    <row r="22354" spans="1:1">
      <c r="A22354" t="inlineStr">
        <is>
          <t>Pimbago-Pagalongan</t>
        </is>
      </c>
    </row>
    <row r="22355" spans="1:1">
      <c r="A22355" t="inlineStr">
        <is>
          <t>Pindolonan Mariatao Sarip</t>
        </is>
      </c>
    </row>
    <row r="22356" spans="1:1">
      <c r="A22356" t="inlineStr">
        <is>
          <t>Poblacion I</t>
        </is>
      </c>
    </row>
    <row r="22357" spans="1:1">
      <c r="A22357" t="inlineStr">
        <is>
          <t>Poblacion II</t>
        </is>
      </c>
    </row>
    <row r="22358" spans="1:1">
      <c r="A22358" t="inlineStr">
        <is>
          <t>Poblacion III</t>
        </is>
      </c>
    </row>
    <row r="22359" spans="1:1">
      <c r="A22359" t="inlineStr">
        <is>
          <t>Poblacion IV</t>
        </is>
      </c>
    </row>
    <row r="22360" spans="1:1">
      <c r="A22360" t="inlineStr">
        <is>
          <t>Raya Buadi Barao</t>
        </is>
      </c>
    </row>
    <row r="22361" spans="1:1">
      <c r="A22361" t="inlineStr">
        <is>
          <t>Raya Niondas</t>
        </is>
      </c>
    </row>
    <row r="22362" spans="1:1">
      <c r="A22362" t="inlineStr">
        <is>
          <t>Raya Tamparan</t>
        </is>
      </c>
    </row>
    <row r="22363" spans="1:1">
      <c r="A22363" t="inlineStr">
        <is>
          <t>Salongabanding</t>
        </is>
      </c>
    </row>
    <row r="22364" spans="1:1">
      <c r="A22364" t="inlineStr">
        <is>
          <t>Saminunggay</t>
        </is>
      </c>
    </row>
    <row r="22365" spans="1:1">
      <c r="A22365" t="inlineStr">
        <is>
          <t>Talub</t>
        </is>
      </c>
    </row>
    <row r="22366" spans="1:1">
      <c r="A22366" t="inlineStr">
        <is>
          <t>Tatayawan North</t>
        </is>
      </c>
    </row>
    <row r="22367" spans="1:1">
      <c r="A22367" t="inlineStr">
        <is>
          <t>Tatayawan South</t>
        </is>
      </c>
    </row>
    <row r="22368" spans="1:1">
      <c r="A22368" t="inlineStr">
        <is>
          <t>Tubok</t>
        </is>
      </c>
    </row>
    <row r="22369" spans="1:1">
      <c r="A22369" t="inlineStr">
        <is>
          <t>Bandera Buisan</t>
        </is>
      </c>
    </row>
    <row r="22370" spans="1:1">
      <c r="A22370" t="inlineStr">
        <is>
          <t>Boriongan</t>
        </is>
      </c>
    </row>
    <row r="22371" spans="1:1">
      <c r="A22371" t="inlineStr">
        <is>
          <t>Borowa</t>
        </is>
      </c>
    </row>
    <row r="22372" spans="1:1">
      <c r="A22372" t="inlineStr">
        <is>
          <t>Buadi Amao</t>
        </is>
      </c>
    </row>
    <row r="22373" spans="1:1">
      <c r="A22373" t="inlineStr">
        <is>
          <t>Buadi Amunta</t>
        </is>
      </c>
    </row>
    <row r="22374" spans="1:1">
      <c r="A22374" t="inlineStr">
        <is>
          <t>Buadi Amunud</t>
        </is>
      </c>
    </row>
    <row r="22375" spans="1:1">
      <c r="A22375" t="inlineStr">
        <is>
          <t>Buadi Arorao</t>
        </is>
      </c>
    </row>
    <row r="22376" spans="1:1">
      <c r="A22376" t="inlineStr">
        <is>
          <t>Buadi Atopa</t>
        </is>
      </c>
    </row>
    <row r="22377" spans="1:1">
      <c r="A22377" t="inlineStr">
        <is>
          <t>Buadi Dayomangga</t>
        </is>
      </c>
    </row>
    <row r="22378" spans="1:1">
      <c r="A22378" t="inlineStr">
        <is>
          <t>Buadi Dingun</t>
        </is>
      </c>
    </row>
    <row r="22379" spans="1:1">
      <c r="A22379" t="inlineStr">
        <is>
          <t>Buadi Ongcalo</t>
        </is>
      </c>
    </row>
    <row r="22380" spans="1:1">
      <c r="A22380" t="inlineStr">
        <is>
          <t>Bucalan</t>
        </is>
      </c>
    </row>
    <row r="22381" spans="1:1">
      <c r="A22381" t="inlineStr">
        <is>
          <t>Cadayonan Bagumbayan</t>
        </is>
      </c>
    </row>
    <row r="22382" spans="1:1">
      <c r="A22382" t="inlineStr">
        <is>
          <t>Caramat</t>
        </is>
      </c>
    </row>
    <row r="22383" spans="1:1">
      <c r="A22383" t="inlineStr">
        <is>
          <t>Carandangan Calopaan</t>
        </is>
      </c>
    </row>
    <row r="22384" spans="1:1">
      <c r="A22384" t="inlineStr">
        <is>
          <t>Datu Ma-as</t>
        </is>
      </c>
    </row>
    <row r="22385" spans="1:1">
      <c r="A22385" t="inlineStr">
        <is>
          <t>Dilabayan</t>
        </is>
      </c>
    </row>
    <row r="22386" spans="1:1">
      <c r="A22386" t="inlineStr">
        <is>
          <t>Dimayon</t>
        </is>
      </c>
    </row>
    <row r="22387" spans="1:1">
      <c r="A22387" t="inlineStr">
        <is>
          <t>Gapao Balindong</t>
        </is>
      </c>
    </row>
    <row r="22388" spans="1:1">
      <c r="A22388" t="inlineStr">
        <is>
          <t>Ilian</t>
        </is>
      </c>
    </row>
    <row r="22389" spans="1:1">
      <c r="A22389" t="inlineStr">
        <is>
          <t>Lumasa</t>
        </is>
      </c>
    </row>
    <row r="22390" spans="1:1">
      <c r="A22390" t="inlineStr">
        <is>
          <t>Lumasa Proper</t>
        </is>
      </c>
    </row>
    <row r="22391" spans="1:1">
      <c r="A22391" t="inlineStr">
        <is>
          <t>Lumbac Bagoaingud</t>
        </is>
      </c>
    </row>
    <row r="22392" spans="1:1">
      <c r="A22392" t="inlineStr">
        <is>
          <t>Lumbac Bubong Maindang</t>
        </is>
      </c>
    </row>
    <row r="22393" spans="1:1">
      <c r="A22393" t="inlineStr">
        <is>
          <t>Lumbac Pitakus</t>
        </is>
      </c>
    </row>
    <row r="22394" spans="1:1">
      <c r="A22394" t="inlineStr">
        <is>
          <t>Malungun</t>
        </is>
      </c>
    </row>
    <row r="22395" spans="1:1">
      <c r="A22395" t="inlineStr">
        <is>
          <t>Mangayao</t>
        </is>
      </c>
    </row>
    <row r="22396" spans="1:1">
      <c r="A22396" t="inlineStr">
        <is>
          <t>Maruhom</t>
        </is>
      </c>
    </row>
    <row r="22397" spans="1:1">
      <c r="A22397" t="inlineStr">
        <is>
          <t>Masolun</t>
        </is>
      </c>
    </row>
    <row r="22398" spans="1:1">
      <c r="A22398" t="inlineStr">
        <is>
          <t>Moriatao Loksa Datu</t>
        </is>
      </c>
    </row>
    <row r="22399" spans="1:1">
      <c r="A22399" t="inlineStr">
        <is>
          <t>Pagalamatan</t>
        </is>
      </c>
    </row>
    <row r="22400" spans="1:1">
      <c r="A22400" t="inlineStr">
        <is>
          <t>Pindolonan</t>
        </is>
      </c>
    </row>
    <row r="22401" spans="1:1">
      <c r="A22401" t="inlineStr">
        <is>
          <t>Pitakus</t>
        </is>
      </c>
    </row>
    <row r="22402" spans="1:1">
      <c r="A22402" t="inlineStr">
        <is>
          <t>Ririk</t>
        </is>
      </c>
    </row>
    <row r="22403" spans="1:1">
      <c r="A22403" t="inlineStr">
        <is>
          <t>Salipongan</t>
        </is>
      </c>
    </row>
    <row r="22404" spans="1:1">
      <c r="A22404" t="inlineStr">
        <is>
          <t>Sambolawan</t>
        </is>
      </c>
    </row>
    <row r="22405" spans="1:1">
      <c r="A22405" t="inlineStr">
        <is>
          <t>Samporna Salamatollah</t>
        </is>
      </c>
    </row>
    <row r="22406" spans="1:1">
      <c r="A22406" t="inlineStr">
        <is>
          <t>Sigayan Proper</t>
        </is>
      </c>
    </row>
    <row r="22407" spans="1:1">
      <c r="A22407" t="inlineStr">
        <is>
          <t>Somiorang Bandingun</t>
        </is>
      </c>
    </row>
    <row r="22408" spans="1:1">
      <c r="A22408" t="inlineStr">
        <is>
          <t>Sunding</t>
        </is>
      </c>
    </row>
    <row r="22409" spans="1:1">
      <c r="A22409" t="inlineStr">
        <is>
          <t>Sunggod</t>
        </is>
      </c>
    </row>
    <row r="22410" spans="1:1">
      <c r="A22410" t="inlineStr">
        <is>
          <t>Supangan</t>
        </is>
      </c>
    </row>
    <row r="22411" spans="1:1">
      <c r="A22411" t="inlineStr">
        <is>
          <t>Tupa-an Buadiatupa</t>
        </is>
      </c>
    </row>
    <row r="22412" spans="1:1">
      <c r="A22412" t="inlineStr">
        <is>
          <t>Alog</t>
        </is>
      </c>
    </row>
    <row r="22413" spans="1:1">
      <c r="A22413" t="inlineStr">
        <is>
          <t>Bagiangun</t>
        </is>
      </c>
    </row>
    <row r="22414" spans="1:1">
      <c r="A22414" t="inlineStr">
        <is>
          <t>Beta</t>
        </is>
      </c>
    </row>
    <row r="22415" spans="1:1">
      <c r="A22415" t="inlineStr">
        <is>
          <t>Campo</t>
        </is>
      </c>
    </row>
    <row r="22416" spans="1:1">
      <c r="A22416" t="inlineStr">
        <is>
          <t>Datumanong</t>
        </is>
      </c>
    </row>
    <row r="22417" spans="1:1">
      <c r="A22417" t="inlineStr">
        <is>
          <t>Dinaigan</t>
        </is>
      </c>
    </row>
    <row r="22418" spans="1:1">
      <c r="A22418" t="inlineStr">
        <is>
          <t>Gadongan</t>
        </is>
      </c>
    </row>
    <row r="22419" spans="1:1">
      <c r="A22419" t="inlineStr">
        <is>
          <t>Gaput</t>
        </is>
      </c>
    </row>
    <row r="22420" spans="1:1">
      <c r="A22420" t="inlineStr">
        <is>
          <t>Guiarong</t>
        </is>
      </c>
    </row>
    <row r="22421" spans="1:1">
      <c r="A22421" t="inlineStr">
        <is>
          <t>Madaya</t>
        </is>
      </c>
    </row>
    <row r="22422" spans="1:1">
      <c r="A22422" t="inlineStr">
        <is>
          <t>Malaganding</t>
        </is>
      </c>
    </row>
    <row r="22423" spans="1:1">
      <c r="A22423" t="inlineStr">
        <is>
          <t>Metadicop</t>
        </is>
      </c>
    </row>
    <row r="22424" spans="1:1">
      <c r="A22424" t="inlineStr">
        <is>
          <t>Mindamudag</t>
        </is>
      </c>
    </row>
    <row r="22425" spans="1:1">
      <c r="A22425" t="inlineStr">
        <is>
          <t>Pagalamatan</t>
        </is>
      </c>
    </row>
    <row r="22426" spans="1:1">
      <c r="A22426" t="inlineStr">
        <is>
          <t>Paigoay-Pimbataan</t>
        </is>
      </c>
    </row>
    <row r="22427" spans="1:1">
      <c r="A22427" t="inlineStr">
        <is>
          <t>Poblacion</t>
        </is>
      </c>
    </row>
    <row r="22428" spans="1:1">
      <c r="A22428" t="inlineStr">
        <is>
          <t>Polo</t>
        </is>
      </c>
    </row>
    <row r="22429" spans="1:1">
      <c r="A22429" t="inlineStr">
        <is>
          <t>Riantaran</t>
        </is>
      </c>
    </row>
    <row r="22430" spans="1:1">
      <c r="A22430" t="inlineStr">
        <is>
          <t>Tangcal</t>
        </is>
      </c>
    </row>
    <row r="22431" spans="1:1">
      <c r="A22431" t="inlineStr">
        <is>
          <t>Tubaran Proper</t>
        </is>
      </c>
    </row>
    <row r="22432" spans="1:1">
      <c r="A22432" t="inlineStr">
        <is>
          <t>Wago</t>
        </is>
      </c>
    </row>
    <row r="22433" spans="1:1">
      <c r="A22433" t="inlineStr">
        <is>
          <t>Bagoaingud</t>
        </is>
      </c>
    </row>
    <row r="22434" spans="1:1">
      <c r="A22434" t="inlineStr">
        <is>
          <t>Buadi Alawang</t>
        </is>
      </c>
    </row>
    <row r="22435" spans="1:1">
      <c r="A22435" t="inlineStr">
        <is>
          <t>Buadi Dico</t>
        </is>
      </c>
    </row>
    <row r="22436" spans="1:1">
      <c r="A22436" t="inlineStr">
        <is>
          <t>Bubong</t>
        </is>
      </c>
    </row>
    <row r="22437" spans="1:1">
      <c r="A22437" t="inlineStr">
        <is>
          <t>Campong Talao</t>
        </is>
      </c>
    </row>
    <row r="22438" spans="1:1">
      <c r="A22438" t="inlineStr">
        <is>
          <t>Cayagan</t>
        </is>
      </c>
    </row>
    <row r="22439" spans="1:1">
      <c r="A22439" t="inlineStr">
        <is>
          <t>Dandanun</t>
        </is>
      </c>
    </row>
    <row r="22440" spans="1:1">
      <c r="A22440" t="inlineStr">
        <is>
          <t>Dilimbayan</t>
        </is>
      </c>
    </row>
    <row r="22441" spans="1:1">
      <c r="A22441" t="inlineStr">
        <is>
          <t>Gurain</t>
        </is>
      </c>
    </row>
    <row r="22442" spans="1:1">
      <c r="A22442" t="inlineStr">
        <is>
          <t>Lumbac</t>
        </is>
      </c>
    </row>
    <row r="22443" spans="1:1">
      <c r="A22443" t="inlineStr">
        <is>
          <t>Maidan</t>
        </is>
      </c>
    </row>
    <row r="22444" spans="1:1">
      <c r="A22444" t="inlineStr">
        <is>
          <t>Mapantao</t>
        </is>
      </c>
    </row>
    <row r="22445" spans="1:1">
      <c r="A22445" t="inlineStr">
        <is>
          <t>Pagalamatan</t>
        </is>
      </c>
    </row>
    <row r="22446" spans="1:1">
      <c r="A22446" t="inlineStr">
        <is>
          <t>Pandiaranao</t>
        </is>
      </c>
    </row>
    <row r="22447" spans="1:1">
      <c r="A22447" t="inlineStr">
        <is>
          <t>Pindolonan I</t>
        </is>
      </c>
    </row>
    <row r="22448" spans="1:1">
      <c r="A22448" t="inlineStr">
        <is>
          <t>Pindolonan II</t>
        </is>
      </c>
    </row>
    <row r="22449" spans="1:1">
      <c r="A22449" t="inlineStr">
        <is>
          <t>Poblacion</t>
        </is>
      </c>
    </row>
    <row r="22450" spans="1:1">
      <c r="A22450" t="inlineStr">
        <is>
          <t>Putad</t>
        </is>
      </c>
    </row>
    <row r="22451" spans="1:1">
      <c r="A22451" t="inlineStr">
        <is>
          <t>Raya</t>
        </is>
      </c>
    </row>
    <row r="22452" spans="1:1">
      <c r="A22452" t="inlineStr">
        <is>
          <t>Sugod I</t>
        </is>
      </c>
    </row>
    <row r="22453" spans="1:1">
      <c r="A22453" t="inlineStr">
        <is>
          <t>Sugod Mawatan</t>
        </is>
      </c>
    </row>
    <row r="22454" spans="1:1">
      <c r="A22454" t="inlineStr">
        <is>
          <t>Sumbaga Rogong</t>
        </is>
      </c>
    </row>
    <row r="22455" spans="1:1">
      <c r="A22455" t="inlineStr">
        <is>
          <t>Tangcal</t>
        </is>
      </c>
    </row>
    <row r="22456" spans="1:1">
      <c r="A22456" t="inlineStr">
        <is>
          <t>Amoyong</t>
        </is>
      </c>
    </row>
    <row r="22457" spans="1:1">
      <c r="A22457" t="inlineStr">
        <is>
          <t>Balatin</t>
        </is>
      </c>
    </row>
    <row r="22458" spans="1:1">
      <c r="A22458" t="inlineStr">
        <is>
          <t>Banga</t>
        </is>
      </c>
    </row>
    <row r="22459" spans="1:1">
      <c r="A22459" t="inlineStr">
        <is>
          <t>Bo-ot</t>
        </is>
      </c>
    </row>
    <row r="22460" spans="1:1">
      <c r="A22460" t="inlineStr">
        <is>
          <t>Buntongun</t>
        </is>
      </c>
    </row>
    <row r="22461" spans="1:1">
      <c r="A22461" t="inlineStr">
        <is>
          <t>Cebuano Group</t>
        </is>
      </c>
    </row>
    <row r="22462" spans="1:1">
      <c r="A22462" t="inlineStr">
        <is>
          <t>Christian Village</t>
        </is>
      </c>
    </row>
    <row r="22463" spans="1:1">
      <c r="A22463" t="inlineStr">
        <is>
          <t>Eastern Wao</t>
        </is>
      </c>
    </row>
    <row r="22464" spans="1:1">
      <c r="A22464" t="inlineStr">
        <is>
          <t>Extension Poblacion</t>
        </is>
      </c>
    </row>
    <row r="22465" spans="1:1">
      <c r="A22465" t="inlineStr">
        <is>
          <t>Gata</t>
        </is>
      </c>
    </row>
    <row r="22466" spans="1:1">
      <c r="A22466" t="inlineStr">
        <is>
          <t>Kabatangan</t>
        </is>
      </c>
    </row>
    <row r="22467" spans="1:1">
      <c r="A22467" t="inlineStr">
        <is>
          <t>Kadingilan</t>
        </is>
      </c>
    </row>
    <row r="22468" spans="1:1">
      <c r="A22468" t="inlineStr">
        <is>
          <t>Katutungan</t>
        </is>
      </c>
    </row>
    <row r="22469" spans="1:1">
      <c r="A22469" t="inlineStr">
        <is>
          <t>Kilikili East</t>
        </is>
      </c>
    </row>
    <row r="22470" spans="1:1">
      <c r="A22470" t="inlineStr">
        <is>
          <t>Kilikili West</t>
        </is>
      </c>
    </row>
    <row r="22471" spans="1:1">
      <c r="A22471" t="inlineStr">
        <is>
          <t>Malaigang</t>
        </is>
      </c>
    </row>
    <row r="22472" spans="1:1">
      <c r="A22472" t="inlineStr">
        <is>
          <t>Manila Group</t>
        </is>
      </c>
    </row>
    <row r="22473" spans="1:1">
      <c r="A22473" t="inlineStr">
        <is>
          <t>Milaya</t>
        </is>
      </c>
    </row>
    <row r="22474" spans="1:1">
      <c r="A22474" t="inlineStr">
        <is>
          <t>Mimbuaya</t>
        </is>
      </c>
    </row>
    <row r="22475" spans="1:1">
      <c r="A22475" t="inlineStr">
        <is>
          <t>Muslim Village</t>
        </is>
      </c>
    </row>
    <row r="22476" spans="1:1">
      <c r="A22476" t="inlineStr">
        <is>
          <t>Pagalongan</t>
        </is>
      </c>
    </row>
    <row r="22477" spans="1:1">
      <c r="A22477" t="inlineStr">
        <is>
          <t>Panang</t>
        </is>
      </c>
    </row>
    <row r="22478" spans="1:1">
      <c r="A22478" t="inlineStr">
        <is>
          <t>Park Area</t>
        </is>
      </c>
    </row>
    <row r="22479" spans="1:1">
      <c r="A22479" t="inlineStr">
        <is>
          <t>Pilintangan</t>
        </is>
      </c>
    </row>
    <row r="22480" spans="1:1">
      <c r="A22480" t="inlineStr">
        <is>
          <t>Serran Village</t>
        </is>
      </c>
    </row>
    <row r="22481" spans="1:1">
      <c r="A22481" t="inlineStr">
        <is>
          <t>Western Wao</t>
        </is>
      </c>
    </row>
    <row r="22482" spans="1:1">
      <c r="A22482" t="inlineStr">
        <is>
          <t>Alangilan</t>
        </is>
      </c>
    </row>
    <row r="22483" spans="1:1">
      <c r="A22483" t="inlineStr">
        <is>
          <t>Anibongon</t>
        </is>
      </c>
    </row>
    <row r="22484" spans="1:1">
      <c r="A22484" t="inlineStr">
        <is>
          <t>Bagacay</t>
        </is>
      </c>
    </row>
    <row r="22485" spans="1:1">
      <c r="A22485" t="inlineStr">
        <is>
          <t>Bahay</t>
        </is>
      </c>
    </row>
    <row r="22486" spans="1:1">
      <c r="A22486" t="inlineStr">
        <is>
          <t>Balinsasayao</t>
        </is>
      </c>
    </row>
    <row r="22487" spans="1:1">
      <c r="A22487" t="inlineStr">
        <is>
          <t>Balocawe</t>
        </is>
      </c>
    </row>
    <row r="22488" spans="1:1">
      <c r="A22488" t="inlineStr">
        <is>
          <t>Balocawehay</t>
        </is>
      </c>
    </row>
    <row r="22489" spans="1:1">
      <c r="A22489" t="inlineStr">
        <is>
          <t>Barayong</t>
        </is>
      </c>
    </row>
    <row r="22490" spans="1:1">
      <c r="A22490" t="inlineStr">
        <is>
          <t>Bayabas</t>
        </is>
      </c>
    </row>
    <row r="22491" spans="1:1">
      <c r="A22491" t="inlineStr">
        <is>
          <t>Bito</t>
        </is>
      </c>
    </row>
    <row r="22492" spans="1:1">
      <c r="A22492" t="inlineStr">
        <is>
          <t>Buaya</t>
        </is>
      </c>
    </row>
    <row r="22493" spans="1:1">
      <c r="A22493" t="inlineStr">
        <is>
          <t>Buenavista</t>
        </is>
      </c>
    </row>
    <row r="22494" spans="1:1">
      <c r="A22494" t="inlineStr">
        <is>
          <t>Bulak</t>
        </is>
      </c>
    </row>
    <row r="22495" spans="1:1">
      <c r="A22495" t="inlineStr">
        <is>
          <t>Bunga</t>
        </is>
      </c>
    </row>
    <row r="22496" spans="1:1">
      <c r="A22496" t="inlineStr">
        <is>
          <t>Buntay</t>
        </is>
      </c>
    </row>
    <row r="22497" spans="1:1">
      <c r="A22497" t="inlineStr">
        <is>
          <t>Burubud-an</t>
        </is>
      </c>
    </row>
    <row r="22498" spans="1:1">
      <c r="A22498" t="inlineStr">
        <is>
          <t>Cadac-an</t>
        </is>
      </c>
    </row>
    <row r="22499" spans="1:1">
      <c r="A22499" t="inlineStr">
        <is>
          <t>Cagbolo</t>
        </is>
      </c>
    </row>
    <row r="22500" spans="1:1">
      <c r="A22500" t="inlineStr">
        <is>
          <t>Can-aporong</t>
        </is>
      </c>
    </row>
    <row r="22501" spans="1:1">
      <c r="A22501" t="inlineStr">
        <is>
          <t>Can-uguib</t>
        </is>
      </c>
    </row>
    <row r="22502" spans="1:1">
      <c r="A22502" t="inlineStr">
        <is>
          <t>Canmarating</t>
        </is>
      </c>
    </row>
    <row r="22503" spans="1:1">
      <c r="A22503" t="inlineStr">
        <is>
          <t>Capilian</t>
        </is>
      </c>
    </row>
    <row r="22504" spans="1:1">
      <c r="A22504" t="inlineStr">
        <is>
          <t>Combis</t>
        </is>
      </c>
    </row>
    <row r="22505" spans="1:1">
      <c r="A22505" t="inlineStr">
        <is>
          <t>Dingle</t>
        </is>
      </c>
    </row>
    <row r="22506" spans="1:1">
      <c r="A22506" t="inlineStr">
        <is>
          <t>Guintagbucan</t>
        </is>
      </c>
    </row>
    <row r="22507" spans="1:1">
      <c r="A22507" t="inlineStr">
        <is>
          <t>Hampipila</t>
        </is>
      </c>
    </row>
    <row r="22508" spans="1:1">
      <c r="A22508" t="inlineStr">
        <is>
          <t>Katipunan</t>
        </is>
      </c>
    </row>
    <row r="22509" spans="1:1">
      <c r="A22509" t="inlineStr">
        <is>
          <t>Kikilo</t>
        </is>
      </c>
    </row>
    <row r="22510" spans="1:1">
      <c r="A22510" t="inlineStr">
        <is>
          <t>Laray</t>
        </is>
      </c>
    </row>
    <row r="22511" spans="1:1">
      <c r="A22511" t="inlineStr">
        <is>
          <t>Lawa-an</t>
        </is>
      </c>
    </row>
    <row r="22512" spans="1:1">
      <c r="A22512" t="inlineStr">
        <is>
          <t>Libertad</t>
        </is>
      </c>
    </row>
    <row r="22513" spans="1:1">
      <c r="A22513" t="inlineStr">
        <is>
          <t>Loyonsawang</t>
        </is>
      </c>
    </row>
    <row r="22514" spans="1:1">
      <c r="A22514" t="inlineStr">
        <is>
          <t>Mag-atubang</t>
        </is>
      </c>
    </row>
    <row r="22515" spans="1:1">
      <c r="A22515" t="inlineStr">
        <is>
          <t>Mahagna</t>
        </is>
      </c>
    </row>
    <row r="22516" spans="1:1">
      <c r="A22516" t="inlineStr">
        <is>
          <t>Mahayahay</t>
        </is>
      </c>
    </row>
    <row r="22517" spans="1:1">
      <c r="A22517" t="inlineStr">
        <is>
          <t>Maitum</t>
        </is>
      </c>
    </row>
    <row r="22518" spans="1:1">
      <c r="A22518" t="inlineStr">
        <is>
          <t>Malaguicay</t>
        </is>
      </c>
    </row>
    <row r="22519" spans="1:1">
      <c r="A22519" t="inlineStr">
        <is>
          <t>Matagnao</t>
        </is>
      </c>
    </row>
    <row r="22520" spans="1:1">
      <c r="A22520" t="inlineStr">
        <is>
          <t>Nalibunan</t>
        </is>
      </c>
    </row>
    <row r="22521" spans="1:1">
      <c r="A22521" t="inlineStr">
        <is>
          <t>Nebga</t>
        </is>
      </c>
    </row>
    <row r="22522" spans="1:1">
      <c r="A22522" t="inlineStr">
        <is>
          <t>New Taligue</t>
        </is>
      </c>
    </row>
    <row r="22523" spans="1:1">
      <c r="A22523" t="inlineStr">
        <is>
          <t>Odiongan</t>
        </is>
      </c>
    </row>
    <row r="22524" spans="1:1">
      <c r="A22524" t="inlineStr">
        <is>
          <t>Old Taligue</t>
        </is>
      </c>
    </row>
    <row r="22525" spans="1:1">
      <c r="A22525" t="inlineStr">
        <is>
          <t>Pagsang-an</t>
        </is>
      </c>
    </row>
    <row r="22526" spans="1:1">
      <c r="A22526" t="inlineStr">
        <is>
          <t>Paguite</t>
        </is>
      </c>
    </row>
    <row r="22527" spans="1:1">
      <c r="A22527" t="inlineStr">
        <is>
          <t>Parasanon</t>
        </is>
      </c>
    </row>
    <row r="22528" spans="1:1">
      <c r="A22528" t="inlineStr">
        <is>
          <t>Picas Sur</t>
        </is>
      </c>
    </row>
    <row r="22529" spans="1:1">
      <c r="A22529" t="inlineStr">
        <is>
          <t>Pilar</t>
        </is>
      </c>
    </row>
    <row r="22530" spans="1:1">
      <c r="A22530" t="inlineStr">
        <is>
          <t>Pinamanagan</t>
        </is>
      </c>
    </row>
    <row r="22531" spans="1:1">
      <c r="A22531" t="inlineStr">
        <is>
          <t>Salvacion</t>
        </is>
      </c>
    </row>
    <row r="22532" spans="1:1">
      <c r="A22532" t="inlineStr">
        <is>
          <t>San Francisco</t>
        </is>
      </c>
    </row>
    <row r="22533" spans="1:1">
      <c r="A22533" t="inlineStr">
        <is>
          <t>San Isidro</t>
        </is>
      </c>
    </row>
    <row r="22534" spans="1:1">
      <c r="A22534" t="inlineStr">
        <is>
          <t>San Roque</t>
        </is>
      </c>
    </row>
    <row r="22535" spans="1:1">
      <c r="A22535" t="inlineStr">
        <is>
          <t>Santa Fe</t>
        </is>
      </c>
    </row>
    <row r="22536" spans="1:1">
      <c r="A22536" t="inlineStr">
        <is>
          <t>Santa Lucia</t>
        </is>
      </c>
    </row>
    <row r="22537" spans="1:1">
      <c r="A22537" t="inlineStr">
        <is>
          <t>Santo Niño</t>
        </is>
      </c>
    </row>
    <row r="22538" spans="1:1">
      <c r="A22538" t="inlineStr">
        <is>
          <t>Tabigue</t>
        </is>
      </c>
    </row>
    <row r="22539" spans="1:1">
      <c r="A22539" t="inlineStr">
        <is>
          <t>Tadoc</t>
        </is>
      </c>
    </row>
    <row r="22540" spans="1:1">
      <c r="A22540" t="inlineStr">
        <is>
          <t>Tib-o</t>
        </is>
      </c>
    </row>
    <row r="22541" spans="1:1">
      <c r="A22541" t="inlineStr">
        <is>
          <t>Tinalian</t>
        </is>
      </c>
    </row>
    <row r="22542" spans="1:1">
      <c r="A22542" t="inlineStr">
        <is>
          <t>Tinocolan</t>
        </is>
      </c>
    </row>
    <row r="22543" spans="1:1">
      <c r="A22543" t="inlineStr">
        <is>
          <t>Tuy-a</t>
        </is>
      </c>
    </row>
    <row r="22544" spans="1:1">
      <c r="A22544" t="inlineStr">
        <is>
          <t>Victory</t>
        </is>
      </c>
    </row>
    <row r="22545" spans="1:1">
      <c r="A22545" t="inlineStr">
        <is>
          <t>Aslum</t>
        </is>
      </c>
    </row>
    <row r="22546" spans="1:1">
      <c r="A22546" t="inlineStr">
        <is>
          <t>Astorga</t>
        </is>
      </c>
    </row>
    <row r="22547" spans="1:1">
      <c r="A22547" t="inlineStr">
        <is>
          <t>Bato</t>
        </is>
      </c>
    </row>
    <row r="22548" spans="1:1">
      <c r="A22548" t="inlineStr">
        <is>
          <t>Binongto-an</t>
        </is>
      </c>
    </row>
    <row r="22549" spans="1:1">
      <c r="A22549" t="inlineStr">
        <is>
          <t>Binotong</t>
        </is>
      </c>
    </row>
    <row r="22550" spans="1:1">
      <c r="A22550" t="inlineStr">
        <is>
          <t>Blumentritt</t>
        </is>
      </c>
    </row>
    <row r="22551" spans="1:1">
      <c r="A22551" t="inlineStr">
        <is>
          <t>Bobonon</t>
        </is>
      </c>
    </row>
    <row r="22552" spans="1:1">
      <c r="A22552" t="inlineStr">
        <is>
          <t>Borseth</t>
        </is>
      </c>
    </row>
    <row r="22553" spans="1:1">
      <c r="A22553" t="inlineStr">
        <is>
          <t>Buenavista</t>
        </is>
      </c>
    </row>
    <row r="22554" spans="1:1">
      <c r="A22554" t="inlineStr">
        <is>
          <t>Bugho</t>
        </is>
      </c>
    </row>
    <row r="22555" spans="1:1">
      <c r="A22555" t="inlineStr">
        <is>
          <t>Buri</t>
        </is>
      </c>
    </row>
    <row r="22556" spans="1:1">
      <c r="A22556" t="inlineStr">
        <is>
          <t>Cabadsan</t>
        </is>
      </c>
    </row>
    <row r="22557" spans="1:1">
      <c r="A22557" t="inlineStr">
        <is>
          <t>Calaasan</t>
        </is>
      </c>
    </row>
    <row r="22558" spans="1:1">
      <c r="A22558" t="inlineStr">
        <is>
          <t>Cambahanon</t>
        </is>
      </c>
    </row>
    <row r="22559" spans="1:1">
      <c r="A22559" t="inlineStr">
        <is>
          <t>Cambolao</t>
        </is>
      </c>
    </row>
    <row r="22560" spans="1:1">
      <c r="A22560" t="inlineStr">
        <is>
          <t>Canvertudes</t>
        </is>
      </c>
    </row>
    <row r="22561" spans="1:1">
      <c r="A22561" t="inlineStr">
        <is>
          <t>Capiz</t>
        </is>
      </c>
    </row>
    <row r="22562" spans="1:1">
      <c r="A22562" t="inlineStr">
        <is>
          <t>Cavite</t>
        </is>
      </c>
    </row>
    <row r="22563" spans="1:1">
      <c r="A22563" t="inlineStr">
        <is>
          <t>Cogon</t>
        </is>
      </c>
    </row>
    <row r="22564" spans="1:1">
      <c r="A22564" t="inlineStr">
        <is>
          <t>Dapdap</t>
        </is>
      </c>
    </row>
    <row r="22565" spans="1:1">
      <c r="A22565" t="inlineStr">
        <is>
          <t>Divisoria</t>
        </is>
      </c>
    </row>
    <row r="22566" spans="1:1">
      <c r="A22566" t="inlineStr">
        <is>
          <t>Ekiran</t>
        </is>
      </c>
    </row>
    <row r="22567" spans="1:1">
      <c r="A22567" t="inlineStr">
        <is>
          <t>Hinapolan</t>
        </is>
      </c>
    </row>
    <row r="22568" spans="1:1">
      <c r="A22568" t="inlineStr">
        <is>
          <t>Holy Child I</t>
        </is>
      </c>
    </row>
    <row r="22569" spans="1:1">
      <c r="A22569" t="inlineStr">
        <is>
          <t>Holy Child II</t>
        </is>
      </c>
    </row>
    <row r="22570" spans="1:1">
      <c r="A22570" t="inlineStr">
        <is>
          <t>Hubang</t>
        </is>
      </c>
    </row>
    <row r="22571" spans="1:1">
      <c r="A22571" t="inlineStr">
        <is>
          <t>Hupit</t>
        </is>
      </c>
    </row>
    <row r="22572" spans="1:1">
      <c r="A22572" t="inlineStr">
        <is>
          <t>Langit</t>
        </is>
      </c>
    </row>
    <row r="22573" spans="1:1">
      <c r="A22573" t="inlineStr">
        <is>
          <t>Lingayon</t>
        </is>
      </c>
    </row>
    <row r="22574" spans="1:1">
      <c r="A22574" t="inlineStr">
        <is>
          <t>Lourdes</t>
        </is>
      </c>
    </row>
    <row r="22575" spans="1:1">
      <c r="A22575" t="inlineStr">
        <is>
          <t>Lukay</t>
        </is>
      </c>
    </row>
    <row r="22576" spans="1:1">
      <c r="A22576" t="inlineStr">
        <is>
          <t>Magsaysay</t>
        </is>
      </c>
    </row>
    <row r="22577" spans="1:1">
      <c r="A22577" t="inlineStr">
        <is>
          <t>Milagrosa</t>
        </is>
      </c>
    </row>
    <row r="22578" spans="1:1">
      <c r="A22578" t="inlineStr">
        <is>
          <t>Mudboron</t>
        </is>
      </c>
    </row>
    <row r="22579" spans="1:1">
      <c r="A22579" t="inlineStr">
        <is>
          <t>P. Barrantes</t>
        </is>
      </c>
    </row>
    <row r="22580" spans="1:1">
      <c r="A22580" t="inlineStr">
        <is>
          <t>Pepita</t>
        </is>
      </c>
    </row>
    <row r="22581" spans="1:1">
      <c r="A22581" t="inlineStr">
        <is>
          <t>Peñalosa</t>
        </is>
      </c>
    </row>
    <row r="22582" spans="1:1">
      <c r="A22582" t="inlineStr">
        <is>
          <t>Salvacion</t>
        </is>
      </c>
    </row>
    <row r="22583" spans="1:1">
      <c r="A22583" t="inlineStr">
        <is>
          <t>Salvacion Poblacion</t>
        </is>
      </c>
    </row>
    <row r="22584" spans="1:1">
      <c r="A22584" t="inlineStr">
        <is>
          <t>San Antonio</t>
        </is>
      </c>
    </row>
    <row r="22585" spans="1:1">
      <c r="A22585" t="inlineStr">
        <is>
          <t>San Antonio Pob.</t>
        </is>
      </c>
    </row>
    <row r="22586" spans="1:1">
      <c r="A22586" t="inlineStr">
        <is>
          <t>San Diego</t>
        </is>
      </c>
    </row>
    <row r="22587" spans="1:1">
      <c r="A22587" t="inlineStr">
        <is>
          <t>San Francisco East</t>
        </is>
      </c>
    </row>
    <row r="22588" spans="1:1">
      <c r="A22588" t="inlineStr">
        <is>
          <t>San Francisco West</t>
        </is>
      </c>
    </row>
    <row r="22589" spans="1:1">
      <c r="A22589" t="inlineStr">
        <is>
          <t>San Isidro</t>
        </is>
      </c>
    </row>
    <row r="22590" spans="1:1">
      <c r="A22590" t="inlineStr">
        <is>
          <t>San Pedro</t>
        </is>
      </c>
    </row>
    <row r="22591" spans="1:1">
      <c r="A22591" t="inlineStr">
        <is>
          <t>San Roque</t>
        </is>
      </c>
    </row>
    <row r="22592" spans="1:1">
      <c r="A22592" t="inlineStr">
        <is>
          <t>San Vicente</t>
        </is>
      </c>
    </row>
    <row r="22593" spans="1:1">
      <c r="A22593" t="inlineStr">
        <is>
          <t>Santiago</t>
        </is>
      </c>
    </row>
    <row r="22594" spans="1:1">
      <c r="A22594" t="inlineStr">
        <is>
          <t>Santo Niño</t>
        </is>
      </c>
    </row>
    <row r="22595" spans="1:1">
      <c r="A22595" t="inlineStr">
        <is>
          <t>Santol</t>
        </is>
      </c>
    </row>
    <row r="22596" spans="1:1">
      <c r="A22596" t="inlineStr">
        <is>
          <t>Tabangohay</t>
        </is>
      </c>
    </row>
    <row r="22597" spans="1:1">
      <c r="A22597" t="inlineStr">
        <is>
          <t>Tombo</t>
        </is>
      </c>
    </row>
    <row r="22598" spans="1:1">
      <c r="A22598" t="inlineStr">
        <is>
          <t>Veteranos</t>
        </is>
      </c>
    </row>
    <row r="22599" spans="1:1">
      <c r="A22599" t="inlineStr">
        <is>
          <t>Antipolo</t>
        </is>
      </c>
    </row>
    <row r="22600" spans="1:1">
      <c r="A22600" t="inlineStr">
        <is>
          <t>Balugo</t>
        </is>
      </c>
    </row>
    <row r="22601" spans="1:1">
      <c r="A22601" t="inlineStr">
        <is>
          <t>Benolho</t>
        </is>
      </c>
    </row>
    <row r="22602" spans="1:1">
      <c r="A22602" t="inlineStr">
        <is>
          <t>Cambalading</t>
        </is>
      </c>
    </row>
    <row r="22603" spans="1:1">
      <c r="A22603" t="inlineStr">
        <is>
          <t>Damula-an</t>
        </is>
      </c>
    </row>
    <row r="22604" spans="1:1">
      <c r="A22604" t="inlineStr">
        <is>
          <t>Doña Maria</t>
        </is>
      </c>
    </row>
    <row r="22605" spans="1:1">
      <c r="A22605" t="inlineStr">
        <is>
          <t>Mahayag</t>
        </is>
      </c>
    </row>
    <row r="22606" spans="1:1">
      <c r="A22606" t="inlineStr">
        <is>
          <t>Mahayahay</t>
        </is>
      </c>
    </row>
    <row r="22607" spans="1:1">
      <c r="A22607" t="inlineStr">
        <is>
          <t>Poblacion</t>
        </is>
      </c>
    </row>
    <row r="22608" spans="1:1">
      <c r="A22608" t="inlineStr">
        <is>
          <t>Salvacion</t>
        </is>
      </c>
    </row>
    <row r="22609" spans="1:1">
      <c r="A22609" t="inlineStr">
        <is>
          <t>San Pedro</t>
        </is>
      </c>
    </row>
    <row r="22610" spans="1:1">
      <c r="A22610" t="inlineStr">
        <is>
          <t>Seguinon</t>
        </is>
      </c>
    </row>
    <row r="22611" spans="1:1">
      <c r="A22611" t="inlineStr">
        <is>
          <t>Sherwood</t>
        </is>
      </c>
    </row>
    <row r="22612" spans="1:1">
      <c r="A22612" t="inlineStr">
        <is>
          <t>Tabgas</t>
        </is>
      </c>
    </row>
    <row r="22613" spans="1:1">
      <c r="A22613" t="inlineStr">
        <is>
          <t>Talisayan</t>
        </is>
      </c>
    </row>
    <row r="22614" spans="1:1">
      <c r="A22614" t="inlineStr">
        <is>
          <t>Tinag-an</t>
        </is>
      </c>
    </row>
    <row r="22615" spans="1:1">
      <c r="A22615" t="inlineStr">
        <is>
          <t>Bacong</t>
        </is>
      </c>
    </row>
    <row r="22616" spans="1:1">
      <c r="A22616" t="inlineStr">
        <is>
          <t>Bagong Silang</t>
        </is>
      </c>
    </row>
    <row r="22617" spans="1:1">
      <c r="A22617" t="inlineStr">
        <is>
          <t>Biasong</t>
        </is>
      </c>
    </row>
    <row r="22618" spans="1:1">
      <c r="A22618" t="inlineStr">
        <is>
          <t>Gov. E. Jaro</t>
        </is>
      </c>
    </row>
    <row r="22619" spans="1:1">
      <c r="A22619" t="inlineStr">
        <is>
          <t>Guintigui-an</t>
        </is>
      </c>
    </row>
    <row r="22620" spans="1:1">
      <c r="A22620" t="inlineStr">
        <is>
          <t>Lukay</t>
        </is>
      </c>
    </row>
    <row r="22621" spans="1:1">
      <c r="A22621" t="inlineStr">
        <is>
          <t>Magcasuang</t>
        </is>
      </c>
    </row>
    <row r="22622" spans="1:1">
      <c r="A22622" t="inlineStr">
        <is>
          <t>Malibago</t>
        </is>
      </c>
    </row>
    <row r="22623" spans="1:1">
      <c r="A22623" t="inlineStr">
        <is>
          <t>Naga-asan</t>
        </is>
      </c>
    </row>
    <row r="22624" spans="1:1">
      <c r="A22624" t="inlineStr">
        <is>
          <t>Pagsulhugon</t>
        </is>
      </c>
    </row>
    <row r="22625" spans="1:1">
      <c r="A22625" t="inlineStr">
        <is>
          <t>Planza</t>
        </is>
      </c>
    </row>
    <row r="22626" spans="1:1">
      <c r="A22626" t="inlineStr">
        <is>
          <t>Poblacion District I</t>
        </is>
      </c>
    </row>
    <row r="22627" spans="1:1">
      <c r="A22627" t="inlineStr">
        <is>
          <t>Poblacion District II</t>
        </is>
      </c>
    </row>
    <row r="22628" spans="1:1">
      <c r="A22628" t="inlineStr">
        <is>
          <t>Poblacion District III</t>
        </is>
      </c>
    </row>
    <row r="22629" spans="1:1">
      <c r="A22629" t="inlineStr">
        <is>
          <t>Poblacion District IV</t>
        </is>
      </c>
    </row>
    <row r="22630" spans="1:1">
      <c r="A22630" t="inlineStr">
        <is>
          <t>Rizal I</t>
        </is>
      </c>
    </row>
    <row r="22631" spans="1:1">
      <c r="A22631" t="inlineStr">
        <is>
          <t>Rizal II</t>
        </is>
      </c>
    </row>
    <row r="22632" spans="1:1">
      <c r="A22632" t="inlineStr">
        <is>
          <t>San Agustin</t>
        </is>
      </c>
    </row>
    <row r="22633" spans="1:1">
      <c r="A22633" t="inlineStr">
        <is>
          <t>San Isidro</t>
        </is>
      </c>
    </row>
    <row r="22634" spans="1:1">
      <c r="A22634" t="inlineStr">
        <is>
          <t>San Ricardo</t>
        </is>
      </c>
    </row>
    <row r="22635" spans="1:1">
      <c r="A22635" t="inlineStr">
        <is>
          <t>Sangputan</t>
        </is>
      </c>
    </row>
    <row r="22636" spans="1:1">
      <c r="A22636" t="inlineStr">
        <is>
          <t>Taguite</t>
        </is>
      </c>
    </row>
    <row r="22637" spans="1:1">
      <c r="A22637" t="inlineStr">
        <is>
          <t>Uban</t>
        </is>
      </c>
    </row>
    <row r="22638" spans="1:1">
      <c r="A22638" t="inlineStr">
        <is>
          <t>Victory</t>
        </is>
      </c>
    </row>
    <row r="22639" spans="1:1">
      <c r="A22639" t="inlineStr">
        <is>
          <t>Villa Magsaysay</t>
        </is>
      </c>
    </row>
    <row r="22640" spans="1:1">
      <c r="A22640" t="inlineStr">
        <is>
          <t>Abango</t>
        </is>
      </c>
    </row>
    <row r="22641" spans="1:1">
      <c r="A22641" t="inlineStr">
        <is>
          <t>Amahit</t>
        </is>
      </c>
    </row>
    <row r="22642" spans="1:1">
      <c r="A22642" t="inlineStr">
        <is>
          <t>Balire</t>
        </is>
      </c>
    </row>
    <row r="22643" spans="1:1">
      <c r="A22643" t="inlineStr">
        <is>
          <t>Balud</t>
        </is>
      </c>
    </row>
    <row r="22644" spans="1:1">
      <c r="A22644" t="inlineStr">
        <is>
          <t>Bukid</t>
        </is>
      </c>
    </row>
    <row r="22645" spans="1:1">
      <c r="A22645" t="inlineStr">
        <is>
          <t>Bulod</t>
        </is>
      </c>
    </row>
    <row r="22646" spans="1:1">
      <c r="A22646" t="inlineStr">
        <is>
          <t>Busay</t>
        </is>
      </c>
    </row>
    <row r="22647" spans="1:1">
      <c r="A22647" t="inlineStr">
        <is>
          <t>Cabarasan</t>
        </is>
      </c>
    </row>
    <row r="22648" spans="1:1">
      <c r="A22648" t="inlineStr">
        <is>
          <t>Cabolo-an</t>
        </is>
      </c>
    </row>
    <row r="22649" spans="1:1">
      <c r="A22649" t="inlineStr">
        <is>
          <t>Calingcaguing</t>
        </is>
      </c>
    </row>
    <row r="22650" spans="1:1">
      <c r="A22650" t="inlineStr">
        <is>
          <t>Can-isak</t>
        </is>
      </c>
    </row>
    <row r="22651" spans="1:1">
      <c r="A22651" t="inlineStr">
        <is>
          <t>Canomantag</t>
        </is>
      </c>
    </row>
    <row r="22652" spans="1:1">
      <c r="A22652" t="inlineStr">
        <is>
          <t>Cuta</t>
        </is>
      </c>
    </row>
    <row r="22653" spans="1:1">
      <c r="A22653" t="inlineStr">
        <is>
          <t>Domogdog</t>
        </is>
      </c>
    </row>
    <row r="22654" spans="1:1">
      <c r="A22654" t="inlineStr">
        <is>
          <t>Duka</t>
        </is>
      </c>
    </row>
    <row r="22655" spans="1:1">
      <c r="A22655" t="inlineStr">
        <is>
          <t>Guindaohan</t>
        </is>
      </c>
    </row>
    <row r="22656" spans="1:1">
      <c r="A22656" t="inlineStr">
        <is>
          <t>Hiagsam</t>
        </is>
      </c>
    </row>
    <row r="22657" spans="1:1">
      <c r="A22657" t="inlineStr">
        <is>
          <t>Hilaba</t>
        </is>
      </c>
    </row>
    <row r="22658" spans="1:1">
      <c r="A22658" t="inlineStr">
        <is>
          <t>Hinugayan</t>
        </is>
      </c>
    </row>
    <row r="22659" spans="1:1">
      <c r="A22659" t="inlineStr">
        <is>
          <t>Ibag</t>
        </is>
      </c>
    </row>
    <row r="22660" spans="1:1">
      <c r="A22660" t="inlineStr">
        <is>
          <t>Minuhang</t>
        </is>
      </c>
    </row>
    <row r="22661" spans="1:1">
      <c r="A22661" t="inlineStr">
        <is>
          <t>Minuswang</t>
        </is>
      </c>
    </row>
    <row r="22662" spans="1:1">
      <c r="A22662" t="inlineStr">
        <is>
          <t>Pikas</t>
        </is>
      </c>
    </row>
    <row r="22663" spans="1:1">
      <c r="A22663" t="inlineStr">
        <is>
          <t>Pitogo</t>
        </is>
      </c>
    </row>
    <row r="22664" spans="1:1">
      <c r="A22664" t="inlineStr">
        <is>
          <t>Poblacion Dist. I</t>
        </is>
      </c>
    </row>
    <row r="22665" spans="1:1">
      <c r="A22665" t="inlineStr">
        <is>
          <t>Poblacion Dist. II</t>
        </is>
      </c>
    </row>
    <row r="22666" spans="1:1">
      <c r="A22666" t="inlineStr">
        <is>
          <t>Poblacion Dist. III</t>
        </is>
      </c>
    </row>
    <row r="22667" spans="1:1">
      <c r="A22667" t="inlineStr">
        <is>
          <t>Poblacion Dist. IV</t>
        </is>
      </c>
    </row>
    <row r="22668" spans="1:1">
      <c r="A22668" t="inlineStr">
        <is>
          <t>Poblacion Dist. V</t>
        </is>
      </c>
    </row>
    <row r="22669" spans="1:1">
      <c r="A22669" t="inlineStr">
        <is>
          <t>Poblacion Dist. VI</t>
        </is>
      </c>
    </row>
    <row r="22670" spans="1:1">
      <c r="A22670" t="inlineStr">
        <is>
          <t>Pongso</t>
        </is>
      </c>
    </row>
    <row r="22671" spans="1:1">
      <c r="A22671" t="inlineStr">
        <is>
          <t>Roosevelt</t>
        </is>
      </c>
    </row>
    <row r="22672" spans="1:1">
      <c r="A22672" t="inlineStr">
        <is>
          <t>San Isidro</t>
        </is>
      </c>
    </row>
    <row r="22673" spans="1:1">
      <c r="A22673" t="inlineStr">
        <is>
          <t>San Roque</t>
        </is>
      </c>
    </row>
    <row r="22674" spans="1:1">
      <c r="A22674" t="inlineStr">
        <is>
          <t>Santa Rosa</t>
        </is>
      </c>
    </row>
    <row r="22675" spans="1:1">
      <c r="A22675" t="inlineStr">
        <is>
          <t>Santarin</t>
        </is>
      </c>
    </row>
    <row r="22676" spans="1:1">
      <c r="A22676" t="inlineStr">
        <is>
          <t>Tutug-an</t>
        </is>
      </c>
    </row>
    <row r="22677" spans="1:1">
      <c r="A22677" t="inlineStr">
        <is>
          <t>Alegria</t>
        </is>
      </c>
    </row>
    <row r="22678" spans="1:1">
      <c r="A22678" t="inlineStr">
        <is>
          <t>Alejos</t>
        </is>
      </c>
    </row>
    <row r="22679" spans="1:1">
      <c r="A22679" t="inlineStr">
        <is>
          <t>Amagos</t>
        </is>
      </c>
    </row>
    <row r="22680" spans="1:1">
      <c r="A22680" t="inlineStr">
        <is>
          <t>Anahawan</t>
        </is>
      </c>
    </row>
    <row r="22681" spans="1:1">
      <c r="A22681" t="inlineStr">
        <is>
          <t>Bago</t>
        </is>
      </c>
    </row>
    <row r="22682" spans="1:1">
      <c r="A22682" t="inlineStr">
        <is>
          <t>Bagong Bayan District</t>
        </is>
      </c>
    </row>
    <row r="22683" spans="1:1">
      <c r="A22683" t="inlineStr">
        <is>
          <t>Buli</t>
        </is>
      </c>
    </row>
    <row r="22684" spans="1:1">
      <c r="A22684" t="inlineStr">
        <is>
          <t>Cebuana</t>
        </is>
      </c>
    </row>
    <row r="22685" spans="1:1">
      <c r="A22685" t="inlineStr">
        <is>
          <t>Daan Lungsod</t>
        </is>
      </c>
    </row>
    <row r="22686" spans="1:1">
      <c r="A22686" t="inlineStr">
        <is>
          <t>Dawahon</t>
        </is>
      </c>
    </row>
    <row r="22687" spans="1:1">
      <c r="A22687" t="inlineStr">
        <is>
          <t>Dolho</t>
        </is>
      </c>
    </row>
    <row r="22688" spans="1:1">
      <c r="A22688" t="inlineStr">
        <is>
          <t>Domagocdoc</t>
        </is>
      </c>
    </row>
    <row r="22689" spans="1:1">
      <c r="A22689" t="inlineStr">
        <is>
          <t>Guerrero District</t>
        </is>
      </c>
    </row>
    <row r="22690" spans="1:1">
      <c r="A22690" t="inlineStr">
        <is>
          <t>Himamaa</t>
        </is>
      </c>
    </row>
    <row r="22691" spans="1:1">
      <c r="A22691" t="inlineStr">
        <is>
          <t>Imelda</t>
        </is>
      </c>
    </row>
    <row r="22692" spans="1:1">
      <c r="A22692" t="inlineStr">
        <is>
          <t>Iniguihan District</t>
        </is>
      </c>
    </row>
    <row r="22693" spans="1:1">
      <c r="A22693" t="inlineStr">
        <is>
          <t>Kalanggaman District</t>
        </is>
      </c>
    </row>
    <row r="22694" spans="1:1">
      <c r="A22694" t="inlineStr">
        <is>
          <t>Katipunan</t>
        </is>
      </c>
    </row>
    <row r="22695" spans="1:1">
      <c r="A22695" t="inlineStr">
        <is>
          <t>Liberty</t>
        </is>
      </c>
    </row>
    <row r="22696" spans="1:1">
      <c r="A22696" t="inlineStr">
        <is>
          <t>Mabini</t>
        </is>
      </c>
    </row>
    <row r="22697" spans="1:1">
      <c r="A22697" t="inlineStr">
        <is>
          <t>Marcelo</t>
        </is>
      </c>
    </row>
    <row r="22698" spans="1:1">
      <c r="A22698" t="inlineStr">
        <is>
          <t>Naga</t>
        </is>
      </c>
    </row>
    <row r="22699" spans="1:1">
      <c r="A22699" t="inlineStr">
        <is>
          <t>Osmeña</t>
        </is>
      </c>
    </row>
    <row r="22700" spans="1:1">
      <c r="A22700" t="inlineStr">
        <is>
          <t>Plaridel</t>
        </is>
      </c>
    </row>
    <row r="22701" spans="1:1">
      <c r="A22701" t="inlineStr">
        <is>
          <t>Ponong</t>
        </is>
      </c>
    </row>
    <row r="22702" spans="1:1">
      <c r="A22702" t="inlineStr">
        <is>
          <t>Rivilla</t>
        </is>
      </c>
    </row>
    <row r="22703" spans="1:1">
      <c r="A22703" t="inlineStr">
        <is>
          <t>San Agustin</t>
        </is>
      </c>
    </row>
    <row r="22704" spans="1:1">
      <c r="A22704" t="inlineStr">
        <is>
          <t>Santo Niño</t>
        </is>
      </c>
    </row>
    <row r="22705" spans="1:1">
      <c r="A22705" t="inlineStr">
        <is>
          <t>Tabunok</t>
        </is>
      </c>
    </row>
    <row r="22706" spans="1:1">
      <c r="A22706" t="inlineStr">
        <is>
          <t>Tagaytay</t>
        </is>
      </c>
    </row>
    <row r="22707" spans="1:1">
      <c r="A22707" t="inlineStr">
        <is>
          <t>Tinago District</t>
        </is>
      </c>
    </row>
    <row r="22708" spans="1:1">
      <c r="A22708" t="inlineStr">
        <is>
          <t>Tugas</t>
        </is>
      </c>
    </row>
    <row r="22709" spans="1:1">
      <c r="A22709" t="inlineStr">
        <is>
          <t>Abuyogon</t>
        </is>
      </c>
    </row>
    <row r="22710" spans="1:1">
      <c r="A22710" t="inlineStr">
        <is>
          <t>Anonang</t>
        </is>
      </c>
    </row>
    <row r="22711" spans="1:1">
      <c r="A22711" t="inlineStr">
        <is>
          <t>Arado</t>
        </is>
      </c>
    </row>
    <row r="22712" spans="1:1">
      <c r="A22712" t="inlineStr">
        <is>
          <t>Balao</t>
        </is>
      </c>
    </row>
    <row r="22713" spans="1:1">
      <c r="A22713" t="inlineStr">
        <is>
          <t>Balatson</t>
        </is>
      </c>
    </row>
    <row r="22714" spans="1:1">
      <c r="A22714" t="inlineStr">
        <is>
          <t>Balorinay</t>
        </is>
      </c>
    </row>
    <row r="22715" spans="1:1">
      <c r="A22715" t="inlineStr">
        <is>
          <t>Bobon</t>
        </is>
      </c>
    </row>
    <row r="22716" spans="1:1">
      <c r="A22716" t="inlineStr">
        <is>
          <t>Buenavista</t>
        </is>
      </c>
    </row>
    <row r="22717" spans="1:1">
      <c r="A22717" t="inlineStr">
        <is>
          <t>Buri</t>
        </is>
      </c>
    </row>
    <row r="22718" spans="1:1">
      <c r="A22718" t="inlineStr">
        <is>
          <t>Caanislagan</t>
        </is>
      </c>
    </row>
    <row r="22719" spans="1:1">
      <c r="A22719" t="inlineStr">
        <is>
          <t>Cadahunan</t>
        </is>
      </c>
    </row>
    <row r="22720" spans="1:1">
      <c r="A22720" t="inlineStr">
        <is>
          <t>Cagangon</t>
        </is>
      </c>
    </row>
    <row r="22721" spans="1:1">
      <c r="A22721" t="inlineStr">
        <is>
          <t>Cali</t>
        </is>
      </c>
    </row>
    <row r="22722" spans="1:1">
      <c r="A22722" t="inlineStr">
        <is>
          <t>Calsadahay</t>
        </is>
      </c>
    </row>
    <row r="22723" spans="1:1">
      <c r="A22723" t="inlineStr">
        <is>
          <t>Candag-on</t>
        </is>
      </c>
    </row>
    <row r="22724" spans="1:1">
      <c r="A22724" t="inlineStr">
        <is>
          <t>Cansiboy</t>
        </is>
      </c>
    </row>
    <row r="22725" spans="1:1">
      <c r="A22725" t="inlineStr">
        <is>
          <t>Catagbacan</t>
        </is>
      </c>
    </row>
    <row r="22726" spans="1:1">
      <c r="A22726" t="inlineStr">
        <is>
          <t>Damulo-an</t>
        </is>
      </c>
    </row>
    <row r="22727" spans="1:1">
      <c r="A22727" t="inlineStr">
        <is>
          <t>Dina-ayan</t>
        </is>
      </c>
    </row>
    <row r="22728" spans="1:1">
      <c r="A22728" t="inlineStr">
        <is>
          <t>Dumalag</t>
        </is>
      </c>
    </row>
    <row r="22729" spans="1:1">
      <c r="A22729" t="inlineStr">
        <is>
          <t>Esperanza</t>
        </is>
      </c>
    </row>
    <row r="22730" spans="1:1">
      <c r="A22730" t="inlineStr">
        <is>
          <t>Gamay</t>
        </is>
      </c>
    </row>
    <row r="22731" spans="1:1">
      <c r="A22731" t="inlineStr">
        <is>
          <t>Gitabla</t>
        </is>
      </c>
    </row>
    <row r="22732" spans="1:1">
      <c r="A22732" t="inlineStr">
        <is>
          <t>Hapunan</t>
        </is>
      </c>
    </row>
    <row r="22733" spans="1:1">
      <c r="A22733" t="inlineStr">
        <is>
          <t>Hibunawan</t>
        </is>
      </c>
    </row>
    <row r="22734" spans="1:1">
      <c r="A22734" t="inlineStr">
        <is>
          <t>Hugpa East</t>
        </is>
      </c>
    </row>
    <row r="22735" spans="1:1">
      <c r="A22735" t="inlineStr">
        <is>
          <t>Hugpa West</t>
        </is>
      </c>
    </row>
    <row r="22736" spans="1:1">
      <c r="A22736" t="inlineStr">
        <is>
          <t>Ilihan</t>
        </is>
      </c>
    </row>
    <row r="22737" spans="1:1">
      <c r="A22737" t="inlineStr">
        <is>
          <t>Kagbana</t>
        </is>
      </c>
    </row>
    <row r="22738" spans="1:1">
      <c r="A22738" t="inlineStr">
        <is>
          <t>Kalao</t>
        </is>
      </c>
    </row>
    <row r="22739" spans="1:1">
      <c r="A22739" t="inlineStr">
        <is>
          <t>Kalipayan</t>
        </is>
      </c>
    </row>
    <row r="22740" spans="1:1">
      <c r="A22740" t="inlineStr">
        <is>
          <t>Kaparasanan</t>
        </is>
      </c>
    </row>
    <row r="22741" spans="1:1">
      <c r="A22741" t="inlineStr">
        <is>
          <t>Laguiwan</t>
        </is>
      </c>
    </row>
    <row r="22742" spans="1:1">
      <c r="A22742" t="inlineStr">
        <is>
          <t>Libas</t>
        </is>
      </c>
    </row>
    <row r="22743" spans="1:1">
      <c r="A22743" t="inlineStr">
        <is>
          <t>Limburan</t>
        </is>
      </c>
    </row>
    <row r="22744" spans="1:1">
      <c r="A22744" t="inlineStr">
        <is>
          <t>Logsongan</t>
        </is>
      </c>
    </row>
    <row r="22745" spans="1:1">
      <c r="A22745" t="inlineStr">
        <is>
          <t>Maabab</t>
        </is>
      </c>
    </row>
    <row r="22746" spans="1:1">
      <c r="A22746" t="inlineStr">
        <is>
          <t>Maghubas</t>
        </is>
      </c>
    </row>
    <row r="22747" spans="1:1">
      <c r="A22747" t="inlineStr">
        <is>
          <t>Mahagnao</t>
        </is>
      </c>
    </row>
    <row r="22748" spans="1:1">
      <c r="A22748" t="inlineStr">
        <is>
          <t>Malabca</t>
        </is>
      </c>
    </row>
    <row r="22749" spans="1:1">
      <c r="A22749" t="inlineStr">
        <is>
          <t>Malaguinabot</t>
        </is>
      </c>
    </row>
    <row r="22750" spans="1:1">
      <c r="A22750" t="inlineStr">
        <is>
          <t>Malaihao</t>
        </is>
      </c>
    </row>
    <row r="22751" spans="1:1">
      <c r="A22751" t="inlineStr">
        <is>
          <t>Matin-ao</t>
        </is>
      </c>
    </row>
    <row r="22752" spans="1:1">
      <c r="A22752" t="inlineStr">
        <is>
          <t>Moguing</t>
        </is>
      </c>
    </row>
    <row r="22753" spans="1:1">
      <c r="A22753" t="inlineStr">
        <is>
          <t>Paghudlan</t>
        </is>
      </c>
    </row>
    <row r="22754" spans="1:1">
      <c r="A22754" t="inlineStr">
        <is>
          <t>Paitan</t>
        </is>
      </c>
    </row>
    <row r="22755" spans="1:1">
      <c r="A22755" t="inlineStr">
        <is>
          <t>Pangdan</t>
        </is>
      </c>
    </row>
    <row r="22756" spans="1:1">
      <c r="A22756" t="inlineStr">
        <is>
          <t>Patag</t>
        </is>
      </c>
    </row>
    <row r="22757" spans="1:1">
      <c r="A22757" t="inlineStr">
        <is>
          <t>Patong</t>
        </is>
      </c>
    </row>
    <row r="22758" spans="1:1">
      <c r="A22758" t="inlineStr">
        <is>
          <t>Pawa</t>
        </is>
      </c>
    </row>
    <row r="22759" spans="1:1">
      <c r="A22759" t="inlineStr">
        <is>
          <t>Poblacion District I</t>
        </is>
      </c>
    </row>
    <row r="22760" spans="1:1">
      <c r="A22760" t="inlineStr">
        <is>
          <t>Poblacion District II</t>
        </is>
      </c>
    </row>
    <row r="22761" spans="1:1">
      <c r="A22761" t="inlineStr">
        <is>
          <t>Poblacion District III</t>
        </is>
      </c>
    </row>
    <row r="22762" spans="1:1">
      <c r="A22762" t="inlineStr">
        <is>
          <t>Poblacion District IV</t>
        </is>
      </c>
    </row>
    <row r="22763" spans="1:1">
      <c r="A22763" t="inlineStr">
        <is>
          <t>Poblacion District IX</t>
        </is>
      </c>
    </row>
    <row r="22764" spans="1:1">
      <c r="A22764" t="inlineStr">
        <is>
          <t>Poblacion District V</t>
        </is>
      </c>
    </row>
    <row r="22765" spans="1:1">
      <c r="A22765" t="inlineStr">
        <is>
          <t>Poblacion District VI</t>
        </is>
      </c>
    </row>
    <row r="22766" spans="1:1">
      <c r="A22766" t="inlineStr">
        <is>
          <t>Poblacion District VII</t>
        </is>
      </c>
    </row>
    <row r="22767" spans="1:1">
      <c r="A22767" t="inlineStr">
        <is>
          <t>Poblacion District VIII</t>
        </is>
      </c>
    </row>
    <row r="22768" spans="1:1">
      <c r="A22768" t="inlineStr">
        <is>
          <t>Roxas</t>
        </is>
      </c>
    </row>
    <row r="22769" spans="1:1">
      <c r="A22769" t="inlineStr">
        <is>
          <t>Sambel</t>
        </is>
      </c>
    </row>
    <row r="22770" spans="1:1">
      <c r="A22770" t="inlineStr">
        <is>
          <t>San Esteban</t>
        </is>
      </c>
    </row>
    <row r="22771" spans="1:1">
      <c r="A22771" t="inlineStr">
        <is>
          <t>San Fernando</t>
        </is>
      </c>
    </row>
    <row r="22772" spans="1:1">
      <c r="A22772" t="inlineStr">
        <is>
          <t>San Jose East</t>
        </is>
      </c>
    </row>
    <row r="22773" spans="1:1">
      <c r="A22773" t="inlineStr">
        <is>
          <t>San Jose West</t>
        </is>
      </c>
    </row>
    <row r="22774" spans="1:1">
      <c r="A22774" t="inlineStr">
        <is>
          <t>San Pablo</t>
        </is>
      </c>
    </row>
    <row r="22775" spans="1:1">
      <c r="A22775" t="inlineStr">
        <is>
          <t>Tabuanon</t>
        </is>
      </c>
    </row>
    <row r="22776" spans="1:1">
      <c r="A22776" t="inlineStr">
        <is>
          <t>Tagadtaran</t>
        </is>
      </c>
    </row>
    <row r="22777" spans="1:1">
      <c r="A22777" t="inlineStr">
        <is>
          <t>Taghuyan</t>
        </is>
      </c>
    </row>
    <row r="22778" spans="1:1">
      <c r="A22778" t="inlineStr">
        <is>
          <t>Takin</t>
        </is>
      </c>
    </row>
    <row r="22779" spans="1:1">
      <c r="A22779" t="inlineStr">
        <is>
          <t>Tambis</t>
        </is>
      </c>
    </row>
    <row r="22780" spans="1:1">
      <c r="A22780" t="inlineStr">
        <is>
          <t>Tambuko</t>
        </is>
      </c>
    </row>
    <row r="22781" spans="1:1">
      <c r="A22781" t="inlineStr">
        <is>
          <t>Toloyao</t>
        </is>
      </c>
    </row>
    <row r="22782" spans="1:1">
      <c r="A22782" t="inlineStr">
        <is>
          <t>Villa Aurora</t>
        </is>
      </c>
    </row>
    <row r="22783" spans="1:1">
      <c r="A22783" t="inlineStr">
        <is>
          <t>Villa Corazon</t>
        </is>
      </c>
    </row>
    <row r="22784" spans="1:1">
      <c r="A22784" t="inlineStr">
        <is>
          <t>Villa Patria</t>
        </is>
      </c>
    </row>
    <row r="22785" spans="1:1">
      <c r="A22785" t="inlineStr">
        <is>
          <t>Villa Rosas</t>
        </is>
      </c>
    </row>
    <row r="22786" spans="1:1">
      <c r="A22786" t="inlineStr">
        <is>
          <t>Abanilla</t>
        </is>
      </c>
    </row>
    <row r="22787" spans="1:1">
      <c r="A22787" t="inlineStr">
        <is>
          <t>Agas</t>
        </is>
      </c>
    </row>
    <row r="22788" spans="1:1">
      <c r="A22788" t="inlineStr">
        <is>
          <t>Anislagan</t>
        </is>
      </c>
    </row>
    <row r="22789" spans="1:1">
      <c r="A22789" t="inlineStr">
        <is>
          <t>Bunacan</t>
        </is>
      </c>
    </row>
    <row r="22790" spans="1:1">
      <c r="A22790" t="inlineStr">
        <is>
          <t>Cabalhin</t>
        </is>
      </c>
    </row>
    <row r="22791" spans="1:1">
      <c r="A22791" t="inlineStr">
        <is>
          <t>Cabalquinto</t>
        </is>
      </c>
    </row>
    <row r="22792" spans="1:1">
      <c r="A22792" t="inlineStr">
        <is>
          <t>Cabradilla</t>
        </is>
      </c>
    </row>
    <row r="22793" spans="1:1">
      <c r="A22793" t="inlineStr">
        <is>
          <t>Caneja</t>
        </is>
      </c>
    </row>
    <row r="22794" spans="1:1">
      <c r="A22794" t="inlineStr">
        <is>
          <t>Cantonghao</t>
        </is>
      </c>
    </row>
    <row r="22795" spans="1:1">
      <c r="A22795" t="inlineStr">
        <is>
          <t>Caroyocan</t>
        </is>
      </c>
    </row>
    <row r="22796" spans="1:1">
      <c r="A22796" t="inlineStr">
        <is>
          <t>Casiongan</t>
        </is>
      </c>
    </row>
    <row r="22797" spans="1:1">
      <c r="A22797" t="inlineStr">
        <is>
          <t>Cristina</t>
        </is>
      </c>
    </row>
    <row r="22798" spans="1:1">
      <c r="A22798" t="inlineStr">
        <is>
          <t>Dalumpines</t>
        </is>
      </c>
    </row>
    <row r="22799" spans="1:1">
      <c r="A22799" t="inlineStr">
        <is>
          <t>Don Luis</t>
        </is>
      </c>
    </row>
    <row r="22800" spans="1:1">
      <c r="A22800" t="inlineStr">
        <is>
          <t>Dulao</t>
        </is>
      </c>
    </row>
    <row r="22801" spans="1:1">
      <c r="A22801" t="inlineStr">
        <is>
          <t>Efe</t>
        </is>
      </c>
    </row>
    <row r="22802" spans="1:1">
      <c r="A22802" t="inlineStr">
        <is>
          <t>Enage</t>
        </is>
      </c>
    </row>
    <row r="22803" spans="1:1">
      <c r="A22803" t="inlineStr">
        <is>
          <t>Espinosa</t>
        </is>
      </c>
    </row>
    <row r="22804" spans="1:1">
      <c r="A22804" t="inlineStr">
        <is>
          <t>Ferdinand E. Marcos</t>
        </is>
      </c>
    </row>
    <row r="22805" spans="1:1">
      <c r="A22805" t="inlineStr">
        <is>
          <t>Garganera</t>
        </is>
      </c>
    </row>
    <row r="22806" spans="1:1">
      <c r="A22806" t="inlineStr">
        <is>
          <t>Garrido</t>
        </is>
      </c>
    </row>
    <row r="22807" spans="1:1">
      <c r="A22807" t="inlineStr">
        <is>
          <t>Guadalupe</t>
        </is>
      </c>
    </row>
    <row r="22808" spans="1:1">
      <c r="A22808" t="inlineStr">
        <is>
          <t>Gutosan</t>
        </is>
      </c>
    </row>
    <row r="22809" spans="1:1">
      <c r="A22809" t="inlineStr">
        <is>
          <t>Igang</t>
        </is>
      </c>
    </row>
    <row r="22810" spans="1:1">
      <c r="A22810" t="inlineStr">
        <is>
          <t>Inalad</t>
        </is>
      </c>
    </row>
    <row r="22811" spans="1:1">
      <c r="A22811" t="inlineStr">
        <is>
          <t>Jubay</t>
        </is>
      </c>
    </row>
    <row r="22812" spans="1:1">
      <c r="A22812" t="inlineStr">
        <is>
          <t>Juson</t>
        </is>
      </c>
    </row>
    <row r="22813" spans="1:1">
      <c r="A22813" t="inlineStr">
        <is>
          <t>Kawayan Bogtong</t>
        </is>
      </c>
    </row>
    <row r="22814" spans="1:1">
      <c r="A22814" t="inlineStr">
        <is>
          <t>Kawayanan</t>
        </is>
      </c>
    </row>
    <row r="22815" spans="1:1">
      <c r="A22815" t="inlineStr">
        <is>
          <t>Kokoy Romualdez</t>
        </is>
      </c>
    </row>
    <row r="22816" spans="1:1">
      <c r="A22816" t="inlineStr">
        <is>
          <t>Labtic</t>
        </is>
      </c>
    </row>
    <row r="22817" spans="1:1">
      <c r="A22817" t="inlineStr">
        <is>
          <t>Laray</t>
        </is>
      </c>
    </row>
    <row r="22818" spans="1:1">
      <c r="A22818" t="inlineStr">
        <is>
          <t>M. Veloso</t>
        </is>
      </c>
    </row>
    <row r="22819" spans="1:1">
      <c r="A22819" t="inlineStr">
        <is>
          <t>Mahait</t>
        </is>
      </c>
    </row>
    <row r="22820" spans="1:1">
      <c r="A22820" t="inlineStr">
        <is>
          <t>Malobago</t>
        </is>
      </c>
    </row>
    <row r="22821" spans="1:1">
      <c r="A22821" t="inlineStr">
        <is>
          <t>Matagok</t>
        </is>
      </c>
    </row>
    <row r="22822" spans="1:1">
      <c r="A22822" t="inlineStr">
        <is>
          <t>Nipa</t>
        </is>
      </c>
    </row>
    <row r="22823" spans="1:1">
      <c r="A22823" t="inlineStr">
        <is>
          <t>Obispo</t>
        </is>
      </c>
    </row>
    <row r="22824" spans="1:1">
      <c r="A22824" t="inlineStr">
        <is>
          <t>Padoga</t>
        </is>
      </c>
    </row>
    <row r="22825" spans="1:1">
      <c r="A22825" t="inlineStr">
        <is>
          <t>Pagatpat</t>
        </is>
      </c>
    </row>
    <row r="22826" spans="1:1">
      <c r="A22826" t="inlineStr">
        <is>
          <t>Pangpang</t>
        </is>
      </c>
    </row>
    <row r="22827" spans="1:1">
      <c r="A22827" t="inlineStr">
        <is>
          <t>Patag</t>
        </is>
      </c>
    </row>
    <row r="22828" spans="1:1">
      <c r="A22828" t="inlineStr">
        <is>
          <t>Pates</t>
        </is>
      </c>
    </row>
    <row r="22829" spans="1:1">
      <c r="A22829" t="inlineStr">
        <is>
          <t>Paula</t>
        </is>
      </c>
    </row>
    <row r="22830" spans="1:1">
      <c r="A22830" t="inlineStr">
        <is>
          <t>Petrolio</t>
        </is>
      </c>
    </row>
    <row r="22831" spans="1:1">
      <c r="A22831" t="inlineStr">
        <is>
          <t>Poblacion</t>
        </is>
      </c>
    </row>
    <row r="22832" spans="1:1">
      <c r="A22832" t="inlineStr">
        <is>
          <t>Railes</t>
        </is>
      </c>
    </row>
    <row r="22833" spans="1:1">
      <c r="A22833" t="inlineStr">
        <is>
          <t>Tabla</t>
        </is>
      </c>
    </row>
    <row r="22834" spans="1:1">
      <c r="A22834" t="inlineStr">
        <is>
          <t>Tagharigue</t>
        </is>
      </c>
    </row>
    <row r="22835" spans="1:1">
      <c r="A22835" t="inlineStr">
        <is>
          <t>Tuburan</t>
        </is>
      </c>
    </row>
    <row r="22836" spans="1:1">
      <c r="A22836" t="inlineStr">
        <is>
          <t>Villahermosa</t>
        </is>
      </c>
    </row>
    <row r="22837" spans="1:1">
      <c r="A22837" t="inlineStr">
        <is>
          <t>Villalon</t>
        </is>
      </c>
    </row>
    <row r="22838" spans="1:1">
      <c r="A22838" t="inlineStr">
        <is>
          <t>Villanueva</t>
        </is>
      </c>
    </row>
    <row r="22839" spans="1:1">
      <c r="A22839" t="inlineStr">
        <is>
          <t>Balucanad</t>
        </is>
      </c>
    </row>
    <row r="22840" spans="1:1">
      <c r="A22840" t="inlineStr">
        <is>
          <t>Balud</t>
        </is>
      </c>
    </row>
    <row r="22841" spans="1:1">
      <c r="A22841" t="inlineStr">
        <is>
          <t>Balugo</t>
        </is>
      </c>
    </row>
    <row r="22842" spans="1:1">
      <c r="A22842" t="inlineStr">
        <is>
          <t>Cabul-an</t>
        </is>
      </c>
    </row>
    <row r="22843" spans="1:1">
      <c r="A22843" t="inlineStr">
        <is>
          <t>Culasian</t>
        </is>
      </c>
    </row>
    <row r="22844" spans="1:1">
      <c r="A22844" t="inlineStr">
        <is>
          <t>Gayad</t>
        </is>
      </c>
    </row>
    <row r="22845" spans="1:1">
      <c r="A22845" t="inlineStr">
        <is>
          <t>Guinadiongan</t>
        </is>
      </c>
    </row>
    <row r="22846" spans="1:1">
      <c r="A22846" t="inlineStr">
        <is>
          <t>Lemon</t>
        </is>
      </c>
    </row>
    <row r="22847" spans="1:1">
      <c r="A22847" t="inlineStr">
        <is>
          <t>Libertad</t>
        </is>
      </c>
    </row>
    <row r="22848" spans="1:1">
      <c r="A22848" t="inlineStr">
        <is>
          <t>Manloy</t>
        </is>
      </c>
    </row>
    <row r="22849" spans="1:1">
      <c r="A22849" t="inlineStr">
        <is>
          <t>Nauguisan</t>
        </is>
      </c>
    </row>
    <row r="22850" spans="1:1">
      <c r="A22850" t="inlineStr">
        <is>
          <t>Pinamopoan</t>
        </is>
      </c>
    </row>
    <row r="22851" spans="1:1">
      <c r="A22851" t="inlineStr">
        <is>
          <t>Poblacion Zone I</t>
        </is>
      </c>
    </row>
    <row r="22852" spans="1:1">
      <c r="A22852" t="inlineStr">
        <is>
          <t>Poblacion Zone II</t>
        </is>
      </c>
    </row>
    <row r="22853" spans="1:1">
      <c r="A22853" t="inlineStr">
        <is>
          <t>Potot</t>
        </is>
      </c>
    </row>
    <row r="22854" spans="1:1">
      <c r="A22854" t="inlineStr">
        <is>
          <t>San Joaquin</t>
        </is>
      </c>
    </row>
    <row r="22855" spans="1:1">
      <c r="A22855" t="inlineStr">
        <is>
          <t>Santo Niño</t>
        </is>
      </c>
    </row>
    <row r="22856" spans="1:1">
      <c r="A22856" t="inlineStr">
        <is>
          <t>Talairan</t>
        </is>
      </c>
    </row>
    <row r="22857" spans="1:1">
      <c r="A22857" t="inlineStr">
        <is>
          <t>Talisay</t>
        </is>
      </c>
    </row>
    <row r="22858" spans="1:1">
      <c r="A22858" t="inlineStr">
        <is>
          <t>Tolibao</t>
        </is>
      </c>
    </row>
    <row r="22859" spans="1:1">
      <c r="A22859" t="inlineStr">
        <is>
          <t>Visares</t>
        </is>
      </c>
    </row>
    <row r="22860" spans="1:1">
      <c r="A22860" t="inlineStr">
        <is>
          <t>Bagong Lipunan</t>
        </is>
      </c>
    </row>
    <row r="22861" spans="1:1">
      <c r="A22861" t="inlineStr">
        <is>
          <t>Balilit</t>
        </is>
      </c>
    </row>
    <row r="22862" spans="1:1">
      <c r="A22862" t="inlineStr">
        <is>
          <t>Barayong</t>
        </is>
      </c>
    </row>
    <row r="22863" spans="1:1">
      <c r="A22863" t="inlineStr">
        <is>
          <t>Barugohay Central</t>
        </is>
      </c>
    </row>
    <row r="22864" spans="1:1">
      <c r="A22864" t="inlineStr">
        <is>
          <t>Barugohay Norte</t>
        </is>
      </c>
    </row>
    <row r="22865" spans="1:1">
      <c r="A22865" t="inlineStr">
        <is>
          <t>Barugohay Sur</t>
        </is>
      </c>
    </row>
    <row r="22866" spans="1:1">
      <c r="A22866" t="inlineStr">
        <is>
          <t>Baybay</t>
        </is>
      </c>
    </row>
    <row r="22867" spans="1:1">
      <c r="A22867" t="inlineStr">
        <is>
          <t>Binibihan</t>
        </is>
      </c>
    </row>
    <row r="22868" spans="1:1">
      <c r="A22868" t="inlineStr">
        <is>
          <t>Bislig</t>
        </is>
      </c>
    </row>
    <row r="22869" spans="1:1">
      <c r="A22869" t="inlineStr">
        <is>
          <t>Caghalo</t>
        </is>
      </c>
    </row>
    <row r="22870" spans="1:1">
      <c r="A22870" t="inlineStr">
        <is>
          <t>Camansi</t>
        </is>
      </c>
    </row>
    <row r="22871" spans="1:1">
      <c r="A22871" t="inlineStr">
        <is>
          <t>Canal</t>
        </is>
      </c>
    </row>
    <row r="22872" spans="1:1">
      <c r="A22872" t="inlineStr">
        <is>
          <t>Candigahub</t>
        </is>
      </c>
    </row>
    <row r="22873" spans="1:1">
      <c r="A22873" t="inlineStr">
        <is>
          <t>Canfabi</t>
        </is>
      </c>
    </row>
    <row r="22874" spans="1:1">
      <c r="A22874" t="inlineStr">
        <is>
          <t>Canlampay</t>
        </is>
      </c>
    </row>
    <row r="22875" spans="1:1">
      <c r="A22875" t="inlineStr">
        <is>
          <t>Cogon</t>
        </is>
      </c>
    </row>
    <row r="22876" spans="1:1">
      <c r="A22876" t="inlineStr">
        <is>
          <t>Cutay</t>
        </is>
      </c>
    </row>
    <row r="22877" spans="1:1">
      <c r="A22877" t="inlineStr">
        <is>
          <t>East Visoria</t>
        </is>
      </c>
    </row>
    <row r="22878" spans="1:1">
      <c r="A22878" t="inlineStr">
        <is>
          <t>Guindapunan East</t>
        </is>
      </c>
    </row>
    <row r="22879" spans="1:1">
      <c r="A22879" t="inlineStr">
        <is>
          <t>Guindapunan West</t>
        </is>
      </c>
    </row>
    <row r="22880" spans="1:1">
      <c r="A22880" t="inlineStr">
        <is>
          <t>Hiluctogan</t>
        </is>
      </c>
    </row>
    <row r="22881" spans="1:1">
      <c r="A22881" t="inlineStr">
        <is>
          <t>Jugaban</t>
        </is>
      </c>
    </row>
    <row r="22882" spans="1:1">
      <c r="A22882" t="inlineStr">
        <is>
          <t>Libo</t>
        </is>
      </c>
    </row>
    <row r="22883" spans="1:1">
      <c r="A22883" t="inlineStr">
        <is>
          <t>Lower Hiraan</t>
        </is>
      </c>
    </row>
    <row r="22884" spans="1:1">
      <c r="A22884" t="inlineStr">
        <is>
          <t>Lower Sogod</t>
        </is>
      </c>
    </row>
    <row r="22885" spans="1:1">
      <c r="A22885" t="inlineStr">
        <is>
          <t>Macalpi</t>
        </is>
      </c>
    </row>
    <row r="22886" spans="1:1">
      <c r="A22886" t="inlineStr">
        <is>
          <t>Manloy</t>
        </is>
      </c>
    </row>
    <row r="22887" spans="1:1">
      <c r="A22887" t="inlineStr">
        <is>
          <t>Nauguisan</t>
        </is>
      </c>
    </row>
    <row r="22888" spans="1:1">
      <c r="A22888" t="inlineStr">
        <is>
          <t>Paglaum</t>
        </is>
      </c>
    </row>
    <row r="22889" spans="1:1">
      <c r="A22889" t="inlineStr">
        <is>
          <t>Pangna</t>
        </is>
      </c>
    </row>
    <row r="22890" spans="1:1">
      <c r="A22890" t="inlineStr">
        <is>
          <t>Parag-um</t>
        </is>
      </c>
    </row>
    <row r="22891" spans="1:1">
      <c r="A22891" t="inlineStr">
        <is>
          <t>Parina</t>
        </is>
      </c>
    </row>
    <row r="22892" spans="1:1">
      <c r="A22892" t="inlineStr">
        <is>
          <t>Piloro</t>
        </is>
      </c>
    </row>
    <row r="22893" spans="1:1">
      <c r="A22893" t="inlineStr">
        <is>
          <t>Ponong</t>
        </is>
      </c>
    </row>
    <row r="22894" spans="1:1">
      <c r="A22894" t="inlineStr">
        <is>
          <t>Rizal</t>
        </is>
      </c>
    </row>
    <row r="22895" spans="1:1">
      <c r="A22895" t="inlineStr">
        <is>
          <t>Sagkahan</t>
        </is>
      </c>
    </row>
    <row r="22896" spans="1:1">
      <c r="A22896" t="inlineStr">
        <is>
          <t>San Isidro</t>
        </is>
      </c>
    </row>
    <row r="22897" spans="1:1">
      <c r="A22897" t="inlineStr">
        <is>
          <t>San Juan</t>
        </is>
      </c>
    </row>
    <row r="22898" spans="1:1">
      <c r="A22898" t="inlineStr">
        <is>
          <t>San Mateo</t>
        </is>
      </c>
    </row>
    <row r="22899" spans="1:1">
      <c r="A22899" t="inlineStr">
        <is>
          <t>Santa Fe</t>
        </is>
      </c>
    </row>
    <row r="22900" spans="1:1">
      <c r="A22900" t="inlineStr">
        <is>
          <t>Sawang</t>
        </is>
      </c>
    </row>
    <row r="22901" spans="1:1">
      <c r="A22901" t="inlineStr">
        <is>
          <t>Tagak</t>
        </is>
      </c>
    </row>
    <row r="22902" spans="1:1">
      <c r="A22902" t="inlineStr">
        <is>
          <t>Tangnan</t>
        </is>
      </c>
    </row>
    <row r="22903" spans="1:1">
      <c r="A22903" t="inlineStr">
        <is>
          <t>Tigbao</t>
        </is>
      </c>
    </row>
    <row r="22904" spans="1:1">
      <c r="A22904" t="inlineStr">
        <is>
          <t>Tinaguban</t>
        </is>
      </c>
    </row>
    <row r="22905" spans="1:1">
      <c r="A22905" t="inlineStr">
        <is>
          <t>Upper Hiraan</t>
        </is>
      </c>
    </row>
    <row r="22906" spans="1:1">
      <c r="A22906" t="inlineStr">
        <is>
          <t>Upper Sogod</t>
        </is>
      </c>
    </row>
    <row r="22907" spans="1:1">
      <c r="A22907" t="inlineStr">
        <is>
          <t>Uyawan</t>
        </is>
      </c>
    </row>
    <row r="22908" spans="1:1">
      <c r="A22908" t="inlineStr">
        <is>
          <t>West Visoria</t>
        </is>
      </c>
    </row>
    <row r="22909" spans="1:1">
      <c r="A22909" t="inlineStr">
        <is>
          <t>Altavista</t>
        </is>
      </c>
    </row>
    <row r="22910" spans="1:1">
      <c r="A22910" t="inlineStr">
        <is>
          <t>Ambacan</t>
        </is>
      </c>
    </row>
    <row r="22911" spans="1:1">
      <c r="A22911" t="inlineStr">
        <is>
          <t>Amguhan</t>
        </is>
      </c>
    </row>
    <row r="22912" spans="1:1">
      <c r="A22912" t="inlineStr">
        <is>
          <t>Ampihanon</t>
        </is>
      </c>
    </row>
    <row r="22913" spans="1:1">
      <c r="A22913" t="inlineStr">
        <is>
          <t>Balao</t>
        </is>
      </c>
    </row>
    <row r="22914" spans="1:1">
      <c r="A22914" t="inlineStr">
        <is>
          <t>Banahao</t>
        </is>
      </c>
    </row>
    <row r="22915" spans="1:1">
      <c r="A22915" t="inlineStr">
        <is>
          <t>Biasong</t>
        </is>
      </c>
    </row>
    <row r="22916" spans="1:1">
      <c r="A22916" t="inlineStr">
        <is>
          <t>Bidlinan</t>
        </is>
      </c>
    </row>
    <row r="22917" spans="1:1">
      <c r="A22917" t="inlineStr">
        <is>
          <t>Bitanhuan</t>
        </is>
      </c>
    </row>
    <row r="22918" spans="1:1">
      <c r="A22918" t="inlineStr">
        <is>
          <t>Bubon</t>
        </is>
      </c>
    </row>
    <row r="22919" spans="1:1">
      <c r="A22919" t="inlineStr">
        <is>
          <t>Buenavista</t>
        </is>
      </c>
    </row>
    <row r="22920" spans="1:1">
      <c r="A22920" t="inlineStr">
        <is>
          <t>Bunga</t>
        </is>
      </c>
    </row>
    <row r="22921" spans="1:1">
      <c r="A22921" t="inlineStr">
        <is>
          <t>Butigan</t>
        </is>
      </c>
    </row>
    <row r="22922" spans="1:1">
      <c r="A22922" t="inlineStr">
        <is>
          <t>Candadam</t>
        </is>
      </c>
    </row>
    <row r="22923" spans="1:1">
      <c r="A22923" t="inlineStr">
        <is>
          <t>Caridad</t>
        </is>
      </c>
    </row>
    <row r="22924" spans="1:1">
      <c r="A22924" t="inlineStr">
        <is>
          <t>Ciabo</t>
        </is>
      </c>
    </row>
    <row r="22925" spans="1:1">
      <c r="A22925" t="inlineStr">
        <is>
          <t>Cogon</t>
        </is>
      </c>
    </row>
    <row r="22926" spans="1:1">
      <c r="A22926" t="inlineStr">
        <is>
          <t>Ga-as</t>
        </is>
      </c>
    </row>
    <row r="22927" spans="1:1">
      <c r="A22927" t="inlineStr">
        <is>
          <t>Gabas</t>
        </is>
      </c>
    </row>
    <row r="22928" spans="1:1">
      <c r="A22928" t="inlineStr">
        <is>
          <t>Gakat</t>
        </is>
      </c>
    </row>
    <row r="22929" spans="1:1">
      <c r="A22929" t="inlineStr">
        <is>
          <t>Guadalupe</t>
        </is>
      </c>
    </row>
    <row r="22930" spans="1:1">
      <c r="A22930" t="inlineStr">
        <is>
          <t>Gubang</t>
        </is>
      </c>
    </row>
    <row r="22931" spans="1:1">
      <c r="A22931" t="inlineStr">
        <is>
          <t>Hibunawan</t>
        </is>
      </c>
    </row>
    <row r="22932" spans="1:1">
      <c r="A22932" t="inlineStr">
        <is>
          <t>Higuloan</t>
        </is>
      </c>
    </row>
    <row r="22933" spans="1:1">
      <c r="A22933" t="inlineStr">
        <is>
          <t>Hilapnitan</t>
        </is>
      </c>
    </row>
    <row r="22934" spans="1:1">
      <c r="A22934" t="inlineStr">
        <is>
          <t>Hipusngo</t>
        </is>
      </c>
    </row>
    <row r="22935" spans="1:1">
      <c r="A22935" t="inlineStr">
        <is>
          <t>Igang</t>
        </is>
      </c>
    </row>
    <row r="22936" spans="1:1">
      <c r="A22936" t="inlineStr">
        <is>
          <t>Imelda</t>
        </is>
      </c>
    </row>
    <row r="22937" spans="1:1">
      <c r="A22937" t="inlineStr">
        <is>
          <t>Jaena</t>
        </is>
      </c>
    </row>
    <row r="22938" spans="1:1">
      <c r="A22938" t="inlineStr">
        <is>
          <t>Kabalasan</t>
        </is>
      </c>
    </row>
    <row r="22939" spans="1:1">
      <c r="A22939" t="inlineStr">
        <is>
          <t>Kabatuan</t>
        </is>
      </c>
    </row>
    <row r="22940" spans="1:1">
      <c r="A22940" t="inlineStr">
        <is>
          <t>Kabungaan</t>
        </is>
      </c>
    </row>
    <row r="22941" spans="1:1">
      <c r="A22941" t="inlineStr">
        <is>
          <t>Kagumay</t>
        </is>
      </c>
    </row>
    <row r="22942" spans="1:1">
      <c r="A22942" t="inlineStr">
        <is>
          <t>Kambonggan</t>
        </is>
      </c>
    </row>
    <row r="22943" spans="1:1">
      <c r="A22943" t="inlineStr">
        <is>
          <t>Kan-ipa</t>
        </is>
      </c>
    </row>
    <row r="22944" spans="1:1">
      <c r="A22944" t="inlineStr">
        <is>
          <t>Kansungka</t>
        </is>
      </c>
    </row>
    <row r="22945" spans="1:1">
      <c r="A22945" t="inlineStr">
        <is>
          <t>Kantagnos</t>
        </is>
      </c>
    </row>
    <row r="22946" spans="1:1">
      <c r="A22946" t="inlineStr">
        <is>
          <t>Kilim</t>
        </is>
      </c>
    </row>
    <row r="22947" spans="1:1">
      <c r="A22947" t="inlineStr">
        <is>
          <t>Lintaon</t>
        </is>
      </c>
    </row>
    <row r="22948" spans="1:1">
      <c r="A22948" t="inlineStr">
        <is>
          <t>Maganhan</t>
        </is>
      </c>
    </row>
    <row r="22949" spans="1:1">
      <c r="A22949" t="inlineStr">
        <is>
          <t>Mahayahay</t>
        </is>
      </c>
    </row>
    <row r="22950" spans="1:1">
      <c r="A22950" t="inlineStr">
        <is>
          <t>Mailhi</t>
        </is>
      </c>
    </row>
    <row r="22951" spans="1:1">
      <c r="A22951" t="inlineStr">
        <is>
          <t>Maitum</t>
        </is>
      </c>
    </row>
    <row r="22952" spans="1:1">
      <c r="A22952" t="inlineStr">
        <is>
          <t>Makinhas</t>
        </is>
      </c>
    </row>
    <row r="22953" spans="1:1">
      <c r="A22953" t="inlineStr">
        <is>
          <t>Mapgap</t>
        </is>
      </c>
    </row>
    <row r="22954" spans="1:1">
      <c r="A22954" t="inlineStr">
        <is>
          <t>Marcos</t>
        </is>
      </c>
    </row>
    <row r="22955" spans="1:1">
      <c r="A22955" t="inlineStr">
        <is>
          <t>Maslug</t>
        </is>
      </c>
    </row>
    <row r="22956" spans="1:1">
      <c r="A22956" t="inlineStr">
        <is>
          <t>Matam-is</t>
        </is>
      </c>
    </row>
    <row r="22957" spans="1:1">
      <c r="A22957" t="inlineStr">
        <is>
          <t>Maybog</t>
        </is>
      </c>
    </row>
    <row r="22958" spans="1:1">
      <c r="A22958" t="inlineStr">
        <is>
          <t>Maypatag</t>
        </is>
      </c>
    </row>
    <row r="22959" spans="1:1">
      <c r="A22959" t="inlineStr">
        <is>
          <t>Monte Verde</t>
        </is>
      </c>
    </row>
    <row r="22960" spans="1:1">
      <c r="A22960" t="inlineStr">
        <is>
          <t>Monterico</t>
        </is>
      </c>
    </row>
    <row r="22961" spans="1:1">
      <c r="A22961" t="inlineStr">
        <is>
          <t>Palhi</t>
        </is>
      </c>
    </row>
    <row r="22962" spans="1:1">
      <c r="A22962" t="inlineStr">
        <is>
          <t>Pangasungan</t>
        </is>
      </c>
    </row>
    <row r="22963" spans="1:1">
      <c r="A22963" t="inlineStr">
        <is>
          <t>Pansagan</t>
        </is>
      </c>
    </row>
    <row r="22964" spans="1:1">
      <c r="A22964" t="inlineStr">
        <is>
          <t>Patag</t>
        </is>
      </c>
    </row>
    <row r="22965" spans="1:1">
      <c r="A22965" t="inlineStr">
        <is>
          <t>Plaridel</t>
        </is>
      </c>
    </row>
    <row r="22966" spans="1:1">
      <c r="A22966" t="inlineStr">
        <is>
          <t>Poblacion Zone 1</t>
        </is>
      </c>
    </row>
    <row r="22967" spans="1:1">
      <c r="A22967" t="inlineStr">
        <is>
          <t>Poblacion Zone 10</t>
        </is>
      </c>
    </row>
    <row r="22968" spans="1:1">
      <c r="A22968" t="inlineStr">
        <is>
          <t>Poblacion Zone 11</t>
        </is>
      </c>
    </row>
    <row r="22969" spans="1:1">
      <c r="A22969" t="inlineStr">
        <is>
          <t>Poblacion Zone 12</t>
        </is>
      </c>
    </row>
    <row r="22970" spans="1:1">
      <c r="A22970" t="inlineStr">
        <is>
          <t>Poblacion Zone 13</t>
        </is>
      </c>
    </row>
    <row r="22971" spans="1:1">
      <c r="A22971" t="inlineStr">
        <is>
          <t>Poblacion Zone 14</t>
        </is>
      </c>
    </row>
    <row r="22972" spans="1:1">
      <c r="A22972" t="inlineStr">
        <is>
          <t>Poblacion Zone 15</t>
        </is>
      </c>
    </row>
    <row r="22973" spans="1:1">
      <c r="A22973" t="inlineStr">
        <is>
          <t>Poblacion Zone 16</t>
        </is>
      </c>
    </row>
    <row r="22974" spans="1:1">
      <c r="A22974" t="inlineStr">
        <is>
          <t>Poblacion Zone 17</t>
        </is>
      </c>
    </row>
    <row r="22975" spans="1:1">
      <c r="A22975" t="inlineStr">
        <is>
          <t>Poblacion Zone 18</t>
        </is>
      </c>
    </row>
    <row r="22976" spans="1:1">
      <c r="A22976" t="inlineStr">
        <is>
          <t>Poblacion Zone 19</t>
        </is>
      </c>
    </row>
    <row r="22977" spans="1:1">
      <c r="A22977" t="inlineStr">
        <is>
          <t>Poblacion Zone 2</t>
        </is>
      </c>
    </row>
    <row r="22978" spans="1:1">
      <c r="A22978" t="inlineStr">
        <is>
          <t>Poblacion Zone 20</t>
        </is>
      </c>
    </row>
    <row r="22979" spans="1:1">
      <c r="A22979" t="inlineStr">
        <is>
          <t>Poblacion Zone 21</t>
        </is>
      </c>
    </row>
    <row r="22980" spans="1:1">
      <c r="A22980" t="inlineStr">
        <is>
          <t>Poblacion Zone 22</t>
        </is>
      </c>
    </row>
    <row r="22981" spans="1:1">
      <c r="A22981" t="inlineStr">
        <is>
          <t>Poblacion Zone 23</t>
        </is>
      </c>
    </row>
    <row r="22982" spans="1:1">
      <c r="A22982" t="inlineStr">
        <is>
          <t>Poblacion Zone 3</t>
        </is>
      </c>
    </row>
    <row r="22983" spans="1:1">
      <c r="A22983" t="inlineStr">
        <is>
          <t>Poblacion Zone 4</t>
        </is>
      </c>
    </row>
    <row r="22984" spans="1:1">
      <c r="A22984" t="inlineStr">
        <is>
          <t>Poblacion Zone 5</t>
        </is>
      </c>
    </row>
    <row r="22985" spans="1:1">
      <c r="A22985" t="inlineStr">
        <is>
          <t>Poblacion Zone 6</t>
        </is>
      </c>
    </row>
    <row r="22986" spans="1:1">
      <c r="A22986" t="inlineStr">
        <is>
          <t>Poblacion Zone 7</t>
        </is>
      </c>
    </row>
    <row r="22987" spans="1:1">
      <c r="A22987" t="inlineStr">
        <is>
          <t>Poblacion Zone 8</t>
        </is>
      </c>
    </row>
    <row r="22988" spans="1:1">
      <c r="A22988" t="inlineStr">
        <is>
          <t>Poblacion Zone 9</t>
        </is>
      </c>
    </row>
    <row r="22989" spans="1:1">
      <c r="A22989" t="inlineStr">
        <is>
          <t>Pomponan</t>
        </is>
      </c>
    </row>
    <row r="22990" spans="1:1">
      <c r="A22990" t="inlineStr">
        <is>
          <t>Punta</t>
        </is>
      </c>
    </row>
    <row r="22991" spans="1:1">
      <c r="A22991" t="inlineStr">
        <is>
          <t>Sabang</t>
        </is>
      </c>
    </row>
    <row r="22992" spans="1:1">
      <c r="A22992" t="inlineStr">
        <is>
          <t>San Agustin</t>
        </is>
      </c>
    </row>
    <row r="22993" spans="1:1">
      <c r="A22993" t="inlineStr">
        <is>
          <t>San Isidro</t>
        </is>
      </c>
    </row>
    <row r="22994" spans="1:1">
      <c r="A22994" t="inlineStr">
        <is>
          <t>San Juan</t>
        </is>
      </c>
    </row>
    <row r="22995" spans="1:1">
      <c r="A22995" t="inlineStr">
        <is>
          <t>Santa Cruz</t>
        </is>
      </c>
    </row>
    <row r="22996" spans="1:1">
      <c r="A22996" t="inlineStr">
        <is>
          <t>Santo Rosario</t>
        </is>
      </c>
    </row>
    <row r="22997" spans="1:1">
      <c r="A22997" t="inlineStr">
        <is>
          <t>Sapa</t>
        </is>
      </c>
    </row>
    <row r="22998" spans="1:1">
      <c r="A22998" t="inlineStr">
        <is>
          <t>Villa Mag-aso</t>
        </is>
      </c>
    </row>
    <row r="22999" spans="1:1">
      <c r="A22999" t="inlineStr">
        <is>
          <t>Villa Solidaridad</t>
        </is>
      </c>
    </row>
    <row r="23000" spans="1:1">
      <c r="A23000" t="inlineStr">
        <is>
          <t>Zacarito</t>
        </is>
      </c>
    </row>
    <row r="23001" spans="1:1">
      <c r="A23001" t="inlineStr">
        <is>
          <t>Abaca</t>
        </is>
      </c>
    </row>
    <row r="23002" spans="1:1">
      <c r="A23002" t="inlineStr">
        <is>
          <t>Abre</t>
        </is>
      </c>
    </row>
    <row r="23003" spans="1:1">
      <c r="A23003" t="inlineStr">
        <is>
          <t>Balilit</t>
        </is>
      </c>
    </row>
    <row r="23004" spans="1:1">
      <c r="A23004" t="inlineStr">
        <is>
          <t>Balugo</t>
        </is>
      </c>
    </row>
    <row r="23005" spans="1:1">
      <c r="A23005" t="inlineStr">
        <is>
          <t>Banayon</t>
        </is>
      </c>
    </row>
    <row r="23006" spans="1:1">
      <c r="A23006" t="inlineStr">
        <is>
          <t>Bayabas</t>
        </is>
      </c>
    </row>
    <row r="23007" spans="1:1">
      <c r="A23007" t="inlineStr">
        <is>
          <t>Bolirao</t>
        </is>
      </c>
    </row>
    <row r="23008" spans="1:1">
      <c r="A23008" t="inlineStr">
        <is>
          <t>Buenavista</t>
        </is>
      </c>
    </row>
    <row r="23009" spans="1:1">
      <c r="A23009" t="inlineStr">
        <is>
          <t>Buntay</t>
        </is>
      </c>
    </row>
    <row r="23010" spans="1:1">
      <c r="A23010" t="inlineStr">
        <is>
          <t>Caanislagan</t>
        </is>
      </c>
    </row>
    <row r="23011" spans="1:1">
      <c r="A23011" t="inlineStr">
        <is>
          <t>Cabariwan</t>
        </is>
      </c>
    </row>
    <row r="23012" spans="1:1">
      <c r="A23012" t="inlineStr">
        <is>
          <t>Cabuloran</t>
        </is>
      </c>
    </row>
    <row r="23013" spans="1:1">
      <c r="A23013" t="inlineStr">
        <is>
          <t>Cabunga-an</t>
        </is>
      </c>
    </row>
    <row r="23014" spans="1:1">
      <c r="A23014" t="inlineStr">
        <is>
          <t>Calipayan</t>
        </is>
      </c>
    </row>
    <row r="23015" spans="1:1">
      <c r="A23015" t="inlineStr">
        <is>
          <t>Calsadahay</t>
        </is>
      </c>
    </row>
    <row r="23016" spans="1:1">
      <c r="A23016" t="inlineStr">
        <is>
          <t>Caluctogan</t>
        </is>
      </c>
    </row>
    <row r="23017" spans="1:1">
      <c r="A23017" t="inlineStr">
        <is>
          <t>Calutan</t>
        </is>
      </c>
    </row>
    <row r="23018" spans="1:1">
      <c r="A23018" t="inlineStr">
        <is>
          <t>Camono-an</t>
        </is>
      </c>
    </row>
    <row r="23019" spans="1:1">
      <c r="A23019" t="inlineStr">
        <is>
          <t>Candagara</t>
        </is>
      </c>
    </row>
    <row r="23020" spans="1:1">
      <c r="A23020" t="inlineStr">
        <is>
          <t>Canlingga</t>
        </is>
      </c>
    </row>
    <row r="23021" spans="1:1">
      <c r="A23021" t="inlineStr">
        <is>
          <t>Cansamada East</t>
        </is>
      </c>
    </row>
    <row r="23022" spans="1:1">
      <c r="A23022" t="inlineStr">
        <is>
          <t>Cansamada West</t>
        </is>
      </c>
    </row>
    <row r="23023" spans="1:1">
      <c r="A23023" t="inlineStr">
        <is>
          <t>Capulhan</t>
        </is>
      </c>
    </row>
    <row r="23024" spans="1:1">
      <c r="A23024" t="inlineStr">
        <is>
          <t>Digahungan</t>
        </is>
      </c>
    </row>
    <row r="23025" spans="1:1">
      <c r="A23025" t="inlineStr">
        <is>
          <t>Guinarona</t>
        </is>
      </c>
    </row>
    <row r="23026" spans="1:1">
      <c r="A23026" t="inlineStr">
        <is>
          <t>Hiabangan</t>
        </is>
      </c>
    </row>
    <row r="23027" spans="1:1">
      <c r="A23027" t="inlineStr">
        <is>
          <t>Hilabago</t>
        </is>
      </c>
    </row>
    <row r="23028" spans="1:1">
      <c r="A23028" t="inlineStr">
        <is>
          <t>Hinabuyan</t>
        </is>
      </c>
    </row>
    <row r="23029" spans="1:1">
      <c r="A23029" t="inlineStr">
        <is>
          <t>Hinologan</t>
        </is>
      </c>
    </row>
    <row r="23030" spans="1:1">
      <c r="A23030" t="inlineStr">
        <is>
          <t>Hitomnog</t>
        </is>
      </c>
    </row>
    <row r="23031" spans="1:1">
      <c r="A23031" t="inlineStr">
        <is>
          <t>Katipunan</t>
        </is>
      </c>
    </row>
    <row r="23032" spans="1:1">
      <c r="A23032" t="inlineStr">
        <is>
          <t>Lapu-Lapu</t>
        </is>
      </c>
    </row>
    <row r="23033" spans="1:1">
      <c r="A23033" t="inlineStr">
        <is>
          <t>Lobe-Lobe</t>
        </is>
      </c>
    </row>
    <row r="23034" spans="1:1">
      <c r="A23034" t="inlineStr">
        <is>
          <t>Lobe-Lobe East</t>
        </is>
      </c>
    </row>
    <row r="23035" spans="1:1">
      <c r="A23035" t="inlineStr">
        <is>
          <t>Los Martires</t>
        </is>
      </c>
    </row>
    <row r="23036" spans="1:1">
      <c r="A23036" t="inlineStr">
        <is>
          <t>Lusad Pob.</t>
        </is>
      </c>
    </row>
    <row r="23037" spans="1:1">
      <c r="A23037" t="inlineStr">
        <is>
          <t>Macaalang</t>
        </is>
      </c>
    </row>
    <row r="23038" spans="1:1">
      <c r="A23038" t="inlineStr">
        <is>
          <t>Maliwaliw</t>
        </is>
      </c>
    </row>
    <row r="23039" spans="1:1">
      <c r="A23039" t="inlineStr">
        <is>
          <t>Maragongdong</t>
        </is>
      </c>
    </row>
    <row r="23040" spans="1:1">
      <c r="A23040" t="inlineStr">
        <is>
          <t>Ormocay</t>
        </is>
      </c>
    </row>
    <row r="23041" spans="1:1">
      <c r="A23041" t="inlineStr">
        <is>
          <t>Palacio</t>
        </is>
      </c>
    </row>
    <row r="23042" spans="1:1">
      <c r="A23042" t="inlineStr">
        <is>
          <t>Panda</t>
        </is>
      </c>
    </row>
    <row r="23043" spans="1:1">
      <c r="A23043" t="inlineStr">
        <is>
          <t>Paraiso</t>
        </is>
      </c>
    </row>
    <row r="23044" spans="1:1">
      <c r="A23044" t="inlineStr">
        <is>
          <t>Patoc</t>
        </is>
      </c>
    </row>
    <row r="23045" spans="1:1">
      <c r="A23045" t="inlineStr">
        <is>
          <t>Plaridel</t>
        </is>
      </c>
    </row>
    <row r="23046" spans="1:1">
      <c r="A23046" t="inlineStr">
        <is>
          <t>Poponton</t>
        </is>
      </c>
    </row>
    <row r="23047" spans="1:1">
      <c r="A23047" t="inlineStr">
        <is>
          <t>Rizal</t>
        </is>
      </c>
    </row>
    <row r="23048" spans="1:1">
      <c r="A23048" t="inlineStr">
        <is>
          <t>Salvacion</t>
        </is>
      </c>
    </row>
    <row r="23049" spans="1:1">
      <c r="A23049" t="inlineStr">
        <is>
          <t>Sampaguita</t>
        </is>
      </c>
    </row>
    <row r="23050" spans="1:1">
      <c r="A23050" t="inlineStr">
        <is>
          <t>Sampao East Pob.</t>
        </is>
      </c>
    </row>
    <row r="23051" spans="1:1">
      <c r="A23051" t="inlineStr">
        <is>
          <t>Sampao West Pob.</t>
        </is>
      </c>
    </row>
    <row r="23052" spans="1:1">
      <c r="A23052" t="inlineStr">
        <is>
          <t>San Antonio Pob.</t>
        </is>
      </c>
    </row>
    <row r="23053" spans="1:1">
      <c r="A23053" t="inlineStr">
        <is>
          <t>San Benito</t>
        </is>
      </c>
    </row>
    <row r="23054" spans="1:1">
      <c r="A23054" t="inlineStr">
        <is>
          <t>San Jose Pob.</t>
        </is>
      </c>
    </row>
    <row r="23055" spans="1:1">
      <c r="A23055" t="inlineStr">
        <is>
          <t>San Roque Pob.</t>
        </is>
      </c>
    </row>
    <row r="23056" spans="1:1">
      <c r="A23056" t="inlineStr">
        <is>
          <t>Sawahon</t>
        </is>
      </c>
    </row>
    <row r="23057" spans="1:1">
      <c r="A23057" t="inlineStr">
        <is>
          <t>Sirab</t>
        </is>
      </c>
    </row>
    <row r="23058" spans="1:1">
      <c r="A23058" t="inlineStr">
        <is>
          <t>Sta. Mesa Pob.</t>
        </is>
      </c>
    </row>
    <row r="23059" spans="1:1">
      <c r="A23059" t="inlineStr">
        <is>
          <t>Sto. Domingo</t>
        </is>
      </c>
    </row>
    <row r="23060" spans="1:1">
      <c r="A23060" t="inlineStr">
        <is>
          <t>Tagkip</t>
        </is>
      </c>
    </row>
    <row r="23061" spans="1:1">
      <c r="A23061" t="inlineStr">
        <is>
          <t>Talinhugon</t>
        </is>
      </c>
    </row>
    <row r="23062" spans="1:1">
      <c r="A23062" t="inlineStr">
        <is>
          <t>Tin-ao</t>
        </is>
      </c>
    </row>
    <row r="23063" spans="1:1">
      <c r="A23063" t="inlineStr">
        <is>
          <t>Tunga Pob.</t>
        </is>
      </c>
    </row>
    <row r="23064" spans="1:1">
      <c r="A23064" t="inlineStr">
        <is>
          <t>Tuya</t>
        </is>
      </c>
    </row>
    <row r="23065" spans="1:1">
      <c r="A23065" t="inlineStr">
        <is>
          <t>Victoria</t>
        </is>
      </c>
    </row>
    <row r="23066" spans="1:1">
      <c r="A23066" t="inlineStr">
        <is>
          <t>Alegre</t>
        </is>
      </c>
    </row>
    <row r="23067" spans="1:1">
      <c r="A23067" t="inlineStr">
        <is>
          <t>Arado</t>
        </is>
      </c>
    </row>
    <row r="23068" spans="1:1">
      <c r="A23068" t="inlineStr">
        <is>
          <t>Barbo</t>
        </is>
      </c>
    </row>
    <row r="23069" spans="1:1">
      <c r="A23069" t="inlineStr">
        <is>
          <t>Batug</t>
        </is>
      </c>
    </row>
    <row r="23070" spans="1:1">
      <c r="A23070" t="inlineStr">
        <is>
          <t>Bolongtohan</t>
        </is>
      </c>
    </row>
    <row r="23071" spans="1:1">
      <c r="A23071" t="inlineStr">
        <is>
          <t>Bulod</t>
        </is>
      </c>
    </row>
    <row r="23072" spans="1:1">
      <c r="A23072" t="inlineStr">
        <is>
          <t>Buntay</t>
        </is>
      </c>
    </row>
    <row r="23073" spans="1:1">
      <c r="A23073" t="inlineStr">
        <is>
          <t>Cabacungan</t>
        </is>
      </c>
    </row>
    <row r="23074" spans="1:1">
      <c r="A23074" t="inlineStr">
        <is>
          <t>Cabarasan</t>
        </is>
      </c>
    </row>
    <row r="23075" spans="1:1">
      <c r="A23075" t="inlineStr">
        <is>
          <t>Cabato-an</t>
        </is>
      </c>
    </row>
    <row r="23076" spans="1:1">
      <c r="A23076" t="inlineStr">
        <is>
          <t>Calipayan</t>
        </is>
      </c>
    </row>
    <row r="23077" spans="1:1">
      <c r="A23077" t="inlineStr">
        <is>
          <t>Calubian</t>
        </is>
      </c>
    </row>
    <row r="23078" spans="1:1">
      <c r="A23078" t="inlineStr">
        <is>
          <t>Cambula District</t>
        </is>
      </c>
    </row>
    <row r="23079" spans="1:1">
      <c r="A23079" t="inlineStr">
        <is>
          <t>Camitoc</t>
        </is>
      </c>
    </row>
    <row r="23080" spans="1:1">
      <c r="A23080" t="inlineStr">
        <is>
          <t>Camote</t>
        </is>
      </c>
    </row>
    <row r="23081" spans="1:1">
      <c r="A23081" t="inlineStr">
        <is>
          <t>Candao</t>
        </is>
      </c>
    </row>
    <row r="23082" spans="1:1">
      <c r="A23082" t="inlineStr">
        <is>
          <t>Catmonan</t>
        </is>
      </c>
    </row>
    <row r="23083" spans="1:1">
      <c r="A23083" t="inlineStr">
        <is>
          <t>Combis</t>
        </is>
      </c>
    </row>
    <row r="23084" spans="1:1">
      <c r="A23084" t="inlineStr">
        <is>
          <t>Dacay</t>
        </is>
      </c>
    </row>
    <row r="23085" spans="1:1">
      <c r="A23085" t="inlineStr">
        <is>
          <t>Del Carmen</t>
        </is>
      </c>
    </row>
    <row r="23086" spans="1:1">
      <c r="A23086" t="inlineStr">
        <is>
          <t>Del Pilar</t>
        </is>
      </c>
    </row>
    <row r="23087" spans="1:1">
      <c r="A23087" t="inlineStr">
        <is>
          <t>Fatima</t>
        </is>
      </c>
    </row>
    <row r="23088" spans="1:1">
      <c r="A23088" t="inlineStr">
        <is>
          <t>General Roxas</t>
        </is>
      </c>
    </row>
    <row r="23089" spans="1:1">
      <c r="A23089" t="inlineStr">
        <is>
          <t>Highway</t>
        </is>
      </c>
    </row>
    <row r="23090" spans="1:1">
      <c r="A23090" t="inlineStr">
        <is>
          <t>Luan</t>
        </is>
      </c>
    </row>
    <row r="23091" spans="1:1">
      <c r="A23091" t="inlineStr">
        <is>
          <t>Magsaysay</t>
        </is>
      </c>
    </row>
    <row r="23092" spans="1:1">
      <c r="A23092" t="inlineStr">
        <is>
          <t>Maricum</t>
        </is>
      </c>
    </row>
    <row r="23093" spans="1:1">
      <c r="A23093" t="inlineStr">
        <is>
          <t>Market Site</t>
        </is>
      </c>
    </row>
    <row r="23094" spans="1:1">
      <c r="A23094" t="inlineStr">
        <is>
          <t>Rawis</t>
        </is>
      </c>
    </row>
    <row r="23095" spans="1:1">
      <c r="A23095" t="inlineStr">
        <is>
          <t>Rizal</t>
        </is>
      </c>
    </row>
    <row r="23096" spans="1:1">
      <c r="A23096" t="inlineStr">
        <is>
          <t>Romualdez</t>
        </is>
      </c>
    </row>
    <row r="23097" spans="1:1">
      <c r="A23097" t="inlineStr">
        <is>
          <t>Sabang Daguitan</t>
        </is>
      </c>
    </row>
    <row r="23098" spans="1:1">
      <c r="A23098" t="inlineStr">
        <is>
          <t>Salvacion</t>
        </is>
      </c>
    </row>
    <row r="23099" spans="1:1">
      <c r="A23099" t="inlineStr">
        <is>
          <t>San Agustin</t>
        </is>
      </c>
    </row>
    <row r="23100" spans="1:1">
      <c r="A23100" t="inlineStr">
        <is>
          <t>San Antonio</t>
        </is>
      </c>
    </row>
    <row r="23101" spans="1:1">
      <c r="A23101" t="inlineStr">
        <is>
          <t>San Isidro</t>
        </is>
      </c>
    </row>
    <row r="23102" spans="1:1">
      <c r="A23102" t="inlineStr">
        <is>
          <t>San Jose</t>
        </is>
      </c>
    </row>
    <row r="23103" spans="1:1">
      <c r="A23103" t="inlineStr">
        <is>
          <t>San Miguel</t>
        </is>
      </c>
    </row>
    <row r="23104" spans="1:1">
      <c r="A23104" t="inlineStr">
        <is>
          <t>San Rafael</t>
        </is>
      </c>
    </row>
    <row r="23105" spans="1:1">
      <c r="A23105" t="inlineStr">
        <is>
          <t>San Vicente</t>
        </is>
      </c>
    </row>
    <row r="23106" spans="1:1">
      <c r="A23106" t="inlineStr">
        <is>
          <t>Serrano</t>
        </is>
      </c>
    </row>
    <row r="23107" spans="1:1">
      <c r="A23107" t="inlineStr">
        <is>
          <t>Sungi</t>
        </is>
      </c>
    </row>
    <row r="23108" spans="1:1">
      <c r="A23108" t="inlineStr">
        <is>
          <t>Tabu</t>
        </is>
      </c>
    </row>
    <row r="23109" spans="1:1">
      <c r="A23109" t="inlineStr">
        <is>
          <t>Tigbao</t>
        </is>
      </c>
    </row>
    <row r="23110" spans="1:1">
      <c r="A23110" t="inlineStr">
        <is>
          <t>Victory</t>
        </is>
      </c>
    </row>
    <row r="23111" spans="1:1">
      <c r="A23111" t="inlineStr">
        <is>
          <t>Agutayan</t>
        </is>
      </c>
    </row>
    <row r="23112" spans="1:1">
      <c r="A23112" t="inlineStr">
        <is>
          <t>Atabay</t>
        </is>
      </c>
    </row>
    <row r="23113" spans="1:1">
      <c r="A23113" t="inlineStr">
        <is>
          <t>Baas</t>
        </is>
      </c>
    </row>
    <row r="23114" spans="1:1">
      <c r="A23114" t="inlineStr">
        <is>
          <t>Bagong Lipunan</t>
        </is>
      </c>
    </row>
    <row r="23115" spans="1:1">
      <c r="A23115" t="inlineStr">
        <is>
          <t>Bagumbayan</t>
        </is>
      </c>
    </row>
    <row r="23116" spans="1:1">
      <c r="A23116" t="inlineStr">
        <is>
          <t>Baliw</t>
        </is>
      </c>
    </row>
    <row r="23117" spans="1:1">
      <c r="A23117" t="inlineStr">
        <is>
          <t>Bantigue</t>
        </is>
      </c>
    </row>
    <row r="23118" spans="1:1">
      <c r="A23118" t="inlineStr">
        <is>
          <t>Bon-ot</t>
        </is>
      </c>
    </row>
    <row r="23119" spans="1:1">
      <c r="A23119" t="inlineStr">
        <is>
          <t>Bung-aw</t>
        </is>
      </c>
    </row>
    <row r="23120" spans="1:1">
      <c r="A23120" t="inlineStr">
        <is>
          <t>Cacao</t>
        </is>
      </c>
    </row>
    <row r="23121" spans="1:1">
      <c r="A23121" t="inlineStr">
        <is>
          <t>Campina</t>
        </is>
      </c>
    </row>
    <row r="23122" spans="1:1">
      <c r="A23122" t="inlineStr">
        <is>
          <t>Catandog 1</t>
        </is>
      </c>
    </row>
    <row r="23123" spans="1:1">
      <c r="A23123" t="inlineStr">
        <is>
          <t>Catandog 2</t>
        </is>
      </c>
    </row>
    <row r="23124" spans="1:1">
      <c r="A23124" t="inlineStr">
        <is>
          <t>Central Barangay</t>
        </is>
      </c>
    </row>
    <row r="23125" spans="1:1">
      <c r="A23125" t="inlineStr">
        <is>
          <t>Concepcion</t>
        </is>
      </c>
    </row>
    <row r="23126" spans="1:1">
      <c r="A23126" t="inlineStr">
        <is>
          <t>Eastern Barangay</t>
        </is>
      </c>
    </row>
    <row r="23127" spans="1:1">
      <c r="A23127" t="inlineStr">
        <is>
          <t>Hampangan</t>
        </is>
      </c>
    </row>
    <row r="23128" spans="1:1">
      <c r="A23128" t="inlineStr">
        <is>
          <t>Himo-aw</t>
        </is>
      </c>
    </row>
    <row r="23129" spans="1:1">
      <c r="A23129" t="inlineStr">
        <is>
          <t>Hitudpan</t>
        </is>
      </c>
    </row>
    <row r="23130" spans="1:1">
      <c r="A23130" t="inlineStr">
        <is>
          <t>Imelda Marcos</t>
        </is>
      </c>
    </row>
    <row r="23131" spans="1:1">
      <c r="A23131" t="inlineStr">
        <is>
          <t>Kang-iras</t>
        </is>
      </c>
    </row>
    <row r="23132" spans="1:1">
      <c r="A23132" t="inlineStr">
        <is>
          <t>Kangha-as</t>
        </is>
      </c>
    </row>
    <row r="23133" spans="1:1">
      <c r="A23133" t="inlineStr">
        <is>
          <t>Lamak</t>
        </is>
      </c>
    </row>
    <row r="23134" spans="1:1">
      <c r="A23134" t="inlineStr">
        <is>
          <t>Libertad</t>
        </is>
      </c>
    </row>
    <row r="23135" spans="1:1">
      <c r="A23135" t="inlineStr">
        <is>
          <t>Liberty</t>
        </is>
      </c>
    </row>
    <row r="23136" spans="1:1">
      <c r="A23136" t="inlineStr">
        <is>
          <t>Lunang</t>
        </is>
      </c>
    </row>
    <row r="23137" spans="1:1">
      <c r="A23137" t="inlineStr">
        <is>
          <t>Magnangoy</t>
        </is>
      </c>
    </row>
    <row r="23138" spans="1:1">
      <c r="A23138" t="inlineStr">
        <is>
          <t>Manaul</t>
        </is>
      </c>
    </row>
    <row r="23139" spans="1:1">
      <c r="A23139" t="inlineStr">
        <is>
          <t>Marangog</t>
        </is>
      </c>
    </row>
    <row r="23140" spans="1:1">
      <c r="A23140" t="inlineStr">
        <is>
          <t>Matapay</t>
        </is>
      </c>
    </row>
    <row r="23141" spans="1:1">
      <c r="A23141" t="inlineStr">
        <is>
          <t>Naval</t>
        </is>
      </c>
    </row>
    <row r="23142" spans="1:1">
      <c r="A23142" t="inlineStr">
        <is>
          <t>Owak</t>
        </is>
      </c>
    </row>
    <row r="23143" spans="1:1">
      <c r="A23143" t="inlineStr">
        <is>
          <t>Pa-a</t>
        </is>
      </c>
    </row>
    <row r="23144" spans="1:1">
      <c r="A23144" t="inlineStr">
        <is>
          <t>Pontod</t>
        </is>
      </c>
    </row>
    <row r="23145" spans="1:1">
      <c r="A23145" t="inlineStr">
        <is>
          <t>Proteccion</t>
        </is>
      </c>
    </row>
    <row r="23146" spans="1:1">
      <c r="A23146" t="inlineStr">
        <is>
          <t>San Agustin</t>
        </is>
      </c>
    </row>
    <row r="23147" spans="1:1">
      <c r="A23147" t="inlineStr">
        <is>
          <t>San Antonio</t>
        </is>
      </c>
    </row>
    <row r="23148" spans="1:1">
      <c r="A23148" t="inlineStr">
        <is>
          <t>San Isidro</t>
        </is>
      </c>
    </row>
    <row r="23149" spans="1:1">
      <c r="A23149" t="inlineStr">
        <is>
          <t>San Juan</t>
        </is>
      </c>
    </row>
    <row r="23150" spans="1:1">
      <c r="A23150" t="inlineStr">
        <is>
          <t>San Roque</t>
        </is>
      </c>
    </row>
    <row r="23151" spans="1:1">
      <c r="A23151" t="inlineStr">
        <is>
          <t>Santa Cruz</t>
        </is>
      </c>
    </row>
    <row r="23152" spans="1:1">
      <c r="A23152" t="inlineStr">
        <is>
          <t>Santa Margarita</t>
        </is>
      </c>
    </row>
    <row r="23153" spans="1:1">
      <c r="A23153" t="inlineStr">
        <is>
          <t>Santo Niño</t>
        </is>
      </c>
    </row>
    <row r="23154" spans="1:1">
      <c r="A23154" t="inlineStr">
        <is>
          <t>Tabunok</t>
        </is>
      </c>
    </row>
    <row r="23155" spans="1:1">
      <c r="A23155" t="inlineStr">
        <is>
          <t>Tagnate</t>
        </is>
      </c>
    </row>
    <row r="23156" spans="1:1">
      <c r="A23156" t="inlineStr">
        <is>
          <t>Talisay</t>
        </is>
      </c>
    </row>
    <row r="23157" spans="1:1">
      <c r="A23157" t="inlineStr">
        <is>
          <t>Tambis</t>
        </is>
      </c>
    </row>
    <row r="23158" spans="1:1">
      <c r="A23158" t="inlineStr">
        <is>
          <t>Tejero</t>
        </is>
      </c>
    </row>
    <row r="23159" spans="1:1">
      <c r="A23159" t="inlineStr">
        <is>
          <t>Tuguipa</t>
        </is>
      </c>
    </row>
    <row r="23160" spans="1:1">
      <c r="A23160" t="inlineStr">
        <is>
          <t>Utanan</t>
        </is>
      </c>
    </row>
    <row r="23161" spans="1:1">
      <c r="A23161" t="inlineStr">
        <is>
          <t>Western Barangay</t>
        </is>
      </c>
    </row>
    <row r="23162" spans="1:1">
      <c r="A23162" t="inlineStr">
        <is>
          <t>Anahaw</t>
        </is>
      </c>
    </row>
    <row r="23163" spans="1:1">
      <c r="A23163" t="inlineStr">
        <is>
          <t>Anolon</t>
        </is>
      </c>
    </row>
    <row r="23164" spans="1:1">
      <c r="A23164" t="inlineStr">
        <is>
          <t>Baldoza</t>
        </is>
      </c>
    </row>
    <row r="23165" spans="1:1">
      <c r="A23165" t="inlineStr">
        <is>
          <t>Bontoc</t>
        </is>
      </c>
    </row>
    <row r="23166" spans="1:1">
      <c r="A23166" t="inlineStr">
        <is>
          <t>Bulacan</t>
        </is>
      </c>
    </row>
    <row r="23167" spans="1:1">
      <c r="A23167" t="inlineStr">
        <is>
          <t>Canha-ayon</t>
        </is>
      </c>
    </row>
    <row r="23168" spans="1:1">
      <c r="A23168" t="inlineStr">
        <is>
          <t>Capudlosan</t>
        </is>
      </c>
    </row>
    <row r="23169" spans="1:1">
      <c r="A23169" t="inlineStr">
        <is>
          <t>Doos Del Norte</t>
        </is>
      </c>
    </row>
    <row r="23170" spans="1:1">
      <c r="A23170" t="inlineStr">
        <is>
          <t>Doos Del Sur</t>
        </is>
      </c>
    </row>
    <row r="23171" spans="1:1">
      <c r="A23171" t="inlineStr">
        <is>
          <t>Himacugo</t>
        </is>
      </c>
    </row>
    <row r="23172" spans="1:1">
      <c r="A23172" t="inlineStr">
        <is>
          <t>Himokilan Island</t>
        </is>
      </c>
    </row>
    <row r="23173" spans="1:1">
      <c r="A23173" t="inlineStr">
        <is>
          <t>Katipunan</t>
        </is>
      </c>
    </row>
    <row r="23174" spans="1:1">
      <c r="A23174" t="inlineStr">
        <is>
          <t>Maasin</t>
        </is>
      </c>
    </row>
    <row r="23175" spans="1:1">
      <c r="A23175" t="inlineStr">
        <is>
          <t>Mabagon</t>
        </is>
      </c>
    </row>
    <row r="23176" spans="1:1">
      <c r="A23176" t="inlineStr">
        <is>
          <t>Mahilum</t>
        </is>
      </c>
    </row>
    <row r="23177" spans="1:1">
      <c r="A23177" t="inlineStr">
        <is>
          <t>Poblacion 1</t>
        </is>
      </c>
    </row>
    <row r="23178" spans="1:1">
      <c r="A23178" t="inlineStr">
        <is>
          <t>Poblacion 2</t>
        </is>
      </c>
    </row>
    <row r="23179" spans="1:1">
      <c r="A23179" t="inlineStr">
        <is>
          <t>San Vicente</t>
        </is>
      </c>
    </row>
    <row r="23180" spans="1:1">
      <c r="A23180" t="inlineStr">
        <is>
          <t>Tabok</t>
        </is>
      </c>
    </row>
    <row r="23181" spans="1:1">
      <c r="A23181" t="inlineStr">
        <is>
          <t>Tagbibi</t>
        </is>
      </c>
    </row>
    <row r="23182" spans="1:1">
      <c r="A23182" t="inlineStr">
        <is>
          <t>Apid</t>
        </is>
      </c>
    </row>
    <row r="23183" spans="1:1">
      <c r="A23183" t="inlineStr">
        <is>
          <t>Cabulisan</t>
        </is>
      </c>
    </row>
    <row r="23184" spans="1:1">
      <c r="A23184" t="inlineStr">
        <is>
          <t>Caminto</t>
        </is>
      </c>
    </row>
    <row r="23185" spans="1:1">
      <c r="A23185" t="inlineStr">
        <is>
          <t>Can-angay</t>
        </is>
      </c>
    </row>
    <row r="23186" spans="1:1">
      <c r="A23186" t="inlineStr">
        <is>
          <t>Caulisihan</t>
        </is>
      </c>
    </row>
    <row r="23187" spans="1:1">
      <c r="A23187" t="inlineStr">
        <is>
          <t>Conalum</t>
        </is>
      </c>
    </row>
    <row r="23188" spans="1:1">
      <c r="A23188" t="inlineStr">
        <is>
          <t>De los Santos</t>
        </is>
      </c>
    </row>
    <row r="23189" spans="1:1">
      <c r="A23189" t="inlineStr">
        <is>
          <t>Esperanza</t>
        </is>
      </c>
    </row>
    <row r="23190" spans="1:1">
      <c r="A23190" t="inlineStr">
        <is>
          <t>Guadalupe</t>
        </is>
      </c>
    </row>
    <row r="23191" spans="1:1">
      <c r="A23191" t="inlineStr">
        <is>
          <t>Guinsanga-an</t>
        </is>
      </c>
    </row>
    <row r="23192" spans="1:1">
      <c r="A23192" t="inlineStr">
        <is>
          <t>Hinabay</t>
        </is>
      </c>
    </row>
    <row r="23193" spans="1:1">
      <c r="A23193" t="inlineStr">
        <is>
          <t>Jubasan</t>
        </is>
      </c>
    </row>
    <row r="23194" spans="1:1">
      <c r="A23194" t="inlineStr">
        <is>
          <t>Linao</t>
        </is>
      </c>
    </row>
    <row r="23195" spans="1:1">
      <c r="A23195" t="inlineStr">
        <is>
          <t>Macagoco</t>
        </is>
      </c>
    </row>
    <row r="23196" spans="1:1">
      <c r="A23196" t="inlineStr">
        <is>
          <t>Maljo</t>
        </is>
      </c>
    </row>
    <row r="23197" spans="1:1">
      <c r="A23197" t="inlineStr">
        <is>
          <t>Marao</t>
        </is>
      </c>
    </row>
    <row r="23198" spans="1:1">
      <c r="A23198" t="inlineStr">
        <is>
          <t>Poblacion</t>
        </is>
      </c>
    </row>
    <row r="23199" spans="1:1">
      <c r="A23199" t="inlineStr">
        <is>
          <t>Tahud</t>
        </is>
      </c>
    </row>
    <row r="23200" spans="1:1">
      <c r="A23200" t="inlineStr">
        <is>
          <t>Taotaon</t>
        </is>
      </c>
    </row>
    <row r="23201" spans="1:1">
      <c r="A23201" t="inlineStr">
        <is>
          <t>Tinago</t>
        </is>
      </c>
    </row>
    <row r="23202" spans="1:1">
      <c r="A23202" t="inlineStr">
        <is>
          <t>Anislag</t>
        </is>
      </c>
    </row>
    <row r="23203" spans="1:1">
      <c r="A23203" t="inlineStr">
        <is>
          <t>Antipolo</t>
        </is>
      </c>
    </row>
    <row r="23204" spans="1:1">
      <c r="A23204" t="inlineStr">
        <is>
          <t>Apale</t>
        </is>
      </c>
    </row>
    <row r="23205" spans="1:1">
      <c r="A23205" t="inlineStr">
        <is>
          <t>Bantigue</t>
        </is>
      </c>
    </row>
    <row r="23206" spans="1:1">
      <c r="A23206" t="inlineStr">
        <is>
          <t>Benog</t>
        </is>
      </c>
    </row>
    <row r="23207" spans="1:1">
      <c r="A23207" t="inlineStr">
        <is>
          <t>Bilwang</t>
        </is>
      </c>
    </row>
    <row r="23208" spans="1:1">
      <c r="A23208" t="inlineStr">
        <is>
          <t>Can-andan</t>
        </is>
      </c>
    </row>
    <row r="23209" spans="1:1">
      <c r="A23209" t="inlineStr">
        <is>
          <t>Cangag</t>
        </is>
      </c>
    </row>
    <row r="23210" spans="1:1">
      <c r="A23210" t="inlineStr">
        <is>
          <t>Consolacion</t>
        </is>
      </c>
    </row>
    <row r="23211" spans="1:1">
      <c r="A23211" t="inlineStr">
        <is>
          <t>Honan</t>
        </is>
      </c>
    </row>
    <row r="23212" spans="1:1">
      <c r="A23212" t="inlineStr">
        <is>
          <t>Libertad</t>
        </is>
      </c>
    </row>
    <row r="23213" spans="1:1">
      <c r="A23213" t="inlineStr">
        <is>
          <t>Mahayag</t>
        </is>
      </c>
    </row>
    <row r="23214" spans="1:1">
      <c r="A23214" t="inlineStr">
        <is>
          <t>Marvel</t>
        </is>
      </c>
    </row>
    <row r="23215" spans="1:1">
      <c r="A23215" t="inlineStr">
        <is>
          <t>Matlang</t>
        </is>
      </c>
    </row>
    <row r="23216" spans="1:1">
      <c r="A23216" t="inlineStr">
        <is>
          <t>Monte Alegre</t>
        </is>
      </c>
    </row>
    <row r="23217" spans="1:1">
      <c r="A23217" t="inlineStr">
        <is>
          <t>Puting Bato</t>
        </is>
      </c>
    </row>
    <row r="23218" spans="1:1">
      <c r="A23218" t="inlineStr">
        <is>
          <t>San Francisco</t>
        </is>
      </c>
    </row>
    <row r="23219" spans="1:1">
      <c r="A23219" t="inlineStr">
        <is>
          <t>San Roque</t>
        </is>
      </c>
    </row>
    <row r="23220" spans="1:1">
      <c r="A23220" t="inlineStr">
        <is>
          <t>Santa Cruz</t>
        </is>
      </c>
    </row>
    <row r="23221" spans="1:1">
      <c r="A23221" t="inlineStr">
        <is>
          <t>Santo Niño</t>
        </is>
      </c>
    </row>
    <row r="23222" spans="1:1">
      <c r="A23222" t="inlineStr">
        <is>
          <t>Santo Rosario</t>
        </is>
      </c>
    </row>
    <row r="23223" spans="1:1">
      <c r="A23223" t="inlineStr">
        <is>
          <t>Tabunok</t>
        </is>
      </c>
    </row>
    <row r="23224" spans="1:1">
      <c r="A23224" t="inlineStr">
        <is>
          <t>Tolingon</t>
        </is>
      </c>
    </row>
    <row r="23225" spans="1:1">
      <c r="A23225" t="inlineStr">
        <is>
          <t>Tubod</t>
        </is>
      </c>
    </row>
    <row r="23226" spans="1:1">
      <c r="A23226" t="inlineStr">
        <is>
          <t>Alahag</t>
        </is>
      </c>
    </row>
    <row r="23227" spans="1:1">
      <c r="A23227" t="inlineStr">
        <is>
          <t>Anibongan</t>
        </is>
      </c>
    </row>
    <row r="23228" spans="1:1">
      <c r="A23228" t="inlineStr">
        <is>
          <t>Atipolo</t>
        </is>
      </c>
    </row>
    <row r="23229" spans="1:1">
      <c r="A23229" t="inlineStr">
        <is>
          <t>Badiang</t>
        </is>
      </c>
    </row>
    <row r="23230" spans="1:1">
      <c r="A23230" t="inlineStr">
        <is>
          <t>Batug</t>
        </is>
      </c>
    </row>
    <row r="23231" spans="1:1">
      <c r="A23231" t="inlineStr">
        <is>
          <t>Bias Zabala</t>
        </is>
      </c>
    </row>
    <row r="23232" spans="1:1">
      <c r="A23232" t="inlineStr">
        <is>
          <t>Buenavista</t>
        </is>
      </c>
    </row>
    <row r="23233" spans="1:1">
      <c r="A23233" t="inlineStr">
        <is>
          <t>Bukid</t>
        </is>
      </c>
    </row>
    <row r="23234" spans="1:1">
      <c r="A23234" t="inlineStr">
        <is>
          <t>Burabod</t>
        </is>
      </c>
    </row>
    <row r="23235" spans="1:1">
      <c r="A23235" t="inlineStr">
        <is>
          <t>Buri</t>
        </is>
      </c>
    </row>
    <row r="23236" spans="1:1">
      <c r="A23236" t="inlineStr">
        <is>
          <t>Canapuan</t>
        </is>
      </c>
    </row>
    <row r="23237" spans="1:1">
      <c r="A23237" t="inlineStr">
        <is>
          <t>Canhandugan</t>
        </is>
      </c>
    </row>
    <row r="23238" spans="1:1">
      <c r="A23238" t="inlineStr">
        <is>
          <t>Crossing Rubas</t>
        </is>
      </c>
    </row>
    <row r="23239" spans="1:1">
      <c r="A23239" t="inlineStr">
        <is>
          <t>Daro</t>
        </is>
      </c>
    </row>
    <row r="23240" spans="1:1">
      <c r="A23240" t="inlineStr">
        <is>
          <t>District I</t>
        </is>
      </c>
    </row>
    <row r="23241" spans="1:1">
      <c r="A23241" t="inlineStr">
        <is>
          <t>District II</t>
        </is>
      </c>
    </row>
    <row r="23242" spans="1:1">
      <c r="A23242" t="inlineStr">
        <is>
          <t>District III</t>
        </is>
      </c>
    </row>
    <row r="23243" spans="1:1">
      <c r="A23243" t="inlineStr">
        <is>
          <t>District IV</t>
        </is>
      </c>
    </row>
    <row r="23244" spans="1:1">
      <c r="A23244" t="inlineStr">
        <is>
          <t>Hiagsam</t>
        </is>
      </c>
    </row>
    <row r="23245" spans="1:1">
      <c r="A23245" t="inlineStr">
        <is>
          <t>Hibucawan</t>
        </is>
      </c>
    </row>
    <row r="23246" spans="1:1">
      <c r="A23246" t="inlineStr">
        <is>
          <t>Hibunawon</t>
        </is>
      </c>
    </row>
    <row r="23247" spans="1:1">
      <c r="A23247" t="inlineStr">
        <is>
          <t>Kaglawaan</t>
        </is>
      </c>
    </row>
    <row r="23248" spans="1:1">
      <c r="A23248" t="inlineStr">
        <is>
          <t>Kalinawan</t>
        </is>
      </c>
    </row>
    <row r="23249" spans="1:1">
      <c r="A23249" t="inlineStr">
        <is>
          <t>La Paz</t>
        </is>
      </c>
    </row>
    <row r="23250" spans="1:1">
      <c r="A23250" t="inlineStr">
        <is>
          <t>Likod</t>
        </is>
      </c>
    </row>
    <row r="23251" spans="1:1">
      <c r="A23251" t="inlineStr">
        <is>
          <t>Macanip</t>
        </is>
      </c>
    </row>
    <row r="23252" spans="1:1">
      <c r="A23252" t="inlineStr">
        <is>
          <t>Macopa</t>
        </is>
      </c>
    </row>
    <row r="23253" spans="1:1">
      <c r="A23253" t="inlineStr">
        <is>
          <t>Mag-aso</t>
        </is>
      </c>
    </row>
    <row r="23254" spans="1:1">
      <c r="A23254" t="inlineStr">
        <is>
          <t>Malobago</t>
        </is>
      </c>
    </row>
    <row r="23255" spans="1:1">
      <c r="A23255" t="inlineStr">
        <is>
          <t>Olotan</t>
        </is>
      </c>
    </row>
    <row r="23256" spans="1:1">
      <c r="A23256" t="inlineStr">
        <is>
          <t>Palanog</t>
        </is>
      </c>
    </row>
    <row r="23257" spans="1:1">
      <c r="A23257" t="inlineStr">
        <is>
          <t>Pange</t>
        </is>
      </c>
    </row>
    <row r="23258" spans="1:1">
      <c r="A23258" t="inlineStr">
        <is>
          <t>Parasan</t>
        </is>
      </c>
    </row>
    <row r="23259" spans="1:1">
      <c r="A23259" t="inlineStr">
        <is>
          <t>Pitogo</t>
        </is>
      </c>
    </row>
    <row r="23260" spans="1:1">
      <c r="A23260" t="inlineStr">
        <is>
          <t>Sagkahan</t>
        </is>
      </c>
    </row>
    <row r="23261" spans="1:1">
      <c r="A23261" t="inlineStr">
        <is>
          <t>San Agustin</t>
        </is>
      </c>
    </row>
    <row r="23262" spans="1:1">
      <c r="A23262" t="inlineStr">
        <is>
          <t>San Pedro</t>
        </is>
      </c>
    </row>
    <row r="23263" spans="1:1">
      <c r="A23263" t="inlineStr">
        <is>
          <t>San Roque</t>
        </is>
      </c>
    </row>
    <row r="23264" spans="1:1">
      <c r="A23264" t="inlineStr">
        <is>
          <t>Santa Cruz</t>
        </is>
      </c>
    </row>
    <row r="23265" spans="1:1">
      <c r="A23265" t="inlineStr">
        <is>
          <t>Santo Niño</t>
        </is>
      </c>
    </row>
    <row r="23266" spans="1:1">
      <c r="A23266" t="inlineStr">
        <is>
          <t>Sari-sari</t>
        </is>
      </c>
    </row>
    <row r="23267" spans="1:1">
      <c r="A23267" t="inlineStr">
        <is>
          <t>Tinambacan</t>
        </is>
      </c>
    </row>
    <row r="23268" spans="1:1">
      <c r="A23268" t="inlineStr">
        <is>
          <t>Tuba</t>
        </is>
      </c>
    </row>
    <row r="23269" spans="1:1">
      <c r="A23269" t="inlineStr">
        <is>
          <t>Uguiao</t>
        </is>
      </c>
    </row>
    <row r="23270" spans="1:1">
      <c r="A23270" t="inlineStr">
        <is>
          <t>Villa Paz</t>
        </is>
      </c>
    </row>
    <row r="23271" spans="1:1">
      <c r="A23271" t="inlineStr">
        <is>
          <t>Villagonzoilo</t>
        </is>
      </c>
    </row>
    <row r="23272" spans="1:1">
      <c r="A23272" t="inlineStr">
        <is>
          <t>Abuyogay</t>
        </is>
      </c>
    </row>
    <row r="23273" spans="1:1">
      <c r="A23273" t="inlineStr">
        <is>
          <t>Andres Bonifacio</t>
        </is>
      </c>
    </row>
    <row r="23274" spans="1:1">
      <c r="A23274" t="inlineStr">
        <is>
          <t>Batug</t>
        </is>
      </c>
    </row>
    <row r="23275" spans="1:1">
      <c r="A23275" t="inlineStr">
        <is>
          <t>Binulho</t>
        </is>
      </c>
    </row>
    <row r="23276" spans="1:1">
      <c r="A23276" t="inlineStr">
        <is>
          <t>Calzada</t>
        </is>
      </c>
    </row>
    <row r="23277" spans="1:1">
      <c r="A23277" t="inlineStr">
        <is>
          <t>Cancayang</t>
        </is>
      </c>
    </row>
    <row r="23278" spans="1:1">
      <c r="A23278" t="inlineStr">
        <is>
          <t>Caranhug</t>
        </is>
      </c>
    </row>
    <row r="23279" spans="1:1">
      <c r="A23279" t="inlineStr">
        <is>
          <t>Caraye</t>
        </is>
      </c>
    </row>
    <row r="23280" spans="1:1">
      <c r="A23280" t="inlineStr">
        <is>
          <t>Casulongan</t>
        </is>
      </c>
    </row>
    <row r="23281" spans="1:1">
      <c r="A23281" t="inlineStr">
        <is>
          <t>Comatin</t>
        </is>
      </c>
    </row>
    <row r="23282" spans="1:1">
      <c r="A23282" t="inlineStr">
        <is>
          <t>Guindapunan</t>
        </is>
      </c>
    </row>
    <row r="23283" spans="1:1">
      <c r="A23283" t="inlineStr">
        <is>
          <t>Inayupan</t>
        </is>
      </c>
    </row>
    <row r="23284" spans="1:1">
      <c r="A23284" t="inlineStr">
        <is>
          <t>Laray</t>
        </is>
      </c>
    </row>
    <row r="23285" spans="1:1">
      <c r="A23285" t="inlineStr">
        <is>
          <t>Magsaysay</t>
        </is>
      </c>
    </row>
    <row r="23286" spans="1:1">
      <c r="A23286" t="inlineStr">
        <is>
          <t>Malitbogay</t>
        </is>
      </c>
    </row>
    <row r="23287" spans="1:1">
      <c r="A23287" t="inlineStr">
        <is>
          <t>Manarug</t>
        </is>
      </c>
    </row>
    <row r="23288" spans="1:1">
      <c r="A23288" t="inlineStr">
        <is>
          <t>Manlilisid</t>
        </is>
      </c>
    </row>
    <row r="23289" spans="1:1">
      <c r="A23289" t="inlineStr">
        <is>
          <t>Naliwatan</t>
        </is>
      </c>
    </row>
    <row r="23290" spans="1:1">
      <c r="A23290" t="inlineStr">
        <is>
          <t>Odiong</t>
        </is>
      </c>
    </row>
    <row r="23291" spans="1:1">
      <c r="A23291" t="inlineStr">
        <is>
          <t>Picas Norte</t>
        </is>
      </c>
    </row>
    <row r="23292" spans="1:1">
      <c r="A23292" t="inlineStr">
        <is>
          <t>Pinocawan</t>
        </is>
      </c>
    </row>
    <row r="23293" spans="1:1">
      <c r="A23293" t="inlineStr">
        <is>
          <t>Poblacion Zone 1</t>
        </is>
      </c>
    </row>
    <row r="23294" spans="1:1">
      <c r="A23294" t="inlineStr">
        <is>
          <t>Poblacion Zone 2</t>
        </is>
      </c>
    </row>
    <row r="23295" spans="1:1">
      <c r="A23295" t="inlineStr">
        <is>
          <t>Rizal</t>
        </is>
      </c>
    </row>
    <row r="23296" spans="1:1">
      <c r="A23296" t="inlineStr">
        <is>
          <t>San Sotero</t>
        </is>
      </c>
    </row>
    <row r="23297" spans="1:1">
      <c r="A23297" t="inlineStr">
        <is>
          <t>Santa Cruz</t>
        </is>
      </c>
    </row>
    <row r="23298" spans="1:1">
      <c r="A23298" t="inlineStr">
        <is>
          <t>Talisayan</t>
        </is>
      </c>
    </row>
    <row r="23299" spans="1:1">
      <c r="A23299" t="inlineStr">
        <is>
          <t>Ulhay</t>
        </is>
      </c>
    </row>
    <row r="23300" spans="1:1">
      <c r="A23300" t="inlineStr">
        <is>
          <t>Alegria</t>
        </is>
      </c>
    </row>
    <row r="23301" spans="1:1">
      <c r="A23301" t="inlineStr">
        <is>
          <t>Anibong</t>
        </is>
      </c>
    </row>
    <row r="23302" spans="1:1">
      <c r="A23302" t="inlineStr">
        <is>
          <t>Aslum</t>
        </is>
      </c>
    </row>
    <row r="23303" spans="1:1">
      <c r="A23303" t="inlineStr">
        <is>
          <t>Balante</t>
        </is>
      </c>
    </row>
    <row r="23304" spans="1:1">
      <c r="A23304" t="inlineStr">
        <is>
          <t>Bongdo</t>
        </is>
      </c>
    </row>
    <row r="23305" spans="1:1">
      <c r="A23305" t="inlineStr">
        <is>
          <t>Bonifacio</t>
        </is>
      </c>
    </row>
    <row r="23306" spans="1:1">
      <c r="A23306" t="inlineStr">
        <is>
          <t>Bugho</t>
        </is>
      </c>
    </row>
    <row r="23307" spans="1:1">
      <c r="A23307" t="inlineStr">
        <is>
          <t>Calbasag</t>
        </is>
      </c>
    </row>
    <row r="23308" spans="1:1">
      <c r="A23308" t="inlineStr">
        <is>
          <t>Caridad</t>
        </is>
      </c>
    </row>
    <row r="23309" spans="1:1">
      <c r="A23309" t="inlineStr">
        <is>
          <t>Cuya-e</t>
        </is>
      </c>
    </row>
    <row r="23310" spans="1:1">
      <c r="A23310" t="inlineStr">
        <is>
          <t>Dita</t>
        </is>
      </c>
    </row>
    <row r="23311" spans="1:1">
      <c r="A23311" t="inlineStr">
        <is>
          <t>Gitabla</t>
        </is>
      </c>
    </row>
    <row r="23312" spans="1:1">
      <c r="A23312" t="inlineStr">
        <is>
          <t>Hindang</t>
        </is>
      </c>
    </row>
    <row r="23313" spans="1:1">
      <c r="A23313" t="inlineStr">
        <is>
          <t>Inawangan</t>
        </is>
      </c>
    </row>
    <row r="23314" spans="1:1">
      <c r="A23314" t="inlineStr">
        <is>
          <t>Jurao</t>
        </is>
      </c>
    </row>
    <row r="23315" spans="1:1">
      <c r="A23315" t="inlineStr">
        <is>
          <t>Poblacion District I</t>
        </is>
      </c>
    </row>
    <row r="23316" spans="1:1">
      <c r="A23316" t="inlineStr">
        <is>
          <t>Poblacion District II</t>
        </is>
      </c>
    </row>
    <row r="23317" spans="1:1">
      <c r="A23317" t="inlineStr">
        <is>
          <t>Poblacion District III</t>
        </is>
      </c>
    </row>
    <row r="23318" spans="1:1">
      <c r="A23318" t="inlineStr">
        <is>
          <t>Poblacion District IV</t>
        </is>
      </c>
    </row>
    <row r="23319" spans="1:1">
      <c r="A23319" t="inlineStr">
        <is>
          <t>San Andres</t>
        </is>
      </c>
    </row>
    <row r="23320" spans="1:1">
      <c r="A23320" t="inlineStr">
        <is>
          <t>San Pablo</t>
        </is>
      </c>
    </row>
    <row r="23321" spans="1:1">
      <c r="A23321" t="inlineStr">
        <is>
          <t>Sta. Cruz</t>
        </is>
      </c>
    </row>
    <row r="23322" spans="1:1">
      <c r="A23322" t="inlineStr">
        <is>
          <t>Sto. Niño</t>
        </is>
      </c>
    </row>
    <row r="23323" spans="1:1">
      <c r="A23323" t="inlineStr">
        <is>
          <t>Tagkip</t>
        </is>
      </c>
    </row>
    <row r="23324" spans="1:1">
      <c r="A23324" t="inlineStr">
        <is>
          <t>Tolosahay</t>
        </is>
      </c>
    </row>
    <row r="23325" spans="1:1">
      <c r="A23325" t="inlineStr">
        <is>
          <t>Villa Hermosa</t>
        </is>
      </c>
    </row>
    <row r="23326" spans="1:1">
      <c r="A23326" t="inlineStr">
        <is>
          <t>Aguiting</t>
        </is>
      </c>
    </row>
    <row r="23327" spans="1:1">
      <c r="A23327" t="inlineStr">
        <is>
          <t>Cacao</t>
        </is>
      </c>
    </row>
    <row r="23328" spans="1:1">
      <c r="A23328" t="inlineStr">
        <is>
          <t>Hiluctogan</t>
        </is>
      </c>
    </row>
    <row r="23329" spans="1:1">
      <c r="A23329" t="inlineStr">
        <is>
          <t>Kawayan</t>
        </is>
      </c>
    </row>
    <row r="23330" spans="1:1">
      <c r="A23330" t="inlineStr">
        <is>
          <t>Libertad</t>
        </is>
      </c>
    </row>
    <row r="23331" spans="1:1">
      <c r="A23331" t="inlineStr">
        <is>
          <t>Libongao</t>
        </is>
      </c>
    </row>
    <row r="23332" spans="1:1">
      <c r="A23332" t="inlineStr">
        <is>
          <t>Lim-ao</t>
        </is>
      </c>
    </row>
    <row r="23333" spans="1:1">
      <c r="A23333" t="inlineStr">
        <is>
          <t>Lonoy</t>
        </is>
      </c>
    </row>
    <row r="23334" spans="1:1">
      <c r="A23334" t="inlineStr">
        <is>
          <t>Mahawan</t>
        </is>
      </c>
    </row>
    <row r="23335" spans="1:1">
      <c r="A23335" t="inlineStr">
        <is>
          <t>Masarayao</t>
        </is>
      </c>
    </row>
    <row r="23336" spans="1:1">
      <c r="A23336" t="inlineStr">
        <is>
          <t>Monte Alegre</t>
        </is>
      </c>
    </row>
    <row r="23337" spans="1:1">
      <c r="A23337" t="inlineStr">
        <is>
          <t>Monte Bello</t>
        </is>
      </c>
    </row>
    <row r="23338" spans="1:1">
      <c r="A23338" t="inlineStr">
        <is>
          <t>Naghalin</t>
        </is>
      </c>
    </row>
    <row r="23339" spans="1:1">
      <c r="A23339" t="inlineStr">
        <is>
          <t>Natubgan</t>
        </is>
      </c>
    </row>
    <row r="23340" spans="1:1">
      <c r="A23340" t="inlineStr">
        <is>
          <t>Poblacion</t>
        </is>
      </c>
    </row>
    <row r="23341" spans="1:1">
      <c r="A23341" t="inlineStr">
        <is>
          <t>Rizal</t>
        </is>
      </c>
    </row>
    <row r="23342" spans="1:1">
      <c r="A23342" t="inlineStr">
        <is>
          <t>San Ignacio</t>
        </is>
      </c>
    </row>
    <row r="23343" spans="1:1">
      <c r="A23343" t="inlineStr">
        <is>
          <t>San Isidro</t>
        </is>
      </c>
    </row>
    <row r="23344" spans="1:1">
      <c r="A23344" t="inlineStr">
        <is>
          <t>Santo Domingo</t>
        </is>
      </c>
    </row>
    <row r="23345" spans="1:1">
      <c r="A23345" t="inlineStr">
        <is>
          <t>Santo Niño</t>
        </is>
      </c>
    </row>
    <row r="23346" spans="1:1">
      <c r="A23346" t="inlineStr">
        <is>
          <t>Tagaytay</t>
        </is>
      </c>
    </row>
    <row r="23347" spans="1:1">
      <c r="A23347" t="inlineStr">
        <is>
          <t>Tongonan</t>
        </is>
      </c>
    </row>
    <row r="23348" spans="1:1">
      <c r="A23348" t="inlineStr">
        <is>
          <t>Tugbong</t>
        </is>
      </c>
    </row>
    <row r="23349" spans="1:1">
      <c r="A23349" t="inlineStr">
        <is>
          <t>Bagacay East</t>
        </is>
      </c>
    </row>
    <row r="23350" spans="1:1">
      <c r="A23350" t="inlineStr">
        <is>
          <t>Bagacay West</t>
        </is>
      </c>
    </row>
    <row r="23351" spans="1:1">
      <c r="A23351" t="inlineStr">
        <is>
          <t>Bocawon</t>
        </is>
      </c>
    </row>
    <row r="23352" spans="1:1">
      <c r="A23352" t="inlineStr">
        <is>
          <t>Bongtod</t>
        </is>
      </c>
    </row>
    <row r="23353" spans="1:1">
      <c r="A23353" t="inlineStr">
        <is>
          <t>Buracan</t>
        </is>
      </c>
    </row>
    <row r="23354" spans="1:1">
      <c r="A23354" t="inlineStr">
        <is>
          <t>Caabangan</t>
        </is>
      </c>
    </row>
    <row r="23355" spans="1:1">
      <c r="A23355" t="inlineStr">
        <is>
          <t>Cacao</t>
        </is>
      </c>
    </row>
    <row r="23356" spans="1:1">
      <c r="A23356" t="inlineStr">
        <is>
          <t>Cagngaran</t>
        </is>
      </c>
    </row>
    <row r="23357" spans="1:1">
      <c r="A23357" t="inlineStr">
        <is>
          <t>Calabnian</t>
        </is>
      </c>
    </row>
    <row r="23358" spans="1:1">
      <c r="A23358" t="inlineStr">
        <is>
          <t>Calaghusan</t>
        </is>
      </c>
    </row>
    <row r="23359" spans="1:1">
      <c r="A23359" t="inlineStr">
        <is>
          <t>Caltayan</t>
        </is>
      </c>
    </row>
    <row r="23360" spans="1:1">
      <c r="A23360" t="inlineStr">
        <is>
          <t>Canbañez</t>
        </is>
      </c>
    </row>
    <row r="23361" spans="1:1">
      <c r="A23361" t="inlineStr">
        <is>
          <t>Cogon</t>
        </is>
      </c>
    </row>
    <row r="23362" spans="1:1">
      <c r="A23362" t="inlineStr">
        <is>
          <t>Duyog</t>
        </is>
      </c>
    </row>
    <row r="23363" spans="1:1">
      <c r="A23363" t="inlineStr">
        <is>
          <t>Gimiranat East</t>
        </is>
      </c>
    </row>
    <row r="23364" spans="1:1">
      <c r="A23364" t="inlineStr">
        <is>
          <t>Gimiranat West</t>
        </is>
      </c>
    </row>
    <row r="23365" spans="1:1">
      <c r="A23365" t="inlineStr">
        <is>
          <t>Limba</t>
        </is>
      </c>
    </row>
    <row r="23366" spans="1:1">
      <c r="A23366" t="inlineStr">
        <is>
          <t>Lubi-lubi</t>
        </is>
      </c>
    </row>
    <row r="23367" spans="1:1">
      <c r="A23367" t="inlineStr">
        <is>
          <t>Luneta</t>
        </is>
      </c>
    </row>
    <row r="23368" spans="1:1">
      <c r="A23368" t="inlineStr">
        <is>
          <t>Mag-aso</t>
        </is>
      </c>
    </row>
    <row r="23369" spans="1:1">
      <c r="A23369" t="inlineStr">
        <is>
          <t>Moroboro</t>
        </is>
      </c>
    </row>
    <row r="23370" spans="1:1">
      <c r="A23370" t="inlineStr">
        <is>
          <t>Pansud</t>
        </is>
      </c>
    </row>
    <row r="23371" spans="1:1">
      <c r="A23371" t="inlineStr">
        <is>
          <t>Pawa</t>
        </is>
      </c>
    </row>
    <row r="23372" spans="1:1">
      <c r="A23372" t="inlineStr">
        <is>
          <t>Piliway</t>
        </is>
      </c>
    </row>
    <row r="23373" spans="1:1">
      <c r="A23373" t="inlineStr">
        <is>
          <t>Poblacion District 1</t>
        </is>
      </c>
    </row>
    <row r="23374" spans="1:1">
      <c r="A23374" t="inlineStr">
        <is>
          <t>Poblacion District 2</t>
        </is>
      </c>
    </row>
    <row r="23375" spans="1:1">
      <c r="A23375" t="inlineStr">
        <is>
          <t>Poblacion District 3</t>
        </is>
      </c>
    </row>
    <row r="23376" spans="1:1">
      <c r="A23376" t="inlineStr">
        <is>
          <t>Poblacion District 4</t>
        </is>
      </c>
    </row>
    <row r="23377" spans="1:1">
      <c r="A23377" t="inlineStr">
        <is>
          <t>Quiong</t>
        </is>
      </c>
    </row>
    <row r="23378" spans="1:1">
      <c r="A23378" t="inlineStr">
        <is>
          <t>Rizal</t>
        </is>
      </c>
    </row>
    <row r="23379" spans="1:1">
      <c r="A23379" t="inlineStr">
        <is>
          <t>San Victoray</t>
        </is>
      </c>
    </row>
    <row r="23380" spans="1:1">
      <c r="A23380" t="inlineStr">
        <is>
          <t>Santa Ana</t>
        </is>
      </c>
    </row>
    <row r="23381" spans="1:1">
      <c r="A23381" t="inlineStr">
        <is>
          <t>Santa Elena</t>
        </is>
      </c>
    </row>
    <row r="23382" spans="1:1">
      <c r="A23382" t="inlineStr">
        <is>
          <t>Tabang</t>
        </is>
      </c>
    </row>
    <row r="23383" spans="1:1">
      <c r="A23383" t="inlineStr">
        <is>
          <t>Tarugan</t>
        </is>
      </c>
    </row>
    <row r="23384" spans="1:1">
      <c r="A23384" t="inlineStr">
        <is>
          <t>Bachao</t>
        </is>
      </c>
    </row>
    <row r="23385" spans="1:1">
      <c r="A23385" t="inlineStr">
        <is>
          <t>Baco</t>
        </is>
      </c>
    </row>
    <row r="23386" spans="1:1">
      <c r="A23386" t="inlineStr">
        <is>
          <t>Bagaba-o</t>
        </is>
      </c>
    </row>
    <row r="23387" spans="1:1">
      <c r="A23387" t="inlineStr">
        <is>
          <t>Basud</t>
        </is>
      </c>
    </row>
    <row r="23388" spans="1:1">
      <c r="A23388" t="inlineStr">
        <is>
          <t>Belen</t>
        </is>
      </c>
    </row>
    <row r="23389" spans="1:1">
      <c r="A23389" t="inlineStr">
        <is>
          <t>Burabod</t>
        </is>
      </c>
    </row>
    <row r="23390" spans="1:1">
      <c r="A23390" t="inlineStr">
        <is>
          <t>Calaguise</t>
        </is>
      </c>
    </row>
    <row r="23391" spans="1:1">
      <c r="A23391" t="inlineStr">
        <is>
          <t>Consuegra</t>
        </is>
      </c>
    </row>
    <row r="23392" spans="1:1">
      <c r="A23392" t="inlineStr">
        <is>
          <t>Culasi</t>
        </is>
      </c>
    </row>
    <row r="23393" spans="1:1">
      <c r="A23393" t="inlineStr">
        <is>
          <t>Danus</t>
        </is>
      </c>
    </row>
    <row r="23394" spans="1:1">
      <c r="A23394" t="inlineStr">
        <is>
          <t>Elizabeth</t>
        </is>
      </c>
    </row>
    <row r="23395" spans="1:1">
      <c r="A23395" t="inlineStr">
        <is>
          <t>Kawayan</t>
        </is>
      </c>
    </row>
    <row r="23396" spans="1:1">
      <c r="A23396" t="inlineStr">
        <is>
          <t>Libas</t>
        </is>
      </c>
    </row>
    <row r="23397" spans="1:1">
      <c r="A23397" t="inlineStr">
        <is>
          <t>Maanda</t>
        </is>
      </c>
    </row>
    <row r="23398" spans="1:1">
      <c r="A23398" t="inlineStr">
        <is>
          <t>Macupa</t>
        </is>
      </c>
    </row>
    <row r="23399" spans="1:1">
      <c r="A23399" t="inlineStr">
        <is>
          <t>Mataloto</t>
        </is>
      </c>
    </row>
    <row r="23400" spans="1:1">
      <c r="A23400" t="inlineStr">
        <is>
          <t>Palarao</t>
        </is>
      </c>
    </row>
    <row r="23401" spans="1:1">
      <c r="A23401" t="inlineStr">
        <is>
          <t>Palid I</t>
        </is>
      </c>
    </row>
    <row r="23402" spans="1:1">
      <c r="A23402" t="inlineStr">
        <is>
          <t>Palid II</t>
        </is>
      </c>
    </row>
    <row r="23403" spans="1:1">
      <c r="A23403" t="inlineStr">
        <is>
          <t>Parasan</t>
        </is>
      </c>
    </row>
    <row r="23404" spans="1:1">
      <c r="A23404" t="inlineStr">
        <is>
          <t>Poblacion</t>
        </is>
      </c>
    </row>
    <row r="23405" spans="1:1">
      <c r="A23405" t="inlineStr">
        <is>
          <t>Salog</t>
        </is>
      </c>
    </row>
    <row r="23406" spans="1:1">
      <c r="A23406" t="inlineStr">
        <is>
          <t>Sambulawan</t>
        </is>
      </c>
    </row>
    <row r="23407" spans="1:1">
      <c r="A23407" t="inlineStr">
        <is>
          <t>Tag-abaca</t>
        </is>
      </c>
    </row>
    <row r="23408" spans="1:1">
      <c r="A23408" t="inlineStr">
        <is>
          <t>Tapol</t>
        </is>
      </c>
    </row>
    <row r="23409" spans="1:1">
      <c r="A23409" t="inlineStr">
        <is>
          <t>Tigbawan</t>
        </is>
      </c>
    </row>
    <row r="23410" spans="1:1">
      <c r="A23410" t="inlineStr">
        <is>
          <t>Tinocdugan</t>
        </is>
      </c>
    </row>
    <row r="23411" spans="1:1">
      <c r="A23411" t="inlineStr">
        <is>
          <t>Toctoc</t>
        </is>
      </c>
    </row>
    <row r="23412" spans="1:1">
      <c r="A23412" t="inlineStr">
        <is>
          <t>Ugbon</t>
        </is>
      </c>
    </row>
    <row r="23413" spans="1:1">
      <c r="A23413" t="inlineStr">
        <is>
          <t>Wague</t>
        </is>
      </c>
    </row>
    <row r="23414" spans="1:1">
      <c r="A23414" t="inlineStr">
        <is>
          <t>Batug</t>
        </is>
      </c>
    </row>
    <row r="23415" spans="1:1">
      <c r="A23415" t="inlineStr">
        <is>
          <t>Burabod</t>
        </is>
      </c>
    </row>
    <row r="23416" spans="1:1">
      <c r="A23416" t="inlineStr">
        <is>
          <t>Capudlosan</t>
        </is>
      </c>
    </row>
    <row r="23417" spans="1:1">
      <c r="A23417" t="inlineStr">
        <is>
          <t>Casuntingan</t>
        </is>
      </c>
    </row>
    <row r="23418" spans="1:1">
      <c r="A23418" t="inlineStr">
        <is>
          <t>Causwagan</t>
        </is>
      </c>
    </row>
    <row r="23419" spans="1:1">
      <c r="A23419" t="inlineStr">
        <is>
          <t>Danao</t>
        </is>
      </c>
    </row>
    <row r="23420" spans="1:1">
      <c r="A23420" t="inlineStr">
        <is>
          <t>Doña Josefa</t>
        </is>
      </c>
    </row>
    <row r="23421" spans="1:1">
      <c r="A23421" t="inlineStr">
        <is>
          <t>General Luna</t>
        </is>
      </c>
    </row>
    <row r="23422" spans="1:1">
      <c r="A23422" t="inlineStr">
        <is>
          <t>Kiling</t>
        </is>
      </c>
    </row>
    <row r="23423" spans="1:1">
      <c r="A23423" t="inlineStr">
        <is>
          <t>Lanawan</t>
        </is>
      </c>
    </row>
    <row r="23424" spans="1:1">
      <c r="A23424" t="inlineStr">
        <is>
          <t>Liwayway</t>
        </is>
      </c>
    </row>
    <row r="23425" spans="1:1">
      <c r="A23425" t="inlineStr">
        <is>
          <t>Maya</t>
        </is>
      </c>
    </row>
    <row r="23426" spans="1:1">
      <c r="A23426" t="inlineStr">
        <is>
          <t>Oguisan</t>
        </is>
      </c>
    </row>
    <row r="23427" spans="1:1">
      <c r="A23427" t="inlineStr">
        <is>
          <t>Osmeña</t>
        </is>
      </c>
    </row>
    <row r="23428" spans="1:1">
      <c r="A23428" t="inlineStr">
        <is>
          <t>Palale 1</t>
        </is>
      </c>
    </row>
    <row r="23429" spans="1:1">
      <c r="A23429" t="inlineStr">
        <is>
          <t>Palale 2</t>
        </is>
      </c>
    </row>
    <row r="23430" spans="1:1">
      <c r="A23430" t="inlineStr">
        <is>
          <t>Poblacion District 1</t>
        </is>
      </c>
    </row>
    <row r="23431" spans="1:1">
      <c r="A23431" t="inlineStr">
        <is>
          <t>Poblacion District 2</t>
        </is>
      </c>
    </row>
    <row r="23432" spans="1:1">
      <c r="A23432" t="inlineStr">
        <is>
          <t>Poblacion District 3</t>
        </is>
      </c>
    </row>
    <row r="23433" spans="1:1">
      <c r="A23433" t="inlineStr">
        <is>
          <t>Pongon</t>
        </is>
      </c>
    </row>
    <row r="23434" spans="1:1">
      <c r="A23434" t="inlineStr">
        <is>
          <t>Quezon</t>
        </is>
      </c>
    </row>
    <row r="23435" spans="1:1">
      <c r="A23435" t="inlineStr">
        <is>
          <t>Romualdez</t>
        </is>
      </c>
    </row>
    <row r="23436" spans="1:1">
      <c r="A23436" t="inlineStr">
        <is>
          <t>Salvacion</t>
        </is>
      </c>
    </row>
    <row r="23437" spans="1:1">
      <c r="A23437" t="inlineStr">
        <is>
          <t>San Antonio</t>
        </is>
      </c>
    </row>
    <row r="23438" spans="1:1">
      <c r="A23438" t="inlineStr">
        <is>
          <t>San Isidro</t>
        </is>
      </c>
    </row>
    <row r="23439" spans="1:1">
      <c r="A23439" t="inlineStr">
        <is>
          <t>San Pedro</t>
        </is>
      </c>
    </row>
    <row r="23440" spans="1:1">
      <c r="A23440" t="inlineStr">
        <is>
          <t>San Vicente</t>
        </is>
      </c>
    </row>
    <row r="23441" spans="1:1">
      <c r="A23441" t="inlineStr">
        <is>
          <t>Santa Isabel</t>
        </is>
      </c>
    </row>
    <row r="23442" spans="1:1">
      <c r="A23442" t="inlineStr">
        <is>
          <t>Tinawan</t>
        </is>
      </c>
    </row>
    <row r="23443" spans="1:1">
      <c r="A23443" t="inlineStr">
        <is>
          <t>Tuyo</t>
        </is>
      </c>
    </row>
    <row r="23444" spans="1:1">
      <c r="A23444" t="inlineStr">
        <is>
          <t>Villa Imelda</t>
        </is>
      </c>
    </row>
    <row r="23445" spans="1:1">
      <c r="A23445" t="inlineStr">
        <is>
          <t>Campin</t>
        </is>
      </c>
    </row>
    <row r="23446" spans="1:1">
      <c r="A23446" t="inlineStr">
        <is>
          <t>Cuatro De Agosto</t>
        </is>
      </c>
    </row>
    <row r="23447" spans="1:1">
      <c r="A23447" t="inlineStr">
        <is>
          <t>Hiluctogan</t>
        </is>
      </c>
    </row>
    <row r="23448" spans="1:1">
      <c r="A23448" t="inlineStr">
        <is>
          <t>Hilusig</t>
        </is>
      </c>
    </row>
    <row r="23449" spans="1:1">
      <c r="A23449" t="inlineStr">
        <is>
          <t>Himamara</t>
        </is>
      </c>
    </row>
    <row r="23450" spans="1:1">
      <c r="A23450" t="inlineStr">
        <is>
          <t>Hinaguimitan</t>
        </is>
      </c>
    </row>
    <row r="23451" spans="1:1">
      <c r="A23451" t="inlineStr">
        <is>
          <t>Liberacion</t>
        </is>
      </c>
    </row>
    <row r="23452" spans="1:1">
      <c r="A23452" t="inlineStr">
        <is>
          <t>Mabuhay</t>
        </is>
      </c>
    </row>
    <row r="23453" spans="1:1">
      <c r="A23453" t="inlineStr">
        <is>
          <t>Mabunga</t>
        </is>
      </c>
    </row>
    <row r="23454" spans="1:1">
      <c r="A23454" t="inlineStr">
        <is>
          <t>Magsuganao</t>
        </is>
      </c>
    </row>
    <row r="23455" spans="1:1">
      <c r="A23455" t="inlineStr">
        <is>
          <t>Mahayag</t>
        </is>
      </c>
    </row>
    <row r="23456" spans="1:1">
      <c r="A23456" t="inlineStr">
        <is>
          <t>Mahayahay</t>
        </is>
      </c>
    </row>
    <row r="23457" spans="1:1">
      <c r="A23457" t="inlineStr">
        <is>
          <t>Maligaya</t>
        </is>
      </c>
    </row>
    <row r="23458" spans="1:1">
      <c r="A23458" t="inlineStr">
        <is>
          <t>Malinao</t>
        </is>
      </c>
    </row>
    <row r="23459" spans="1:1">
      <c r="A23459" t="inlineStr">
        <is>
          <t>Malipoon</t>
        </is>
      </c>
    </row>
    <row r="23460" spans="1:1">
      <c r="A23460" t="inlineStr">
        <is>
          <t>Palanogan</t>
        </is>
      </c>
    </row>
    <row r="23461" spans="1:1">
      <c r="A23461" t="inlineStr">
        <is>
          <t>Paril</t>
        </is>
      </c>
    </row>
    <row r="23462" spans="1:1">
      <c r="A23462" t="inlineStr">
        <is>
          <t>Pinamonoan</t>
        </is>
      </c>
    </row>
    <row r="23463" spans="1:1">
      <c r="A23463" t="inlineStr">
        <is>
          <t>Poblacion</t>
        </is>
      </c>
    </row>
    <row r="23464" spans="1:1">
      <c r="A23464" t="inlineStr">
        <is>
          <t>Polahongon</t>
        </is>
      </c>
    </row>
    <row r="23465" spans="1:1">
      <c r="A23465" t="inlineStr">
        <is>
          <t>San Isidro</t>
        </is>
      </c>
    </row>
    <row r="23466" spans="1:1">
      <c r="A23466" t="inlineStr">
        <is>
          <t>San Juan</t>
        </is>
      </c>
    </row>
    <row r="23467" spans="1:1">
      <c r="A23467" t="inlineStr">
        <is>
          <t>Sta. Cruz</t>
        </is>
      </c>
    </row>
    <row r="23468" spans="1:1">
      <c r="A23468" t="inlineStr">
        <is>
          <t>Sto. Niño</t>
        </is>
      </c>
    </row>
    <row r="23469" spans="1:1">
      <c r="A23469" t="inlineStr">
        <is>
          <t>Tagaytay</t>
        </is>
      </c>
    </row>
    <row r="23470" spans="1:1">
      <c r="A23470" t="inlineStr">
        <is>
          <t>Uguis</t>
        </is>
      </c>
    </row>
    <row r="23471" spans="1:1">
      <c r="A23471" t="inlineStr">
        <is>
          <t>Union</t>
        </is>
      </c>
    </row>
    <row r="23472" spans="1:1">
      <c r="A23472" t="inlineStr">
        <is>
          <t>Upper Mahaplag</t>
        </is>
      </c>
    </row>
    <row r="23473" spans="1:1">
      <c r="A23473" t="inlineStr">
        <is>
          <t>Balagtas</t>
        </is>
      </c>
    </row>
    <row r="23474" spans="1:1">
      <c r="A23474" t="inlineStr">
        <is>
          <t>Bonoy</t>
        </is>
      </c>
    </row>
    <row r="23475" spans="1:1">
      <c r="A23475" t="inlineStr">
        <is>
          <t>Bulak</t>
        </is>
      </c>
    </row>
    <row r="23476" spans="1:1">
      <c r="A23476" t="inlineStr">
        <is>
          <t>Cambadbad</t>
        </is>
      </c>
    </row>
    <row r="23477" spans="1:1">
      <c r="A23477" t="inlineStr">
        <is>
          <t>Candelaria</t>
        </is>
      </c>
    </row>
    <row r="23478" spans="1:1">
      <c r="A23478" t="inlineStr">
        <is>
          <t>Cansoso</t>
        </is>
      </c>
    </row>
    <row r="23479" spans="1:1">
      <c r="A23479" t="inlineStr">
        <is>
          <t>Imelda</t>
        </is>
      </c>
    </row>
    <row r="23480" spans="1:1">
      <c r="A23480" t="inlineStr">
        <is>
          <t>Malazarte</t>
        </is>
      </c>
    </row>
    <row r="23481" spans="1:1">
      <c r="A23481" t="inlineStr">
        <is>
          <t>Mansahaon</t>
        </is>
      </c>
    </row>
    <row r="23482" spans="1:1">
      <c r="A23482" t="inlineStr">
        <is>
          <t>Mansalip</t>
        </is>
      </c>
    </row>
    <row r="23483" spans="1:1">
      <c r="A23483" t="inlineStr">
        <is>
          <t>Masaba</t>
        </is>
      </c>
    </row>
    <row r="23484" spans="1:1">
      <c r="A23484" t="inlineStr">
        <is>
          <t>Naulayan</t>
        </is>
      </c>
    </row>
    <row r="23485" spans="1:1">
      <c r="A23485" t="inlineStr">
        <is>
          <t>Riverside</t>
        </is>
      </c>
    </row>
    <row r="23486" spans="1:1">
      <c r="A23486" t="inlineStr">
        <is>
          <t>San Dionisio</t>
        </is>
      </c>
    </row>
    <row r="23487" spans="1:1">
      <c r="A23487" t="inlineStr">
        <is>
          <t>San Guillermo</t>
        </is>
      </c>
    </row>
    <row r="23488" spans="1:1">
      <c r="A23488" t="inlineStr">
        <is>
          <t>San Marcelino</t>
        </is>
      </c>
    </row>
    <row r="23489" spans="1:1">
      <c r="A23489" t="inlineStr">
        <is>
          <t>San Sebastian</t>
        </is>
      </c>
    </row>
    <row r="23490" spans="1:1">
      <c r="A23490" t="inlineStr">
        <is>
          <t>San Vicente</t>
        </is>
      </c>
    </row>
    <row r="23491" spans="1:1">
      <c r="A23491" t="inlineStr">
        <is>
          <t>Santa Rosa</t>
        </is>
      </c>
    </row>
    <row r="23492" spans="1:1">
      <c r="A23492" t="inlineStr">
        <is>
          <t>Santo Rosario</t>
        </is>
      </c>
    </row>
    <row r="23493" spans="1:1">
      <c r="A23493" t="inlineStr">
        <is>
          <t>Talisay</t>
        </is>
      </c>
    </row>
    <row r="23494" spans="1:1">
      <c r="A23494" t="inlineStr">
        <is>
          <t>Agbanga</t>
        </is>
      </c>
    </row>
    <row r="23495" spans="1:1">
      <c r="A23495" t="inlineStr">
        <is>
          <t>Altavista</t>
        </is>
      </c>
    </row>
    <row r="23496" spans="1:1">
      <c r="A23496" t="inlineStr">
        <is>
          <t>Bagong Lipunan</t>
        </is>
      </c>
    </row>
    <row r="23497" spans="1:1">
      <c r="A23497" t="inlineStr">
        <is>
          <t>Cahagnaan</t>
        </is>
      </c>
    </row>
    <row r="23498" spans="1:1">
      <c r="A23498" t="inlineStr">
        <is>
          <t>Calumpang</t>
        </is>
      </c>
    </row>
    <row r="23499" spans="1:1">
      <c r="A23499" t="inlineStr">
        <is>
          <t>Caningag</t>
        </is>
      </c>
    </row>
    <row r="23500" spans="1:1">
      <c r="A23500" t="inlineStr">
        <is>
          <t>Caridad Norte</t>
        </is>
      </c>
    </row>
    <row r="23501" spans="1:1">
      <c r="A23501" t="inlineStr">
        <is>
          <t>Caridad Sur</t>
        </is>
      </c>
    </row>
    <row r="23502" spans="1:1">
      <c r="A23502" t="inlineStr">
        <is>
          <t>Elevado</t>
        </is>
      </c>
    </row>
    <row r="23503" spans="1:1">
      <c r="A23503" t="inlineStr">
        <is>
          <t>Esperanza</t>
        </is>
      </c>
    </row>
    <row r="23504" spans="1:1">
      <c r="A23504" t="inlineStr">
        <is>
          <t>Hitoog</t>
        </is>
      </c>
    </row>
    <row r="23505" spans="1:1">
      <c r="A23505" t="inlineStr">
        <is>
          <t>Itum</t>
        </is>
      </c>
    </row>
    <row r="23506" spans="1:1">
      <c r="A23506" t="inlineStr">
        <is>
          <t>Lowan</t>
        </is>
      </c>
    </row>
    <row r="23507" spans="1:1">
      <c r="A23507" t="inlineStr">
        <is>
          <t>Monte Alegre</t>
        </is>
      </c>
    </row>
    <row r="23508" spans="1:1">
      <c r="A23508" t="inlineStr">
        <is>
          <t>President Garcia</t>
        </is>
      </c>
    </row>
    <row r="23509" spans="1:1">
      <c r="A23509" t="inlineStr">
        <is>
          <t>Punong</t>
        </is>
      </c>
    </row>
    <row r="23510" spans="1:1">
      <c r="A23510" t="inlineStr">
        <is>
          <t>San Isidro</t>
        </is>
      </c>
    </row>
    <row r="23511" spans="1:1">
      <c r="A23511" t="inlineStr">
        <is>
          <t>San Juan</t>
        </is>
      </c>
    </row>
    <row r="23512" spans="1:1">
      <c r="A23512" t="inlineStr">
        <is>
          <t>San Pedro</t>
        </is>
      </c>
    </row>
    <row r="23513" spans="1:1">
      <c r="A23513" t="inlineStr">
        <is>
          <t>San Salvador</t>
        </is>
      </c>
    </row>
    <row r="23514" spans="1:1">
      <c r="A23514" t="inlineStr">
        <is>
          <t>San Vicente</t>
        </is>
      </c>
    </row>
    <row r="23515" spans="1:1">
      <c r="A23515" t="inlineStr">
        <is>
          <t>Santa Fe</t>
        </is>
      </c>
    </row>
    <row r="23516" spans="1:1">
      <c r="A23516" t="inlineStr">
        <is>
          <t>Santa Paz</t>
        </is>
      </c>
    </row>
    <row r="23517" spans="1:1">
      <c r="A23517" t="inlineStr">
        <is>
          <t>Santo Niño</t>
        </is>
      </c>
    </row>
    <row r="23518" spans="1:1">
      <c r="A23518" t="inlineStr">
        <is>
          <t>Tag-os</t>
        </is>
      </c>
    </row>
    <row r="23519" spans="1:1">
      <c r="A23519" t="inlineStr">
        <is>
          <t>Taglibas Imelda</t>
        </is>
      </c>
    </row>
    <row r="23520" spans="1:1">
      <c r="A23520" t="inlineStr">
        <is>
          <t>Templanza</t>
        </is>
      </c>
    </row>
    <row r="23521" spans="1:1">
      <c r="A23521" t="inlineStr">
        <is>
          <t>Tigbao</t>
        </is>
      </c>
    </row>
    <row r="23522" spans="1:1">
      <c r="A23522" t="inlineStr">
        <is>
          <t>Waterloo</t>
        </is>
      </c>
    </row>
    <row r="23523" spans="1:1">
      <c r="A23523" t="inlineStr">
        <is>
          <t>Zaragoza</t>
        </is>
      </c>
    </row>
    <row r="23524" spans="1:1">
      <c r="A23524" t="inlineStr">
        <is>
          <t>A. Bonifacio</t>
        </is>
      </c>
    </row>
    <row r="23525" spans="1:1">
      <c r="A23525" t="inlineStr">
        <is>
          <t>Burgos</t>
        </is>
      </c>
    </row>
    <row r="23526" spans="1:1">
      <c r="A23526" t="inlineStr">
        <is>
          <t>Calipayan</t>
        </is>
      </c>
    </row>
    <row r="23527" spans="1:1">
      <c r="A23527" t="inlineStr">
        <is>
          <t>Camansi</t>
        </is>
      </c>
    </row>
    <row r="23528" spans="1:1">
      <c r="A23528" t="inlineStr">
        <is>
          <t>General Antonio Luna</t>
        </is>
      </c>
    </row>
    <row r="23529" spans="1:1">
      <c r="A23529" t="inlineStr">
        <is>
          <t>Liberty</t>
        </is>
      </c>
    </row>
    <row r="23530" spans="1:1">
      <c r="A23530" t="inlineStr">
        <is>
          <t>Mabini</t>
        </is>
      </c>
    </row>
    <row r="23531" spans="1:1">
      <c r="A23531" t="inlineStr">
        <is>
          <t>Ormocay</t>
        </is>
      </c>
    </row>
    <row r="23532" spans="1:1">
      <c r="A23532" t="inlineStr">
        <is>
          <t>Poblacion Zone 1</t>
        </is>
      </c>
    </row>
    <row r="23533" spans="1:1">
      <c r="A23533" t="inlineStr">
        <is>
          <t>Poblacion Zone 2</t>
        </is>
      </c>
    </row>
    <row r="23534" spans="1:1">
      <c r="A23534" t="inlineStr">
        <is>
          <t>Poblacion Zone 3</t>
        </is>
      </c>
    </row>
    <row r="23535" spans="1:1">
      <c r="A23535" t="inlineStr">
        <is>
          <t>San Roque</t>
        </is>
      </c>
    </row>
    <row r="23536" spans="1:1">
      <c r="A23536" t="inlineStr">
        <is>
          <t>Santa Cruz</t>
        </is>
      </c>
    </row>
    <row r="23537" spans="1:1">
      <c r="A23537" t="inlineStr">
        <is>
          <t>Talisay</t>
        </is>
      </c>
    </row>
    <row r="23538" spans="1:1">
      <c r="A23538" t="inlineStr">
        <is>
          <t>Union</t>
        </is>
      </c>
    </row>
    <row r="23539" spans="1:1">
      <c r="A23539" t="inlineStr">
        <is>
          <t>Wilson</t>
        </is>
      </c>
    </row>
    <row r="23540" spans="1:1">
      <c r="A23540" t="inlineStr">
        <is>
          <t>Binabaye</t>
        </is>
      </c>
    </row>
    <row r="23541" spans="1:1">
      <c r="A23541" t="inlineStr">
        <is>
          <t>Cabaliwan</t>
        </is>
      </c>
    </row>
    <row r="23542" spans="1:1">
      <c r="A23542" t="inlineStr">
        <is>
          <t>Calunangan</t>
        </is>
      </c>
    </row>
    <row r="23543" spans="1:1">
      <c r="A23543" t="inlineStr">
        <is>
          <t>Calunasan</t>
        </is>
      </c>
    </row>
    <row r="23544" spans="1:1">
      <c r="A23544" t="inlineStr">
        <is>
          <t>Cambalong</t>
        </is>
      </c>
    </row>
    <row r="23545" spans="1:1">
      <c r="A23545" t="inlineStr">
        <is>
          <t>Can-unzo</t>
        </is>
      </c>
    </row>
    <row r="23546" spans="1:1">
      <c r="A23546" t="inlineStr">
        <is>
          <t>Canbantug</t>
        </is>
      </c>
    </row>
    <row r="23547" spans="1:1">
      <c r="A23547" t="inlineStr">
        <is>
          <t>Casilda</t>
        </is>
      </c>
    </row>
    <row r="23548" spans="1:1">
      <c r="A23548" t="inlineStr">
        <is>
          <t>Lamanoc</t>
        </is>
      </c>
    </row>
    <row r="23549" spans="1:1">
      <c r="A23549" t="inlineStr">
        <is>
          <t>Libas</t>
        </is>
      </c>
    </row>
    <row r="23550" spans="1:1">
      <c r="A23550" t="inlineStr">
        <is>
          <t>Libjo</t>
        </is>
      </c>
    </row>
    <row r="23551" spans="1:1">
      <c r="A23551" t="inlineStr">
        <is>
          <t>Lundag</t>
        </is>
      </c>
    </row>
    <row r="23552" spans="1:1">
      <c r="A23552" t="inlineStr">
        <is>
          <t>Macario</t>
        </is>
      </c>
    </row>
    <row r="23553" spans="1:1">
      <c r="A23553" t="inlineStr">
        <is>
          <t>Mahalit</t>
        </is>
      </c>
    </row>
    <row r="23554" spans="1:1">
      <c r="A23554" t="inlineStr">
        <is>
          <t>Mahayag</t>
        </is>
      </c>
    </row>
    <row r="23555" spans="1:1">
      <c r="A23555" t="inlineStr">
        <is>
          <t>Masumbang</t>
        </is>
      </c>
    </row>
    <row r="23556" spans="1:1">
      <c r="A23556" t="inlineStr">
        <is>
          <t>Mat-e</t>
        </is>
      </c>
    </row>
    <row r="23557" spans="1:1">
      <c r="A23557" t="inlineStr">
        <is>
          <t>Poblacion</t>
        </is>
      </c>
    </row>
    <row r="23558" spans="1:1">
      <c r="A23558" t="inlineStr">
        <is>
          <t>Puerto Bello</t>
        </is>
      </c>
    </row>
    <row r="23559" spans="1:1">
      <c r="A23559" t="inlineStr">
        <is>
          <t>San Isidro</t>
        </is>
      </c>
    </row>
    <row r="23560" spans="1:1">
      <c r="A23560" t="inlineStr">
        <is>
          <t>San Jose</t>
        </is>
      </c>
    </row>
    <row r="23561" spans="1:1">
      <c r="A23561" t="inlineStr">
        <is>
          <t>Tubod</t>
        </is>
      </c>
    </row>
    <row r="23562" spans="1:1">
      <c r="A23562" t="inlineStr">
        <is>
          <t>Airport</t>
        </is>
      </c>
    </row>
    <row r="23563" spans="1:1">
      <c r="A23563" t="inlineStr">
        <is>
          <t>Alegria</t>
        </is>
      </c>
    </row>
    <row r="23564" spans="1:1">
      <c r="A23564" t="inlineStr">
        <is>
          <t>Alta Vista</t>
        </is>
      </c>
    </row>
    <row r="23565" spans="1:1">
      <c r="A23565" t="inlineStr">
        <is>
          <t>Bagong</t>
        </is>
      </c>
    </row>
    <row r="23566" spans="1:1">
      <c r="A23566" t="inlineStr">
        <is>
          <t>Bagong Buhay</t>
        </is>
      </c>
    </row>
    <row r="23567" spans="1:1">
      <c r="A23567" t="inlineStr">
        <is>
          <t>Bantigue</t>
        </is>
      </c>
    </row>
    <row r="23568" spans="1:1">
      <c r="A23568" t="inlineStr">
        <is>
          <t>Barangay East</t>
        </is>
      </c>
    </row>
    <row r="23569" spans="1:1">
      <c r="A23569" t="inlineStr">
        <is>
          <t>Barangay North</t>
        </is>
      </c>
    </row>
    <row r="23570" spans="1:1">
      <c r="A23570" t="inlineStr">
        <is>
          <t>Barangay South</t>
        </is>
      </c>
    </row>
    <row r="23571" spans="1:1">
      <c r="A23571" t="inlineStr">
        <is>
          <t>Barangay West</t>
        </is>
      </c>
    </row>
    <row r="23572" spans="1:1">
      <c r="A23572" t="inlineStr">
        <is>
          <t>Batuan</t>
        </is>
      </c>
    </row>
    <row r="23573" spans="1:1">
      <c r="A23573" t="inlineStr">
        <is>
          <t>Bayog</t>
        </is>
      </c>
    </row>
    <row r="23574" spans="1:1">
      <c r="A23574" t="inlineStr">
        <is>
          <t>Biliboy</t>
        </is>
      </c>
    </row>
    <row r="23575" spans="1:1">
      <c r="A23575" t="inlineStr">
        <is>
          <t>Borok</t>
        </is>
      </c>
    </row>
    <row r="23576" spans="1:1">
      <c r="A23576" t="inlineStr">
        <is>
          <t>Cabaon-an</t>
        </is>
      </c>
    </row>
    <row r="23577" spans="1:1">
      <c r="A23577" t="inlineStr">
        <is>
          <t>Cabintan</t>
        </is>
      </c>
    </row>
    <row r="23578" spans="1:1">
      <c r="A23578" t="inlineStr">
        <is>
          <t>Cabulihan</t>
        </is>
      </c>
    </row>
    <row r="23579" spans="1:1">
      <c r="A23579" t="inlineStr">
        <is>
          <t>Cagbuhangin</t>
        </is>
      </c>
    </row>
    <row r="23580" spans="1:1">
      <c r="A23580" t="inlineStr">
        <is>
          <t>Camp Downes</t>
        </is>
      </c>
    </row>
    <row r="23581" spans="1:1">
      <c r="A23581" t="inlineStr">
        <is>
          <t>Can-adieng</t>
        </is>
      </c>
    </row>
    <row r="23582" spans="1:1">
      <c r="A23582" t="inlineStr">
        <is>
          <t>Can-untog</t>
        </is>
      </c>
    </row>
    <row r="23583" spans="1:1">
      <c r="A23583" t="inlineStr">
        <is>
          <t>Catmon</t>
        </is>
      </c>
    </row>
    <row r="23584" spans="1:1">
      <c r="A23584" t="inlineStr">
        <is>
          <t>Cogon Combado</t>
        </is>
      </c>
    </row>
    <row r="23585" spans="1:1">
      <c r="A23585" t="inlineStr">
        <is>
          <t>Concepcion</t>
        </is>
      </c>
    </row>
    <row r="23586" spans="1:1">
      <c r="A23586" t="inlineStr">
        <is>
          <t>Curva</t>
        </is>
      </c>
    </row>
    <row r="23587" spans="1:1">
      <c r="A23587" t="inlineStr">
        <is>
          <t>Danao</t>
        </is>
      </c>
    </row>
    <row r="23588" spans="1:1">
      <c r="A23588" t="inlineStr">
        <is>
          <t>Danhug</t>
        </is>
      </c>
    </row>
    <row r="23589" spans="1:1">
      <c r="A23589" t="inlineStr">
        <is>
          <t>Dayhagan</t>
        </is>
      </c>
    </row>
    <row r="23590" spans="1:1">
      <c r="A23590" t="inlineStr">
        <is>
          <t>Dolores</t>
        </is>
      </c>
    </row>
    <row r="23591" spans="1:1">
      <c r="A23591" t="inlineStr">
        <is>
          <t>Domonar</t>
        </is>
      </c>
    </row>
    <row r="23592" spans="1:1">
      <c r="A23592" t="inlineStr">
        <is>
          <t>Don Felipe Larrazabal</t>
        </is>
      </c>
    </row>
    <row r="23593" spans="1:1">
      <c r="A23593" t="inlineStr">
        <is>
          <t>Don Potenciano Larrazabal</t>
        </is>
      </c>
    </row>
    <row r="23594" spans="1:1">
      <c r="A23594" t="inlineStr">
        <is>
          <t>Donghol</t>
        </is>
      </c>
    </row>
    <row r="23595" spans="1:1">
      <c r="A23595" t="inlineStr">
        <is>
          <t>Doña Feliza Z. Mejia</t>
        </is>
      </c>
    </row>
    <row r="23596" spans="1:1">
      <c r="A23596" t="inlineStr">
        <is>
          <t>Esperanza</t>
        </is>
      </c>
    </row>
    <row r="23597" spans="1:1">
      <c r="A23597" t="inlineStr">
        <is>
          <t>Gaas</t>
        </is>
      </c>
    </row>
    <row r="23598" spans="1:1">
      <c r="A23598" t="inlineStr">
        <is>
          <t>Green Valley</t>
        </is>
      </c>
    </row>
    <row r="23599" spans="1:1">
      <c r="A23599" t="inlineStr">
        <is>
          <t>Guintigui-an</t>
        </is>
      </c>
    </row>
    <row r="23600" spans="1:1">
      <c r="A23600" t="inlineStr">
        <is>
          <t>Hibunawon</t>
        </is>
      </c>
    </row>
    <row r="23601" spans="1:1">
      <c r="A23601" t="inlineStr">
        <is>
          <t>Hugpa</t>
        </is>
      </c>
    </row>
    <row r="23602" spans="1:1">
      <c r="A23602" t="inlineStr">
        <is>
          <t>Ipil</t>
        </is>
      </c>
    </row>
    <row r="23603" spans="1:1">
      <c r="A23603" t="inlineStr">
        <is>
          <t>Juaton</t>
        </is>
      </c>
    </row>
    <row r="23604" spans="1:1">
      <c r="A23604" t="inlineStr">
        <is>
          <t>Kadaohan</t>
        </is>
      </c>
    </row>
    <row r="23605" spans="1:1">
      <c r="A23605" t="inlineStr">
        <is>
          <t>Labrador</t>
        </is>
      </c>
    </row>
    <row r="23606" spans="1:1">
      <c r="A23606" t="inlineStr">
        <is>
          <t>Lao</t>
        </is>
      </c>
    </row>
    <row r="23607" spans="1:1">
      <c r="A23607" t="inlineStr">
        <is>
          <t>Leondoni</t>
        </is>
      </c>
    </row>
    <row r="23608" spans="1:1">
      <c r="A23608" t="inlineStr">
        <is>
          <t>Libertad</t>
        </is>
      </c>
    </row>
    <row r="23609" spans="1:1">
      <c r="A23609" t="inlineStr">
        <is>
          <t>Liberty</t>
        </is>
      </c>
    </row>
    <row r="23610" spans="1:1">
      <c r="A23610" t="inlineStr">
        <is>
          <t>Licuma</t>
        </is>
      </c>
    </row>
    <row r="23611" spans="1:1">
      <c r="A23611" t="inlineStr">
        <is>
          <t>Liloan</t>
        </is>
      </c>
    </row>
    <row r="23612" spans="1:1">
      <c r="A23612" t="inlineStr">
        <is>
          <t>Linao</t>
        </is>
      </c>
    </row>
    <row r="23613" spans="1:1">
      <c r="A23613" t="inlineStr">
        <is>
          <t>Luna</t>
        </is>
      </c>
    </row>
    <row r="23614" spans="1:1">
      <c r="A23614" t="inlineStr">
        <is>
          <t>Mabato</t>
        </is>
      </c>
    </row>
    <row r="23615" spans="1:1">
      <c r="A23615" t="inlineStr">
        <is>
          <t>Mabini</t>
        </is>
      </c>
    </row>
    <row r="23616" spans="1:1">
      <c r="A23616" t="inlineStr">
        <is>
          <t>Macabug</t>
        </is>
      </c>
    </row>
    <row r="23617" spans="1:1">
      <c r="A23617" t="inlineStr">
        <is>
          <t>Magaswi</t>
        </is>
      </c>
    </row>
    <row r="23618" spans="1:1">
      <c r="A23618" t="inlineStr">
        <is>
          <t>Mahayag</t>
        </is>
      </c>
    </row>
    <row r="23619" spans="1:1">
      <c r="A23619" t="inlineStr">
        <is>
          <t>Mahayahay</t>
        </is>
      </c>
    </row>
    <row r="23620" spans="1:1">
      <c r="A23620" t="inlineStr">
        <is>
          <t>Manlilinao</t>
        </is>
      </c>
    </row>
    <row r="23621" spans="1:1">
      <c r="A23621" t="inlineStr">
        <is>
          <t>Margen</t>
        </is>
      </c>
    </row>
    <row r="23622" spans="1:1">
      <c r="A23622" t="inlineStr">
        <is>
          <t>Mas-in</t>
        </is>
      </c>
    </row>
    <row r="23623" spans="1:1">
      <c r="A23623" t="inlineStr">
        <is>
          <t>Matica-a</t>
        </is>
      </c>
    </row>
    <row r="23624" spans="1:1">
      <c r="A23624" t="inlineStr">
        <is>
          <t>Milagro</t>
        </is>
      </c>
    </row>
    <row r="23625" spans="1:1">
      <c r="A23625" t="inlineStr">
        <is>
          <t>Monterico</t>
        </is>
      </c>
    </row>
    <row r="23626" spans="1:1">
      <c r="A23626" t="inlineStr">
        <is>
          <t>Nasunogan</t>
        </is>
      </c>
    </row>
    <row r="23627" spans="1:1">
      <c r="A23627" t="inlineStr">
        <is>
          <t>Naungan</t>
        </is>
      </c>
    </row>
    <row r="23628" spans="1:1">
      <c r="A23628" t="inlineStr">
        <is>
          <t>Nueva Sociedad</t>
        </is>
      </c>
    </row>
    <row r="23629" spans="1:1">
      <c r="A23629" t="inlineStr">
        <is>
          <t>Nueva Vista</t>
        </is>
      </c>
    </row>
    <row r="23630" spans="1:1">
      <c r="A23630" t="inlineStr">
        <is>
          <t>Patag</t>
        </is>
      </c>
    </row>
    <row r="23631" spans="1:1">
      <c r="A23631" t="inlineStr">
        <is>
          <t>Punta</t>
        </is>
      </c>
    </row>
    <row r="23632" spans="1:1">
      <c r="A23632" t="inlineStr">
        <is>
          <t>Quezon, Jr.</t>
        </is>
      </c>
    </row>
    <row r="23633" spans="1:1">
      <c r="A23633" t="inlineStr">
        <is>
          <t>Rufina M. Tan</t>
        </is>
      </c>
    </row>
    <row r="23634" spans="1:1">
      <c r="A23634" t="inlineStr">
        <is>
          <t>Sabang Bao</t>
        </is>
      </c>
    </row>
    <row r="23635" spans="1:1">
      <c r="A23635" t="inlineStr">
        <is>
          <t>Salvacion</t>
        </is>
      </c>
    </row>
    <row r="23636" spans="1:1">
      <c r="A23636" t="inlineStr">
        <is>
          <t>San Antonio</t>
        </is>
      </c>
    </row>
    <row r="23637" spans="1:1">
      <c r="A23637" t="inlineStr">
        <is>
          <t>San Isidro</t>
        </is>
      </c>
    </row>
    <row r="23638" spans="1:1">
      <c r="A23638" t="inlineStr">
        <is>
          <t>San Jose</t>
        </is>
      </c>
    </row>
    <row r="23639" spans="1:1">
      <c r="A23639" t="inlineStr">
        <is>
          <t>San Juan</t>
        </is>
      </c>
    </row>
    <row r="23640" spans="1:1">
      <c r="A23640" t="inlineStr">
        <is>
          <t>San Pablo</t>
        </is>
      </c>
    </row>
    <row r="23641" spans="1:1">
      <c r="A23641" t="inlineStr">
        <is>
          <t>San Vicente</t>
        </is>
      </c>
    </row>
    <row r="23642" spans="1:1">
      <c r="A23642" t="inlineStr">
        <is>
          <t>Santo Niño</t>
        </is>
      </c>
    </row>
    <row r="23643" spans="1:1">
      <c r="A23643" t="inlineStr">
        <is>
          <t>Sumangga</t>
        </is>
      </c>
    </row>
    <row r="23644" spans="1:1">
      <c r="A23644" t="inlineStr">
        <is>
          <t>Tambulilid</t>
        </is>
      </c>
    </row>
    <row r="23645" spans="1:1">
      <c r="A23645" t="inlineStr">
        <is>
          <t>Tongonan</t>
        </is>
      </c>
    </row>
    <row r="23646" spans="1:1">
      <c r="A23646" t="inlineStr">
        <is>
          <t>Valencia</t>
        </is>
      </c>
    </row>
    <row r="23647" spans="1:1">
      <c r="A23647" t="inlineStr">
        <is>
          <t>Anahaway</t>
        </is>
      </c>
    </row>
    <row r="23648" spans="1:1">
      <c r="A23648" t="inlineStr">
        <is>
          <t>Arado</t>
        </is>
      </c>
    </row>
    <row r="23649" spans="1:1">
      <c r="A23649" t="inlineStr">
        <is>
          <t>Baras</t>
        </is>
      </c>
    </row>
    <row r="23650" spans="1:1">
      <c r="A23650" t="inlineStr">
        <is>
          <t>Barayong</t>
        </is>
      </c>
    </row>
    <row r="23651" spans="1:1">
      <c r="A23651" t="inlineStr">
        <is>
          <t>Buri</t>
        </is>
      </c>
    </row>
    <row r="23652" spans="1:1">
      <c r="A23652" t="inlineStr">
        <is>
          <t>Cabarasan Daku</t>
        </is>
      </c>
    </row>
    <row r="23653" spans="1:1">
      <c r="A23653" t="inlineStr">
        <is>
          <t>Cabarasan Guti</t>
        </is>
      </c>
    </row>
    <row r="23654" spans="1:1">
      <c r="A23654" t="inlineStr">
        <is>
          <t>Campetik</t>
        </is>
      </c>
    </row>
    <row r="23655" spans="1:1">
      <c r="A23655" t="inlineStr">
        <is>
          <t>Candahug</t>
        </is>
      </c>
    </row>
    <row r="23656" spans="1:1">
      <c r="A23656" t="inlineStr">
        <is>
          <t>Cangumbang</t>
        </is>
      </c>
    </row>
    <row r="23657" spans="1:1">
      <c r="A23657" t="inlineStr">
        <is>
          <t>Canhidoc</t>
        </is>
      </c>
    </row>
    <row r="23658" spans="1:1">
      <c r="A23658" t="inlineStr">
        <is>
          <t>Capirawan</t>
        </is>
      </c>
    </row>
    <row r="23659" spans="1:1">
      <c r="A23659" t="inlineStr">
        <is>
          <t>Castilla</t>
        </is>
      </c>
    </row>
    <row r="23660" spans="1:1">
      <c r="A23660" t="inlineStr">
        <is>
          <t>Cavite East</t>
        </is>
      </c>
    </row>
    <row r="23661" spans="1:1">
      <c r="A23661" t="inlineStr">
        <is>
          <t>Cavite West</t>
        </is>
      </c>
    </row>
    <row r="23662" spans="1:1">
      <c r="A23662" t="inlineStr">
        <is>
          <t>Cogon</t>
        </is>
      </c>
    </row>
    <row r="23663" spans="1:1">
      <c r="A23663" t="inlineStr">
        <is>
          <t>Gacao</t>
        </is>
      </c>
    </row>
    <row r="23664" spans="1:1">
      <c r="A23664" t="inlineStr">
        <is>
          <t>Guindapunan</t>
        </is>
      </c>
    </row>
    <row r="23665" spans="1:1">
      <c r="A23665" t="inlineStr">
        <is>
          <t>Libertad</t>
        </is>
      </c>
    </row>
    <row r="23666" spans="1:1">
      <c r="A23666" t="inlineStr">
        <is>
          <t>Luntad</t>
        </is>
      </c>
    </row>
    <row r="23667" spans="1:1">
      <c r="A23667" t="inlineStr">
        <is>
          <t>Naga-naga</t>
        </is>
      </c>
    </row>
    <row r="23668" spans="1:1">
      <c r="A23668" t="inlineStr">
        <is>
          <t>Pawing</t>
        </is>
      </c>
    </row>
    <row r="23669" spans="1:1">
      <c r="A23669" t="inlineStr">
        <is>
          <t>Salvacion</t>
        </is>
      </c>
    </row>
    <row r="23670" spans="1:1">
      <c r="A23670" t="inlineStr">
        <is>
          <t>San Agustin</t>
        </is>
      </c>
    </row>
    <row r="23671" spans="1:1">
      <c r="A23671" t="inlineStr">
        <is>
          <t>San Antonio</t>
        </is>
      </c>
    </row>
    <row r="23672" spans="1:1">
      <c r="A23672" t="inlineStr">
        <is>
          <t>San Fernando</t>
        </is>
      </c>
    </row>
    <row r="23673" spans="1:1">
      <c r="A23673" t="inlineStr">
        <is>
          <t>San Isidro</t>
        </is>
      </c>
    </row>
    <row r="23674" spans="1:1">
      <c r="A23674" t="inlineStr">
        <is>
          <t>San Joaquin</t>
        </is>
      </c>
    </row>
    <row r="23675" spans="1:1">
      <c r="A23675" t="inlineStr">
        <is>
          <t>San Jose</t>
        </is>
      </c>
    </row>
    <row r="23676" spans="1:1">
      <c r="A23676" t="inlineStr">
        <is>
          <t>San Miguel</t>
        </is>
      </c>
    </row>
    <row r="23677" spans="1:1">
      <c r="A23677" t="inlineStr">
        <is>
          <t>Santa Cruz</t>
        </is>
      </c>
    </row>
    <row r="23678" spans="1:1">
      <c r="A23678" t="inlineStr">
        <is>
          <t>Tacuranga</t>
        </is>
      </c>
    </row>
    <row r="23679" spans="1:1">
      <c r="A23679" t="inlineStr">
        <is>
          <t>Teraza</t>
        </is>
      </c>
    </row>
    <row r="23680" spans="1:1">
      <c r="A23680" t="inlineStr">
        <is>
          <t>Baguinbin</t>
        </is>
      </c>
    </row>
    <row r="23681" spans="1:1">
      <c r="A23681" t="inlineStr">
        <is>
          <t>Belen</t>
        </is>
      </c>
    </row>
    <row r="23682" spans="1:1">
      <c r="A23682" t="inlineStr">
        <is>
          <t>Bitaog Pob.</t>
        </is>
      </c>
    </row>
    <row r="23683" spans="1:1">
      <c r="A23683" t="inlineStr">
        <is>
          <t>Buenavista</t>
        </is>
      </c>
    </row>
    <row r="23684" spans="1:1">
      <c r="A23684" t="inlineStr">
        <is>
          <t>Caduhaan</t>
        </is>
      </c>
    </row>
    <row r="23685" spans="1:1">
      <c r="A23685" t="inlineStr">
        <is>
          <t>Cambakbak</t>
        </is>
      </c>
    </row>
    <row r="23686" spans="1:1">
      <c r="A23686" t="inlineStr">
        <is>
          <t>Cambinoy</t>
        </is>
      </c>
    </row>
    <row r="23687" spans="1:1">
      <c r="A23687" t="inlineStr">
        <is>
          <t>Cangcosme</t>
        </is>
      </c>
    </row>
    <row r="23688" spans="1:1">
      <c r="A23688" t="inlineStr">
        <is>
          <t>Cangmuya</t>
        </is>
      </c>
    </row>
    <row r="23689" spans="1:1">
      <c r="A23689" t="inlineStr">
        <is>
          <t>Canipaan</t>
        </is>
      </c>
    </row>
    <row r="23690" spans="1:1">
      <c r="A23690" t="inlineStr">
        <is>
          <t>Cantandoy</t>
        </is>
      </c>
    </row>
    <row r="23691" spans="1:1">
      <c r="A23691" t="inlineStr">
        <is>
          <t>Cantuhaon</t>
        </is>
      </c>
    </row>
    <row r="23692" spans="1:1">
      <c r="A23692" t="inlineStr">
        <is>
          <t>Catigahan</t>
        </is>
      </c>
    </row>
    <row r="23693" spans="1:1">
      <c r="A23693" t="inlineStr">
        <is>
          <t>Central 1</t>
        </is>
      </c>
    </row>
    <row r="23694" spans="1:1">
      <c r="A23694" t="inlineStr">
        <is>
          <t>Central 2</t>
        </is>
      </c>
    </row>
    <row r="23695" spans="1:1">
      <c r="A23695" t="inlineStr">
        <is>
          <t>Cruz</t>
        </is>
      </c>
    </row>
    <row r="23696" spans="1:1">
      <c r="A23696" t="inlineStr">
        <is>
          <t>Duljugan</t>
        </is>
      </c>
    </row>
    <row r="23697" spans="1:1">
      <c r="A23697" t="inlineStr">
        <is>
          <t>Guiwan 1</t>
        </is>
      </c>
    </row>
    <row r="23698" spans="1:1">
      <c r="A23698" t="inlineStr">
        <is>
          <t>Guiwan 2</t>
        </is>
      </c>
    </row>
    <row r="23699" spans="1:1">
      <c r="A23699" t="inlineStr">
        <is>
          <t>Himarco</t>
        </is>
      </c>
    </row>
    <row r="23700" spans="1:1">
      <c r="A23700" t="inlineStr">
        <is>
          <t>Hinablayan Pob.</t>
        </is>
      </c>
    </row>
    <row r="23701" spans="1:1">
      <c r="A23701" t="inlineStr">
        <is>
          <t>Hinagbuan</t>
        </is>
      </c>
    </row>
    <row r="23702" spans="1:1">
      <c r="A23702" t="inlineStr">
        <is>
          <t>Lat-osan</t>
        </is>
      </c>
    </row>
    <row r="23703" spans="1:1">
      <c r="A23703" t="inlineStr">
        <is>
          <t>Liberty</t>
        </is>
      </c>
    </row>
    <row r="23704" spans="1:1">
      <c r="A23704" t="inlineStr">
        <is>
          <t>Lomonon</t>
        </is>
      </c>
    </row>
    <row r="23705" spans="1:1">
      <c r="A23705" t="inlineStr">
        <is>
          <t>Mabini</t>
        </is>
      </c>
    </row>
    <row r="23706" spans="1:1">
      <c r="A23706" t="inlineStr">
        <is>
          <t>Magsaysay</t>
        </is>
      </c>
    </row>
    <row r="23707" spans="1:1">
      <c r="A23707" t="inlineStr">
        <is>
          <t>Masaba</t>
        </is>
      </c>
    </row>
    <row r="23708" spans="1:1">
      <c r="A23708" t="inlineStr">
        <is>
          <t>Mazawalo Pob.</t>
        </is>
      </c>
    </row>
    <row r="23709" spans="1:1">
      <c r="A23709" t="inlineStr">
        <is>
          <t>Parilla</t>
        </is>
      </c>
    </row>
    <row r="23710" spans="1:1">
      <c r="A23710" t="inlineStr">
        <is>
          <t>Pinagdait Pob.</t>
        </is>
      </c>
    </row>
    <row r="23711" spans="1:1">
      <c r="A23711" t="inlineStr">
        <is>
          <t>Pinaghi-usa Pob.</t>
        </is>
      </c>
    </row>
    <row r="23712" spans="1:1">
      <c r="A23712" t="inlineStr">
        <is>
          <t>Plaridel</t>
        </is>
      </c>
    </row>
    <row r="23713" spans="1:1">
      <c r="A23713" t="inlineStr">
        <is>
          <t>Rizal</t>
        </is>
      </c>
    </row>
    <row r="23714" spans="1:1">
      <c r="A23714" t="inlineStr">
        <is>
          <t>Sabang</t>
        </is>
      </c>
    </row>
    <row r="23715" spans="1:1">
      <c r="A23715" t="inlineStr">
        <is>
          <t>San Guillermo</t>
        </is>
      </c>
    </row>
    <row r="23716" spans="1:1">
      <c r="A23716" t="inlineStr">
        <is>
          <t>San Isidro</t>
        </is>
      </c>
    </row>
    <row r="23717" spans="1:1">
      <c r="A23717" t="inlineStr">
        <is>
          <t>San Joaquin</t>
        </is>
      </c>
    </row>
    <row r="23718" spans="1:1">
      <c r="A23718" t="inlineStr">
        <is>
          <t>San Juan</t>
        </is>
      </c>
    </row>
    <row r="23719" spans="1:1">
      <c r="A23719" t="inlineStr">
        <is>
          <t>San Miguel</t>
        </is>
      </c>
    </row>
    <row r="23720" spans="1:1">
      <c r="A23720" t="inlineStr">
        <is>
          <t>San Pablo</t>
        </is>
      </c>
    </row>
    <row r="23721" spans="1:1">
      <c r="A23721" t="inlineStr">
        <is>
          <t>San Pedro</t>
        </is>
      </c>
    </row>
    <row r="23722" spans="1:1">
      <c r="A23722" t="inlineStr">
        <is>
          <t>San Roque</t>
        </is>
      </c>
    </row>
    <row r="23723" spans="1:1">
      <c r="A23723" t="inlineStr">
        <is>
          <t>Santiago</t>
        </is>
      </c>
    </row>
    <row r="23724" spans="1:1">
      <c r="A23724" t="inlineStr">
        <is>
          <t>Taberna</t>
        </is>
      </c>
    </row>
    <row r="23725" spans="1:1">
      <c r="A23725" t="inlineStr">
        <is>
          <t>Tabunok</t>
        </is>
      </c>
    </row>
    <row r="23726" spans="1:1">
      <c r="A23726" t="inlineStr">
        <is>
          <t>Tambis</t>
        </is>
      </c>
    </row>
    <row r="23727" spans="1:1">
      <c r="A23727" t="inlineStr">
        <is>
          <t>Tinabilan</t>
        </is>
      </c>
    </row>
    <row r="23728" spans="1:1">
      <c r="A23728" t="inlineStr">
        <is>
          <t>Tinago</t>
        </is>
      </c>
    </row>
    <row r="23729" spans="1:1">
      <c r="A23729" t="inlineStr">
        <is>
          <t>Tinubdan</t>
        </is>
      </c>
    </row>
    <row r="23730" spans="1:1">
      <c r="A23730" t="inlineStr">
        <is>
          <t>Arabunog</t>
        </is>
      </c>
    </row>
    <row r="23731" spans="1:1">
      <c r="A23731" t="inlineStr">
        <is>
          <t>Aringit</t>
        </is>
      </c>
    </row>
    <row r="23732" spans="1:1">
      <c r="A23732" t="inlineStr">
        <is>
          <t>Bahay</t>
        </is>
      </c>
    </row>
    <row r="23733" spans="1:1">
      <c r="A23733" t="inlineStr">
        <is>
          <t>Cabaohan</t>
        </is>
      </c>
    </row>
    <row r="23734" spans="1:1">
      <c r="A23734" t="inlineStr">
        <is>
          <t>Calsadahay</t>
        </is>
      </c>
    </row>
    <row r="23735" spans="1:1">
      <c r="A23735" t="inlineStr">
        <is>
          <t>Cancaraja</t>
        </is>
      </c>
    </row>
    <row r="23736" spans="1:1">
      <c r="A23736" t="inlineStr">
        <is>
          <t>Caninoan</t>
        </is>
      </c>
    </row>
    <row r="23737" spans="1:1">
      <c r="A23737" t="inlineStr">
        <is>
          <t>Capilla</t>
        </is>
      </c>
    </row>
    <row r="23738" spans="1:1">
      <c r="A23738" t="inlineStr">
        <is>
          <t>Colawen</t>
        </is>
      </c>
    </row>
    <row r="23739" spans="1:1">
      <c r="A23739" t="inlineStr">
        <is>
          <t>District 1</t>
        </is>
      </c>
    </row>
    <row r="23740" spans="1:1">
      <c r="A23740" t="inlineStr">
        <is>
          <t>District 2</t>
        </is>
      </c>
    </row>
    <row r="23741" spans="1:1">
      <c r="A23741" t="inlineStr">
        <is>
          <t>District 3</t>
        </is>
      </c>
    </row>
    <row r="23742" spans="1:1">
      <c r="A23742" t="inlineStr">
        <is>
          <t>District 4</t>
        </is>
      </c>
    </row>
    <row r="23743" spans="1:1">
      <c r="A23743" t="inlineStr">
        <is>
          <t>Dumarag</t>
        </is>
      </c>
    </row>
    <row r="23744" spans="1:1">
      <c r="A23744" t="inlineStr">
        <is>
          <t>Guindapunan</t>
        </is>
      </c>
    </row>
    <row r="23745" spans="1:1">
      <c r="A23745" t="inlineStr">
        <is>
          <t>Halaba</t>
        </is>
      </c>
    </row>
    <row r="23746" spans="1:1">
      <c r="A23746" t="inlineStr">
        <is>
          <t>Jones</t>
        </is>
      </c>
    </row>
    <row r="23747" spans="1:1">
      <c r="A23747" t="inlineStr">
        <is>
          <t>Lanawan</t>
        </is>
      </c>
    </row>
    <row r="23748" spans="1:1">
      <c r="A23748" t="inlineStr">
        <is>
          <t>Lima</t>
        </is>
      </c>
    </row>
    <row r="23749" spans="1:1">
      <c r="A23749" t="inlineStr">
        <is>
          <t>Lourdes</t>
        </is>
      </c>
    </row>
    <row r="23750" spans="1:1">
      <c r="A23750" t="inlineStr">
        <is>
          <t>Macalpiay</t>
        </is>
      </c>
    </row>
    <row r="23751" spans="1:1">
      <c r="A23751" t="inlineStr">
        <is>
          <t>Malitbogay</t>
        </is>
      </c>
    </row>
    <row r="23752" spans="1:1">
      <c r="A23752" t="inlineStr">
        <is>
          <t>Manaybanay</t>
        </is>
      </c>
    </row>
    <row r="23753" spans="1:1">
      <c r="A23753" t="inlineStr">
        <is>
          <t>Maricum</t>
        </is>
      </c>
    </row>
    <row r="23754" spans="1:1">
      <c r="A23754" t="inlineStr">
        <is>
          <t>Patong</t>
        </is>
      </c>
    </row>
    <row r="23755" spans="1:1">
      <c r="A23755" t="inlineStr">
        <is>
          <t>Sapsap</t>
        </is>
      </c>
    </row>
    <row r="23756" spans="1:1">
      <c r="A23756" t="inlineStr">
        <is>
          <t>Socsocon</t>
        </is>
      </c>
    </row>
    <row r="23757" spans="1:1">
      <c r="A23757" t="inlineStr">
        <is>
          <t>Tingib</t>
        </is>
      </c>
    </row>
    <row r="23758" spans="1:1">
      <c r="A23758" t="inlineStr">
        <is>
          <t>Yapad</t>
        </is>
      </c>
    </row>
    <row r="23759" spans="1:1">
      <c r="A23759" t="inlineStr">
        <is>
          <t>Banat-e</t>
        </is>
      </c>
    </row>
    <row r="23760" spans="1:1">
      <c r="A23760" t="inlineStr">
        <is>
          <t>Basud</t>
        </is>
      </c>
    </row>
    <row r="23761" spans="1:1">
      <c r="A23761" t="inlineStr">
        <is>
          <t>Bawod</t>
        </is>
      </c>
    </row>
    <row r="23762" spans="1:1">
      <c r="A23762" t="inlineStr">
        <is>
          <t>Biasong</t>
        </is>
      </c>
    </row>
    <row r="23763" spans="1:1">
      <c r="A23763" t="inlineStr">
        <is>
          <t>Bunacan</t>
        </is>
      </c>
    </row>
    <row r="23764" spans="1:1">
      <c r="A23764" t="inlineStr">
        <is>
          <t>Busay</t>
        </is>
      </c>
    </row>
    <row r="23765" spans="1:1">
      <c r="A23765" t="inlineStr">
        <is>
          <t>Cabungaan</t>
        </is>
      </c>
    </row>
    <row r="23766" spans="1:1">
      <c r="A23766" t="inlineStr">
        <is>
          <t>Capiñahan</t>
        </is>
      </c>
    </row>
    <row r="23767" spans="1:1">
      <c r="A23767" t="inlineStr">
        <is>
          <t>Crossing</t>
        </is>
      </c>
    </row>
    <row r="23768" spans="1:1">
      <c r="A23768" t="inlineStr">
        <is>
          <t>Daja-daku</t>
        </is>
      </c>
    </row>
    <row r="23769" spans="1:1">
      <c r="A23769" t="inlineStr">
        <is>
          <t>Daja-diot</t>
        </is>
      </c>
    </row>
    <row r="23770" spans="1:1">
      <c r="A23770" t="inlineStr">
        <is>
          <t>Hacienda Maria</t>
        </is>
      </c>
    </row>
    <row r="23771" spans="1:1">
      <c r="A23771" t="inlineStr">
        <is>
          <t>Linao</t>
        </is>
      </c>
    </row>
    <row r="23772" spans="1:1">
      <c r="A23772" t="inlineStr">
        <is>
          <t>Matungao</t>
        </is>
      </c>
    </row>
    <row r="23773" spans="1:1">
      <c r="A23773" t="inlineStr">
        <is>
          <t>Paril</t>
        </is>
      </c>
    </row>
    <row r="23774" spans="1:1">
      <c r="A23774" t="inlineStr">
        <is>
          <t>San Jose</t>
        </is>
      </c>
    </row>
    <row r="23775" spans="1:1">
      <c r="A23775" t="inlineStr">
        <is>
          <t>San Miguel</t>
        </is>
      </c>
    </row>
    <row r="23776" spans="1:1">
      <c r="A23776" t="inlineStr">
        <is>
          <t>Taglawigan</t>
        </is>
      </c>
    </row>
    <row r="23777" spans="1:1">
      <c r="A23777" t="inlineStr">
        <is>
          <t>Tinago</t>
        </is>
      </c>
    </row>
    <row r="23778" spans="1:1">
      <c r="A23778" t="inlineStr">
        <is>
          <t>Bagacay</t>
        </is>
      </c>
    </row>
    <row r="23779" spans="1:1">
      <c r="A23779" t="inlineStr">
        <is>
          <t>Bahay</t>
        </is>
      </c>
    </row>
    <row r="23780" spans="1:1">
      <c r="A23780" t="inlineStr">
        <is>
          <t>Bairan</t>
        </is>
      </c>
    </row>
    <row r="23781" spans="1:1">
      <c r="A23781" t="inlineStr">
        <is>
          <t>Cabatianuhan</t>
        </is>
      </c>
    </row>
    <row r="23782" spans="1:1">
      <c r="A23782" t="inlineStr">
        <is>
          <t>Canap</t>
        </is>
      </c>
    </row>
    <row r="23783" spans="1:1">
      <c r="A23783" t="inlineStr">
        <is>
          <t>Capilihan</t>
        </is>
      </c>
    </row>
    <row r="23784" spans="1:1">
      <c r="A23784" t="inlineStr">
        <is>
          <t>Caraycaray</t>
        </is>
      </c>
    </row>
    <row r="23785" spans="1:1">
      <c r="A23785" t="inlineStr">
        <is>
          <t>Cayare</t>
        </is>
      </c>
    </row>
    <row r="23786" spans="1:1">
      <c r="A23786" t="inlineStr">
        <is>
          <t>Guinciaman</t>
        </is>
      </c>
    </row>
    <row r="23787" spans="1:1">
      <c r="A23787" t="inlineStr">
        <is>
          <t>Impo</t>
        </is>
      </c>
    </row>
    <row r="23788" spans="1:1">
      <c r="A23788" t="inlineStr">
        <is>
          <t>Kinalumsan</t>
        </is>
      </c>
    </row>
    <row r="23789" spans="1:1">
      <c r="A23789" t="inlineStr">
        <is>
          <t>Libtong</t>
        </is>
      </c>
    </row>
    <row r="23790" spans="1:1">
      <c r="A23790" t="inlineStr">
        <is>
          <t>Lukay</t>
        </is>
      </c>
    </row>
    <row r="23791" spans="1:1">
      <c r="A23791" t="inlineStr">
        <is>
          <t>Malaguinabot</t>
        </is>
      </c>
    </row>
    <row r="23792" spans="1:1">
      <c r="A23792" t="inlineStr">
        <is>
          <t>Malpag</t>
        </is>
      </c>
    </row>
    <row r="23793" spans="1:1">
      <c r="A23793" t="inlineStr">
        <is>
          <t>Mawodpawod</t>
        </is>
      </c>
    </row>
    <row r="23794" spans="1:1">
      <c r="A23794" t="inlineStr">
        <is>
          <t>Patong</t>
        </is>
      </c>
    </row>
    <row r="23795" spans="1:1">
      <c r="A23795" t="inlineStr">
        <is>
          <t>Pinarigusan</t>
        </is>
      </c>
    </row>
    <row r="23796" spans="1:1">
      <c r="A23796" t="inlineStr">
        <is>
          <t>San Andres</t>
        </is>
      </c>
    </row>
    <row r="23797" spans="1:1">
      <c r="A23797" t="inlineStr">
        <is>
          <t>Santa Cruz</t>
        </is>
      </c>
    </row>
    <row r="23798" spans="1:1">
      <c r="A23798" t="inlineStr">
        <is>
          <t>Santol</t>
        </is>
      </c>
    </row>
    <row r="23799" spans="1:1">
      <c r="A23799" t="inlineStr">
        <is>
          <t>Baculanad</t>
        </is>
      </c>
    </row>
    <row r="23800" spans="1:1">
      <c r="A23800" t="inlineStr">
        <is>
          <t>Badiangay</t>
        </is>
      </c>
    </row>
    <row r="23801" spans="1:1">
      <c r="A23801" t="inlineStr">
        <is>
          <t>Bulod</t>
        </is>
      </c>
    </row>
    <row r="23802" spans="1:1">
      <c r="A23802" t="inlineStr">
        <is>
          <t>Catoogan</t>
        </is>
      </c>
    </row>
    <row r="23803" spans="1:1">
      <c r="A23803" t="inlineStr">
        <is>
          <t>Cutay</t>
        </is>
      </c>
    </row>
    <row r="23804" spans="1:1">
      <c r="A23804" t="inlineStr">
        <is>
          <t>Gapas</t>
        </is>
      </c>
    </row>
    <row r="23805" spans="1:1">
      <c r="A23805" t="inlineStr">
        <is>
          <t>Katipunan</t>
        </is>
      </c>
    </row>
    <row r="23806" spans="1:1">
      <c r="A23806" t="inlineStr">
        <is>
          <t>Milagrosa</t>
        </is>
      </c>
    </row>
    <row r="23807" spans="1:1">
      <c r="A23807" t="inlineStr">
        <is>
          <t>Pilit</t>
        </is>
      </c>
    </row>
    <row r="23808" spans="1:1">
      <c r="A23808" t="inlineStr">
        <is>
          <t>Pitogo</t>
        </is>
      </c>
    </row>
    <row r="23809" spans="1:1">
      <c r="A23809" t="inlineStr">
        <is>
          <t>San Isidro</t>
        </is>
      </c>
    </row>
    <row r="23810" spans="1:1">
      <c r="A23810" t="inlineStr">
        <is>
          <t>San Juan</t>
        </is>
      </c>
    </row>
    <row r="23811" spans="1:1">
      <c r="A23811" t="inlineStr">
        <is>
          <t>San Miguelay</t>
        </is>
      </c>
    </row>
    <row r="23812" spans="1:1">
      <c r="A23812" t="inlineStr">
        <is>
          <t>San Roque</t>
        </is>
      </c>
    </row>
    <row r="23813" spans="1:1">
      <c r="A23813" t="inlineStr">
        <is>
          <t>Tibak</t>
        </is>
      </c>
    </row>
    <row r="23814" spans="1:1">
      <c r="A23814" t="inlineStr">
        <is>
          <t>Victoria</t>
        </is>
      </c>
    </row>
    <row r="23815" spans="1:1">
      <c r="A23815" t="inlineStr">
        <is>
          <t>Zone 1</t>
        </is>
      </c>
    </row>
    <row r="23816" spans="1:1">
      <c r="A23816" t="inlineStr">
        <is>
          <t>Zone 2</t>
        </is>
      </c>
    </row>
    <row r="23817" spans="1:1">
      <c r="A23817" t="inlineStr">
        <is>
          <t>Zone 3</t>
        </is>
      </c>
    </row>
    <row r="23818" spans="1:1">
      <c r="A23818" t="inlineStr">
        <is>
          <t>Zone 4 Pob.</t>
        </is>
      </c>
    </row>
    <row r="23819" spans="1:1">
      <c r="A23819" t="inlineStr">
        <is>
          <t>Butason I</t>
        </is>
      </c>
    </row>
    <row r="23820" spans="1:1">
      <c r="A23820" t="inlineStr">
        <is>
          <t>Butason II</t>
        </is>
      </c>
    </row>
    <row r="23821" spans="1:1">
      <c r="A23821" t="inlineStr">
        <is>
          <t>Campokpok</t>
        </is>
      </c>
    </row>
    <row r="23822" spans="1:1">
      <c r="A23822" t="inlineStr">
        <is>
          <t>Catmon</t>
        </is>
      </c>
    </row>
    <row r="23823" spans="1:1">
      <c r="A23823" t="inlineStr">
        <is>
          <t>Gibacungan</t>
        </is>
      </c>
    </row>
    <row r="23824" spans="1:1">
      <c r="A23824" t="inlineStr">
        <is>
          <t>Gimarco</t>
        </is>
      </c>
    </row>
    <row r="23825" spans="1:1">
      <c r="A23825" t="inlineStr">
        <is>
          <t>Inangatan</t>
        </is>
      </c>
    </row>
    <row r="23826" spans="1:1">
      <c r="A23826" t="inlineStr">
        <is>
          <t>Manlawaan</t>
        </is>
      </c>
    </row>
    <row r="23827" spans="1:1">
      <c r="A23827" t="inlineStr">
        <is>
          <t>Omaganhan</t>
        </is>
      </c>
    </row>
    <row r="23828" spans="1:1">
      <c r="A23828" t="inlineStr">
        <is>
          <t>Poblacion</t>
        </is>
      </c>
    </row>
    <row r="23829" spans="1:1">
      <c r="A23829" t="inlineStr">
        <is>
          <t>Santa Rosa</t>
        </is>
      </c>
    </row>
    <row r="23830" spans="1:1">
      <c r="A23830" t="inlineStr">
        <is>
          <t>Tabing</t>
        </is>
      </c>
    </row>
    <row r="23831" spans="1:1">
      <c r="A23831" t="inlineStr">
        <is>
          <t>Tugas</t>
        </is>
      </c>
    </row>
    <row r="23832" spans="1:1">
      <c r="A23832" t="inlineStr">
        <is>
          <t>Amandangay</t>
        </is>
      </c>
    </row>
    <row r="23833" spans="1:1">
      <c r="A23833" t="inlineStr">
        <is>
          <t>Aslum</t>
        </is>
      </c>
    </row>
    <row r="23834" spans="1:1">
      <c r="A23834" t="inlineStr">
        <is>
          <t>Balingasag</t>
        </is>
      </c>
    </row>
    <row r="23835" spans="1:1">
      <c r="A23835" t="inlineStr">
        <is>
          <t>Belisong</t>
        </is>
      </c>
    </row>
    <row r="23836" spans="1:1">
      <c r="A23836" t="inlineStr">
        <is>
          <t>Cambucao</t>
        </is>
      </c>
    </row>
    <row r="23837" spans="1:1">
      <c r="A23837" t="inlineStr">
        <is>
          <t>Capahuan</t>
        </is>
      </c>
    </row>
    <row r="23838" spans="1:1">
      <c r="A23838" t="inlineStr">
        <is>
          <t>District I Pob.</t>
        </is>
      </c>
    </row>
    <row r="23839" spans="1:1">
      <c r="A23839" t="inlineStr">
        <is>
          <t>District II Pob.</t>
        </is>
      </c>
    </row>
    <row r="23840" spans="1:1">
      <c r="A23840" t="inlineStr">
        <is>
          <t>District III Pob.</t>
        </is>
      </c>
    </row>
    <row r="23841" spans="1:1">
      <c r="A23841" t="inlineStr">
        <is>
          <t>District IV Pob.</t>
        </is>
      </c>
    </row>
    <row r="23842" spans="1:1">
      <c r="A23842" t="inlineStr">
        <is>
          <t>Guingauan</t>
        </is>
      </c>
    </row>
    <row r="23843" spans="1:1">
      <c r="A23843" t="inlineStr">
        <is>
          <t>Jabong</t>
        </is>
      </c>
    </row>
    <row r="23844" spans="1:1">
      <c r="A23844" t="inlineStr">
        <is>
          <t>Mercaduhay</t>
        </is>
      </c>
    </row>
    <row r="23845" spans="1:1">
      <c r="A23845" t="inlineStr">
        <is>
          <t>Mering</t>
        </is>
      </c>
    </row>
    <row r="23846" spans="1:1">
      <c r="A23846" t="inlineStr">
        <is>
          <t>Mohon</t>
        </is>
      </c>
    </row>
    <row r="23847" spans="1:1">
      <c r="A23847" t="inlineStr">
        <is>
          <t>San Pablo</t>
        </is>
      </c>
    </row>
    <row r="23848" spans="1:1">
      <c r="A23848" t="inlineStr">
        <is>
          <t>Ada</t>
        </is>
      </c>
    </row>
    <row r="23849" spans="1:1">
      <c r="A23849" t="inlineStr">
        <is>
          <t>Amanluran</t>
        </is>
      </c>
    </row>
    <row r="23850" spans="1:1">
      <c r="A23850" t="inlineStr">
        <is>
          <t>Arado</t>
        </is>
      </c>
    </row>
    <row r="23851" spans="1:1">
      <c r="A23851" t="inlineStr">
        <is>
          <t>Atipolo</t>
        </is>
      </c>
    </row>
    <row r="23852" spans="1:1">
      <c r="A23852" t="inlineStr">
        <is>
          <t>Balud</t>
        </is>
      </c>
    </row>
    <row r="23853" spans="1:1">
      <c r="A23853" t="inlineStr">
        <is>
          <t>Bangon</t>
        </is>
      </c>
    </row>
    <row r="23854" spans="1:1">
      <c r="A23854" t="inlineStr">
        <is>
          <t>Bantagan</t>
        </is>
      </c>
    </row>
    <row r="23855" spans="1:1">
      <c r="A23855" t="inlineStr">
        <is>
          <t>Baras</t>
        </is>
      </c>
    </row>
    <row r="23856" spans="1:1">
      <c r="A23856" t="inlineStr">
        <is>
          <t>Binolo</t>
        </is>
      </c>
    </row>
    <row r="23857" spans="1:1">
      <c r="A23857" t="inlineStr">
        <is>
          <t>Binongto-an</t>
        </is>
      </c>
    </row>
    <row r="23858" spans="1:1">
      <c r="A23858" t="inlineStr">
        <is>
          <t>Bislig</t>
        </is>
      </c>
    </row>
    <row r="23859" spans="1:1">
      <c r="A23859" t="inlineStr">
        <is>
          <t>Buntay</t>
        </is>
      </c>
    </row>
    <row r="23860" spans="1:1">
      <c r="A23860" t="inlineStr">
        <is>
          <t>Cabalagnan</t>
        </is>
      </c>
    </row>
    <row r="23861" spans="1:1">
      <c r="A23861" t="inlineStr">
        <is>
          <t>Cabarasan Guti</t>
        </is>
      </c>
    </row>
    <row r="23862" spans="1:1">
      <c r="A23862" t="inlineStr">
        <is>
          <t>Cabonga-an</t>
        </is>
      </c>
    </row>
    <row r="23863" spans="1:1">
      <c r="A23863" t="inlineStr">
        <is>
          <t>Cabuynan</t>
        </is>
      </c>
    </row>
    <row r="23864" spans="1:1">
      <c r="A23864" t="inlineStr">
        <is>
          <t>Cahumayhumayan</t>
        </is>
      </c>
    </row>
    <row r="23865" spans="1:1">
      <c r="A23865" t="inlineStr">
        <is>
          <t>Calogcog</t>
        </is>
      </c>
    </row>
    <row r="23866" spans="1:1">
      <c r="A23866" t="inlineStr">
        <is>
          <t>Calsadahay</t>
        </is>
      </c>
    </row>
    <row r="23867" spans="1:1">
      <c r="A23867" t="inlineStr">
        <is>
          <t>Camire</t>
        </is>
      </c>
    </row>
    <row r="23868" spans="1:1">
      <c r="A23868" t="inlineStr">
        <is>
          <t>Canbalisara</t>
        </is>
      </c>
    </row>
    <row r="23869" spans="1:1">
      <c r="A23869" t="inlineStr">
        <is>
          <t>Canramos</t>
        </is>
      </c>
    </row>
    <row r="23870" spans="1:1">
      <c r="A23870" t="inlineStr">
        <is>
          <t>Catigbian</t>
        </is>
      </c>
    </row>
    <row r="23871" spans="1:1">
      <c r="A23871" t="inlineStr">
        <is>
          <t>Catmon</t>
        </is>
      </c>
    </row>
    <row r="23872" spans="1:1">
      <c r="A23872" t="inlineStr">
        <is>
          <t>Cogon</t>
        </is>
      </c>
    </row>
    <row r="23873" spans="1:1">
      <c r="A23873" t="inlineStr">
        <is>
          <t>Guindag-an</t>
        </is>
      </c>
    </row>
    <row r="23874" spans="1:1">
      <c r="A23874" t="inlineStr">
        <is>
          <t>Guingawan</t>
        </is>
      </c>
    </row>
    <row r="23875" spans="1:1">
      <c r="A23875" t="inlineStr">
        <is>
          <t>Hilagpad</t>
        </is>
      </c>
    </row>
    <row r="23876" spans="1:1">
      <c r="A23876" t="inlineStr">
        <is>
          <t>Kiling</t>
        </is>
      </c>
    </row>
    <row r="23877" spans="1:1">
      <c r="A23877" t="inlineStr">
        <is>
          <t>Lapay</t>
        </is>
      </c>
    </row>
    <row r="23878" spans="1:1">
      <c r="A23878" t="inlineStr">
        <is>
          <t>Licod</t>
        </is>
      </c>
    </row>
    <row r="23879" spans="1:1">
      <c r="A23879" t="inlineStr">
        <is>
          <t>Limbuhan Daku</t>
        </is>
      </c>
    </row>
    <row r="23880" spans="1:1">
      <c r="A23880" t="inlineStr">
        <is>
          <t>Limbuhan Guti</t>
        </is>
      </c>
    </row>
    <row r="23881" spans="1:1">
      <c r="A23881" t="inlineStr">
        <is>
          <t>Linao</t>
        </is>
      </c>
    </row>
    <row r="23882" spans="1:1">
      <c r="A23882" t="inlineStr">
        <is>
          <t>Magay</t>
        </is>
      </c>
    </row>
    <row r="23883" spans="1:1">
      <c r="A23883" t="inlineStr">
        <is>
          <t>Maghulod</t>
        </is>
      </c>
    </row>
    <row r="23884" spans="1:1">
      <c r="A23884" t="inlineStr">
        <is>
          <t>Malaguicay</t>
        </is>
      </c>
    </row>
    <row r="23885" spans="1:1">
      <c r="A23885" t="inlineStr">
        <is>
          <t>Maribi</t>
        </is>
      </c>
    </row>
    <row r="23886" spans="1:1">
      <c r="A23886" t="inlineStr">
        <is>
          <t>Mohon</t>
        </is>
      </c>
    </row>
    <row r="23887" spans="1:1">
      <c r="A23887" t="inlineStr">
        <is>
          <t>Pago</t>
        </is>
      </c>
    </row>
    <row r="23888" spans="1:1">
      <c r="A23888" t="inlineStr">
        <is>
          <t>Pasil</t>
        </is>
      </c>
    </row>
    <row r="23889" spans="1:1">
      <c r="A23889" t="inlineStr">
        <is>
          <t>Pikas</t>
        </is>
      </c>
    </row>
    <row r="23890" spans="1:1">
      <c r="A23890" t="inlineStr">
        <is>
          <t>Sacme</t>
        </is>
      </c>
    </row>
    <row r="23891" spans="1:1">
      <c r="A23891" t="inlineStr">
        <is>
          <t>Salvador</t>
        </is>
      </c>
    </row>
    <row r="23892" spans="1:1">
      <c r="A23892" t="inlineStr">
        <is>
          <t>San Isidro</t>
        </is>
      </c>
    </row>
    <row r="23893" spans="1:1">
      <c r="A23893" t="inlineStr">
        <is>
          <t>San Miguel</t>
        </is>
      </c>
    </row>
    <row r="23894" spans="1:1">
      <c r="A23894" t="inlineStr">
        <is>
          <t>San Roque</t>
        </is>
      </c>
    </row>
    <row r="23895" spans="1:1">
      <c r="A23895" t="inlineStr">
        <is>
          <t>San Victor</t>
        </is>
      </c>
    </row>
    <row r="23896" spans="1:1">
      <c r="A23896" t="inlineStr">
        <is>
          <t>Santa Cruz</t>
        </is>
      </c>
    </row>
    <row r="23897" spans="1:1">
      <c r="A23897" t="inlineStr">
        <is>
          <t>Santa Elena</t>
        </is>
      </c>
    </row>
    <row r="23898" spans="1:1">
      <c r="A23898" t="inlineStr">
        <is>
          <t>Santo Niño Pob.</t>
        </is>
      </c>
    </row>
    <row r="23899" spans="1:1">
      <c r="A23899" t="inlineStr">
        <is>
          <t>Solano</t>
        </is>
      </c>
    </row>
    <row r="23900" spans="1:1">
      <c r="A23900" t="inlineStr">
        <is>
          <t>Talolora</t>
        </is>
      </c>
    </row>
    <row r="23901" spans="1:1">
      <c r="A23901" t="inlineStr">
        <is>
          <t>Tugop</t>
        </is>
      </c>
    </row>
    <row r="23902" spans="1:1">
      <c r="A23902" t="inlineStr">
        <is>
          <t>Burak</t>
        </is>
      </c>
    </row>
    <row r="23903" spans="1:1">
      <c r="A23903" t="inlineStr">
        <is>
          <t>Canmogsay</t>
        </is>
      </c>
    </row>
    <row r="23904" spans="1:1">
      <c r="A23904" t="inlineStr">
        <is>
          <t>Cantariwis</t>
        </is>
      </c>
    </row>
    <row r="23905" spans="1:1">
      <c r="A23905" t="inlineStr">
        <is>
          <t>Capangihan</t>
        </is>
      </c>
    </row>
    <row r="23906" spans="1:1">
      <c r="A23906" t="inlineStr">
        <is>
          <t>Doña Brigida</t>
        </is>
      </c>
    </row>
    <row r="23907" spans="1:1">
      <c r="A23907" t="inlineStr">
        <is>
          <t>Imelda</t>
        </is>
      </c>
    </row>
    <row r="23908" spans="1:1">
      <c r="A23908" t="inlineStr">
        <is>
          <t>Malbog</t>
        </is>
      </c>
    </row>
    <row r="23909" spans="1:1">
      <c r="A23909" t="inlineStr">
        <is>
          <t>Olot</t>
        </is>
      </c>
    </row>
    <row r="23910" spans="1:1">
      <c r="A23910" t="inlineStr">
        <is>
          <t>Opong</t>
        </is>
      </c>
    </row>
    <row r="23911" spans="1:1">
      <c r="A23911" t="inlineStr">
        <is>
          <t>Poblacion</t>
        </is>
      </c>
    </row>
    <row r="23912" spans="1:1">
      <c r="A23912" t="inlineStr">
        <is>
          <t>Quilao</t>
        </is>
      </c>
    </row>
    <row r="23913" spans="1:1">
      <c r="A23913" t="inlineStr">
        <is>
          <t>San Roque</t>
        </is>
      </c>
    </row>
    <row r="23914" spans="1:1">
      <c r="A23914" t="inlineStr">
        <is>
          <t>San Vicente</t>
        </is>
      </c>
    </row>
    <row r="23915" spans="1:1">
      <c r="A23915" t="inlineStr">
        <is>
          <t>Tanghas</t>
        </is>
      </c>
    </row>
    <row r="23916" spans="1:1">
      <c r="A23916" t="inlineStr">
        <is>
          <t>Telegrafo</t>
        </is>
      </c>
    </row>
    <row r="23917" spans="1:1">
      <c r="A23917" t="inlineStr">
        <is>
          <t>Astorga</t>
        </is>
      </c>
    </row>
    <row r="23918" spans="1:1">
      <c r="A23918" t="inlineStr">
        <is>
          <t>Balire</t>
        </is>
      </c>
    </row>
    <row r="23919" spans="1:1">
      <c r="A23919" t="inlineStr">
        <is>
          <t>Banawang</t>
        </is>
      </c>
    </row>
    <row r="23920" spans="1:1">
      <c r="A23920" t="inlineStr">
        <is>
          <t>San Antonio</t>
        </is>
      </c>
    </row>
    <row r="23921" spans="1:1">
      <c r="A23921" t="inlineStr">
        <is>
          <t>San Pedro</t>
        </is>
      </c>
    </row>
    <row r="23922" spans="1:1">
      <c r="A23922" t="inlineStr">
        <is>
          <t>San Roque</t>
        </is>
      </c>
    </row>
    <row r="23923" spans="1:1">
      <c r="A23923" t="inlineStr">
        <is>
          <t>San Vicente</t>
        </is>
      </c>
    </row>
    <row r="23924" spans="1:1">
      <c r="A23924" t="inlineStr">
        <is>
          <t>Santo Niño</t>
        </is>
      </c>
    </row>
    <row r="23925" spans="1:1">
      <c r="A23925" t="inlineStr">
        <is>
          <t>Abijao</t>
        </is>
      </c>
    </row>
    <row r="23926" spans="1:1">
      <c r="A23926" t="inlineStr">
        <is>
          <t>Balite</t>
        </is>
      </c>
    </row>
    <row r="23927" spans="1:1">
      <c r="A23927" t="inlineStr">
        <is>
          <t>Bangcal</t>
        </is>
      </c>
    </row>
    <row r="23928" spans="1:1">
      <c r="A23928" t="inlineStr">
        <is>
          <t>Bugabuga</t>
        </is>
      </c>
    </row>
    <row r="23929" spans="1:1">
      <c r="A23929" t="inlineStr">
        <is>
          <t>Cabunga-an</t>
        </is>
      </c>
    </row>
    <row r="23930" spans="1:1">
      <c r="A23930" t="inlineStr">
        <is>
          <t>Cabungahan</t>
        </is>
      </c>
    </row>
    <row r="23931" spans="1:1">
      <c r="A23931" t="inlineStr">
        <is>
          <t>Cagnocot</t>
        </is>
      </c>
    </row>
    <row r="23932" spans="1:1">
      <c r="A23932" t="inlineStr">
        <is>
          <t>Cahigan</t>
        </is>
      </c>
    </row>
    <row r="23933" spans="1:1">
      <c r="A23933" t="inlineStr">
        <is>
          <t>Calbugos</t>
        </is>
      </c>
    </row>
    <row r="23934" spans="1:1">
      <c r="A23934" t="inlineStr">
        <is>
          <t>Camporog</t>
        </is>
      </c>
    </row>
    <row r="23935" spans="1:1">
      <c r="A23935" t="inlineStr">
        <is>
          <t>Canquiason</t>
        </is>
      </c>
    </row>
    <row r="23936" spans="1:1">
      <c r="A23936" t="inlineStr">
        <is>
          <t>Capinyahan</t>
        </is>
      </c>
    </row>
    <row r="23937" spans="1:1">
      <c r="A23937" t="inlineStr">
        <is>
          <t>Casili-on</t>
        </is>
      </c>
    </row>
    <row r="23938" spans="1:1">
      <c r="A23938" t="inlineStr">
        <is>
          <t>Catagbacan</t>
        </is>
      </c>
    </row>
    <row r="23939" spans="1:1">
      <c r="A23939" t="inlineStr">
        <is>
          <t>Fatima</t>
        </is>
      </c>
    </row>
    <row r="23940" spans="1:1">
      <c r="A23940" t="inlineStr">
        <is>
          <t>Hibulangan</t>
        </is>
      </c>
    </row>
    <row r="23941" spans="1:1">
      <c r="A23941" t="inlineStr">
        <is>
          <t>Hinabuyan</t>
        </is>
      </c>
    </row>
    <row r="23942" spans="1:1">
      <c r="A23942" t="inlineStr">
        <is>
          <t>Iligay</t>
        </is>
      </c>
    </row>
    <row r="23943" spans="1:1">
      <c r="A23943" t="inlineStr">
        <is>
          <t>Jalas</t>
        </is>
      </c>
    </row>
    <row r="23944" spans="1:1">
      <c r="A23944" t="inlineStr">
        <is>
          <t>Jordan</t>
        </is>
      </c>
    </row>
    <row r="23945" spans="1:1">
      <c r="A23945" t="inlineStr">
        <is>
          <t>Libagong</t>
        </is>
      </c>
    </row>
    <row r="23946" spans="1:1">
      <c r="A23946" t="inlineStr">
        <is>
          <t>New Balanac</t>
        </is>
      </c>
    </row>
    <row r="23947" spans="1:1">
      <c r="A23947" t="inlineStr">
        <is>
          <t>Payao</t>
        </is>
      </c>
    </row>
    <row r="23948" spans="1:1">
      <c r="A23948" t="inlineStr">
        <is>
          <t>Poblacion Norte</t>
        </is>
      </c>
    </row>
    <row r="23949" spans="1:1">
      <c r="A23949" t="inlineStr">
        <is>
          <t>Poblacion Sur</t>
        </is>
      </c>
    </row>
    <row r="23950" spans="1:1">
      <c r="A23950" t="inlineStr">
        <is>
          <t>Sambulawan</t>
        </is>
      </c>
    </row>
    <row r="23951" spans="1:1">
      <c r="A23951" t="inlineStr">
        <is>
          <t>San Francisco</t>
        </is>
      </c>
    </row>
    <row r="23952" spans="1:1">
      <c r="A23952" t="inlineStr">
        <is>
          <t>San Vicente</t>
        </is>
      </c>
    </row>
    <row r="23953" spans="1:1">
      <c r="A23953" t="inlineStr">
        <is>
          <t>Santa Cruz</t>
        </is>
      </c>
    </row>
    <row r="23954" spans="1:1">
      <c r="A23954" t="inlineStr">
        <is>
          <t>Silad</t>
        </is>
      </c>
    </row>
    <row r="23955" spans="1:1">
      <c r="A23955" t="inlineStr">
        <is>
          <t>Suba</t>
        </is>
      </c>
    </row>
    <row r="23956" spans="1:1">
      <c r="A23956" t="inlineStr">
        <is>
          <t>Sulpa</t>
        </is>
      </c>
    </row>
    <row r="23957" spans="1:1">
      <c r="A23957" t="inlineStr">
        <is>
          <t>Tabunok</t>
        </is>
      </c>
    </row>
    <row r="23958" spans="1:1">
      <c r="A23958" t="inlineStr">
        <is>
          <t>Tagbubunga</t>
        </is>
      </c>
    </row>
    <row r="23959" spans="1:1">
      <c r="A23959" t="inlineStr">
        <is>
          <t>Tinghub</t>
        </is>
      </c>
    </row>
    <row r="23960" spans="1:1">
      <c r="A23960" t="inlineStr">
        <is>
          <t>Barira</t>
        </is>
      </c>
    </row>
    <row r="23961" spans="1:1">
      <c r="A23961" t="inlineStr">
        <is>
          <t>Bualan</t>
        </is>
      </c>
    </row>
    <row r="23962" spans="1:1">
      <c r="A23962" t="inlineStr">
        <is>
          <t>Gadung</t>
        </is>
      </c>
    </row>
    <row r="23963" spans="1:1">
      <c r="A23963" t="inlineStr">
        <is>
          <t>Korosoyan</t>
        </is>
      </c>
    </row>
    <row r="23964" spans="1:1">
      <c r="A23964" t="inlineStr">
        <is>
          <t>Lamin</t>
        </is>
      </c>
    </row>
    <row r="23965" spans="1:1">
      <c r="A23965" t="inlineStr">
        <is>
          <t>Liong</t>
        </is>
      </c>
    </row>
    <row r="23966" spans="1:1">
      <c r="A23966" t="inlineStr">
        <is>
          <t>Lipa</t>
        </is>
      </c>
    </row>
    <row r="23967" spans="1:1">
      <c r="A23967" t="inlineStr">
        <is>
          <t>Lipawan</t>
        </is>
      </c>
    </row>
    <row r="23968" spans="1:1">
      <c r="A23968" t="inlineStr">
        <is>
          <t>Marang</t>
        </is>
      </c>
    </row>
    <row r="23969" spans="1:1">
      <c r="A23969" t="inlineStr">
        <is>
          <t>Minabay</t>
        </is>
      </c>
    </row>
    <row r="23970" spans="1:1">
      <c r="A23970" t="inlineStr">
        <is>
          <t>Nabalawag</t>
        </is>
      </c>
    </row>
    <row r="23971" spans="1:1">
      <c r="A23971" t="inlineStr">
        <is>
          <t>Panggao</t>
        </is>
      </c>
    </row>
    <row r="23972" spans="1:1">
      <c r="A23972" t="inlineStr">
        <is>
          <t>Rominimbang</t>
        </is>
      </c>
    </row>
    <row r="23973" spans="1:1">
      <c r="A23973" t="inlineStr">
        <is>
          <t>Togaig</t>
        </is>
      </c>
    </row>
    <row r="23974" spans="1:1">
      <c r="A23974" t="inlineStr">
        <is>
          <t>Ampuan</t>
        </is>
      </c>
    </row>
    <row r="23975" spans="1:1">
      <c r="A23975" t="inlineStr">
        <is>
          <t>Aratuc</t>
        </is>
      </c>
    </row>
    <row r="23976" spans="1:1">
      <c r="A23976" t="inlineStr">
        <is>
          <t>Cabayuan</t>
        </is>
      </c>
    </row>
    <row r="23977" spans="1:1">
      <c r="A23977" t="inlineStr">
        <is>
          <t>Calaan</t>
        </is>
      </c>
    </row>
    <row r="23978" spans="1:1">
      <c r="A23978" t="inlineStr">
        <is>
          <t>Dinganen</t>
        </is>
      </c>
    </row>
    <row r="23979" spans="1:1">
      <c r="A23979" t="inlineStr">
        <is>
          <t>Edcor</t>
        </is>
      </c>
    </row>
    <row r="23980" spans="1:1">
      <c r="A23980" t="inlineStr">
        <is>
          <t>Karim</t>
        </is>
      </c>
    </row>
    <row r="23981" spans="1:1">
      <c r="A23981" t="inlineStr">
        <is>
          <t>Kulimpang</t>
        </is>
      </c>
    </row>
    <row r="23982" spans="1:1">
      <c r="A23982" t="inlineStr">
        <is>
          <t>Mataya</t>
        </is>
      </c>
    </row>
    <row r="23983" spans="1:1">
      <c r="A23983" t="inlineStr">
        <is>
          <t>Minabay</t>
        </is>
      </c>
    </row>
    <row r="23984" spans="1:1">
      <c r="A23984" t="inlineStr">
        <is>
          <t>Nuyo</t>
        </is>
      </c>
    </row>
    <row r="23985" spans="1:1">
      <c r="A23985" t="inlineStr">
        <is>
          <t>Oring</t>
        </is>
      </c>
    </row>
    <row r="23986" spans="1:1">
      <c r="A23986" t="inlineStr">
        <is>
          <t>Pantawan</t>
        </is>
      </c>
    </row>
    <row r="23987" spans="1:1">
      <c r="A23987" t="inlineStr">
        <is>
          <t>Piers</t>
        </is>
      </c>
    </row>
    <row r="23988" spans="1:1">
      <c r="A23988" t="inlineStr">
        <is>
          <t>Rumidas</t>
        </is>
      </c>
    </row>
    <row r="23989" spans="1:1">
      <c r="A23989" t="inlineStr">
        <is>
          <t>Bagua</t>
        </is>
      </c>
    </row>
    <row r="23990" spans="1:1">
      <c r="A23990" t="inlineStr">
        <is>
          <t>Bagua I</t>
        </is>
      </c>
    </row>
    <row r="23991" spans="1:1">
      <c r="A23991" t="inlineStr">
        <is>
          <t>Bagua II</t>
        </is>
      </c>
    </row>
    <row r="23992" spans="1:1">
      <c r="A23992" t="inlineStr">
        <is>
          <t>Bagua III</t>
        </is>
      </c>
    </row>
    <row r="23993" spans="1:1">
      <c r="A23993" t="inlineStr">
        <is>
          <t>Kalanganan</t>
        </is>
      </c>
    </row>
    <row r="23994" spans="1:1">
      <c r="A23994" t="inlineStr">
        <is>
          <t>Kalanganan I</t>
        </is>
      </c>
    </row>
    <row r="23995" spans="1:1">
      <c r="A23995" t="inlineStr">
        <is>
          <t>Kalanganan II</t>
        </is>
      </c>
    </row>
    <row r="23996" spans="1:1">
      <c r="A23996" t="inlineStr">
        <is>
          <t>Poblacion</t>
        </is>
      </c>
    </row>
    <row r="23997" spans="1:1">
      <c r="A23997" t="inlineStr">
        <is>
          <t>Poblacion I</t>
        </is>
      </c>
    </row>
    <row r="23998" spans="1:1">
      <c r="A23998" t="inlineStr">
        <is>
          <t>Poblacion II</t>
        </is>
      </c>
    </row>
    <row r="23999" spans="1:1">
      <c r="A23999" t="inlineStr">
        <is>
          <t>Poblacion III</t>
        </is>
      </c>
    </row>
    <row r="24000" spans="1:1">
      <c r="A24000" t="inlineStr">
        <is>
          <t>Poblacion IV</t>
        </is>
      </c>
    </row>
    <row r="24001" spans="1:1">
      <c r="A24001" t="inlineStr">
        <is>
          <t>Poblacion IX</t>
        </is>
      </c>
    </row>
    <row r="24002" spans="1:1">
      <c r="A24002" t="inlineStr">
        <is>
          <t>Poblacion V</t>
        </is>
      </c>
    </row>
    <row r="24003" spans="1:1">
      <c r="A24003" t="inlineStr">
        <is>
          <t>Poblacion VI</t>
        </is>
      </c>
    </row>
    <row r="24004" spans="1:1">
      <c r="A24004" t="inlineStr">
        <is>
          <t>Poblacion VII</t>
        </is>
      </c>
    </row>
    <row r="24005" spans="1:1">
      <c r="A24005" t="inlineStr">
        <is>
          <t>Poblacion VIII</t>
        </is>
      </c>
    </row>
    <row r="24006" spans="1:1">
      <c r="A24006" t="inlineStr">
        <is>
          <t>Rosary Heights</t>
        </is>
      </c>
    </row>
    <row r="24007" spans="1:1">
      <c r="A24007" t="inlineStr">
        <is>
          <t>Rosary Heights I</t>
        </is>
      </c>
    </row>
    <row r="24008" spans="1:1">
      <c r="A24008" t="inlineStr">
        <is>
          <t>Rosary Heights II</t>
        </is>
      </c>
    </row>
    <row r="24009" spans="1:1">
      <c r="A24009" t="inlineStr">
        <is>
          <t>Rosary Heights III</t>
        </is>
      </c>
    </row>
    <row r="24010" spans="1:1">
      <c r="A24010" t="inlineStr">
        <is>
          <t>Rosary Heights IV</t>
        </is>
      </c>
    </row>
    <row r="24011" spans="1:1">
      <c r="A24011" t="inlineStr">
        <is>
          <t>Rosary Heights IX</t>
        </is>
      </c>
    </row>
    <row r="24012" spans="1:1">
      <c r="A24012" t="inlineStr">
        <is>
          <t>Rosary Heights V</t>
        </is>
      </c>
    </row>
    <row r="24013" spans="1:1">
      <c r="A24013" t="inlineStr">
        <is>
          <t>Rosary Heights VI</t>
        </is>
      </c>
    </row>
    <row r="24014" spans="1:1">
      <c r="A24014" t="inlineStr">
        <is>
          <t>Rosary Heights VII</t>
        </is>
      </c>
    </row>
    <row r="24015" spans="1:1">
      <c r="A24015" t="inlineStr">
        <is>
          <t>Rosary Heights VIII</t>
        </is>
      </c>
    </row>
    <row r="24016" spans="1:1">
      <c r="A24016" t="inlineStr">
        <is>
          <t>Rosary Heights X</t>
        </is>
      </c>
    </row>
    <row r="24017" spans="1:1">
      <c r="A24017" t="inlineStr">
        <is>
          <t>Rosary Heights XI</t>
        </is>
      </c>
    </row>
    <row r="24018" spans="1:1">
      <c r="A24018" t="inlineStr">
        <is>
          <t>Rosary Heights XII</t>
        </is>
      </c>
    </row>
    <row r="24019" spans="1:1">
      <c r="A24019" t="inlineStr">
        <is>
          <t>Rosary Heights XIII</t>
        </is>
      </c>
    </row>
    <row r="24020" spans="1:1">
      <c r="A24020" t="inlineStr">
        <is>
          <t>Tamontaka</t>
        </is>
      </c>
    </row>
    <row r="24021" spans="1:1">
      <c r="A24021" t="inlineStr">
        <is>
          <t>Tamontaka I</t>
        </is>
      </c>
    </row>
    <row r="24022" spans="1:1">
      <c r="A24022" t="inlineStr">
        <is>
          <t>Tamontaka II</t>
        </is>
      </c>
    </row>
    <row r="24023" spans="1:1">
      <c r="A24023" t="inlineStr">
        <is>
          <t>Tamontaka III</t>
        </is>
      </c>
    </row>
    <row r="24024" spans="1:1">
      <c r="A24024" t="inlineStr">
        <is>
          <t>Tamontaka IV</t>
        </is>
      </c>
    </row>
    <row r="24025" spans="1:1">
      <c r="A24025" t="inlineStr">
        <is>
          <t>Tamontaka V</t>
        </is>
      </c>
    </row>
    <row r="24026" spans="1:1">
      <c r="A24026" t="inlineStr">
        <is>
          <t>Kinimi</t>
        </is>
      </c>
    </row>
    <row r="24027" spans="1:1">
      <c r="A24027" t="inlineStr">
        <is>
          <t>Laguitan</t>
        </is>
      </c>
    </row>
    <row r="24028" spans="1:1">
      <c r="A24028" t="inlineStr">
        <is>
          <t>Lapaken</t>
        </is>
      </c>
    </row>
    <row r="24029" spans="1:1">
      <c r="A24029" t="inlineStr">
        <is>
          <t>Matuber</t>
        </is>
      </c>
    </row>
    <row r="24030" spans="1:1">
      <c r="A24030" t="inlineStr">
        <is>
          <t>Meti</t>
        </is>
      </c>
    </row>
    <row r="24031" spans="1:1">
      <c r="A24031" t="inlineStr">
        <is>
          <t>Nalkan</t>
        </is>
      </c>
    </row>
    <row r="24032" spans="1:1">
      <c r="A24032" t="inlineStr">
        <is>
          <t>Penansaran</t>
        </is>
      </c>
    </row>
    <row r="24033" spans="1:1">
      <c r="A24033" t="inlineStr">
        <is>
          <t>Pura</t>
        </is>
      </c>
    </row>
    <row r="24034" spans="1:1">
      <c r="A24034" t="inlineStr">
        <is>
          <t>Resa</t>
        </is>
      </c>
    </row>
    <row r="24035" spans="1:1">
      <c r="A24035" t="inlineStr">
        <is>
          <t>Sedem</t>
        </is>
      </c>
    </row>
    <row r="24036" spans="1:1">
      <c r="A24036" t="inlineStr">
        <is>
          <t>Sinipak</t>
        </is>
      </c>
    </row>
    <row r="24037" spans="1:1">
      <c r="A24037" t="inlineStr">
        <is>
          <t>Tambak</t>
        </is>
      </c>
    </row>
    <row r="24038" spans="1:1">
      <c r="A24038" t="inlineStr">
        <is>
          <t>Tubuan</t>
        </is>
      </c>
    </row>
    <row r="24039" spans="1:1">
      <c r="A24039" t="inlineStr">
        <is>
          <t>Ambolodto</t>
        </is>
      </c>
    </row>
    <row r="24040" spans="1:1">
      <c r="A24040" t="inlineStr">
        <is>
          <t>Awang</t>
        </is>
      </c>
    </row>
    <row r="24041" spans="1:1">
      <c r="A24041" t="inlineStr">
        <is>
          <t>Badak</t>
        </is>
      </c>
    </row>
    <row r="24042" spans="1:1">
      <c r="A24042" t="inlineStr">
        <is>
          <t>Bagoenged</t>
        </is>
      </c>
    </row>
    <row r="24043" spans="1:1">
      <c r="A24043" t="inlineStr">
        <is>
          <t>Baka</t>
        </is>
      </c>
    </row>
    <row r="24044" spans="1:1">
      <c r="A24044" t="inlineStr">
        <is>
          <t>Benolen</t>
        </is>
      </c>
    </row>
    <row r="24045" spans="1:1">
      <c r="A24045" t="inlineStr">
        <is>
          <t>Bitu</t>
        </is>
      </c>
    </row>
    <row r="24046" spans="1:1">
      <c r="A24046" t="inlineStr">
        <is>
          <t>Bongued</t>
        </is>
      </c>
    </row>
    <row r="24047" spans="1:1">
      <c r="A24047" t="inlineStr">
        <is>
          <t>Bugawas</t>
        </is>
      </c>
    </row>
    <row r="24048" spans="1:1">
      <c r="A24048" t="inlineStr">
        <is>
          <t>Capiton</t>
        </is>
      </c>
    </row>
    <row r="24049" spans="1:1">
      <c r="A24049" t="inlineStr">
        <is>
          <t>Dados</t>
        </is>
      </c>
    </row>
    <row r="24050" spans="1:1">
      <c r="A24050" t="inlineStr">
        <is>
          <t>Dalican Poblacion</t>
        </is>
      </c>
    </row>
    <row r="24051" spans="1:1">
      <c r="A24051" t="inlineStr">
        <is>
          <t>Dinaig Proper</t>
        </is>
      </c>
    </row>
    <row r="24052" spans="1:1">
      <c r="A24052" t="inlineStr">
        <is>
          <t>Dulangan</t>
        </is>
      </c>
    </row>
    <row r="24053" spans="1:1">
      <c r="A24053" t="inlineStr">
        <is>
          <t>Kakar</t>
        </is>
      </c>
    </row>
    <row r="24054" spans="1:1">
      <c r="A24054" t="inlineStr">
        <is>
          <t>Kenebeka</t>
        </is>
      </c>
    </row>
    <row r="24055" spans="1:1">
      <c r="A24055" t="inlineStr">
        <is>
          <t>Kurintem</t>
        </is>
      </c>
    </row>
    <row r="24056" spans="1:1">
      <c r="A24056" t="inlineStr">
        <is>
          <t>Kusiong</t>
        </is>
      </c>
    </row>
    <row r="24057" spans="1:1">
      <c r="A24057" t="inlineStr">
        <is>
          <t>Labungan</t>
        </is>
      </c>
    </row>
    <row r="24058" spans="1:1">
      <c r="A24058" t="inlineStr">
        <is>
          <t>Linek</t>
        </is>
      </c>
    </row>
    <row r="24059" spans="1:1">
      <c r="A24059" t="inlineStr">
        <is>
          <t>Makir</t>
        </is>
      </c>
    </row>
    <row r="24060" spans="1:1">
      <c r="A24060" t="inlineStr">
        <is>
          <t>Margues</t>
        </is>
      </c>
    </row>
    <row r="24061" spans="1:1">
      <c r="A24061" t="inlineStr">
        <is>
          <t>Mompong</t>
        </is>
      </c>
    </row>
    <row r="24062" spans="1:1">
      <c r="A24062" t="inlineStr">
        <is>
          <t>Nekitan</t>
        </is>
      </c>
    </row>
    <row r="24063" spans="1:1">
      <c r="A24063" t="inlineStr">
        <is>
          <t>Sapalan</t>
        </is>
      </c>
    </row>
    <row r="24064" spans="1:1">
      <c r="A24064" t="inlineStr">
        <is>
          <t>Semba</t>
        </is>
      </c>
    </row>
    <row r="24065" spans="1:1">
      <c r="A24065" t="inlineStr">
        <is>
          <t>Sibuto</t>
        </is>
      </c>
    </row>
    <row r="24066" spans="1:1">
      <c r="A24066" t="inlineStr">
        <is>
          <t>Sifaren</t>
        </is>
      </c>
    </row>
    <row r="24067" spans="1:1">
      <c r="A24067" t="inlineStr">
        <is>
          <t>Tambak</t>
        </is>
      </c>
    </row>
    <row r="24068" spans="1:1">
      <c r="A24068" t="inlineStr">
        <is>
          <t>Tamontaka</t>
        </is>
      </c>
    </row>
    <row r="24069" spans="1:1">
      <c r="A24069" t="inlineStr">
        <is>
          <t>Tanuel</t>
        </is>
      </c>
    </row>
    <row r="24070" spans="1:1">
      <c r="A24070" t="inlineStr">
        <is>
          <t>Tapian</t>
        </is>
      </c>
    </row>
    <row r="24071" spans="1:1">
      <c r="A24071" t="inlineStr">
        <is>
          <t>Taviran</t>
        </is>
      </c>
    </row>
    <row r="24072" spans="1:1">
      <c r="A24072" t="inlineStr">
        <is>
          <t>Tenonggos</t>
        </is>
      </c>
    </row>
    <row r="24073" spans="1:1">
      <c r="A24073" t="inlineStr">
        <is>
          <t>Bagumbayan</t>
        </is>
      </c>
    </row>
    <row r="24074" spans="1:1">
      <c r="A24074" t="inlineStr">
        <is>
          <t>Buterin</t>
        </is>
      </c>
    </row>
    <row r="24075" spans="1:1">
      <c r="A24075" t="inlineStr">
        <is>
          <t>Dadtumog</t>
        </is>
      </c>
    </row>
    <row r="24076" spans="1:1">
      <c r="A24076" t="inlineStr">
        <is>
          <t>Gambar</t>
        </is>
      </c>
    </row>
    <row r="24077" spans="1:1">
      <c r="A24077" t="inlineStr">
        <is>
          <t>Ganta</t>
        </is>
      </c>
    </row>
    <row r="24078" spans="1:1">
      <c r="A24078" t="inlineStr">
        <is>
          <t>Katidtuan</t>
        </is>
      </c>
    </row>
    <row r="24079" spans="1:1">
      <c r="A24079" t="inlineStr">
        <is>
          <t>Langeban</t>
        </is>
      </c>
    </row>
    <row r="24080" spans="1:1">
      <c r="A24080" t="inlineStr">
        <is>
          <t>Liong</t>
        </is>
      </c>
    </row>
    <row r="24081" spans="1:1">
      <c r="A24081" t="inlineStr">
        <is>
          <t>Lower Taviran</t>
        </is>
      </c>
    </row>
    <row r="24082" spans="1:1">
      <c r="A24082" t="inlineStr">
        <is>
          <t>Maitong</t>
        </is>
      </c>
    </row>
    <row r="24083" spans="1:1">
      <c r="A24083" t="inlineStr">
        <is>
          <t>Matilak</t>
        </is>
      </c>
    </row>
    <row r="24084" spans="1:1">
      <c r="A24084" t="inlineStr">
        <is>
          <t>Pagalungan</t>
        </is>
      </c>
    </row>
    <row r="24085" spans="1:1">
      <c r="A24085" t="inlineStr">
        <is>
          <t>Payan</t>
        </is>
      </c>
    </row>
    <row r="24086" spans="1:1">
      <c r="A24086" t="inlineStr">
        <is>
          <t>Pedtad</t>
        </is>
      </c>
    </row>
    <row r="24087" spans="1:1">
      <c r="A24087" t="inlineStr">
        <is>
          <t>Pened</t>
        </is>
      </c>
    </row>
    <row r="24088" spans="1:1">
      <c r="A24088" t="inlineStr">
        <is>
          <t>Poblacion</t>
        </is>
      </c>
    </row>
    <row r="24089" spans="1:1">
      <c r="A24089" t="inlineStr">
        <is>
          <t>Upper Taviran</t>
        </is>
      </c>
    </row>
    <row r="24090" spans="1:1">
      <c r="A24090" t="inlineStr">
        <is>
          <t>Bayanga Norte</t>
        </is>
      </c>
    </row>
    <row r="24091" spans="1:1">
      <c r="A24091" t="inlineStr">
        <is>
          <t>Bayanga Sur</t>
        </is>
      </c>
    </row>
    <row r="24092" spans="1:1">
      <c r="A24092" t="inlineStr">
        <is>
          <t>Bugasan Norte</t>
        </is>
      </c>
    </row>
    <row r="24093" spans="1:1">
      <c r="A24093" t="inlineStr">
        <is>
          <t>Bugasan Sur</t>
        </is>
      </c>
    </row>
    <row r="24094" spans="1:1">
      <c r="A24094" t="inlineStr">
        <is>
          <t>Kidama</t>
        </is>
      </c>
    </row>
    <row r="24095" spans="1:1">
      <c r="A24095" t="inlineStr">
        <is>
          <t>Langco</t>
        </is>
      </c>
    </row>
    <row r="24096" spans="1:1">
      <c r="A24096" t="inlineStr">
        <is>
          <t>Langkong</t>
        </is>
      </c>
    </row>
    <row r="24097" spans="1:1">
      <c r="A24097" t="inlineStr">
        <is>
          <t>Sapad</t>
        </is>
      </c>
    </row>
    <row r="24098" spans="1:1">
      <c r="A24098" t="inlineStr">
        <is>
          <t>Balong</t>
        </is>
      </c>
    </row>
    <row r="24099" spans="1:1">
      <c r="A24099" t="inlineStr">
        <is>
          <t>Damatog</t>
        </is>
      </c>
    </row>
    <row r="24100" spans="1:1">
      <c r="A24100" t="inlineStr">
        <is>
          <t>Gayonga</t>
        </is>
      </c>
    </row>
    <row r="24101" spans="1:1">
      <c r="A24101" t="inlineStr">
        <is>
          <t>Guiawa</t>
        </is>
      </c>
    </row>
    <row r="24102" spans="1:1">
      <c r="A24102" t="inlineStr">
        <is>
          <t>Indatuan</t>
        </is>
      </c>
    </row>
    <row r="24103" spans="1:1">
      <c r="A24103" t="inlineStr">
        <is>
          <t>Kapimpilan</t>
        </is>
      </c>
    </row>
    <row r="24104" spans="1:1">
      <c r="A24104" t="inlineStr">
        <is>
          <t>Libungan</t>
        </is>
      </c>
    </row>
    <row r="24105" spans="1:1">
      <c r="A24105" t="inlineStr">
        <is>
          <t>Montay</t>
        </is>
      </c>
    </row>
    <row r="24106" spans="1:1">
      <c r="A24106" t="inlineStr">
        <is>
          <t>Paulino Labio</t>
        </is>
      </c>
    </row>
    <row r="24107" spans="1:1">
      <c r="A24107" t="inlineStr">
        <is>
          <t>Sabaken</t>
        </is>
      </c>
    </row>
    <row r="24108" spans="1:1">
      <c r="A24108" t="inlineStr">
        <is>
          <t>Tumaguinting</t>
        </is>
      </c>
    </row>
    <row r="24109" spans="1:1">
      <c r="A24109" t="inlineStr">
        <is>
          <t>Bongo Island</t>
        </is>
      </c>
    </row>
    <row r="24110" spans="1:1">
      <c r="A24110" t="inlineStr">
        <is>
          <t>Campo Islam</t>
        </is>
      </c>
    </row>
    <row r="24111" spans="1:1">
      <c r="A24111" t="inlineStr">
        <is>
          <t>Cotongan</t>
        </is>
      </c>
    </row>
    <row r="24112" spans="1:1">
      <c r="A24112" t="inlineStr">
        <is>
          <t>Datu Macarimbang Biruar</t>
        </is>
      </c>
    </row>
    <row r="24113" spans="1:1">
      <c r="A24113" t="inlineStr">
        <is>
          <t>Gadungan</t>
        </is>
      </c>
    </row>
    <row r="24114" spans="1:1">
      <c r="A24114" t="inlineStr">
        <is>
          <t>Gadunganpedpandaran</t>
        </is>
      </c>
    </row>
    <row r="24115" spans="1:1">
      <c r="A24115" t="inlineStr">
        <is>
          <t>Guiday T. Biruar</t>
        </is>
      </c>
    </row>
    <row r="24116" spans="1:1">
      <c r="A24116" t="inlineStr">
        <is>
          <t>Gumagadong Calawag</t>
        </is>
      </c>
    </row>
    <row r="24117" spans="1:1">
      <c r="A24117" t="inlineStr">
        <is>
          <t>Kabuan</t>
        </is>
      </c>
    </row>
    <row r="24118" spans="1:1">
      <c r="A24118" t="inlineStr">
        <is>
          <t>Landasan</t>
        </is>
      </c>
    </row>
    <row r="24119" spans="1:1">
      <c r="A24119" t="inlineStr">
        <is>
          <t>Limbayan</t>
        </is>
      </c>
    </row>
    <row r="24120" spans="1:1">
      <c r="A24120" t="inlineStr">
        <is>
          <t>Macasandag</t>
        </is>
      </c>
    </row>
    <row r="24121" spans="1:1">
      <c r="A24121" t="inlineStr">
        <is>
          <t>Magsaysay</t>
        </is>
      </c>
    </row>
    <row r="24122" spans="1:1">
      <c r="A24122" t="inlineStr">
        <is>
          <t>Making</t>
        </is>
      </c>
    </row>
    <row r="24123" spans="1:1">
      <c r="A24123" t="inlineStr">
        <is>
          <t>Manion</t>
        </is>
      </c>
    </row>
    <row r="24124" spans="1:1">
      <c r="A24124" t="inlineStr">
        <is>
          <t>Moro Point</t>
        </is>
      </c>
    </row>
    <row r="24125" spans="1:1">
      <c r="A24125" t="inlineStr">
        <is>
          <t>Nituan</t>
        </is>
      </c>
    </row>
    <row r="24126" spans="1:1">
      <c r="A24126" t="inlineStr">
        <is>
          <t>Orandang</t>
        </is>
      </c>
    </row>
    <row r="24127" spans="1:1">
      <c r="A24127" t="inlineStr">
        <is>
          <t>Pinantao</t>
        </is>
      </c>
    </row>
    <row r="24128" spans="1:1">
      <c r="A24128" t="inlineStr">
        <is>
          <t>Poblacion</t>
        </is>
      </c>
    </row>
    <row r="24129" spans="1:1">
      <c r="A24129" t="inlineStr">
        <is>
          <t>Poblacion II</t>
        </is>
      </c>
    </row>
    <row r="24130" spans="1:1">
      <c r="A24130" t="inlineStr">
        <is>
          <t>Polloc</t>
        </is>
      </c>
    </row>
    <row r="24131" spans="1:1">
      <c r="A24131" t="inlineStr">
        <is>
          <t>Samberen</t>
        </is>
      </c>
    </row>
    <row r="24132" spans="1:1">
      <c r="A24132" t="inlineStr">
        <is>
          <t>Tagudtongan</t>
        </is>
      </c>
    </row>
    <row r="24133" spans="1:1">
      <c r="A24133" t="inlineStr">
        <is>
          <t>Tuca-Maror</t>
        </is>
      </c>
    </row>
    <row r="24134" spans="1:1">
      <c r="A24134" t="inlineStr">
        <is>
          <t>Alamada</t>
        </is>
      </c>
    </row>
    <row r="24135" spans="1:1">
      <c r="A24135" t="inlineStr">
        <is>
          <t>Banatin</t>
        </is>
      </c>
    </row>
    <row r="24136" spans="1:1">
      <c r="A24136" t="inlineStr">
        <is>
          <t>Banubo</t>
        </is>
      </c>
    </row>
    <row r="24137" spans="1:1">
      <c r="A24137" t="inlineStr">
        <is>
          <t>Bulalo</t>
        </is>
      </c>
    </row>
    <row r="24138" spans="1:1">
      <c r="A24138" t="inlineStr">
        <is>
          <t>Bulibod</t>
        </is>
      </c>
    </row>
    <row r="24139" spans="1:1">
      <c r="A24139" t="inlineStr">
        <is>
          <t>Calsada</t>
        </is>
      </c>
    </row>
    <row r="24140" spans="1:1">
      <c r="A24140" t="inlineStr">
        <is>
          <t>Crossing Simuay</t>
        </is>
      </c>
    </row>
    <row r="24141" spans="1:1">
      <c r="A24141" t="inlineStr">
        <is>
          <t>Dalumangcob</t>
        </is>
      </c>
    </row>
    <row r="24142" spans="1:1">
      <c r="A24142" t="inlineStr">
        <is>
          <t>Damaniog</t>
        </is>
      </c>
    </row>
    <row r="24143" spans="1:1">
      <c r="A24143" t="inlineStr">
        <is>
          <t>Darapanan</t>
        </is>
      </c>
    </row>
    <row r="24144" spans="1:1">
      <c r="A24144" t="inlineStr">
        <is>
          <t>Gang</t>
        </is>
      </c>
    </row>
    <row r="24145" spans="1:1">
      <c r="A24145" t="inlineStr">
        <is>
          <t>Inawan</t>
        </is>
      </c>
    </row>
    <row r="24146" spans="1:1">
      <c r="A24146" t="inlineStr">
        <is>
          <t>Kabuntalan</t>
        </is>
      </c>
    </row>
    <row r="24147" spans="1:1">
      <c r="A24147" t="inlineStr">
        <is>
          <t>Kakar</t>
        </is>
      </c>
    </row>
    <row r="24148" spans="1:1">
      <c r="A24148" t="inlineStr">
        <is>
          <t>Kapimpilan</t>
        </is>
      </c>
    </row>
    <row r="24149" spans="1:1">
      <c r="A24149" t="inlineStr">
        <is>
          <t>Katamlangan</t>
        </is>
      </c>
    </row>
    <row r="24150" spans="1:1">
      <c r="A24150" t="inlineStr">
        <is>
          <t>Katidtuan</t>
        </is>
      </c>
    </row>
    <row r="24151" spans="1:1">
      <c r="A24151" t="inlineStr">
        <is>
          <t>Katuli</t>
        </is>
      </c>
    </row>
    <row r="24152" spans="1:1">
      <c r="A24152" t="inlineStr">
        <is>
          <t>Ladia</t>
        </is>
      </c>
    </row>
    <row r="24153" spans="1:1">
      <c r="A24153" t="inlineStr">
        <is>
          <t>Limbo</t>
        </is>
      </c>
    </row>
    <row r="24154" spans="1:1">
      <c r="A24154" t="inlineStr">
        <is>
          <t>Maidapa</t>
        </is>
      </c>
    </row>
    <row r="24155" spans="1:1">
      <c r="A24155" t="inlineStr">
        <is>
          <t>Makaguiling</t>
        </is>
      </c>
    </row>
    <row r="24156" spans="1:1">
      <c r="A24156" t="inlineStr">
        <is>
          <t>Matengen</t>
        </is>
      </c>
    </row>
    <row r="24157" spans="1:1">
      <c r="A24157" t="inlineStr">
        <is>
          <t>Mulaug</t>
        </is>
      </c>
    </row>
    <row r="24158" spans="1:1">
      <c r="A24158" t="inlineStr">
        <is>
          <t>Nalinan</t>
        </is>
      </c>
    </row>
    <row r="24159" spans="1:1">
      <c r="A24159" t="inlineStr">
        <is>
          <t>Nara</t>
        </is>
      </c>
    </row>
    <row r="24160" spans="1:1">
      <c r="A24160" t="inlineStr">
        <is>
          <t>Nekitan</t>
        </is>
      </c>
    </row>
    <row r="24161" spans="1:1">
      <c r="A24161" t="inlineStr">
        <is>
          <t>Olas</t>
        </is>
      </c>
    </row>
    <row r="24162" spans="1:1">
      <c r="A24162" t="inlineStr">
        <is>
          <t>Panatan</t>
        </is>
      </c>
    </row>
    <row r="24163" spans="1:1">
      <c r="A24163" t="inlineStr">
        <is>
          <t>Pigcalagan</t>
        </is>
      </c>
    </row>
    <row r="24164" spans="1:1">
      <c r="A24164" t="inlineStr">
        <is>
          <t>Pigkelegan</t>
        </is>
      </c>
    </row>
    <row r="24165" spans="1:1">
      <c r="A24165" t="inlineStr">
        <is>
          <t>Pinaring</t>
        </is>
      </c>
    </row>
    <row r="24166" spans="1:1">
      <c r="A24166" t="inlineStr">
        <is>
          <t>Pingping</t>
        </is>
      </c>
    </row>
    <row r="24167" spans="1:1">
      <c r="A24167" t="inlineStr">
        <is>
          <t>Raguisi</t>
        </is>
      </c>
    </row>
    <row r="24168" spans="1:1">
      <c r="A24168" t="inlineStr">
        <is>
          <t>Rebuken</t>
        </is>
      </c>
    </row>
    <row r="24169" spans="1:1">
      <c r="A24169" t="inlineStr">
        <is>
          <t>Salimbao</t>
        </is>
      </c>
    </row>
    <row r="24170" spans="1:1">
      <c r="A24170" t="inlineStr">
        <is>
          <t>Sambolawan</t>
        </is>
      </c>
    </row>
    <row r="24171" spans="1:1">
      <c r="A24171" t="inlineStr">
        <is>
          <t>Senditan</t>
        </is>
      </c>
    </row>
    <row r="24172" spans="1:1">
      <c r="A24172" t="inlineStr">
        <is>
          <t>Ungap</t>
        </is>
      </c>
    </row>
    <row r="24173" spans="1:1">
      <c r="A24173" t="inlineStr">
        <is>
          <t>Balut</t>
        </is>
      </c>
    </row>
    <row r="24174" spans="1:1">
      <c r="A24174" t="inlineStr">
        <is>
          <t>Boliok</t>
        </is>
      </c>
    </row>
    <row r="24175" spans="1:1">
      <c r="A24175" t="inlineStr">
        <is>
          <t>Bungabong</t>
        </is>
      </c>
    </row>
    <row r="24176" spans="1:1">
      <c r="A24176" t="inlineStr">
        <is>
          <t>Dagurongan</t>
        </is>
      </c>
    </row>
    <row r="24177" spans="1:1">
      <c r="A24177" t="inlineStr">
        <is>
          <t>Kirkir</t>
        </is>
      </c>
    </row>
    <row r="24178" spans="1:1">
      <c r="A24178" t="inlineStr">
        <is>
          <t>Macabico</t>
        </is>
      </c>
    </row>
    <row r="24179" spans="1:1">
      <c r="A24179" t="inlineStr">
        <is>
          <t>Namuken</t>
        </is>
      </c>
    </row>
    <row r="24180" spans="1:1">
      <c r="A24180" t="inlineStr">
        <is>
          <t>Simuay/Seashore</t>
        </is>
      </c>
    </row>
    <row r="24181" spans="1:1">
      <c r="A24181" t="inlineStr">
        <is>
          <t>Solon</t>
        </is>
      </c>
    </row>
    <row r="24182" spans="1:1">
      <c r="A24182" t="inlineStr">
        <is>
          <t>Tambo</t>
        </is>
      </c>
    </row>
    <row r="24183" spans="1:1">
      <c r="A24183" t="inlineStr">
        <is>
          <t>Tapayan</t>
        </is>
      </c>
    </row>
    <row r="24184" spans="1:1">
      <c r="A24184" t="inlineStr">
        <is>
          <t>Tariken</t>
        </is>
      </c>
    </row>
    <row r="24185" spans="1:1">
      <c r="A24185" t="inlineStr">
        <is>
          <t>Tuka</t>
        </is>
      </c>
    </row>
    <row r="24186" spans="1:1">
      <c r="A24186" t="inlineStr">
        <is>
          <t>Bintan</t>
        </is>
      </c>
    </row>
    <row r="24187" spans="1:1">
      <c r="A24187" t="inlineStr">
        <is>
          <t>Gadungan</t>
        </is>
      </c>
    </row>
    <row r="24188" spans="1:1">
      <c r="A24188" t="inlineStr">
        <is>
          <t>Kiladap</t>
        </is>
      </c>
    </row>
    <row r="24189" spans="1:1">
      <c r="A24189" t="inlineStr">
        <is>
          <t>Kilalan</t>
        </is>
      </c>
    </row>
    <row r="24190" spans="1:1">
      <c r="A24190" t="inlineStr">
        <is>
          <t>Kuden</t>
        </is>
      </c>
    </row>
    <row r="24191" spans="1:1">
      <c r="A24191" t="inlineStr">
        <is>
          <t>Makadayon</t>
        </is>
      </c>
    </row>
    <row r="24192" spans="1:1">
      <c r="A24192" t="inlineStr">
        <is>
          <t>Manggay</t>
        </is>
      </c>
    </row>
    <row r="24193" spans="1:1">
      <c r="A24193" t="inlineStr">
        <is>
          <t>Pageda</t>
        </is>
      </c>
    </row>
    <row r="24194" spans="1:1">
      <c r="A24194" t="inlineStr">
        <is>
          <t>Talitay</t>
        </is>
      </c>
    </row>
    <row r="24195" spans="1:1">
      <c r="A24195" t="inlineStr">
        <is>
          <t>Bantek</t>
        </is>
      </c>
    </row>
    <row r="24196" spans="1:1">
      <c r="A24196" t="inlineStr">
        <is>
          <t>Bayabas</t>
        </is>
      </c>
    </row>
    <row r="24197" spans="1:1">
      <c r="A24197" t="inlineStr">
        <is>
          <t>Blensong</t>
        </is>
      </c>
    </row>
    <row r="24198" spans="1:1">
      <c r="A24198" t="inlineStr">
        <is>
          <t>Borongotan</t>
        </is>
      </c>
    </row>
    <row r="24199" spans="1:1">
      <c r="A24199" t="inlineStr">
        <is>
          <t>Bugabungan</t>
        </is>
      </c>
    </row>
    <row r="24200" spans="1:1">
      <c r="A24200" t="inlineStr">
        <is>
          <t>Bungcog</t>
        </is>
      </c>
    </row>
    <row r="24201" spans="1:1">
      <c r="A24201" t="inlineStr">
        <is>
          <t>Darugao</t>
        </is>
      </c>
    </row>
    <row r="24202" spans="1:1">
      <c r="A24202" t="inlineStr">
        <is>
          <t>Ganasi</t>
        </is>
      </c>
    </row>
    <row r="24203" spans="1:1">
      <c r="A24203" t="inlineStr">
        <is>
          <t>Kabakaba</t>
        </is>
      </c>
    </row>
    <row r="24204" spans="1:1">
      <c r="A24204" t="inlineStr">
        <is>
          <t>Kibleg</t>
        </is>
      </c>
    </row>
    <row r="24205" spans="1:1">
      <c r="A24205" t="inlineStr">
        <is>
          <t>Kibucay</t>
        </is>
      </c>
    </row>
    <row r="24206" spans="1:1">
      <c r="A24206" t="inlineStr">
        <is>
          <t>Kiga</t>
        </is>
      </c>
    </row>
    <row r="24207" spans="1:1">
      <c r="A24207" t="inlineStr">
        <is>
          <t>Kinitan</t>
        </is>
      </c>
    </row>
    <row r="24208" spans="1:1">
      <c r="A24208" t="inlineStr">
        <is>
          <t>Mirab</t>
        </is>
      </c>
    </row>
    <row r="24209" spans="1:1">
      <c r="A24209" t="inlineStr">
        <is>
          <t>Nangi</t>
        </is>
      </c>
    </row>
    <row r="24210" spans="1:1">
      <c r="A24210" t="inlineStr">
        <is>
          <t>Nuro Poblacion</t>
        </is>
      </c>
    </row>
    <row r="24211" spans="1:1">
      <c r="A24211" t="inlineStr">
        <is>
          <t>Ranao Pilayan</t>
        </is>
      </c>
    </row>
    <row r="24212" spans="1:1">
      <c r="A24212" t="inlineStr">
        <is>
          <t>Rempes</t>
        </is>
      </c>
    </row>
    <row r="24213" spans="1:1">
      <c r="A24213" t="inlineStr">
        <is>
          <t>Renede</t>
        </is>
      </c>
    </row>
    <row r="24214" spans="1:1">
      <c r="A24214" t="inlineStr">
        <is>
          <t>Renti</t>
        </is>
      </c>
    </row>
    <row r="24215" spans="1:1">
      <c r="A24215" t="inlineStr">
        <is>
          <t>Rifao</t>
        </is>
      </c>
    </row>
    <row r="24216" spans="1:1">
      <c r="A24216" t="inlineStr">
        <is>
          <t>Sefegefen</t>
        </is>
      </c>
    </row>
    <row r="24217" spans="1:1">
      <c r="A24217" t="inlineStr">
        <is>
          <t>Tinungkaan</t>
        </is>
      </c>
    </row>
    <row r="24218" spans="1:1">
      <c r="A24218" t="inlineStr">
        <is>
          <t>Dicalongan</t>
        </is>
      </c>
    </row>
    <row r="24219" spans="1:1">
      <c r="A24219" t="inlineStr">
        <is>
          <t>Kakal</t>
        </is>
      </c>
    </row>
    <row r="24220" spans="1:1">
      <c r="A24220" t="inlineStr">
        <is>
          <t>Kamasi</t>
        </is>
      </c>
    </row>
    <row r="24221" spans="1:1">
      <c r="A24221" t="inlineStr">
        <is>
          <t>Kapinpilan</t>
        </is>
      </c>
    </row>
    <row r="24222" spans="1:1">
      <c r="A24222" t="inlineStr">
        <is>
          <t>Kauran</t>
        </is>
      </c>
    </row>
    <row r="24223" spans="1:1">
      <c r="A24223" t="inlineStr">
        <is>
          <t>Malatimon</t>
        </is>
      </c>
    </row>
    <row r="24224" spans="1:1">
      <c r="A24224" t="inlineStr">
        <is>
          <t>Matagabong</t>
        </is>
      </c>
    </row>
    <row r="24225" spans="1:1">
      <c r="A24225" t="inlineStr">
        <is>
          <t>Salman</t>
        </is>
      </c>
    </row>
    <row r="24226" spans="1:1">
      <c r="A24226" t="inlineStr">
        <is>
          <t>Saniag</t>
        </is>
      </c>
    </row>
    <row r="24227" spans="1:1">
      <c r="A24227" t="inlineStr">
        <is>
          <t>Tomicor</t>
        </is>
      </c>
    </row>
    <row r="24228" spans="1:1">
      <c r="A24228" t="inlineStr">
        <is>
          <t>Tubak</t>
        </is>
      </c>
    </row>
    <row r="24229" spans="1:1">
      <c r="A24229" t="inlineStr">
        <is>
          <t>Digal</t>
        </is>
      </c>
    </row>
    <row r="24230" spans="1:1">
      <c r="A24230" t="inlineStr">
        <is>
          <t>Lower Siling</t>
        </is>
      </c>
    </row>
    <row r="24231" spans="1:1">
      <c r="A24231" t="inlineStr">
        <is>
          <t>Maslabeng</t>
        </is>
      </c>
    </row>
    <row r="24232" spans="1:1">
      <c r="A24232" t="inlineStr">
        <is>
          <t>Poblacion</t>
        </is>
      </c>
    </row>
    <row r="24233" spans="1:1">
      <c r="A24233" t="inlineStr">
        <is>
          <t>Popol</t>
        </is>
      </c>
    </row>
    <row r="24234" spans="1:1">
      <c r="A24234" t="inlineStr">
        <is>
          <t>Talitay</t>
        </is>
      </c>
    </row>
    <row r="24235" spans="1:1">
      <c r="A24235" t="inlineStr">
        <is>
          <t>Upper Siling</t>
        </is>
      </c>
    </row>
    <row r="24236" spans="1:1">
      <c r="A24236" t="inlineStr">
        <is>
          <t>Banaba</t>
        </is>
      </c>
    </row>
    <row r="24237" spans="1:1">
      <c r="A24237" t="inlineStr">
        <is>
          <t>Dimampao</t>
        </is>
      </c>
    </row>
    <row r="24238" spans="1:1">
      <c r="A24238" t="inlineStr">
        <is>
          <t>Guinibon</t>
        </is>
      </c>
    </row>
    <row r="24239" spans="1:1">
      <c r="A24239" t="inlineStr">
        <is>
          <t>Kaya-kaya</t>
        </is>
      </c>
    </row>
    <row r="24240" spans="1:1">
      <c r="A24240" t="inlineStr">
        <is>
          <t>Maganoy</t>
        </is>
      </c>
    </row>
    <row r="24241" spans="1:1">
      <c r="A24241" t="inlineStr">
        <is>
          <t>Mao</t>
        </is>
      </c>
    </row>
    <row r="24242" spans="1:1">
      <c r="A24242" t="inlineStr">
        <is>
          <t>Maranding</t>
        </is>
      </c>
    </row>
    <row r="24243" spans="1:1">
      <c r="A24243" t="inlineStr">
        <is>
          <t>Sugadol</t>
        </is>
      </c>
    </row>
    <row r="24244" spans="1:1">
      <c r="A24244" t="inlineStr">
        <is>
          <t>Talisawa</t>
        </is>
      </c>
    </row>
    <row r="24245" spans="1:1">
      <c r="A24245" t="inlineStr">
        <is>
          <t>Tukanolocong</t>
        </is>
      </c>
    </row>
    <row r="24246" spans="1:1">
      <c r="A24246" t="inlineStr">
        <is>
          <t>Adaon</t>
        </is>
      </c>
    </row>
    <row r="24247" spans="1:1">
      <c r="A24247" t="inlineStr">
        <is>
          <t>Brar</t>
        </is>
      </c>
    </row>
    <row r="24248" spans="1:1">
      <c r="A24248" t="inlineStr">
        <is>
          <t>Mapayag</t>
        </is>
      </c>
    </row>
    <row r="24249" spans="1:1">
      <c r="A24249" t="inlineStr">
        <is>
          <t>Midtimbang</t>
        </is>
      </c>
    </row>
    <row r="24250" spans="1:1">
      <c r="A24250" t="inlineStr">
        <is>
          <t>Nunangan</t>
        </is>
      </c>
    </row>
    <row r="24251" spans="1:1">
      <c r="A24251" t="inlineStr">
        <is>
          <t>Tugal</t>
        </is>
      </c>
    </row>
    <row r="24252" spans="1:1">
      <c r="A24252" t="inlineStr">
        <is>
          <t>Tulunan</t>
        </is>
      </c>
    </row>
    <row r="24253" spans="1:1">
      <c r="A24253" t="inlineStr">
        <is>
          <t>Kubentong</t>
        </is>
      </c>
    </row>
    <row r="24254" spans="1:1">
      <c r="A24254" t="inlineStr">
        <is>
          <t>Labu-labu I</t>
        </is>
      </c>
    </row>
    <row r="24255" spans="1:1">
      <c r="A24255" t="inlineStr">
        <is>
          <t>Labu-labu II</t>
        </is>
      </c>
    </row>
    <row r="24256" spans="1:1">
      <c r="A24256" t="inlineStr">
        <is>
          <t>Limpongo</t>
        </is>
      </c>
    </row>
    <row r="24257" spans="1:1">
      <c r="A24257" t="inlineStr">
        <is>
          <t>Macalag</t>
        </is>
      </c>
    </row>
    <row r="24258" spans="1:1">
      <c r="A24258" t="inlineStr">
        <is>
          <t>Sayap</t>
        </is>
      </c>
    </row>
    <row r="24259" spans="1:1">
      <c r="A24259" t="inlineStr">
        <is>
          <t>Taib</t>
        </is>
      </c>
    </row>
    <row r="24260" spans="1:1">
      <c r="A24260" t="inlineStr">
        <is>
          <t>Talibadok</t>
        </is>
      </c>
    </row>
    <row r="24261" spans="1:1">
      <c r="A24261" t="inlineStr">
        <is>
          <t>Tuayan</t>
        </is>
      </c>
    </row>
    <row r="24262" spans="1:1">
      <c r="A24262" t="inlineStr">
        <is>
          <t>Tuayan I</t>
        </is>
      </c>
    </row>
    <row r="24263" spans="1:1">
      <c r="A24263" t="inlineStr">
        <is>
          <t>Tuntungan</t>
        </is>
      </c>
    </row>
    <row r="24264" spans="1:1">
      <c r="A24264" t="inlineStr">
        <is>
          <t>Alip</t>
        </is>
      </c>
    </row>
    <row r="24265" spans="1:1">
      <c r="A24265" t="inlineStr">
        <is>
          <t>Bonawan</t>
        </is>
      </c>
    </row>
    <row r="24266" spans="1:1">
      <c r="A24266" t="inlineStr">
        <is>
          <t>Bulod</t>
        </is>
      </c>
    </row>
    <row r="24267" spans="1:1">
      <c r="A24267" t="inlineStr">
        <is>
          <t>Damalusay</t>
        </is>
      </c>
    </row>
    <row r="24268" spans="1:1">
      <c r="A24268" t="inlineStr">
        <is>
          <t>Damawato</t>
        </is>
      </c>
    </row>
    <row r="24269" spans="1:1">
      <c r="A24269" t="inlineStr">
        <is>
          <t>Datang</t>
        </is>
      </c>
    </row>
    <row r="24270" spans="1:1">
      <c r="A24270" t="inlineStr">
        <is>
          <t>Elbebe</t>
        </is>
      </c>
    </row>
    <row r="24271" spans="1:1">
      <c r="A24271" t="inlineStr">
        <is>
          <t>Kalumenga</t>
        </is>
      </c>
    </row>
    <row r="24272" spans="1:1">
      <c r="A24272" t="inlineStr">
        <is>
          <t>Katil</t>
        </is>
      </c>
    </row>
    <row r="24273" spans="1:1">
      <c r="A24273" t="inlineStr">
        <is>
          <t>Lipao</t>
        </is>
      </c>
    </row>
    <row r="24274" spans="1:1">
      <c r="A24274" t="inlineStr">
        <is>
          <t>Lomoyon</t>
        </is>
      </c>
    </row>
    <row r="24275" spans="1:1">
      <c r="A24275" t="inlineStr">
        <is>
          <t>Madidis</t>
        </is>
      </c>
    </row>
    <row r="24276" spans="1:1">
      <c r="A24276" t="inlineStr">
        <is>
          <t>Makat</t>
        </is>
      </c>
    </row>
    <row r="24277" spans="1:1">
      <c r="A24277" t="inlineStr">
        <is>
          <t>Malala</t>
        </is>
      </c>
    </row>
    <row r="24278" spans="1:1">
      <c r="A24278" t="inlineStr">
        <is>
          <t>Mangadeg</t>
        </is>
      </c>
    </row>
    <row r="24279" spans="1:1">
      <c r="A24279" t="inlineStr">
        <is>
          <t>Manindolo</t>
        </is>
      </c>
    </row>
    <row r="24280" spans="1:1">
      <c r="A24280" t="inlineStr">
        <is>
          <t>Mao</t>
        </is>
      </c>
    </row>
    <row r="24281" spans="1:1">
      <c r="A24281" t="inlineStr">
        <is>
          <t>Napok</t>
        </is>
      </c>
    </row>
    <row r="24282" spans="1:1">
      <c r="A24282" t="inlineStr">
        <is>
          <t>Palao sa Buto</t>
        </is>
      </c>
    </row>
    <row r="24283" spans="1:1">
      <c r="A24283" t="inlineStr">
        <is>
          <t>Poblacion</t>
        </is>
      </c>
    </row>
    <row r="24284" spans="1:1">
      <c r="A24284" t="inlineStr">
        <is>
          <t>Puya</t>
        </is>
      </c>
    </row>
    <row r="24285" spans="1:1">
      <c r="A24285" t="inlineStr">
        <is>
          <t>Salendab</t>
        </is>
      </c>
    </row>
    <row r="24286" spans="1:1">
      <c r="A24286" t="inlineStr">
        <is>
          <t>Sepaka</t>
        </is>
      </c>
    </row>
    <row r="24287" spans="1:1">
      <c r="A24287" t="inlineStr">
        <is>
          <t>Alonganan</t>
        </is>
      </c>
    </row>
    <row r="24288" spans="1:1">
      <c r="A24288" t="inlineStr">
        <is>
          <t>Ambadao</t>
        </is>
      </c>
    </row>
    <row r="24289" spans="1:1">
      <c r="A24289" t="inlineStr">
        <is>
          <t>Balanakan</t>
        </is>
      </c>
    </row>
    <row r="24290" spans="1:1">
      <c r="A24290" t="inlineStr">
        <is>
          <t>Balong</t>
        </is>
      </c>
    </row>
    <row r="24291" spans="1:1">
      <c r="A24291" t="inlineStr">
        <is>
          <t>Buayan</t>
        </is>
      </c>
    </row>
    <row r="24292" spans="1:1">
      <c r="A24292" t="inlineStr">
        <is>
          <t>Dado</t>
        </is>
      </c>
    </row>
    <row r="24293" spans="1:1">
      <c r="A24293" t="inlineStr">
        <is>
          <t>Damabalas</t>
        </is>
      </c>
    </row>
    <row r="24294" spans="1:1">
      <c r="A24294" t="inlineStr">
        <is>
          <t>Duaminanga</t>
        </is>
      </c>
    </row>
    <row r="24295" spans="1:1">
      <c r="A24295" t="inlineStr">
        <is>
          <t>Kalipapa</t>
        </is>
      </c>
    </row>
    <row r="24296" spans="1:1">
      <c r="A24296" t="inlineStr">
        <is>
          <t>Kanguan</t>
        </is>
      </c>
    </row>
    <row r="24297" spans="1:1">
      <c r="A24297" t="inlineStr">
        <is>
          <t>Liong</t>
        </is>
      </c>
    </row>
    <row r="24298" spans="1:1">
      <c r="A24298" t="inlineStr">
        <is>
          <t>Magaslong</t>
        </is>
      </c>
    </row>
    <row r="24299" spans="1:1">
      <c r="A24299" t="inlineStr">
        <is>
          <t>Masigay</t>
        </is>
      </c>
    </row>
    <row r="24300" spans="1:1">
      <c r="A24300" t="inlineStr">
        <is>
          <t>Montay</t>
        </is>
      </c>
    </row>
    <row r="24301" spans="1:1">
      <c r="A24301" t="inlineStr">
        <is>
          <t>Poblacion</t>
        </is>
      </c>
    </row>
    <row r="24302" spans="1:1">
      <c r="A24302" t="inlineStr">
        <is>
          <t>Reina Regente</t>
        </is>
      </c>
    </row>
    <row r="24303" spans="1:1">
      <c r="A24303" t="inlineStr">
        <is>
          <t>Alonganan</t>
        </is>
      </c>
    </row>
    <row r="24304" spans="1:1">
      <c r="A24304" t="inlineStr">
        <is>
          <t>Andavit</t>
        </is>
      </c>
    </row>
    <row r="24305" spans="1:1">
      <c r="A24305" t="inlineStr">
        <is>
          <t>Balanakan</t>
        </is>
      </c>
    </row>
    <row r="24306" spans="1:1">
      <c r="A24306" t="inlineStr">
        <is>
          <t>Buayan</t>
        </is>
      </c>
    </row>
    <row r="24307" spans="1:1">
      <c r="A24307" t="inlineStr">
        <is>
          <t>Butilen</t>
        </is>
      </c>
    </row>
    <row r="24308" spans="1:1">
      <c r="A24308" t="inlineStr">
        <is>
          <t>Dado</t>
        </is>
      </c>
    </row>
    <row r="24309" spans="1:1">
      <c r="A24309" t="inlineStr">
        <is>
          <t>Damabalas</t>
        </is>
      </c>
    </row>
    <row r="24310" spans="1:1">
      <c r="A24310" t="inlineStr">
        <is>
          <t>Duaminanga</t>
        </is>
      </c>
    </row>
    <row r="24311" spans="1:1">
      <c r="A24311" t="inlineStr">
        <is>
          <t>Kalipapa</t>
        </is>
      </c>
    </row>
    <row r="24312" spans="1:1">
      <c r="A24312" t="inlineStr">
        <is>
          <t>Liong</t>
        </is>
      </c>
    </row>
    <row r="24313" spans="1:1">
      <c r="A24313" t="inlineStr">
        <is>
          <t>Magaslong</t>
        </is>
      </c>
    </row>
    <row r="24314" spans="1:1">
      <c r="A24314" t="inlineStr">
        <is>
          <t>Masigay</t>
        </is>
      </c>
    </row>
    <row r="24315" spans="1:1">
      <c r="A24315" t="inlineStr">
        <is>
          <t>Pagatin</t>
        </is>
      </c>
    </row>
    <row r="24316" spans="1:1">
      <c r="A24316" t="inlineStr">
        <is>
          <t>Pandi</t>
        </is>
      </c>
    </row>
    <row r="24317" spans="1:1">
      <c r="A24317" t="inlineStr">
        <is>
          <t>Penditen</t>
        </is>
      </c>
    </row>
    <row r="24318" spans="1:1">
      <c r="A24318" t="inlineStr">
        <is>
          <t>Sambulawan</t>
        </is>
      </c>
    </row>
    <row r="24319" spans="1:1">
      <c r="A24319" t="inlineStr">
        <is>
          <t>Tee</t>
        </is>
      </c>
    </row>
    <row r="24320" spans="1:1">
      <c r="A24320" t="inlineStr">
        <is>
          <t>Dapiawan</t>
        </is>
      </c>
    </row>
    <row r="24321" spans="1:1">
      <c r="A24321" t="inlineStr">
        <is>
          <t>Elian</t>
        </is>
      </c>
    </row>
    <row r="24322" spans="1:1">
      <c r="A24322" t="inlineStr">
        <is>
          <t>Gawang</t>
        </is>
      </c>
    </row>
    <row r="24323" spans="1:1">
      <c r="A24323" t="inlineStr">
        <is>
          <t>Kabengi</t>
        </is>
      </c>
    </row>
    <row r="24324" spans="1:1">
      <c r="A24324" t="inlineStr">
        <is>
          <t>Kitango</t>
        </is>
      </c>
    </row>
    <row r="24325" spans="1:1">
      <c r="A24325" t="inlineStr">
        <is>
          <t>Kitapok</t>
        </is>
      </c>
    </row>
    <row r="24326" spans="1:1">
      <c r="A24326" t="inlineStr">
        <is>
          <t>Madia</t>
        </is>
      </c>
    </row>
    <row r="24327" spans="1:1">
      <c r="A24327" t="inlineStr">
        <is>
          <t>Salbu</t>
        </is>
      </c>
    </row>
    <row r="24328" spans="1:1">
      <c r="A24328" t="inlineStr">
        <is>
          <t>Bulayan</t>
        </is>
      </c>
    </row>
    <row r="24329" spans="1:1">
      <c r="A24329" t="inlineStr">
        <is>
          <t>Iganagampong</t>
        </is>
      </c>
    </row>
    <row r="24330" spans="1:1">
      <c r="A24330" t="inlineStr">
        <is>
          <t>Macalag</t>
        </is>
      </c>
    </row>
    <row r="24331" spans="1:1">
      <c r="A24331" t="inlineStr">
        <is>
          <t>Maitumaig</t>
        </is>
      </c>
    </row>
    <row r="24332" spans="1:1">
      <c r="A24332" t="inlineStr">
        <is>
          <t>Malangog</t>
        </is>
      </c>
    </row>
    <row r="24333" spans="1:1">
      <c r="A24333" t="inlineStr">
        <is>
          <t>Meta</t>
        </is>
      </c>
    </row>
    <row r="24334" spans="1:1">
      <c r="A24334" t="inlineStr">
        <is>
          <t>Panangeti</t>
        </is>
      </c>
    </row>
    <row r="24335" spans="1:1">
      <c r="A24335" t="inlineStr">
        <is>
          <t>Tuntungan</t>
        </is>
      </c>
    </row>
    <row r="24336" spans="1:1">
      <c r="A24336" t="inlineStr">
        <is>
          <t>Badak</t>
        </is>
      </c>
    </row>
    <row r="24337" spans="1:1">
      <c r="A24337" t="inlineStr">
        <is>
          <t>Bulod</t>
        </is>
      </c>
    </row>
    <row r="24338" spans="1:1">
      <c r="A24338" t="inlineStr">
        <is>
          <t>Kaladturan</t>
        </is>
      </c>
    </row>
    <row r="24339" spans="1:1">
      <c r="A24339" t="inlineStr">
        <is>
          <t>Kulasi</t>
        </is>
      </c>
    </row>
    <row r="24340" spans="1:1">
      <c r="A24340" t="inlineStr">
        <is>
          <t>Lao-lao</t>
        </is>
      </c>
    </row>
    <row r="24341" spans="1:1">
      <c r="A24341" t="inlineStr">
        <is>
          <t>Lasangan</t>
        </is>
      </c>
    </row>
    <row r="24342" spans="1:1">
      <c r="A24342" t="inlineStr">
        <is>
          <t>Lower Idtig</t>
        </is>
      </c>
    </row>
    <row r="24343" spans="1:1">
      <c r="A24343" t="inlineStr">
        <is>
          <t>Lumabao</t>
        </is>
      </c>
    </row>
    <row r="24344" spans="1:1">
      <c r="A24344" t="inlineStr">
        <is>
          <t>Makainis</t>
        </is>
      </c>
    </row>
    <row r="24345" spans="1:1">
      <c r="A24345" t="inlineStr">
        <is>
          <t>Midconding</t>
        </is>
      </c>
    </row>
    <row r="24346" spans="1:1">
      <c r="A24346" t="inlineStr">
        <is>
          <t>Midpandacan</t>
        </is>
      </c>
    </row>
    <row r="24347" spans="1:1">
      <c r="A24347" t="inlineStr">
        <is>
          <t>Panosolen</t>
        </is>
      </c>
    </row>
    <row r="24348" spans="1:1">
      <c r="A24348" t="inlineStr">
        <is>
          <t>Pidtiguian</t>
        </is>
      </c>
    </row>
    <row r="24349" spans="1:1">
      <c r="A24349" t="inlineStr">
        <is>
          <t>Quipolot</t>
        </is>
      </c>
    </row>
    <row r="24350" spans="1:1">
      <c r="A24350" t="inlineStr">
        <is>
          <t>Ramcor</t>
        </is>
      </c>
    </row>
    <row r="24351" spans="1:1">
      <c r="A24351" t="inlineStr">
        <is>
          <t>Sadangen</t>
        </is>
      </c>
    </row>
    <row r="24352" spans="1:1">
      <c r="A24352" t="inlineStr">
        <is>
          <t>Sumakubay</t>
        </is>
      </c>
    </row>
    <row r="24353" spans="1:1">
      <c r="A24353" t="inlineStr">
        <is>
          <t>Tonggol</t>
        </is>
      </c>
    </row>
    <row r="24354" spans="1:1">
      <c r="A24354" t="inlineStr">
        <is>
          <t>Upper Lasangan</t>
        </is>
      </c>
    </row>
    <row r="24355" spans="1:1">
      <c r="A24355" t="inlineStr">
        <is>
          <t>Ahan</t>
        </is>
      </c>
    </row>
    <row r="24356" spans="1:1">
      <c r="A24356" t="inlineStr">
        <is>
          <t>Bagan</t>
        </is>
      </c>
    </row>
    <row r="24357" spans="1:1">
      <c r="A24357" t="inlineStr">
        <is>
          <t>Datalpandan</t>
        </is>
      </c>
    </row>
    <row r="24358" spans="1:1">
      <c r="A24358" t="inlineStr">
        <is>
          <t>Kalumamis</t>
        </is>
      </c>
    </row>
    <row r="24359" spans="1:1">
      <c r="A24359" t="inlineStr">
        <is>
          <t>Kateman</t>
        </is>
      </c>
    </row>
    <row r="24360" spans="1:1">
      <c r="A24360" t="inlineStr">
        <is>
          <t>Lambayao</t>
        </is>
      </c>
    </row>
    <row r="24361" spans="1:1">
      <c r="A24361" t="inlineStr">
        <is>
          <t>Macasampen</t>
        </is>
      </c>
    </row>
    <row r="24362" spans="1:1">
      <c r="A24362" t="inlineStr">
        <is>
          <t>Muslim</t>
        </is>
      </c>
    </row>
    <row r="24363" spans="1:1">
      <c r="A24363" t="inlineStr">
        <is>
          <t>Muti</t>
        </is>
      </c>
    </row>
    <row r="24364" spans="1:1">
      <c r="A24364" t="inlineStr">
        <is>
          <t>Sampao</t>
        </is>
      </c>
    </row>
    <row r="24365" spans="1:1">
      <c r="A24365" t="inlineStr">
        <is>
          <t>Tambunan II</t>
        </is>
      </c>
    </row>
    <row r="24366" spans="1:1">
      <c r="A24366" t="inlineStr">
        <is>
          <t>Bagumbong</t>
        </is>
      </c>
    </row>
    <row r="24367" spans="1:1">
      <c r="A24367" t="inlineStr">
        <is>
          <t>Dabenayan</t>
        </is>
      </c>
    </row>
    <row r="24368" spans="1:1">
      <c r="A24368" t="inlineStr">
        <is>
          <t>Daladap</t>
        </is>
      </c>
    </row>
    <row r="24369" spans="1:1">
      <c r="A24369" t="inlineStr">
        <is>
          <t>Dasikil</t>
        </is>
      </c>
    </row>
    <row r="24370" spans="1:1">
      <c r="A24370" t="inlineStr">
        <is>
          <t>Liab</t>
        </is>
      </c>
    </row>
    <row r="24371" spans="1:1">
      <c r="A24371" t="inlineStr">
        <is>
          <t>Libutan</t>
        </is>
      </c>
    </row>
    <row r="24372" spans="1:1">
      <c r="A24372" t="inlineStr">
        <is>
          <t>Lusay</t>
        </is>
      </c>
    </row>
    <row r="24373" spans="1:1">
      <c r="A24373" t="inlineStr">
        <is>
          <t>Mamasapano</t>
        </is>
      </c>
    </row>
    <row r="24374" spans="1:1">
      <c r="A24374" t="inlineStr">
        <is>
          <t>Manongkaling</t>
        </is>
      </c>
    </row>
    <row r="24375" spans="1:1">
      <c r="A24375" t="inlineStr">
        <is>
          <t>Pidsandawan</t>
        </is>
      </c>
    </row>
    <row r="24376" spans="1:1">
      <c r="A24376" t="inlineStr">
        <is>
          <t>Pimbalakan</t>
        </is>
      </c>
    </row>
    <row r="24377" spans="1:1">
      <c r="A24377" t="inlineStr">
        <is>
          <t>Sapakan</t>
        </is>
      </c>
    </row>
    <row r="24378" spans="1:1">
      <c r="A24378" t="inlineStr">
        <is>
          <t>Tuka</t>
        </is>
      </c>
    </row>
    <row r="24379" spans="1:1">
      <c r="A24379" t="inlineStr">
        <is>
          <t>Tukanalipao</t>
        </is>
      </c>
    </row>
    <row r="24380" spans="1:1">
      <c r="A24380" t="inlineStr">
        <is>
          <t>Daladagan</t>
        </is>
      </c>
    </row>
    <row r="24381" spans="1:1">
      <c r="A24381" t="inlineStr">
        <is>
          <t>Kalian</t>
        </is>
      </c>
    </row>
    <row r="24382" spans="1:1">
      <c r="A24382" t="inlineStr">
        <is>
          <t>Luayan</t>
        </is>
      </c>
    </row>
    <row r="24383" spans="1:1">
      <c r="A24383" t="inlineStr">
        <is>
          <t>Paitan</t>
        </is>
      </c>
    </row>
    <row r="24384" spans="1:1">
      <c r="A24384" t="inlineStr">
        <is>
          <t>Panapan</t>
        </is>
      </c>
    </row>
    <row r="24385" spans="1:1">
      <c r="A24385" t="inlineStr">
        <is>
          <t>Tenok</t>
        </is>
      </c>
    </row>
    <row r="24386" spans="1:1">
      <c r="A24386" t="inlineStr">
        <is>
          <t>Tinambulan</t>
        </is>
      </c>
    </row>
    <row r="24387" spans="1:1">
      <c r="A24387" t="inlineStr">
        <is>
          <t>Tumbao</t>
        </is>
      </c>
    </row>
    <row r="24388" spans="1:1">
      <c r="A24388" t="inlineStr">
        <is>
          <t>Balatungkayo</t>
        </is>
      </c>
    </row>
    <row r="24389" spans="1:1">
      <c r="A24389" t="inlineStr">
        <is>
          <t>Bulit</t>
        </is>
      </c>
    </row>
    <row r="24390" spans="1:1">
      <c r="A24390" t="inlineStr">
        <is>
          <t>Bulod</t>
        </is>
      </c>
    </row>
    <row r="24391" spans="1:1">
      <c r="A24391" t="inlineStr">
        <is>
          <t>Dungguan</t>
        </is>
      </c>
    </row>
    <row r="24392" spans="1:1">
      <c r="A24392" t="inlineStr">
        <is>
          <t>Limbalud</t>
        </is>
      </c>
    </row>
    <row r="24393" spans="1:1">
      <c r="A24393" t="inlineStr">
        <is>
          <t>Maridagao</t>
        </is>
      </c>
    </row>
    <row r="24394" spans="1:1">
      <c r="A24394" t="inlineStr">
        <is>
          <t>Nabundas</t>
        </is>
      </c>
    </row>
    <row r="24395" spans="1:1">
      <c r="A24395" t="inlineStr">
        <is>
          <t>Pagagawan</t>
        </is>
      </c>
    </row>
    <row r="24396" spans="1:1">
      <c r="A24396" t="inlineStr">
        <is>
          <t>Talapas</t>
        </is>
      </c>
    </row>
    <row r="24397" spans="1:1">
      <c r="A24397" t="inlineStr">
        <is>
          <t>Talitay</t>
        </is>
      </c>
    </row>
    <row r="24398" spans="1:1">
      <c r="A24398" t="inlineStr">
        <is>
          <t>Tunggol</t>
        </is>
      </c>
    </row>
    <row r="24399" spans="1:1">
      <c r="A24399" t="inlineStr">
        <is>
          <t>Bagoenged</t>
        </is>
      </c>
    </row>
    <row r="24400" spans="1:1">
      <c r="A24400" t="inlineStr">
        <is>
          <t>Buliok</t>
        </is>
      </c>
    </row>
    <row r="24401" spans="1:1">
      <c r="A24401" t="inlineStr">
        <is>
          <t>Dalgan</t>
        </is>
      </c>
    </row>
    <row r="24402" spans="1:1">
      <c r="A24402" t="inlineStr">
        <is>
          <t>Damalasak</t>
        </is>
      </c>
    </row>
    <row r="24403" spans="1:1">
      <c r="A24403" t="inlineStr">
        <is>
          <t>Galakit</t>
        </is>
      </c>
    </row>
    <row r="24404" spans="1:1">
      <c r="A24404" t="inlineStr">
        <is>
          <t>Inug-ug</t>
        </is>
      </c>
    </row>
    <row r="24405" spans="1:1">
      <c r="A24405" t="inlineStr">
        <is>
          <t>Kalbugan</t>
        </is>
      </c>
    </row>
    <row r="24406" spans="1:1">
      <c r="A24406" t="inlineStr">
        <is>
          <t>Kilangan</t>
        </is>
      </c>
    </row>
    <row r="24407" spans="1:1">
      <c r="A24407" t="inlineStr">
        <is>
          <t>Kudal</t>
        </is>
      </c>
    </row>
    <row r="24408" spans="1:1">
      <c r="A24408" t="inlineStr">
        <is>
          <t>Layog</t>
        </is>
      </c>
    </row>
    <row r="24409" spans="1:1">
      <c r="A24409" t="inlineStr">
        <is>
          <t>Linandangan</t>
        </is>
      </c>
    </row>
    <row r="24410" spans="1:1">
      <c r="A24410" t="inlineStr">
        <is>
          <t>Poblacion</t>
        </is>
      </c>
    </row>
    <row r="24411" spans="1:1">
      <c r="A24411" t="inlineStr">
        <is>
          <t>Campo</t>
        </is>
      </c>
    </row>
    <row r="24412" spans="1:1">
      <c r="A24412" t="inlineStr">
        <is>
          <t>Damakling</t>
        </is>
      </c>
    </row>
    <row r="24413" spans="1:1">
      <c r="A24413" t="inlineStr">
        <is>
          <t>Damalusay</t>
        </is>
      </c>
    </row>
    <row r="24414" spans="1:1">
      <c r="A24414" t="inlineStr">
        <is>
          <t>Kakal</t>
        </is>
      </c>
    </row>
    <row r="24415" spans="1:1">
      <c r="A24415" t="inlineStr">
        <is>
          <t>Paglat</t>
        </is>
      </c>
    </row>
    <row r="24416" spans="1:1">
      <c r="A24416" t="inlineStr">
        <is>
          <t>Salam</t>
        </is>
      </c>
    </row>
    <row r="24417" spans="1:1">
      <c r="A24417" t="inlineStr">
        <is>
          <t>Tual</t>
        </is>
      </c>
    </row>
    <row r="24418" spans="1:1">
      <c r="A24418" t="inlineStr">
        <is>
          <t>Upper Idtig</t>
        </is>
      </c>
    </row>
    <row r="24419" spans="1:1">
      <c r="A24419" t="inlineStr">
        <is>
          <t>Kabuling</t>
        </is>
      </c>
    </row>
    <row r="24420" spans="1:1">
      <c r="A24420" t="inlineStr">
        <is>
          <t>Kayaga</t>
        </is>
      </c>
    </row>
    <row r="24421" spans="1:1">
      <c r="A24421" t="inlineStr">
        <is>
          <t>Kayupo</t>
        </is>
      </c>
    </row>
    <row r="24422" spans="1:1">
      <c r="A24422" t="inlineStr">
        <is>
          <t>Lepak</t>
        </is>
      </c>
    </row>
    <row r="24423" spans="1:1">
      <c r="A24423" t="inlineStr">
        <is>
          <t>Lower Dilag</t>
        </is>
      </c>
    </row>
    <row r="24424" spans="1:1">
      <c r="A24424" t="inlineStr">
        <is>
          <t>Malangit</t>
        </is>
      </c>
    </row>
    <row r="24425" spans="1:1">
      <c r="A24425" t="inlineStr">
        <is>
          <t>Pandag</t>
        </is>
      </c>
    </row>
    <row r="24426" spans="1:1">
      <c r="A24426" t="inlineStr">
        <is>
          <t>Upper Dilag</t>
        </is>
      </c>
    </row>
    <row r="24427" spans="1:1">
      <c r="A24427" t="inlineStr">
        <is>
          <t>Baital</t>
        </is>
      </c>
    </row>
    <row r="24428" spans="1:1">
      <c r="A24428" t="inlineStr">
        <is>
          <t>Bakat</t>
        </is>
      </c>
    </row>
    <row r="24429" spans="1:1">
      <c r="A24429" t="inlineStr">
        <is>
          <t>Dapantis</t>
        </is>
      </c>
    </row>
    <row r="24430" spans="1:1">
      <c r="A24430" t="inlineStr">
        <is>
          <t>Gaunan</t>
        </is>
      </c>
    </row>
    <row r="24431" spans="1:1">
      <c r="A24431" t="inlineStr">
        <is>
          <t>Malibpolok</t>
        </is>
      </c>
    </row>
    <row r="24432" spans="1:1">
      <c r="A24432" t="inlineStr">
        <is>
          <t>Mileb</t>
        </is>
      </c>
    </row>
    <row r="24433" spans="1:1">
      <c r="A24433" t="inlineStr">
        <is>
          <t>Panadtaban</t>
        </is>
      </c>
    </row>
    <row r="24434" spans="1:1">
      <c r="A24434" t="inlineStr">
        <is>
          <t>Pidsandawan</t>
        </is>
      </c>
    </row>
    <row r="24435" spans="1:1">
      <c r="A24435" t="inlineStr">
        <is>
          <t>Sampao</t>
        </is>
      </c>
    </row>
    <row r="24436" spans="1:1">
      <c r="A24436" t="inlineStr">
        <is>
          <t>Sapakan</t>
        </is>
      </c>
    </row>
    <row r="24437" spans="1:1">
      <c r="A24437" t="inlineStr">
        <is>
          <t>Tabungao</t>
        </is>
      </c>
    </row>
    <row r="24438" spans="1:1">
      <c r="A24438" t="inlineStr">
        <is>
          <t>Bagong</t>
        </is>
      </c>
    </row>
    <row r="24439" spans="1:1">
      <c r="A24439" t="inlineStr">
        <is>
          <t>Bialong</t>
        </is>
      </c>
    </row>
    <row r="24440" spans="1:1">
      <c r="A24440" t="inlineStr">
        <is>
          <t>Kuloy</t>
        </is>
      </c>
    </row>
    <row r="24441" spans="1:1">
      <c r="A24441" t="inlineStr">
        <is>
          <t>Labu-labu</t>
        </is>
      </c>
    </row>
    <row r="24442" spans="1:1">
      <c r="A24442" t="inlineStr">
        <is>
          <t>Lapok</t>
        </is>
      </c>
    </row>
    <row r="24443" spans="1:1">
      <c r="A24443" t="inlineStr">
        <is>
          <t>Malingao</t>
        </is>
      </c>
    </row>
    <row r="24444" spans="1:1">
      <c r="A24444" t="inlineStr">
        <is>
          <t>Poblacion</t>
        </is>
      </c>
    </row>
    <row r="24445" spans="1:1">
      <c r="A24445" t="inlineStr">
        <is>
          <t>Poblacion I</t>
        </is>
      </c>
    </row>
    <row r="24446" spans="1:1">
      <c r="A24446" t="inlineStr">
        <is>
          <t>Poblacion II</t>
        </is>
      </c>
    </row>
    <row r="24447" spans="1:1">
      <c r="A24447" t="inlineStr">
        <is>
          <t>Satan</t>
        </is>
      </c>
    </row>
    <row r="24448" spans="1:1">
      <c r="A24448" t="inlineStr">
        <is>
          <t>Tapikan</t>
        </is>
      </c>
    </row>
    <row r="24449" spans="1:1">
      <c r="A24449" t="inlineStr">
        <is>
          <t>Timbangan</t>
        </is>
      </c>
    </row>
    <row r="24450" spans="1:1">
      <c r="A24450" t="inlineStr">
        <is>
          <t>Tina</t>
        </is>
      </c>
    </row>
    <row r="24451" spans="1:1">
      <c r="A24451" t="inlineStr">
        <is>
          <t>Bakat</t>
        </is>
      </c>
    </row>
    <row r="24452" spans="1:1">
      <c r="A24452" t="inlineStr">
        <is>
          <t>Dale-Bong</t>
        </is>
      </c>
    </row>
    <row r="24453" spans="1:1">
      <c r="A24453" t="inlineStr">
        <is>
          <t>Dasawao</t>
        </is>
      </c>
    </row>
    <row r="24454" spans="1:1">
      <c r="A24454" t="inlineStr">
        <is>
          <t>Datu Bakal</t>
        </is>
      </c>
    </row>
    <row r="24455" spans="1:1">
      <c r="A24455" t="inlineStr">
        <is>
          <t>Datu Kilay</t>
        </is>
      </c>
    </row>
    <row r="24456" spans="1:1">
      <c r="A24456" t="inlineStr">
        <is>
          <t>Duguengen</t>
        </is>
      </c>
    </row>
    <row r="24457" spans="1:1">
      <c r="A24457" t="inlineStr">
        <is>
          <t>Ganta</t>
        </is>
      </c>
    </row>
    <row r="24458" spans="1:1">
      <c r="A24458" t="inlineStr">
        <is>
          <t>Inaladan</t>
        </is>
      </c>
    </row>
    <row r="24459" spans="1:1">
      <c r="A24459" t="inlineStr">
        <is>
          <t>Libutan</t>
        </is>
      </c>
    </row>
    <row r="24460" spans="1:1">
      <c r="A24460" t="inlineStr">
        <is>
          <t>Linantangan</t>
        </is>
      </c>
    </row>
    <row r="24461" spans="1:1">
      <c r="A24461" t="inlineStr">
        <is>
          <t>Nabundas</t>
        </is>
      </c>
    </row>
    <row r="24462" spans="1:1">
      <c r="A24462" t="inlineStr">
        <is>
          <t>Pagatin</t>
        </is>
      </c>
    </row>
    <row r="24463" spans="1:1">
      <c r="A24463" t="inlineStr">
        <is>
          <t>Pagatin (Pagatin I)</t>
        </is>
      </c>
    </row>
    <row r="24464" spans="1:1">
      <c r="A24464" t="inlineStr">
        <is>
          <t>Pamalian</t>
        </is>
      </c>
    </row>
    <row r="24465" spans="1:1">
      <c r="A24465" t="inlineStr">
        <is>
          <t>Pikeg</t>
        </is>
      </c>
    </row>
    <row r="24466" spans="1:1">
      <c r="A24466" t="inlineStr">
        <is>
          <t>Pusao</t>
        </is>
      </c>
    </row>
    <row r="24467" spans="1:1">
      <c r="A24467" t="inlineStr">
        <is>
          <t>Biarong</t>
        </is>
      </c>
    </row>
    <row r="24468" spans="1:1">
      <c r="A24468" t="inlineStr">
        <is>
          <t>Bongo</t>
        </is>
      </c>
    </row>
    <row r="24469" spans="1:1">
      <c r="A24469" t="inlineStr">
        <is>
          <t>Itaw</t>
        </is>
      </c>
    </row>
    <row r="24470" spans="1:1">
      <c r="A24470" t="inlineStr">
        <is>
          <t>Kigan</t>
        </is>
      </c>
    </row>
    <row r="24471" spans="1:1">
      <c r="A24471" t="inlineStr">
        <is>
          <t>Kuya</t>
        </is>
      </c>
    </row>
    <row r="24472" spans="1:1">
      <c r="A24472" t="inlineStr">
        <is>
          <t>Lamud</t>
        </is>
      </c>
    </row>
    <row r="24473" spans="1:1">
      <c r="A24473" t="inlineStr">
        <is>
          <t>Looy</t>
        </is>
      </c>
    </row>
    <row r="24474" spans="1:1">
      <c r="A24474" t="inlineStr">
        <is>
          <t>Pandan</t>
        </is>
      </c>
    </row>
    <row r="24475" spans="1:1">
      <c r="A24475" t="inlineStr">
        <is>
          <t>Pilar</t>
        </is>
      </c>
    </row>
    <row r="24476" spans="1:1">
      <c r="A24476" t="inlineStr">
        <is>
          <t>Romangaob</t>
        </is>
      </c>
    </row>
    <row r="24477" spans="1:1">
      <c r="A24477" t="inlineStr">
        <is>
          <t>San Jose</t>
        </is>
      </c>
    </row>
    <row r="24478" spans="1:1">
      <c r="A24478" t="inlineStr">
        <is>
          <t>Angkayamat</t>
        </is>
      </c>
    </row>
    <row r="24479" spans="1:1">
      <c r="A24479" t="inlineStr">
        <is>
          <t>Barurao</t>
        </is>
      </c>
    </row>
    <row r="24480" spans="1:1">
      <c r="A24480" t="inlineStr">
        <is>
          <t>Bulod</t>
        </is>
      </c>
    </row>
    <row r="24481" spans="1:1">
      <c r="A24481" t="inlineStr">
        <is>
          <t>Darampua</t>
        </is>
      </c>
    </row>
    <row r="24482" spans="1:1">
      <c r="A24482" t="inlineStr">
        <is>
          <t>Gadungan</t>
        </is>
      </c>
    </row>
    <row r="24483" spans="1:1">
      <c r="A24483" t="inlineStr">
        <is>
          <t>Kulambog</t>
        </is>
      </c>
    </row>
    <row r="24484" spans="1:1">
      <c r="A24484" t="inlineStr">
        <is>
          <t>Langgapanan</t>
        </is>
      </c>
    </row>
    <row r="24485" spans="1:1">
      <c r="A24485" t="inlineStr">
        <is>
          <t>Masulot</t>
        </is>
      </c>
    </row>
    <row r="24486" spans="1:1">
      <c r="A24486" t="inlineStr">
        <is>
          <t>Paldong</t>
        </is>
      </c>
    </row>
    <row r="24487" spans="1:1">
      <c r="A24487" t="inlineStr">
        <is>
          <t>Papakan</t>
        </is>
      </c>
    </row>
    <row r="24488" spans="1:1">
      <c r="A24488" t="inlineStr">
        <is>
          <t>Tugal</t>
        </is>
      </c>
    </row>
    <row r="24489" spans="1:1">
      <c r="A24489" t="inlineStr">
        <is>
          <t>Tukanakuden</t>
        </is>
      </c>
    </row>
    <row r="24490" spans="1:1">
      <c r="A24490" t="inlineStr">
        <is>
          <t>Binangga North</t>
        </is>
      </c>
    </row>
    <row r="24491" spans="1:1">
      <c r="A24491" t="inlineStr">
        <is>
          <t>Binangga South</t>
        </is>
      </c>
    </row>
    <row r="24492" spans="1:1">
      <c r="A24492" t="inlineStr">
        <is>
          <t>Boboguiron</t>
        </is>
      </c>
    </row>
    <row r="24493" spans="1:1">
      <c r="A24493" t="inlineStr">
        <is>
          <t>Damablac</t>
        </is>
      </c>
    </row>
    <row r="24494" spans="1:1">
      <c r="A24494" t="inlineStr">
        <is>
          <t>Fugotan</t>
        </is>
      </c>
    </row>
    <row r="24495" spans="1:1">
      <c r="A24495" t="inlineStr">
        <is>
          <t>Fukol</t>
        </is>
      </c>
    </row>
    <row r="24496" spans="1:1">
      <c r="A24496" t="inlineStr">
        <is>
          <t>Katibpuan</t>
        </is>
      </c>
    </row>
    <row r="24497" spans="1:1">
      <c r="A24497" t="inlineStr">
        <is>
          <t>Kedati</t>
        </is>
      </c>
    </row>
    <row r="24498" spans="1:1">
      <c r="A24498" t="inlineStr">
        <is>
          <t>Lanting</t>
        </is>
      </c>
    </row>
    <row r="24499" spans="1:1">
      <c r="A24499" t="inlineStr">
        <is>
          <t>Linamunan</t>
        </is>
      </c>
    </row>
    <row r="24500" spans="1:1">
      <c r="A24500" t="inlineStr">
        <is>
          <t>Marader</t>
        </is>
      </c>
    </row>
    <row r="24501" spans="1:1">
      <c r="A24501" t="inlineStr">
        <is>
          <t>Talayan</t>
        </is>
      </c>
    </row>
    <row r="24502" spans="1:1">
      <c r="A24502" t="inlineStr">
        <is>
          <t>Tamar</t>
        </is>
      </c>
    </row>
    <row r="24503" spans="1:1">
      <c r="A24503" t="inlineStr">
        <is>
          <t>Tambunan I</t>
        </is>
      </c>
    </row>
    <row r="24504" spans="1:1">
      <c r="A24504" t="inlineStr">
        <is>
          <t>Timbaluan</t>
        </is>
      </c>
    </row>
    <row r="24505" spans="1:1">
      <c r="A24505" t="inlineStr">
        <is>
          <t>Agot</t>
        </is>
      </c>
    </row>
    <row r="24506" spans="1:1">
      <c r="A24506" t="inlineStr">
        <is>
          <t>Agumaymayan</t>
        </is>
      </c>
    </row>
    <row r="24507" spans="1:1">
      <c r="A24507" t="inlineStr">
        <is>
          <t>Amoingon</t>
        </is>
      </c>
    </row>
    <row r="24508" spans="1:1">
      <c r="A24508" t="inlineStr">
        <is>
          <t>Apitong</t>
        </is>
      </c>
    </row>
    <row r="24509" spans="1:1">
      <c r="A24509" t="inlineStr">
        <is>
          <t>Balagasan</t>
        </is>
      </c>
    </row>
    <row r="24510" spans="1:1">
      <c r="A24510" t="inlineStr">
        <is>
          <t>Balaring</t>
        </is>
      </c>
    </row>
    <row r="24511" spans="1:1">
      <c r="A24511" t="inlineStr">
        <is>
          <t>Balimbing</t>
        </is>
      </c>
    </row>
    <row r="24512" spans="1:1">
      <c r="A24512" t="inlineStr">
        <is>
          <t>Balogo</t>
        </is>
      </c>
    </row>
    <row r="24513" spans="1:1">
      <c r="A24513" t="inlineStr">
        <is>
          <t>Bamban</t>
        </is>
      </c>
    </row>
    <row r="24514" spans="1:1">
      <c r="A24514" t="inlineStr">
        <is>
          <t>Bangbangalon</t>
        </is>
      </c>
    </row>
    <row r="24515" spans="1:1">
      <c r="A24515" t="inlineStr">
        <is>
          <t>Bantad</t>
        </is>
      </c>
    </row>
    <row r="24516" spans="1:1">
      <c r="A24516" t="inlineStr">
        <is>
          <t>Bantay</t>
        </is>
      </c>
    </row>
    <row r="24517" spans="1:1">
      <c r="A24517" t="inlineStr">
        <is>
          <t>Bayuti</t>
        </is>
      </c>
    </row>
    <row r="24518" spans="1:1">
      <c r="A24518" t="inlineStr">
        <is>
          <t>Binunga</t>
        </is>
      </c>
    </row>
    <row r="24519" spans="1:1">
      <c r="A24519" t="inlineStr">
        <is>
          <t>Boi</t>
        </is>
      </c>
    </row>
    <row r="24520" spans="1:1">
      <c r="A24520" t="inlineStr">
        <is>
          <t>Boton</t>
        </is>
      </c>
    </row>
    <row r="24521" spans="1:1">
      <c r="A24521" t="inlineStr">
        <is>
          <t>Buliasnin</t>
        </is>
      </c>
    </row>
    <row r="24522" spans="1:1">
      <c r="A24522" t="inlineStr">
        <is>
          <t>Bunganay</t>
        </is>
      </c>
    </row>
    <row r="24523" spans="1:1">
      <c r="A24523" t="inlineStr">
        <is>
          <t>Caganhao</t>
        </is>
      </c>
    </row>
    <row r="24524" spans="1:1">
      <c r="A24524" t="inlineStr">
        <is>
          <t>Canat</t>
        </is>
      </c>
    </row>
    <row r="24525" spans="1:1">
      <c r="A24525" t="inlineStr">
        <is>
          <t>Catubugan</t>
        </is>
      </c>
    </row>
    <row r="24526" spans="1:1">
      <c r="A24526" t="inlineStr">
        <is>
          <t>Cawit</t>
        </is>
      </c>
    </row>
    <row r="24527" spans="1:1">
      <c r="A24527" t="inlineStr">
        <is>
          <t>Daig</t>
        </is>
      </c>
    </row>
    <row r="24528" spans="1:1">
      <c r="A24528" t="inlineStr">
        <is>
          <t>Daypay</t>
        </is>
      </c>
    </row>
    <row r="24529" spans="1:1">
      <c r="A24529" t="inlineStr">
        <is>
          <t>Duyay</t>
        </is>
      </c>
    </row>
    <row r="24530" spans="1:1">
      <c r="A24530" t="inlineStr">
        <is>
          <t>Hinapulan</t>
        </is>
      </c>
    </row>
    <row r="24531" spans="1:1">
      <c r="A24531" t="inlineStr">
        <is>
          <t>Ihatub</t>
        </is>
      </c>
    </row>
    <row r="24532" spans="1:1">
      <c r="A24532" t="inlineStr">
        <is>
          <t>Isok I</t>
        </is>
      </c>
    </row>
    <row r="24533" spans="1:1">
      <c r="A24533" t="inlineStr">
        <is>
          <t>Isok II Pob.</t>
        </is>
      </c>
    </row>
    <row r="24534" spans="1:1">
      <c r="A24534" t="inlineStr">
        <is>
          <t>Laylay</t>
        </is>
      </c>
    </row>
    <row r="24535" spans="1:1">
      <c r="A24535" t="inlineStr">
        <is>
          <t>Lupac</t>
        </is>
      </c>
    </row>
    <row r="24536" spans="1:1">
      <c r="A24536" t="inlineStr">
        <is>
          <t>Mahinhin</t>
        </is>
      </c>
    </row>
    <row r="24537" spans="1:1">
      <c r="A24537" t="inlineStr">
        <is>
          <t>Mainit</t>
        </is>
      </c>
    </row>
    <row r="24538" spans="1:1">
      <c r="A24538" t="inlineStr">
        <is>
          <t>Malbog</t>
        </is>
      </c>
    </row>
    <row r="24539" spans="1:1">
      <c r="A24539" t="inlineStr">
        <is>
          <t>Maligaya</t>
        </is>
      </c>
    </row>
    <row r="24540" spans="1:1">
      <c r="A24540" t="inlineStr">
        <is>
          <t>Malusak</t>
        </is>
      </c>
    </row>
    <row r="24541" spans="1:1">
      <c r="A24541" t="inlineStr">
        <is>
          <t>Mansiwat</t>
        </is>
      </c>
    </row>
    <row r="24542" spans="1:1">
      <c r="A24542" t="inlineStr">
        <is>
          <t>Mataas Na Bayan</t>
        </is>
      </c>
    </row>
    <row r="24543" spans="1:1">
      <c r="A24543" t="inlineStr">
        <is>
          <t>Maybo</t>
        </is>
      </c>
    </row>
    <row r="24544" spans="1:1">
      <c r="A24544" t="inlineStr">
        <is>
          <t>Mercado</t>
        </is>
      </c>
    </row>
    <row r="24545" spans="1:1">
      <c r="A24545" t="inlineStr">
        <is>
          <t>Murallon</t>
        </is>
      </c>
    </row>
    <row r="24546" spans="1:1">
      <c r="A24546" t="inlineStr">
        <is>
          <t>Ogbac</t>
        </is>
      </c>
    </row>
    <row r="24547" spans="1:1">
      <c r="A24547" t="inlineStr">
        <is>
          <t>Pawa</t>
        </is>
      </c>
    </row>
    <row r="24548" spans="1:1">
      <c r="A24548" t="inlineStr">
        <is>
          <t>Pili</t>
        </is>
      </c>
    </row>
    <row r="24549" spans="1:1">
      <c r="A24549" t="inlineStr">
        <is>
          <t>Poctoy</t>
        </is>
      </c>
    </row>
    <row r="24550" spans="1:1">
      <c r="A24550" t="inlineStr">
        <is>
          <t>Poras</t>
        </is>
      </c>
    </row>
    <row r="24551" spans="1:1">
      <c r="A24551" t="inlineStr">
        <is>
          <t>Puting Buhangin</t>
        </is>
      </c>
    </row>
    <row r="24552" spans="1:1">
      <c r="A24552" t="inlineStr">
        <is>
          <t>Puyog</t>
        </is>
      </c>
    </row>
    <row r="24553" spans="1:1">
      <c r="A24553" t="inlineStr">
        <is>
          <t>Sabong</t>
        </is>
      </c>
    </row>
    <row r="24554" spans="1:1">
      <c r="A24554" t="inlineStr">
        <is>
          <t>San Miguel</t>
        </is>
      </c>
    </row>
    <row r="24555" spans="1:1">
      <c r="A24555" t="inlineStr">
        <is>
          <t>Santol</t>
        </is>
      </c>
    </row>
    <row r="24556" spans="1:1">
      <c r="A24556" t="inlineStr">
        <is>
          <t>Sawi</t>
        </is>
      </c>
    </row>
    <row r="24557" spans="1:1">
      <c r="A24557" t="inlineStr">
        <is>
          <t>Tabi</t>
        </is>
      </c>
    </row>
    <row r="24558" spans="1:1">
      <c r="A24558" t="inlineStr">
        <is>
          <t>Tabigue</t>
        </is>
      </c>
    </row>
    <row r="24559" spans="1:1">
      <c r="A24559" t="inlineStr">
        <is>
          <t>Tagwak</t>
        </is>
      </c>
    </row>
    <row r="24560" spans="1:1">
      <c r="A24560" t="inlineStr">
        <is>
          <t>Tambunan</t>
        </is>
      </c>
    </row>
    <row r="24561" spans="1:1">
      <c r="A24561" t="inlineStr">
        <is>
          <t>Tampus</t>
        </is>
      </c>
    </row>
    <row r="24562" spans="1:1">
      <c r="A24562" t="inlineStr">
        <is>
          <t>Tanza</t>
        </is>
      </c>
    </row>
    <row r="24563" spans="1:1">
      <c r="A24563" t="inlineStr">
        <is>
          <t>Tugos</t>
        </is>
      </c>
    </row>
    <row r="24564" spans="1:1">
      <c r="A24564" t="inlineStr">
        <is>
          <t>Tumagabok</t>
        </is>
      </c>
    </row>
    <row r="24565" spans="1:1">
      <c r="A24565" t="inlineStr">
        <is>
          <t>Tumapon</t>
        </is>
      </c>
    </row>
    <row r="24566" spans="1:1">
      <c r="A24566" t="inlineStr">
        <is>
          <t>Bagacay</t>
        </is>
      </c>
    </row>
    <row r="24567" spans="1:1">
      <c r="A24567" t="inlineStr">
        <is>
          <t>Bagtingon</t>
        </is>
      </c>
    </row>
    <row r="24568" spans="1:1">
      <c r="A24568" t="inlineStr">
        <is>
          <t>Barangay I</t>
        </is>
      </c>
    </row>
    <row r="24569" spans="1:1">
      <c r="A24569" t="inlineStr">
        <is>
          <t>Barangay II</t>
        </is>
      </c>
    </row>
    <row r="24570" spans="1:1">
      <c r="A24570" t="inlineStr">
        <is>
          <t>Barangay III</t>
        </is>
      </c>
    </row>
    <row r="24571" spans="1:1">
      <c r="A24571" t="inlineStr">
        <is>
          <t>Barangay IV</t>
        </is>
      </c>
    </row>
    <row r="24572" spans="1:1">
      <c r="A24572" t="inlineStr">
        <is>
          <t>Bicas-bicas</t>
        </is>
      </c>
    </row>
    <row r="24573" spans="1:1">
      <c r="A24573" t="inlineStr">
        <is>
          <t>Caigangan</t>
        </is>
      </c>
    </row>
    <row r="24574" spans="1:1">
      <c r="A24574" t="inlineStr">
        <is>
          <t>Daykitin</t>
        </is>
      </c>
    </row>
    <row r="24575" spans="1:1">
      <c r="A24575" t="inlineStr">
        <is>
          <t>Libas</t>
        </is>
      </c>
    </row>
    <row r="24576" spans="1:1">
      <c r="A24576" t="inlineStr">
        <is>
          <t>Malbog</t>
        </is>
      </c>
    </row>
    <row r="24577" spans="1:1">
      <c r="A24577" t="inlineStr">
        <is>
          <t>Sihi</t>
        </is>
      </c>
    </row>
    <row r="24578" spans="1:1">
      <c r="A24578" t="inlineStr">
        <is>
          <t>Timbo</t>
        </is>
      </c>
    </row>
    <row r="24579" spans="1:1">
      <c r="A24579" t="inlineStr">
        <is>
          <t>Tungib-Lipata</t>
        </is>
      </c>
    </row>
    <row r="24580" spans="1:1">
      <c r="A24580" t="inlineStr">
        <is>
          <t>Yook</t>
        </is>
      </c>
    </row>
    <row r="24581" spans="1:1">
      <c r="A24581" t="inlineStr">
        <is>
          <t>Antipolo</t>
        </is>
      </c>
    </row>
    <row r="24582" spans="1:1">
      <c r="A24582" t="inlineStr">
        <is>
          <t>Bachao Ibaba</t>
        </is>
      </c>
    </row>
    <row r="24583" spans="1:1">
      <c r="A24583" t="inlineStr">
        <is>
          <t>Bachao Ilaya</t>
        </is>
      </c>
    </row>
    <row r="24584" spans="1:1">
      <c r="A24584" t="inlineStr">
        <is>
          <t>Bacongbacong</t>
        </is>
      </c>
    </row>
    <row r="24585" spans="1:1">
      <c r="A24585" t="inlineStr">
        <is>
          <t>Bahi</t>
        </is>
      </c>
    </row>
    <row r="24586" spans="1:1">
      <c r="A24586" t="inlineStr">
        <is>
          <t>Bangbang</t>
        </is>
      </c>
    </row>
    <row r="24587" spans="1:1">
      <c r="A24587" t="inlineStr">
        <is>
          <t>Banot</t>
        </is>
      </c>
    </row>
    <row r="24588" spans="1:1">
      <c r="A24588" t="inlineStr">
        <is>
          <t>Banuyo</t>
        </is>
      </c>
    </row>
    <row r="24589" spans="1:1">
      <c r="A24589" t="inlineStr">
        <is>
          <t>Barangay I</t>
        </is>
      </c>
    </row>
    <row r="24590" spans="1:1">
      <c r="A24590" t="inlineStr">
        <is>
          <t>Barangay II</t>
        </is>
      </c>
    </row>
    <row r="24591" spans="1:1">
      <c r="A24591" t="inlineStr">
        <is>
          <t>Barangay III</t>
        </is>
      </c>
    </row>
    <row r="24592" spans="1:1">
      <c r="A24592" t="inlineStr">
        <is>
          <t>Bognuyan</t>
        </is>
      </c>
    </row>
    <row r="24593" spans="1:1">
      <c r="A24593" t="inlineStr">
        <is>
          <t>Cabugao</t>
        </is>
      </c>
    </row>
    <row r="24594" spans="1:1">
      <c r="A24594" t="inlineStr">
        <is>
          <t>Dawis</t>
        </is>
      </c>
    </row>
    <row r="24595" spans="1:1">
      <c r="A24595" t="inlineStr">
        <is>
          <t>Dili</t>
        </is>
      </c>
    </row>
    <row r="24596" spans="1:1">
      <c r="A24596" t="inlineStr">
        <is>
          <t>Libtangin</t>
        </is>
      </c>
    </row>
    <row r="24597" spans="1:1">
      <c r="A24597" t="inlineStr">
        <is>
          <t>Mahunig</t>
        </is>
      </c>
    </row>
    <row r="24598" spans="1:1">
      <c r="A24598" t="inlineStr">
        <is>
          <t>Mangiliol</t>
        </is>
      </c>
    </row>
    <row r="24599" spans="1:1">
      <c r="A24599" t="inlineStr">
        <is>
          <t>Masiga</t>
        </is>
      </c>
    </row>
    <row r="24600" spans="1:1">
      <c r="A24600" t="inlineStr">
        <is>
          <t>Matandang Gasan</t>
        </is>
      </c>
    </row>
    <row r="24601" spans="1:1">
      <c r="A24601" t="inlineStr">
        <is>
          <t>Pangi</t>
        </is>
      </c>
    </row>
    <row r="24602" spans="1:1">
      <c r="A24602" t="inlineStr">
        <is>
          <t>Pinggan</t>
        </is>
      </c>
    </row>
    <row r="24603" spans="1:1">
      <c r="A24603" t="inlineStr">
        <is>
          <t>Tabionan</t>
        </is>
      </c>
    </row>
    <row r="24604" spans="1:1">
      <c r="A24604" t="inlineStr">
        <is>
          <t>Tapuyan</t>
        </is>
      </c>
    </row>
    <row r="24605" spans="1:1">
      <c r="A24605" t="inlineStr">
        <is>
          <t>Tiguion</t>
        </is>
      </c>
    </row>
    <row r="24606" spans="1:1">
      <c r="A24606" t="inlineStr">
        <is>
          <t>Anapog-Sibucao</t>
        </is>
      </c>
    </row>
    <row r="24607" spans="1:1">
      <c r="A24607" t="inlineStr">
        <is>
          <t>Argao</t>
        </is>
      </c>
    </row>
    <row r="24608" spans="1:1">
      <c r="A24608" t="inlineStr">
        <is>
          <t>Balanacan</t>
        </is>
      </c>
    </row>
    <row r="24609" spans="1:1">
      <c r="A24609" t="inlineStr">
        <is>
          <t>Banto</t>
        </is>
      </c>
    </row>
    <row r="24610" spans="1:1">
      <c r="A24610" t="inlineStr">
        <is>
          <t>Bintakay</t>
        </is>
      </c>
    </row>
    <row r="24611" spans="1:1">
      <c r="A24611" t="inlineStr">
        <is>
          <t>Bocboc</t>
        </is>
      </c>
    </row>
    <row r="24612" spans="1:1">
      <c r="A24612" t="inlineStr">
        <is>
          <t>Butansapa</t>
        </is>
      </c>
    </row>
    <row r="24613" spans="1:1">
      <c r="A24613" t="inlineStr">
        <is>
          <t>Candahon</t>
        </is>
      </c>
    </row>
    <row r="24614" spans="1:1">
      <c r="A24614" t="inlineStr">
        <is>
          <t>Capayang</t>
        </is>
      </c>
    </row>
    <row r="24615" spans="1:1">
      <c r="A24615" t="inlineStr">
        <is>
          <t>Danao</t>
        </is>
      </c>
    </row>
    <row r="24616" spans="1:1">
      <c r="A24616" t="inlineStr">
        <is>
          <t>Dulong Bayan</t>
        </is>
      </c>
    </row>
    <row r="24617" spans="1:1">
      <c r="A24617" t="inlineStr">
        <is>
          <t>Gitnang Bayan</t>
        </is>
      </c>
    </row>
    <row r="24618" spans="1:1">
      <c r="A24618" t="inlineStr">
        <is>
          <t>Guisian</t>
        </is>
      </c>
    </row>
    <row r="24619" spans="1:1">
      <c r="A24619" t="inlineStr">
        <is>
          <t>Hinadharan</t>
        </is>
      </c>
    </row>
    <row r="24620" spans="1:1">
      <c r="A24620" t="inlineStr">
        <is>
          <t>Hinanggayon</t>
        </is>
      </c>
    </row>
    <row r="24621" spans="1:1">
      <c r="A24621" t="inlineStr">
        <is>
          <t>Ino</t>
        </is>
      </c>
    </row>
    <row r="24622" spans="1:1">
      <c r="A24622" t="inlineStr">
        <is>
          <t>Janagdong</t>
        </is>
      </c>
    </row>
    <row r="24623" spans="1:1">
      <c r="A24623" t="inlineStr">
        <is>
          <t>Lamesa</t>
        </is>
      </c>
    </row>
    <row r="24624" spans="1:1">
      <c r="A24624" t="inlineStr">
        <is>
          <t>Laon</t>
        </is>
      </c>
    </row>
    <row r="24625" spans="1:1">
      <c r="A24625" t="inlineStr">
        <is>
          <t>Magapua</t>
        </is>
      </c>
    </row>
    <row r="24626" spans="1:1">
      <c r="A24626" t="inlineStr">
        <is>
          <t>Malayak</t>
        </is>
      </c>
    </row>
    <row r="24627" spans="1:1">
      <c r="A24627" t="inlineStr">
        <is>
          <t>Malusak</t>
        </is>
      </c>
    </row>
    <row r="24628" spans="1:1">
      <c r="A24628" t="inlineStr">
        <is>
          <t>Mampaitan</t>
        </is>
      </c>
    </row>
    <row r="24629" spans="1:1">
      <c r="A24629" t="inlineStr">
        <is>
          <t>Mangyan-Mababad</t>
        </is>
      </c>
    </row>
    <row r="24630" spans="1:1">
      <c r="A24630" t="inlineStr">
        <is>
          <t>Market Site</t>
        </is>
      </c>
    </row>
    <row r="24631" spans="1:1">
      <c r="A24631" t="inlineStr">
        <is>
          <t>Mataas Na Bayan</t>
        </is>
      </c>
    </row>
    <row r="24632" spans="1:1">
      <c r="A24632" t="inlineStr">
        <is>
          <t>Mendez</t>
        </is>
      </c>
    </row>
    <row r="24633" spans="1:1">
      <c r="A24633" t="inlineStr">
        <is>
          <t>Nangka I</t>
        </is>
      </c>
    </row>
    <row r="24634" spans="1:1">
      <c r="A24634" t="inlineStr">
        <is>
          <t>Nangka II</t>
        </is>
      </c>
    </row>
    <row r="24635" spans="1:1">
      <c r="A24635" t="inlineStr">
        <is>
          <t>Paye</t>
        </is>
      </c>
    </row>
    <row r="24636" spans="1:1">
      <c r="A24636" t="inlineStr">
        <is>
          <t>Pili</t>
        </is>
      </c>
    </row>
    <row r="24637" spans="1:1">
      <c r="A24637" t="inlineStr">
        <is>
          <t>Puting Buhangin</t>
        </is>
      </c>
    </row>
    <row r="24638" spans="1:1">
      <c r="A24638" t="inlineStr">
        <is>
          <t>Sayao</t>
        </is>
      </c>
    </row>
    <row r="24639" spans="1:1">
      <c r="A24639" t="inlineStr">
        <is>
          <t>Silangan</t>
        </is>
      </c>
    </row>
    <row r="24640" spans="1:1">
      <c r="A24640" t="inlineStr">
        <is>
          <t>Sumangga</t>
        </is>
      </c>
    </row>
    <row r="24641" spans="1:1">
      <c r="A24641" t="inlineStr">
        <is>
          <t>Tarug</t>
        </is>
      </c>
    </row>
    <row r="24642" spans="1:1">
      <c r="A24642" t="inlineStr">
        <is>
          <t>Villa Mendez</t>
        </is>
      </c>
    </row>
    <row r="24643" spans="1:1">
      <c r="A24643" t="inlineStr">
        <is>
          <t>Alobo</t>
        </is>
      </c>
    </row>
    <row r="24644" spans="1:1">
      <c r="A24644" t="inlineStr">
        <is>
          <t>Angas</t>
        </is>
      </c>
    </row>
    <row r="24645" spans="1:1">
      <c r="A24645" t="inlineStr">
        <is>
          <t>Aturan</t>
        </is>
      </c>
    </row>
    <row r="24646" spans="1:1">
      <c r="A24646" t="inlineStr">
        <is>
          <t>Bagong Silang Pob.</t>
        </is>
      </c>
    </row>
    <row r="24647" spans="1:1">
      <c r="A24647" t="inlineStr">
        <is>
          <t>Baguidbirin</t>
        </is>
      </c>
    </row>
    <row r="24648" spans="1:1">
      <c r="A24648" t="inlineStr">
        <is>
          <t>Baliis</t>
        </is>
      </c>
    </row>
    <row r="24649" spans="1:1">
      <c r="A24649" t="inlineStr">
        <is>
          <t>Balogo</t>
        </is>
      </c>
    </row>
    <row r="24650" spans="1:1">
      <c r="A24650" t="inlineStr">
        <is>
          <t>Banahaw Pob.</t>
        </is>
      </c>
    </row>
    <row r="24651" spans="1:1">
      <c r="A24651" t="inlineStr">
        <is>
          <t>Bangcuangan</t>
        </is>
      </c>
    </row>
    <row r="24652" spans="1:1">
      <c r="A24652" t="inlineStr">
        <is>
          <t>Banogbog</t>
        </is>
      </c>
    </row>
    <row r="24653" spans="1:1">
      <c r="A24653" t="inlineStr">
        <is>
          <t>Biga</t>
        </is>
      </c>
    </row>
    <row r="24654" spans="1:1">
      <c r="A24654" t="inlineStr">
        <is>
          <t>Botilao</t>
        </is>
      </c>
    </row>
    <row r="24655" spans="1:1">
      <c r="A24655" t="inlineStr">
        <is>
          <t>Buyabod</t>
        </is>
      </c>
    </row>
    <row r="24656" spans="1:1">
      <c r="A24656" t="inlineStr">
        <is>
          <t>Dating Bayan</t>
        </is>
      </c>
    </row>
    <row r="24657" spans="1:1">
      <c r="A24657" t="inlineStr">
        <is>
          <t>Devilla</t>
        </is>
      </c>
    </row>
    <row r="24658" spans="1:1">
      <c r="A24658" t="inlineStr">
        <is>
          <t>Dolores</t>
        </is>
      </c>
    </row>
    <row r="24659" spans="1:1">
      <c r="A24659" t="inlineStr">
        <is>
          <t>Haguimit</t>
        </is>
      </c>
    </row>
    <row r="24660" spans="1:1">
      <c r="A24660" t="inlineStr">
        <is>
          <t>Hupi</t>
        </is>
      </c>
    </row>
    <row r="24661" spans="1:1">
      <c r="A24661" t="inlineStr">
        <is>
          <t>Ipil</t>
        </is>
      </c>
    </row>
    <row r="24662" spans="1:1">
      <c r="A24662" t="inlineStr">
        <is>
          <t>Jolo</t>
        </is>
      </c>
    </row>
    <row r="24663" spans="1:1">
      <c r="A24663" t="inlineStr">
        <is>
          <t>Kaganhao</t>
        </is>
      </c>
    </row>
    <row r="24664" spans="1:1">
      <c r="A24664" t="inlineStr">
        <is>
          <t>Kalangkang</t>
        </is>
      </c>
    </row>
    <row r="24665" spans="1:1">
      <c r="A24665" t="inlineStr">
        <is>
          <t>Kamandugan</t>
        </is>
      </c>
    </row>
    <row r="24666" spans="1:1">
      <c r="A24666" t="inlineStr">
        <is>
          <t>Kasily</t>
        </is>
      </c>
    </row>
    <row r="24667" spans="1:1">
      <c r="A24667" t="inlineStr">
        <is>
          <t>Kilo-kilo</t>
        </is>
      </c>
    </row>
    <row r="24668" spans="1:1">
      <c r="A24668" t="inlineStr">
        <is>
          <t>Kinyaman</t>
        </is>
      </c>
    </row>
    <row r="24669" spans="1:1">
      <c r="A24669" t="inlineStr">
        <is>
          <t>Labo</t>
        </is>
      </c>
    </row>
    <row r="24670" spans="1:1">
      <c r="A24670" t="inlineStr">
        <is>
          <t>Lamesa</t>
        </is>
      </c>
    </row>
    <row r="24671" spans="1:1">
      <c r="A24671" t="inlineStr">
        <is>
          <t>Landy</t>
        </is>
      </c>
    </row>
    <row r="24672" spans="1:1">
      <c r="A24672" t="inlineStr">
        <is>
          <t>Lapu-lapu Pob.</t>
        </is>
      </c>
    </row>
    <row r="24673" spans="1:1">
      <c r="A24673" t="inlineStr">
        <is>
          <t>Libjo</t>
        </is>
      </c>
    </row>
    <row r="24674" spans="1:1">
      <c r="A24674" t="inlineStr">
        <is>
          <t>Lipa</t>
        </is>
      </c>
    </row>
    <row r="24675" spans="1:1">
      <c r="A24675" t="inlineStr">
        <is>
          <t>Lusok</t>
        </is>
      </c>
    </row>
    <row r="24676" spans="1:1">
      <c r="A24676" t="inlineStr">
        <is>
          <t>Maharlika Pob.</t>
        </is>
      </c>
    </row>
    <row r="24677" spans="1:1">
      <c r="A24677" t="inlineStr">
        <is>
          <t>Makulapnit</t>
        </is>
      </c>
    </row>
    <row r="24678" spans="1:1">
      <c r="A24678" t="inlineStr">
        <is>
          <t>Maniwaya</t>
        </is>
      </c>
    </row>
    <row r="24679" spans="1:1">
      <c r="A24679" t="inlineStr">
        <is>
          <t>Manlibunan</t>
        </is>
      </c>
    </row>
    <row r="24680" spans="1:1">
      <c r="A24680" t="inlineStr">
        <is>
          <t>Masaguisi</t>
        </is>
      </c>
    </row>
    <row r="24681" spans="1:1">
      <c r="A24681" t="inlineStr">
        <is>
          <t>Masalukot</t>
        </is>
      </c>
    </row>
    <row r="24682" spans="1:1">
      <c r="A24682" t="inlineStr">
        <is>
          <t>Matalaba</t>
        </is>
      </c>
    </row>
    <row r="24683" spans="1:1">
      <c r="A24683" t="inlineStr">
        <is>
          <t>Mongpong</t>
        </is>
      </c>
    </row>
    <row r="24684" spans="1:1">
      <c r="A24684" t="inlineStr">
        <is>
          <t>Morales</t>
        </is>
      </c>
    </row>
    <row r="24685" spans="1:1">
      <c r="A24685" t="inlineStr">
        <is>
          <t>Napo</t>
        </is>
      </c>
    </row>
    <row r="24686" spans="1:1">
      <c r="A24686" t="inlineStr">
        <is>
          <t>Pag-Asa Pob.</t>
        </is>
      </c>
    </row>
    <row r="24687" spans="1:1">
      <c r="A24687" t="inlineStr">
        <is>
          <t>Pantayin</t>
        </is>
      </c>
    </row>
    <row r="24688" spans="1:1">
      <c r="A24688" t="inlineStr">
        <is>
          <t>Polo</t>
        </is>
      </c>
    </row>
    <row r="24689" spans="1:1">
      <c r="A24689" t="inlineStr">
        <is>
          <t>Pulong-Parang</t>
        </is>
      </c>
    </row>
    <row r="24690" spans="1:1">
      <c r="A24690" t="inlineStr">
        <is>
          <t>Punong</t>
        </is>
      </c>
    </row>
    <row r="24691" spans="1:1">
      <c r="A24691" t="inlineStr">
        <is>
          <t>San Antonio</t>
        </is>
      </c>
    </row>
    <row r="24692" spans="1:1">
      <c r="A24692" t="inlineStr">
        <is>
          <t>San Isidro</t>
        </is>
      </c>
    </row>
    <row r="24693" spans="1:1">
      <c r="A24693" t="inlineStr">
        <is>
          <t>Tagum</t>
        </is>
      </c>
    </row>
    <row r="24694" spans="1:1">
      <c r="A24694" t="inlineStr">
        <is>
          <t>Tamayo</t>
        </is>
      </c>
    </row>
    <row r="24695" spans="1:1">
      <c r="A24695" t="inlineStr">
        <is>
          <t>Tambangan</t>
        </is>
      </c>
    </row>
    <row r="24696" spans="1:1">
      <c r="A24696" t="inlineStr">
        <is>
          <t>Tawiran</t>
        </is>
      </c>
    </row>
    <row r="24697" spans="1:1">
      <c r="A24697" t="inlineStr">
        <is>
          <t>Taytay</t>
        </is>
      </c>
    </row>
    <row r="24698" spans="1:1">
      <c r="A24698" t="inlineStr">
        <is>
          <t>Bangwayin</t>
        </is>
      </c>
    </row>
    <row r="24699" spans="1:1">
      <c r="A24699" t="inlineStr">
        <is>
          <t>Bayakbakin</t>
        </is>
      </c>
    </row>
    <row r="24700" spans="1:1">
      <c r="A24700" t="inlineStr">
        <is>
          <t>Bolo</t>
        </is>
      </c>
    </row>
    <row r="24701" spans="1:1">
      <c r="A24701" t="inlineStr">
        <is>
          <t>Bonliw</t>
        </is>
      </c>
    </row>
    <row r="24702" spans="1:1">
      <c r="A24702" t="inlineStr">
        <is>
          <t>Buangan</t>
        </is>
      </c>
    </row>
    <row r="24703" spans="1:1">
      <c r="A24703" t="inlineStr">
        <is>
          <t>Cabuyo</t>
        </is>
      </c>
    </row>
    <row r="24704" spans="1:1">
      <c r="A24704" t="inlineStr">
        <is>
          <t>Cagpo</t>
        </is>
      </c>
    </row>
    <row r="24705" spans="1:1">
      <c r="A24705" t="inlineStr">
        <is>
          <t>Dampulan</t>
        </is>
      </c>
    </row>
    <row r="24706" spans="1:1">
      <c r="A24706" t="inlineStr">
        <is>
          <t>Kay Duke</t>
        </is>
      </c>
    </row>
    <row r="24707" spans="1:1">
      <c r="A24707" t="inlineStr">
        <is>
          <t>Mabuhay</t>
        </is>
      </c>
    </row>
    <row r="24708" spans="1:1">
      <c r="A24708" t="inlineStr">
        <is>
          <t>Makawayan</t>
        </is>
      </c>
    </row>
    <row r="24709" spans="1:1">
      <c r="A24709" t="inlineStr">
        <is>
          <t>Malibago</t>
        </is>
      </c>
    </row>
    <row r="24710" spans="1:1">
      <c r="A24710" t="inlineStr">
        <is>
          <t>Malinao</t>
        </is>
      </c>
    </row>
    <row r="24711" spans="1:1">
      <c r="A24711" t="inlineStr">
        <is>
          <t>Maranlig</t>
        </is>
      </c>
    </row>
    <row r="24712" spans="1:1">
      <c r="A24712" t="inlineStr">
        <is>
          <t>Marlangga</t>
        </is>
      </c>
    </row>
    <row r="24713" spans="1:1">
      <c r="A24713" t="inlineStr">
        <is>
          <t>Matuyatuya</t>
        </is>
      </c>
    </row>
    <row r="24714" spans="1:1">
      <c r="A24714" t="inlineStr">
        <is>
          <t>Nangka</t>
        </is>
      </c>
    </row>
    <row r="24715" spans="1:1">
      <c r="A24715" t="inlineStr">
        <is>
          <t>Pakaskasan</t>
        </is>
      </c>
    </row>
    <row r="24716" spans="1:1">
      <c r="A24716" t="inlineStr">
        <is>
          <t>Payanas</t>
        </is>
      </c>
    </row>
    <row r="24717" spans="1:1">
      <c r="A24717" t="inlineStr">
        <is>
          <t>Poblacion</t>
        </is>
      </c>
    </row>
    <row r="24718" spans="1:1">
      <c r="A24718" t="inlineStr">
        <is>
          <t>Poctoy</t>
        </is>
      </c>
    </row>
    <row r="24719" spans="1:1">
      <c r="A24719" t="inlineStr">
        <is>
          <t>Sibuyao</t>
        </is>
      </c>
    </row>
    <row r="24720" spans="1:1">
      <c r="A24720" t="inlineStr">
        <is>
          <t>Suha</t>
        </is>
      </c>
    </row>
    <row r="24721" spans="1:1">
      <c r="A24721" t="inlineStr">
        <is>
          <t>Talawan</t>
        </is>
      </c>
    </row>
    <row r="24722" spans="1:1">
      <c r="A24722" t="inlineStr">
        <is>
          <t>Tigwi</t>
        </is>
      </c>
    </row>
    <row r="24723" spans="1:1">
      <c r="A24723" t="inlineStr">
        <is>
          <t>Ambolong</t>
        </is>
      </c>
    </row>
    <row r="24724" spans="1:1">
      <c r="A24724" t="inlineStr">
        <is>
          <t>Amoroy</t>
        </is>
      </c>
    </row>
    <row r="24725" spans="1:1">
      <c r="A24725" t="inlineStr">
        <is>
          <t>Amotag</t>
        </is>
      </c>
    </row>
    <row r="24726" spans="1:1">
      <c r="A24726" t="inlineStr">
        <is>
          <t>Bagauma</t>
        </is>
      </c>
    </row>
    <row r="24727" spans="1:1">
      <c r="A24727" t="inlineStr">
        <is>
          <t>Balawing</t>
        </is>
      </c>
    </row>
    <row r="24728" spans="1:1">
      <c r="A24728" t="inlineStr">
        <is>
          <t>Balete</t>
        </is>
      </c>
    </row>
    <row r="24729" spans="1:1">
      <c r="A24729" t="inlineStr">
        <is>
          <t>Bangon</t>
        </is>
      </c>
    </row>
    <row r="24730" spans="1:1">
      <c r="A24730" t="inlineStr">
        <is>
          <t>Cabangcalan</t>
        </is>
      </c>
    </row>
    <row r="24731" spans="1:1">
      <c r="A24731" t="inlineStr">
        <is>
          <t>Cabas-An</t>
        </is>
      </c>
    </row>
    <row r="24732" spans="1:1">
      <c r="A24732" t="inlineStr">
        <is>
          <t>Calanay</t>
        </is>
      </c>
    </row>
    <row r="24733" spans="1:1">
      <c r="A24733" t="inlineStr">
        <is>
          <t>Capsay</t>
        </is>
      </c>
    </row>
    <row r="24734" spans="1:1">
      <c r="A24734" t="inlineStr">
        <is>
          <t>Concepcion</t>
        </is>
      </c>
    </row>
    <row r="24735" spans="1:1">
      <c r="A24735" t="inlineStr">
        <is>
          <t>Dayhagan</t>
        </is>
      </c>
    </row>
    <row r="24736" spans="1:1">
      <c r="A24736" t="inlineStr">
        <is>
          <t>Don Pablo Dela Rosa</t>
        </is>
      </c>
    </row>
    <row r="24737" spans="1:1">
      <c r="A24737" t="inlineStr">
        <is>
          <t>Gumahang</t>
        </is>
      </c>
    </row>
    <row r="24738" spans="1:1">
      <c r="A24738" t="inlineStr">
        <is>
          <t>Jaboyoan</t>
        </is>
      </c>
    </row>
    <row r="24739" spans="1:1">
      <c r="A24739" t="inlineStr">
        <is>
          <t>Lanang</t>
        </is>
      </c>
    </row>
    <row r="24740" spans="1:1">
      <c r="A24740" t="inlineStr">
        <is>
          <t>Luy-a</t>
        </is>
      </c>
    </row>
    <row r="24741" spans="1:1">
      <c r="A24741" t="inlineStr">
        <is>
          <t>Macabug</t>
        </is>
      </c>
    </row>
    <row r="24742" spans="1:1">
      <c r="A24742" t="inlineStr">
        <is>
          <t>Malubi</t>
        </is>
      </c>
    </row>
    <row r="24743" spans="1:1">
      <c r="A24743" t="inlineStr">
        <is>
          <t>Managanaga</t>
        </is>
      </c>
    </row>
    <row r="24744" spans="1:1">
      <c r="A24744" t="inlineStr">
        <is>
          <t>Manamoc</t>
        </is>
      </c>
    </row>
    <row r="24745" spans="1:1">
      <c r="A24745" t="inlineStr">
        <is>
          <t>Mariposa</t>
        </is>
      </c>
    </row>
    <row r="24746" spans="1:1">
      <c r="A24746" t="inlineStr">
        <is>
          <t>Mataba</t>
        </is>
      </c>
    </row>
    <row r="24747" spans="1:1">
      <c r="A24747" t="inlineStr">
        <is>
          <t>Matalangtalang</t>
        </is>
      </c>
    </row>
    <row r="24748" spans="1:1">
      <c r="A24748" t="inlineStr">
        <is>
          <t>Matongog</t>
        </is>
      </c>
    </row>
    <row r="24749" spans="1:1">
      <c r="A24749" t="inlineStr">
        <is>
          <t>Nabongsoran</t>
        </is>
      </c>
    </row>
    <row r="24750" spans="1:1">
      <c r="A24750" t="inlineStr">
        <is>
          <t>Pangle</t>
        </is>
      </c>
    </row>
    <row r="24751" spans="1:1">
      <c r="A24751" t="inlineStr">
        <is>
          <t>Panique</t>
        </is>
      </c>
    </row>
    <row r="24752" spans="1:1">
      <c r="A24752" t="inlineStr">
        <is>
          <t>Pinanaan</t>
        </is>
      </c>
    </row>
    <row r="24753" spans="1:1">
      <c r="A24753" t="inlineStr">
        <is>
          <t>Poblacion</t>
        </is>
      </c>
    </row>
    <row r="24754" spans="1:1">
      <c r="A24754" t="inlineStr">
        <is>
          <t>Puro</t>
        </is>
      </c>
    </row>
    <row r="24755" spans="1:1">
      <c r="A24755" t="inlineStr">
        <is>
          <t>San Agustin</t>
        </is>
      </c>
    </row>
    <row r="24756" spans="1:1">
      <c r="A24756" t="inlineStr">
        <is>
          <t>San Isidro</t>
        </is>
      </c>
    </row>
    <row r="24757" spans="1:1">
      <c r="A24757" t="inlineStr">
        <is>
          <t>Sawang</t>
        </is>
      </c>
    </row>
    <row r="24758" spans="1:1">
      <c r="A24758" t="inlineStr">
        <is>
          <t>Syndicate</t>
        </is>
      </c>
    </row>
    <row r="24759" spans="1:1">
      <c r="A24759" t="inlineStr">
        <is>
          <t>Talabaan</t>
        </is>
      </c>
    </row>
    <row r="24760" spans="1:1">
      <c r="A24760" t="inlineStr">
        <is>
          <t>Talib</t>
        </is>
      </c>
    </row>
    <row r="24761" spans="1:1">
      <c r="A24761" t="inlineStr">
        <is>
          <t>Tigbao</t>
        </is>
      </c>
    </row>
    <row r="24762" spans="1:1">
      <c r="A24762" t="inlineStr">
        <is>
          <t>Tinago</t>
        </is>
      </c>
    </row>
    <row r="24763" spans="1:1">
      <c r="A24763" t="inlineStr">
        <is>
          <t>Tinigban</t>
        </is>
      </c>
    </row>
    <row r="24764" spans="1:1">
      <c r="A24764" t="inlineStr">
        <is>
          <t>Baao</t>
        </is>
      </c>
    </row>
    <row r="24765" spans="1:1">
      <c r="A24765" t="inlineStr">
        <is>
          <t>Banase</t>
        </is>
      </c>
    </row>
    <row r="24766" spans="1:1">
      <c r="A24766" t="inlineStr">
        <is>
          <t>Batuila</t>
        </is>
      </c>
    </row>
    <row r="24767" spans="1:1">
      <c r="A24767" t="inlineStr">
        <is>
          <t>Cagara</t>
        </is>
      </c>
    </row>
    <row r="24768" spans="1:1">
      <c r="A24768" t="inlineStr">
        <is>
          <t>Cagpandan</t>
        </is>
      </c>
    </row>
    <row r="24769" spans="1:1">
      <c r="A24769" t="inlineStr">
        <is>
          <t>Cancahorao</t>
        </is>
      </c>
    </row>
    <row r="24770" spans="1:1">
      <c r="A24770" t="inlineStr">
        <is>
          <t>Canjunday</t>
        </is>
      </c>
    </row>
    <row r="24771" spans="1:1">
      <c r="A24771" t="inlineStr">
        <is>
          <t>Docol</t>
        </is>
      </c>
    </row>
    <row r="24772" spans="1:1">
      <c r="A24772" t="inlineStr">
        <is>
          <t>Eastern Capsay</t>
        </is>
      </c>
    </row>
    <row r="24773" spans="1:1">
      <c r="A24773" t="inlineStr">
        <is>
          <t>Gabi</t>
        </is>
      </c>
    </row>
    <row r="24774" spans="1:1">
      <c r="A24774" t="inlineStr">
        <is>
          <t>Gangao</t>
        </is>
      </c>
    </row>
    <row r="24775" spans="1:1">
      <c r="A24775" t="inlineStr">
        <is>
          <t>Lagta</t>
        </is>
      </c>
    </row>
    <row r="24776" spans="1:1">
      <c r="A24776" t="inlineStr">
        <is>
          <t>Lahong Interior</t>
        </is>
      </c>
    </row>
    <row r="24777" spans="1:1">
      <c r="A24777" t="inlineStr">
        <is>
          <t>Lahong Proper</t>
        </is>
      </c>
    </row>
    <row r="24778" spans="1:1">
      <c r="A24778" t="inlineStr">
        <is>
          <t>Lipata</t>
        </is>
      </c>
    </row>
    <row r="24779" spans="1:1">
      <c r="A24779" t="inlineStr">
        <is>
          <t>Madangcalan</t>
        </is>
      </c>
    </row>
    <row r="24780" spans="1:1">
      <c r="A24780" t="inlineStr">
        <is>
          <t>Magdalena</t>
        </is>
      </c>
    </row>
    <row r="24781" spans="1:1">
      <c r="A24781" t="inlineStr">
        <is>
          <t>Manoboc</t>
        </is>
      </c>
    </row>
    <row r="24782" spans="1:1">
      <c r="A24782" t="inlineStr">
        <is>
          <t>Obongon Diot</t>
        </is>
      </c>
    </row>
    <row r="24783" spans="1:1">
      <c r="A24783" t="inlineStr">
        <is>
          <t>Poblacion</t>
        </is>
      </c>
    </row>
    <row r="24784" spans="1:1">
      <c r="A24784" t="inlineStr">
        <is>
          <t>Polot</t>
        </is>
      </c>
    </row>
    <row r="24785" spans="1:1">
      <c r="A24785" t="inlineStr">
        <is>
          <t>Potoson</t>
        </is>
      </c>
    </row>
    <row r="24786" spans="1:1">
      <c r="A24786" t="inlineStr">
        <is>
          <t>Sog-Ong</t>
        </is>
      </c>
    </row>
    <row r="24787" spans="1:1">
      <c r="A24787" t="inlineStr">
        <is>
          <t>Tinapian</t>
        </is>
      </c>
    </row>
    <row r="24788" spans="1:1">
      <c r="A24788" t="inlineStr">
        <is>
          <t>Baybay</t>
        </is>
      </c>
    </row>
    <row r="24789" spans="1:1">
      <c r="A24789" t="inlineStr">
        <is>
          <t>Bongcanaway</t>
        </is>
      </c>
    </row>
    <row r="24790" spans="1:1">
      <c r="A24790" t="inlineStr">
        <is>
          <t>Calumpang</t>
        </is>
      </c>
    </row>
    <row r="24791" spans="1:1">
      <c r="A24791" t="inlineStr">
        <is>
          <t>Cantil</t>
        </is>
      </c>
    </row>
    <row r="24792" spans="1:1">
      <c r="A24792" t="inlineStr">
        <is>
          <t>Casamongan</t>
        </is>
      </c>
    </row>
    <row r="24793" spans="1:1">
      <c r="A24793" t="inlineStr">
        <is>
          <t>Danao</t>
        </is>
      </c>
    </row>
    <row r="24794" spans="1:1">
      <c r="A24794" t="inlineStr">
        <is>
          <t>Dao</t>
        </is>
      </c>
    </row>
    <row r="24795" spans="1:1">
      <c r="A24795" t="inlineStr">
        <is>
          <t>Guinbanwahan</t>
        </is>
      </c>
    </row>
    <row r="24796" spans="1:1">
      <c r="A24796" t="inlineStr">
        <is>
          <t>Ilaya</t>
        </is>
      </c>
    </row>
    <row r="24797" spans="1:1">
      <c r="A24797" t="inlineStr">
        <is>
          <t>Jangan</t>
        </is>
      </c>
    </row>
    <row r="24798" spans="1:1">
      <c r="A24798" t="inlineStr">
        <is>
          <t>Jintotolo</t>
        </is>
      </c>
    </row>
    <row r="24799" spans="1:1">
      <c r="A24799" t="inlineStr">
        <is>
          <t>Mabuhay</t>
        </is>
      </c>
    </row>
    <row r="24800" spans="1:1">
      <c r="A24800" t="inlineStr">
        <is>
          <t>Mapili</t>
        </is>
      </c>
    </row>
    <row r="24801" spans="1:1">
      <c r="A24801" t="inlineStr">
        <is>
          <t>Mapitogo</t>
        </is>
      </c>
    </row>
    <row r="24802" spans="1:1">
      <c r="A24802" t="inlineStr">
        <is>
          <t>Pajo</t>
        </is>
      </c>
    </row>
    <row r="24803" spans="1:1">
      <c r="A24803" t="inlineStr">
        <is>
          <t>Palane</t>
        </is>
      </c>
    </row>
    <row r="24804" spans="1:1">
      <c r="A24804" t="inlineStr">
        <is>
          <t>Panguiranan</t>
        </is>
      </c>
    </row>
    <row r="24805" spans="1:1">
      <c r="A24805" t="inlineStr">
        <is>
          <t>Panubigan</t>
        </is>
      </c>
    </row>
    <row r="24806" spans="1:1">
      <c r="A24806" t="inlineStr">
        <is>
          <t>Poblacion</t>
        </is>
      </c>
    </row>
    <row r="24807" spans="1:1">
      <c r="A24807" t="inlineStr">
        <is>
          <t>Pulanduta</t>
        </is>
      </c>
    </row>
    <row r="24808" spans="1:1">
      <c r="A24808" t="inlineStr">
        <is>
          <t>Quinayangan Diotay</t>
        </is>
      </c>
    </row>
    <row r="24809" spans="1:1">
      <c r="A24809" t="inlineStr">
        <is>
          <t>Quinayangan Tonga</t>
        </is>
      </c>
    </row>
    <row r="24810" spans="1:1">
      <c r="A24810" t="inlineStr">
        <is>
          <t>Salvacion</t>
        </is>
      </c>
    </row>
    <row r="24811" spans="1:1">
      <c r="A24811" t="inlineStr">
        <is>
          <t>Sampad</t>
        </is>
      </c>
    </row>
    <row r="24812" spans="1:1">
      <c r="A24812" t="inlineStr">
        <is>
          <t>San Andres</t>
        </is>
      </c>
    </row>
    <row r="24813" spans="1:1">
      <c r="A24813" t="inlineStr">
        <is>
          <t>San Antonio</t>
        </is>
      </c>
    </row>
    <row r="24814" spans="1:1">
      <c r="A24814" t="inlineStr">
        <is>
          <t>Sapatos</t>
        </is>
      </c>
    </row>
    <row r="24815" spans="1:1">
      <c r="A24815" t="inlineStr">
        <is>
          <t>Talisay</t>
        </is>
      </c>
    </row>
    <row r="24816" spans="1:1">
      <c r="A24816" t="inlineStr">
        <is>
          <t>Tonga</t>
        </is>
      </c>
    </row>
    <row r="24817" spans="1:1">
      <c r="A24817" t="inlineStr">
        <is>
          <t>Ubo</t>
        </is>
      </c>
    </row>
    <row r="24818" spans="1:1">
      <c r="A24818" t="inlineStr">
        <is>
          <t>Victory</t>
        </is>
      </c>
    </row>
    <row r="24819" spans="1:1">
      <c r="A24819" t="inlineStr">
        <is>
          <t>Villa Alvarez</t>
        </is>
      </c>
    </row>
    <row r="24820" spans="1:1">
      <c r="A24820" t="inlineStr">
        <is>
          <t>Burgos</t>
        </is>
      </c>
    </row>
    <row r="24821" spans="1:1">
      <c r="A24821" t="inlineStr">
        <is>
          <t>Cambañez</t>
        </is>
      </c>
    </row>
    <row r="24822" spans="1:1">
      <c r="A24822" t="inlineStr">
        <is>
          <t>Canares</t>
        </is>
      </c>
    </row>
    <row r="24823" spans="1:1">
      <c r="A24823" t="inlineStr">
        <is>
          <t>Costa Rica</t>
        </is>
      </c>
    </row>
    <row r="24824" spans="1:1">
      <c r="A24824" t="inlineStr">
        <is>
          <t>Danao</t>
        </is>
      </c>
    </row>
    <row r="24825" spans="1:1">
      <c r="A24825" t="inlineStr">
        <is>
          <t>Gibraltar</t>
        </is>
      </c>
    </row>
    <row r="24826" spans="1:1">
      <c r="A24826" t="inlineStr">
        <is>
          <t>Mabuhay</t>
        </is>
      </c>
    </row>
    <row r="24827" spans="1:1">
      <c r="A24827" t="inlineStr">
        <is>
          <t>Matabao</t>
        </is>
      </c>
    </row>
    <row r="24828" spans="1:1">
      <c r="A24828" t="inlineStr">
        <is>
          <t>Nasandig</t>
        </is>
      </c>
    </row>
    <row r="24829" spans="1:1">
      <c r="A24829" t="inlineStr">
        <is>
          <t>Panisihan</t>
        </is>
      </c>
    </row>
    <row r="24830" spans="1:1">
      <c r="A24830" t="inlineStr">
        <is>
          <t>Poblacion</t>
        </is>
      </c>
    </row>
    <row r="24831" spans="1:1">
      <c r="A24831" t="inlineStr">
        <is>
          <t>Rizal</t>
        </is>
      </c>
    </row>
    <row r="24832" spans="1:1">
      <c r="A24832" t="inlineStr">
        <is>
          <t>Royroy</t>
        </is>
      </c>
    </row>
    <row r="24833" spans="1:1">
      <c r="A24833" t="inlineStr">
        <is>
          <t>Sawang</t>
        </is>
      </c>
    </row>
    <row r="24834" spans="1:1">
      <c r="A24834" t="inlineStr">
        <is>
          <t>Abaca</t>
        </is>
      </c>
    </row>
    <row r="24835" spans="1:1">
      <c r="A24835" t="inlineStr">
        <is>
          <t>Aguada</t>
        </is>
      </c>
    </row>
    <row r="24836" spans="1:1">
      <c r="A24836" t="inlineStr">
        <is>
          <t>Badiang</t>
        </is>
      </c>
    </row>
    <row r="24837" spans="1:1">
      <c r="A24837" t="inlineStr">
        <is>
          <t>Bagumbayan</t>
        </is>
      </c>
    </row>
    <row r="24838" spans="1:1">
      <c r="A24838" t="inlineStr">
        <is>
          <t>Cadulawan</t>
        </is>
      </c>
    </row>
    <row r="24839" spans="1:1">
      <c r="A24839" t="inlineStr">
        <is>
          <t>Cagbatang</t>
        </is>
      </c>
    </row>
    <row r="24840" spans="1:1">
      <c r="A24840" t="inlineStr">
        <is>
          <t>Chimenea</t>
        </is>
      </c>
    </row>
    <row r="24841" spans="1:1">
      <c r="A24841" t="inlineStr">
        <is>
          <t>Concepcion</t>
        </is>
      </c>
    </row>
    <row r="24842" spans="1:1">
      <c r="A24842" t="inlineStr">
        <is>
          <t>Curvada</t>
        </is>
      </c>
    </row>
    <row r="24843" spans="1:1">
      <c r="A24843" t="inlineStr">
        <is>
          <t>Divisoria</t>
        </is>
      </c>
    </row>
    <row r="24844" spans="1:1">
      <c r="A24844" t="inlineStr">
        <is>
          <t>Domorog</t>
        </is>
      </c>
    </row>
    <row r="24845" spans="1:1">
      <c r="A24845" t="inlineStr">
        <is>
          <t>Estampar</t>
        </is>
      </c>
    </row>
    <row r="24846" spans="1:1">
      <c r="A24846" t="inlineStr">
        <is>
          <t>Gahit</t>
        </is>
      </c>
    </row>
    <row r="24847" spans="1:1">
      <c r="A24847" t="inlineStr">
        <is>
          <t>Libtong</t>
        </is>
      </c>
    </row>
    <row r="24848" spans="1:1">
      <c r="A24848" t="inlineStr">
        <is>
          <t>Liong</t>
        </is>
      </c>
    </row>
    <row r="24849" spans="1:1">
      <c r="A24849" t="inlineStr">
        <is>
          <t>Maanahao</t>
        </is>
      </c>
    </row>
    <row r="24850" spans="1:1">
      <c r="A24850" t="inlineStr">
        <is>
          <t>Madamba</t>
        </is>
      </c>
    </row>
    <row r="24851" spans="1:1">
      <c r="A24851" t="inlineStr">
        <is>
          <t>Malobago</t>
        </is>
      </c>
    </row>
    <row r="24852" spans="1:1">
      <c r="A24852" t="inlineStr">
        <is>
          <t>Matayum</t>
        </is>
      </c>
    </row>
    <row r="24853" spans="1:1">
      <c r="A24853" t="inlineStr">
        <is>
          <t>Matubinao</t>
        </is>
      </c>
    </row>
    <row r="24854" spans="1:1">
      <c r="A24854" t="inlineStr">
        <is>
          <t>Mintac</t>
        </is>
      </c>
    </row>
    <row r="24855" spans="1:1">
      <c r="A24855" t="inlineStr">
        <is>
          <t>Nadawisan</t>
        </is>
      </c>
    </row>
    <row r="24856" spans="1:1">
      <c r="A24856" t="inlineStr">
        <is>
          <t>Osmeña</t>
        </is>
      </c>
    </row>
    <row r="24857" spans="1:1">
      <c r="A24857" t="inlineStr">
        <is>
          <t>Pawican</t>
        </is>
      </c>
    </row>
    <row r="24858" spans="1:1">
      <c r="A24858" t="inlineStr">
        <is>
          <t>Pitogo</t>
        </is>
      </c>
    </row>
    <row r="24859" spans="1:1">
      <c r="A24859" t="inlineStr">
        <is>
          <t>Poblacion</t>
        </is>
      </c>
    </row>
    <row r="24860" spans="1:1">
      <c r="A24860" t="inlineStr">
        <is>
          <t>Quezon</t>
        </is>
      </c>
    </row>
    <row r="24861" spans="1:1">
      <c r="A24861" t="inlineStr">
        <is>
          <t>San Isidro</t>
        </is>
      </c>
    </row>
    <row r="24862" spans="1:1">
      <c r="A24862" t="inlineStr">
        <is>
          <t>San Jose</t>
        </is>
      </c>
    </row>
    <row r="24863" spans="1:1">
      <c r="A24863" t="inlineStr">
        <is>
          <t>San Pedro</t>
        </is>
      </c>
    </row>
    <row r="24864" spans="1:1">
      <c r="A24864" t="inlineStr">
        <is>
          <t>San Rafael</t>
        </is>
      </c>
    </row>
    <row r="24865" spans="1:1">
      <c r="A24865" t="inlineStr">
        <is>
          <t>Santa Teresita</t>
        </is>
      </c>
    </row>
    <row r="24866" spans="1:1">
      <c r="A24866" t="inlineStr">
        <is>
          <t>Santo Niño</t>
        </is>
      </c>
    </row>
    <row r="24867" spans="1:1">
      <c r="A24867" t="inlineStr">
        <is>
          <t>Tagboan</t>
        </is>
      </c>
    </row>
    <row r="24868" spans="1:1">
      <c r="A24868" t="inlineStr">
        <is>
          <t>Tuybo</t>
        </is>
      </c>
    </row>
    <row r="24869" spans="1:1">
      <c r="A24869" t="inlineStr">
        <is>
          <t>Villa Pogado</t>
        </is>
      </c>
    </row>
    <row r="24870" spans="1:1">
      <c r="A24870" t="inlineStr">
        <is>
          <t>Begia</t>
        </is>
      </c>
    </row>
    <row r="24871" spans="1:1">
      <c r="A24871" t="inlineStr">
        <is>
          <t>Cabayugan</t>
        </is>
      </c>
    </row>
    <row r="24872" spans="1:1">
      <c r="A24872" t="inlineStr">
        <is>
          <t>Cabungahan</t>
        </is>
      </c>
    </row>
    <row r="24873" spans="1:1">
      <c r="A24873" t="inlineStr">
        <is>
          <t>Calapayan</t>
        </is>
      </c>
    </row>
    <row r="24874" spans="1:1">
      <c r="A24874" t="inlineStr">
        <is>
          <t>Calumpang</t>
        </is>
      </c>
    </row>
    <row r="24875" spans="1:1">
      <c r="A24875" t="inlineStr">
        <is>
          <t>Chico Island</t>
        </is>
      </c>
    </row>
    <row r="24876" spans="1:1">
      <c r="A24876" t="inlineStr">
        <is>
          <t>Dalipe</t>
        </is>
      </c>
    </row>
    <row r="24877" spans="1:1">
      <c r="A24877" t="inlineStr">
        <is>
          <t>Divisoria</t>
        </is>
      </c>
    </row>
    <row r="24878" spans="1:1">
      <c r="A24878" t="inlineStr">
        <is>
          <t>Gilotongan</t>
        </is>
      </c>
    </row>
    <row r="24879" spans="1:1">
      <c r="A24879" t="inlineStr">
        <is>
          <t>Guiom</t>
        </is>
      </c>
    </row>
    <row r="24880" spans="1:1">
      <c r="A24880" t="inlineStr">
        <is>
          <t>Iraya</t>
        </is>
      </c>
    </row>
    <row r="24881" spans="1:1">
      <c r="A24881" t="inlineStr">
        <is>
          <t>Itombato</t>
        </is>
      </c>
    </row>
    <row r="24882" spans="1:1">
      <c r="A24882" t="inlineStr">
        <is>
          <t>Lague-lague</t>
        </is>
      </c>
    </row>
    <row r="24883" spans="1:1">
      <c r="A24883" t="inlineStr">
        <is>
          <t>Libertad</t>
        </is>
      </c>
    </row>
    <row r="24884" spans="1:1">
      <c r="A24884" t="inlineStr">
        <is>
          <t>Looc</t>
        </is>
      </c>
    </row>
    <row r="24885" spans="1:1">
      <c r="A24885" t="inlineStr">
        <is>
          <t>Mactan</t>
        </is>
      </c>
    </row>
    <row r="24886" spans="1:1">
      <c r="A24886" t="inlineStr">
        <is>
          <t>Madbad</t>
        </is>
      </c>
    </row>
    <row r="24887" spans="1:1">
      <c r="A24887" t="inlineStr">
        <is>
          <t>Mahayahay</t>
        </is>
      </c>
    </row>
    <row r="24888" spans="1:1">
      <c r="A24888" t="inlineStr">
        <is>
          <t>Maihao</t>
        </is>
      </c>
    </row>
    <row r="24889" spans="1:1">
      <c r="A24889" t="inlineStr">
        <is>
          <t>Malbug</t>
        </is>
      </c>
    </row>
    <row r="24890" spans="1:1">
      <c r="A24890" t="inlineStr">
        <is>
          <t>Naro</t>
        </is>
      </c>
    </row>
    <row r="24891" spans="1:1">
      <c r="A24891" t="inlineStr">
        <is>
          <t>Palobandera</t>
        </is>
      </c>
    </row>
    <row r="24892" spans="1:1">
      <c r="A24892" t="inlineStr">
        <is>
          <t>Pananawan</t>
        </is>
      </c>
    </row>
    <row r="24893" spans="1:1">
      <c r="A24893" t="inlineStr">
        <is>
          <t>Peña Island</t>
        </is>
      </c>
    </row>
    <row r="24894" spans="1:1">
      <c r="A24894" t="inlineStr">
        <is>
          <t>Pin-As</t>
        </is>
      </c>
    </row>
    <row r="24895" spans="1:1">
      <c r="A24895" t="inlineStr">
        <is>
          <t>Poblacion</t>
        </is>
      </c>
    </row>
    <row r="24896" spans="1:1">
      <c r="A24896" t="inlineStr">
        <is>
          <t>Pulot</t>
        </is>
      </c>
    </row>
    <row r="24897" spans="1:1">
      <c r="A24897" t="inlineStr">
        <is>
          <t>Punta Batsan</t>
        </is>
      </c>
    </row>
    <row r="24898" spans="1:1">
      <c r="A24898" t="inlineStr">
        <is>
          <t>R.M. Magbalon</t>
        </is>
      </c>
    </row>
    <row r="24899" spans="1:1">
      <c r="A24899" t="inlineStr">
        <is>
          <t>Recodo</t>
        </is>
      </c>
    </row>
    <row r="24900" spans="1:1">
      <c r="A24900" t="inlineStr">
        <is>
          <t>San Jose</t>
        </is>
      </c>
    </row>
    <row r="24901" spans="1:1">
      <c r="A24901" t="inlineStr">
        <is>
          <t>San Vicente</t>
        </is>
      </c>
    </row>
    <row r="24902" spans="1:1">
      <c r="A24902" t="inlineStr">
        <is>
          <t>Taberna</t>
        </is>
      </c>
    </row>
    <row r="24903" spans="1:1">
      <c r="A24903" t="inlineStr">
        <is>
          <t>Talisay</t>
        </is>
      </c>
    </row>
    <row r="24904" spans="1:1">
      <c r="A24904" t="inlineStr">
        <is>
          <t>Tubog</t>
        </is>
      </c>
    </row>
    <row r="24905" spans="1:1">
      <c r="A24905" t="inlineStr">
        <is>
          <t>Tuburan</t>
        </is>
      </c>
    </row>
    <row r="24906" spans="1:1">
      <c r="A24906" t="inlineStr">
        <is>
          <t>Villahermosa</t>
        </is>
      </c>
    </row>
    <row r="24907" spans="1:1">
      <c r="A24907" t="inlineStr">
        <is>
          <t>Anas</t>
        </is>
      </c>
    </row>
    <row r="24908" spans="1:1">
      <c r="A24908" t="inlineStr">
        <is>
          <t>Asid</t>
        </is>
      </c>
    </row>
    <row r="24909" spans="1:1">
      <c r="A24909" t="inlineStr">
        <is>
          <t>B. Titong</t>
        </is>
      </c>
    </row>
    <row r="24910" spans="1:1">
      <c r="A24910" t="inlineStr">
        <is>
          <t>Bagumbayan</t>
        </is>
      </c>
    </row>
    <row r="24911" spans="1:1">
      <c r="A24911" t="inlineStr">
        <is>
          <t>Bantigue</t>
        </is>
      </c>
    </row>
    <row r="24912" spans="1:1">
      <c r="A24912" t="inlineStr">
        <is>
          <t>Bapor</t>
        </is>
      </c>
    </row>
    <row r="24913" spans="1:1">
      <c r="A24913" t="inlineStr">
        <is>
          <t>Batuhan</t>
        </is>
      </c>
    </row>
    <row r="24914" spans="1:1">
      <c r="A24914" t="inlineStr">
        <is>
          <t>Bayombon</t>
        </is>
      </c>
    </row>
    <row r="24915" spans="1:1">
      <c r="A24915" t="inlineStr">
        <is>
          <t>Biyong</t>
        </is>
      </c>
    </row>
    <row r="24916" spans="1:1">
      <c r="A24916" t="inlineStr">
        <is>
          <t>Bolo</t>
        </is>
      </c>
    </row>
    <row r="24917" spans="1:1">
      <c r="A24917" t="inlineStr">
        <is>
          <t>Cagay</t>
        </is>
      </c>
    </row>
    <row r="24918" spans="1:1">
      <c r="A24918" t="inlineStr">
        <is>
          <t>Cawayan Exterior</t>
        </is>
      </c>
    </row>
    <row r="24919" spans="1:1">
      <c r="A24919" t="inlineStr">
        <is>
          <t>Cawayan Interior</t>
        </is>
      </c>
    </row>
    <row r="24920" spans="1:1">
      <c r="A24920" t="inlineStr">
        <is>
          <t>Centro</t>
        </is>
      </c>
    </row>
    <row r="24921" spans="1:1">
      <c r="A24921" t="inlineStr">
        <is>
          <t>Espinosa</t>
        </is>
      </c>
    </row>
    <row r="24922" spans="1:1">
      <c r="A24922" t="inlineStr">
        <is>
          <t>F. Magallanes</t>
        </is>
      </c>
    </row>
    <row r="24923" spans="1:1">
      <c r="A24923" t="inlineStr">
        <is>
          <t>Ibingay</t>
        </is>
      </c>
    </row>
    <row r="24924" spans="1:1">
      <c r="A24924" t="inlineStr">
        <is>
          <t>Igang</t>
        </is>
      </c>
    </row>
    <row r="24925" spans="1:1">
      <c r="A24925" t="inlineStr">
        <is>
          <t>Kalipay</t>
        </is>
      </c>
    </row>
    <row r="24926" spans="1:1">
      <c r="A24926" t="inlineStr">
        <is>
          <t>Kinamaligan</t>
        </is>
      </c>
    </row>
    <row r="24927" spans="1:1">
      <c r="A24927" t="inlineStr">
        <is>
          <t>Malinta</t>
        </is>
      </c>
    </row>
    <row r="24928" spans="1:1">
      <c r="A24928" t="inlineStr">
        <is>
          <t>Mapiña</t>
        </is>
      </c>
    </row>
    <row r="24929" spans="1:1">
      <c r="A24929" t="inlineStr">
        <is>
          <t>Mayngaran</t>
        </is>
      </c>
    </row>
    <row r="24930" spans="1:1">
      <c r="A24930" t="inlineStr">
        <is>
          <t>Nursery</t>
        </is>
      </c>
    </row>
    <row r="24931" spans="1:1">
      <c r="A24931" t="inlineStr">
        <is>
          <t>Pating</t>
        </is>
      </c>
    </row>
    <row r="24932" spans="1:1">
      <c r="A24932" t="inlineStr">
        <is>
          <t>Pawa</t>
        </is>
      </c>
    </row>
    <row r="24933" spans="1:1">
      <c r="A24933" t="inlineStr">
        <is>
          <t>Sinalongan</t>
        </is>
      </c>
    </row>
    <row r="24934" spans="1:1">
      <c r="A24934" t="inlineStr">
        <is>
          <t>Tugbo</t>
        </is>
      </c>
    </row>
    <row r="24935" spans="1:1">
      <c r="A24935" t="inlineStr">
        <is>
          <t>Ubongan Dacu</t>
        </is>
      </c>
    </row>
    <row r="24936" spans="1:1">
      <c r="A24936" t="inlineStr">
        <is>
          <t>Usab</t>
        </is>
      </c>
    </row>
    <row r="24937" spans="1:1">
      <c r="A24937" t="inlineStr">
        <is>
          <t>Albasan</t>
        </is>
      </c>
    </row>
    <row r="24938" spans="1:1">
      <c r="A24938" t="inlineStr">
        <is>
          <t>Boca Engaño</t>
        </is>
      </c>
    </row>
    <row r="24939" spans="1:1">
      <c r="A24939" t="inlineStr">
        <is>
          <t>Buyo</t>
        </is>
      </c>
    </row>
    <row r="24940" spans="1:1">
      <c r="A24940" t="inlineStr">
        <is>
          <t>Calpi</t>
        </is>
      </c>
    </row>
    <row r="24941" spans="1:1">
      <c r="A24941" t="inlineStr">
        <is>
          <t>Canomay</t>
        </is>
      </c>
    </row>
    <row r="24942" spans="1:1">
      <c r="A24942" t="inlineStr">
        <is>
          <t>Cawayan</t>
        </is>
      </c>
    </row>
    <row r="24943" spans="1:1">
      <c r="A24943" t="inlineStr">
        <is>
          <t>Imelda</t>
        </is>
      </c>
    </row>
    <row r="24944" spans="1:1">
      <c r="A24944" t="inlineStr">
        <is>
          <t>Mababang Baybay</t>
        </is>
      </c>
    </row>
    <row r="24945" spans="1:1">
      <c r="A24945" t="inlineStr">
        <is>
          <t>Mabiton</t>
        </is>
      </c>
    </row>
    <row r="24946" spans="1:1">
      <c r="A24946" t="inlineStr">
        <is>
          <t>Manapao</t>
        </is>
      </c>
    </row>
    <row r="24947" spans="1:1">
      <c r="A24947" t="inlineStr">
        <is>
          <t>Nabasagan</t>
        </is>
      </c>
    </row>
    <row r="24948" spans="1:1">
      <c r="A24948" t="inlineStr">
        <is>
          <t>Nonoc</t>
        </is>
      </c>
    </row>
    <row r="24949" spans="1:1">
      <c r="A24949" t="inlineStr">
        <is>
          <t>Osmeña</t>
        </is>
      </c>
    </row>
    <row r="24950" spans="1:1">
      <c r="A24950" t="inlineStr">
        <is>
          <t>Pasig</t>
        </is>
      </c>
    </row>
    <row r="24951" spans="1:1">
      <c r="A24951" t="inlineStr">
        <is>
          <t>Peñafrancia</t>
        </is>
      </c>
    </row>
    <row r="24952" spans="1:1">
      <c r="A24952" t="inlineStr">
        <is>
          <t>Poblacion District I</t>
        </is>
      </c>
    </row>
    <row r="24953" spans="1:1">
      <c r="A24953" t="inlineStr">
        <is>
          <t>Poblacion District II</t>
        </is>
      </c>
    </row>
    <row r="24954" spans="1:1">
      <c r="A24954" t="inlineStr">
        <is>
          <t>Quezon</t>
        </is>
      </c>
    </row>
    <row r="24955" spans="1:1">
      <c r="A24955" t="inlineStr">
        <is>
          <t>San Isidro</t>
        </is>
      </c>
    </row>
    <row r="24956" spans="1:1">
      <c r="A24956" t="inlineStr">
        <is>
          <t>San Ramon</t>
        </is>
      </c>
    </row>
    <row r="24957" spans="1:1">
      <c r="A24957" t="inlineStr">
        <is>
          <t>San Vicente</t>
        </is>
      </c>
    </row>
    <row r="24958" spans="1:1">
      <c r="A24958" t="inlineStr">
        <is>
          <t>Taguilid</t>
        </is>
      </c>
    </row>
    <row r="24959" spans="1:1">
      <c r="A24959" t="inlineStr">
        <is>
          <t>Balantay</t>
        </is>
      </c>
    </row>
    <row r="24960" spans="1:1">
      <c r="A24960" t="inlineStr">
        <is>
          <t>Balocawe</t>
        </is>
      </c>
    </row>
    <row r="24961" spans="1:1">
      <c r="A24961" t="inlineStr">
        <is>
          <t>Banahao</t>
        </is>
      </c>
    </row>
    <row r="24962" spans="1:1">
      <c r="A24962" t="inlineStr">
        <is>
          <t>Buenaflor</t>
        </is>
      </c>
    </row>
    <row r="24963" spans="1:1">
      <c r="A24963" t="inlineStr">
        <is>
          <t>Buracan</t>
        </is>
      </c>
    </row>
    <row r="24964" spans="1:1">
      <c r="A24964" t="inlineStr">
        <is>
          <t>Cabanoyoan</t>
        </is>
      </c>
    </row>
    <row r="24965" spans="1:1">
      <c r="A24965" t="inlineStr">
        <is>
          <t>Cabrera</t>
        </is>
      </c>
    </row>
    <row r="24966" spans="1:1">
      <c r="A24966" t="inlineStr">
        <is>
          <t>Cadulan</t>
        </is>
      </c>
    </row>
    <row r="24967" spans="1:1">
      <c r="A24967" t="inlineStr">
        <is>
          <t>Calabad</t>
        </is>
      </c>
    </row>
    <row r="24968" spans="1:1">
      <c r="A24968" t="inlineStr">
        <is>
          <t>Canomay</t>
        </is>
      </c>
    </row>
    <row r="24969" spans="1:1">
      <c r="A24969" t="inlineStr">
        <is>
          <t>Divisoria</t>
        </is>
      </c>
    </row>
    <row r="24970" spans="1:1">
      <c r="A24970" t="inlineStr">
        <is>
          <t>Gaid</t>
        </is>
      </c>
    </row>
    <row r="24971" spans="1:1">
      <c r="A24971" t="inlineStr">
        <is>
          <t>Gregorio Alino</t>
        </is>
      </c>
    </row>
    <row r="24972" spans="1:1">
      <c r="A24972" t="inlineStr">
        <is>
          <t>Magcaraguit</t>
        </is>
      </c>
    </row>
    <row r="24973" spans="1:1">
      <c r="A24973" t="inlineStr">
        <is>
          <t>Mambog</t>
        </is>
      </c>
    </row>
    <row r="24974" spans="1:1">
      <c r="A24974" t="inlineStr">
        <is>
          <t>Poblacion</t>
        </is>
      </c>
    </row>
    <row r="24975" spans="1:1">
      <c r="A24975" t="inlineStr">
        <is>
          <t>Rizal</t>
        </is>
      </c>
    </row>
    <row r="24976" spans="1:1">
      <c r="A24976" t="inlineStr">
        <is>
          <t>San Vicente</t>
        </is>
      </c>
    </row>
    <row r="24977" spans="1:1">
      <c r="A24977" t="inlineStr">
        <is>
          <t>Suba</t>
        </is>
      </c>
    </row>
    <row r="24978" spans="1:1">
      <c r="A24978" t="inlineStr">
        <is>
          <t>T.R. Yangco</t>
        </is>
      </c>
    </row>
    <row r="24979" spans="1:1">
      <c r="A24979" t="inlineStr">
        <is>
          <t>Agoho</t>
        </is>
      </c>
    </row>
    <row r="24980" spans="1:1">
      <c r="A24980" t="inlineStr">
        <is>
          <t>Almero</t>
        </is>
      </c>
    </row>
    <row r="24981" spans="1:1">
      <c r="A24981" t="inlineStr">
        <is>
          <t>Baras</t>
        </is>
      </c>
    </row>
    <row r="24982" spans="1:1">
      <c r="A24982" t="inlineStr">
        <is>
          <t>Domorog</t>
        </is>
      </c>
    </row>
    <row r="24983" spans="1:1">
      <c r="A24983" t="inlineStr">
        <is>
          <t>Guadalupe</t>
        </is>
      </c>
    </row>
    <row r="24984" spans="1:1">
      <c r="A24984" t="inlineStr">
        <is>
          <t>Iligan</t>
        </is>
      </c>
    </row>
    <row r="24985" spans="1:1">
      <c r="A24985" t="inlineStr">
        <is>
          <t>Labangtaytay</t>
        </is>
      </c>
    </row>
    <row r="24986" spans="1:1">
      <c r="A24986" t="inlineStr">
        <is>
          <t>Labrador</t>
        </is>
      </c>
    </row>
    <row r="24987" spans="1:1">
      <c r="A24987" t="inlineStr">
        <is>
          <t>Libertad</t>
        </is>
      </c>
    </row>
    <row r="24988" spans="1:1">
      <c r="A24988" t="inlineStr">
        <is>
          <t>Magsaysay</t>
        </is>
      </c>
    </row>
    <row r="24989" spans="1:1">
      <c r="A24989" t="inlineStr">
        <is>
          <t>Masbaranon</t>
        </is>
      </c>
    </row>
    <row r="24990" spans="1:1">
      <c r="A24990" t="inlineStr">
        <is>
          <t>Poblacion</t>
        </is>
      </c>
    </row>
    <row r="24991" spans="1:1">
      <c r="A24991" t="inlineStr">
        <is>
          <t>Potingbato</t>
        </is>
      </c>
    </row>
    <row r="24992" spans="1:1">
      <c r="A24992" t="inlineStr">
        <is>
          <t>Rizal</t>
        </is>
      </c>
    </row>
    <row r="24993" spans="1:1">
      <c r="A24993" t="inlineStr">
        <is>
          <t>San Roque</t>
        </is>
      </c>
    </row>
    <row r="24994" spans="1:1">
      <c r="A24994" t="inlineStr">
        <is>
          <t>Santiago</t>
        </is>
      </c>
    </row>
    <row r="24995" spans="1:1">
      <c r="A24995" t="inlineStr">
        <is>
          <t>Sorosimbajan</t>
        </is>
      </c>
    </row>
    <row r="24996" spans="1:1">
      <c r="A24996" t="inlineStr">
        <is>
          <t>Tawad</t>
        </is>
      </c>
    </row>
    <row r="24997" spans="1:1">
      <c r="A24997" t="inlineStr">
        <is>
          <t>Tunga</t>
        </is>
      </c>
    </row>
    <row r="24998" spans="1:1">
      <c r="A24998" t="inlineStr">
        <is>
          <t>Villa</t>
        </is>
      </c>
    </row>
    <row r="24999" spans="1:1">
      <c r="A24999" t="inlineStr">
        <is>
          <t>Alas</t>
        </is>
      </c>
    </row>
    <row r="25000" spans="1:1">
      <c r="A25000" t="inlineStr">
        <is>
          <t>Ayat</t>
        </is>
      </c>
    </row>
    <row r="25001" spans="1:1">
      <c r="A25001" t="inlineStr">
        <is>
          <t>Bat-Ongan</t>
        </is>
      </c>
    </row>
    <row r="25002" spans="1:1">
      <c r="A25002" t="inlineStr">
        <is>
          <t>Bugtong</t>
        </is>
      </c>
    </row>
    <row r="25003" spans="1:1">
      <c r="A25003" t="inlineStr">
        <is>
          <t>Buri</t>
        </is>
      </c>
    </row>
    <row r="25004" spans="1:1">
      <c r="A25004" t="inlineStr">
        <is>
          <t>Cabitan</t>
        </is>
      </c>
    </row>
    <row r="25005" spans="1:1">
      <c r="A25005" t="inlineStr">
        <is>
          <t>Cagmasoso</t>
        </is>
      </c>
    </row>
    <row r="25006" spans="1:1">
      <c r="A25006" t="inlineStr">
        <is>
          <t>Canomoy</t>
        </is>
      </c>
    </row>
    <row r="25007" spans="1:1">
      <c r="A25007" t="inlineStr">
        <is>
          <t>Centro</t>
        </is>
      </c>
    </row>
    <row r="25008" spans="1:1">
      <c r="A25008" t="inlineStr">
        <is>
          <t>Dayao</t>
        </is>
      </c>
    </row>
    <row r="25009" spans="1:1">
      <c r="A25009" t="inlineStr">
        <is>
          <t>Guincaiptan</t>
        </is>
      </c>
    </row>
    <row r="25010" spans="1:1">
      <c r="A25010" t="inlineStr">
        <is>
          <t>Laguinbanwa</t>
        </is>
      </c>
    </row>
    <row r="25011" spans="1:1">
      <c r="A25011" t="inlineStr">
        <is>
          <t>Lantangan</t>
        </is>
      </c>
    </row>
    <row r="25012" spans="1:1">
      <c r="A25012" t="inlineStr">
        <is>
          <t>Looc</t>
        </is>
      </c>
    </row>
    <row r="25013" spans="1:1">
      <c r="A25013" t="inlineStr">
        <is>
          <t>Mabatobato</t>
        </is>
      </c>
    </row>
    <row r="25014" spans="1:1">
      <c r="A25014" t="inlineStr">
        <is>
          <t>Maolingon</t>
        </is>
      </c>
    </row>
    <row r="25015" spans="1:1">
      <c r="A25015" t="inlineStr">
        <is>
          <t>Nailaban</t>
        </is>
      </c>
    </row>
    <row r="25016" spans="1:1">
      <c r="A25016" t="inlineStr">
        <is>
          <t>Nanipsan</t>
        </is>
      </c>
    </row>
    <row r="25017" spans="1:1">
      <c r="A25017" t="inlineStr">
        <is>
          <t>Pinamangcaan</t>
        </is>
      </c>
    </row>
    <row r="25018" spans="1:1">
      <c r="A25018" t="inlineStr">
        <is>
          <t>Poblacion</t>
        </is>
      </c>
    </row>
    <row r="25019" spans="1:1">
      <c r="A25019" t="inlineStr">
        <is>
          <t>Polo Dacu</t>
        </is>
      </c>
    </row>
    <row r="25020" spans="1:1">
      <c r="A25020" t="inlineStr">
        <is>
          <t>San Juan</t>
        </is>
      </c>
    </row>
    <row r="25021" spans="1:1">
      <c r="A25021" t="inlineStr">
        <is>
          <t>San Pablo</t>
        </is>
      </c>
    </row>
    <row r="25022" spans="1:1">
      <c r="A25022" t="inlineStr">
        <is>
          <t>Santa Fe</t>
        </is>
      </c>
    </row>
    <row r="25023" spans="1:1">
      <c r="A25023" t="inlineStr">
        <is>
          <t>Tagpu</t>
        </is>
      </c>
    </row>
    <row r="25024" spans="1:1">
      <c r="A25024" t="inlineStr">
        <is>
          <t>Tumalaytay</t>
        </is>
      </c>
    </row>
    <row r="25025" spans="1:1">
      <c r="A25025" t="inlineStr">
        <is>
          <t>Bacolod</t>
        </is>
      </c>
    </row>
    <row r="25026" spans="1:1">
      <c r="A25026" t="inlineStr">
        <is>
          <t>Bangad</t>
        </is>
      </c>
    </row>
    <row r="25027" spans="1:1">
      <c r="A25027" t="inlineStr">
        <is>
          <t>Bara</t>
        </is>
      </c>
    </row>
    <row r="25028" spans="1:1">
      <c r="A25028" t="inlineStr">
        <is>
          <t>Bonbon</t>
        </is>
      </c>
    </row>
    <row r="25029" spans="1:1">
      <c r="A25029" t="inlineStr">
        <is>
          <t>Calasuche</t>
        </is>
      </c>
    </row>
    <row r="25030" spans="1:1">
      <c r="A25030" t="inlineStr">
        <is>
          <t>Calumpang</t>
        </is>
      </c>
    </row>
    <row r="25031" spans="1:1">
      <c r="A25031" t="inlineStr">
        <is>
          <t>Capaculan</t>
        </is>
      </c>
    </row>
    <row r="25032" spans="1:1">
      <c r="A25032" t="inlineStr">
        <is>
          <t>Cayabon</t>
        </is>
      </c>
    </row>
    <row r="25033" spans="1:1">
      <c r="A25033" t="inlineStr">
        <is>
          <t>Guinluthangan</t>
        </is>
      </c>
    </row>
    <row r="25034" spans="1:1">
      <c r="A25034" t="inlineStr">
        <is>
          <t>Jamorawon</t>
        </is>
      </c>
    </row>
    <row r="25035" spans="1:1">
      <c r="A25035" t="inlineStr">
        <is>
          <t>Magsalangi</t>
        </is>
      </c>
    </row>
    <row r="25036" spans="1:1">
      <c r="A25036" t="inlineStr">
        <is>
          <t>Matagbac</t>
        </is>
      </c>
    </row>
    <row r="25037" spans="1:1">
      <c r="A25037" t="inlineStr">
        <is>
          <t>Matanglad</t>
        </is>
      </c>
    </row>
    <row r="25038" spans="1:1">
      <c r="A25038" t="inlineStr">
        <is>
          <t>Matiporon</t>
        </is>
      </c>
    </row>
    <row r="25039" spans="1:1">
      <c r="A25039" t="inlineStr">
        <is>
          <t>Moises R. Espinosa</t>
        </is>
      </c>
    </row>
    <row r="25040" spans="1:1">
      <c r="A25040" t="inlineStr">
        <is>
          <t>Narangasan</t>
        </is>
      </c>
    </row>
    <row r="25041" spans="1:1">
      <c r="A25041" t="inlineStr">
        <is>
          <t>Pamangpangon</t>
        </is>
      </c>
    </row>
    <row r="25042" spans="1:1">
      <c r="A25042" t="inlineStr">
        <is>
          <t>Paraiso</t>
        </is>
      </c>
    </row>
    <row r="25043" spans="1:1">
      <c r="A25043" t="inlineStr">
        <is>
          <t>Poblacion East</t>
        </is>
      </c>
    </row>
    <row r="25044" spans="1:1">
      <c r="A25044" t="inlineStr">
        <is>
          <t>Poblacion West</t>
        </is>
      </c>
    </row>
    <row r="25045" spans="1:1">
      <c r="A25045" t="inlineStr">
        <is>
          <t>San Antonio</t>
        </is>
      </c>
    </row>
    <row r="25046" spans="1:1">
      <c r="A25046" t="inlineStr">
        <is>
          <t>San Carlos</t>
        </is>
      </c>
    </row>
    <row r="25047" spans="1:1">
      <c r="A25047" t="inlineStr">
        <is>
          <t>Sawmill</t>
        </is>
      </c>
    </row>
    <row r="25048" spans="1:1">
      <c r="A25048" t="inlineStr">
        <is>
          <t>Tagbon</t>
        </is>
      </c>
    </row>
    <row r="25049" spans="1:1">
      <c r="A25049" t="inlineStr">
        <is>
          <t>Tawad</t>
        </is>
      </c>
    </row>
    <row r="25050" spans="1:1">
      <c r="A25050" t="inlineStr">
        <is>
          <t>Tigbao</t>
        </is>
      </c>
    </row>
    <row r="25051" spans="1:1">
      <c r="A25051" t="inlineStr">
        <is>
          <t>Tinaclipan</t>
        </is>
      </c>
    </row>
    <row r="25052" spans="1:1">
      <c r="A25052" t="inlineStr">
        <is>
          <t>Baang</t>
        </is>
      </c>
    </row>
    <row r="25053" spans="1:1">
      <c r="A25053" t="inlineStr">
        <is>
          <t>Bagacay</t>
        </is>
      </c>
    </row>
    <row r="25054" spans="1:1">
      <c r="A25054" t="inlineStr">
        <is>
          <t>Balatucan</t>
        </is>
      </c>
    </row>
    <row r="25055" spans="1:1">
      <c r="A25055" t="inlineStr">
        <is>
          <t>Barag</t>
        </is>
      </c>
    </row>
    <row r="25056" spans="1:1">
      <c r="A25056" t="inlineStr">
        <is>
          <t>Dacu</t>
        </is>
      </c>
    </row>
    <row r="25057" spans="1:1">
      <c r="A25057" t="inlineStr">
        <is>
          <t>Fabrica</t>
        </is>
      </c>
    </row>
    <row r="25058" spans="1:1">
      <c r="A25058" t="inlineStr">
        <is>
          <t>Guintorelan</t>
        </is>
      </c>
    </row>
    <row r="25059" spans="1:1">
      <c r="A25059" t="inlineStr">
        <is>
          <t>Holjogon</t>
        </is>
      </c>
    </row>
    <row r="25060" spans="1:1">
      <c r="A25060" t="inlineStr">
        <is>
          <t>Lalaguna</t>
        </is>
      </c>
    </row>
    <row r="25061" spans="1:1">
      <c r="A25061" t="inlineStr">
        <is>
          <t>Lomocloc</t>
        </is>
      </c>
    </row>
    <row r="25062" spans="1:1">
      <c r="A25062" t="inlineStr">
        <is>
          <t>Luyong Catungan</t>
        </is>
      </c>
    </row>
    <row r="25063" spans="1:1">
      <c r="A25063" t="inlineStr">
        <is>
          <t>Mabuhay</t>
        </is>
      </c>
    </row>
    <row r="25064" spans="1:1">
      <c r="A25064" t="inlineStr">
        <is>
          <t>Mandali</t>
        </is>
      </c>
    </row>
    <row r="25065" spans="1:1">
      <c r="A25065" t="inlineStr">
        <is>
          <t>Mapuyo</t>
        </is>
      </c>
    </row>
    <row r="25066" spans="1:1">
      <c r="A25066" t="inlineStr">
        <is>
          <t>Marintoc</t>
        </is>
      </c>
    </row>
    <row r="25067" spans="1:1">
      <c r="A25067" t="inlineStr">
        <is>
          <t>Nasunduan</t>
        </is>
      </c>
    </row>
    <row r="25068" spans="1:1">
      <c r="A25068" t="inlineStr">
        <is>
          <t>Pinamalatican</t>
        </is>
      </c>
    </row>
    <row r="25069" spans="1:1">
      <c r="A25069" t="inlineStr">
        <is>
          <t>Pinamarbuhan</t>
        </is>
      </c>
    </row>
    <row r="25070" spans="1:1">
      <c r="A25070" t="inlineStr">
        <is>
          <t>Poblacion Dist. I</t>
        </is>
      </c>
    </row>
    <row r="25071" spans="1:1">
      <c r="A25071" t="inlineStr">
        <is>
          <t>Poblacion Dist. II</t>
        </is>
      </c>
    </row>
    <row r="25072" spans="1:1">
      <c r="A25072" t="inlineStr">
        <is>
          <t>Polot</t>
        </is>
      </c>
    </row>
    <row r="25073" spans="1:1">
      <c r="A25073" t="inlineStr">
        <is>
          <t>Sambulawan</t>
        </is>
      </c>
    </row>
    <row r="25074" spans="1:1">
      <c r="A25074" t="inlineStr">
        <is>
          <t>Santa Maria</t>
        </is>
      </c>
    </row>
    <row r="25075" spans="1:1">
      <c r="A25075" t="inlineStr">
        <is>
          <t>Sawmill</t>
        </is>
      </c>
    </row>
    <row r="25076" spans="1:1">
      <c r="A25076" t="inlineStr">
        <is>
          <t>Tabuc</t>
        </is>
      </c>
    </row>
    <row r="25077" spans="1:1">
      <c r="A25077" t="inlineStr">
        <is>
          <t>Tugawe</t>
        </is>
      </c>
    </row>
    <row r="25078" spans="1:1">
      <c r="A25078" t="inlineStr">
        <is>
          <t>Tugbo</t>
        </is>
      </c>
    </row>
    <row r="25079" spans="1:1">
      <c r="A25079" t="inlineStr">
        <is>
          <t>Umabay Exterior</t>
        </is>
      </c>
    </row>
    <row r="25080" spans="1:1">
      <c r="A25080" t="inlineStr">
        <is>
          <t>Umabay Interior</t>
        </is>
      </c>
    </row>
    <row r="25081" spans="1:1">
      <c r="A25081" t="inlineStr">
        <is>
          <t>Cantorna</t>
        </is>
      </c>
    </row>
    <row r="25082" spans="1:1">
      <c r="A25082" t="inlineStr">
        <is>
          <t>Famosa</t>
        </is>
      </c>
    </row>
    <row r="25083" spans="1:1">
      <c r="A25083" t="inlineStr">
        <is>
          <t>Guinhadap</t>
        </is>
      </c>
    </row>
    <row r="25084" spans="1:1">
      <c r="A25084" t="inlineStr">
        <is>
          <t>Macarthur</t>
        </is>
      </c>
    </row>
    <row r="25085" spans="1:1">
      <c r="A25085" t="inlineStr">
        <is>
          <t>Maglambong</t>
        </is>
      </c>
    </row>
    <row r="25086" spans="1:1">
      <c r="A25086" t="inlineStr">
        <is>
          <t>Morocborocan</t>
        </is>
      </c>
    </row>
    <row r="25087" spans="1:1">
      <c r="A25087" t="inlineStr">
        <is>
          <t>Poblacion</t>
        </is>
      </c>
    </row>
    <row r="25088" spans="1:1">
      <c r="A25088" t="inlineStr">
        <is>
          <t>Real</t>
        </is>
      </c>
    </row>
    <row r="25089" spans="1:1">
      <c r="A25089" t="inlineStr">
        <is>
          <t>Rizal</t>
        </is>
      </c>
    </row>
    <row r="25090" spans="1:1">
      <c r="A25090" t="inlineStr">
        <is>
          <t>Santo Niño</t>
        </is>
      </c>
    </row>
    <row r="25091" spans="1:1">
      <c r="A25091" t="inlineStr">
        <is>
          <t>Togoron</t>
        </is>
      </c>
    </row>
    <row r="25092" spans="1:1">
      <c r="A25092" t="inlineStr">
        <is>
          <t>Antipolo</t>
        </is>
      </c>
    </row>
    <row r="25093" spans="1:1">
      <c r="A25093" t="inlineStr">
        <is>
          <t>Banco</t>
        </is>
      </c>
    </row>
    <row r="25094" spans="1:1">
      <c r="A25094" t="inlineStr">
        <is>
          <t>Biga-a</t>
        </is>
      </c>
    </row>
    <row r="25095" spans="1:1">
      <c r="A25095" t="inlineStr">
        <is>
          <t>Bontod</t>
        </is>
      </c>
    </row>
    <row r="25096" spans="1:1">
      <c r="A25096" t="inlineStr">
        <is>
          <t>Buenasuerte</t>
        </is>
      </c>
    </row>
    <row r="25097" spans="1:1">
      <c r="A25097" t="inlineStr">
        <is>
          <t>Intusan</t>
        </is>
      </c>
    </row>
    <row r="25098" spans="1:1">
      <c r="A25098" t="inlineStr">
        <is>
          <t>Jose A. Abenir Sr.</t>
        </is>
      </c>
    </row>
    <row r="25099" spans="1:1">
      <c r="A25099" t="inlineStr">
        <is>
          <t>Maanahao</t>
        </is>
      </c>
    </row>
    <row r="25100" spans="1:1">
      <c r="A25100" t="inlineStr">
        <is>
          <t>Mabini</t>
        </is>
      </c>
    </row>
    <row r="25101" spans="1:1">
      <c r="A25101" t="inlineStr">
        <is>
          <t>Malatawan</t>
        </is>
      </c>
    </row>
    <row r="25102" spans="1:1">
      <c r="A25102" t="inlineStr">
        <is>
          <t>Malibas</t>
        </is>
      </c>
    </row>
    <row r="25103" spans="1:1">
      <c r="A25103" t="inlineStr">
        <is>
          <t>Maravilla</t>
        </is>
      </c>
    </row>
    <row r="25104" spans="1:1">
      <c r="A25104" t="inlineStr">
        <is>
          <t>Matugnao</t>
        </is>
      </c>
    </row>
    <row r="25105" spans="1:1">
      <c r="A25105" t="inlineStr">
        <is>
          <t>Miabas</t>
        </is>
      </c>
    </row>
    <row r="25106" spans="1:1">
      <c r="A25106" t="inlineStr">
        <is>
          <t>Nabangig</t>
        </is>
      </c>
    </row>
    <row r="25107" spans="1:1">
      <c r="A25107" t="inlineStr">
        <is>
          <t>Nipa</t>
        </is>
      </c>
    </row>
    <row r="25108" spans="1:1">
      <c r="A25108" t="inlineStr">
        <is>
          <t>Parina</t>
        </is>
      </c>
    </row>
    <row r="25109" spans="1:1">
      <c r="A25109" t="inlineStr">
        <is>
          <t>Piña</t>
        </is>
      </c>
    </row>
    <row r="25110" spans="1:1">
      <c r="A25110" t="inlineStr">
        <is>
          <t>Poblacion</t>
        </is>
      </c>
    </row>
    <row r="25111" spans="1:1">
      <c r="A25111" t="inlineStr">
        <is>
          <t>Salvacion</t>
        </is>
      </c>
    </row>
    <row r="25112" spans="1:1">
      <c r="A25112" t="inlineStr">
        <is>
          <t>San Antonio</t>
        </is>
      </c>
    </row>
    <row r="25113" spans="1:1">
      <c r="A25113" t="inlineStr">
        <is>
          <t>San Carlos</t>
        </is>
      </c>
    </row>
    <row r="25114" spans="1:1">
      <c r="A25114" t="inlineStr">
        <is>
          <t>San Isidro</t>
        </is>
      </c>
    </row>
    <row r="25115" spans="1:1">
      <c r="A25115" t="inlineStr">
        <is>
          <t>Santa Cruz</t>
        </is>
      </c>
    </row>
    <row r="25116" spans="1:1">
      <c r="A25116" t="inlineStr">
        <is>
          <t>Alegria</t>
        </is>
      </c>
    </row>
    <row r="25117" spans="1:1">
      <c r="A25117" t="inlineStr">
        <is>
          <t>Buenasuerte</t>
        </is>
      </c>
    </row>
    <row r="25118" spans="1:1">
      <c r="A25118" t="inlineStr">
        <is>
          <t>Bugang</t>
        </is>
      </c>
    </row>
    <row r="25119" spans="1:1">
      <c r="A25119" t="inlineStr">
        <is>
          <t>Bugtong</t>
        </is>
      </c>
    </row>
    <row r="25120" spans="1:1">
      <c r="A25120" t="inlineStr">
        <is>
          <t>Bunducan</t>
        </is>
      </c>
    </row>
    <row r="25121" spans="1:1">
      <c r="A25121" t="inlineStr">
        <is>
          <t>Cabangrayan</t>
        </is>
      </c>
    </row>
    <row r="25122" spans="1:1">
      <c r="A25122" t="inlineStr">
        <is>
          <t>Calongongan</t>
        </is>
      </c>
    </row>
    <row r="25123" spans="1:1">
      <c r="A25123" t="inlineStr">
        <is>
          <t>Casabangan</t>
        </is>
      </c>
    </row>
    <row r="25124" spans="1:1">
      <c r="A25124" t="inlineStr">
        <is>
          <t>Guindawahan</t>
        </is>
      </c>
    </row>
    <row r="25125" spans="1:1">
      <c r="A25125" t="inlineStr">
        <is>
          <t>Labigan</t>
        </is>
      </c>
    </row>
    <row r="25126" spans="1:1">
      <c r="A25126" t="inlineStr">
        <is>
          <t>Lampuyang</t>
        </is>
      </c>
    </row>
    <row r="25127" spans="1:1">
      <c r="A25127" t="inlineStr">
        <is>
          <t>Mabuhay</t>
        </is>
      </c>
    </row>
    <row r="25128" spans="1:1">
      <c r="A25128" t="inlineStr">
        <is>
          <t>Palho</t>
        </is>
      </c>
    </row>
    <row r="25129" spans="1:1">
      <c r="A25129" t="inlineStr">
        <is>
          <t>Poblacion</t>
        </is>
      </c>
    </row>
    <row r="25130" spans="1:1">
      <c r="A25130" t="inlineStr">
        <is>
          <t>Salvacion</t>
        </is>
      </c>
    </row>
    <row r="25131" spans="1:1">
      <c r="A25131" t="inlineStr">
        <is>
          <t>Tanque</t>
        </is>
      </c>
    </row>
    <row r="25132" spans="1:1">
      <c r="A25132" t="inlineStr">
        <is>
          <t>Tubigan</t>
        </is>
      </c>
    </row>
    <row r="25133" spans="1:1">
      <c r="A25133" t="inlineStr">
        <is>
          <t>Tubog</t>
        </is>
      </c>
    </row>
    <row r="25134" spans="1:1">
      <c r="A25134" t="inlineStr">
        <is>
          <t>Aguada</t>
        </is>
      </c>
    </row>
    <row r="25135" spans="1:1">
      <c r="A25135" t="inlineStr">
        <is>
          <t>Ban-Ao</t>
        </is>
      </c>
    </row>
    <row r="25136" spans="1:1">
      <c r="A25136" t="inlineStr">
        <is>
          <t>Burabod</t>
        </is>
      </c>
    </row>
    <row r="25137" spans="1:1">
      <c r="A25137" t="inlineStr">
        <is>
          <t>Cabangcalan</t>
        </is>
      </c>
    </row>
    <row r="25138" spans="1:1">
      <c r="A25138" t="inlineStr">
        <is>
          <t>Calumpang</t>
        </is>
      </c>
    </row>
    <row r="25139" spans="1:1">
      <c r="A25139" t="inlineStr">
        <is>
          <t>Camayabsan</t>
        </is>
      </c>
    </row>
    <row r="25140" spans="1:1">
      <c r="A25140" t="inlineStr">
        <is>
          <t>Daanlungsod</t>
        </is>
      </c>
    </row>
    <row r="25141" spans="1:1">
      <c r="A25141" t="inlineStr">
        <is>
          <t>Dangpanan</t>
        </is>
      </c>
    </row>
    <row r="25142" spans="1:1">
      <c r="A25142" t="inlineStr">
        <is>
          <t>Daraga</t>
        </is>
      </c>
    </row>
    <row r="25143" spans="1:1">
      <c r="A25143" t="inlineStr">
        <is>
          <t>Guin-Awayan</t>
        </is>
      </c>
    </row>
    <row r="25144" spans="1:1">
      <c r="A25144" t="inlineStr">
        <is>
          <t>Guinhan-Ayan</t>
        </is>
      </c>
    </row>
    <row r="25145" spans="1:1">
      <c r="A25145" t="inlineStr">
        <is>
          <t>Katipunan</t>
        </is>
      </c>
    </row>
    <row r="25146" spans="1:1">
      <c r="A25146" t="inlineStr">
        <is>
          <t>Libas</t>
        </is>
      </c>
    </row>
    <row r="25147" spans="1:1">
      <c r="A25147" t="inlineStr">
        <is>
          <t>Locso-An</t>
        </is>
      </c>
    </row>
    <row r="25148" spans="1:1">
      <c r="A25148" t="inlineStr">
        <is>
          <t>Luna</t>
        </is>
      </c>
    </row>
    <row r="25149" spans="1:1">
      <c r="A25149" t="inlineStr">
        <is>
          <t>Mahayag</t>
        </is>
      </c>
    </row>
    <row r="25150" spans="1:1">
      <c r="A25150" t="inlineStr">
        <is>
          <t>Mahayahay</t>
        </is>
      </c>
    </row>
    <row r="25151" spans="1:1">
      <c r="A25151" t="inlineStr">
        <is>
          <t>Manlut-Od</t>
        </is>
      </c>
    </row>
    <row r="25152" spans="1:1">
      <c r="A25152" t="inlineStr">
        <is>
          <t>Matagantang</t>
        </is>
      </c>
    </row>
    <row r="25153" spans="1:1">
      <c r="A25153" t="inlineStr">
        <is>
          <t>Naboctot</t>
        </is>
      </c>
    </row>
    <row r="25154" spans="1:1">
      <c r="A25154" t="inlineStr">
        <is>
          <t>Nagarao</t>
        </is>
      </c>
    </row>
    <row r="25155" spans="1:1">
      <c r="A25155" t="inlineStr">
        <is>
          <t>Nainday</t>
        </is>
      </c>
    </row>
    <row r="25156" spans="1:1">
      <c r="A25156" t="inlineStr">
        <is>
          <t>Naocondiot</t>
        </is>
      </c>
    </row>
    <row r="25157" spans="1:1">
      <c r="A25157" t="inlineStr">
        <is>
          <t>Pasiagon</t>
        </is>
      </c>
    </row>
    <row r="25158" spans="1:1">
      <c r="A25158" t="inlineStr">
        <is>
          <t>Pili</t>
        </is>
      </c>
    </row>
    <row r="25159" spans="1:1">
      <c r="A25159" t="inlineStr">
        <is>
          <t>Poblacion</t>
        </is>
      </c>
    </row>
    <row r="25160" spans="1:1">
      <c r="A25160" t="inlineStr">
        <is>
          <t>Puro</t>
        </is>
      </c>
    </row>
    <row r="25161" spans="1:1">
      <c r="A25161" t="inlineStr">
        <is>
          <t>Quibrada</t>
        </is>
      </c>
    </row>
    <row r="25162" spans="1:1">
      <c r="A25162" t="inlineStr">
        <is>
          <t>San Marcos</t>
        </is>
      </c>
    </row>
    <row r="25163" spans="1:1">
      <c r="A25163" t="inlineStr">
        <is>
          <t>Santa Cruz</t>
        </is>
      </c>
    </row>
    <row r="25164" spans="1:1">
      <c r="A25164" t="inlineStr">
        <is>
          <t>Taboc</t>
        </is>
      </c>
    </row>
    <row r="25165" spans="1:1">
      <c r="A25165" t="inlineStr">
        <is>
          <t>Tan-Awan</t>
        </is>
      </c>
    </row>
    <row r="25166" spans="1:1">
      <c r="A25166" t="inlineStr">
        <is>
          <t>Taverna</t>
        </is>
      </c>
    </row>
    <row r="25167" spans="1:1">
      <c r="A25167" t="inlineStr">
        <is>
          <t>Tubod</t>
        </is>
      </c>
    </row>
    <row r="25168" spans="1:1">
      <c r="A25168" t="inlineStr">
        <is>
          <t>Villa Inocencio</t>
        </is>
      </c>
    </row>
    <row r="25169" spans="1:1">
      <c r="A25169" t="inlineStr">
        <is>
          <t>Altavista</t>
        </is>
      </c>
    </row>
    <row r="25170" spans="1:1">
      <c r="A25170" t="inlineStr">
        <is>
          <t>Bayanihan Pob.</t>
        </is>
      </c>
    </row>
    <row r="25171" spans="1:1">
      <c r="A25171" t="inlineStr">
        <is>
          <t>Baybaydagat Pob.</t>
        </is>
      </c>
    </row>
    <row r="25172" spans="1:1">
      <c r="A25172" t="inlineStr">
        <is>
          <t>Benitinan</t>
        </is>
      </c>
    </row>
    <row r="25173" spans="1:1">
      <c r="A25173" t="inlineStr">
        <is>
          <t>Buenasuerte</t>
        </is>
      </c>
    </row>
    <row r="25174" spans="1:1">
      <c r="A25174" t="inlineStr">
        <is>
          <t>Buenavista</t>
        </is>
      </c>
    </row>
    <row r="25175" spans="1:1">
      <c r="A25175" t="inlineStr">
        <is>
          <t>Buenos Aires</t>
        </is>
      </c>
    </row>
    <row r="25176" spans="1:1">
      <c r="A25176" t="inlineStr">
        <is>
          <t>Buyo</t>
        </is>
      </c>
    </row>
    <row r="25177" spans="1:1">
      <c r="A25177" t="inlineStr">
        <is>
          <t>Cañelas</t>
        </is>
      </c>
    </row>
    <row r="25178" spans="1:1">
      <c r="A25178" t="inlineStr">
        <is>
          <t>Corbada</t>
        </is>
      </c>
    </row>
    <row r="25179" spans="1:1">
      <c r="A25179" t="inlineStr">
        <is>
          <t>Daplian</t>
        </is>
      </c>
    </row>
    <row r="25180" spans="1:1">
      <c r="A25180" t="inlineStr">
        <is>
          <t>Del Rosario</t>
        </is>
      </c>
    </row>
    <row r="25181" spans="1:1">
      <c r="A25181" t="inlineStr">
        <is>
          <t>Ipil</t>
        </is>
      </c>
    </row>
    <row r="25182" spans="1:1">
      <c r="A25182" t="inlineStr">
        <is>
          <t>Lahong</t>
        </is>
      </c>
    </row>
    <row r="25183" spans="1:1">
      <c r="A25183" t="inlineStr">
        <is>
          <t>Lumbia</t>
        </is>
      </c>
    </row>
    <row r="25184" spans="1:1">
      <c r="A25184" t="inlineStr">
        <is>
          <t>Magkaipit</t>
        </is>
      </c>
    </row>
    <row r="25185" spans="1:1">
      <c r="A25185" t="inlineStr">
        <is>
          <t>Magsasaka Pob.</t>
        </is>
      </c>
    </row>
    <row r="25186" spans="1:1">
      <c r="A25186" t="inlineStr">
        <is>
          <t>Minio</t>
        </is>
      </c>
    </row>
    <row r="25187" spans="1:1">
      <c r="A25187" t="inlineStr">
        <is>
          <t>Pinamoghaan</t>
        </is>
      </c>
    </row>
    <row r="25188" spans="1:1">
      <c r="A25188" t="inlineStr">
        <is>
          <t>Progreso</t>
        </is>
      </c>
    </row>
    <row r="25189" spans="1:1">
      <c r="A25189" t="inlineStr">
        <is>
          <t>Resurreccion</t>
        </is>
      </c>
    </row>
    <row r="25190" spans="1:1">
      <c r="A25190" t="inlineStr">
        <is>
          <t>Salvacion</t>
        </is>
      </c>
    </row>
    <row r="25191" spans="1:1">
      <c r="A25191" t="inlineStr">
        <is>
          <t>Silangan Pob.</t>
        </is>
      </c>
    </row>
    <row r="25192" spans="1:1">
      <c r="A25192" t="inlineStr">
        <is>
          <t>Sowa</t>
        </is>
      </c>
    </row>
    <row r="25193" spans="1:1">
      <c r="A25193" t="inlineStr">
        <is>
          <t>Talisay</t>
        </is>
      </c>
    </row>
    <row r="25194" spans="1:1">
      <c r="A25194" t="inlineStr">
        <is>
          <t>Valparaiso</t>
        </is>
      </c>
    </row>
    <row r="25195" spans="1:1">
      <c r="A25195" t="inlineStr">
        <is>
          <t>Almiñe</t>
        </is>
      </c>
    </row>
    <row r="25196" spans="1:1">
      <c r="A25196" t="inlineStr">
        <is>
          <t>Bagacay</t>
        </is>
      </c>
    </row>
    <row r="25197" spans="1:1">
      <c r="A25197" t="inlineStr">
        <is>
          <t>Bagahanglad</t>
        </is>
      </c>
    </row>
    <row r="25198" spans="1:1">
      <c r="A25198" t="inlineStr">
        <is>
          <t>Bartolabac</t>
        </is>
      </c>
    </row>
    <row r="25199" spans="1:1">
      <c r="A25199" t="inlineStr">
        <is>
          <t>Burgos</t>
        </is>
      </c>
    </row>
    <row r="25200" spans="1:1">
      <c r="A25200" t="inlineStr">
        <is>
          <t>Calipat-An</t>
        </is>
      </c>
    </row>
    <row r="25201" spans="1:1">
      <c r="A25201" t="inlineStr">
        <is>
          <t>Danao</t>
        </is>
      </c>
    </row>
    <row r="25202" spans="1:1">
      <c r="A25202" t="inlineStr">
        <is>
          <t>District I</t>
        </is>
      </c>
    </row>
    <row r="25203" spans="1:1">
      <c r="A25203" t="inlineStr">
        <is>
          <t>District II</t>
        </is>
      </c>
    </row>
    <row r="25204" spans="1:1">
      <c r="A25204" t="inlineStr">
        <is>
          <t>District III</t>
        </is>
      </c>
    </row>
    <row r="25205" spans="1:1">
      <c r="A25205" t="inlineStr">
        <is>
          <t>District IV</t>
        </is>
      </c>
    </row>
    <row r="25206" spans="1:1">
      <c r="A25206" t="inlineStr">
        <is>
          <t>Dorong-an Daplian</t>
        </is>
      </c>
    </row>
    <row r="25207" spans="1:1">
      <c r="A25207" t="inlineStr">
        <is>
          <t>Interior</t>
        </is>
      </c>
    </row>
    <row r="25208" spans="1:1">
      <c r="A25208" t="inlineStr">
        <is>
          <t>Jagna-an</t>
        </is>
      </c>
    </row>
    <row r="25209" spans="1:1">
      <c r="A25209" t="inlineStr">
        <is>
          <t>Luna</t>
        </is>
      </c>
    </row>
    <row r="25210" spans="1:1">
      <c r="A25210" t="inlineStr">
        <is>
          <t>Mabini</t>
        </is>
      </c>
    </row>
    <row r="25211" spans="1:1">
      <c r="A25211" t="inlineStr">
        <is>
          <t>Piña</t>
        </is>
      </c>
    </row>
    <row r="25212" spans="1:1">
      <c r="A25212" t="inlineStr">
        <is>
          <t>Roosevelt</t>
        </is>
      </c>
    </row>
    <row r="25213" spans="1:1">
      <c r="A25213" t="inlineStr">
        <is>
          <t>San Isidro</t>
        </is>
      </c>
    </row>
    <row r="25214" spans="1:1">
      <c r="A25214" t="inlineStr">
        <is>
          <t>Santa Rosa</t>
        </is>
      </c>
    </row>
    <row r="25215" spans="1:1">
      <c r="A25215" t="inlineStr">
        <is>
          <t>Washington</t>
        </is>
      </c>
    </row>
    <row r="25216" spans="1:1">
      <c r="A25216" t="inlineStr">
        <is>
          <t>Boca Chica</t>
        </is>
      </c>
    </row>
    <row r="25217" spans="1:1">
      <c r="A25217" t="inlineStr">
        <is>
          <t>Bolod</t>
        </is>
      </c>
    </row>
    <row r="25218" spans="1:1">
      <c r="A25218" t="inlineStr">
        <is>
          <t>Busing</t>
        </is>
      </c>
    </row>
    <row r="25219" spans="1:1">
      <c r="A25219" t="inlineStr">
        <is>
          <t>Cueva</t>
        </is>
      </c>
    </row>
    <row r="25220" spans="1:1">
      <c r="A25220" t="inlineStr">
        <is>
          <t>Dangcalan</t>
        </is>
      </c>
    </row>
    <row r="25221" spans="1:1">
      <c r="A25221" t="inlineStr">
        <is>
          <t>Halabangbaybay</t>
        </is>
      </c>
    </row>
    <row r="25222" spans="1:1">
      <c r="A25222" t="inlineStr">
        <is>
          <t>Iniwaran</t>
        </is>
      </c>
    </row>
    <row r="25223" spans="1:1">
      <c r="A25223" t="inlineStr">
        <is>
          <t>Ki-Buaya</t>
        </is>
      </c>
    </row>
    <row r="25224" spans="1:1">
      <c r="A25224" t="inlineStr">
        <is>
          <t>Ki-Romero</t>
        </is>
      </c>
    </row>
    <row r="25225" spans="1:1">
      <c r="A25225" t="inlineStr">
        <is>
          <t>Laurente</t>
        </is>
      </c>
    </row>
    <row r="25226" spans="1:1">
      <c r="A25226" t="inlineStr">
        <is>
          <t>Mabini</t>
        </is>
      </c>
    </row>
    <row r="25227" spans="1:1">
      <c r="A25227" t="inlineStr">
        <is>
          <t>Mabuhay</t>
        </is>
      </c>
    </row>
    <row r="25228" spans="1:1">
      <c r="A25228" t="inlineStr">
        <is>
          <t>Malaking Ilog</t>
        </is>
      </c>
    </row>
    <row r="25229" spans="1:1">
      <c r="A25229" t="inlineStr">
        <is>
          <t>Mapanique</t>
        </is>
      </c>
    </row>
    <row r="25230" spans="1:1">
      <c r="A25230" t="inlineStr">
        <is>
          <t>Nazareno</t>
        </is>
      </c>
    </row>
    <row r="25231" spans="1:1">
      <c r="A25231" t="inlineStr">
        <is>
          <t>Pinamasingan</t>
        </is>
      </c>
    </row>
    <row r="25232" spans="1:1">
      <c r="A25232" t="inlineStr">
        <is>
          <t>Quintina</t>
        </is>
      </c>
    </row>
    <row r="25233" spans="1:1">
      <c r="A25233" t="inlineStr">
        <is>
          <t>San Jose</t>
        </is>
      </c>
    </row>
    <row r="25234" spans="1:1">
      <c r="A25234" t="inlineStr">
        <is>
          <t>San Pedro</t>
        </is>
      </c>
    </row>
    <row r="25235" spans="1:1">
      <c r="A25235" t="inlineStr">
        <is>
          <t>San Rafael</t>
        </is>
      </c>
    </row>
    <row r="25236" spans="1:1">
      <c r="A25236" t="inlineStr">
        <is>
          <t>Santa Cruz</t>
        </is>
      </c>
    </row>
    <row r="25237" spans="1:1">
      <c r="A25237" t="inlineStr">
        <is>
          <t>Terraplin</t>
        </is>
      </c>
    </row>
    <row r="25238" spans="1:1">
      <c r="A25238" t="inlineStr">
        <is>
          <t>Arado</t>
        </is>
      </c>
    </row>
    <row r="25239" spans="1:1">
      <c r="A25239" t="inlineStr">
        <is>
          <t>Armenia</t>
        </is>
      </c>
    </row>
    <row r="25240" spans="1:1">
      <c r="A25240" t="inlineStr">
        <is>
          <t>Aurora</t>
        </is>
      </c>
    </row>
    <row r="25241" spans="1:1">
      <c r="A25241" t="inlineStr">
        <is>
          <t>Badling</t>
        </is>
      </c>
    </row>
    <row r="25242" spans="1:1">
      <c r="A25242" t="inlineStr">
        <is>
          <t>Bonifacio</t>
        </is>
      </c>
    </row>
    <row r="25243" spans="1:1">
      <c r="A25243" t="inlineStr">
        <is>
          <t>Buenasuerte</t>
        </is>
      </c>
    </row>
    <row r="25244" spans="1:1">
      <c r="A25244" t="inlineStr">
        <is>
          <t>Buenavista</t>
        </is>
      </c>
    </row>
    <row r="25245" spans="1:1">
      <c r="A25245" t="inlineStr">
        <is>
          <t>Campana</t>
        </is>
      </c>
    </row>
    <row r="25246" spans="1:1">
      <c r="A25246" t="inlineStr">
        <is>
          <t>Candelaria</t>
        </is>
      </c>
    </row>
    <row r="25247" spans="1:1">
      <c r="A25247" t="inlineStr">
        <is>
          <t>Centro</t>
        </is>
      </c>
    </row>
    <row r="25248" spans="1:1">
      <c r="A25248" t="inlineStr">
        <is>
          <t>Crossing</t>
        </is>
      </c>
    </row>
    <row r="25249" spans="1:1">
      <c r="A25249" t="inlineStr">
        <is>
          <t>Dapdap</t>
        </is>
      </c>
    </row>
    <row r="25250" spans="1:1">
      <c r="A25250" t="inlineStr">
        <is>
          <t>Del Carmen</t>
        </is>
      </c>
    </row>
    <row r="25251" spans="1:1">
      <c r="A25251" t="inlineStr">
        <is>
          <t>Del Rosario</t>
        </is>
      </c>
    </row>
    <row r="25252" spans="1:1">
      <c r="A25252" t="inlineStr">
        <is>
          <t>Libertad</t>
        </is>
      </c>
    </row>
    <row r="25253" spans="1:1">
      <c r="A25253" t="inlineStr">
        <is>
          <t>Mabini</t>
        </is>
      </c>
    </row>
    <row r="25254" spans="1:1">
      <c r="A25254" t="inlineStr">
        <is>
          <t>Mabuhay</t>
        </is>
      </c>
    </row>
    <row r="25255" spans="1:1">
      <c r="A25255" t="inlineStr">
        <is>
          <t>Madao</t>
        </is>
      </c>
    </row>
    <row r="25256" spans="1:1">
      <c r="A25256" t="inlineStr">
        <is>
          <t>Magsaysay</t>
        </is>
      </c>
    </row>
    <row r="25257" spans="1:1">
      <c r="A25257" t="inlineStr">
        <is>
          <t>Marcella</t>
        </is>
      </c>
    </row>
    <row r="25258" spans="1:1">
      <c r="A25258" t="inlineStr">
        <is>
          <t>Miaga</t>
        </is>
      </c>
    </row>
    <row r="25259" spans="1:1">
      <c r="A25259" t="inlineStr">
        <is>
          <t>Mongahay</t>
        </is>
      </c>
    </row>
    <row r="25260" spans="1:1">
      <c r="A25260" t="inlineStr">
        <is>
          <t>Morocborocan</t>
        </is>
      </c>
    </row>
    <row r="25261" spans="1:1">
      <c r="A25261" t="inlineStr">
        <is>
          <t>Paguihaman</t>
        </is>
      </c>
    </row>
    <row r="25262" spans="1:1">
      <c r="A25262" t="inlineStr">
        <is>
          <t>Panicijan</t>
        </is>
      </c>
    </row>
    <row r="25263" spans="1:1">
      <c r="A25263" t="inlineStr">
        <is>
          <t>Poblacion</t>
        </is>
      </c>
    </row>
    <row r="25264" spans="1:1">
      <c r="A25264" t="inlineStr">
        <is>
          <t>Quezon</t>
        </is>
      </c>
    </row>
    <row r="25265" spans="1:1">
      <c r="A25265" t="inlineStr">
        <is>
          <t>San Isidro</t>
        </is>
      </c>
    </row>
    <row r="25266" spans="1:1">
      <c r="A25266" t="inlineStr">
        <is>
          <t>San Jose</t>
        </is>
      </c>
    </row>
    <row r="25267" spans="1:1">
      <c r="A25267" t="inlineStr">
        <is>
          <t>San Mateo</t>
        </is>
      </c>
    </row>
    <row r="25268" spans="1:1">
      <c r="A25268" t="inlineStr">
        <is>
          <t>San Ramon</t>
        </is>
      </c>
    </row>
    <row r="25269" spans="1:1">
      <c r="A25269" t="inlineStr">
        <is>
          <t>San Vicente</t>
        </is>
      </c>
    </row>
    <row r="25270" spans="1:1">
      <c r="A25270" t="inlineStr">
        <is>
          <t>Santo Cristo</t>
        </is>
      </c>
    </row>
    <row r="25271" spans="1:1">
      <c r="A25271" t="inlineStr">
        <is>
          <t>Sawang</t>
        </is>
      </c>
    </row>
    <row r="25272" spans="1:1">
      <c r="A25272" t="inlineStr">
        <is>
          <t>Simawa</t>
        </is>
      </c>
    </row>
    <row r="25273" spans="1:1">
      <c r="A25273" t="inlineStr">
        <is>
          <t>Barangay 1</t>
        </is>
      </c>
    </row>
    <row r="25274" spans="1:1">
      <c r="A25274" t="inlineStr">
        <is>
          <t>Barangay 10</t>
        </is>
      </c>
    </row>
    <row r="25275" spans="1:1">
      <c r="A25275" t="inlineStr">
        <is>
          <t>Barangay 100</t>
        </is>
      </c>
    </row>
    <row r="25276" spans="1:1">
      <c r="A25276" t="inlineStr">
        <is>
          <t>Barangay 101</t>
        </is>
      </c>
    </row>
    <row r="25277" spans="1:1">
      <c r="A25277" t="inlineStr">
        <is>
          <t>Barangay 102</t>
        </is>
      </c>
    </row>
    <row r="25278" spans="1:1">
      <c r="A25278" t="inlineStr">
        <is>
          <t>Barangay 103</t>
        </is>
      </c>
    </row>
    <row r="25279" spans="1:1">
      <c r="A25279" t="inlineStr">
        <is>
          <t>Barangay 104</t>
        </is>
      </c>
    </row>
    <row r="25280" spans="1:1">
      <c r="A25280" t="inlineStr">
        <is>
          <t>Barangay 105</t>
        </is>
      </c>
    </row>
    <row r="25281" spans="1:1">
      <c r="A25281" t="inlineStr">
        <is>
          <t>Barangay 106</t>
        </is>
      </c>
    </row>
    <row r="25282" spans="1:1">
      <c r="A25282" t="inlineStr">
        <is>
          <t>Barangay 107</t>
        </is>
      </c>
    </row>
    <row r="25283" spans="1:1">
      <c r="A25283" t="inlineStr">
        <is>
          <t>Barangay 108</t>
        </is>
      </c>
    </row>
    <row r="25284" spans="1:1">
      <c r="A25284" t="inlineStr">
        <is>
          <t>Barangay 109</t>
        </is>
      </c>
    </row>
    <row r="25285" spans="1:1">
      <c r="A25285" t="inlineStr">
        <is>
          <t>Barangay 11</t>
        </is>
      </c>
    </row>
    <row r="25286" spans="1:1">
      <c r="A25286" t="inlineStr">
        <is>
          <t>Barangay 110</t>
        </is>
      </c>
    </row>
    <row r="25287" spans="1:1">
      <c r="A25287" t="inlineStr">
        <is>
          <t>Barangay 111</t>
        </is>
      </c>
    </row>
    <row r="25288" spans="1:1">
      <c r="A25288" t="inlineStr">
        <is>
          <t>Barangay 112</t>
        </is>
      </c>
    </row>
    <row r="25289" spans="1:1">
      <c r="A25289" t="inlineStr">
        <is>
          <t>Barangay 113</t>
        </is>
      </c>
    </row>
    <row r="25290" spans="1:1">
      <c r="A25290" t="inlineStr">
        <is>
          <t>Barangay 114</t>
        </is>
      </c>
    </row>
    <row r="25291" spans="1:1">
      <c r="A25291" t="inlineStr">
        <is>
          <t>Barangay 115</t>
        </is>
      </c>
    </row>
    <row r="25292" spans="1:1">
      <c r="A25292" t="inlineStr">
        <is>
          <t>Barangay 116</t>
        </is>
      </c>
    </row>
    <row r="25293" spans="1:1">
      <c r="A25293" t="inlineStr">
        <is>
          <t>Barangay 117</t>
        </is>
      </c>
    </row>
    <row r="25294" spans="1:1">
      <c r="A25294" t="inlineStr">
        <is>
          <t>Barangay 118</t>
        </is>
      </c>
    </row>
    <row r="25295" spans="1:1">
      <c r="A25295" t="inlineStr">
        <is>
          <t>Barangay 119</t>
        </is>
      </c>
    </row>
    <row r="25296" spans="1:1">
      <c r="A25296" t="inlineStr">
        <is>
          <t>Barangay 12</t>
        </is>
      </c>
    </row>
    <row r="25297" spans="1:1">
      <c r="A25297" t="inlineStr">
        <is>
          <t>Barangay 120</t>
        </is>
      </c>
    </row>
    <row r="25298" spans="1:1">
      <c r="A25298" t="inlineStr">
        <is>
          <t>Barangay 121</t>
        </is>
      </c>
    </row>
    <row r="25299" spans="1:1">
      <c r="A25299" t="inlineStr">
        <is>
          <t>Barangay 122</t>
        </is>
      </c>
    </row>
    <row r="25300" spans="1:1">
      <c r="A25300" t="inlineStr">
        <is>
          <t>Barangay 123</t>
        </is>
      </c>
    </row>
    <row r="25301" spans="1:1">
      <c r="A25301" t="inlineStr">
        <is>
          <t>Barangay 124</t>
        </is>
      </c>
    </row>
    <row r="25302" spans="1:1">
      <c r="A25302" t="inlineStr">
        <is>
          <t>Barangay 125</t>
        </is>
      </c>
    </row>
    <row r="25303" spans="1:1">
      <c r="A25303" t="inlineStr">
        <is>
          <t>Barangay 126</t>
        </is>
      </c>
    </row>
    <row r="25304" spans="1:1">
      <c r="A25304" t="inlineStr">
        <is>
          <t>Barangay 127</t>
        </is>
      </c>
    </row>
    <row r="25305" spans="1:1">
      <c r="A25305" t="inlineStr">
        <is>
          <t>Barangay 128</t>
        </is>
      </c>
    </row>
    <row r="25306" spans="1:1">
      <c r="A25306" t="inlineStr">
        <is>
          <t>Barangay 129</t>
        </is>
      </c>
    </row>
    <row r="25307" spans="1:1">
      <c r="A25307" t="inlineStr">
        <is>
          <t>Barangay 13</t>
        </is>
      </c>
    </row>
    <row r="25308" spans="1:1">
      <c r="A25308" t="inlineStr">
        <is>
          <t>Barangay 130</t>
        </is>
      </c>
    </row>
    <row r="25309" spans="1:1">
      <c r="A25309" t="inlineStr">
        <is>
          <t>Barangay 131</t>
        </is>
      </c>
    </row>
    <row r="25310" spans="1:1">
      <c r="A25310" t="inlineStr">
        <is>
          <t>Barangay 132</t>
        </is>
      </c>
    </row>
    <row r="25311" spans="1:1">
      <c r="A25311" t="inlineStr">
        <is>
          <t>Barangay 133</t>
        </is>
      </c>
    </row>
    <row r="25312" spans="1:1">
      <c r="A25312" t="inlineStr">
        <is>
          <t>Barangay 134</t>
        </is>
      </c>
    </row>
    <row r="25313" spans="1:1">
      <c r="A25313" t="inlineStr">
        <is>
          <t>Barangay 135</t>
        </is>
      </c>
    </row>
    <row r="25314" spans="1:1">
      <c r="A25314" t="inlineStr">
        <is>
          <t>Barangay 136</t>
        </is>
      </c>
    </row>
    <row r="25315" spans="1:1">
      <c r="A25315" t="inlineStr">
        <is>
          <t>Barangay 137</t>
        </is>
      </c>
    </row>
    <row r="25316" spans="1:1">
      <c r="A25316" t="inlineStr">
        <is>
          <t>Barangay 138</t>
        </is>
      </c>
    </row>
    <row r="25317" spans="1:1">
      <c r="A25317" t="inlineStr">
        <is>
          <t>Barangay 139</t>
        </is>
      </c>
    </row>
    <row r="25318" spans="1:1">
      <c r="A25318" t="inlineStr">
        <is>
          <t>Barangay 14</t>
        </is>
      </c>
    </row>
    <row r="25319" spans="1:1">
      <c r="A25319" t="inlineStr">
        <is>
          <t>Barangay 140</t>
        </is>
      </c>
    </row>
    <row r="25320" spans="1:1">
      <c r="A25320" t="inlineStr">
        <is>
          <t>Barangay 141</t>
        </is>
      </c>
    </row>
    <row r="25321" spans="1:1">
      <c r="A25321" t="inlineStr">
        <is>
          <t>Barangay 142</t>
        </is>
      </c>
    </row>
    <row r="25322" spans="1:1">
      <c r="A25322" t="inlineStr">
        <is>
          <t>Barangay 143</t>
        </is>
      </c>
    </row>
    <row r="25323" spans="1:1">
      <c r="A25323" t="inlineStr">
        <is>
          <t>Barangay 144</t>
        </is>
      </c>
    </row>
    <row r="25324" spans="1:1">
      <c r="A25324" t="inlineStr">
        <is>
          <t>Barangay 145</t>
        </is>
      </c>
    </row>
    <row r="25325" spans="1:1">
      <c r="A25325" t="inlineStr">
        <is>
          <t>Barangay 146</t>
        </is>
      </c>
    </row>
    <row r="25326" spans="1:1">
      <c r="A25326" t="inlineStr">
        <is>
          <t>Barangay 147</t>
        </is>
      </c>
    </row>
    <row r="25327" spans="1:1">
      <c r="A25327" t="inlineStr">
        <is>
          <t>Barangay 148</t>
        </is>
      </c>
    </row>
    <row r="25328" spans="1:1">
      <c r="A25328" t="inlineStr">
        <is>
          <t>Barangay 149</t>
        </is>
      </c>
    </row>
    <row r="25329" spans="1:1">
      <c r="A25329" t="inlineStr">
        <is>
          <t>Barangay 15</t>
        </is>
      </c>
    </row>
    <row r="25330" spans="1:1">
      <c r="A25330" t="inlineStr">
        <is>
          <t>Barangay 150</t>
        </is>
      </c>
    </row>
    <row r="25331" spans="1:1">
      <c r="A25331" t="inlineStr">
        <is>
          <t>Barangay 151</t>
        </is>
      </c>
    </row>
    <row r="25332" spans="1:1">
      <c r="A25332" t="inlineStr">
        <is>
          <t>Barangay 152</t>
        </is>
      </c>
    </row>
    <row r="25333" spans="1:1">
      <c r="A25333" t="inlineStr">
        <is>
          <t>Barangay 153</t>
        </is>
      </c>
    </row>
    <row r="25334" spans="1:1">
      <c r="A25334" t="inlineStr">
        <is>
          <t>Barangay 154</t>
        </is>
      </c>
    </row>
    <row r="25335" spans="1:1">
      <c r="A25335" t="inlineStr">
        <is>
          <t>Barangay 155</t>
        </is>
      </c>
    </row>
    <row r="25336" spans="1:1">
      <c r="A25336" t="inlineStr">
        <is>
          <t>Barangay 156</t>
        </is>
      </c>
    </row>
    <row r="25337" spans="1:1">
      <c r="A25337" t="inlineStr">
        <is>
          <t>Barangay 157</t>
        </is>
      </c>
    </row>
    <row r="25338" spans="1:1">
      <c r="A25338" t="inlineStr">
        <is>
          <t>Barangay 158</t>
        </is>
      </c>
    </row>
    <row r="25339" spans="1:1">
      <c r="A25339" t="inlineStr">
        <is>
          <t>Barangay 159</t>
        </is>
      </c>
    </row>
    <row r="25340" spans="1:1">
      <c r="A25340" t="inlineStr">
        <is>
          <t>Barangay 16</t>
        </is>
      </c>
    </row>
    <row r="25341" spans="1:1">
      <c r="A25341" t="inlineStr">
        <is>
          <t>Barangay 160</t>
        </is>
      </c>
    </row>
    <row r="25342" spans="1:1">
      <c r="A25342" t="inlineStr">
        <is>
          <t>Barangay 161</t>
        </is>
      </c>
    </row>
    <row r="25343" spans="1:1">
      <c r="A25343" t="inlineStr">
        <is>
          <t>Barangay 162</t>
        </is>
      </c>
    </row>
    <row r="25344" spans="1:1">
      <c r="A25344" t="inlineStr">
        <is>
          <t>Barangay 163</t>
        </is>
      </c>
    </row>
    <row r="25345" spans="1:1">
      <c r="A25345" t="inlineStr">
        <is>
          <t>Barangay 164</t>
        </is>
      </c>
    </row>
    <row r="25346" spans="1:1">
      <c r="A25346" t="inlineStr">
        <is>
          <t>Barangay 165</t>
        </is>
      </c>
    </row>
    <row r="25347" spans="1:1">
      <c r="A25347" t="inlineStr">
        <is>
          <t>Barangay 166</t>
        </is>
      </c>
    </row>
    <row r="25348" spans="1:1">
      <c r="A25348" t="inlineStr">
        <is>
          <t>Barangay 167</t>
        </is>
      </c>
    </row>
    <row r="25349" spans="1:1">
      <c r="A25349" t="inlineStr">
        <is>
          <t>Barangay 168</t>
        </is>
      </c>
    </row>
    <row r="25350" spans="1:1">
      <c r="A25350" t="inlineStr">
        <is>
          <t>Barangay 169</t>
        </is>
      </c>
    </row>
    <row r="25351" spans="1:1">
      <c r="A25351" t="inlineStr">
        <is>
          <t>Barangay 17</t>
        </is>
      </c>
    </row>
    <row r="25352" spans="1:1">
      <c r="A25352" t="inlineStr">
        <is>
          <t>Barangay 170</t>
        </is>
      </c>
    </row>
    <row r="25353" spans="1:1">
      <c r="A25353" t="inlineStr">
        <is>
          <t>Barangay 171</t>
        </is>
      </c>
    </row>
    <row r="25354" spans="1:1">
      <c r="A25354" t="inlineStr">
        <is>
          <t>Barangay 172</t>
        </is>
      </c>
    </row>
    <row r="25355" spans="1:1">
      <c r="A25355" t="inlineStr">
        <is>
          <t>Barangay 173</t>
        </is>
      </c>
    </row>
    <row r="25356" spans="1:1">
      <c r="A25356" t="inlineStr">
        <is>
          <t>Barangay 174</t>
        </is>
      </c>
    </row>
    <row r="25357" spans="1:1">
      <c r="A25357" t="inlineStr">
        <is>
          <t>Barangay 175</t>
        </is>
      </c>
    </row>
    <row r="25358" spans="1:1">
      <c r="A25358" t="inlineStr">
        <is>
          <t>Barangay 176-A</t>
        </is>
      </c>
    </row>
    <row r="25359" spans="1:1">
      <c r="A25359" t="inlineStr">
        <is>
          <t>Barangay 176-B</t>
        </is>
      </c>
    </row>
    <row r="25360" spans="1:1">
      <c r="A25360" t="inlineStr">
        <is>
          <t>Barangay 176-C</t>
        </is>
      </c>
    </row>
    <row r="25361" spans="1:1">
      <c r="A25361" t="inlineStr">
        <is>
          <t>Barangay 176-D</t>
        </is>
      </c>
    </row>
    <row r="25362" spans="1:1">
      <c r="A25362" t="inlineStr">
        <is>
          <t>Barangay 176-E</t>
        </is>
      </c>
    </row>
    <row r="25363" spans="1:1">
      <c r="A25363" t="inlineStr">
        <is>
          <t>Barangay 176-F</t>
        </is>
      </c>
    </row>
    <row r="25364" spans="1:1">
      <c r="A25364" t="inlineStr">
        <is>
          <t>Barangay 177</t>
        </is>
      </c>
    </row>
    <row r="25365" spans="1:1">
      <c r="A25365" t="inlineStr">
        <is>
          <t>Barangay 178</t>
        </is>
      </c>
    </row>
    <row r="25366" spans="1:1">
      <c r="A25366" t="inlineStr">
        <is>
          <t>Barangay 179</t>
        </is>
      </c>
    </row>
    <row r="25367" spans="1:1">
      <c r="A25367" t="inlineStr">
        <is>
          <t>Barangay 18</t>
        </is>
      </c>
    </row>
    <row r="25368" spans="1:1">
      <c r="A25368" t="inlineStr">
        <is>
          <t>Barangay 180</t>
        </is>
      </c>
    </row>
    <row r="25369" spans="1:1">
      <c r="A25369" t="inlineStr">
        <is>
          <t>Barangay 181</t>
        </is>
      </c>
    </row>
    <row r="25370" spans="1:1">
      <c r="A25370" t="inlineStr">
        <is>
          <t>Barangay 182</t>
        </is>
      </c>
    </row>
    <row r="25371" spans="1:1">
      <c r="A25371" t="inlineStr">
        <is>
          <t>Barangay 183</t>
        </is>
      </c>
    </row>
    <row r="25372" spans="1:1">
      <c r="A25372" t="inlineStr">
        <is>
          <t>Barangay 184</t>
        </is>
      </c>
    </row>
    <row r="25373" spans="1:1">
      <c r="A25373" t="inlineStr">
        <is>
          <t>Barangay 185</t>
        </is>
      </c>
    </row>
    <row r="25374" spans="1:1">
      <c r="A25374" t="inlineStr">
        <is>
          <t>Barangay 186</t>
        </is>
      </c>
    </row>
    <row r="25375" spans="1:1">
      <c r="A25375" t="inlineStr">
        <is>
          <t>Barangay 187</t>
        </is>
      </c>
    </row>
    <row r="25376" spans="1:1">
      <c r="A25376" t="inlineStr">
        <is>
          <t>Barangay 188</t>
        </is>
      </c>
    </row>
    <row r="25377" spans="1:1">
      <c r="A25377" t="inlineStr">
        <is>
          <t>Barangay 19</t>
        </is>
      </c>
    </row>
    <row r="25378" spans="1:1">
      <c r="A25378" t="inlineStr">
        <is>
          <t>Barangay 2</t>
        </is>
      </c>
    </row>
    <row r="25379" spans="1:1">
      <c r="A25379" t="inlineStr">
        <is>
          <t>Barangay 20</t>
        </is>
      </c>
    </row>
    <row r="25380" spans="1:1">
      <c r="A25380" t="inlineStr">
        <is>
          <t>Barangay 21</t>
        </is>
      </c>
    </row>
    <row r="25381" spans="1:1">
      <c r="A25381" t="inlineStr">
        <is>
          <t>Barangay 22</t>
        </is>
      </c>
    </row>
    <row r="25382" spans="1:1">
      <c r="A25382" t="inlineStr">
        <is>
          <t>Barangay 23</t>
        </is>
      </c>
    </row>
    <row r="25383" spans="1:1">
      <c r="A25383" t="inlineStr">
        <is>
          <t>Barangay 24</t>
        </is>
      </c>
    </row>
    <row r="25384" spans="1:1">
      <c r="A25384" t="inlineStr">
        <is>
          <t>Barangay 25</t>
        </is>
      </c>
    </row>
    <row r="25385" spans="1:1">
      <c r="A25385" t="inlineStr">
        <is>
          <t>Barangay 26</t>
        </is>
      </c>
    </row>
    <row r="25386" spans="1:1">
      <c r="A25386" t="inlineStr">
        <is>
          <t>Barangay 27</t>
        </is>
      </c>
    </row>
    <row r="25387" spans="1:1">
      <c r="A25387" t="inlineStr">
        <is>
          <t>Barangay 28</t>
        </is>
      </c>
    </row>
    <row r="25388" spans="1:1">
      <c r="A25388" t="inlineStr">
        <is>
          <t>Barangay 29</t>
        </is>
      </c>
    </row>
    <row r="25389" spans="1:1">
      <c r="A25389" t="inlineStr">
        <is>
          <t>Barangay 3</t>
        </is>
      </c>
    </row>
    <row r="25390" spans="1:1">
      <c r="A25390" t="inlineStr">
        <is>
          <t>Barangay 30</t>
        </is>
      </c>
    </row>
    <row r="25391" spans="1:1">
      <c r="A25391" t="inlineStr">
        <is>
          <t>Barangay 31</t>
        </is>
      </c>
    </row>
    <row r="25392" spans="1:1">
      <c r="A25392" t="inlineStr">
        <is>
          <t>Barangay 32</t>
        </is>
      </c>
    </row>
    <row r="25393" spans="1:1">
      <c r="A25393" t="inlineStr">
        <is>
          <t>Barangay 33</t>
        </is>
      </c>
    </row>
    <row r="25394" spans="1:1">
      <c r="A25394" t="inlineStr">
        <is>
          <t>Barangay 34</t>
        </is>
      </c>
    </row>
    <row r="25395" spans="1:1">
      <c r="A25395" t="inlineStr">
        <is>
          <t>Barangay 35</t>
        </is>
      </c>
    </row>
    <row r="25396" spans="1:1">
      <c r="A25396" t="inlineStr">
        <is>
          <t>Barangay 36</t>
        </is>
      </c>
    </row>
    <row r="25397" spans="1:1">
      <c r="A25397" t="inlineStr">
        <is>
          <t>Barangay 37</t>
        </is>
      </c>
    </row>
    <row r="25398" spans="1:1">
      <c r="A25398" t="inlineStr">
        <is>
          <t>Barangay 38</t>
        </is>
      </c>
    </row>
    <row r="25399" spans="1:1">
      <c r="A25399" t="inlineStr">
        <is>
          <t>Barangay 39</t>
        </is>
      </c>
    </row>
    <row r="25400" spans="1:1">
      <c r="A25400" t="inlineStr">
        <is>
          <t>Barangay 4</t>
        </is>
      </c>
    </row>
    <row r="25401" spans="1:1">
      <c r="A25401" t="inlineStr">
        <is>
          <t>Barangay 40</t>
        </is>
      </c>
    </row>
    <row r="25402" spans="1:1">
      <c r="A25402" t="inlineStr">
        <is>
          <t>Barangay 41</t>
        </is>
      </c>
    </row>
    <row r="25403" spans="1:1">
      <c r="A25403" t="inlineStr">
        <is>
          <t>Barangay 42</t>
        </is>
      </c>
    </row>
    <row r="25404" spans="1:1">
      <c r="A25404" t="inlineStr">
        <is>
          <t>Barangay 43</t>
        </is>
      </c>
    </row>
    <row r="25405" spans="1:1">
      <c r="A25405" t="inlineStr">
        <is>
          <t>Barangay 44</t>
        </is>
      </c>
    </row>
    <row r="25406" spans="1:1">
      <c r="A25406" t="inlineStr">
        <is>
          <t>Barangay 45</t>
        </is>
      </c>
    </row>
    <row r="25407" spans="1:1">
      <c r="A25407" t="inlineStr">
        <is>
          <t>Barangay 46</t>
        </is>
      </c>
    </row>
    <row r="25408" spans="1:1">
      <c r="A25408" t="inlineStr">
        <is>
          <t>Barangay 47</t>
        </is>
      </c>
    </row>
    <row r="25409" spans="1:1">
      <c r="A25409" t="inlineStr">
        <is>
          <t>Barangay 48</t>
        </is>
      </c>
    </row>
    <row r="25410" spans="1:1">
      <c r="A25410" t="inlineStr">
        <is>
          <t>Barangay 49</t>
        </is>
      </c>
    </row>
    <row r="25411" spans="1:1">
      <c r="A25411" t="inlineStr">
        <is>
          <t>Barangay 5</t>
        </is>
      </c>
    </row>
    <row r="25412" spans="1:1">
      <c r="A25412" t="inlineStr">
        <is>
          <t>Barangay 50</t>
        </is>
      </c>
    </row>
    <row r="25413" spans="1:1">
      <c r="A25413" t="inlineStr">
        <is>
          <t>Barangay 51</t>
        </is>
      </c>
    </row>
    <row r="25414" spans="1:1">
      <c r="A25414" t="inlineStr">
        <is>
          <t>Barangay 52</t>
        </is>
      </c>
    </row>
    <row r="25415" spans="1:1">
      <c r="A25415" t="inlineStr">
        <is>
          <t>Barangay 53</t>
        </is>
      </c>
    </row>
    <row r="25416" spans="1:1">
      <c r="A25416" t="inlineStr">
        <is>
          <t>Barangay 54</t>
        </is>
      </c>
    </row>
    <row r="25417" spans="1:1">
      <c r="A25417" t="inlineStr">
        <is>
          <t>Barangay 55</t>
        </is>
      </c>
    </row>
    <row r="25418" spans="1:1">
      <c r="A25418" t="inlineStr">
        <is>
          <t>Barangay 56</t>
        </is>
      </c>
    </row>
    <row r="25419" spans="1:1">
      <c r="A25419" t="inlineStr">
        <is>
          <t>Barangay 57</t>
        </is>
      </c>
    </row>
    <row r="25420" spans="1:1">
      <c r="A25420" t="inlineStr">
        <is>
          <t>Barangay 58</t>
        </is>
      </c>
    </row>
    <row r="25421" spans="1:1">
      <c r="A25421" t="inlineStr">
        <is>
          <t>Barangay 59</t>
        </is>
      </c>
    </row>
    <row r="25422" spans="1:1">
      <c r="A25422" t="inlineStr">
        <is>
          <t>Barangay 6</t>
        </is>
      </c>
    </row>
    <row r="25423" spans="1:1">
      <c r="A25423" t="inlineStr">
        <is>
          <t>Barangay 60</t>
        </is>
      </c>
    </row>
    <row r="25424" spans="1:1">
      <c r="A25424" t="inlineStr">
        <is>
          <t>Barangay 61</t>
        </is>
      </c>
    </row>
    <row r="25425" spans="1:1">
      <c r="A25425" t="inlineStr">
        <is>
          <t>Barangay 62</t>
        </is>
      </c>
    </row>
    <row r="25426" spans="1:1">
      <c r="A25426" t="inlineStr">
        <is>
          <t>Barangay 63</t>
        </is>
      </c>
    </row>
    <row r="25427" spans="1:1">
      <c r="A25427" t="inlineStr">
        <is>
          <t>Barangay 64</t>
        </is>
      </c>
    </row>
    <row r="25428" spans="1:1">
      <c r="A25428" t="inlineStr">
        <is>
          <t>Barangay 65</t>
        </is>
      </c>
    </row>
    <row r="25429" spans="1:1">
      <c r="A25429" t="inlineStr">
        <is>
          <t>Barangay 66</t>
        </is>
      </c>
    </row>
    <row r="25430" spans="1:1">
      <c r="A25430" t="inlineStr">
        <is>
          <t>Barangay 67</t>
        </is>
      </c>
    </row>
    <row r="25431" spans="1:1">
      <c r="A25431" t="inlineStr">
        <is>
          <t>Barangay 68</t>
        </is>
      </c>
    </row>
    <row r="25432" spans="1:1">
      <c r="A25432" t="inlineStr">
        <is>
          <t>Barangay 69</t>
        </is>
      </c>
    </row>
    <row r="25433" spans="1:1">
      <c r="A25433" t="inlineStr">
        <is>
          <t>Barangay 7</t>
        </is>
      </c>
    </row>
    <row r="25434" spans="1:1">
      <c r="A25434" t="inlineStr">
        <is>
          <t>Barangay 70</t>
        </is>
      </c>
    </row>
    <row r="25435" spans="1:1">
      <c r="A25435" t="inlineStr">
        <is>
          <t>Barangay 71</t>
        </is>
      </c>
    </row>
    <row r="25436" spans="1:1">
      <c r="A25436" t="inlineStr">
        <is>
          <t>Barangay 72</t>
        </is>
      </c>
    </row>
    <row r="25437" spans="1:1">
      <c r="A25437" t="inlineStr">
        <is>
          <t>Barangay 73</t>
        </is>
      </c>
    </row>
    <row r="25438" spans="1:1">
      <c r="A25438" t="inlineStr">
        <is>
          <t>Barangay 74</t>
        </is>
      </c>
    </row>
    <row r="25439" spans="1:1">
      <c r="A25439" t="inlineStr">
        <is>
          <t>Barangay 75</t>
        </is>
      </c>
    </row>
    <row r="25440" spans="1:1">
      <c r="A25440" t="inlineStr">
        <is>
          <t>Barangay 76</t>
        </is>
      </c>
    </row>
    <row r="25441" spans="1:1">
      <c r="A25441" t="inlineStr">
        <is>
          <t>Barangay 77</t>
        </is>
      </c>
    </row>
    <row r="25442" spans="1:1">
      <c r="A25442" t="inlineStr">
        <is>
          <t>Barangay 78</t>
        </is>
      </c>
    </row>
    <row r="25443" spans="1:1">
      <c r="A25443" t="inlineStr">
        <is>
          <t>Barangay 79</t>
        </is>
      </c>
    </row>
    <row r="25444" spans="1:1">
      <c r="A25444" t="inlineStr">
        <is>
          <t>Barangay 8</t>
        </is>
      </c>
    </row>
    <row r="25445" spans="1:1">
      <c r="A25445" t="inlineStr">
        <is>
          <t>Barangay 80</t>
        </is>
      </c>
    </row>
    <row r="25446" spans="1:1">
      <c r="A25446" t="inlineStr">
        <is>
          <t>Barangay 81</t>
        </is>
      </c>
    </row>
    <row r="25447" spans="1:1">
      <c r="A25447" t="inlineStr">
        <is>
          <t>Barangay 82</t>
        </is>
      </c>
    </row>
    <row r="25448" spans="1:1">
      <c r="A25448" t="inlineStr">
        <is>
          <t>Barangay 83</t>
        </is>
      </c>
    </row>
    <row r="25449" spans="1:1">
      <c r="A25449" t="inlineStr">
        <is>
          <t>Barangay 84</t>
        </is>
      </c>
    </row>
    <row r="25450" spans="1:1">
      <c r="A25450" t="inlineStr">
        <is>
          <t>Barangay 85</t>
        </is>
      </c>
    </row>
    <row r="25451" spans="1:1">
      <c r="A25451" t="inlineStr">
        <is>
          <t>Barangay 86</t>
        </is>
      </c>
    </row>
    <row r="25452" spans="1:1">
      <c r="A25452" t="inlineStr">
        <is>
          <t>Barangay 87</t>
        </is>
      </c>
    </row>
    <row r="25453" spans="1:1">
      <c r="A25453" t="inlineStr">
        <is>
          <t>Barangay 88</t>
        </is>
      </c>
    </row>
    <row r="25454" spans="1:1">
      <c r="A25454" t="inlineStr">
        <is>
          <t>Barangay 89</t>
        </is>
      </c>
    </row>
    <row r="25455" spans="1:1">
      <c r="A25455" t="inlineStr">
        <is>
          <t>Barangay 9</t>
        </is>
      </c>
    </row>
    <row r="25456" spans="1:1">
      <c r="A25456" t="inlineStr">
        <is>
          <t>Barangay 90</t>
        </is>
      </c>
    </row>
    <row r="25457" spans="1:1">
      <c r="A25457" t="inlineStr">
        <is>
          <t>Barangay 91</t>
        </is>
      </c>
    </row>
    <row r="25458" spans="1:1">
      <c r="A25458" t="inlineStr">
        <is>
          <t>Barangay 92</t>
        </is>
      </c>
    </row>
    <row r="25459" spans="1:1">
      <c r="A25459" t="inlineStr">
        <is>
          <t>Barangay 93</t>
        </is>
      </c>
    </row>
    <row r="25460" spans="1:1">
      <c r="A25460" t="inlineStr">
        <is>
          <t>Barangay 94</t>
        </is>
      </c>
    </row>
    <row r="25461" spans="1:1">
      <c r="A25461" t="inlineStr">
        <is>
          <t>Barangay 95</t>
        </is>
      </c>
    </row>
    <row r="25462" spans="1:1">
      <c r="A25462" t="inlineStr">
        <is>
          <t>Barangay 96</t>
        </is>
      </c>
    </row>
    <row r="25463" spans="1:1">
      <c r="A25463" t="inlineStr">
        <is>
          <t>Barangay 97</t>
        </is>
      </c>
    </row>
    <row r="25464" spans="1:1">
      <c r="A25464" t="inlineStr">
        <is>
          <t>Barangay 98</t>
        </is>
      </c>
    </row>
    <row r="25465" spans="1:1">
      <c r="A25465" t="inlineStr">
        <is>
          <t>Barangay 99</t>
        </is>
      </c>
    </row>
    <row r="25466" spans="1:1">
      <c r="A25466" t="inlineStr">
        <is>
          <t>Almanza Dos</t>
        </is>
      </c>
    </row>
    <row r="25467" spans="1:1">
      <c r="A25467" t="inlineStr">
        <is>
          <t>Almanza Uno</t>
        </is>
      </c>
    </row>
    <row r="25468" spans="1:1">
      <c r="A25468" t="inlineStr">
        <is>
          <t>B. F. International Village</t>
        </is>
      </c>
    </row>
    <row r="25469" spans="1:1">
      <c r="A25469" t="inlineStr">
        <is>
          <t>Daniel Fajardo</t>
        </is>
      </c>
    </row>
    <row r="25470" spans="1:1">
      <c r="A25470" t="inlineStr">
        <is>
          <t>Elias Aldana</t>
        </is>
      </c>
    </row>
    <row r="25471" spans="1:1">
      <c r="A25471" t="inlineStr">
        <is>
          <t>Ilaya</t>
        </is>
      </c>
    </row>
    <row r="25472" spans="1:1">
      <c r="A25472" t="inlineStr">
        <is>
          <t>Manuyo Dos</t>
        </is>
      </c>
    </row>
    <row r="25473" spans="1:1">
      <c r="A25473" t="inlineStr">
        <is>
          <t>Manuyo Uno</t>
        </is>
      </c>
    </row>
    <row r="25474" spans="1:1">
      <c r="A25474" t="inlineStr">
        <is>
          <t>Pamplona Dos</t>
        </is>
      </c>
    </row>
    <row r="25475" spans="1:1">
      <c r="A25475" t="inlineStr">
        <is>
          <t>Pamplona Tres</t>
        </is>
      </c>
    </row>
    <row r="25476" spans="1:1">
      <c r="A25476" t="inlineStr">
        <is>
          <t>Pamplona Uno</t>
        </is>
      </c>
    </row>
    <row r="25477" spans="1:1">
      <c r="A25477" t="inlineStr">
        <is>
          <t>Pilar</t>
        </is>
      </c>
    </row>
    <row r="25478" spans="1:1">
      <c r="A25478" t="inlineStr">
        <is>
          <t>Pulang Lupa Dos</t>
        </is>
      </c>
    </row>
    <row r="25479" spans="1:1">
      <c r="A25479" t="inlineStr">
        <is>
          <t>Pulang Lupa Uno</t>
        </is>
      </c>
    </row>
    <row r="25480" spans="1:1">
      <c r="A25480" t="inlineStr">
        <is>
          <t>Talon Dos</t>
        </is>
      </c>
    </row>
    <row r="25481" spans="1:1">
      <c r="A25481" t="inlineStr">
        <is>
          <t>Talon Kuatro</t>
        </is>
      </c>
    </row>
    <row r="25482" spans="1:1">
      <c r="A25482" t="inlineStr">
        <is>
          <t>Talon Singko</t>
        </is>
      </c>
    </row>
    <row r="25483" spans="1:1">
      <c r="A25483" t="inlineStr">
        <is>
          <t>Talon Tres</t>
        </is>
      </c>
    </row>
    <row r="25484" spans="1:1">
      <c r="A25484" t="inlineStr">
        <is>
          <t>Talon Uno</t>
        </is>
      </c>
    </row>
    <row r="25485" spans="1:1">
      <c r="A25485" t="inlineStr">
        <is>
          <t>Zapote</t>
        </is>
      </c>
    </row>
    <row r="25486" spans="1:1">
      <c r="A25486" t="inlineStr">
        <is>
          <t>Bangkal</t>
        </is>
      </c>
    </row>
    <row r="25487" spans="1:1">
      <c r="A25487" t="inlineStr">
        <is>
          <t>Bel-Air</t>
        </is>
      </c>
    </row>
    <row r="25488" spans="1:1">
      <c r="A25488" t="inlineStr">
        <is>
          <t>Carmona</t>
        </is>
      </c>
    </row>
    <row r="25489" spans="1:1">
      <c r="A25489" t="inlineStr">
        <is>
          <t>Dasmariñas</t>
        </is>
      </c>
    </row>
    <row r="25490" spans="1:1">
      <c r="A25490" t="inlineStr">
        <is>
          <t>Forbes Park</t>
        </is>
      </c>
    </row>
    <row r="25491" spans="1:1">
      <c r="A25491" t="inlineStr">
        <is>
          <t>Guadalupe Nuevo</t>
        </is>
      </c>
    </row>
    <row r="25492" spans="1:1">
      <c r="A25492" t="inlineStr">
        <is>
          <t>Guadalupe Viejo</t>
        </is>
      </c>
    </row>
    <row r="25493" spans="1:1">
      <c r="A25493" t="inlineStr">
        <is>
          <t>Kasilawan</t>
        </is>
      </c>
    </row>
    <row r="25494" spans="1:1">
      <c r="A25494" t="inlineStr">
        <is>
          <t>La Paz</t>
        </is>
      </c>
    </row>
    <row r="25495" spans="1:1">
      <c r="A25495" t="inlineStr">
        <is>
          <t>Magallanes</t>
        </is>
      </c>
    </row>
    <row r="25496" spans="1:1">
      <c r="A25496" t="inlineStr">
        <is>
          <t>Olympia</t>
        </is>
      </c>
    </row>
    <row r="25497" spans="1:1">
      <c r="A25497" t="inlineStr">
        <is>
          <t>Palanan</t>
        </is>
      </c>
    </row>
    <row r="25498" spans="1:1">
      <c r="A25498" t="inlineStr">
        <is>
          <t>Pinagkaisahan</t>
        </is>
      </c>
    </row>
    <row r="25499" spans="1:1">
      <c r="A25499" t="inlineStr">
        <is>
          <t>Pio Del Pilar</t>
        </is>
      </c>
    </row>
    <row r="25500" spans="1:1">
      <c r="A25500" t="inlineStr">
        <is>
          <t>Poblacion</t>
        </is>
      </c>
    </row>
    <row r="25501" spans="1:1">
      <c r="A25501" t="inlineStr">
        <is>
          <t>San Antonio</t>
        </is>
      </c>
    </row>
    <row r="25502" spans="1:1">
      <c r="A25502" t="inlineStr">
        <is>
          <t>San Isidro</t>
        </is>
      </c>
    </row>
    <row r="25503" spans="1:1">
      <c r="A25503" t="inlineStr">
        <is>
          <t>San Lorenzo</t>
        </is>
      </c>
    </row>
    <row r="25504" spans="1:1">
      <c r="A25504" t="inlineStr">
        <is>
          <t>Santa Cruz</t>
        </is>
      </c>
    </row>
    <row r="25505" spans="1:1">
      <c r="A25505" t="inlineStr">
        <is>
          <t>Singkamas</t>
        </is>
      </c>
    </row>
    <row r="25506" spans="1:1">
      <c r="A25506" t="inlineStr">
        <is>
          <t>Tejeros</t>
        </is>
      </c>
    </row>
    <row r="25507" spans="1:1">
      <c r="A25507" t="inlineStr">
        <is>
          <t>Urdaneta</t>
        </is>
      </c>
    </row>
    <row r="25508" spans="1:1">
      <c r="A25508" t="inlineStr">
        <is>
          <t>Valenzuela</t>
        </is>
      </c>
    </row>
    <row r="25509" spans="1:1">
      <c r="A25509" t="inlineStr">
        <is>
          <t>Acacia</t>
        </is>
      </c>
    </row>
    <row r="25510" spans="1:1">
      <c r="A25510" t="inlineStr">
        <is>
          <t>Baritan</t>
        </is>
      </c>
    </row>
    <row r="25511" spans="1:1">
      <c r="A25511" t="inlineStr">
        <is>
          <t>Bayan-bayanan</t>
        </is>
      </c>
    </row>
    <row r="25512" spans="1:1">
      <c r="A25512" t="inlineStr">
        <is>
          <t>Catmon</t>
        </is>
      </c>
    </row>
    <row r="25513" spans="1:1">
      <c r="A25513" t="inlineStr">
        <is>
          <t>Concepcion</t>
        </is>
      </c>
    </row>
    <row r="25514" spans="1:1">
      <c r="A25514" t="inlineStr">
        <is>
          <t>Dampalit</t>
        </is>
      </c>
    </row>
    <row r="25515" spans="1:1">
      <c r="A25515" t="inlineStr">
        <is>
          <t>Flores</t>
        </is>
      </c>
    </row>
    <row r="25516" spans="1:1">
      <c r="A25516" t="inlineStr">
        <is>
          <t>Hulong Duhat</t>
        </is>
      </c>
    </row>
    <row r="25517" spans="1:1">
      <c r="A25517" t="inlineStr">
        <is>
          <t>Ibaba</t>
        </is>
      </c>
    </row>
    <row r="25518" spans="1:1">
      <c r="A25518" t="inlineStr">
        <is>
          <t>Longos</t>
        </is>
      </c>
    </row>
    <row r="25519" spans="1:1">
      <c r="A25519" t="inlineStr">
        <is>
          <t>Maysilo</t>
        </is>
      </c>
    </row>
    <row r="25520" spans="1:1">
      <c r="A25520" t="inlineStr">
        <is>
          <t>Muzon</t>
        </is>
      </c>
    </row>
    <row r="25521" spans="1:1">
      <c r="A25521" t="inlineStr">
        <is>
          <t>Niugan</t>
        </is>
      </c>
    </row>
    <row r="25522" spans="1:1">
      <c r="A25522" t="inlineStr">
        <is>
          <t>Panghulo</t>
        </is>
      </c>
    </row>
    <row r="25523" spans="1:1">
      <c r="A25523" t="inlineStr">
        <is>
          <t>Potrero</t>
        </is>
      </c>
    </row>
    <row r="25524" spans="1:1">
      <c r="A25524" t="inlineStr">
        <is>
          <t>San Agustin</t>
        </is>
      </c>
    </row>
    <row r="25525" spans="1:1">
      <c r="A25525" t="inlineStr">
        <is>
          <t>Santolan</t>
        </is>
      </c>
    </row>
    <row r="25526" spans="1:1">
      <c r="A25526" t="inlineStr">
        <is>
          <t>Tañong</t>
        </is>
      </c>
    </row>
    <row r="25527" spans="1:1">
      <c r="A25527" t="inlineStr">
        <is>
          <t>Tinajeros</t>
        </is>
      </c>
    </row>
    <row r="25528" spans="1:1">
      <c r="A25528" t="inlineStr">
        <is>
          <t>Tonsuya</t>
        </is>
      </c>
    </row>
    <row r="25529" spans="1:1">
      <c r="A25529" t="inlineStr">
        <is>
          <t>Tugatog</t>
        </is>
      </c>
    </row>
    <row r="25530" spans="1:1">
      <c r="A25530" t="inlineStr">
        <is>
          <t>Addition Hills</t>
        </is>
      </c>
    </row>
    <row r="25531" spans="1:1">
      <c r="A25531" t="inlineStr">
        <is>
          <t>Bagong Silang</t>
        </is>
      </c>
    </row>
    <row r="25532" spans="1:1">
      <c r="A25532" t="inlineStr">
        <is>
          <t>Barangka Drive</t>
        </is>
      </c>
    </row>
    <row r="25533" spans="1:1">
      <c r="A25533" t="inlineStr">
        <is>
          <t>Barangka Ibaba</t>
        </is>
      </c>
    </row>
    <row r="25534" spans="1:1">
      <c r="A25534" t="inlineStr">
        <is>
          <t>Barangka Ilaya</t>
        </is>
      </c>
    </row>
    <row r="25535" spans="1:1">
      <c r="A25535" t="inlineStr">
        <is>
          <t>Barangka Itaas</t>
        </is>
      </c>
    </row>
    <row r="25536" spans="1:1">
      <c r="A25536" t="inlineStr">
        <is>
          <t>Buayang Bato</t>
        </is>
      </c>
    </row>
    <row r="25537" spans="1:1">
      <c r="A25537" t="inlineStr">
        <is>
          <t>Burol</t>
        </is>
      </c>
    </row>
    <row r="25538" spans="1:1">
      <c r="A25538" t="inlineStr">
        <is>
          <t>Daang Bakal</t>
        </is>
      </c>
    </row>
    <row r="25539" spans="1:1">
      <c r="A25539" t="inlineStr">
        <is>
          <t>Hagdang Bato Itaas</t>
        </is>
      </c>
    </row>
    <row r="25540" spans="1:1">
      <c r="A25540" t="inlineStr">
        <is>
          <t>Hagdang Bato Libis</t>
        </is>
      </c>
    </row>
    <row r="25541" spans="1:1">
      <c r="A25541" t="inlineStr">
        <is>
          <t>Harapin Ang Bukas</t>
        </is>
      </c>
    </row>
    <row r="25542" spans="1:1">
      <c r="A25542" t="inlineStr">
        <is>
          <t>Highway Hills</t>
        </is>
      </c>
    </row>
    <row r="25543" spans="1:1">
      <c r="A25543" t="inlineStr">
        <is>
          <t>Hulo</t>
        </is>
      </c>
    </row>
    <row r="25544" spans="1:1">
      <c r="A25544" t="inlineStr">
        <is>
          <t>Mabini-J. Rizal</t>
        </is>
      </c>
    </row>
    <row r="25545" spans="1:1">
      <c r="A25545" t="inlineStr">
        <is>
          <t>Malamig</t>
        </is>
      </c>
    </row>
    <row r="25546" spans="1:1">
      <c r="A25546" t="inlineStr">
        <is>
          <t>Mauway</t>
        </is>
      </c>
    </row>
    <row r="25547" spans="1:1">
      <c r="A25547" t="inlineStr">
        <is>
          <t>Namayan</t>
        </is>
      </c>
    </row>
    <row r="25548" spans="1:1">
      <c r="A25548" t="inlineStr">
        <is>
          <t>New Zañiga</t>
        </is>
      </c>
    </row>
    <row r="25549" spans="1:1">
      <c r="A25549" t="inlineStr">
        <is>
          <t>Old Zañiga</t>
        </is>
      </c>
    </row>
    <row r="25550" spans="1:1">
      <c r="A25550" t="inlineStr">
        <is>
          <t>Pag-asa</t>
        </is>
      </c>
    </row>
    <row r="25551" spans="1:1">
      <c r="A25551" t="inlineStr">
        <is>
          <t>Plainview</t>
        </is>
      </c>
    </row>
    <row r="25552" spans="1:1">
      <c r="A25552" t="inlineStr">
        <is>
          <t>Pleasant Hills</t>
        </is>
      </c>
    </row>
    <row r="25553" spans="1:1">
      <c r="A25553" t="inlineStr">
        <is>
          <t>Poblacion</t>
        </is>
      </c>
    </row>
    <row r="25554" spans="1:1">
      <c r="A25554" t="inlineStr">
        <is>
          <t>San Jose</t>
        </is>
      </c>
    </row>
    <row r="25555" spans="1:1">
      <c r="A25555" t="inlineStr">
        <is>
          <t>Vergara</t>
        </is>
      </c>
    </row>
    <row r="25556" spans="1:1">
      <c r="A25556" t="inlineStr">
        <is>
          <t>Wack-wack Greenhills</t>
        </is>
      </c>
    </row>
    <row r="25557" spans="1:1">
      <c r="A25557" t="inlineStr">
        <is>
          <t>Barangay 1</t>
        </is>
      </c>
    </row>
    <row r="25558" spans="1:1">
      <c r="A25558" t="inlineStr">
        <is>
          <t>Barangay 10</t>
        </is>
      </c>
    </row>
    <row r="25559" spans="1:1">
      <c r="A25559" t="inlineStr">
        <is>
          <t>Barangay 100</t>
        </is>
      </c>
    </row>
    <row r="25560" spans="1:1">
      <c r="A25560" t="inlineStr">
        <is>
          <t>Barangay 101</t>
        </is>
      </c>
    </row>
    <row r="25561" spans="1:1">
      <c r="A25561" t="inlineStr">
        <is>
          <t>Barangay 102</t>
        </is>
      </c>
    </row>
    <row r="25562" spans="1:1">
      <c r="A25562" t="inlineStr">
        <is>
          <t>Barangay 103</t>
        </is>
      </c>
    </row>
    <row r="25563" spans="1:1">
      <c r="A25563" t="inlineStr">
        <is>
          <t>Barangay 104</t>
        </is>
      </c>
    </row>
    <row r="25564" spans="1:1">
      <c r="A25564" t="inlineStr">
        <is>
          <t>Barangay 105</t>
        </is>
      </c>
    </row>
    <row r="25565" spans="1:1">
      <c r="A25565" t="inlineStr">
        <is>
          <t>Barangay 106</t>
        </is>
      </c>
    </row>
    <row r="25566" spans="1:1">
      <c r="A25566" t="inlineStr">
        <is>
          <t>Barangay 107</t>
        </is>
      </c>
    </row>
    <row r="25567" spans="1:1">
      <c r="A25567" t="inlineStr">
        <is>
          <t>Barangay 108</t>
        </is>
      </c>
    </row>
    <row r="25568" spans="1:1">
      <c r="A25568" t="inlineStr">
        <is>
          <t>Barangay 109</t>
        </is>
      </c>
    </row>
    <row r="25569" spans="1:1">
      <c r="A25569" t="inlineStr">
        <is>
          <t>Barangay 11</t>
        </is>
      </c>
    </row>
    <row r="25570" spans="1:1">
      <c r="A25570" t="inlineStr">
        <is>
          <t>Barangay 110</t>
        </is>
      </c>
    </row>
    <row r="25571" spans="1:1">
      <c r="A25571" t="inlineStr">
        <is>
          <t>Barangay 111</t>
        </is>
      </c>
    </row>
    <row r="25572" spans="1:1">
      <c r="A25572" t="inlineStr">
        <is>
          <t>Barangay 112</t>
        </is>
      </c>
    </row>
    <row r="25573" spans="1:1">
      <c r="A25573" t="inlineStr">
        <is>
          <t>Barangay 116</t>
        </is>
      </c>
    </row>
    <row r="25574" spans="1:1">
      <c r="A25574" t="inlineStr">
        <is>
          <t>Barangay 117</t>
        </is>
      </c>
    </row>
    <row r="25575" spans="1:1">
      <c r="A25575" t="inlineStr">
        <is>
          <t>Barangay 118</t>
        </is>
      </c>
    </row>
    <row r="25576" spans="1:1">
      <c r="A25576" t="inlineStr">
        <is>
          <t>Barangay 119</t>
        </is>
      </c>
    </row>
    <row r="25577" spans="1:1">
      <c r="A25577" t="inlineStr">
        <is>
          <t>Barangay 12</t>
        </is>
      </c>
    </row>
    <row r="25578" spans="1:1">
      <c r="A25578" t="inlineStr">
        <is>
          <t>Barangay 120</t>
        </is>
      </c>
    </row>
    <row r="25579" spans="1:1">
      <c r="A25579" t="inlineStr">
        <is>
          <t>Barangay 121</t>
        </is>
      </c>
    </row>
    <row r="25580" spans="1:1">
      <c r="A25580" t="inlineStr">
        <is>
          <t>Barangay 122</t>
        </is>
      </c>
    </row>
    <row r="25581" spans="1:1">
      <c r="A25581" t="inlineStr">
        <is>
          <t>Barangay 123</t>
        </is>
      </c>
    </row>
    <row r="25582" spans="1:1">
      <c r="A25582" t="inlineStr">
        <is>
          <t>Barangay 124</t>
        </is>
      </c>
    </row>
    <row r="25583" spans="1:1">
      <c r="A25583" t="inlineStr">
        <is>
          <t>Barangay 125</t>
        </is>
      </c>
    </row>
    <row r="25584" spans="1:1">
      <c r="A25584" t="inlineStr">
        <is>
          <t>Barangay 126</t>
        </is>
      </c>
    </row>
    <row r="25585" spans="1:1">
      <c r="A25585" t="inlineStr">
        <is>
          <t>Barangay 127</t>
        </is>
      </c>
    </row>
    <row r="25586" spans="1:1">
      <c r="A25586" t="inlineStr">
        <is>
          <t>Barangay 128</t>
        </is>
      </c>
    </row>
    <row r="25587" spans="1:1">
      <c r="A25587" t="inlineStr">
        <is>
          <t>Barangay 129</t>
        </is>
      </c>
    </row>
    <row r="25588" spans="1:1">
      <c r="A25588" t="inlineStr">
        <is>
          <t>Barangay 13</t>
        </is>
      </c>
    </row>
    <row r="25589" spans="1:1">
      <c r="A25589" t="inlineStr">
        <is>
          <t>Barangay 130</t>
        </is>
      </c>
    </row>
    <row r="25590" spans="1:1">
      <c r="A25590" t="inlineStr">
        <is>
          <t>Barangay 131</t>
        </is>
      </c>
    </row>
    <row r="25591" spans="1:1">
      <c r="A25591" t="inlineStr">
        <is>
          <t>Barangay 132</t>
        </is>
      </c>
    </row>
    <row r="25592" spans="1:1">
      <c r="A25592" t="inlineStr">
        <is>
          <t>Barangay 133</t>
        </is>
      </c>
    </row>
    <row r="25593" spans="1:1">
      <c r="A25593" t="inlineStr">
        <is>
          <t>Barangay 134</t>
        </is>
      </c>
    </row>
    <row r="25594" spans="1:1">
      <c r="A25594" t="inlineStr">
        <is>
          <t>Barangay 135</t>
        </is>
      </c>
    </row>
    <row r="25595" spans="1:1">
      <c r="A25595" t="inlineStr">
        <is>
          <t>Barangay 136</t>
        </is>
      </c>
    </row>
    <row r="25596" spans="1:1">
      <c r="A25596" t="inlineStr">
        <is>
          <t>Barangay 137</t>
        </is>
      </c>
    </row>
    <row r="25597" spans="1:1">
      <c r="A25597" t="inlineStr">
        <is>
          <t>Barangay 138</t>
        </is>
      </c>
    </row>
    <row r="25598" spans="1:1">
      <c r="A25598" t="inlineStr">
        <is>
          <t>Barangay 139</t>
        </is>
      </c>
    </row>
    <row r="25599" spans="1:1">
      <c r="A25599" t="inlineStr">
        <is>
          <t>Barangay 14</t>
        </is>
      </c>
    </row>
    <row r="25600" spans="1:1">
      <c r="A25600" t="inlineStr">
        <is>
          <t>Barangay 140</t>
        </is>
      </c>
    </row>
    <row r="25601" spans="1:1">
      <c r="A25601" t="inlineStr">
        <is>
          <t>Barangay 141</t>
        </is>
      </c>
    </row>
    <row r="25602" spans="1:1">
      <c r="A25602" t="inlineStr">
        <is>
          <t>Barangay 142</t>
        </is>
      </c>
    </row>
    <row r="25603" spans="1:1">
      <c r="A25603" t="inlineStr">
        <is>
          <t>Barangay 143</t>
        </is>
      </c>
    </row>
    <row r="25604" spans="1:1">
      <c r="A25604" t="inlineStr">
        <is>
          <t>Barangay 144</t>
        </is>
      </c>
    </row>
    <row r="25605" spans="1:1">
      <c r="A25605" t="inlineStr">
        <is>
          <t>Barangay 145</t>
        </is>
      </c>
    </row>
    <row r="25606" spans="1:1">
      <c r="A25606" t="inlineStr">
        <is>
          <t>Barangay 146</t>
        </is>
      </c>
    </row>
    <row r="25607" spans="1:1">
      <c r="A25607" t="inlineStr">
        <is>
          <t>Barangay 147</t>
        </is>
      </c>
    </row>
    <row r="25608" spans="1:1">
      <c r="A25608" t="inlineStr">
        <is>
          <t>Barangay 148</t>
        </is>
      </c>
    </row>
    <row r="25609" spans="1:1">
      <c r="A25609" t="inlineStr">
        <is>
          <t>Barangay 149</t>
        </is>
      </c>
    </row>
    <row r="25610" spans="1:1">
      <c r="A25610" t="inlineStr">
        <is>
          <t>Barangay 15</t>
        </is>
      </c>
    </row>
    <row r="25611" spans="1:1">
      <c r="A25611" t="inlineStr">
        <is>
          <t>Barangay 150</t>
        </is>
      </c>
    </row>
    <row r="25612" spans="1:1">
      <c r="A25612" t="inlineStr">
        <is>
          <t>Barangay 151</t>
        </is>
      </c>
    </row>
    <row r="25613" spans="1:1">
      <c r="A25613" t="inlineStr">
        <is>
          <t>Barangay 152</t>
        </is>
      </c>
    </row>
    <row r="25614" spans="1:1">
      <c r="A25614" t="inlineStr">
        <is>
          <t>Barangay 153</t>
        </is>
      </c>
    </row>
    <row r="25615" spans="1:1">
      <c r="A25615" t="inlineStr">
        <is>
          <t>Barangay 154</t>
        </is>
      </c>
    </row>
    <row r="25616" spans="1:1">
      <c r="A25616" t="inlineStr">
        <is>
          <t>Barangay 155</t>
        </is>
      </c>
    </row>
    <row r="25617" spans="1:1">
      <c r="A25617" t="inlineStr">
        <is>
          <t>Barangay 156</t>
        </is>
      </c>
    </row>
    <row r="25618" spans="1:1">
      <c r="A25618" t="inlineStr">
        <is>
          <t>Barangay 157</t>
        </is>
      </c>
    </row>
    <row r="25619" spans="1:1">
      <c r="A25619" t="inlineStr">
        <is>
          <t>Barangay 158</t>
        </is>
      </c>
    </row>
    <row r="25620" spans="1:1">
      <c r="A25620" t="inlineStr">
        <is>
          <t>Barangay 159</t>
        </is>
      </c>
    </row>
    <row r="25621" spans="1:1">
      <c r="A25621" t="inlineStr">
        <is>
          <t>Barangay 16</t>
        </is>
      </c>
    </row>
    <row r="25622" spans="1:1">
      <c r="A25622" t="inlineStr">
        <is>
          <t>Barangay 160</t>
        </is>
      </c>
    </row>
    <row r="25623" spans="1:1">
      <c r="A25623" t="inlineStr">
        <is>
          <t>Barangay 161</t>
        </is>
      </c>
    </row>
    <row r="25624" spans="1:1">
      <c r="A25624" t="inlineStr">
        <is>
          <t>Barangay 162</t>
        </is>
      </c>
    </row>
    <row r="25625" spans="1:1">
      <c r="A25625" t="inlineStr">
        <is>
          <t>Barangay 163</t>
        </is>
      </c>
    </row>
    <row r="25626" spans="1:1">
      <c r="A25626" t="inlineStr">
        <is>
          <t>Barangay 164</t>
        </is>
      </c>
    </row>
    <row r="25627" spans="1:1">
      <c r="A25627" t="inlineStr">
        <is>
          <t>Barangay 165</t>
        </is>
      </c>
    </row>
    <row r="25628" spans="1:1">
      <c r="A25628" t="inlineStr">
        <is>
          <t>Barangay 166</t>
        </is>
      </c>
    </row>
    <row r="25629" spans="1:1">
      <c r="A25629" t="inlineStr">
        <is>
          <t>Barangay 167</t>
        </is>
      </c>
    </row>
    <row r="25630" spans="1:1">
      <c r="A25630" t="inlineStr">
        <is>
          <t>Barangay 168</t>
        </is>
      </c>
    </row>
    <row r="25631" spans="1:1">
      <c r="A25631" t="inlineStr">
        <is>
          <t>Barangay 169</t>
        </is>
      </c>
    </row>
    <row r="25632" spans="1:1">
      <c r="A25632" t="inlineStr">
        <is>
          <t>Barangay 17</t>
        </is>
      </c>
    </row>
    <row r="25633" spans="1:1">
      <c r="A25633" t="inlineStr">
        <is>
          <t>Barangay 170</t>
        </is>
      </c>
    </row>
    <row r="25634" spans="1:1">
      <c r="A25634" t="inlineStr">
        <is>
          <t>Barangay 171</t>
        </is>
      </c>
    </row>
    <row r="25635" spans="1:1">
      <c r="A25635" t="inlineStr">
        <is>
          <t>Barangay 172</t>
        </is>
      </c>
    </row>
    <row r="25636" spans="1:1">
      <c r="A25636" t="inlineStr">
        <is>
          <t>Barangay 173</t>
        </is>
      </c>
    </row>
    <row r="25637" spans="1:1">
      <c r="A25637" t="inlineStr">
        <is>
          <t>Barangay 174</t>
        </is>
      </c>
    </row>
    <row r="25638" spans="1:1">
      <c r="A25638" t="inlineStr">
        <is>
          <t>Barangay 175</t>
        </is>
      </c>
    </row>
    <row r="25639" spans="1:1">
      <c r="A25639" t="inlineStr">
        <is>
          <t>Barangay 176</t>
        </is>
      </c>
    </row>
    <row r="25640" spans="1:1">
      <c r="A25640" t="inlineStr">
        <is>
          <t>Barangay 177</t>
        </is>
      </c>
    </row>
    <row r="25641" spans="1:1">
      <c r="A25641" t="inlineStr">
        <is>
          <t>Barangay 178</t>
        </is>
      </c>
    </row>
    <row r="25642" spans="1:1">
      <c r="A25642" t="inlineStr">
        <is>
          <t>Barangay 179</t>
        </is>
      </c>
    </row>
    <row r="25643" spans="1:1">
      <c r="A25643" t="inlineStr">
        <is>
          <t>Barangay 18</t>
        </is>
      </c>
    </row>
    <row r="25644" spans="1:1">
      <c r="A25644" t="inlineStr">
        <is>
          <t>Barangay 180</t>
        </is>
      </c>
    </row>
    <row r="25645" spans="1:1">
      <c r="A25645" t="inlineStr">
        <is>
          <t>Barangay 181</t>
        </is>
      </c>
    </row>
    <row r="25646" spans="1:1">
      <c r="A25646" t="inlineStr">
        <is>
          <t>Barangay 182</t>
        </is>
      </c>
    </row>
    <row r="25647" spans="1:1">
      <c r="A25647" t="inlineStr">
        <is>
          <t>Barangay 183</t>
        </is>
      </c>
    </row>
    <row r="25648" spans="1:1">
      <c r="A25648" t="inlineStr">
        <is>
          <t>Barangay 184</t>
        </is>
      </c>
    </row>
    <row r="25649" spans="1:1">
      <c r="A25649" t="inlineStr">
        <is>
          <t>Barangay 185</t>
        </is>
      </c>
    </row>
    <row r="25650" spans="1:1">
      <c r="A25650" t="inlineStr">
        <is>
          <t>Barangay 186</t>
        </is>
      </c>
    </row>
    <row r="25651" spans="1:1">
      <c r="A25651" t="inlineStr">
        <is>
          <t>Barangay 187</t>
        </is>
      </c>
    </row>
    <row r="25652" spans="1:1">
      <c r="A25652" t="inlineStr">
        <is>
          <t>Barangay 188</t>
        </is>
      </c>
    </row>
    <row r="25653" spans="1:1">
      <c r="A25653" t="inlineStr">
        <is>
          <t>Barangay 189</t>
        </is>
      </c>
    </row>
    <row r="25654" spans="1:1">
      <c r="A25654" t="inlineStr">
        <is>
          <t>Barangay 19</t>
        </is>
      </c>
    </row>
    <row r="25655" spans="1:1">
      <c r="A25655" t="inlineStr">
        <is>
          <t>Barangay 190</t>
        </is>
      </c>
    </row>
    <row r="25656" spans="1:1">
      <c r="A25656" t="inlineStr">
        <is>
          <t>Barangay 191</t>
        </is>
      </c>
    </row>
    <row r="25657" spans="1:1">
      <c r="A25657" t="inlineStr">
        <is>
          <t>Barangay 192</t>
        </is>
      </c>
    </row>
    <row r="25658" spans="1:1">
      <c r="A25658" t="inlineStr">
        <is>
          <t>Barangay 193</t>
        </is>
      </c>
    </row>
    <row r="25659" spans="1:1">
      <c r="A25659" t="inlineStr">
        <is>
          <t>Barangay 194</t>
        </is>
      </c>
    </row>
    <row r="25660" spans="1:1">
      <c r="A25660" t="inlineStr">
        <is>
          <t>Barangay 195</t>
        </is>
      </c>
    </row>
    <row r="25661" spans="1:1">
      <c r="A25661" t="inlineStr">
        <is>
          <t>Barangay 196</t>
        </is>
      </c>
    </row>
    <row r="25662" spans="1:1">
      <c r="A25662" t="inlineStr">
        <is>
          <t>Barangay 197</t>
        </is>
      </c>
    </row>
    <row r="25663" spans="1:1">
      <c r="A25663" t="inlineStr">
        <is>
          <t>Barangay 198</t>
        </is>
      </c>
    </row>
    <row r="25664" spans="1:1">
      <c r="A25664" t="inlineStr">
        <is>
          <t>Barangay 199</t>
        </is>
      </c>
    </row>
    <row r="25665" spans="1:1">
      <c r="A25665" t="inlineStr">
        <is>
          <t>Barangay 2</t>
        </is>
      </c>
    </row>
    <row r="25666" spans="1:1">
      <c r="A25666" t="inlineStr">
        <is>
          <t>Barangay 20</t>
        </is>
      </c>
    </row>
    <row r="25667" spans="1:1">
      <c r="A25667" t="inlineStr">
        <is>
          <t>Barangay 200</t>
        </is>
      </c>
    </row>
    <row r="25668" spans="1:1">
      <c r="A25668" t="inlineStr">
        <is>
          <t>Barangay 201</t>
        </is>
      </c>
    </row>
    <row r="25669" spans="1:1">
      <c r="A25669" t="inlineStr">
        <is>
          <t>Barangay 202</t>
        </is>
      </c>
    </row>
    <row r="25670" spans="1:1">
      <c r="A25670" t="inlineStr">
        <is>
          <t>Barangay 202-A</t>
        </is>
      </c>
    </row>
    <row r="25671" spans="1:1">
      <c r="A25671" t="inlineStr">
        <is>
          <t>Barangay 203</t>
        </is>
      </c>
    </row>
    <row r="25672" spans="1:1">
      <c r="A25672" t="inlineStr">
        <is>
          <t>Barangay 204</t>
        </is>
      </c>
    </row>
    <row r="25673" spans="1:1">
      <c r="A25673" t="inlineStr">
        <is>
          <t>Barangay 205</t>
        </is>
      </c>
    </row>
    <row r="25674" spans="1:1">
      <c r="A25674" t="inlineStr">
        <is>
          <t>Barangay 206</t>
        </is>
      </c>
    </row>
    <row r="25675" spans="1:1">
      <c r="A25675" t="inlineStr">
        <is>
          <t>Barangay 207</t>
        </is>
      </c>
    </row>
    <row r="25676" spans="1:1">
      <c r="A25676" t="inlineStr">
        <is>
          <t>Barangay 208</t>
        </is>
      </c>
    </row>
    <row r="25677" spans="1:1">
      <c r="A25677" t="inlineStr">
        <is>
          <t>Barangay 209</t>
        </is>
      </c>
    </row>
    <row r="25678" spans="1:1">
      <c r="A25678" t="inlineStr">
        <is>
          <t>Barangay 210</t>
        </is>
      </c>
    </row>
    <row r="25679" spans="1:1">
      <c r="A25679" t="inlineStr">
        <is>
          <t>Barangay 211</t>
        </is>
      </c>
    </row>
    <row r="25680" spans="1:1">
      <c r="A25680" t="inlineStr">
        <is>
          <t>Barangay 212</t>
        </is>
      </c>
    </row>
    <row r="25681" spans="1:1">
      <c r="A25681" t="inlineStr">
        <is>
          <t>Barangay 213</t>
        </is>
      </c>
    </row>
    <row r="25682" spans="1:1">
      <c r="A25682" t="inlineStr">
        <is>
          <t>Barangay 214</t>
        </is>
      </c>
    </row>
    <row r="25683" spans="1:1">
      <c r="A25683" t="inlineStr">
        <is>
          <t>Barangay 215</t>
        </is>
      </c>
    </row>
    <row r="25684" spans="1:1">
      <c r="A25684" t="inlineStr">
        <is>
          <t>Barangay 216</t>
        </is>
      </c>
    </row>
    <row r="25685" spans="1:1">
      <c r="A25685" t="inlineStr">
        <is>
          <t>Barangay 217</t>
        </is>
      </c>
    </row>
    <row r="25686" spans="1:1">
      <c r="A25686" t="inlineStr">
        <is>
          <t>Barangay 218</t>
        </is>
      </c>
    </row>
    <row r="25687" spans="1:1">
      <c r="A25687" t="inlineStr">
        <is>
          <t>Barangay 219</t>
        </is>
      </c>
    </row>
    <row r="25688" spans="1:1">
      <c r="A25688" t="inlineStr">
        <is>
          <t>Barangay 220</t>
        </is>
      </c>
    </row>
    <row r="25689" spans="1:1">
      <c r="A25689" t="inlineStr">
        <is>
          <t>Barangay 221</t>
        </is>
      </c>
    </row>
    <row r="25690" spans="1:1">
      <c r="A25690" t="inlineStr">
        <is>
          <t>Barangay 222</t>
        </is>
      </c>
    </row>
    <row r="25691" spans="1:1">
      <c r="A25691" t="inlineStr">
        <is>
          <t>Barangay 223</t>
        </is>
      </c>
    </row>
    <row r="25692" spans="1:1">
      <c r="A25692" t="inlineStr">
        <is>
          <t>Barangay 224</t>
        </is>
      </c>
    </row>
    <row r="25693" spans="1:1">
      <c r="A25693" t="inlineStr">
        <is>
          <t>Barangay 225</t>
        </is>
      </c>
    </row>
    <row r="25694" spans="1:1">
      <c r="A25694" t="inlineStr">
        <is>
          <t>Barangay 226</t>
        </is>
      </c>
    </row>
    <row r="25695" spans="1:1">
      <c r="A25695" t="inlineStr">
        <is>
          <t>Barangay 227</t>
        </is>
      </c>
    </row>
    <row r="25696" spans="1:1">
      <c r="A25696" t="inlineStr">
        <is>
          <t>Barangay 228</t>
        </is>
      </c>
    </row>
    <row r="25697" spans="1:1">
      <c r="A25697" t="inlineStr">
        <is>
          <t>Barangay 229</t>
        </is>
      </c>
    </row>
    <row r="25698" spans="1:1">
      <c r="A25698" t="inlineStr">
        <is>
          <t>Barangay 230</t>
        </is>
      </c>
    </row>
    <row r="25699" spans="1:1">
      <c r="A25699" t="inlineStr">
        <is>
          <t>Barangay 231</t>
        </is>
      </c>
    </row>
    <row r="25700" spans="1:1">
      <c r="A25700" t="inlineStr">
        <is>
          <t>Barangay 232</t>
        </is>
      </c>
    </row>
    <row r="25701" spans="1:1">
      <c r="A25701" t="inlineStr">
        <is>
          <t>Barangay 233</t>
        </is>
      </c>
    </row>
    <row r="25702" spans="1:1">
      <c r="A25702" t="inlineStr">
        <is>
          <t>Barangay 234</t>
        </is>
      </c>
    </row>
    <row r="25703" spans="1:1">
      <c r="A25703" t="inlineStr">
        <is>
          <t>Barangay 235</t>
        </is>
      </c>
    </row>
    <row r="25704" spans="1:1">
      <c r="A25704" t="inlineStr">
        <is>
          <t>Barangay 236</t>
        </is>
      </c>
    </row>
    <row r="25705" spans="1:1">
      <c r="A25705" t="inlineStr">
        <is>
          <t>Barangay 237</t>
        </is>
      </c>
    </row>
    <row r="25706" spans="1:1">
      <c r="A25706" t="inlineStr">
        <is>
          <t>Barangay 238</t>
        </is>
      </c>
    </row>
    <row r="25707" spans="1:1">
      <c r="A25707" t="inlineStr">
        <is>
          <t>Barangay 239</t>
        </is>
      </c>
    </row>
    <row r="25708" spans="1:1">
      <c r="A25708" t="inlineStr">
        <is>
          <t>Barangay 240</t>
        </is>
      </c>
    </row>
    <row r="25709" spans="1:1">
      <c r="A25709" t="inlineStr">
        <is>
          <t>Barangay 241</t>
        </is>
      </c>
    </row>
    <row r="25710" spans="1:1">
      <c r="A25710" t="inlineStr">
        <is>
          <t>Barangay 242</t>
        </is>
      </c>
    </row>
    <row r="25711" spans="1:1">
      <c r="A25711" t="inlineStr">
        <is>
          <t>Barangay 243</t>
        </is>
      </c>
    </row>
    <row r="25712" spans="1:1">
      <c r="A25712" t="inlineStr">
        <is>
          <t>Barangay 244</t>
        </is>
      </c>
    </row>
    <row r="25713" spans="1:1">
      <c r="A25713" t="inlineStr">
        <is>
          <t>Barangay 245</t>
        </is>
      </c>
    </row>
    <row r="25714" spans="1:1">
      <c r="A25714" t="inlineStr">
        <is>
          <t>Barangay 246</t>
        </is>
      </c>
    </row>
    <row r="25715" spans="1:1">
      <c r="A25715" t="inlineStr">
        <is>
          <t>Barangay 247</t>
        </is>
      </c>
    </row>
    <row r="25716" spans="1:1">
      <c r="A25716" t="inlineStr">
        <is>
          <t>Barangay 248</t>
        </is>
      </c>
    </row>
    <row r="25717" spans="1:1">
      <c r="A25717" t="inlineStr">
        <is>
          <t>Barangay 249</t>
        </is>
      </c>
    </row>
    <row r="25718" spans="1:1">
      <c r="A25718" t="inlineStr">
        <is>
          <t>Barangay 25</t>
        </is>
      </c>
    </row>
    <row r="25719" spans="1:1">
      <c r="A25719" t="inlineStr">
        <is>
          <t>Barangay 250</t>
        </is>
      </c>
    </row>
    <row r="25720" spans="1:1">
      <c r="A25720" t="inlineStr">
        <is>
          <t>Barangay 251</t>
        </is>
      </c>
    </row>
    <row r="25721" spans="1:1">
      <c r="A25721" t="inlineStr">
        <is>
          <t>Barangay 252</t>
        </is>
      </c>
    </row>
    <row r="25722" spans="1:1">
      <c r="A25722" t="inlineStr">
        <is>
          <t>Barangay 253</t>
        </is>
      </c>
    </row>
    <row r="25723" spans="1:1">
      <c r="A25723" t="inlineStr">
        <is>
          <t>Barangay 254</t>
        </is>
      </c>
    </row>
    <row r="25724" spans="1:1">
      <c r="A25724" t="inlineStr">
        <is>
          <t>Barangay 255</t>
        </is>
      </c>
    </row>
    <row r="25725" spans="1:1">
      <c r="A25725" t="inlineStr">
        <is>
          <t>Barangay 256</t>
        </is>
      </c>
    </row>
    <row r="25726" spans="1:1">
      <c r="A25726" t="inlineStr">
        <is>
          <t>Barangay 257</t>
        </is>
      </c>
    </row>
    <row r="25727" spans="1:1">
      <c r="A25727" t="inlineStr">
        <is>
          <t>Barangay 258</t>
        </is>
      </c>
    </row>
    <row r="25728" spans="1:1">
      <c r="A25728" t="inlineStr">
        <is>
          <t>Barangay 259</t>
        </is>
      </c>
    </row>
    <row r="25729" spans="1:1">
      <c r="A25729" t="inlineStr">
        <is>
          <t>Barangay 26</t>
        </is>
      </c>
    </row>
    <row r="25730" spans="1:1">
      <c r="A25730" t="inlineStr">
        <is>
          <t>Barangay 260</t>
        </is>
      </c>
    </row>
    <row r="25731" spans="1:1">
      <c r="A25731" t="inlineStr">
        <is>
          <t>Barangay 261</t>
        </is>
      </c>
    </row>
    <row r="25732" spans="1:1">
      <c r="A25732" t="inlineStr">
        <is>
          <t>Barangay 262</t>
        </is>
      </c>
    </row>
    <row r="25733" spans="1:1">
      <c r="A25733" t="inlineStr">
        <is>
          <t>Barangay 263</t>
        </is>
      </c>
    </row>
    <row r="25734" spans="1:1">
      <c r="A25734" t="inlineStr">
        <is>
          <t>Barangay 264</t>
        </is>
      </c>
    </row>
    <row r="25735" spans="1:1">
      <c r="A25735" t="inlineStr">
        <is>
          <t>Barangay 265</t>
        </is>
      </c>
    </row>
    <row r="25736" spans="1:1">
      <c r="A25736" t="inlineStr">
        <is>
          <t>Barangay 266</t>
        </is>
      </c>
    </row>
    <row r="25737" spans="1:1">
      <c r="A25737" t="inlineStr">
        <is>
          <t>Barangay 267</t>
        </is>
      </c>
    </row>
    <row r="25738" spans="1:1">
      <c r="A25738" t="inlineStr">
        <is>
          <t>Barangay 268</t>
        </is>
      </c>
    </row>
    <row r="25739" spans="1:1">
      <c r="A25739" t="inlineStr">
        <is>
          <t>Barangay 269</t>
        </is>
      </c>
    </row>
    <row r="25740" spans="1:1">
      <c r="A25740" t="inlineStr">
        <is>
          <t>Barangay 270</t>
        </is>
      </c>
    </row>
    <row r="25741" spans="1:1">
      <c r="A25741" t="inlineStr">
        <is>
          <t>Barangay 271</t>
        </is>
      </c>
    </row>
    <row r="25742" spans="1:1">
      <c r="A25742" t="inlineStr">
        <is>
          <t>Barangay 272</t>
        </is>
      </c>
    </row>
    <row r="25743" spans="1:1">
      <c r="A25743" t="inlineStr">
        <is>
          <t>Barangay 273</t>
        </is>
      </c>
    </row>
    <row r="25744" spans="1:1">
      <c r="A25744" t="inlineStr">
        <is>
          <t>Barangay 274</t>
        </is>
      </c>
    </row>
    <row r="25745" spans="1:1">
      <c r="A25745" t="inlineStr">
        <is>
          <t>Barangay 275</t>
        </is>
      </c>
    </row>
    <row r="25746" spans="1:1">
      <c r="A25746" t="inlineStr">
        <is>
          <t>Barangay 276</t>
        </is>
      </c>
    </row>
    <row r="25747" spans="1:1">
      <c r="A25747" t="inlineStr">
        <is>
          <t>Barangay 28</t>
        </is>
      </c>
    </row>
    <row r="25748" spans="1:1">
      <c r="A25748" t="inlineStr">
        <is>
          <t>Barangay 281</t>
        </is>
      </c>
    </row>
    <row r="25749" spans="1:1">
      <c r="A25749" t="inlineStr">
        <is>
          <t>Barangay 282</t>
        </is>
      </c>
    </row>
    <row r="25750" spans="1:1">
      <c r="A25750" t="inlineStr">
        <is>
          <t>Barangay 283</t>
        </is>
      </c>
    </row>
    <row r="25751" spans="1:1">
      <c r="A25751" t="inlineStr">
        <is>
          <t>Barangay 284</t>
        </is>
      </c>
    </row>
    <row r="25752" spans="1:1">
      <c r="A25752" t="inlineStr">
        <is>
          <t>Barangay 285</t>
        </is>
      </c>
    </row>
    <row r="25753" spans="1:1">
      <c r="A25753" t="inlineStr">
        <is>
          <t>Barangay 286</t>
        </is>
      </c>
    </row>
    <row r="25754" spans="1:1">
      <c r="A25754" t="inlineStr">
        <is>
          <t>Barangay 287</t>
        </is>
      </c>
    </row>
    <row r="25755" spans="1:1">
      <c r="A25755" t="inlineStr">
        <is>
          <t>Barangay 288</t>
        </is>
      </c>
    </row>
    <row r="25756" spans="1:1">
      <c r="A25756" t="inlineStr">
        <is>
          <t>Barangay 289</t>
        </is>
      </c>
    </row>
    <row r="25757" spans="1:1">
      <c r="A25757" t="inlineStr">
        <is>
          <t>Barangay 29</t>
        </is>
      </c>
    </row>
    <row r="25758" spans="1:1">
      <c r="A25758" t="inlineStr">
        <is>
          <t>Barangay 290</t>
        </is>
      </c>
    </row>
    <row r="25759" spans="1:1">
      <c r="A25759" t="inlineStr">
        <is>
          <t>Barangay 291</t>
        </is>
      </c>
    </row>
    <row r="25760" spans="1:1">
      <c r="A25760" t="inlineStr">
        <is>
          <t>Barangay 292</t>
        </is>
      </c>
    </row>
    <row r="25761" spans="1:1">
      <c r="A25761" t="inlineStr">
        <is>
          <t>Barangay 293</t>
        </is>
      </c>
    </row>
    <row r="25762" spans="1:1">
      <c r="A25762" t="inlineStr">
        <is>
          <t>Barangay 294</t>
        </is>
      </c>
    </row>
    <row r="25763" spans="1:1">
      <c r="A25763" t="inlineStr">
        <is>
          <t>Barangay 295</t>
        </is>
      </c>
    </row>
    <row r="25764" spans="1:1">
      <c r="A25764" t="inlineStr">
        <is>
          <t>Barangay 296</t>
        </is>
      </c>
    </row>
    <row r="25765" spans="1:1">
      <c r="A25765" t="inlineStr">
        <is>
          <t>Barangay 297</t>
        </is>
      </c>
    </row>
    <row r="25766" spans="1:1">
      <c r="A25766" t="inlineStr">
        <is>
          <t>Barangay 298</t>
        </is>
      </c>
    </row>
    <row r="25767" spans="1:1">
      <c r="A25767" t="inlineStr">
        <is>
          <t>Barangay 299</t>
        </is>
      </c>
    </row>
    <row r="25768" spans="1:1">
      <c r="A25768" t="inlineStr">
        <is>
          <t>Barangay 3</t>
        </is>
      </c>
    </row>
    <row r="25769" spans="1:1">
      <c r="A25769" t="inlineStr">
        <is>
          <t>Barangay 30</t>
        </is>
      </c>
    </row>
    <row r="25770" spans="1:1">
      <c r="A25770" t="inlineStr">
        <is>
          <t>Barangay 300</t>
        </is>
      </c>
    </row>
    <row r="25771" spans="1:1">
      <c r="A25771" t="inlineStr">
        <is>
          <t>Barangay 301</t>
        </is>
      </c>
    </row>
    <row r="25772" spans="1:1">
      <c r="A25772" t="inlineStr">
        <is>
          <t>Barangay 302</t>
        </is>
      </c>
    </row>
    <row r="25773" spans="1:1">
      <c r="A25773" t="inlineStr">
        <is>
          <t>Barangay 303</t>
        </is>
      </c>
    </row>
    <row r="25774" spans="1:1">
      <c r="A25774" t="inlineStr">
        <is>
          <t>Barangay 304</t>
        </is>
      </c>
    </row>
    <row r="25775" spans="1:1">
      <c r="A25775" t="inlineStr">
        <is>
          <t>Barangay 305</t>
        </is>
      </c>
    </row>
    <row r="25776" spans="1:1">
      <c r="A25776" t="inlineStr">
        <is>
          <t>Barangay 306</t>
        </is>
      </c>
    </row>
    <row r="25777" spans="1:1">
      <c r="A25777" t="inlineStr">
        <is>
          <t>Barangay 307</t>
        </is>
      </c>
    </row>
    <row r="25778" spans="1:1">
      <c r="A25778" t="inlineStr">
        <is>
          <t>Barangay 308</t>
        </is>
      </c>
    </row>
    <row r="25779" spans="1:1">
      <c r="A25779" t="inlineStr">
        <is>
          <t>Barangay 309</t>
        </is>
      </c>
    </row>
    <row r="25780" spans="1:1">
      <c r="A25780" t="inlineStr">
        <is>
          <t>Barangay 31</t>
        </is>
      </c>
    </row>
    <row r="25781" spans="1:1">
      <c r="A25781" t="inlineStr">
        <is>
          <t>Barangay 310</t>
        </is>
      </c>
    </row>
    <row r="25782" spans="1:1">
      <c r="A25782" t="inlineStr">
        <is>
          <t>Barangay 311</t>
        </is>
      </c>
    </row>
    <row r="25783" spans="1:1">
      <c r="A25783" t="inlineStr">
        <is>
          <t>Barangay 312</t>
        </is>
      </c>
    </row>
    <row r="25784" spans="1:1">
      <c r="A25784" t="inlineStr">
        <is>
          <t>Barangay 313</t>
        </is>
      </c>
    </row>
    <row r="25785" spans="1:1">
      <c r="A25785" t="inlineStr">
        <is>
          <t>Barangay 314</t>
        </is>
      </c>
    </row>
    <row r="25786" spans="1:1">
      <c r="A25786" t="inlineStr">
        <is>
          <t>Barangay 315</t>
        </is>
      </c>
    </row>
    <row r="25787" spans="1:1">
      <c r="A25787" t="inlineStr">
        <is>
          <t>Barangay 316</t>
        </is>
      </c>
    </row>
    <row r="25788" spans="1:1">
      <c r="A25788" t="inlineStr">
        <is>
          <t>Barangay 317</t>
        </is>
      </c>
    </row>
    <row r="25789" spans="1:1">
      <c r="A25789" t="inlineStr">
        <is>
          <t>Barangay 318</t>
        </is>
      </c>
    </row>
    <row r="25790" spans="1:1">
      <c r="A25790" t="inlineStr">
        <is>
          <t>Barangay 319</t>
        </is>
      </c>
    </row>
    <row r="25791" spans="1:1">
      <c r="A25791" t="inlineStr">
        <is>
          <t>Barangay 32</t>
        </is>
      </c>
    </row>
    <row r="25792" spans="1:1">
      <c r="A25792" t="inlineStr">
        <is>
          <t>Barangay 320</t>
        </is>
      </c>
    </row>
    <row r="25793" spans="1:1">
      <c r="A25793" t="inlineStr">
        <is>
          <t>Barangay 321</t>
        </is>
      </c>
    </row>
    <row r="25794" spans="1:1">
      <c r="A25794" t="inlineStr">
        <is>
          <t>Barangay 322</t>
        </is>
      </c>
    </row>
    <row r="25795" spans="1:1">
      <c r="A25795" t="inlineStr">
        <is>
          <t>Barangay 323</t>
        </is>
      </c>
    </row>
    <row r="25796" spans="1:1">
      <c r="A25796" t="inlineStr">
        <is>
          <t>Barangay 324</t>
        </is>
      </c>
    </row>
    <row r="25797" spans="1:1">
      <c r="A25797" t="inlineStr">
        <is>
          <t>Barangay 325</t>
        </is>
      </c>
    </row>
    <row r="25798" spans="1:1">
      <c r="A25798" t="inlineStr">
        <is>
          <t>Barangay 326</t>
        </is>
      </c>
    </row>
    <row r="25799" spans="1:1">
      <c r="A25799" t="inlineStr">
        <is>
          <t>Barangay 327</t>
        </is>
      </c>
    </row>
    <row r="25800" spans="1:1">
      <c r="A25800" t="inlineStr">
        <is>
          <t>Barangay 328</t>
        </is>
      </c>
    </row>
    <row r="25801" spans="1:1">
      <c r="A25801" t="inlineStr">
        <is>
          <t>Barangay 329</t>
        </is>
      </c>
    </row>
    <row r="25802" spans="1:1">
      <c r="A25802" t="inlineStr">
        <is>
          <t>Barangay 33</t>
        </is>
      </c>
    </row>
    <row r="25803" spans="1:1">
      <c r="A25803" t="inlineStr">
        <is>
          <t>Barangay 330</t>
        </is>
      </c>
    </row>
    <row r="25804" spans="1:1">
      <c r="A25804" t="inlineStr">
        <is>
          <t>Barangay 331</t>
        </is>
      </c>
    </row>
    <row r="25805" spans="1:1">
      <c r="A25805" t="inlineStr">
        <is>
          <t>Barangay 332</t>
        </is>
      </c>
    </row>
    <row r="25806" spans="1:1">
      <c r="A25806" t="inlineStr">
        <is>
          <t>Barangay 333</t>
        </is>
      </c>
    </row>
    <row r="25807" spans="1:1">
      <c r="A25807" t="inlineStr">
        <is>
          <t>Barangay 334</t>
        </is>
      </c>
    </row>
    <row r="25808" spans="1:1">
      <c r="A25808" t="inlineStr">
        <is>
          <t>Barangay 335</t>
        </is>
      </c>
    </row>
    <row r="25809" spans="1:1">
      <c r="A25809" t="inlineStr">
        <is>
          <t>Barangay 336</t>
        </is>
      </c>
    </row>
    <row r="25810" spans="1:1">
      <c r="A25810" t="inlineStr">
        <is>
          <t>Barangay 337</t>
        </is>
      </c>
    </row>
    <row r="25811" spans="1:1">
      <c r="A25811" t="inlineStr">
        <is>
          <t>Barangay 338</t>
        </is>
      </c>
    </row>
    <row r="25812" spans="1:1">
      <c r="A25812" t="inlineStr">
        <is>
          <t>Barangay 339</t>
        </is>
      </c>
    </row>
    <row r="25813" spans="1:1">
      <c r="A25813" t="inlineStr">
        <is>
          <t>Barangay 34</t>
        </is>
      </c>
    </row>
    <row r="25814" spans="1:1">
      <c r="A25814" t="inlineStr">
        <is>
          <t>Barangay 340</t>
        </is>
      </c>
    </row>
    <row r="25815" spans="1:1">
      <c r="A25815" t="inlineStr">
        <is>
          <t>Barangay 341</t>
        </is>
      </c>
    </row>
    <row r="25816" spans="1:1">
      <c r="A25816" t="inlineStr">
        <is>
          <t>Barangay 342</t>
        </is>
      </c>
    </row>
    <row r="25817" spans="1:1">
      <c r="A25817" t="inlineStr">
        <is>
          <t>Barangay 343</t>
        </is>
      </c>
    </row>
    <row r="25818" spans="1:1">
      <c r="A25818" t="inlineStr">
        <is>
          <t>Barangay 344</t>
        </is>
      </c>
    </row>
    <row r="25819" spans="1:1">
      <c r="A25819" t="inlineStr">
        <is>
          <t>Barangay 345</t>
        </is>
      </c>
    </row>
    <row r="25820" spans="1:1">
      <c r="A25820" t="inlineStr">
        <is>
          <t>Barangay 346</t>
        </is>
      </c>
    </row>
    <row r="25821" spans="1:1">
      <c r="A25821" t="inlineStr">
        <is>
          <t>Barangay 347</t>
        </is>
      </c>
    </row>
    <row r="25822" spans="1:1">
      <c r="A25822" t="inlineStr">
        <is>
          <t>Barangay 348</t>
        </is>
      </c>
    </row>
    <row r="25823" spans="1:1">
      <c r="A25823" t="inlineStr">
        <is>
          <t>Barangay 349</t>
        </is>
      </c>
    </row>
    <row r="25824" spans="1:1">
      <c r="A25824" t="inlineStr">
        <is>
          <t>Barangay 35</t>
        </is>
      </c>
    </row>
    <row r="25825" spans="1:1">
      <c r="A25825" t="inlineStr">
        <is>
          <t>Barangay 350</t>
        </is>
      </c>
    </row>
    <row r="25826" spans="1:1">
      <c r="A25826" t="inlineStr">
        <is>
          <t>Barangay 351</t>
        </is>
      </c>
    </row>
    <row r="25827" spans="1:1">
      <c r="A25827" t="inlineStr">
        <is>
          <t>Barangay 352</t>
        </is>
      </c>
    </row>
    <row r="25828" spans="1:1">
      <c r="A25828" t="inlineStr">
        <is>
          <t>Barangay 353</t>
        </is>
      </c>
    </row>
    <row r="25829" spans="1:1">
      <c r="A25829" t="inlineStr">
        <is>
          <t>Barangay 354</t>
        </is>
      </c>
    </row>
    <row r="25830" spans="1:1">
      <c r="A25830" t="inlineStr">
        <is>
          <t>Barangay 355</t>
        </is>
      </c>
    </row>
    <row r="25831" spans="1:1">
      <c r="A25831" t="inlineStr">
        <is>
          <t>Barangay 356</t>
        </is>
      </c>
    </row>
    <row r="25832" spans="1:1">
      <c r="A25832" t="inlineStr">
        <is>
          <t>Barangay 357</t>
        </is>
      </c>
    </row>
    <row r="25833" spans="1:1">
      <c r="A25833" t="inlineStr">
        <is>
          <t>Barangay 358</t>
        </is>
      </c>
    </row>
    <row r="25834" spans="1:1">
      <c r="A25834" t="inlineStr">
        <is>
          <t>Barangay 359</t>
        </is>
      </c>
    </row>
    <row r="25835" spans="1:1">
      <c r="A25835" t="inlineStr">
        <is>
          <t>Barangay 36</t>
        </is>
      </c>
    </row>
    <row r="25836" spans="1:1">
      <c r="A25836" t="inlineStr">
        <is>
          <t>Barangay 360</t>
        </is>
      </c>
    </row>
    <row r="25837" spans="1:1">
      <c r="A25837" t="inlineStr">
        <is>
          <t>Barangay 361</t>
        </is>
      </c>
    </row>
    <row r="25838" spans="1:1">
      <c r="A25838" t="inlineStr">
        <is>
          <t>Barangay 362</t>
        </is>
      </c>
    </row>
    <row r="25839" spans="1:1">
      <c r="A25839" t="inlineStr">
        <is>
          <t>Barangay 363</t>
        </is>
      </c>
    </row>
    <row r="25840" spans="1:1">
      <c r="A25840" t="inlineStr">
        <is>
          <t>Barangay 364</t>
        </is>
      </c>
    </row>
    <row r="25841" spans="1:1">
      <c r="A25841" t="inlineStr">
        <is>
          <t>Barangay 365</t>
        </is>
      </c>
    </row>
    <row r="25842" spans="1:1">
      <c r="A25842" t="inlineStr">
        <is>
          <t>Barangay 366</t>
        </is>
      </c>
    </row>
    <row r="25843" spans="1:1">
      <c r="A25843" t="inlineStr">
        <is>
          <t>Barangay 367</t>
        </is>
      </c>
    </row>
    <row r="25844" spans="1:1">
      <c r="A25844" t="inlineStr">
        <is>
          <t>Barangay 368</t>
        </is>
      </c>
    </row>
    <row r="25845" spans="1:1">
      <c r="A25845" t="inlineStr">
        <is>
          <t>Barangay 369</t>
        </is>
      </c>
    </row>
    <row r="25846" spans="1:1">
      <c r="A25846" t="inlineStr">
        <is>
          <t>Barangay 37</t>
        </is>
      </c>
    </row>
    <row r="25847" spans="1:1">
      <c r="A25847" t="inlineStr">
        <is>
          <t>Barangay 370</t>
        </is>
      </c>
    </row>
    <row r="25848" spans="1:1">
      <c r="A25848" t="inlineStr">
        <is>
          <t>Barangay 371</t>
        </is>
      </c>
    </row>
    <row r="25849" spans="1:1">
      <c r="A25849" t="inlineStr">
        <is>
          <t>Barangay 372</t>
        </is>
      </c>
    </row>
    <row r="25850" spans="1:1">
      <c r="A25850" t="inlineStr">
        <is>
          <t>Barangay 373</t>
        </is>
      </c>
    </row>
    <row r="25851" spans="1:1">
      <c r="A25851" t="inlineStr">
        <is>
          <t>Barangay 374</t>
        </is>
      </c>
    </row>
    <row r="25852" spans="1:1">
      <c r="A25852" t="inlineStr">
        <is>
          <t>Barangay 375</t>
        </is>
      </c>
    </row>
    <row r="25853" spans="1:1">
      <c r="A25853" t="inlineStr">
        <is>
          <t>Barangay 376</t>
        </is>
      </c>
    </row>
    <row r="25854" spans="1:1">
      <c r="A25854" t="inlineStr">
        <is>
          <t>Barangay 377</t>
        </is>
      </c>
    </row>
    <row r="25855" spans="1:1">
      <c r="A25855" t="inlineStr">
        <is>
          <t>Barangay 378</t>
        </is>
      </c>
    </row>
    <row r="25856" spans="1:1">
      <c r="A25856" t="inlineStr">
        <is>
          <t>Barangay 379</t>
        </is>
      </c>
    </row>
    <row r="25857" spans="1:1">
      <c r="A25857" t="inlineStr">
        <is>
          <t>Barangay 38</t>
        </is>
      </c>
    </row>
    <row r="25858" spans="1:1">
      <c r="A25858" t="inlineStr">
        <is>
          <t>Barangay 380</t>
        </is>
      </c>
    </row>
    <row r="25859" spans="1:1">
      <c r="A25859" t="inlineStr">
        <is>
          <t>Barangay 381</t>
        </is>
      </c>
    </row>
    <row r="25860" spans="1:1">
      <c r="A25860" t="inlineStr">
        <is>
          <t>Barangay 382</t>
        </is>
      </c>
    </row>
    <row r="25861" spans="1:1">
      <c r="A25861" t="inlineStr">
        <is>
          <t>Barangay 383</t>
        </is>
      </c>
    </row>
    <row r="25862" spans="1:1">
      <c r="A25862" t="inlineStr">
        <is>
          <t>Barangay 384</t>
        </is>
      </c>
    </row>
    <row r="25863" spans="1:1">
      <c r="A25863" t="inlineStr">
        <is>
          <t>Barangay 385</t>
        </is>
      </c>
    </row>
    <row r="25864" spans="1:1">
      <c r="A25864" t="inlineStr">
        <is>
          <t>Barangay 386</t>
        </is>
      </c>
    </row>
    <row r="25865" spans="1:1">
      <c r="A25865" t="inlineStr">
        <is>
          <t>Barangay 387</t>
        </is>
      </c>
    </row>
    <row r="25866" spans="1:1">
      <c r="A25866" t="inlineStr">
        <is>
          <t>Barangay 388</t>
        </is>
      </c>
    </row>
    <row r="25867" spans="1:1">
      <c r="A25867" t="inlineStr">
        <is>
          <t>Barangay 389</t>
        </is>
      </c>
    </row>
    <row r="25868" spans="1:1">
      <c r="A25868" t="inlineStr">
        <is>
          <t>Barangay 39</t>
        </is>
      </c>
    </row>
    <row r="25869" spans="1:1">
      <c r="A25869" t="inlineStr">
        <is>
          <t>Barangay 390</t>
        </is>
      </c>
    </row>
    <row r="25870" spans="1:1">
      <c r="A25870" t="inlineStr">
        <is>
          <t>Barangay 391</t>
        </is>
      </c>
    </row>
    <row r="25871" spans="1:1">
      <c r="A25871" t="inlineStr">
        <is>
          <t>Barangay 392</t>
        </is>
      </c>
    </row>
    <row r="25872" spans="1:1">
      <c r="A25872" t="inlineStr">
        <is>
          <t>Barangay 393</t>
        </is>
      </c>
    </row>
    <row r="25873" spans="1:1">
      <c r="A25873" t="inlineStr">
        <is>
          <t>Barangay 394</t>
        </is>
      </c>
    </row>
    <row r="25874" spans="1:1">
      <c r="A25874" t="inlineStr">
        <is>
          <t>Barangay 395</t>
        </is>
      </c>
    </row>
    <row r="25875" spans="1:1">
      <c r="A25875" t="inlineStr">
        <is>
          <t>Barangay 396</t>
        </is>
      </c>
    </row>
    <row r="25876" spans="1:1">
      <c r="A25876" t="inlineStr">
        <is>
          <t>Barangay 397</t>
        </is>
      </c>
    </row>
    <row r="25877" spans="1:1">
      <c r="A25877" t="inlineStr">
        <is>
          <t>Barangay 398</t>
        </is>
      </c>
    </row>
    <row r="25878" spans="1:1">
      <c r="A25878" t="inlineStr">
        <is>
          <t>Barangay 399</t>
        </is>
      </c>
    </row>
    <row r="25879" spans="1:1">
      <c r="A25879" t="inlineStr">
        <is>
          <t>Barangay 4</t>
        </is>
      </c>
    </row>
    <row r="25880" spans="1:1">
      <c r="A25880" t="inlineStr">
        <is>
          <t>Barangay 400</t>
        </is>
      </c>
    </row>
    <row r="25881" spans="1:1">
      <c r="A25881" t="inlineStr">
        <is>
          <t>Barangay 401</t>
        </is>
      </c>
    </row>
    <row r="25882" spans="1:1">
      <c r="A25882" t="inlineStr">
        <is>
          <t>Barangay 402</t>
        </is>
      </c>
    </row>
    <row r="25883" spans="1:1">
      <c r="A25883" t="inlineStr">
        <is>
          <t>Barangay 403</t>
        </is>
      </c>
    </row>
    <row r="25884" spans="1:1">
      <c r="A25884" t="inlineStr">
        <is>
          <t>Barangay 404</t>
        </is>
      </c>
    </row>
    <row r="25885" spans="1:1">
      <c r="A25885" t="inlineStr">
        <is>
          <t>Barangay 405</t>
        </is>
      </c>
    </row>
    <row r="25886" spans="1:1">
      <c r="A25886" t="inlineStr">
        <is>
          <t>Barangay 406</t>
        </is>
      </c>
    </row>
    <row r="25887" spans="1:1">
      <c r="A25887" t="inlineStr">
        <is>
          <t>Barangay 407</t>
        </is>
      </c>
    </row>
    <row r="25888" spans="1:1">
      <c r="A25888" t="inlineStr">
        <is>
          <t>Barangay 408</t>
        </is>
      </c>
    </row>
    <row r="25889" spans="1:1">
      <c r="A25889" t="inlineStr">
        <is>
          <t>Barangay 409</t>
        </is>
      </c>
    </row>
    <row r="25890" spans="1:1">
      <c r="A25890" t="inlineStr">
        <is>
          <t>Barangay 41</t>
        </is>
      </c>
    </row>
    <row r="25891" spans="1:1">
      <c r="A25891" t="inlineStr">
        <is>
          <t>Barangay 410</t>
        </is>
      </c>
    </row>
    <row r="25892" spans="1:1">
      <c r="A25892" t="inlineStr">
        <is>
          <t>Barangay 411</t>
        </is>
      </c>
    </row>
    <row r="25893" spans="1:1">
      <c r="A25893" t="inlineStr">
        <is>
          <t>Barangay 412</t>
        </is>
      </c>
    </row>
    <row r="25894" spans="1:1">
      <c r="A25894" t="inlineStr">
        <is>
          <t>Barangay 413</t>
        </is>
      </c>
    </row>
    <row r="25895" spans="1:1">
      <c r="A25895" t="inlineStr">
        <is>
          <t>Barangay 414</t>
        </is>
      </c>
    </row>
    <row r="25896" spans="1:1">
      <c r="A25896" t="inlineStr">
        <is>
          <t>Barangay 415</t>
        </is>
      </c>
    </row>
    <row r="25897" spans="1:1">
      <c r="A25897" t="inlineStr">
        <is>
          <t>Barangay 416</t>
        </is>
      </c>
    </row>
    <row r="25898" spans="1:1">
      <c r="A25898" t="inlineStr">
        <is>
          <t>Barangay 417</t>
        </is>
      </c>
    </row>
    <row r="25899" spans="1:1">
      <c r="A25899" t="inlineStr">
        <is>
          <t>Barangay 418</t>
        </is>
      </c>
    </row>
    <row r="25900" spans="1:1">
      <c r="A25900" t="inlineStr">
        <is>
          <t>Barangay 419</t>
        </is>
      </c>
    </row>
    <row r="25901" spans="1:1">
      <c r="A25901" t="inlineStr">
        <is>
          <t>Barangay 42</t>
        </is>
      </c>
    </row>
    <row r="25902" spans="1:1">
      <c r="A25902" t="inlineStr">
        <is>
          <t>Barangay 420</t>
        </is>
      </c>
    </row>
    <row r="25903" spans="1:1">
      <c r="A25903" t="inlineStr">
        <is>
          <t>Barangay 421</t>
        </is>
      </c>
    </row>
    <row r="25904" spans="1:1">
      <c r="A25904" t="inlineStr">
        <is>
          <t>Barangay 422</t>
        </is>
      </c>
    </row>
    <row r="25905" spans="1:1">
      <c r="A25905" t="inlineStr">
        <is>
          <t>Barangay 423</t>
        </is>
      </c>
    </row>
    <row r="25906" spans="1:1">
      <c r="A25906" t="inlineStr">
        <is>
          <t>Barangay 424</t>
        </is>
      </c>
    </row>
    <row r="25907" spans="1:1">
      <c r="A25907" t="inlineStr">
        <is>
          <t>Barangay 425</t>
        </is>
      </c>
    </row>
    <row r="25908" spans="1:1">
      <c r="A25908" t="inlineStr">
        <is>
          <t>Barangay 426</t>
        </is>
      </c>
    </row>
    <row r="25909" spans="1:1">
      <c r="A25909" t="inlineStr">
        <is>
          <t>Barangay 427</t>
        </is>
      </c>
    </row>
    <row r="25910" spans="1:1">
      <c r="A25910" t="inlineStr">
        <is>
          <t>Barangay 428</t>
        </is>
      </c>
    </row>
    <row r="25911" spans="1:1">
      <c r="A25911" t="inlineStr">
        <is>
          <t>Barangay 429</t>
        </is>
      </c>
    </row>
    <row r="25912" spans="1:1">
      <c r="A25912" t="inlineStr">
        <is>
          <t>Barangay 43</t>
        </is>
      </c>
    </row>
    <row r="25913" spans="1:1">
      <c r="A25913" t="inlineStr">
        <is>
          <t>Barangay 430</t>
        </is>
      </c>
    </row>
    <row r="25914" spans="1:1">
      <c r="A25914" t="inlineStr">
        <is>
          <t>Barangay 431</t>
        </is>
      </c>
    </row>
    <row r="25915" spans="1:1">
      <c r="A25915" t="inlineStr">
        <is>
          <t>Barangay 432</t>
        </is>
      </c>
    </row>
    <row r="25916" spans="1:1">
      <c r="A25916" t="inlineStr">
        <is>
          <t>Barangay 433</t>
        </is>
      </c>
    </row>
    <row r="25917" spans="1:1">
      <c r="A25917" t="inlineStr">
        <is>
          <t>Barangay 434</t>
        </is>
      </c>
    </row>
    <row r="25918" spans="1:1">
      <c r="A25918" t="inlineStr">
        <is>
          <t>Barangay 435</t>
        </is>
      </c>
    </row>
    <row r="25919" spans="1:1">
      <c r="A25919" t="inlineStr">
        <is>
          <t>Barangay 436</t>
        </is>
      </c>
    </row>
    <row r="25920" spans="1:1">
      <c r="A25920" t="inlineStr">
        <is>
          <t>Barangay 437</t>
        </is>
      </c>
    </row>
    <row r="25921" spans="1:1">
      <c r="A25921" t="inlineStr">
        <is>
          <t>Barangay 438</t>
        </is>
      </c>
    </row>
    <row r="25922" spans="1:1">
      <c r="A25922" t="inlineStr">
        <is>
          <t>Barangay 439</t>
        </is>
      </c>
    </row>
    <row r="25923" spans="1:1">
      <c r="A25923" t="inlineStr">
        <is>
          <t>Barangay 44</t>
        </is>
      </c>
    </row>
    <row r="25924" spans="1:1">
      <c r="A25924" t="inlineStr">
        <is>
          <t>Barangay 440</t>
        </is>
      </c>
    </row>
    <row r="25925" spans="1:1">
      <c r="A25925" t="inlineStr">
        <is>
          <t>Barangay 441</t>
        </is>
      </c>
    </row>
    <row r="25926" spans="1:1">
      <c r="A25926" t="inlineStr">
        <is>
          <t>Barangay 442</t>
        </is>
      </c>
    </row>
    <row r="25927" spans="1:1">
      <c r="A25927" t="inlineStr">
        <is>
          <t>Barangay 443</t>
        </is>
      </c>
    </row>
    <row r="25928" spans="1:1">
      <c r="A25928" t="inlineStr">
        <is>
          <t>Barangay 444</t>
        </is>
      </c>
    </row>
    <row r="25929" spans="1:1">
      <c r="A25929" t="inlineStr">
        <is>
          <t>Barangay 445</t>
        </is>
      </c>
    </row>
    <row r="25930" spans="1:1">
      <c r="A25930" t="inlineStr">
        <is>
          <t>Barangay 446</t>
        </is>
      </c>
    </row>
    <row r="25931" spans="1:1">
      <c r="A25931" t="inlineStr">
        <is>
          <t>Barangay 447</t>
        </is>
      </c>
    </row>
    <row r="25932" spans="1:1">
      <c r="A25932" t="inlineStr">
        <is>
          <t>Barangay 448</t>
        </is>
      </c>
    </row>
    <row r="25933" spans="1:1">
      <c r="A25933" t="inlineStr">
        <is>
          <t>Barangay 449</t>
        </is>
      </c>
    </row>
    <row r="25934" spans="1:1">
      <c r="A25934" t="inlineStr">
        <is>
          <t>Barangay 45</t>
        </is>
      </c>
    </row>
    <row r="25935" spans="1:1">
      <c r="A25935" t="inlineStr">
        <is>
          <t>Barangay 450</t>
        </is>
      </c>
    </row>
    <row r="25936" spans="1:1">
      <c r="A25936" t="inlineStr">
        <is>
          <t>Barangay 451</t>
        </is>
      </c>
    </row>
    <row r="25937" spans="1:1">
      <c r="A25937" t="inlineStr">
        <is>
          <t>Barangay 452</t>
        </is>
      </c>
    </row>
    <row r="25938" spans="1:1">
      <c r="A25938" t="inlineStr">
        <is>
          <t>Barangay 453</t>
        </is>
      </c>
    </row>
    <row r="25939" spans="1:1">
      <c r="A25939" t="inlineStr">
        <is>
          <t>Barangay 454</t>
        </is>
      </c>
    </row>
    <row r="25940" spans="1:1">
      <c r="A25940" t="inlineStr">
        <is>
          <t>Barangay 455</t>
        </is>
      </c>
    </row>
    <row r="25941" spans="1:1">
      <c r="A25941" t="inlineStr">
        <is>
          <t>Barangay 456</t>
        </is>
      </c>
    </row>
    <row r="25942" spans="1:1">
      <c r="A25942" t="inlineStr">
        <is>
          <t>Barangay 457</t>
        </is>
      </c>
    </row>
    <row r="25943" spans="1:1">
      <c r="A25943" t="inlineStr">
        <is>
          <t>Barangay 458</t>
        </is>
      </c>
    </row>
    <row r="25944" spans="1:1">
      <c r="A25944" t="inlineStr">
        <is>
          <t>Barangay 459</t>
        </is>
      </c>
    </row>
    <row r="25945" spans="1:1">
      <c r="A25945" t="inlineStr">
        <is>
          <t>Barangay 46</t>
        </is>
      </c>
    </row>
    <row r="25946" spans="1:1">
      <c r="A25946" t="inlineStr">
        <is>
          <t>Barangay 460</t>
        </is>
      </c>
    </row>
    <row r="25947" spans="1:1">
      <c r="A25947" t="inlineStr">
        <is>
          <t>Barangay 461</t>
        </is>
      </c>
    </row>
    <row r="25948" spans="1:1">
      <c r="A25948" t="inlineStr">
        <is>
          <t>Barangay 462</t>
        </is>
      </c>
    </row>
    <row r="25949" spans="1:1">
      <c r="A25949" t="inlineStr">
        <is>
          <t>Barangay 463</t>
        </is>
      </c>
    </row>
    <row r="25950" spans="1:1">
      <c r="A25950" t="inlineStr">
        <is>
          <t>Barangay 464</t>
        </is>
      </c>
    </row>
    <row r="25951" spans="1:1">
      <c r="A25951" t="inlineStr">
        <is>
          <t>Barangay 465</t>
        </is>
      </c>
    </row>
    <row r="25952" spans="1:1">
      <c r="A25952" t="inlineStr">
        <is>
          <t>Barangay 466</t>
        </is>
      </c>
    </row>
    <row r="25953" spans="1:1">
      <c r="A25953" t="inlineStr">
        <is>
          <t>Barangay 467</t>
        </is>
      </c>
    </row>
    <row r="25954" spans="1:1">
      <c r="A25954" t="inlineStr">
        <is>
          <t>Barangay 468</t>
        </is>
      </c>
    </row>
    <row r="25955" spans="1:1">
      <c r="A25955" t="inlineStr">
        <is>
          <t>Barangay 469</t>
        </is>
      </c>
    </row>
    <row r="25956" spans="1:1">
      <c r="A25956" t="inlineStr">
        <is>
          <t>Barangay 47</t>
        </is>
      </c>
    </row>
    <row r="25957" spans="1:1">
      <c r="A25957" t="inlineStr">
        <is>
          <t>Barangay 470</t>
        </is>
      </c>
    </row>
    <row r="25958" spans="1:1">
      <c r="A25958" t="inlineStr">
        <is>
          <t>Barangay 471</t>
        </is>
      </c>
    </row>
    <row r="25959" spans="1:1">
      <c r="A25959" t="inlineStr">
        <is>
          <t>Barangay 472</t>
        </is>
      </c>
    </row>
    <row r="25960" spans="1:1">
      <c r="A25960" t="inlineStr">
        <is>
          <t>Barangay 473</t>
        </is>
      </c>
    </row>
    <row r="25961" spans="1:1">
      <c r="A25961" t="inlineStr">
        <is>
          <t>Barangay 474</t>
        </is>
      </c>
    </row>
    <row r="25962" spans="1:1">
      <c r="A25962" t="inlineStr">
        <is>
          <t>Barangay 475</t>
        </is>
      </c>
    </row>
    <row r="25963" spans="1:1">
      <c r="A25963" t="inlineStr">
        <is>
          <t>Barangay 476</t>
        </is>
      </c>
    </row>
    <row r="25964" spans="1:1">
      <c r="A25964" t="inlineStr">
        <is>
          <t>Barangay 477</t>
        </is>
      </c>
    </row>
    <row r="25965" spans="1:1">
      <c r="A25965" t="inlineStr">
        <is>
          <t>Barangay 478</t>
        </is>
      </c>
    </row>
    <row r="25966" spans="1:1">
      <c r="A25966" t="inlineStr">
        <is>
          <t>Barangay 479</t>
        </is>
      </c>
    </row>
    <row r="25967" spans="1:1">
      <c r="A25967" t="inlineStr">
        <is>
          <t>Barangay 48</t>
        </is>
      </c>
    </row>
    <row r="25968" spans="1:1">
      <c r="A25968" t="inlineStr">
        <is>
          <t>Barangay 480</t>
        </is>
      </c>
    </row>
    <row r="25969" spans="1:1">
      <c r="A25969" t="inlineStr">
        <is>
          <t>Barangay 481</t>
        </is>
      </c>
    </row>
    <row r="25970" spans="1:1">
      <c r="A25970" t="inlineStr">
        <is>
          <t>Barangay 482</t>
        </is>
      </c>
    </row>
    <row r="25971" spans="1:1">
      <c r="A25971" t="inlineStr">
        <is>
          <t>Barangay 483</t>
        </is>
      </c>
    </row>
    <row r="25972" spans="1:1">
      <c r="A25972" t="inlineStr">
        <is>
          <t>Barangay 484</t>
        </is>
      </c>
    </row>
    <row r="25973" spans="1:1">
      <c r="A25973" t="inlineStr">
        <is>
          <t>Barangay 485</t>
        </is>
      </c>
    </row>
    <row r="25974" spans="1:1">
      <c r="A25974" t="inlineStr">
        <is>
          <t>Barangay 486</t>
        </is>
      </c>
    </row>
    <row r="25975" spans="1:1">
      <c r="A25975" t="inlineStr">
        <is>
          <t>Barangay 487</t>
        </is>
      </c>
    </row>
    <row r="25976" spans="1:1">
      <c r="A25976" t="inlineStr">
        <is>
          <t>Barangay 488</t>
        </is>
      </c>
    </row>
    <row r="25977" spans="1:1">
      <c r="A25977" t="inlineStr">
        <is>
          <t>Barangay 489</t>
        </is>
      </c>
    </row>
    <row r="25978" spans="1:1">
      <c r="A25978" t="inlineStr">
        <is>
          <t>Barangay 49</t>
        </is>
      </c>
    </row>
    <row r="25979" spans="1:1">
      <c r="A25979" t="inlineStr">
        <is>
          <t>Barangay 490</t>
        </is>
      </c>
    </row>
    <row r="25980" spans="1:1">
      <c r="A25980" t="inlineStr">
        <is>
          <t>Barangay 491</t>
        </is>
      </c>
    </row>
    <row r="25981" spans="1:1">
      <c r="A25981" t="inlineStr">
        <is>
          <t>Barangay 492</t>
        </is>
      </c>
    </row>
    <row r="25982" spans="1:1">
      <c r="A25982" t="inlineStr">
        <is>
          <t>Barangay 493</t>
        </is>
      </c>
    </row>
    <row r="25983" spans="1:1">
      <c r="A25983" t="inlineStr">
        <is>
          <t>Barangay 494</t>
        </is>
      </c>
    </row>
    <row r="25984" spans="1:1">
      <c r="A25984" t="inlineStr">
        <is>
          <t>Barangay 495</t>
        </is>
      </c>
    </row>
    <row r="25985" spans="1:1">
      <c r="A25985" t="inlineStr">
        <is>
          <t>Barangay 496</t>
        </is>
      </c>
    </row>
    <row r="25986" spans="1:1">
      <c r="A25986" t="inlineStr">
        <is>
          <t>Barangay 497</t>
        </is>
      </c>
    </row>
    <row r="25987" spans="1:1">
      <c r="A25987" t="inlineStr">
        <is>
          <t>Barangay 498</t>
        </is>
      </c>
    </row>
    <row r="25988" spans="1:1">
      <c r="A25988" t="inlineStr">
        <is>
          <t>Barangay 499</t>
        </is>
      </c>
    </row>
    <row r="25989" spans="1:1">
      <c r="A25989" t="inlineStr">
        <is>
          <t>Barangay 5</t>
        </is>
      </c>
    </row>
    <row r="25990" spans="1:1">
      <c r="A25990" t="inlineStr">
        <is>
          <t>Barangay 50</t>
        </is>
      </c>
    </row>
    <row r="25991" spans="1:1">
      <c r="A25991" t="inlineStr">
        <is>
          <t>Barangay 500</t>
        </is>
      </c>
    </row>
    <row r="25992" spans="1:1">
      <c r="A25992" t="inlineStr">
        <is>
          <t>Barangay 501</t>
        </is>
      </c>
    </row>
    <row r="25993" spans="1:1">
      <c r="A25993" t="inlineStr">
        <is>
          <t>Barangay 502</t>
        </is>
      </c>
    </row>
    <row r="25994" spans="1:1">
      <c r="A25994" t="inlineStr">
        <is>
          <t>Barangay 503</t>
        </is>
      </c>
    </row>
    <row r="25995" spans="1:1">
      <c r="A25995" t="inlineStr">
        <is>
          <t>Barangay 504</t>
        </is>
      </c>
    </row>
    <row r="25996" spans="1:1">
      <c r="A25996" t="inlineStr">
        <is>
          <t>Barangay 505</t>
        </is>
      </c>
    </row>
    <row r="25997" spans="1:1">
      <c r="A25997" t="inlineStr">
        <is>
          <t>Barangay 506</t>
        </is>
      </c>
    </row>
    <row r="25998" spans="1:1">
      <c r="A25998" t="inlineStr">
        <is>
          <t>Barangay 507</t>
        </is>
      </c>
    </row>
    <row r="25999" spans="1:1">
      <c r="A25999" t="inlineStr">
        <is>
          <t>Barangay 508</t>
        </is>
      </c>
    </row>
    <row r="26000" spans="1:1">
      <c r="A26000" t="inlineStr">
        <is>
          <t>Barangay 509</t>
        </is>
      </c>
    </row>
    <row r="26001" spans="1:1">
      <c r="A26001" t="inlineStr">
        <is>
          <t>Barangay 51</t>
        </is>
      </c>
    </row>
    <row r="26002" spans="1:1">
      <c r="A26002" t="inlineStr">
        <is>
          <t>Barangay 510</t>
        </is>
      </c>
    </row>
    <row r="26003" spans="1:1">
      <c r="A26003" t="inlineStr">
        <is>
          <t>Barangay 511</t>
        </is>
      </c>
    </row>
    <row r="26004" spans="1:1">
      <c r="A26004" t="inlineStr">
        <is>
          <t>Barangay 512</t>
        </is>
      </c>
    </row>
    <row r="26005" spans="1:1">
      <c r="A26005" t="inlineStr">
        <is>
          <t>Barangay 513</t>
        </is>
      </c>
    </row>
    <row r="26006" spans="1:1">
      <c r="A26006" t="inlineStr">
        <is>
          <t>Barangay 514</t>
        </is>
      </c>
    </row>
    <row r="26007" spans="1:1">
      <c r="A26007" t="inlineStr">
        <is>
          <t>Barangay 515</t>
        </is>
      </c>
    </row>
    <row r="26008" spans="1:1">
      <c r="A26008" t="inlineStr">
        <is>
          <t>Barangay 516</t>
        </is>
      </c>
    </row>
    <row r="26009" spans="1:1">
      <c r="A26009" t="inlineStr">
        <is>
          <t>Barangay 517</t>
        </is>
      </c>
    </row>
    <row r="26010" spans="1:1">
      <c r="A26010" t="inlineStr">
        <is>
          <t>Barangay 518</t>
        </is>
      </c>
    </row>
    <row r="26011" spans="1:1">
      <c r="A26011" t="inlineStr">
        <is>
          <t>Barangay 519</t>
        </is>
      </c>
    </row>
    <row r="26012" spans="1:1">
      <c r="A26012" t="inlineStr">
        <is>
          <t>Barangay 52</t>
        </is>
      </c>
    </row>
    <row r="26013" spans="1:1">
      <c r="A26013" t="inlineStr">
        <is>
          <t>Barangay 520</t>
        </is>
      </c>
    </row>
    <row r="26014" spans="1:1">
      <c r="A26014" t="inlineStr">
        <is>
          <t>Barangay 521</t>
        </is>
      </c>
    </row>
    <row r="26015" spans="1:1">
      <c r="A26015" t="inlineStr">
        <is>
          <t>Barangay 522</t>
        </is>
      </c>
    </row>
    <row r="26016" spans="1:1">
      <c r="A26016" t="inlineStr">
        <is>
          <t>Barangay 523</t>
        </is>
      </c>
    </row>
    <row r="26017" spans="1:1">
      <c r="A26017" t="inlineStr">
        <is>
          <t>Barangay 524</t>
        </is>
      </c>
    </row>
    <row r="26018" spans="1:1">
      <c r="A26018" t="inlineStr">
        <is>
          <t>Barangay 525</t>
        </is>
      </c>
    </row>
    <row r="26019" spans="1:1">
      <c r="A26019" t="inlineStr">
        <is>
          <t>Barangay 526</t>
        </is>
      </c>
    </row>
    <row r="26020" spans="1:1">
      <c r="A26020" t="inlineStr">
        <is>
          <t>Barangay 527</t>
        </is>
      </c>
    </row>
    <row r="26021" spans="1:1">
      <c r="A26021" t="inlineStr">
        <is>
          <t>Barangay 528</t>
        </is>
      </c>
    </row>
    <row r="26022" spans="1:1">
      <c r="A26022" t="inlineStr">
        <is>
          <t>Barangay 529</t>
        </is>
      </c>
    </row>
    <row r="26023" spans="1:1">
      <c r="A26023" t="inlineStr">
        <is>
          <t>Barangay 53</t>
        </is>
      </c>
    </row>
    <row r="26024" spans="1:1">
      <c r="A26024" t="inlineStr">
        <is>
          <t>Barangay 530</t>
        </is>
      </c>
    </row>
    <row r="26025" spans="1:1">
      <c r="A26025" t="inlineStr">
        <is>
          <t>Barangay 531</t>
        </is>
      </c>
    </row>
    <row r="26026" spans="1:1">
      <c r="A26026" t="inlineStr">
        <is>
          <t>Barangay 532</t>
        </is>
      </c>
    </row>
    <row r="26027" spans="1:1">
      <c r="A26027" t="inlineStr">
        <is>
          <t>Barangay 533</t>
        </is>
      </c>
    </row>
    <row r="26028" spans="1:1">
      <c r="A26028" t="inlineStr">
        <is>
          <t>Barangay 534</t>
        </is>
      </c>
    </row>
    <row r="26029" spans="1:1">
      <c r="A26029" t="inlineStr">
        <is>
          <t>Barangay 535</t>
        </is>
      </c>
    </row>
    <row r="26030" spans="1:1">
      <c r="A26030" t="inlineStr">
        <is>
          <t>Barangay 536</t>
        </is>
      </c>
    </row>
    <row r="26031" spans="1:1">
      <c r="A26031" t="inlineStr">
        <is>
          <t>Barangay 537</t>
        </is>
      </c>
    </row>
    <row r="26032" spans="1:1">
      <c r="A26032" t="inlineStr">
        <is>
          <t>Barangay 538</t>
        </is>
      </c>
    </row>
    <row r="26033" spans="1:1">
      <c r="A26033" t="inlineStr">
        <is>
          <t>Barangay 539</t>
        </is>
      </c>
    </row>
    <row r="26034" spans="1:1">
      <c r="A26034" t="inlineStr">
        <is>
          <t>Barangay 54</t>
        </is>
      </c>
    </row>
    <row r="26035" spans="1:1">
      <c r="A26035" t="inlineStr">
        <is>
          <t>Barangay 540</t>
        </is>
      </c>
    </row>
    <row r="26036" spans="1:1">
      <c r="A26036" t="inlineStr">
        <is>
          <t>Barangay 541</t>
        </is>
      </c>
    </row>
    <row r="26037" spans="1:1">
      <c r="A26037" t="inlineStr">
        <is>
          <t>Barangay 542</t>
        </is>
      </c>
    </row>
    <row r="26038" spans="1:1">
      <c r="A26038" t="inlineStr">
        <is>
          <t>Barangay 543</t>
        </is>
      </c>
    </row>
    <row r="26039" spans="1:1">
      <c r="A26039" t="inlineStr">
        <is>
          <t>Barangay 544</t>
        </is>
      </c>
    </row>
    <row r="26040" spans="1:1">
      <c r="A26040" t="inlineStr">
        <is>
          <t>Barangay 545</t>
        </is>
      </c>
    </row>
    <row r="26041" spans="1:1">
      <c r="A26041" t="inlineStr">
        <is>
          <t>Barangay 546</t>
        </is>
      </c>
    </row>
    <row r="26042" spans="1:1">
      <c r="A26042" t="inlineStr">
        <is>
          <t>Barangay 547</t>
        </is>
      </c>
    </row>
    <row r="26043" spans="1:1">
      <c r="A26043" t="inlineStr">
        <is>
          <t>Barangay 548</t>
        </is>
      </c>
    </row>
    <row r="26044" spans="1:1">
      <c r="A26044" t="inlineStr">
        <is>
          <t>Barangay 549</t>
        </is>
      </c>
    </row>
    <row r="26045" spans="1:1">
      <c r="A26045" t="inlineStr">
        <is>
          <t>Barangay 55</t>
        </is>
      </c>
    </row>
    <row r="26046" spans="1:1">
      <c r="A26046" t="inlineStr">
        <is>
          <t>Barangay 550</t>
        </is>
      </c>
    </row>
    <row r="26047" spans="1:1">
      <c r="A26047" t="inlineStr">
        <is>
          <t>Barangay 551</t>
        </is>
      </c>
    </row>
    <row r="26048" spans="1:1">
      <c r="A26048" t="inlineStr">
        <is>
          <t>Barangay 552</t>
        </is>
      </c>
    </row>
    <row r="26049" spans="1:1">
      <c r="A26049" t="inlineStr">
        <is>
          <t>Barangay 553</t>
        </is>
      </c>
    </row>
    <row r="26050" spans="1:1">
      <c r="A26050" t="inlineStr">
        <is>
          <t>Barangay 554</t>
        </is>
      </c>
    </row>
    <row r="26051" spans="1:1">
      <c r="A26051" t="inlineStr">
        <is>
          <t>Barangay 555</t>
        </is>
      </c>
    </row>
    <row r="26052" spans="1:1">
      <c r="A26052" t="inlineStr">
        <is>
          <t>Barangay 556</t>
        </is>
      </c>
    </row>
    <row r="26053" spans="1:1">
      <c r="A26053" t="inlineStr">
        <is>
          <t>Barangay 557</t>
        </is>
      </c>
    </row>
    <row r="26054" spans="1:1">
      <c r="A26054" t="inlineStr">
        <is>
          <t>Barangay 558</t>
        </is>
      </c>
    </row>
    <row r="26055" spans="1:1">
      <c r="A26055" t="inlineStr">
        <is>
          <t>Barangay 559</t>
        </is>
      </c>
    </row>
    <row r="26056" spans="1:1">
      <c r="A26056" t="inlineStr">
        <is>
          <t>Barangay 56</t>
        </is>
      </c>
    </row>
    <row r="26057" spans="1:1">
      <c r="A26057" t="inlineStr">
        <is>
          <t>Barangay 560</t>
        </is>
      </c>
    </row>
    <row r="26058" spans="1:1">
      <c r="A26058" t="inlineStr">
        <is>
          <t>Barangay 561</t>
        </is>
      </c>
    </row>
    <row r="26059" spans="1:1">
      <c r="A26059" t="inlineStr">
        <is>
          <t>Barangay 562</t>
        </is>
      </c>
    </row>
    <row r="26060" spans="1:1">
      <c r="A26060" t="inlineStr">
        <is>
          <t>Barangay 563</t>
        </is>
      </c>
    </row>
    <row r="26061" spans="1:1">
      <c r="A26061" t="inlineStr">
        <is>
          <t>Barangay 564</t>
        </is>
      </c>
    </row>
    <row r="26062" spans="1:1">
      <c r="A26062" t="inlineStr">
        <is>
          <t>Barangay 565</t>
        </is>
      </c>
    </row>
    <row r="26063" spans="1:1">
      <c r="A26063" t="inlineStr">
        <is>
          <t>Barangay 566</t>
        </is>
      </c>
    </row>
    <row r="26064" spans="1:1">
      <c r="A26064" t="inlineStr">
        <is>
          <t>Barangay 567</t>
        </is>
      </c>
    </row>
    <row r="26065" spans="1:1">
      <c r="A26065" t="inlineStr">
        <is>
          <t>Barangay 568</t>
        </is>
      </c>
    </row>
    <row r="26066" spans="1:1">
      <c r="A26066" t="inlineStr">
        <is>
          <t>Barangay 569</t>
        </is>
      </c>
    </row>
    <row r="26067" spans="1:1">
      <c r="A26067" t="inlineStr">
        <is>
          <t>Barangay 57</t>
        </is>
      </c>
    </row>
    <row r="26068" spans="1:1">
      <c r="A26068" t="inlineStr">
        <is>
          <t>Barangay 570</t>
        </is>
      </c>
    </row>
    <row r="26069" spans="1:1">
      <c r="A26069" t="inlineStr">
        <is>
          <t>Barangay 571</t>
        </is>
      </c>
    </row>
    <row r="26070" spans="1:1">
      <c r="A26070" t="inlineStr">
        <is>
          <t>Barangay 572</t>
        </is>
      </c>
    </row>
    <row r="26071" spans="1:1">
      <c r="A26071" t="inlineStr">
        <is>
          <t>Barangay 573</t>
        </is>
      </c>
    </row>
    <row r="26072" spans="1:1">
      <c r="A26072" t="inlineStr">
        <is>
          <t>Barangay 574</t>
        </is>
      </c>
    </row>
    <row r="26073" spans="1:1">
      <c r="A26073" t="inlineStr">
        <is>
          <t>Barangay 575</t>
        </is>
      </c>
    </row>
    <row r="26074" spans="1:1">
      <c r="A26074" t="inlineStr">
        <is>
          <t>Barangay 576</t>
        </is>
      </c>
    </row>
    <row r="26075" spans="1:1">
      <c r="A26075" t="inlineStr">
        <is>
          <t>Barangay 577</t>
        </is>
      </c>
    </row>
    <row r="26076" spans="1:1">
      <c r="A26076" t="inlineStr">
        <is>
          <t>Barangay 578</t>
        </is>
      </c>
    </row>
    <row r="26077" spans="1:1">
      <c r="A26077" t="inlineStr">
        <is>
          <t>Barangay 579</t>
        </is>
      </c>
    </row>
    <row r="26078" spans="1:1">
      <c r="A26078" t="inlineStr">
        <is>
          <t>Barangay 58</t>
        </is>
      </c>
    </row>
    <row r="26079" spans="1:1">
      <c r="A26079" t="inlineStr">
        <is>
          <t>Barangay 580</t>
        </is>
      </c>
    </row>
    <row r="26080" spans="1:1">
      <c r="A26080" t="inlineStr">
        <is>
          <t>Barangay 581</t>
        </is>
      </c>
    </row>
    <row r="26081" spans="1:1">
      <c r="A26081" t="inlineStr">
        <is>
          <t>Barangay 582</t>
        </is>
      </c>
    </row>
    <row r="26082" spans="1:1">
      <c r="A26082" t="inlineStr">
        <is>
          <t>Barangay 583</t>
        </is>
      </c>
    </row>
    <row r="26083" spans="1:1">
      <c r="A26083" t="inlineStr">
        <is>
          <t>Barangay 584</t>
        </is>
      </c>
    </row>
    <row r="26084" spans="1:1">
      <c r="A26084" t="inlineStr">
        <is>
          <t>Barangay 585</t>
        </is>
      </c>
    </row>
    <row r="26085" spans="1:1">
      <c r="A26085" t="inlineStr">
        <is>
          <t>Barangay 586</t>
        </is>
      </c>
    </row>
    <row r="26086" spans="1:1">
      <c r="A26086" t="inlineStr">
        <is>
          <t>Barangay 587</t>
        </is>
      </c>
    </row>
    <row r="26087" spans="1:1">
      <c r="A26087" t="inlineStr">
        <is>
          <t>Barangay 587-A</t>
        </is>
      </c>
    </row>
    <row r="26088" spans="1:1">
      <c r="A26088" t="inlineStr">
        <is>
          <t>Barangay 588</t>
        </is>
      </c>
    </row>
    <row r="26089" spans="1:1">
      <c r="A26089" t="inlineStr">
        <is>
          <t>Barangay 589</t>
        </is>
      </c>
    </row>
    <row r="26090" spans="1:1">
      <c r="A26090" t="inlineStr">
        <is>
          <t>Barangay 59</t>
        </is>
      </c>
    </row>
    <row r="26091" spans="1:1">
      <c r="A26091" t="inlineStr">
        <is>
          <t>Barangay 590</t>
        </is>
      </c>
    </row>
    <row r="26092" spans="1:1">
      <c r="A26092" t="inlineStr">
        <is>
          <t>Barangay 591</t>
        </is>
      </c>
    </row>
    <row r="26093" spans="1:1">
      <c r="A26093" t="inlineStr">
        <is>
          <t>Barangay 592</t>
        </is>
      </c>
    </row>
    <row r="26094" spans="1:1">
      <c r="A26094" t="inlineStr">
        <is>
          <t>Barangay 593</t>
        </is>
      </c>
    </row>
    <row r="26095" spans="1:1">
      <c r="A26095" t="inlineStr">
        <is>
          <t>Barangay 594</t>
        </is>
      </c>
    </row>
    <row r="26096" spans="1:1">
      <c r="A26096" t="inlineStr">
        <is>
          <t>Barangay 595</t>
        </is>
      </c>
    </row>
    <row r="26097" spans="1:1">
      <c r="A26097" t="inlineStr">
        <is>
          <t>Barangay 596</t>
        </is>
      </c>
    </row>
    <row r="26098" spans="1:1">
      <c r="A26098" t="inlineStr">
        <is>
          <t>Barangay 597</t>
        </is>
      </c>
    </row>
    <row r="26099" spans="1:1">
      <c r="A26099" t="inlineStr">
        <is>
          <t>Barangay 598</t>
        </is>
      </c>
    </row>
    <row r="26100" spans="1:1">
      <c r="A26100" t="inlineStr">
        <is>
          <t>Barangay 599</t>
        </is>
      </c>
    </row>
    <row r="26101" spans="1:1">
      <c r="A26101" t="inlineStr">
        <is>
          <t>Barangay 6</t>
        </is>
      </c>
    </row>
    <row r="26102" spans="1:1">
      <c r="A26102" t="inlineStr">
        <is>
          <t>Barangay 60</t>
        </is>
      </c>
    </row>
    <row r="26103" spans="1:1">
      <c r="A26103" t="inlineStr">
        <is>
          <t>Barangay 600</t>
        </is>
      </c>
    </row>
    <row r="26104" spans="1:1">
      <c r="A26104" t="inlineStr">
        <is>
          <t>Barangay 601</t>
        </is>
      </c>
    </row>
    <row r="26105" spans="1:1">
      <c r="A26105" t="inlineStr">
        <is>
          <t>Barangay 602</t>
        </is>
      </c>
    </row>
    <row r="26106" spans="1:1">
      <c r="A26106" t="inlineStr">
        <is>
          <t>Barangay 603</t>
        </is>
      </c>
    </row>
    <row r="26107" spans="1:1">
      <c r="A26107" t="inlineStr">
        <is>
          <t>Barangay 604</t>
        </is>
      </c>
    </row>
    <row r="26108" spans="1:1">
      <c r="A26108" t="inlineStr">
        <is>
          <t>Barangay 605</t>
        </is>
      </c>
    </row>
    <row r="26109" spans="1:1">
      <c r="A26109" t="inlineStr">
        <is>
          <t>Barangay 606</t>
        </is>
      </c>
    </row>
    <row r="26110" spans="1:1">
      <c r="A26110" t="inlineStr">
        <is>
          <t>Barangay 607</t>
        </is>
      </c>
    </row>
    <row r="26111" spans="1:1">
      <c r="A26111" t="inlineStr">
        <is>
          <t>Barangay 608</t>
        </is>
      </c>
    </row>
    <row r="26112" spans="1:1">
      <c r="A26112" t="inlineStr">
        <is>
          <t>Barangay 609</t>
        </is>
      </c>
    </row>
    <row r="26113" spans="1:1">
      <c r="A26113" t="inlineStr">
        <is>
          <t>Barangay 61</t>
        </is>
      </c>
    </row>
    <row r="26114" spans="1:1">
      <c r="A26114" t="inlineStr">
        <is>
          <t>Barangay 610</t>
        </is>
      </c>
    </row>
    <row r="26115" spans="1:1">
      <c r="A26115" t="inlineStr">
        <is>
          <t>Barangay 611</t>
        </is>
      </c>
    </row>
    <row r="26116" spans="1:1">
      <c r="A26116" t="inlineStr">
        <is>
          <t>Barangay 612</t>
        </is>
      </c>
    </row>
    <row r="26117" spans="1:1">
      <c r="A26117" t="inlineStr">
        <is>
          <t>Barangay 613</t>
        </is>
      </c>
    </row>
    <row r="26118" spans="1:1">
      <c r="A26118" t="inlineStr">
        <is>
          <t>Barangay 614</t>
        </is>
      </c>
    </row>
    <row r="26119" spans="1:1">
      <c r="A26119" t="inlineStr">
        <is>
          <t>Barangay 615</t>
        </is>
      </c>
    </row>
    <row r="26120" spans="1:1">
      <c r="A26120" t="inlineStr">
        <is>
          <t>Barangay 616</t>
        </is>
      </c>
    </row>
    <row r="26121" spans="1:1">
      <c r="A26121" t="inlineStr">
        <is>
          <t>Barangay 617</t>
        </is>
      </c>
    </row>
    <row r="26122" spans="1:1">
      <c r="A26122" t="inlineStr">
        <is>
          <t>Barangay 618</t>
        </is>
      </c>
    </row>
    <row r="26123" spans="1:1">
      <c r="A26123" t="inlineStr">
        <is>
          <t>Barangay 619</t>
        </is>
      </c>
    </row>
    <row r="26124" spans="1:1">
      <c r="A26124" t="inlineStr">
        <is>
          <t>Barangay 62</t>
        </is>
      </c>
    </row>
    <row r="26125" spans="1:1">
      <c r="A26125" t="inlineStr">
        <is>
          <t>Barangay 620</t>
        </is>
      </c>
    </row>
    <row r="26126" spans="1:1">
      <c r="A26126" t="inlineStr">
        <is>
          <t>Barangay 621</t>
        </is>
      </c>
    </row>
    <row r="26127" spans="1:1">
      <c r="A26127" t="inlineStr">
        <is>
          <t>Barangay 622</t>
        </is>
      </c>
    </row>
    <row r="26128" spans="1:1">
      <c r="A26128" t="inlineStr">
        <is>
          <t>Barangay 623</t>
        </is>
      </c>
    </row>
    <row r="26129" spans="1:1">
      <c r="A26129" t="inlineStr">
        <is>
          <t>Barangay 624</t>
        </is>
      </c>
    </row>
    <row r="26130" spans="1:1">
      <c r="A26130" t="inlineStr">
        <is>
          <t>Barangay 625</t>
        </is>
      </c>
    </row>
    <row r="26131" spans="1:1">
      <c r="A26131" t="inlineStr">
        <is>
          <t>Barangay 626</t>
        </is>
      </c>
    </row>
    <row r="26132" spans="1:1">
      <c r="A26132" t="inlineStr">
        <is>
          <t>Barangay 627</t>
        </is>
      </c>
    </row>
    <row r="26133" spans="1:1">
      <c r="A26133" t="inlineStr">
        <is>
          <t>Barangay 628</t>
        </is>
      </c>
    </row>
    <row r="26134" spans="1:1">
      <c r="A26134" t="inlineStr">
        <is>
          <t>Barangay 629</t>
        </is>
      </c>
    </row>
    <row r="26135" spans="1:1">
      <c r="A26135" t="inlineStr">
        <is>
          <t>Barangay 63</t>
        </is>
      </c>
    </row>
    <row r="26136" spans="1:1">
      <c r="A26136" t="inlineStr">
        <is>
          <t>Barangay 630</t>
        </is>
      </c>
    </row>
    <row r="26137" spans="1:1">
      <c r="A26137" t="inlineStr">
        <is>
          <t>Barangay 631</t>
        </is>
      </c>
    </row>
    <row r="26138" spans="1:1">
      <c r="A26138" t="inlineStr">
        <is>
          <t>Barangay 632</t>
        </is>
      </c>
    </row>
    <row r="26139" spans="1:1">
      <c r="A26139" t="inlineStr">
        <is>
          <t>Barangay 633</t>
        </is>
      </c>
    </row>
    <row r="26140" spans="1:1">
      <c r="A26140" t="inlineStr">
        <is>
          <t>Barangay 634</t>
        </is>
      </c>
    </row>
    <row r="26141" spans="1:1">
      <c r="A26141" t="inlineStr">
        <is>
          <t>Barangay 635</t>
        </is>
      </c>
    </row>
    <row r="26142" spans="1:1">
      <c r="A26142" t="inlineStr">
        <is>
          <t>Barangay 636</t>
        </is>
      </c>
    </row>
    <row r="26143" spans="1:1">
      <c r="A26143" t="inlineStr">
        <is>
          <t>Barangay 637</t>
        </is>
      </c>
    </row>
    <row r="26144" spans="1:1">
      <c r="A26144" t="inlineStr">
        <is>
          <t>Barangay 638</t>
        </is>
      </c>
    </row>
    <row r="26145" spans="1:1">
      <c r="A26145" t="inlineStr">
        <is>
          <t>Barangay 639</t>
        </is>
      </c>
    </row>
    <row r="26146" spans="1:1">
      <c r="A26146" t="inlineStr">
        <is>
          <t>Barangay 64</t>
        </is>
      </c>
    </row>
    <row r="26147" spans="1:1">
      <c r="A26147" t="inlineStr">
        <is>
          <t>Barangay 640</t>
        </is>
      </c>
    </row>
    <row r="26148" spans="1:1">
      <c r="A26148" t="inlineStr">
        <is>
          <t>Barangay 641</t>
        </is>
      </c>
    </row>
    <row r="26149" spans="1:1">
      <c r="A26149" t="inlineStr">
        <is>
          <t>Barangay 642</t>
        </is>
      </c>
    </row>
    <row r="26150" spans="1:1">
      <c r="A26150" t="inlineStr">
        <is>
          <t>Barangay 643</t>
        </is>
      </c>
    </row>
    <row r="26151" spans="1:1">
      <c r="A26151" t="inlineStr">
        <is>
          <t>Barangay 644</t>
        </is>
      </c>
    </row>
    <row r="26152" spans="1:1">
      <c r="A26152" t="inlineStr">
        <is>
          <t>Barangay 645</t>
        </is>
      </c>
    </row>
    <row r="26153" spans="1:1">
      <c r="A26153" t="inlineStr">
        <is>
          <t>Barangay 646</t>
        </is>
      </c>
    </row>
    <row r="26154" spans="1:1">
      <c r="A26154" t="inlineStr">
        <is>
          <t>Barangay 647</t>
        </is>
      </c>
    </row>
    <row r="26155" spans="1:1">
      <c r="A26155" t="inlineStr">
        <is>
          <t>Barangay 648</t>
        </is>
      </c>
    </row>
    <row r="26156" spans="1:1">
      <c r="A26156" t="inlineStr">
        <is>
          <t>Barangay 649</t>
        </is>
      </c>
    </row>
    <row r="26157" spans="1:1">
      <c r="A26157" t="inlineStr">
        <is>
          <t>Barangay 65</t>
        </is>
      </c>
    </row>
    <row r="26158" spans="1:1">
      <c r="A26158" t="inlineStr">
        <is>
          <t>Barangay 650</t>
        </is>
      </c>
    </row>
    <row r="26159" spans="1:1">
      <c r="A26159" t="inlineStr">
        <is>
          <t>Barangay 651</t>
        </is>
      </c>
    </row>
    <row r="26160" spans="1:1">
      <c r="A26160" t="inlineStr">
        <is>
          <t>Barangay 652</t>
        </is>
      </c>
    </row>
    <row r="26161" spans="1:1">
      <c r="A26161" t="inlineStr">
        <is>
          <t>Barangay 653</t>
        </is>
      </c>
    </row>
    <row r="26162" spans="1:1">
      <c r="A26162" t="inlineStr">
        <is>
          <t>Barangay 654</t>
        </is>
      </c>
    </row>
    <row r="26163" spans="1:1">
      <c r="A26163" t="inlineStr">
        <is>
          <t>Barangay 655</t>
        </is>
      </c>
    </row>
    <row r="26164" spans="1:1">
      <c r="A26164" t="inlineStr">
        <is>
          <t>Barangay 656</t>
        </is>
      </c>
    </row>
    <row r="26165" spans="1:1">
      <c r="A26165" t="inlineStr">
        <is>
          <t>Barangay 657</t>
        </is>
      </c>
    </row>
    <row r="26166" spans="1:1">
      <c r="A26166" t="inlineStr">
        <is>
          <t>Barangay 658</t>
        </is>
      </c>
    </row>
    <row r="26167" spans="1:1">
      <c r="A26167" t="inlineStr">
        <is>
          <t>Barangay 659</t>
        </is>
      </c>
    </row>
    <row r="26168" spans="1:1">
      <c r="A26168" t="inlineStr">
        <is>
          <t>Barangay 659-A</t>
        </is>
      </c>
    </row>
    <row r="26169" spans="1:1">
      <c r="A26169" t="inlineStr">
        <is>
          <t>Barangay 66</t>
        </is>
      </c>
    </row>
    <row r="26170" spans="1:1">
      <c r="A26170" t="inlineStr">
        <is>
          <t>Barangay 660</t>
        </is>
      </c>
    </row>
    <row r="26171" spans="1:1">
      <c r="A26171" t="inlineStr">
        <is>
          <t>Barangay 660-A</t>
        </is>
      </c>
    </row>
    <row r="26172" spans="1:1">
      <c r="A26172" t="inlineStr">
        <is>
          <t>Barangay 661</t>
        </is>
      </c>
    </row>
    <row r="26173" spans="1:1">
      <c r="A26173" t="inlineStr">
        <is>
          <t>Barangay 662</t>
        </is>
      </c>
    </row>
    <row r="26174" spans="1:1">
      <c r="A26174" t="inlineStr">
        <is>
          <t>Barangay 663</t>
        </is>
      </c>
    </row>
    <row r="26175" spans="1:1">
      <c r="A26175" t="inlineStr">
        <is>
          <t>Barangay 663-A</t>
        </is>
      </c>
    </row>
    <row r="26176" spans="1:1">
      <c r="A26176" t="inlineStr">
        <is>
          <t>Barangay 664</t>
        </is>
      </c>
    </row>
    <row r="26177" spans="1:1">
      <c r="A26177" t="inlineStr">
        <is>
          <t>Barangay 664-A</t>
        </is>
      </c>
    </row>
    <row r="26178" spans="1:1">
      <c r="A26178" t="inlineStr">
        <is>
          <t>Barangay 666</t>
        </is>
      </c>
    </row>
    <row r="26179" spans="1:1">
      <c r="A26179" t="inlineStr">
        <is>
          <t>Barangay 667</t>
        </is>
      </c>
    </row>
    <row r="26180" spans="1:1">
      <c r="A26180" t="inlineStr">
        <is>
          <t>Barangay 668</t>
        </is>
      </c>
    </row>
    <row r="26181" spans="1:1">
      <c r="A26181" t="inlineStr">
        <is>
          <t>Barangay 669</t>
        </is>
      </c>
    </row>
    <row r="26182" spans="1:1">
      <c r="A26182" t="inlineStr">
        <is>
          <t>Barangay 67</t>
        </is>
      </c>
    </row>
    <row r="26183" spans="1:1">
      <c r="A26183" t="inlineStr">
        <is>
          <t>Barangay 670</t>
        </is>
      </c>
    </row>
    <row r="26184" spans="1:1">
      <c r="A26184" t="inlineStr">
        <is>
          <t>Barangay 671</t>
        </is>
      </c>
    </row>
    <row r="26185" spans="1:1">
      <c r="A26185" t="inlineStr">
        <is>
          <t>Barangay 672</t>
        </is>
      </c>
    </row>
    <row r="26186" spans="1:1">
      <c r="A26186" t="inlineStr">
        <is>
          <t>Barangay 673</t>
        </is>
      </c>
    </row>
    <row r="26187" spans="1:1">
      <c r="A26187" t="inlineStr">
        <is>
          <t>Barangay 674</t>
        </is>
      </c>
    </row>
    <row r="26188" spans="1:1">
      <c r="A26188" t="inlineStr">
        <is>
          <t>Barangay 675</t>
        </is>
      </c>
    </row>
    <row r="26189" spans="1:1">
      <c r="A26189" t="inlineStr">
        <is>
          <t>Barangay 676</t>
        </is>
      </c>
    </row>
    <row r="26190" spans="1:1">
      <c r="A26190" t="inlineStr">
        <is>
          <t>Barangay 677</t>
        </is>
      </c>
    </row>
    <row r="26191" spans="1:1">
      <c r="A26191" t="inlineStr">
        <is>
          <t>Barangay 678</t>
        </is>
      </c>
    </row>
    <row r="26192" spans="1:1">
      <c r="A26192" t="inlineStr">
        <is>
          <t>Barangay 679</t>
        </is>
      </c>
    </row>
    <row r="26193" spans="1:1">
      <c r="A26193" t="inlineStr">
        <is>
          <t>Barangay 68</t>
        </is>
      </c>
    </row>
    <row r="26194" spans="1:1">
      <c r="A26194" t="inlineStr">
        <is>
          <t>Barangay 680</t>
        </is>
      </c>
    </row>
    <row r="26195" spans="1:1">
      <c r="A26195" t="inlineStr">
        <is>
          <t>Barangay 681</t>
        </is>
      </c>
    </row>
    <row r="26196" spans="1:1">
      <c r="A26196" t="inlineStr">
        <is>
          <t>Barangay 682</t>
        </is>
      </c>
    </row>
    <row r="26197" spans="1:1">
      <c r="A26197" t="inlineStr">
        <is>
          <t>Barangay 683</t>
        </is>
      </c>
    </row>
    <row r="26198" spans="1:1">
      <c r="A26198" t="inlineStr">
        <is>
          <t>Barangay 684</t>
        </is>
      </c>
    </row>
    <row r="26199" spans="1:1">
      <c r="A26199" t="inlineStr">
        <is>
          <t>Barangay 685</t>
        </is>
      </c>
    </row>
    <row r="26200" spans="1:1">
      <c r="A26200" t="inlineStr">
        <is>
          <t>Barangay 686</t>
        </is>
      </c>
    </row>
    <row r="26201" spans="1:1">
      <c r="A26201" t="inlineStr">
        <is>
          <t>Barangay 687</t>
        </is>
      </c>
    </row>
    <row r="26202" spans="1:1">
      <c r="A26202" t="inlineStr">
        <is>
          <t>Barangay 688</t>
        </is>
      </c>
    </row>
    <row r="26203" spans="1:1">
      <c r="A26203" t="inlineStr">
        <is>
          <t>Barangay 689</t>
        </is>
      </c>
    </row>
    <row r="26204" spans="1:1">
      <c r="A26204" t="inlineStr">
        <is>
          <t>Barangay 69</t>
        </is>
      </c>
    </row>
    <row r="26205" spans="1:1">
      <c r="A26205" t="inlineStr">
        <is>
          <t>Barangay 690</t>
        </is>
      </c>
    </row>
    <row r="26206" spans="1:1">
      <c r="A26206" t="inlineStr">
        <is>
          <t>Barangay 691</t>
        </is>
      </c>
    </row>
    <row r="26207" spans="1:1">
      <c r="A26207" t="inlineStr">
        <is>
          <t>Barangay 692</t>
        </is>
      </c>
    </row>
    <row r="26208" spans="1:1">
      <c r="A26208" t="inlineStr">
        <is>
          <t>Barangay 693</t>
        </is>
      </c>
    </row>
    <row r="26209" spans="1:1">
      <c r="A26209" t="inlineStr">
        <is>
          <t>Barangay 694</t>
        </is>
      </c>
    </row>
    <row r="26210" spans="1:1">
      <c r="A26210" t="inlineStr">
        <is>
          <t>Barangay 695</t>
        </is>
      </c>
    </row>
    <row r="26211" spans="1:1">
      <c r="A26211" t="inlineStr">
        <is>
          <t>Barangay 696</t>
        </is>
      </c>
    </row>
    <row r="26212" spans="1:1">
      <c r="A26212" t="inlineStr">
        <is>
          <t>Barangay 697</t>
        </is>
      </c>
    </row>
    <row r="26213" spans="1:1">
      <c r="A26213" t="inlineStr">
        <is>
          <t>Barangay 698</t>
        </is>
      </c>
    </row>
    <row r="26214" spans="1:1">
      <c r="A26214" t="inlineStr">
        <is>
          <t>Barangay 699</t>
        </is>
      </c>
    </row>
    <row r="26215" spans="1:1">
      <c r="A26215" t="inlineStr">
        <is>
          <t>Barangay 7</t>
        </is>
      </c>
    </row>
    <row r="26216" spans="1:1">
      <c r="A26216" t="inlineStr">
        <is>
          <t>Barangay 70</t>
        </is>
      </c>
    </row>
    <row r="26217" spans="1:1">
      <c r="A26217" t="inlineStr">
        <is>
          <t>Barangay 700</t>
        </is>
      </c>
    </row>
    <row r="26218" spans="1:1">
      <c r="A26218" t="inlineStr">
        <is>
          <t>Barangay 701</t>
        </is>
      </c>
    </row>
    <row r="26219" spans="1:1">
      <c r="A26219" t="inlineStr">
        <is>
          <t>Barangay 702</t>
        </is>
      </c>
    </row>
    <row r="26220" spans="1:1">
      <c r="A26220" t="inlineStr">
        <is>
          <t>Barangay 703</t>
        </is>
      </c>
    </row>
    <row r="26221" spans="1:1">
      <c r="A26221" t="inlineStr">
        <is>
          <t>Barangay 704</t>
        </is>
      </c>
    </row>
    <row r="26222" spans="1:1">
      <c r="A26222" t="inlineStr">
        <is>
          <t>Barangay 705</t>
        </is>
      </c>
    </row>
    <row r="26223" spans="1:1">
      <c r="A26223" t="inlineStr">
        <is>
          <t>Barangay 706</t>
        </is>
      </c>
    </row>
    <row r="26224" spans="1:1">
      <c r="A26224" t="inlineStr">
        <is>
          <t>Barangay 707</t>
        </is>
      </c>
    </row>
    <row r="26225" spans="1:1">
      <c r="A26225" t="inlineStr">
        <is>
          <t>Barangay 708</t>
        </is>
      </c>
    </row>
    <row r="26226" spans="1:1">
      <c r="A26226" t="inlineStr">
        <is>
          <t>Barangay 709</t>
        </is>
      </c>
    </row>
    <row r="26227" spans="1:1">
      <c r="A26227" t="inlineStr">
        <is>
          <t>Barangay 71</t>
        </is>
      </c>
    </row>
    <row r="26228" spans="1:1">
      <c r="A26228" t="inlineStr">
        <is>
          <t>Barangay 710</t>
        </is>
      </c>
    </row>
    <row r="26229" spans="1:1">
      <c r="A26229" t="inlineStr">
        <is>
          <t>Barangay 711</t>
        </is>
      </c>
    </row>
    <row r="26230" spans="1:1">
      <c r="A26230" t="inlineStr">
        <is>
          <t>Barangay 712</t>
        </is>
      </c>
    </row>
    <row r="26231" spans="1:1">
      <c r="A26231" t="inlineStr">
        <is>
          <t>Barangay 713</t>
        </is>
      </c>
    </row>
    <row r="26232" spans="1:1">
      <c r="A26232" t="inlineStr">
        <is>
          <t>Barangay 714</t>
        </is>
      </c>
    </row>
    <row r="26233" spans="1:1">
      <c r="A26233" t="inlineStr">
        <is>
          <t>Barangay 715</t>
        </is>
      </c>
    </row>
    <row r="26234" spans="1:1">
      <c r="A26234" t="inlineStr">
        <is>
          <t>Barangay 716</t>
        </is>
      </c>
    </row>
    <row r="26235" spans="1:1">
      <c r="A26235" t="inlineStr">
        <is>
          <t>Barangay 717</t>
        </is>
      </c>
    </row>
    <row r="26236" spans="1:1">
      <c r="A26236" t="inlineStr">
        <is>
          <t>Barangay 718</t>
        </is>
      </c>
    </row>
    <row r="26237" spans="1:1">
      <c r="A26237" t="inlineStr">
        <is>
          <t>Barangay 719</t>
        </is>
      </c>
    </row>
    <row r="26238" spans="1:1">
      <c r="A26238" t="inlineStr">
        <is>
          <t>Barangay 72</t>
        </is>
      </c>
    </row>
    <row r="26239" spans="1:1">
      <c r="A26239" t="inlineStr">
        <is>
          <t>Barangay 720</t>
        </is>
      </c>
    </row>
    <row r="26240" spans="1:1">
      <c r="A26240" t="inlineStr">
        <is>
          <t>Barangay 721</t>
        </is>
      </c>
    </row>
    <row r="26241" spans="1:1">
      <c r="A26241" t="inlineStr">
        <is>
          <t>Barangay 722</t>
        </is>
      </c>
    </row>
    <row r="26242" spans="1:1">
      <c r="A26242" t="inlineStr">
        <is>
          <t>Barangay 723</t>
        </is>
      </c>
    </row>
    <row r="26243" spans="1:1">
      <c r="A26243" t="inlineStr">
        <is>
          <t>Barangay 724</t>
        </is>
      </c>
    </row>
    <row r="26244" spans="1:1">
      <c r="A26244" t="inlineStr">
        <is>
          <t>Barangay 725</t>
        </is>
      </c>
    </row>
    <row r="26245" spans="1:1">
      <c r="A26245" t="inlineStr">
        <is>
          <t>Barangay 726</t>
        </is>
      </c>
    </row>
    <row r="26246" spans="1:1">
      <c r="A26246" t="inlineStr">
        <is>
          <t>Barangay 727</t>
        </is>
      </c>
    </row>
    <row r="26247" spans="1:1">
      <c r="A26247" t="inlineStr">
        <is>
          <t>Barangay 728</t>
        </is>
      </c>
    </row>
    <row r="26248" spans="1:1">
      <c r="A26248" t="inlineStr">
        <is>
          <t>Barangay 729</t>
        </is>
      </c>
    </row>
    <row r="26249" spans="1:1">
      <c r="A26249" t="inlineStr">
        <is>
          <t>Barangay 73</t>
        </is>
      </c>
    </row>
    <row r="26250" spans="1:1">
      <c r="A26250" t="inlineStr">
        <is>
          <t>Barangay 730</t>
        </is>
      </c>
    </row>
    <row r="26251" spans="1:1">
      <c r="A26251" t="inlineStr">
        <is>
          <t>Barangay 731</t>
        </is>
      </c>
    </row>
    <row r="26252" spans="1:1">
      <c r="A26252" t="inlineStr">
        <is>
          <t>Barangay 732</t>
        </is>
      </c>
    </row>
    <row r="26253" spans="1:1">
      <c r="A26253" t="inlineStr">
        <is>
          <t>Barangay 733</t>
        </is>
      </c>
    </row>
    <row r="26254" spans="1:1">
      <c r="A26254" t="inlineStr">
        <is>
          <t>Barangay 734</t>
        </is>
      </c>
    </row>
    <row r="26255" spans="1:1">
      <c r="A26255" t="inlineStr">
        <is>
          <t>Barangay 735</t>
        </is>
      </c>
    </row>
    <row r="26256" spans="1:1">
      <c r="A26256" t="inlineStr">
        <is>
          <t>Barangay 736</t>
        </is>
      </c>
    </row>
    <row r="26257" spans="1:1">
      <c r="A26257" t="inlineStr">
        <is>
          <t>Barangay 737</t>
        </is>
      </c>
    </row>
    <row r="26258" spans="1:1">
      <c r="A26258" t="inlineStr">
        <is>
          <t>Barangay 738</t>
        </is>
      </c>
    </row>
    <row r="26259" spans="1:1">
      <c r="A26259" t="inlineStr">
        <is>
          <t>Barangay 739</t>
        </is>
      </c>
    </row>
    <row r="26260" spans="1:1">
      <c r="A26260" t="inlineStr">
        <is>
          <t>Barangay 74</t>
        </is>
      </c>
    </row>
    <row r="26261" spans="1:1">
      <c r="A26261" t="inlineStr">
        <is>
          <t>Barangay 740</t>
        </is>
      </c>
    </row>
    <row r="26262" spans="1:1">
      <c r="A26262" t="inlineStr">
        <is>
          <t>Barangay 741</t>
        </is>
      </c>
    </row>
    <row r="26263" spans="1:1">
      <c r="A26263" t="inlineStr">
        <is>
          <t>Barangay 742</t>
        </is>
      </c>
    </row>
    <row r="26264" spans="1:1">
      <c r="A26264" t="inlineStr">
        <is>
          <t>Barangay 743</t>
        </is>
      </c>
    </row>
    <row r="26265" spans="1:1">
      <c r="A26265" t="inlineStr">
        <is>
          <t>Barangay 744</t>
        </is>
      </c>
    </row>
    <row r="26266" spans="1:1">
      <c r="A26266" t="inlineStr">
        <is>
          <t>Barangay 745</t>
        </is>
      </c>
    </row>
    <row r="26267" spans="1:1">
      <c r="A26267" t="inlineStr">
        <is>
          <t>Barangay 746</t>
        </is>
      </c>
    </row>
    <row r="26268" spans="1:1">
      <c r="A26268" t="inlineStr">
        <is>
          <t>Barangay 747</t>
        </is>
      </c>
    </row>
    <row r="26269" spans="1:1">
      <c r="A26269" t="inlineStr">
        <is>
          <t>Barangay 748</t>
        </is>
      </c>
    </row>
    <row r="26270" spans="1:1">
      <c r="A26270" t="inlineStr">
        <is>
          <t>Barangay 749</t>
        </is>
      </c>
    </row>
    <row r="26271" spans="1:1">
      <c r="A26271" t="inlineStr">
        <is>
          <t>Barangay 75</t>
        </is>
      </c>
    </row>
    <row r="26272" spans="1:1">
      <c r="A26272" t="inlineStr">
        <is>
          <t>Barangay 750</t>
        </is>
      </c>
    </row>
    <row r="26273" spans="1:1">
      <c r="A26273" t="inlineStr">
        <is>
          <t>Barangay 751</t>
        </is>
      </c>
    </row>
    <row r="26274" spans="1:1">
      <c r="A26274" t="inlineStr">
        <is>
          <t>Barangay 752</t>
        </is>
      </c>
    </row>
    <row r="26275" spans="1:1">
      <c r="A26275" t="inlineStr">
        <is>
          <t>Barangay 753</t>
        </is>
      </c>
    </row>
    <row r="26276" spans="1:1">
      <c r="A26276" t="inlineStr">
        <is>
          <t>Barangay 754</t>
        </is>
      </c>
    </row>
    <row r="26277" spans="1:1">
      <c r="A26277" t="inlineStr">
        <is>
          <t>Barangay 755</t>
        </is>
      </c>
    </row>
    <row r="26278" spans="1:1">
      <c r="A26278" t="inlineStr">
        <is>
          <t>Barangay 756</t>
        </is>
      </c>
    </row>
    <row r="26279" spans="1:1">
      <c r="A26279" t="inlineStr">
        <is>
          <t>Barangay 757</t>
        </is>
      </c>
    </row>
    <row r="26280" spans="1:1">
      <c r="A26280" t="inlineStr">
        <is>
          <t>Barangay 758</t>
        </is>
      </c>
    </row>
    <row r="26281" spans="1:1">
      <c r="A26281" t="inlineStr">
        <is>
          <t>Barangay 759</t>
        </is>
      </c>
    </row>
    <row r="26282" spans="1:1">
      <c r="A26282" t="inlineStr">
        <is>
          <t>Barangay 76</t>
        </is>
      </c>
    </row>
    <row r="26283" spans="1:1">
      <c r="A26283" t="inlineStr">
        <is>
          <t>Barangay 760</t>
        </is>
      </c>
    </row>
    <row r="26284" spans="1:1">
      <c r="A26284" t="inlineStr">
        <is>
          <t>Barangay 761</t>
        </is>
      </c>
    </row>
    <row r="26285" spans="1:1">
      <c r="A26285" t="inlineStr">
        <is>
          <t>Barangay 762</t>
        </is>
      </c>
    </row>
    <row r="26286" spans="1:1">
      <c r="A26286" t="inlineStr">
        <is>
          <t>Barangay 763</t>
        </is>
      </c>
    </row>
    <row r="26287" spans="1:1">
      <c r="A26287" t="inlineStr">
        <is>
          <t>Barangay 764</t>
        </is>
      </c>
    </row>
    <row r="26288" spans="1:1">
      <c r="A26288" t="inlineStr">
        <is>
          <t>Barangay 765</t>
        </is>
      </c>
    </row>
    <row r="26289" spans="1:1">
      <c r="A26289" t="inlineStr">
        <is>
          <t>Barangay 766</t>
        </is>
      </c>
    </row>
    <row r="26290" spans="1:1">
      <c r="A26290" t="inlineStr">
        <is>
          <t>Barangay 767</t>
        </is>
      </c>
    </row>
    <row r="26291" spans="1:1">
      <c r="A26291" t="inlineStr">
        <is>
          <t>Barangay 768</t>
        </is>
      </c>
    </row>
    <row r="26292" spans="1:1">
      <c r="A26292" t="inlineStr">
        <is>
          <t>Barangay 769</t>
        </is>
      </c>
    </row>
    <row r="26293" spans="1:1">
      <c r="A26293" t="inlineStr">
        <is>
          <t>Barangay 77</t>
        </is>
      </c>
    </row>
    <row r="26294" spans="1:1">
      <c r="A26294" t="inlineStr">
        <is>
          <t>Barangay 770</t>
        </is>
      </c>
    </row>
    <row r="26295" spans="1:1">
      <c r="A26295" t="inlineStr">
        <is>
          <t>Barangay 771</t>
        </is>
      </c>
    </row>
    <row r="26296" spans="1:1">
      <c r="A26296" t="inlineStr">
        <is>
          <t>Barangay 772</t>
        </is>
      </c>
    </row>
    <row r="26297" spans="1:1">
      <c r="A26297" t="inlineStr">
        <is>
          <t>Barangay 773</t>
        </is>
      </c>
    </row>
    <row r="26298" spans="1:1">
      <c r="A26298" t="inlineStr">
        <is>
          <t>Barangay 774</t>
        </is>
      </c>
    </row>
    <row r="26299" spans="1:1">
      <c r="A26299" t="inlineStr">
        <is>
          <t>Barangay 775</t>
        </is>
      </c>
    </row>
    <row r="26300" spans="1:1">
      <c r="A26300" t="inlineStr">
        <is>
          <t>Barangay 776</t>
        </is>
      </c>
    </row>
    <row r="26301" spans="1:1">
      <c r="A26301" t="inlineStr">
        <is>
          <t>Barangay 777</t>
        </is>
      </c>
    </row>
    <row r="26302" spans="1:1">
      <c r="A26302" t="inlineStr">
        <is>
          <t>Barangay 778</t>
        </is>
      </c>
    </row>
    <row r="26303" spans="1:1">
      <c r="A26303" t="inlineStr">
        <is>
          <t>Barangay 779</t>
        </is>
      </c>
    </row>
    <row r="26304" spans="1:1">
      <c r="A26304" t="inlineStr">
        <is>
          <t>Barangay 78</t>
        </is>
      </c>
    </row>
    <row r="26305" spans="1:1">
      <c r="A26305" t="inlineStr">
        <is>
          <t>Barangay 780</t>
        </is>
      </c>
    </row>
    <row r="26306" spans="1:1">
      <c r="A26306" t="inlineStr">
        <is>
          <t>Barangay 781</t>
        </is>
      </c>
    </row>
    <row r="26307" spans="1:1">
      <c r="A26307" t="inlineStr">
        <is>
          <t>Barangay 782</t>
        </is>
      </c>
    </row>
    <row r="26308" spans="1:1">
      <c r="A26308" t="inlineStr">
        <is>
          <t>Barangay 783</t>
        </is>
      </c>
    </row>
    <row r="26309" spans="1:1">
      <c r="A26309" t="inlineStr">
        <is>
          <t>Barangay 784</t>
        </is>
      </c>
    </row>
    <row r="26310" spans="1:1">
      <c r="A26310" t="inlineStr">
        <is>
          <t>Barangay 785</t>
        </is>
      </c>
    </row>
    <row r="26311" spans="1:1">
      <c r="A26311" t="inlineStr">
        <is>
          <t>Barangay 786</t>
        </is>
      </c>
    </row>
    <row r="26312" spans="1:1">
      <c r="A26312" t="inlineStr">
        <is>
          <t>Barangay 787</t>
        </is>
      </c>
    </row>
    <row r="26313" spans="1:1">
      <c r="A26313" t="inlineStr">
        <is>
          <t>Barangay 788</t>
        </is>
      </c>
    </row>
    <row r="26314" spans="1:1">
      <c r="A26314" t="inlineStr">
        <is>
          <t>Barangay 789</t>
        </is>
      </c>
    </row>
    <row r="26315" spans="1:1">
      <c r="A26315" t="inlineStr">
        <is>
          <t>Barangay 79</t>
        </is>
      </c>
    </row>
    <row r="26316" spans="1:1">
      <c r="A26316" t="inlineStr">
        <is>
          <t>Barangay 790</t>
        </is>
      </c>
    </row>
    <row r="26317" spans="1:1">
      <c r="A26317" t="inlineStr">
        <is>
          <t>Barangay 791</t>
        </is>
      </c>
    </row>
    <row r="26318" spans="1:1">
      <c r="A26318" t="inlineStr">
        <is>
          <t>Barangay 792</t>
        </is>
      </c>
    </row>
    <row r="26319" spans="1:1">
      <c r="A26319" t="inlineStr">
        <is>
          <t>Barangay 793</t>
        </is>
      </c>
    </row>
    <row r="26320" spans="1:1">
      <c r="A26320" t="inlineStr">
        <is>
          <t>Barangay 794</t>
        </is>
      </c>
    </row>
    <row r="26321" spans="1:1">
      <c r="A26321" t="inlineStr">
        <is>
          <t>Barangay 795</t>
        </is>
      </c>
    </row>
    <row r="26322" spans="1:1">
      <c r="A26322" t="inlineStr">
        <is>
          <t>Barangay 796</t>
        </is>
      </c>
    </row>
    <row r="26323" spans="1:1">
      <c r="A26323" t="inlineStr">
        <is>
          <t>Barangay 797</t>
        </is>
      </c>
    </row>
    <row r="26324" spans="1:1">
      <c r="A26324" t="inlineStr">
        <is>
          <t>Barangay 798</t>
        </is>
      </c>
    </row>
    <row r="26325" spans="1:1">
      <c r="A26325" t="inlineStr">
        <is>
          <t>Barangay 799</t>
        </is>
      </c>
    </row>
    <row r="26326" spans="1:1">
      <c r="A26326" t="inlineStr">
        <is>
          <t>Barangay 8</t>
        </is>
      </c>
    </row>
    <row r="26327" spans="1:1">
      <c r="A26327" t="inlineStr">
        <is>
          <t>Barangay 80</t>
        </is>
      </c>
    </row>
    <row r="26328" spans="1:1">
      <c r="A26328" t="inlineStr">
        <is>
          <t>Barangay 800</t>
        </is>
      </c>
    </row>
    <row r="26329" spans="1:1">
      <c r="A26329" t="inlineStr">
        <is>
          <t>Barangay 801</t>
        </is>
      </c>
    </row>
    <row r="26330" spans="1:1">
      <c r="A26330" t="inlineStr">
        <is>
          <t>Barangay 802</t>
        </is>
      </c>
    </row>
    <row r="26331" spans="1:1">
      <c r="A26331" t="inlineStr">
        <is>
          <t>Barangay 803</t>
        </is>
      </c>
    </row>
    <row r="26332" spans="1:1">
      <c r="A26332" t="inlineStr">
        <is>
          <t>Barangay 804</t>
        </is>
      </c>
    </row>
    <row r="26333" spans="1:1">
      <c r="A26333" t="inlineStr">
        <is>
          <t>Barangay 805</t>
        </is>
      </c>
    </row>
    <row r="26334" spans="1:1">
      <c r="A26334" t="inlineStr">
        <is>
          <t>Barangay 806</t>
        </is>
      </c>
    </row>
    <row r="26335" spans="1:1">
      <c r="A26335" t="inlineStr">
        <is>
          <t>Barangay 807</t>
        </is>
      </c>
    </row>
    <row r="26336" spans="1:1">
      <c r="A26336" t="inlineStr">
        <is>
          <t>Barangay 808</t>
        </is>
      </c>
    </row>
    <row r="26337" spans="1:1">
      <c r="A26337" t="inlineStr">
        <is>
          <t>Barangay 809</t>
        </is>
      </c>
    </row>
    <row r="26338" spans="1:1">
      <c r="A26338" t="inlineStr">
        <is>
          <t>Barangay 81</t>
        </is>
      </c>
    </row>
    <row r="26339" spans="1:1">
      <c r="A26339" t="inlineStr">
        <is>
          <t>Barangay 810</t>
        </is>
      </c>
    </row>
    <row r="26340" spans="1:1">
      <c r="A26340" t="inlineStr">
        <is>
          <t>Barangay 811</t>
        </is>
      </c>
    </row>
    <row r="26341" spans="1:1">
      <c r="A26341" t="inlineStr">
        <is>
          <t>Barangay 812</t>
        </is>
      </c>
    </row>
    <row r="26342" spans="1:1">
      <c r="A26342" t="inlineStr">
        <is>
          <t>Barangay 813</t>
        </is>
      </c>
    </row>
    <row r="26343" spans="1:1">
      <c r="A26343" t="inlineStr">
        <is>
          <t>Barangay 814</t>
        </is>
      </c>
    </row>
    <row r="26344" spans="1:1">
      <c r="A26344" t="inlineStr">
        <is>
          <t>Barangay 815</t>
        </is>
      </c>
    </row>
    <row r="26345" spans="1:1">
      <c r="A26345" t="inlineStr">
        <is>
          <t>Barangay 816</t>
        </is>
      </c>
    </row>
    <row r="26346" spans="1:1">
      <c r="A26346" t="inlineStr">
        <is>
          <t>Barangay 817</t>
        </is>
      </c>
    </row>
    <row r="26347" spans="1:1">
      <c r="A26347" t="inlineStr">
        <is>
          <t>Barangay 818</t>
        </is>
      </c>
    </row>
    <row r="26348" spans="1:1">
      <c r="A26348" t="inlineStr">
        <is>
          <t>Barangay 818-A</t>
        </is>
      </c>
    </row>
    <row r="26349" spans="1:1">
      <c r="A26349" t="inlineStr">
        <is>
          <t>Barangay 819</t>
        </is>
      </c>
    </row>
    <row r="26350" spans="1:1">
      <c r="A26350" t="inlineStr">
        <is>
          <t>Barangay 82</t>
        </is>
      </c>
    </row>
    <row r="26351" spans="1:1">
      <c r="A26351" t="inlineStr">
        <is>
          <t>Barangay 820</t>
        </is>
      </c>
    </row>
    <row r="26352" spans="1:1">
      <c r="A26352" t="inlineStr">
        <is>
          <t>Barangay 821</t>
        </is>
      </c>
    </row>
    <row r="26353" spans="1:1">
      <c r="A26353" t="inlineStr">
        <is>
          <t>Barangay 822</t>
        </is>
      </c>
    </row>
    <row r="26354" spans="1:1">
      <c r="A26354" t="inlineStr">
        <is>
          <t>Barangay 823</t>
        </is>
      </c>
    </row>
    <row r="26355" spans="1:1">
      <c r="A26355" t="inlineStr">
        <is>
          <t>Barangay 824</t>
        </is>
      </c>
    </row>
    <row r="26356" spans="1:1">
      <c r="A26356" t="inlineStr">
        <is>
          <t>Barangay 825</t>
        </is>
      </c>
    </row>
    <row r="26357" spans="1:1">
      <c r="A26357" t="inlineStr">
        <is>
          <t>Barangay 826</t>
        </is>
      </c>
    </row>
    <row r="26358" spans="1:1">
      <c r="A26358" t="inlineStr">
        <is>
          <t>Barangay 827</t>
        </is>
      </c>
    </row>
    <row r="26359" spans="1:1">
      <c r="A26359" t="inlineStr">
        <is>
          <t>Barangay 828</t>
        </is>
      </c>
    </row>
    <row r="26360" spans="1:1">
      <c r="A26360" t="inlineStr">
        <is>
          <t>Barangay 829</t>
        </is>
      </c>
    </row>
    <row r="26361" spans="1:1">
      <c r="A26361" t="inlineStr">
        <is>
          <t>Barangay 83</t>
        </is>
      </c>
    </row>
    <row r="26362" spans="1:1">
      <c r="A26362" t="inlineStr">
        <is>
          <t>Barangay 830</t>
        </is>
      </c>
    </row>
    <row r="26363" spans="1:1">
      <c r="A26363" t="inlineStr">
        <is>
          <t>Barangay 831</t>
        </is>
      </c>
    </row>
    <row r="26364" spans="1:1">
      <c r="A26364" t="inlineStr">
        <is>
          <t>Barangay 832</t>
        </is>
      </c>
    </row>
    <row r="26365" spans="1:1">
      <c r="A26365" t="inlineStr">
        <is>
          <t>Barangay 833</t>
        </is>
      </c>
    </row>
    <row r="26366" spans="1:1">
      <c r="A26366" t="inlineStr">
        <is>
          <t>Barangay 834</t>
        </is>
      </c>
    </row>
    <row r="26367" spans="1:1">
      <c r="A26367" t="inlineStr">
        <is>
          <t>Barangay 835</t>
        </is>
      </c>
    </row>
    <row r="26368" spans="1:1">
      <c r="A26368" t="inlineStr">
        <is>
          <t>Barangay 836</t>
        </is>
      </c>
    </row>
    <row r="26369" spans="1:1">
      <c r="A26369" t="inlineStr">
        <is>
          <t>Barangay 837</t>
        </is>
      </c>
    </row>
    <row r="26370" spans="1:1">
      <c r="A26370" t="inlineStr">
        <is>
          <t>Barangay 838</t>
        </is>
      </c>
    </row>
    <row r="26371" spans="1:1">
      <c r="A26371" t="inlineStr">
        <is>
          <t>Barangay 839</t>
        </is>
      </c>
    </row>
    <row r="26372" spans="1:1">
      <c r="A26372" t="inlineStr">
        <is>
          <t>Barangay 84</t>
        </is>
      </c>
    </row>
    <row r="26373" spans="1:1">
      <c r="A26373" t="inlineStr">
        <is>
          <t>Barangay 840</t>
        </is>
      </c>
    </row>
    <row r="26374" spans="1:1">
      <c r="A26374" t="inlineStr">
        <is>
          <t>Barangay 841</t>
        </is>
      </c>
    </row>
    <row r="26375" spans="1:1">
      <c r="A26375" t="inlineStr">
        <is>
          <t>Barangay 842</t>
        </is>
      </c>
    </row>
    <row r="26376" spans="1:1">
      <c r="A26376" t="inlineStr">
        <is>
          <t>Barangay 843</t>
        </is>
      </c>
    </row>
    <row r="26377" spans="1:1">
      <c r="A26377" t="inlineStr">
        <is>
          <t>Barangay 844</t>
        </is>
      </c>
    </row>
    <row r="26378" spans="1:1">
      <c r="A26378" t="inlineStr">
        <is>
          <t>Barangay 845</t>
        </is>
      </c>
    </row>
    <row r="26379" spans="1:1">
      <c r="A26379" t="inlineStr">
        <is>
          <t>Barangay 846</t>
        </is>
      </c>
    </row>
    <row r="26380" spans="1:1">
      <c r="A26380" t="inlineStr">
        <is>
          <t>Barangay 847</t>
        </is>
      </c>
    </row>
    <row r="26381" spans="1:1">
      <c r="A26381" t="inlineStr">
        <is>
          <t>Barangay 848</t>
        </is>
      </c>
    </row>
    <row r="26382" spans="1:1">
      <c r="A26382" t="inlineStr">
        <is>
          <t>Barangay 849</t>
        </is>
      </c>
    </row>
    <row r="26383" spans="1:1">
      <c r="A26383" t="inlineStr">
        <is>
          <t>Barangay 85</t>
        </is>
      </c>
    </row>
    <row r="26384" spans="1:1">
      <c r="A26384" t="inlineStr">
        <is>
          <t>Barangay 850</t>
        </is>
      </c>
    </row>
    <row r="26385" spans="1:1">
      <c r="A26385" t="inlineStr">
        <is>
          <t>Barangay 851</t>
        </is>
      </c>
    </row>
    <row r="26386" spans="1:1">
      <c r="A26386" t="inlineStr">
        <is>
          <t>Barangay 852</t>
        </is>
      </c>
    </row>
    <row r="26387" spans="1:1">
      <c r="A26387" t="inlineStr">
        <is>
          <t>Barangay 853</t>
        </is>
      </c>
    </row>
    <row r="26388" spans="1:1">
      <c r="A26388" t="inlineStr">
        <is>
          <t>Barangay 855</t>
        </is>
      </c>
    </row>
    <row r="26389" spans="1:1">
      <c r="A26389" t="inlineStr">
        <is>
          <t>Barangay 856</t>
        </is>
      </c>
    </row>
    <row r="26390" spans="1:1">
      <c r="A26390" t="inlineStr">
        <is>
          <t>Barangay 857</t>
        </is>
      </c>
    </row>
    <row r="26391" spans="1:1">
      <c r="A26391" t="inlineStr">
        <is>
          <t>Barangay 858</t>
        </is>
      </c>
    </row>
    <row r="26392" spans="1:1">
      <c r="A26392" t="inlineStr">
        <is>
          <t>Barangay 859</t>
        </is>
      </c>
    </row>
    <row r="26393" spans="1:1">
      <c r="A26393" t="inlineStr">
        <is>
          <t>Barangay 86</t>
        </is>
      </c>
    </row>
    <row r="26394" spans="1:1">
      <c r="A26394" t="inlineStr">
        <is>
          <t>Barangay 860</t>
        </is>
      </c>
    </row>
    <row r="26395" spans="1:1">
      <c r="A26395" t="inlineStr">
        <is>
          <t>Barangay 861</t>
        </is>
      </c>
    </row>
    <row r="26396" spans="1:1">
      <c r="A26396" t="inlineStr">
        <is>
          <t>Barangay 862</t>
        </is>
      </c>
    </row>
    <row r="26397" spans="1:1">
      <c r="A26397" t="inlineStr">
        <is>
          <t>Barangay 863</t>
        </is>
      </c>
    </row>
    <row r="26398" spans="1:1">
      <c r="A26398" t="inlineStr">
        <is>
          <t>Barangay 864</t>
        </is>
      </c>
    </row>
    <row r="26399" spans="1:1">
      <c r="A26399" t="inlineStr">
        <is>
          <t>Barangay 865</t>
        </is>
      </c>
    </row>
    <row r="26400" spans="1:1">
      <c r="A26400" t="inlineStr">
        <is>
          <t>Barangay 866</t>
        </is>
      </c>
    </row>
    <row r="26401" spans="1:1">
      <c r="A26401" t="inlineStr">
        <is>
          <t>Barangay 867</t>
        </is>
      </c>
    </row>
    <row r="26402" spans="1:1">
      <c r="A26402" t="inlineStr">
        <is>
          <t>Barangay 868</t>
        </is>
      </c>
    </row>
    <row r="26403" spans="1:1">
      <c r="A26403" t="inlineStr">
        <is>
          <t>Barangay 869</t>
        </is>
      </c>
    </row>
    <row r="26404" spans="1:1">
      <c r="A26404" t="inlineStr">
        <is>
          <t>Barangay 87</t>
        </is>
      </c>
    </row>
    <row r="26405" spans="1:1">
      <c r="A26405" t="inlineStr">
        <is>
          <t>Barangay 870</t>
        </is>
      </c>
    </row>
    <row r="26406" spans="1:1">
      <c r="A26406" t="inlineStr">
        <is>
          <t>Barangay 871</t>
        </is>
      </c>
    </row>
    <row r="26407" spans="1:1">
      <c r="A26407" t="inlineStr">
        <is>
          <t>Barangay 872</t>
        </is>
      </c>
    </row>
    <row r="26408" spans="1:1">
      <c r="A26408" t="inlineStr">
        <is>
          <t>Barangay 873</t>
        </is>
      </c>
    </row>
    <row r="26409" spans="1:1">
      <c r="A26409" t="inlineStr">
        <is>
          <t>Barangay 874</t>
        </is>
      </c>
    </row>
    <row r="26410" spans="1:1">
      <c r="A26410" t="inlineStr">
        <is>
          <t>Barangay 875</t>
        </is>
      </c>
    </row>
    <row r="26411" spans="1:1">
      <c r="A26411" t="inlineStr">
        <is>
          <t>Barangay 876</t>
        </is>
      </c>
    </row>
    <row r="26412" spans="1:1">
      <c r="A26412" t="inlineStr">
        <is>
          <t>Barangay 877</t>
        </is>
      </c>
    </row>
    <row r="26413" spans="1:1">
      <c r="A26413" t="inlineStr">
        <is>
          <t>Barangay 878</t>
        </is>
      </c>
    </row>
    <row r="26414" spans="1:1">
      <c r="A26414" t="inlineStr">
        <is>
          <t>Barangay 879</t>
        </is>
      </c>
    </row>
    <row r="26415" spans="1:1">
      <c r="A26415" t="inlineStr">
        <is>
          <t>Barangay 88</t>
        </is>
      </c>
    </row>
    <row r="26416" spans="1:1">
      <c r="A26416" t="inlineStr">
        <is>
          <t>Barangay 880</t>
        </is>
      </c>
    </row>
    <row r="26417" spans="1:1">
      <c r="A26417" t="inlineStr">
        <is>
          <t>Barangay 881</t>
        </is>
      </c>
    </row>
    <row r="26418" spans="1:1">
      <c r="A26418" t="inlineStr">
        <is>
          <t>Barangay 882</t>
        </is>
      </c>
    </row>
    <row r="26419" spans="1:1">
      <c r="A26419" t="inlineStr">
        <is>
          <t>Barangay 883</t>
        </is>
      </c>
    </row>
    <row r="26420" spans="1:1">
      <c r="A26420" t="inlineStr">
        <is>
          <t>Barangay 884</t>
        </is>
      </c>
    </row>
    <row r="26421" spans="1:1">
      <c r="A26421" t="inlineStr">
        <is>
          <t>Barangay 885</t>
        </is>
      </c>
    </row>
    <row r="26422" spans="1:1">
      <c r="A26422" t="inlineStr">
        <is>
          <t>Barangay 886</t>
        </is>
      </c>
    </row>
    <row r="26423" spans="1:1">
      <c r="A26423" t="inlineStr">
        <is>
          <t>Barangay 887</t>
        </is>
      </c>
    </row>
    <row r="26424" spans="1:1">
      <c r="A26424" t="inlineStr">
        <is>
          <t>Barangay 888</t>
        </is>
      </c>
    </row>
    <row r="26425" spans="1:1">
      <c r="A26425" t="inlineStr">
        <is>
          <t>Barangay 889</t>
        </is>
      </c>
    </row>
    <row r="26426" spans="1:1">
      <c r="A26426" t="inlineStr">
        <is>
          <t>Barangay 89</t>
        </is>
      </c>
    </row>
    <row r="26427" spans="1:1">
      <c r="A26427" t="inlineStr">
        <is>
          <t>Barangay 890</t>
        </is>
      </c>
    </row>
    <row r="26428" spans="1:1">
      <c r="A26428" t="inlineStr">
        <is>
          <t>Barangay 891</t>
        </is>
      </c>
    </row>
    <row r="26429" spans="1:1">
      <c r="A26429" t="inlineStr">
        <is>
          <t>Barangay 892</t>
        </is>
      </c>
    </row>
    <row r="26430" spans="1:1">
      <c r="A26430" t="inlineStr">
        <is>
          <t>Barangay 893</t>
        </is>
      </c>
    </row>
    <row r="26431" spans="1:1">
      <c r="A26431" t="inlineStr">
        <is>
          <t>Barangay 894</t>
        </is>
      </c>
    </row>
    <row r="26432" spans="1:1">
      <c r="A26432" t="inlineStr">
        <is>
          <t>Barangay 895</t>
        </is>
      </c>
    </row>
    <row r="26433" spans="1:1">
      <c r="A26433" t="inlineStr">
        <is>
          <t>Barangay 896</t>
        </is>
      </c>
    </row>
    <row r="26434" spans="1:1">
      <c r="A26434" t="inlineStr">
        <is>
          <t>Barangay 897</t>
        </is>
      </c>
    </row>
    <row r="26435" spans="1:1">
      <c r="A26435" t="inlineStr">
        <is>
          <t>Barangay 898</t>
        </is>
      </c>
    </row>
    <row r="26436" spans="1:1">
      <c r="A26436" t="inlineStr">
        <is>
          <t>Barangay 899</t>
        </is>
      </c>
    </row>
    <row r="26437" spans="1:1">
      <c r="A26437" t="inlineStr">
        <is>
          <t>Barangay 9</t>
        </is>
      </c>
    </row>
    <row r="26438" spans="1:1">
      <c r="A26438" t="inlineStr">
        <is>
          <t>Barangay 90</t>
        </is>
      </c>
    </row>
    <row r="26439" spans="1:1">
      <c r="A26439" t="inlineStr">
        <is>
          <t>Barangay 900</t>
        </is>
      </c>
    </row>
    <row r="26440" spans="1:1">
      <c r="A26440" t="inlineStr">
        <is>
          <t>Barangay 901</t>
        </is>
      </c>
    </row>
    <row r="26441" spans="1:1">
      <c r="A26441" t="inlineStr">
        <is>
          <t>Barangay 902</t>
        </is>
      </c>
    </row>
    <row r="26442" spans="1:1">
      <c r="A26442" t="inlineStr">
        <is>
          <t>Barangay 903</t>
        </is>
      </c>
    </row>
    <row r="26443" spans="1:1">
      <c r="A26443" t="inlineStr">
        <is>
          <t>Barangay 904</t>
        </is>
      </c>
    </row>
    <row r="26444" spans="1:1">
      <c r="A26444" t="inlineStr">
        <is>
          <t>Barangay 905</t>
        </is>
      </c>
    </row>
    <row r="26445" spans="1:1">
      <c r="A26445" t="inlineStr">
        <is>
          <t>Barangay 91</t>
        </is>
      </c>
    </row>
    <row r="26446" spans="1:1">
      <c r="A26446" t="inlineStr">
        <is>
          <t>Barangay 92</t>
        </is>
      </c>
    </row>
    <row r="26447" spans="1:1">
      <c r="A26447" t="inlineStr">
        <is>
          <t>Barangay 93</t>
        </is>
      </c>
    </row>
    <row r="26448" spans="1:1">
      <c r="A26448" t="inlineStr">
        <is>
          <t>Barangay 94</t>
        </is>
      </c>
    </row>
    <row r="26449" spans="1:1">
      <c r="A26449" t="inlineStr">
        <is>
          <t>Barangay 95</t>
        </is>
      </c>
    </row>
    <row r="26450" spans="1:1">
      <c r="A26450" t="inlineStr">
        <is>
          <t>Barangay 96</t>
        </is>
      </c>
    </row>
    <row r="26451" spans="1:1">
      <c r="A26451" t="inlineStr">
        <is>
          <t>Barangay 97</t>
        </is>
      </c>
    </row>
    <row r="26452" spans="1:1">
      <c r="A26452" t="inlineStr">
        <is>
          <t>Barangay 98</t>
        </is>
      </c>
    </row>
    <row r="26453" spans="1:1">
      <c r="A26453" t="inlineStr">
        <is>
          <t>Barangay 99</t>
        </is>
      </c>
    </row>
    <row r="26454" spans="1:1">
      <c r="A26454" t="inlineStr">
        <is>
          <t>Barangka</t>
        </is>
      </c>
    </row>
    <row r="26455" spans="1:1">
      <c r="A26455" t="inlineStr">
        <is>
          <t>Calumpang</t>
        </is>
      </c>
    </row>
    <row r="26456" spans="1:1">
      <c r="A26456" t="inlineStr">
        <is>
          <t>Concepcion Dos</t>
        </is>
      </c>
    </row>
    <row r="26457" spans="1:1">
      <c r="A26457" t="inlineStr">
        <is>
          <t>Concepcion Uno</t>
        </is>
      </c>
    </row>
    <row r="26458" spans="1:1">
      <c r="A26458" t="inlineStr">
        <is>
          <t>Fortune</t>
        </is>
      </c>
    </row>
    <row r="26459" spans="1:1">
      <c r="A26459" t="inlineStr">
        <is>
          <t>Industrial Valley</t>
        </is>
      </c>
    </row>
    <row r="26460" spans="1:1">
      <c r="A26460" t="inlineStr">
        <is>
          <t>Jesus De La Peña</t>
        </is>
      </c>
    </row>
    <row r="26461" spans="1:1">
      <c r="A26461" t="inlineStr">
        <is>
          <t>Malanday</t>
        </is>
      </c>
    </row>
    <row r="26462" spans="1:1">
      <c r="A26462" t="inlineStr">
        <is>
          <t>Marikina Heights</t>
        </is>
      </c>
    </row>
    <row r="26463" spans="1:1">
      <c r="A26463" t="inlineStr">
        <is>
          <t>Nangka</t>
        </is>
      </c>
    </row>
    <row r="26464" spans="1:1">
      <c r="A26464" t="inlineStr">
        <is>
          <t>Parang</t>
        </is>
      </c>
    </row>
    <row r="26465" spans="1:1">
      <c r="A26465" t="inlineStr">
        <is>
          <t>San Roque</t>
        </is>
      </c>
    </row>
    <row r="26466" spans="1:1">
      <c r="A26466" t="inlineStr">
        <is>
          <t>Santa Elena</t>
        </is>
      </c>
    </row>
    <row r="26467" spans="1:1">
      <c r="A26467" t="inlineStr">
        <is>
          <t>Santo Niño</t>
        </is>
      </c>
    </row>
    <row r="26468" spans="1:1">
      <c r="A26468" t="inlineStr">
        <is>
          <t>Tañong</t>
        </is>
      </c>
    </row>
    <row r="26469" spans="1:1">
      <c r="A26469" t="inlineStr">
        <is>
          <t>Tumana</t>
        </is>
      </c>
    </row>
    <row r="26470" spans="1:1">
      <c r="A26470" t="inlineStr">
        <is>
          <t>Alabang</t>
        </is>
      </c>
    </row>
    <row r="26471" spans="1:1">
      <c r="A26471" t="inlineStr">
        <is>
          <t>Bayanan</t>
        </is>
      </c>
    </row>
    <row r="26472" spans="1:1">
      <c r="A26472" t="inlineStr">
        <is>
          <t>Buli</t>
        </is>
      </c>
    </row>
    <row r="26473" spans="1:1">
      <c r="A26473" t="inlineStr">
        <is>
          <t>Cupang</t>
        </is>
      </c>
    </row>
    <row r="26474" spans="1:1">
      <c r="A26474" t="inlineStr">
        <is>
          <t>New Alabang Village</t>
        </is>
      </c>
    </row>
    <row r="26475" spans="1:1">
      <c r="A26475" t="inlineStr">
        <is>
          <t>Poblacion</t>
        </is>
      </c>
    </row>
    <row r="26476" spans="1:1">
      <c r="A26476" t="inlineStr">
        <is>
          <t>Putatan</t>
        </is>
      </c>
    </row>
    <row r="26477" spans="1:1">
      <c r="A26477" t="inlineStr">
        <is>
          <t>Sucat</t>
        </is>
      </c>
    </row>
    <row r="26478" spans="1:1">
      <c r="A26478" t="inlineStr">
        <is>
          <t>Tunasan</t>
        </is>
      </c>
    </row>
    <row r="26479" spans="1:1">
      <c r="A26479" t="inlineStr">
        <is>
          <t>Bagumbayan North</t>
        </is>
      </c>
    </row>
    <row r="26480" spans="1:1">
      <c r="A26480" t="inlineStr">
        <is>
          <t>Bagumbayan South</t>
        </is>
      </c>
    </row>
    <row r="26481" spans="1:1">
      <c r="A26481" t="inlineStr">
        <is>
          <t>Bangculasi</t>
        </is>
      </c>
    </row>
    <row r="26482" spans="1:1">
      <c r="A26482" t="inlineStr">
        <is>
          <t>Daanghari</t>
        </is>
      </c>
    </row>
    <row r="26483" spans="1:1">
      <c r="A26483" t="inlineStr">
        <is>
          <t>Navotas East</t>
        </is>
      </c>
    </row>
    <row r="26484" spans="1:1">
      <c r="A26484" t="inlineStr">
        <is>
          <t>Navotas West</t>
        </is>
      </c>
    </row>
    <row r="26485" spans="1:1">
      <c r="A26485" t="inlineStr">
        <is>
          <t>NBBS Dagat-dagatan</t>
        </is>
      </c>
    </row>
    <row r="26486" spans="1:1">
      <c r="A26486" t="inlineStr">
        <is>
          <t>NBBS Kaunlaran</t>
        </is>
      </c>
    </row>
    <row r="26487" spans="1:1">
      <c r="A26487" t="inlineStr">
        <is>
          <t>NBBS Proper</t>
        </is>
      </c>
    </row>
    <row r="26488" spans="1:1">
      <c r="A26488" t="inlineStr">
        <is>
          <t>North Bay Boulevard North</t>
        </is>
      </c>
    </row>
    <row r="26489" spans="1:1">
      <c r="A26489" t="inlineStr">
        <is>
          <t>San Jose</t>
        </is>
      </c>
    </row>
    <row r="26490" spans="1:1">
      <c r="A26490" t="inlineStr">
        <is>
          <t>San Rafael Village</t>
        </is>
      </c>
    </row>
    <row r="26491" spans="1:1">
      <c r="A26491" t="inlineStr">
        <is>
          <t>San Roque</t>
        </is>
      </c>
    </row>
    <row r="26492" spans="1:1">
      <c r="A26492" t="inlineStr">
        <is>
          <t>Sipac-Almacen</t>
        </is>
      </c>
    </row>
    <row r="26493" spans="1:1">
      <c r="A26493" t="inlineStr">
        <is>
          <t>Tangos North</t>
        </is>
      </c>
    </row>
    <row r="26494" spans="1:1">
      <c r="A26494" t="inlineStr">
        <is>
          <t>Tangos South</t>
        </is>
      </c>
    </row>
    <row r="26495" spans="1:1">
      <c r="A26495" t="inlineStr">
        <is>
          <t>Tanza 1</t>
        </is>
      </c>
    </row>
    <row r="26496" spans="1:1">
      <c r="A26496" t="inlineStr">
        <is>
          <t>Tanza 2</t>
        </is>
      </c>
    </row>
    <row r="26497" spans="1:1">
      <c r="A26497" t="inlineStr">
        <is>
          <t>B. F. Homes</t>
        </is>
      </c>
    </row>
    <row r="26498" spans="1:1">
      <c r="A26498" t="inlineStr">
        <is>
          <t>Baclaran</t>
        </is>
      </c>
    </row>
    <row r="26499" spans="1:1">
      <c r="A26499" t="inlineStr">
        <is>
          <t>Don Bosco</t>
        </is>
      </c>
    </row>
    <row r="26500" spans="1:1">
      <c r="A26500" t="inlineStr">
        <is>
          <t>Don Galo</t>
        </is>
      </c>
    </row>
    <row r="26501" spans="1:1">
      <c r="A26501" t="inlineStr">
        <is>
          <t>La Huerta</t>
        </is>
      </c>
    </row>
    <row r="26502" spans="1:1">
      <c r="A26502" t="inlineStr">
        <is>
          <t>Marcelo Green Village</t>
        </is>
      </c>
    </row>
    <row r="26503" spans="1:1">
      <c r="A26503" t="inlineStr">
        <is>
          <t>Merville</t>
        </is>
      </c>
    </row>
    <row r="26504" spans="1:1">
      <c r="A26504" t="inlineStr">
        <is>
          <t>Moonwalk</t>
        </is>
      </c>
    </row>
    <row r="26505" spans="1:1">
      <c r="A26505" t="inlineStr">
        <is>
          <t>San Antonio</t>
        </is>
      </c>
    </row>
    <row r="26506" spans="1:1">
      <c r="A26506" t="inlineStr">
        <is>
          <t>San Dionisio</t>
        </is>
      </c>
    </row>
    <row r="26507" spans="1:1">
      <c r="A26507" t="inlineStr">
        <is>
          <t>San Isidro</t>
        </is>
      </c>
    </row>
    <row r="26508" spans="1:1">
      <c r="A26508" t="inlineStr">
        <is>
          <t>San Martin De Porres</t>
        </is>
      </c>
    </row>
    <row r="26509" spans="1:1">
      <c r="A26509" t="inlineStr">
        <is>
          <t>Santo Niño</t>
        </is>
      </c>
    </row>
    <row r="26510" spans="1:1">
      <c r="A26510" t="inlineStr">
        <is>
          <t>Sun Valley</t>
        </is>
      </c>
    </row>
    <row r="26511" spans="1:1">
      <c r="A26511" t="inlineStr">
        <is>
          <t>Tambo</t>
        </is>
      </c>
    </row>
    <row r="26512" spans="1:1">
      <c r="A26512" t="inlineStr">
        <is>
          <t>Vitalez</t>
        </is>
      </c>
    </row>
    <row r="26513" spans="1:1">
      <c r="A26513" t="inlineStr">
        <is>
          <t>Bagong Ilog</t>
        </is>
      </c>
    </row>
    <row r="26514" spans="1:1">
      <c r="A26514" t="inlineStr">
        <is>
          <t>Bagong Katipunan</t>
        </is>
      </c>
    </row>
    <row r="26515" spans="1:1">
      <c r="A26515" t="inlineStr">
        <is>
          <t>Bambang</t>
        </is>
      </c>
    </row>
    <row r="26516" spans="1:1">
      <c r="A26516" t="inlineStr">
        <is>
          <t>Buting</t>
        </is>
      </c>
    </row>
    <row r="26517" spans="1:1">
      <c r="A26517" t="inlineStr">
        <is>
          <t>Caniogan</t>
        </is>
      </c>
    </row>
    <row r="26518" spans="1:1">
      <c r="A26518" t="inlineStr">
        <is>
          <t>Dela Paz</t>
        </is>
      </c>
    </row>
    <row r="26519" spans="1:1">
      <c r="A26519" t="inlineStr">
        <is>
          <t>Kalawaan</t>
        </is>
      </c>
    </row>
    <row r="26520" spans="1:1">
      <c r="A26520" t="inlineStr">
        <is>
          <t>Kapasigan</t>
        </is>
      </c>
    </row>
    <row r="26521" spans="1:1">
      <c r="A26521" t="inlineStr">
        <is>
          <t>Kapitolyo</t>
        </is>
      </c>
    </row>
    <row r="26522" spans="1:1">
      <c r="A26522" t="inlineStr">
        <is>
          <t>Malinao</t>
        </is>
      </c>
    </row>
    <row r="26523" spans="1:1">
      <c r="A26523" t="inlineStr">
        <is>
          <t>Manggahan</t>
        </is>
      </c>
    </row>
    <row r="26524" spans="1:1">
      <c r="A26524" t="inlineStr">
        <is>
          <t>Maybunga</t>
        </is>
      </c>
    </row>
    <row r="26525" spans="1:1">
      <c r="A26525" t="inlineStr">
        <is>
          <t>Oranbo</t>
        </is>
      </c>
    </row>
    <row r="26526" spans="1:1">
      <c r="A26526" t="inlineStr">
        <is>
          <t>Palatiw</t>
        </is>
      </c>
    </row>
    <row r="26527" spans="1:1">
      <c r="A26527" t="inlineStr">
        <is>
          <t>Pinagbuhatan</t>
        </is>
      </c>
    </row>
    <row r="26528" spans="1:1">
      <c r="A26528" t="inlineStr">
        <is>
          <t>Pineda</t>
        </is>
      </c>
    </row>
    <row r="26529" spans="1:1">
      <c r="A26529" t="inlineStr">
        <is>
          <t>Rosario</t>
        </is>
      </c>
    </row>
    <row r="26530" spans="1:1">
      <c r="A26530" t="inlineStr">
        <is>
          <t>Sagad</t>
        </is>
      </c>
    </row>
    <row r="26531" spans="1:1">
      <c r="A26531" t="inlineStr">
        <is>
          <t>San Antonio</t>
        </is>
      </c>
    </row>
    <row r="26532" spans="1:1">
      <c r="A26532" t="inlineStr">
        <is>
          <t>San Joaquin</t>
        </is>
      </c>
    </row>
    <row r="26533" spans="1:1">
      <c r="A26533" t="inlineStr">
        <is>
          <t>San Jose</t>
        </is>
      </c>
    </row>
    <row r="26534" spans="1:1">
      <c r="A26534" t="inlineStr">
        <is>
          <t>San Miguel</t>
        </is>
      </c>
    </row>
    <row r="26535" spans="1:1">
      <c r="A26535" t="inlineStr">
        <is>
          <t>San Nicolas</t>
        </is>
      </c>
    </row>
    <row r="26536" spans="1:1">
      <c r="A26536" t="inlineStr">
        <is>
          <t>Santa Cruz</t>
        </is>
      </c>
    </row>
    <row r="26537" spans="1:1">
      <c r="A26537" t="inlineStr">
        <is>
          <t>Santa Lucia</t>
        </is>
      </c>
    </row>
    <row r="26538" spans="1:1">
      <c r="A26538" t="inlineStr">
        <is>
          <t>Santa Rosa</t>
        </is>
      </c>
    </row>
    <row r="26539" spans="1:1">
      <c r="A26539" t="inlineStr">
        <is>
          <t>Santo Tomas</t>
        </is>
      </c>
    </row>
    <row r="26540" spans="1:1">
      <c r="A26540" t="inlineStr">
        <is>
          <t>Santolan</t>
        </is>
      </c>
    </row>
    <row r="26541" spans="1:1">
      <c r="A26541" t="inlineStr">
        <is>
          <t>Sumilang</t>
        </is>
      </c>
    </row>
    <row r="26542" spans="1:1">
      <c r="A26542" t="inlineStr">
        <is>
          <t>Ugong</t>
        </is>
      </c>
    </row>
    <row r="26543" spans="1:1">
      <c r="A26543" t="inlineStr">
        <is>
          <t>Addition Hills</t>
        </is>
      </c>
    </row>
    <row r="26544" spans="1:1">
      <c r="A26544" t="inlineStr">
        <is>
          <t>Balong-Bato</t>
        </is>
      </c>
    </row>
    <row r="26545" spans="1:1">
      <c r="A26545" t="inlineStr">
        <is>
          <t>Batis</t>
        </is>
      </c>
    </row>
    <row r="26546" spans="1:1">
      <c r="A26546" t="inlineStr">
        <is>
          <t>Corazon De Jesus</t>
        </is>
      </c>
    </row>
    <row r="26547" spans="1:1">
      <c r="A26547" t="inlineStr">
        <is>
          <t>Ermitaño</t>
        </is>
      </c>
    </row>
    <row r="26548" spans="1:1">
      <c r="A26548" t="inlineStr">
        <is>
          <t>Greenhills</t>
        </is>
      </c>
    </row>
    <row r="26549" spans="1:1">
      <c r="A26549" t="inlineStr">
        <is>
          <t>Halo-halo</t>
        </is>
      </c>
    </row>
    <row r="26550" spans="1:1">
      <c r="A26550" t="inlineStr">
        <is>
          <t>Isabelita</t>
        </is>
      </c>
    </row>
    <row r="26551" spans="1:1">
      <c r="A26551" t="inlineStr">
        <is>
          <t>Kabayanan</t>
        </is>
      </c>
    </row>
    <row r="26552" spans="1:1">
      <c r="A26552" t="inlineStr">
        <is>
          <t>Little Baguio</t>
        </is>
      </c>
    </row>
    <row r="26553" spans="1:1">
      <c r="A26553" t="inlineStr">
        <is>
          <t>Maytunas</t>
        </is>
      </c>
    </row>
    <row r="26554" spans="1:1">
      <c r="A26554" t="inlineStr">
        <is>
          <t>Onse</t>
        </is>
      </c>
    </row>
    <row r="26555" spans="1:1">
      <c r="A26555" t="inlineStr">
        <is>
          <t>Pasadeña</t>
        </is>
      </c>
    </row>
    <row r="26556" spans="1:1">
      <c r="A26556" t="inlineStr">
        <is>
          <t>Pedro Cruz</t>
        </is>
      </c>
    </row>
    <row r="26557" spans="1:1">
      <c r="A26557" t="inlineStr">
        <is>
          <t>Progreso</t>
        </is>
      </c>
    </row>
    <row r="26558" spans="1:1">
      <c r="A26558" t="inlineStr">
        <is>
          <t>Rivera</t>
        </is>
      </c>
    </row>
    <row r="26559" spans="1:1">
      <c r="A26559" t="inlineStr">
        <is>
          <t>Salapan</t>
        </is>
      </c>
    </row>
    <row r="26560" spans="1:1">
      <c r="A26560" t="inlineStr">
        <is>
          <t>San Perfecto</t>
        </is>
      </c>
    </row>
    <row r="26561" spans="1:1">
      <c r="A26561" t="inlineStr">
        <is>
          <t>Santa Lucia</t>
        </is>
      </c>
    </row>
    <row r="26562" spans="1:1">
      <c r="A26562" t="inlineStr">
        <is>
          <t>Tibagan</t>
        </is>
      </c>
    </row>
    <row r="26563" spans="1:1">
      <c r="A26563" t="inlineStr">
        <is>
          <t>West Crame</t>
        </is>
      </c>
    </row>
    <row r="26564" spans="1:1">
      <c r="A26564" t="inlineStr">
        <is>
          <t>Bagumbayan</t>
        </is>
      </c>
    </row>
    <row r="26565" spans="1:1">
      <c r="A26565" t="inlineStr">
        <is>
          <t>Bambang</t>
        </is>
      </c>
    </row>
    <row r="26566" spans="1:1">
      <c r="A26566" t="inlineStr">
        <is>
          <t>Calzada</t>
        </is>
      </c>
    </row>
    <row r="26567" spans="1:1">
      <c r="A26567" t="inlineStr">
        <is>
          <t>Cembo</t>
        </is>
      </c>
    </row>
    <row r="26568" spans="1:1">
      <c r="A26568" t="inlineStr">
        <is>
          <t>Central Bicutan</t>
        </is>
      </c>
    </row>
    <row r="26569" spans="1:1">
      <c r="A26569" t="inlineStr">
        <is>
          <t>Central Signal Village</t>
        </is>
      </c>
    </row>
    <row r="26570" spans="1:1">
      <c r="A26570" t="inlineStr">
        <is>
          <t>Comembo</t>
        </is>
      </c>
    </row>
    <row r="26571" spans="1:1">
      <c r="A26571" t="inlineStr">
        <is>
          <t>East Rembo</t>
        </is>
      </c>
    </row>
    <row r="26572" spans="1:1">
      <c r="A26572" t="inlineStr">
        <is>
          <t>Fort Bonifacio</t>
        </is>
      </c>
    </row>
    <row r="26573" spans="1:1">
      <c r="A26573" t="inlineStr">
        <is>
          <t>Hagonoy</t>
        </is>
      </c>
    </row>
    <row r="26574" spans="1:1">
      <c r="A26574" t="inlineStr">
        <is>
          <t>Ibayo-Tipas</t>
        </is>
      </c>
    </row>
    <row r="26575" spans="1:1">
      <c r="A26575" t="inlineStr">
        <is>
          <t>Katuparan</t>
        </is>
      </c>
    </row>
    <row r="26576" spans="1:1">
      <c r="A26576" t="inlineStr">
        <is>
          <t>Ligid-Tipas</t>
        </is>
      </c>
    </row>
    <row r="26577" spans="1:1">
      <c r="A26577" t="inlineStr">
        <is>
          <t>Lower Bicutan</t>
        </is>
      </c>
    </row>
    <row r="26578" spans="1:1">
      <c r="A26578" t="inlineStr">
        <is>
          <t>Maharlika Village</t>
        </is>
      </c>
    </row>
    <row r="26579" spans="1:1">
      <c r="A26579" t="inlineStr">
        <is>
          <t>Napindan</t>
        </is>
      </c>
    </row>
    <row r="26580" spans="1:1">
      <c r="A26580" t="inlineStr">
        <is>
          <t>New Lower Bicutan</t>
        </is>
      </c>
    </row>
    <row r="26581" spans="1:1">
      <c r="A26581" t="inlineStr">
        <is>
          <t>North Daang Hari</t>
        </is>
      </c>
    </row>
    <row r="26582" spans="1:1">
      <c r="A26582" t="inlineStr">
        <is>
          <t>North Signal Village</t>
        </is>
      </c>
    </row>
    <row r="26583" spans="1:1">
      <c r="A26583" t="inlineStr">
        <is>
          <t>Palingon</t>
        </is>
      </c>
    </row>
    <row r="26584" spans="1:1">
      <c r="A26584" t="inlineStr">
        <is>
          <t>Pembo</t>
        </is>
      </c>
    </row>
    <row r="26585" spans="1:1">
      <c r="A26585" t="inlineStr">
        <is>
          <t>Pinagsama</t>
        </is>
      </c>
    </row>
    <row r="26586" spans="1:1">
      <c r="A26586" t="inlineStr">
        <is>
          <t>Pitogo</t>
        </is>
      </c>
    </row>
    <row r="26587" spans="1:1">
      <c r="A26587" t="inlineStr">
        <is>
          <t>Post Proper Northside</t>
        </is>
      </c>
    </row>
    <row r="26588" spans="1:1">
      <c r="A26588" t="inlineStr">
        <is>
          <t>Post Proper Southside</t>
        </is>
      </c>
    </row>
    <row r="26589" spans="1:1">
      <c r="A26589" t="inlineStr">
        <is>
          <t>Rizal</t>
        </is>
      </c>
    </row>
    <row r="26590" spans="1:1">
      <c r="A26590" t="inlineStr">
        <is>
          <t>San Miguel</t>
        </is>
      </c>
    </row>
    <row r="26591" spans="1:1">
      <c r="A26591" t="inlineStr">
        <is>
          <t>Santa Ana</t>
        </is>
      </c>
    </row>
    <row r="26592" spans="1:1">
      <c r="A26592" t="inlineStr">
        <is>
          <t>South Cembo</t>
        </is>
      </c>
    </row>
    <row r="26593" spans="1:1">
      <c r="A26593" t="inlineStr">
        <is>
          <t>South Daang Hari</t>
        </is>
      </c>
    </row>
    <row r="26594" spans="1:1">
      <c r="A26594" t="inlineStr">
        <is>
          <t>South Signal Village</t>
        </is>
      </c>
    </row>
    <row r="26595" spans="1:1">
      <c r="A26595" t="inlineStr">
        <is>
          <t>Tanyag</t>
        </is>
      </c>
    </row>
    <row r="26596" spans="1:1">
      <c r="A26596" t="inlineStr">
        <is>
          <t>Tuktukan</t>
        </is>
      </c>
    </row>
    <row r="26597" spans="1:1">
      <c r="A26597" t="inlineStr">
        <is>
          <t>Upper Bicutan</t>
        </is>
      </c>
    </row>
    <row r="26598" spans="1:1">
      <c r="A26598" t="inlineStr">
        <is>
          <t>Ususan</t>
        </is>
      </c>
    </row>
    <row r="26599" spans="1:1">
      <c r="A26599" t="inlineStr">
        <is>
          <t>Wawa</t>
        </is>
      </c>
    </row>
    <row r="26600" spans="1:1">
      <c r="A26600" t="inlineStr">
        <is>
          <t>West Rembo</t>
        </is>
      </c>
    </row>
    <row r="26601" spans="1:1">
      <c r="A26601" t="inlineStr">
        <is>
          <t>Western Bicutan</t>
        </is>
      </c>
    </row>
    <row r="26602" spans="1:1">
      <c r="A26602" t="inlineStr">
        <is>
          <t>Arkong Bato</t>
        </is>
      </c>
    </row>
    <row r="26603" spans="1:1">
      <c r="A26603" t="inlineStr">
        <is>
          <t>Bagbaguin</t>
        </is>
      </c>
    </row>
    <row r="26604" spans="1:1">
      <c r="A26604" t="inlineStr">
        <is>
          <t>Balangkas</t>
        </is>
      </c>
    </row>
    <row r="26605" spans="1:1">
      <c r="A26605" t="inlineStr">
        <is>
          <t>Bignay</t>
        </is>
      </c>
    </row>
    <row r="26606" spans="1:1">
      <c r="A26606" t="inlineStr">
        <is>
          <t>Bisig</t>
        </is>
      </c>
    </row>
    <row r="26607" spans="1:1">
      <c r="A26607" t="inlineStr">
        <is>
          <t>Canumay East</t>
        </is>
      </c>
    </row>
    <row r="26608" spans="1:1">
      <c r="A26608" t="inlineStr">
        <is>
          <t>Canumay West</t>
        </is>
      </c>
    </row>
    <row r="26609" spans="1:1">
      <c r="A26609" t="inlineStr">
        <is>
          <t>Coloong</t>
        </is>
      </c>
    </row>
    <row r="26610" spans="1:1">
      <c r="A26610" t="inlineStr">
        <is>
          <t>Dalandanan</t>
        </is>
      </c>
    </row>
    <row r="26611" spans="1:1">
      <c r="A26611" t="inlineStr">
        <is>
          <t>Gen. T. De Leon</t>
        </is>
      </c>
    </row>
    <row r="26612" spans="1:1">
      <c r="A26612" t="inlineStr">
        <is>
          <t>Isla</t>
        </is>
      </c>
    </row>
    <row r="26613" spans="1:1">
      <c r="A26613" t="inlineStr">
        <is>
          <t>Karuhatan</t>
        </is>
      </c>
    </row>
    <row r="26614" spans="1:1">
      <c r="A26614" t="inlineStr">
        <is>
          <t>Lawang Bato</t>
        </is>
      </c>
    </row>
    <row r="26615" spans="1:1">
      <c r="A26615" t="inlineStr">
        <is>
          <t>Lingunan</t>
        </is>
      </c>
    </row>
    <row r="26616" spans="1:1">
      <c r="A26616" t="inlineStr">
        <is>
          <t>Mabolo</t>
        </is>
      </c>
    </row>
    <row r="26617" spans="1:1">
      <c r="A26617" t="inlineStr">
        <is>
          <t>Malanday</t>
        </is>
      </c>
    </row>
    <row r="26618" spans="1:1">
      <c r="A26618" t="inlineStr">
        <is>
          <t>Malinta</t>
        </is>
      </c>
    </row>
    <row r="26619" spans="1:1">
      <c r="A26619" t="inlineStr">
        <is>
          <t>Mapulang Lupa</t>
        </is>
      </c>
    </row>
    <row r="26620" spans="1:1">
      <c r="A26620" t="inlineStr">
        <is>
          <t>Marulas</t>
        </is>
      </c>
    </row>
    <row r="26621" spans="1:1">
      <c r="A26621" t="inlineStr">
        <is>
          <t>Maysan</t>
        </is>
      </c>
    </row>
    <row r="26622" spans="1:1">
      <c r="A26622" t="inlineStr">
        <is>
          <t>Palasan</t>
        </is>
      </c>
    </row>
    <row r="26623" spans="1:1">
      <c r="A26623" t="inlineStr">
        <is>
          <t>Parada</t>
        </is>
      </c>
    </row>
    <row r="26624" spans="1:1">
      <c r="A26624" t="inlineStr">
        <is>
          <t>Pariancillo Villa</t>
        </is>
      </c>
    </row>
    <row r="26625" spans="1:1">
      <c r="A26625" t="inlineStr">
        <is>
          <t>Paso De Blas</t>
        </is>
      </c>
    </row>
    <row r="26626" spans="1:1">
      <c r="A26626" t="inlineStr">
        <is>
          <t>Pasolo</t>
        </is>
      </c>
    </row>
    <row r="26627" spans="1:1">
      <c r="A26627" t="inlineStr">
        <is>
          <t>Poblacion</t>
        </is>
      </c>
    </row>
    <row r="26628" spans="1:1">
      <c r="A26628" t="inlineStr">
        <is>
          <t>Pulo</t>
        </is>
      </c>
    </row>
    <row r="26629" spans="1:1">
      <c r="A26629" t="inlineStr">
        <is>
          <t>Punturin</t>
        </is>
      </c>
    </row>
    <row r="26630" spans="1:1">
      <c r="A26630" t="inlineStr">
        <is>
          <t>Rincon</t>
        </is>
      </c>
    </row>
    <row r="26631" spans="1:1">
      <c r="A26631" t="inlineStr">
        <is>
          <t>Tagalag</t>
        </is>
      </c>
    </row>
    <row r="26632" spans="1:1">
      <c r="A26632" t="inlineStr">
        <is>
          <t>Ugong</t>
        </is>
      </c>
    </row>
    <row r="26633" spans="1:1">
      <c r="A26633" t="inlineStr">
        <is>
          <t>Viente Reales</t>
        </is>
      </c>
    </row>
    <row r="26634" spans="1:1">
      <c r="A26634" t="inlineStr">
        <is>
          <t>Wawang Pulo</t>
        </is>
      </c>
    </row>
    <row r="26635" spans="1:1">
      <c r="A26635" t="inlineStr">
        <is>
          <t>Barangay 1</t>
        </is>
      </c>
    </row>
    <row r="26636" spans="1:1">
      <c r="A26636" t="inlineStr">
        <is>
          <t>Barangay 10</t>
        </is>
      </c>
    </row>
    <row r="26637" spans="1:1">
      <c r="A26637" t="inlineStr">
        <is>
          <t>Barangay 100</t>
        </is>
      </c>
    </row>
    <row r="26638" spans="1:1">
      <c r="A26638" t="inlineStr">
        <is>
          <t>Barangay 101</t>
        </is>
      </c>
    </row>
    <row r="26639" spans="1:1">
      <c r="A26639" t="inlineStr">
        <is>
          <t>Barangay 102</t>
        </is>
      </c>
    </row>
    <row r="26640" spans="1:1">
      <c r="A26640" t="inlineStr">
        <is>
          <t>Barangay 103</t>
        </is>
      </c>
    </row>
    <row r="26641" spans="1:1">
      <c r="A26641" t="inlineStr">
        <is>
          <t>Barangay 104</t>
        </is>
      </c>
    </row>
    <row r="26642" spans="1:1">
      <c r="A26642" t="inlineStr">
        <is>
          <t>Barangay 105</t>
        </is>
      </c>
    </row>
    <row r="26643" spans="1:1">
      <c r="A26643" t="inlineStr">
        <is>
          <t>Barangay 106</t>
        </is>
      </c>
    </row>
    <row r="26644" spans="1:1">
      <c r="A26644" t="inlineStr">
        <is>
          <t>Barangay 107</t>
        </is>
      </c>
    </row>
    <row r="26645" spans="1:1">
      <c r="A26645" t="inlineStr">
        <is>
          <t>Barangay 108</t>
        </is>
      </c>
    </row>
    <row r="26646" spans="1:1">
      <c r="A26646" t="inlineStr">
        <is>
          <t>Barangay 109</t>
        </is>
      </c>
    </row>
    <row r="26647" spans="1:1">
      <c r="A26647" t="inlineStr">
        <is>
          <t>Barangay 11</t>
        </is>
      </c>
    </row>
    <row r="26648" spans="1:1">
      <c r="A26648" t="inlineStr">
        <is>
          <t>Barangay 110</t>
        </is>
      </c>
    </row>
    <row r="26649" spans="1:1">
      <c r="A26649" t="inlineStr">
        <is>
          <t>Barangay 111</t>
        </is>
      </c>
    </row>
    <row r="26650" spans="1:1">
      <c r="A26650" t="inlineStr">
        <is>
          <t>Barangay 112</t>
        </is>
      </c>
    </row>
    <row r="26651" spans="1:1">
      <c r="A26651" t="inlineStr">
        <is>
          <t>Barangay 113</t>
        </is>
      </c>
    </row>
    <row r="26652" spans="1:1">
      <c r="A26652" t="inlineStr">
        <is>
          <t>Barangay 114</t>
        </is>
      </c>
    </row>
    <row r="26653" spans="1:1">
      <c r="A26653" t="inlineStr">
        <is>
          <t>Barangay 115</t>
        </is>
      </c>
    </row>
    <row r="26654" spans="1:1">
      <c r="A26654" t="inlineStr">
        <is>
          <t>Barangay 116</t>
        </is>
      </c>
    </row>
    <row r="26655" spans="1:1">
      <c r="A26655" t="inlineStr">
        <is>
          <t>Barangay 117</t>
        </is>
      </c>
    </row>
    <row r="26656" spans="1:1">
      <c r="A26656" t="inlineStr">
        <is>
          <t>Barangay 118</t>
        </is>
      </c>
    </row>
    <row r="26657" spans="1:1">
      <c r="A26657" t="inlineStr">
        <is>
          <t>Barangay 119</t>
        </is>
      </c>
    </row>
    <row r="26658" spans="1:1">
      <c r="A26658" t="inlineStr">
        <is>
          <t>Barangay 12</t>
        </is>
      </c>
    </row>
    <row r="26659" spans="1:1">
      <c r="A26659" t="inlineStr">
        <is>
          <t>Barangay 120</t>
        </is>
      </c>
    </row>
    <row r="26660" spans="1:1">
      <c r="A26660" t="inlineStr">
        <is>
          <t>Barangay 121</t>
        </is>
      </c>
    </row>
    <row r="26661" spans="1:1">
      <c r="A26661" t="inlineStr">
        <is>
          <t>Barangay 122</t>
        </is>
      </c>
    </row>
    <row r="26662" spans="1:1">
      <c r="A26662" t="inlineStr">
        <is>
          <t>Barangay 123</t>
        </is>
      </c>
    </row>
    <row r="26663" spans="1:1">
      <c r="A26663" t="inlineStr">
        <is>
          <t>Barangay 124</t>
        </is>
      </c>
    </row>
    <row r="26664" spans="1:1">
      <c r="A26664" t="inlineStr">
        <is>
          <t>Barangay 125</t>
        </is>
      </c>
    </row>
    <row r="26665" spans="1:1">
      <c r="A26665" t="inlineStr">
        <is>
          <t>Barangay 126</t>
        </is>
      </c>
    </row>
    <row r="26666" spans="1:1">
      <c r="A26666" t="inlineStr">
        <is>
          <t>Barangay 127</t>
        </is>
      </c>
    </row>
    <row r="26667" spans="1:1">
      <c r="A26667" t="inlineStr">
        <is>
          <t>Barangay 128</t>
        </is>
      </c>
    </row>
    <row r="26668" spans="1:1">
      <c r="A26668" t="inlineStr">
        <is>
          <t>Barangay 129</t>
        </is>
      </c>
    </row>
    <row r="26669" spans="1:1">
      <c r="A26669" t="inlineStr">
        <is>
          <t>Barangay 13</t>
        </is>
      </c>
    </row>
    <row r="26670" spans="1:1">
      <c r="A26670" t="inlineStr">
        <is>
          <t>Barangay 130</t>
        </is>
      </c>
    </row>
    <row r="26671" spans="1:1">
      <c r="A26671" t="inlineStr">
        <is>
          <t>Barangay 131</t>
        </is>
      </c>
    </row>
    <row r="26672" spans="1:1">
      <c r="A26672" t="inlineStr">
        <is>
          <t>Barangay 132</t>
        </is>
      </c>
    </row>
    <row r="26673" spans="1:1">
      <c r="A26673" t="inlineStr">
        <is>
          <t>Barangay 133</t>
        </is>
      </c>
    </row>
    <row r="26674" spans="1:1">
      <c r="A26674" t="inlineStr">
        <is>
          <t>Barangay 134</t>
        </is>
      </c>
    </row>
    <row r="26675" spans="1:1">
      <c r="A26675" t="inlineStr">
        <is>
          <t>Barangay 135</t>
        </is>
      </c>
    </row>
    <row r="26676" spans="1:1">
      <c r="A26676" t="inlineStr">
        <is>
          <t>Barangay 136</t>
        </is>
      </c>
    </row>
    <row r="26677" spans="1:1">
      <c r="A26677" t="inlineStr">
        <is>
          <t>Barangay 137</t>
        </is>
      </c>
    </row>
    <row r="26678" spans="1:1">
      <c r="A26678" t="inlineStr">
        <is>
          <t>Barangay 138</t>
        </is>
      </c>
    </row>
    <row r="26679" spans="1:1">
      <c r="A26679" t="inlineStr">
        <is>
          <t>Barangay 139</t>
        </is>
      </c>
    </row>
    <row r="26680" spans="1:1">
      <c r="A26680" t="inlineStr">
        <is>
          <t>Barangay 14</t>
        </is>
      </c>
    </row>
    <row r="26681" spans="1:1">
      <c r="A26681" t="inlineStr">
        <is>
          <t>Barangay 140</t>
        </is>
      </c>
    </row>
    <row r="26682" spans="1:1">
      <c r="A26682" t="inlineStr">
        <is>
          <t>Barangay 141</t>
        </is>
      </c>
    </row>
    <row r="26683" spans="1:1">
      <c r="A26683" t="inlineStr">
        <is>
          <t>Barangay 142</t>
        </is>
      </c>
    </row>
    <row r="26684" spans="1:1">
      <c r="A26684" t="inlineStr">
        <is>
          <t>Barangay 143</t>
        </is>
      </c>
    </row>
    <row r="26685" spans="1:1">
      <c r="A26685" t="inlineStr">
        <is>
          <t>Barangay 144</t>
        </is>
      </c>
    </row>
    <row r="26686" spans="1:1">
      <c r="A26686" t="inlineStr">
        <is>
          <t>Barangay 145</t>
        </is>
      </c>
    </row>
    <row r="26687" spans="1:1">
      <c r="A26687" t="inlineStr">
        <is>
          <t>Barangay 146</t>
        </is>
      </c>
    </row>
    <row r="26688" spans="1:1">
      <c r="A26688" t="inlineStr">
        <is>
          <t>Barangay 147</t>
        </is>
      </c>
    </row>
    <row r="26689" spans="1:1">
      <c r="A26689" t="inlineStr">
        <is>
          <t>Barangay 148</t>
        </is>
      </c>
    </row>
    <row r="26690" spans="1:1">
      <c r="A26690" t="inlineStr">
        <is>
          <t>Barangay 149</t>
        </is>
      </c>
    </row>
    <row r="26691" spans="1:1">
      <c r="A26691" t="inlineStr">
        <is>
          <t>Barangay 15</t>
        </is>
      </c>
    </row>
    <row r="26692" spans="1:1">
      <c r="A26692" t="inlineStr">
        <is>
          <t>Barangay 150</t>
        </is>
      </c>
    </row>
    <row r="26693" spans="1:1">
      <c r="A26693" t="inlineStr">
        <is>
          <t>Barangay 151</t>
        </is>
      </c>
    </row>
    <row r="26694" spans="1:1">
      <c r="A26694" t="inlineStr">
        <is>
          <t>Barangay 152</t>
        </is>
      </c>
    </row>
    <row r="26695" spans="1:1">
      <c r="A26695" t="inlineStr">
        <is>
          <t>Barangay 153</t>
        </is>
      </c>
    </row>
    <row r="26696" spans="1:1">
      <c r="A26696" t="inlineStr">
        <is>
          <t>Barangay 154</t>
        </is>
      </c>
    </row>
    <row r="26697" spans="1:1">
      <c r="A26697" t="inlineStr">
        <is>
          <t>Barangay 155</t>
        </is>
      </c>
    </row>
    <row r="26698" spans="1:1">
      <c r="A26698" t="inlineStr">
        <is>
          <t>Barangay 156</t>
        </is>
      </c>
    </row>
    <row r="26699" spans="1:1">
      <c r="A26699" t="inlineStr">
        <is>
          <t>Barangay 157</t>
        </is>
      </c>
    </row>
    <row r="26700" spans="1:1">
      <c r="A26700" t="inlineStr">
        <is>
          <t>Barangay 158</t>
        </is>
      </c>
    </row>
    <row r="26701" spans="1:1">
      <c r="A26701" t="inlineStr">
        <is>
          <t>Barangay 159</t>
        </is>
      </c>
    </row>
    <row r="26702" spans="1:1">
      <c r="A26702" t="inlineStr">
        <is>
          <t>Barangay 16</t>
        </is>
      </c>
    </row>
    <row r="26703" spans="1:1">
      <c r="A26703" t="inlineStr">
        <is>
          <t>Barangay 160</t>
        </is>
      </c>
    </row>
    <row r="26704" spans="1:1">
      <c r="A26704" t="inlineStr">
        <is>
          <t>Barangay 161</t>
        </is>
      </c>
    </row>
    <row r="26705" spans="1:1">
      <c r="A26705" t="inlineStr">
        <is>
          <t>Barangay 162</t>
        </is>
      </c>
    </row>
    <row r="26706" spans="1:1">
      <c r="A26706" t="inlineStr">
        <is>
          <t>Barangay 163</t>
        </is>
      </c>
    </row>
    <row r="26707" spans="1:1">
      <c r="A26707" t="inlineStr">
        <is>
          <t>Barangay 164</t>
        </is>
      </c>
    </row>
    <row r="26708" spans="1:1">
      <c r="A26708" t="inlineStr">
        <is>
          <t>Barangay 165</t>
        </is>
      </c>
    </row>
    <row r="26709" spans="1:1">
      <c r="A26709" t="inlineStr">
        <is>
          <t>Barangay 166</t>
        </is>
      </c>
    </row>
    <row r="26710" spans="1:1">
      <c r="A26710" t="inlineStr">
        <is>
          <t>Barangay 167</t>
        </is>
      </c>
    </row>
    <row r="26711" spans="1:1">
      <c r="A26711" t="inlineStr">
        <is>
          <t>Barangay 168</t>
        </is>
      </c>
    </row>
    <row r="26712" spans="1:1">
      <c r="A26712" t="inlineStr">
        <is>
          <t>Barangay 169</t>
        </is>
      </c>
    </row>
    <row r="26713" spans="1:1">
      <c r="A26713" t="inlineStr">
        <is>
          <t>Barangay 17</t>
        </is>
      </c>
    </row>
    <row r="26714" spans="1:1">
      <c r="A26714" t="inlineStr">
        <is>
          <t>Barangay 170</t>
        </is>
      </c>
    </row>
    <row r="26715" spans="1:1">
      <c r="A26715" t="inlineStr">
        <is>
          <t>Barangay 171</t>
        </is>
      </c>
    </row>
    <row r="26716" spans="1:1">
      <c r="A26716" t="inlineStr">
        <is>
          <t>Barangay 172</t>
        </is>
      </c>
    </row>
    <row r="26717" spans="1:1">
      <c r="A26717" t="inlineStr">
        <is>
          <t>Barangay 173</t>
        </is>
      </c>
    </row>
    <row r="26718" spans="1:1">
      <c r="A26718" t="inlineStr">
        <is>
          <t>Barangay 174</t>
        </is>
      </c>
    </row>
    <row r="26719" spans="1:1">
      <c r="A26719" t="inlineStr">
        <is>
          <t>Barangay 175</t>
        </is>
      </c>
    </row>
    <row r="26720" spans="1:1">
      <c r="A26720" t="inlineStr">
        <is>
          <t>Barangay 176</t>
        </is>
      </c>
    </row>
    <row r="26721" spans="1:1">
      <c r="A26721" t="inlineStr">
        <is>
          <t>Barangay 177</t>
        </is>
      </c>
    </row>
    <row r="26722" spans="1:1">
      <c r="A26722" t="inlineStr">
        <is>
          <t>Barangay 178</t>
        </is>
      </c>
    </row>
    <row r="26723" spans="1:1">
      <c r="A26723" t="inlineStr">
        <is>
          <t>Barangay 179</t>
        </is>
      </c>
    </row>
    <row r="26724" spans="1:1">
      <c r="A26724" t="inlineStr">
        <is>
          <t>Barangay 18</t>
        </is>
      </c>
    </row>
    <row r="26725" spans="1:1">
      <c r="A26725" t="inlineStr">
        <is>
          <t>Barangay 180</t>
        </is>
      </c>
    </row>
    <row r="26726" spans="1:1">
      <c r="A26726" t="inlineStr">
        <is>
          <t>Barangay 181</t>
        </is>
      </c>
    </row>
    <row r="26727" spans="1:1">
      <c r="A26727" t="inlineStr">
        <is>
          <t>Barangay 182</t>
        </is>
      </c>
    </row>
    <row r="26728" spans="1:1">
      <c r="A26728" t="inlineStr">
        <is>
          <t>Barangay 183</t>
        </is>
      </c>
    </row>
    <row r="26729" spans="1:1">
      <c r="A26729" t="inlineStr">
        <is>
          <t>Barangay 184</t>
        </is>
      </c>
    </row>
    <row r="26730" spans="1:1">
      <c r="A26730" t="inlineStr">
        <is>
          <t>Barangay 185</t>
        </is>
      </c>
    </row>
    <row r="26731" spans="1:1">
      <c r="A26731" t="inlineStr">
        <is>
          <t>Barangay 186</t>
        </is>
      </c>
    </row>
    <row r="26732" spans="1:1">
      <c r="A26732" t="inlineStr">
        <is>
          <t>Barangay 187</t>
        </is>
      </c>
    </row>
    <row r="26733" spans="1:1">
      <c r="A26733" t="inlineStr">
        <is>
          <t>Barangay 188</t>
        </is>
      </c>
    </row>
    <row r="26734" spans="1:1">
      <c r="A26734" t="inlineStr">
        <is>
          <t>Barangay 189</t>
        </is>
      </c>
    </row>
    <row r="26735" spans="1:1">
      <c r="A26735" t="inlineStr">
        <is>
          <t>Barangay 19</t>
        </is>
      </c>
    </row>
    <row r="26736" spans="1:1">
      <c r="A26736" t="inlineStr">
        <is>
          <t>Barangay 190</t>
        </is>
      </c>
    </row>
    <row r="26737" spans="1:1">
      <c r="A26737" t="inlineStr">
        <is>
          <t>Barangay 191</t>
        </is>
      </c>
    </row>
    <row r="26738" spans="1:1">
      <c r="A26738" t="inlineStr">
        <is>
          <t>Barangay 192</t>
        </is>
      </c>
    </row>
    <row r="26739" spans="1:1">
      <c r="A26739" t="inlineStr">
        <is>
          <t>Barangay 193</t>
        </is>
      </c>
    </row>
    <row r="26740" spans="1:1">
      <c r="A26740" t="inlineStr">
        <is>
          <t>Barangay 194</t>
        </is>
      </c>
    </row>
    <row r="26741" spans="1:1">
      <c r="A26741" t="inlineStr">
        <is>
          <t>Barangay 195</t>
        </is>
      </c>
    </row>
    <row r="26742" spans="1:1">
      <c r="A26742" t="inlineStr">
        <is>
          <t>Barangay 196</t>
        </is>
      </c>
    </row>
    <row r="26743" spans="1:1">
      <c r="A26743" t="inlineStr">
        <is>
          <t>Barangay 197</t>
        </is>
      </c>
    </row>
    <row r="26744" spans="1:1">
      <c r="A26744" t="inlineStr">
        <is>
          <t>Barangay 198</t>
        </is>
      </c>
    </row>
    <row r="26745" spans="1:1">
      <c r="A26745" t="inlineStr">
        <is>
          <t>Barangay 199</t>
        </is>
      </c>
    </row>
    <row r="26746" spans="1:1">
      <c r="A26746" t="inlineStr">
        <is>
          <t>Barangay 2</t>
        </is>
      </c>
    </row>
    <row r="26747" spans="1:1">
      <c r="A26747" t="inlineStr">
        <is>
          <t>Barangay 20</t>
        </is>
      </c>
    </row>
    <row r="26748" spans="1:1">
      <c r="A26748" t="inlineStr">
        <is>
          <t>Barangay 200</t>
        </is>
      </c>
    </row>
    <row r="26749" spans="1:1">
      <c r="A26749" t="inlineStr">
        <is>
          <t>Barangay 201</t>
        </is>
      </c>
    </row>
    <row r="26750" spans="1:1">
      <c r="A26750" t="inlineStr">
        <is>
          <t>Barangay 21</t>
        </is>
      </c>
    </row>
    <row r="26751" spans="1:1">
      <c r="A26751" t="inlineStr">
        <is>
          <t>Barangay 22</t>
        </is>
      </c>
    </row>
    <row r="26752" spans="1:1">
      <c r="A26752" t="inlineStr">
        <is>
          <t>Barangay 23</t>
        </is>
      </c>
    </row>
    <row r="26753" spans="1:1">
      <c r="A26753" t="inlineStr">
        <is>
          <t>Barangay 24</t>
        </is>
      </c>
    </row>
    <row r="26754" spans="1:1">
      <c r="A26754" t="inlineStr">
        <is>
          <t>Barangay 25</t>
        </is>
      </c>
    </row>
    <row r="26755" spans="1:1">
      <c r="A26755" t="inlineStr">
        <is>
          <t>Barangay 26</t>
        </is>
      </c>
    </row>
    <row r="26756" spans="1:1">
      <c r="A26756" t="inlineStr">
        <is>
          <t>Barangay 27</t>
        </is>
      </c>
    </row>
    <row r="26757" spans="1:1">
      <c r="A26757" t="inlineStr">
        <is>
          <t>Barangay 28</t>
        </is>
      </c>
    </row>
    <row r="26758" spans="1:1">
      <c r="A26758" t="inlineStr">
        <is>
          <t>Barangay 29</t>
        </is>
      </c>
    </row>
    <row r="26759" spans="1:1">
      <c r="A26759" t="inlineStr">
        <is>
          <t>Barangay 3</t>
        </is>
      </c>
    </row>
    <row r="26760" spans="1:1">
      <c r="A26760" t="inlineStr">
        <is>
          <t>Barangay 30</t>
        </is>
      </c>
    </row>
    <row r="26761" spans="1:1">
      <c r="A26761" t="inlineStr">
        <is>
          <t>Barangay 31</t>
        </is>
      </c>
    </row>
    <row r="26762" spans="1:1">
      <c r="A26762" t="inlineStr">
        <is>
          <t>Barangay 32</t>
        </is>
      </c>
    </row>
    <row r="26763" spans="1:1">
      <c r="A26763" t="inlineStr">
        <is>
          <t>Barangay 33</t>
        </is>
      </c>
    </row>
    <row r="26764" spans="1:1">
      <c r="A26764" t="inlineStr">
        <is>
          <t>Barangay 34</t>
        </is>
      </c>
    </row>
    <row r="26765" spans="1:1">
      <c r="A26765" t="inlineStr">
        <is>
          <t>Barangay 35</t>
        </is>
      </c>
    </row>
    <row r="26766" spans="1:1">
      <c r="A26766" t="inlineStr">
        <is>
          <t>Barangay 36</t>
        </is>
      </c>
    </row>
    <row r="26767" spans="1:1">
      <c r="A26767" t="inlineStr">
        <is>
          <t>Barangay 37</t>
        </is>
      </c>
    </row>
    <row r="26768" spans="1:1">
      <c r="A26768" t="inlineStr">
        <is>
          <t>Barangay 38</t>
        </is>
      </c>
    </row>
    <row r="26769" spans="1:1">
      <c r="A26769" t="inlineStr">
        <is>
          <t>Barangay 39</t>
        </is>
      </c>
    </row>
    <row r="26770" spans="1:1">
      <c r="A26770" t="inlineStr">
        <is>
          <t>Barangay 4</t>
        </is>
      </c>
    </row>
    <row r="26771" spans="1:1">
      <c r="A26771" t="inlineStr">
        <is>
          <t>Barangay 40</t>
        </is>
      </c>
    </row>
    <row r="26772" spans="1:1">
      <c r="A26772" t="inlineStr">
        <is>
          <t>Barangay 41</t>
        </is>
      </c>
    </row>
    <row r="26773" spans="1:1">
      <c r="A26773" t="inlineStr">
        <is>
          <t>Barangay 42</t>
        </is>
      </c>
    </row>
    <row r="26774" spans="1:1">
      <c r="A26774" t="inlineStr">
        <is>
          <t>Barangay 43</t>
        </is>
      </c>
    </row>
    <row r="26775" spans="1:1">
      <c r="A26775" t="inlineStr">
        <is>
          <t>Barangay 44</t>
        </is>
      </c>
    </row>
    <row r="26776" spans="1:1">
      <c r="A26776" t="inlineStr">
        <is>
          <t>Barangay 45</t>
        </is>
      </c>
    </row>
    <row r="26777" spans="1:1">
      <c r="A26777" t="inlineStr">
        <is>
          <t>Barangay 46</t>
        </is>
      </c>
    </row>
    <row r="26778" spans="1:1">
      <c r="A26778" t="inlineStr">
        <is>
          <t>Barangay 47</t>
        </is>
      </c>
    </row>
    <row r="26779" spans="1:1">
      <c r="A26779" t="inlineStr">
        <is>
          <t>Barangay 48</t>
        </is>
      </c>
    </row>
    <row r="26780" spans="1:1">
      <c r="A26780" t="inlineStr">
        <is>
          <t>Barangay 49</t>
        </is>
      </c>
    </row>
    <row r="26781" spans="1:1">
      <c r="A26781" t="inlineStr">
        <is>
          <t>Barangay 5</t>
        </is>
      </c>
    </row>
    <row r="26782" spans="1:1">
      <c r="A26782" t="inlineStr">
        <is>
          <t>Barangay 50</t>
        </is>
      </c>
    </row>
    <row r="26783" spans="1:1">
      <c r="A26783" t="inlineStr">
        <is>
          <t>Barangay 51</t>
        </is>
      </c>
    </row>
    <row r="26784" spans="1:1">
      <c r="A26784" t="inlineStr">
        <is>
          <t>Barangay 52</t>
        </is>
      </c>
    </row>
    <row r="26785" spans="1:1">
      <c r="A26785" t="inlineStr">
        <is>
          <t>Barangay 53</t>
        </is>
      </c>
    </row>
    <row r="26786" spans="1:1">
      <c r="A26786" t="inlineStr">
        <is>
          <t>Barangay 54</t>
        </is>
      </c>
    </row>
    <row r="26787" spans="1:1">
      <c r="A26787" t="inlineStr">
        <is>
          <t>Barangay 55</t>
        </is>
      </c>
    </row>
    <row r="26788" spans="1:1">
      <c r="A26788" t="inlineStr">
        <is>
          <t>Barangay 56</t>
        </is>
      </c>
    </row>
    <row r="26789" spans="1:1">
      <c r="A26789" t="inlineStr">
        <is>
          <t>Barangay 57</t>
        </is>
      </c>
    </row>
    <row r="26790" spans="1:1">
      <c r="A26790" t="inlineStr">
        <is>
          <t>Barangay 58</t>
        </is>
      </c>
    </row>
    <row r="26791" spans="1:1">
      <c r="A26791" t="inlineStr">
        <is>
          <t>Barangay 59</t>
        </is>
      </c>
    </row>
    <row r="26792" spans="1:1">
      <c r="A26792" t="inlineStr">
        <is>
          <t>Barangay 6</t>
        </is>
      </c>
    </row>
    <row r="26793" spans="1:1">
      <c r="A26793" t="inlineStr">
        <is>
          <t>Barangay 60</t>
        </is>
      </c>
    </row>
    <row r="26794" spans="1:1">
      <c r="A26794" t="inlineStr">
        <is>
          <t>Barangay 61</t>
        </is>
      </c>
    </row>
    <row r="26795" spans="1:1">
      <c r="A26795" t="inlineStr">
        <is>
          <t>Barangay 62</t>
        </is>
      </c>
    </row>
    <row r="26796" spans="1:1">
      <c r="A26796" t="inlineStr">
        <is>
          <t>Barangay 63</t>
        </is>
      </c>
    </row>
    <row r="26797" spans="1:1">
      <c r="A26797" t="inlineStr">
        <is>
          <t>Barangay 64</t>
        </is>
      </c>
    </row>
    <row r="26798" spans="1:1">
      <c r="A26798" t="inlineStr">
        <is>
          <t>Barangay 65</t>
        </is>
      </c>
    </row>
    <row r="26799" spans="1:1">
      <c r="A26799" t="inlineStr">
        <is>
          <t>Barangay 66</t>
        </is>
      </c>
    </row>
    <row r="26800" spans="1:1">
      <c r="A26800" t="inlineStr">
        <is>
          <t>Barangay 67</t>
        </is>
      </c>
    </row>
    <row r="26801" spans="1:1">
      <c r="A26801" t="inlineStr">
        <is>
          <t>Barangay 68</t>
        </is>
      </c>
    </row>
    <row r="26802" spans="1:1">
      <c r="A26802" t="inlineStr">
        <is>
          <t>Barangay 69</t>
        </is>
      </c>
    </row>
    <row r="26803" spans="1:1">
      <c r="A26803" t="inlineStr">
        <is>
          <t>Barangay 7</t>
        </is>
      </c>
    </row>
    <row r="26804" spans="1:1">
      <c r="A26804" t="inlineStr">
        <is>
          <t>Barangay 70</t>
        </is>
      </c>
    </row>
    <row r="26805" spans="1:1">
      <c r="A26805" t="inlineStr">
        <is>
          <t>Barangay 71</t>
        </is>
      </c>
    </row>
    <row r="26806" spans="1:1">
      <c r="A26806" t="inlineStr">
        <is>
          <t>Barangay 72</t>
        </is>
      </c>
    </row>
    <row r="26807" spans="1:1">
      <c r="A26807" t="inlineStr">
        <is>
          <t>Barangay 73</t>
        </is>
      </c>
    </row>
    <row r="26808" spans="1:1">
      <c r="A26808" t="inlineStr">
        <is>
          <t>Barangay 74</t>
        </is>
      </c>
    </row>
    <row r="26809" spans="1:1">
      <c r="A26809" t="inlineStr">
        <is>
          <t>Barangay 75</t>
        </is>
      </c>
    </row>
    <row r="26810" spans="1:1">
      <c r="A26810" t="inlineStr">
        <is>
          <t>Barangay 76</t>
        </is>
      </c>
    </row>
    <row r="26811" spans="1:1">
      <c r="A26811" t="inlineStr">
        <is>
          <t>Barangay 77</t>
        </is>
      </c>
    </row>
    <row r="26812" spans="1:1">
      <c r="A26812" t="inlineStr">
        <is>
          <t>Barangay 78</t>
        </is>
      </c>
    </row>
    <row r="26813" spans="1:1">
      <c r="A26813" t="inlineStr">
        <is>
          <t>Barangay 79</t>
        </is>
      </c>
    </row>
    <row r="26814" spans="1:1">
      <c r="A26814" t="inlineStr">
        <is>
          <t>Barangay 8</t>
        </is>
      </c>
    </row>
    <row r="26815" spans="1:1">
      <c r="A26815" t="inlineStr">
        <is>
          <t>Barangay 80</t>
        </is>
      </c>
    </row>
    <row r="26816" spans="1:1">
      <c r="A26816" t="inlineStr">
        <is>
          <t>Barangay 81</t>
        </is>
      </c>
    </row>
    <row r="26817" spans="1:1">
      <c r="A26817" t="inlineStr">
        <is>
          <t>Barangay 82</t>
        </is>
      </c>
    </row>
    <row r="26818" spans="1:1">
      <c r="A26818" t="inlineStr">
        <is>
          <t>Barangay 83</t>
        </is>
      </c>
    </row>
    <row r="26819" spans="1:1">
      <c r="A26819" t="inlineStr">
        <is>
          <t>Barangay 84</t>
        </is>
      </c>
    </row>
    <row r="26820" spans="1:1">
      <c r="A26820" t="inlineStr">
        <is>
          <t>Barangay 85</t>
        </is>
      </c>
    </row>
    <row r="26821" spans="1:1">
      <c r="A26821" t="inlineStr">
        <is>
          <t>Barangay 86</t>
        </is>
      </c>
    </row>
    <row r="26822" spans="1:1">
      <c r="A26822" t="inlineStr">
        <is>
          <t>Barangay 87</t>
        </is>
      </c>
    </row>
    <row r="26823" spans="1:1">
      <c r="A26823" t="inlineStr">
        <is>
          <t>Barangay 88</t>
        </is>
      </c>
    </row>
    <row r="26824" spans="1:1">
      <c r="A26824" t="inlineStr">
        <is>
          <t>Barangay 89</t>
        </is>
      </c>
    </row>
    <row r="26825" spans="1:1">
      <c r="A26825" t="inlineStr">
        <is>
          <t>Barangay 9</t>
        </is>
      </c>
    </row>
    <row r="26826" spans="1:1">
      <c r="A26826" t="inlineStr">
        <is>
          <t>Barangay 90</t>
        </is>
      </c>
    </row>
    <row r="26827" spans="1:1">
      <c r="A26827" t="inlineStr">
        <is>
          <t>Barangay 91</t>
        </is>
      </c>
    </row>
    <row r="26828" spans="1:1">
      <c r="A26828" t="inlineStr">
        <is>
          <t>Barangay 92</t>
        </is>
      </c>
    </row>
    <row r="26829" spans="1:1">
      <c r="A26829" t="inlineStr">
        <is>
          <t>Barangay 93</t>
        </is>
      </c>
    </row>
    <row r="26830" spans="1:1">
      <c r="A26830" t="inlineStr">
        <is>
          <t>Barangay 94</t>
        </is>
      </c>
    </row>
    <row r="26831" spans="1:1">
      <c r="A26831" t="inlineStr">
        <is>
          <t>Barangay 95</t>
        </is>
      </c>
    </row>
    <row r="26832" spans="1:1">
      <c r="A26832" t="inlineStr">
        <is>
          <t>Barangay 96</t>
        </is>
      </c>
    </row>
    <row r="26833" spans="1:1">
      <c r="A26833" t="inlineStr">
        <is>
          <t>Barangay 97</t>
        </is>
      </c>
    </row>
    <row r="26834" spans="1:1">
      <c r="A26834" t="inlineStr">
        <is>
          <t>Barangay 98</t>
        </is>
      </c>
    </row>
    <row r="26835" spans="1:1">
      <c r="A26835" t="inlineStr">
        <is>
          <t>Barangay 99</t>
        </is>
      </c>
    </row>
    <row r="26836" spans="1:1">
      <c r="A26836" t="inlineStr">
        <is>
          <t>Aguho</t>
        </is>
      </c>
    </row>
    <row r="26837" spans="1:1">
      <c r="A26837" t="inlineStr">
        <is>
          <t>Magtanggol</t>
        </is>
      </c>
    </row>
    <row r="26838" spans="1:1">
      <c r="A26838" t="inlineStr">
        <is>
          <t>Martires Del 96</t>
        </is>
      </c>
    </row>
    <row r="26839" spans="1:1">
      <c r="A26839" t="inlineStr">
        <is>
          <t>Poblacion</t>
        </is>
      </c>
    </row>
    <row r="26840" spans="1:1">
      <c r="A26840" t="inlineStr">
        <is>
          <t>San Pedro</t>
        </is>
      </c>
    </row>
    <row r="26841" spans="1:1">
      <c r="A26841" t="inlineStr">
        <is>
          <t>San Roque</t>
        </is>
      </c>
    </row>
    <row r="26842" spans="1:1">
      <c r="A26842" t="inlineStr">
        <is>
          <t>Santa Ana</t>
        </is>
      </c>
    </row>
    <row r="26843" spans="1:1">
      <c r="A26843" t="inlineStr">
        <is>
          <t>Santo Rosario-Kanluran</t>
        </is>
      </c>
    </row>
    <row r="26844" spans="1:1">
      <c r="A26844" t="inlineStr">
        <is>
          <t>Santo Rosario-Silangan</t>
        </is>
      </c>
    </row>
    <row r="26845" spans="1:1">
      <c r="A26845" t="inlineStr">
        <is>
          <t>Tabacalera</t>
        </is>
      </c>
    </row>
    <row r="26846" spans="1:1">
      <c r="A26846" t="inlineStr">
        <is>
          <t>Alicia</t>
        </is>
      </c>
    </row>
    <row r="26847" spans="1:1">
      <c r="A26847" t="inlineStr">
        <is>
          <t>Amihan</t>
        </is>
      </c>
    </row>
    <row r="26848" spans="1:1">
      <c r="A26848" t="inlineStr">
        <is>
          <t>Apolonio Samson</t>
        </is>
      </c>
    </row>
    <row r="26849" spans="1:1">
      <c r="A26849" t="inlineStr">
        <is>
          <t>Aurora</t>
        </is>
      </c>
    </row>
    <row r="26850" spans="1:1">
      <c r="A26850" t="inlineStr">
        <is>
          <t>Baesa</t>
        </is>
      </c>
    </row>
    <row r="26851" spans="1:1">
      <c r="A26851" t="inlineStr">
        <is>
          <t>Bagbag</t>
        </is>
      </c>
    </row>
    <row r="26852" spans="1:1">
      <c r="A26852" t="inlineStr">
        <is>
          <t>Bagong Lipunan Ng Crame</t>
        </is>
      </c>
    </row>
    <row r="26853" spans="1:1">
      <c r="A26853" t="inlineStr">
        <is>
          <t>Bagong Pag-asa</t>
        </is>
      </c>
    </row>
    <row r="26854" spans="1:1">
      <c r="A26854" t="inlineStr">
        <is>
          <t>Bagong Silangan</t>
        </is>
      </c>
    </row>
    <row r="26855" spans="1:1">
      <c r="A26855" t="inlineStr">
        <is>
          <t>Bagumbayan</t>
        </is>
      </c>
    </row>
    <row r="26856" spans="1:1">
      <c r="A26856" t="inlineStr">
        <is>
          <t>Bagumbuhay</t>
        </is>
      </c>
    </row>
    <row r="26857" spans="1:1">
      <c r="A26857" t="inlineStr">
        <is>
          <t>Bahay Toro</t>
        </is>
      </c>
    </row>
    <row r="26858" spans="1:1">
      <c r="A26858" t="inlineStr">
        <is>
          <t>Balingasa</t>
        </is>
      </c>
    </row>
    <row r="26859" spans="1:1">
      <c r="A26859" t="inlineStr">
        <is>
          <t>Balong Bato</t>
        </is>
      </c>
    </row>
    <row r="26860" spans="1:1">
      <c r="A26860" t="inlineStr">
        <is>
          <t>Batasan Hills</t>
        </is>
      </c>
    </row>
    <row r="26861" spans="1:1">
      <c r="A26861" t="inlineStr">
        <is>
          <t>Bayanihan</t>
        </is>
      </c>
    </row>
    <row r="26862" spans="1:1">
      <c r="A26862" t="inlineStr">
        <is>
          <t>Blue Ridge A</t>
        </is>
      </c>
    </row>
    <row r="26863" spans="1:1">
      <c r="A26863" t="inlineStr">
        <is>
          <t>Blue Ridge B</t>
        </is>
      </c>
    </row>
    <row r="26864" spans="1:1">
      <c r="A26864" t="inlineStr">
        <is>
          <t>Botocan</t>
        </is>
      </c>
    </row>
    <row r="26865" spans="1:1">
      <c r="A26865" t="inlineStr">
        <is>
          <t>Bungad</t>
        </is>
      </c>
    </row>
    <row r="26866" spans="1:1">
      <c r="A26866" t="inlineStr">
        <is>
          <t>Camp Aguinaldo</t>
        </is>
      </c>
    </row>
    <row r="26867" spans="1:1">
      <c r="A26867" t="inlineStr">
        <is>
          <t>Capri</t>
        </is>
      </c>
    </row>
    <row r="26868" spans="1:1">
      <c r="A26868" t="inlineStr">
        <is>
          <t>Central</t>
        </is>
      </c>
    </row>
    <row r="26869" spans="1:1">
      <c r="A26869" t="inlineStr">
        <is>
          <t>Claro</t>
        </is>
      </c>
    </row>
    <row r="26870" spans="1:1">
      <c r="A26870" t="inlineStr">
        <is>
          <t>Commonwealth</t>
        </is>
      </c>
    </row>
    <row r="26871" spans="1:1">
      <c r="A26871" t="inlineStr">
        <is>
          <t>Culiat</t>
        </is>
      </c>
    </row>
    <row r="26872" spans="1:1">
      <c r="A26872" t="inlineStr">
        <is>
          <t>Damar</t>
        </is>
      </c>
    </row>
    <row r="26873" spans="1:1">
      <c r="A26873" t="inlineStr">
        <is>
          <t>Damayan</t>
        </is>
      </c>
    </row>
    <row r="26874" spans="1:1">
      <c r="A26874" t="inlineStr">
        <is>
          <t>Damayang Lagi</t>
        </is>
      </c>
    </row>
    <row r="26875" spans="1:1">
      <c r="A26875" t="inlineStr">
        <is>
          <t>Del Monte</t>
        </is>
      </c>
    </row>
    <row r="26876" spans="1:1">
      <c r="A26876" t="inlineStr">
        <is>
          <t>Dioquino Zobel</t>
        </is>
      </c>
    </row>
    <row r="26877" spans="1:1">
      <c r="A26877" t="inlineStr">
        <is>
          <t>Don Manuel</t>
        </is>
      </c>
    </row>
    <row r="26878" spans="1:1">
      <c r="A26878" t="inlineStr">
        <is>
          <t>Doña Imelda</t>
        </is>
      </c>
    </row>
    <row r="26879" spans="1:1">
      <c r="A26879" t="inlineStr">
        <is>
          <t>Doña Josefa</t>
        </is>
      </c>
    </row>
    <row r="26880" spans="1:1">
      <c r="A26880" t="inlineStr">
        <is>
          <t>Duyan-duyan</t>
        </is>
      </c>
    </row>
    <row r="26881" spans="1:1">
      <c r="A26881" t="inlineStr">
        <is>
          <t>E. Rodriguez</t>
        </is>
      </c>
    </row>
    <row r="26882" spans="1:1">
      <c r="A26882" t="inlineStr">
        <is>
          <t>East Kamias</t>
        </is>
      </c>
    </row>
    <row r="26883" spans="1:1">
      <c r="A26883" t="inlineStr">
        <is>
          <t>Escopa I</t>
        </is>
      </c>
    </row>
    <row r="26884" spans="1:1">
      <c r="A26884" t="inlineStr">
        <is>
          <t>Escopa II</t>
        </is>
      </c>
    </row>
    <row r="26885" spans="1:1">
      <c r="A26885" t="inlineStr">
        <is>
          <t>Escopa III</t>
        </is>
      </c>
    </row>
    <row r="26886" spans="1:1">
      <c r="A26886" t="inlineStr">
        <is>
          <t>Escopa IV</t>
        </is>
      </c>
    </row>
    <row r="26887" spans="1:1">
      <c r="A26887" t="inlineStr">
        <is>
          <t>Fairview</t>
        </is>
      </c>
    </row>
    <row r="26888" spans="1:1">
      <c r="A26888" t="inlineStr">
        <is>
          <t>Greater Lagro</t>
        </is>
      </c>
    </row>
    <row r="26889" spans="1:1">
      <c r="A26889" t="inlineStr">
        <is>
          <t>Gulod</t>
        </is>
      </c>
    </row>
    <row r="26890" spans="1:1">
      <c r="A26890" t="inlineStr">
        <is>
          <t>Holy Spirit</t>
        </is>
      </c>
    </row>
    <row r="26891" spans="1:1">
      <c r="A26891" t="inlineStr">
        <is>
          <t>Horseshoe</t>
        </is>
      </c>
    </row>
    <row r="26892" spans="1:1">
      <c r="A26892" t="inlineStr">
        <is>
          <t>Immaculate Concepcion</t>
        </is>
      </c>
    </row>
    <row r="26893" spans="1:1">
      <c r="A26893" t="inlineStr">
        <is>
          <t>Kaligayahan</t>
        </is>
      </c>
    </row>
    <row r="26894" spans="1:1">
      <c r="A26894" t="inlineStr">
        <is>
          <t>Kalusugan</t>
        </is>
      </c>
    </row>
    <row r="26895" spans="1:1">
      <c r="A26895" t="inlineStr">
        <is>
          <t>Kamuning</t>
        </is>
      </c>
    </row>
    <row r="26896" spans="1:1">
      <c r="A26896" t="inlineStr">
        <is>
          <t>Katipunan</t>
        </is>
      </c>
    </row>
    <row r="26897" spans="1:1">
      <c r="A26897" t="inlineStr">
        <is>
          <t>Kaunlaran</t>
        </is>
      </c>
    </row>
    <row r="26898" spans="1:1">
      <c r="A26898" t="inlineStr">
        <is>
          <t>Kristong Hari</t>
        </is>
      </c>
    </row>
    <row r="26899" spans="1:1">
      <c r="A26899" t="inlineStr">
        <is>
          <t>Krus Na Ligas</t>
        </is>
      </c>
    </row>
    <row r="26900" spans="1:1">
      <c r="A26900" t="inlineStr">
        <is>
          <t>Laging Handa</t>
        </is>
      </c>
    </row>
    <row r="26901" spans="1:1">
      <c r="A26901" t="inlineStr">
        <is>
          <t>Libis</t>
        </is>
      </c>
    </row>
    <row r="26902" spans="1:1">
      <c r="A26902" t="inlineStr">
        <is>
          <t>Lourdes</t>
        </is>
      </c>
    </row>
    <row r="26903" spans="1:1">
      <c r="A26903" t="inlineStr">
        <is>
          <t>Loyola Heights</t>
        </is>
      </c>
    </row>
    <row r="26904" spans="1:1">
      <c r="A26904" t="inlineStr">
        <is>
          <t>Maharlika</t>
        </is>
      </c>
    </row>
    <row r="26905" spans="1:1">
      <c r="A26905" t="inlineStr">
        <is>
          <t>Malaya</t>
        </is>
      </c>
    </row>
    <row r="26906" spans="1:1">
      <c r="A26906" t="inlineStr">
        <is>
          <t>Mangga</t>
        </is>
      </c>
    </row>
    <row r="26907" spans="1:1">
      <c r="A26907" t="inlineStr">
        <is>
          <t>Manresa</t>
        </is>
      </c>
    </row>
    <row r="26908" spans="1:1">
      <c r="A26908" t="inlineStr">
        <is>
          <t>Mariana</t>
        </is>
      </c>
    </row>
    <row r="26909" spans="1:1">
      <c r="A26909" t="inlineStr">
        <is>
          <t>Mariblo</t>
        </is>
      </c>
    </row>
    <row r="26910" spans="1:1">
      <c r="A26910" t="inlineStr">
        <is>
          <t>Marilag</t>
        </is>
      </c>
    </row>
    <row r="26911" spans="1:1">
      <c r="A26911" t="inlineStr">
        <is>
          <t>Masagana</t>
        </is>
      </c>
    </row>
    <row r="26912" spans="1:1">
      <c r="A26912" t="inlineStr">
        <is>
          <t>Masambong</t>
        </is>
      </c>
    </row>
    <row r="26913" spans="1:1">
      <c r="A26913" t="inlineStr">
        <is>
          <t>Matandang Balara</t>
        </is>
      </c>
    </row>
    <row r="26914" spans="1:1">
      <c r="A26914" t="inlineStr">
        <is>
          <t>Milagrosa</t>
        </is>
      </c>
    </row>
    <row r="26915" spans="1:1">
      <c r="A26915" t="inlineStr">
        <is>
          <t>N.S. Amoranto</t>
        </is>
      </c>
    </row>
    <row r="26916" spans="1:1">
      <c r="A26916" t="inlineStr">
        <is>
          <t>Nagkaisang Nayon</t>
        </is>
      </c>
    </row>
    <row r="26917" spans="1:1">
      <c r="A26917" t="inlineStr">
        <is>
          <t>Nayong Kanluran</t>
        </is>
      </c>
    </row>
    <row r="26918" spans="1:1">
      <c r="A26918" t="inlineStr">
        <is>
          <t>New Era</t>
        </is>
      </c>
    </row>
    <row r="26919" spans="1:1">
      <c r="A26919" t="inlineStr">
        <is>
          <t>North Fairview</t>
        </is>
      </c>
    </row>
    <row r="26920" spans="1:1">
      <c r="A26920" t="inlineStr">
        <is>
          <t>Novaliches Proper</t>
        </is>
      </c>
    </row>
    <row r="26921" spans="1:1">
      <c r="A26921" t="inlineStr">
        <is>
          <t>Obrero</t>
        </is>
      </c>
    </row>
    <row r="26922" spans="1:1">
      <c r="A26922" t="inlineStr">
        <is>
          <t>Old Capitol Site</t>
        </is>
      </c>
    </row>
    <row r="26923" spans="1:1">
      <c r="A26923" t="inlineStr">
        <is>
          <t>Paang Bundok</t>
        </is>
      </c>
    </row>
    <row r="26924" spans="1:1">
      <c r="A26924" t="inlineStr">
        <is>
          <t>Pag-ibig Sa Nayon</t>
        </is>
      </c>
    </row>
    <row r="26925" spans="1:1">
      <c r="A26925" t="inlineStr">
        <is>
          <t>Paligsahan</t>
        </is>
      </c>
    </row>
    <row r="26926" spans="1:1">
      <c r="A26926" t="inlineStr">
        <is>
          <t>Paltok</t>
        </is>
      </c>
    </row>
    <row r="26927" spans="1:1">
      <c r="A26927" t="inlineStr">
        <is>
          <t>Pansol</t>
        </is>
      </c>
    </row>
    <row r="26928" spans="1:1">
      <c r="A26928" t="inlineStr">
        <is>
          <t>Paraiso</t>
        </is>
      </c>
    </row>
    <row r="26929" spans="1:1">
      <c r="A26929" t="inlineStr">
        <is>
          <t>Pasong Putik Proper</t>
        </is>
      </c>
    </row>
    <row r="26930" spans="1:1">
      <c r="A26930" t="inlineStr">
        <is>
          <t>Pasong Tamo</t>
        </is>
      </c>
    </row>
    <row r="26931" spans="1:1">
      <c r="A26931" t="inlineStr">
        <is>
          <t>Payatas</t>
        </is>
      </c>
    </row>
    <row r="26932" spans="1:1">
      <c r="A26932" t="inlineStr">
        <is>
          <t>Phil-Am</t>
        </is>
      </c>
    </row>
    <row r="26933" spans="1:1">
      <c r="A26933" t="inlineStr">
        <is>
          <t>Pinagkaisahan</t>
        </is>
      </c>
    </row>
    <row r="26934" spans="1:1">
      <c r="A26934" t="inlineStr">
        <is>
          <t>Pinyahan</t>
        </is>
      </c>
    </row>
    <row r="26935" spans="1:1">
      <c r="A26935" t="inlineStr">
        <is>
          <t>Project 6</t>
        </is>
      </c>
    </row>
    <row r="26936" spans="1:1">
      <c r="A26936" t="inlineStr">
        <is>
          <t>Quirino 2-A</t>
        </is>
      </c>
    </row>
    <row r="26937" spans="1:1">
      <c r="A26937" t="inlineStr">
        <is>
          <t>Quirino 2-B</t>
        </is>
      </c>
    </row>
    <row r="26938" spans="1:1">
      <c r="A26938" t="inlineStr">
        <is>
          <t>Quirino 2-C</t>
        </is>
      </c>
    </row>
    <row r="26939" spans="1:1">
      <c r="A26939" t="inlineStr">
        <is>
          <t>Quirino 3-A</t>
        </is>
      </c>
    </row>
    <row r="26940" spans="1:1">
      <c r="A26940" t="inlineStr">
        <is>
          <t>Ramon Magsaysay</t>
        </is>
      </c>
    </row>
    <row r="26941" spans="1:1">
      <c r="A26941" t="inlineStr">
        <is>
          <t>Roxas</t>
        </is>
      </c>
    </row>
    <row r="26942" spans="1:1">
      <c r="A26942" t="inlineStr">
        <is>
          <t>Sacred Heart</t>
        </is>
      </c>
    </row>
    <row r="26943" spans="1:1">
      <c r="A26943" t="inlineStr">
        <is>
          <t>Saint Ignatius</t>
        </is>
      </c>
    </row>
    <row r="26944" spans="1:1">
      <c r="A26944" t="inlineStr">
        <is>
          <t>Saint Peter</t>
        </is>
      </c>
    </row>
    <row r="26945" spans="1:1">
      <c r="A26945" t="inlineStr">
        <is>
          <t>Salvacion</t>
        </is>
      </c>
    </row>
    <row r="26946" spans="1:1">
      <c r="A26946" t="inlineStr">
        <is>
          <t>San Agustin</t>
        </is>
      </c>
    </row>
    <row r="26947" spans="1:1">
      <c r="A26947" t="inlineStr">
        <is>
          <t>San Antonio</t>
        </is>
      </c>
    </row>
    <row r="26948" spans="1:1">
      <c r="A26948" t="inlineStr">
        <is>
          <t>San Bartolome</t>
        </is>
      </c>
    </row>
    <row r="26949" spans="1:1">
      <c r="A26949" t="inlineStr">
        <is>
          <t>San Isidro</t>
        </is>
      </c>
    </row>
    <row r="26950" spans="1:1">
      <c r="A26950" t="inlineStr">
        <is>
          <t>San Isidro Labrador</t>
        </is>
      </c>
    </row>
    <row r="26951" spans="1:1">
      <c r="A26951" t="inlineStr">
        <is>
          <t>San Jose</t>
        </is>
      </c>
    </row>
    <row r="26952" spans="1:1">
      <c r="A26952" t="inlineStr">
        <is>
          <t>San Martin De Porres</t>
        </is>
      </c>
    </row>
    <row r="26953" spans="1:1">
      <c r="A26953" t="inlineStr">
        <is>
          <t>San Roque</t>
        </is>
      </c>
    </row>
    <row r="26954" spans="1:1">
      <c r="A26954" t="inlineStr">
        <is>
          <t>San Vicente</t>
        </is>
      </c>
    </row>
    <row r="26955" spans="1:1">
      <c r="A26955" t="inlineStr">
        <is>
          <t>Sangandaan</t>
        </is>
      </c>
    </row>
    <row r="26956" spans="1:1">
      <c r="A26956" t="inlineStr">
        <is>
          <t>Santa Cruz</t>
        </is>
      </c>
    </row>
    <row r="26957" spans="1:1">
      <c r="A26957" t="inlineStr">
        <is>
          <t>Santa Lucia</t>
        </is>
      </c>
    </row>
    <row r="26958" spans="1:1">
      <c r="A26958" t="inlineStr">
        <is>
          <t>Santa Monica</t>
        </is>
      </c>
    </row>
    <row r="26959" spans="1:1">
      <c r="A26959" t="inlineStr">
        <is>
          <t>Santa Teresita</t>
        </is>
      </c>
    </row>
    <row r="26960" spans="1:1">
      <c r="A26960" t="inlineStr">
        <is>
          <t>Santo Cristo</t>
        </is>
      </c>
    </row>
    <row r="26961" spans="1:1">
      <c r="A26961" t="inlineStr">
        <is>
          <t>Santo Domingo</t>
        </is>
      </c>
    </row>
    <row r="26962" spans="1:1">
      <c r="A26962" t="inlineStr">
        <is>
          <t>Santo Niño</t>
        </is>
      </c>
    </row>
    <row r="26963" spans="1:1">
      <c r="A26963" t="inlineStr">
        <is>
          <t>Santol</t>
        </is>
      </c>
    </row>
    <row r="26964" spans="1:1">
      <c r="A26964" t="inlineStr">
        <is>
          <t>Sauyo</t>
        </is>
      </c>
    </row>
    <row r="26965" spans="1:1">
      <c r="A26965" t="inlineStr">
        <is>
          <t>Sienna</t>
        </is>
      </c>
    </row>
    <row r="26966" spans="1:1">
      <c r="A26966" t="inlineStr">
        <is>
          <t>Sikatuna Village</t>
        </is>
      </c>
    </row>
    <row r="26967" spans="1:1">
      <c r="A26967" t="inlineStr">
        <is>
          <t>Silangan</t>
        </is>
      </c>
    </row>
    <row r="26968" spans="1:1">
      <c r="A26968" t="inlineStr">
        <is>
          <t>Socorro</t>
        </is>
      </c>
    </row>
    <row r="26969" spans="1:1">
      <c r="A26969" t="inlineStr">
        <is>
          <t>South Triangle</t>
        </is>
      </c>
    </row>
    <row r="26970" spans="1:1">
      <c r="A26970" t="inlineStr">
        <is>
          <t>Tagumpay</t>
        </is>
      </c>
    </row>
    <row r="26971" spans="1:1">
      <c r="A26971" t="inlineStr">
        <is>
          <t>Talayan</t>
        </is>
      </c>
    </row>
    <row r="26972" spans="1:1">
      <c r="A26972" t="inlineStr">
        <is>
          <t>Talipapa</t>
        </is>
      </c>
    </row>
    <row r="26973" spans="1:1">
      <c r="A26973" t="inlineStr">
        <is>
          <t>Tandang Sora</t>
        </is>
      </c>
    </row>
    <row r="26974" spans="1:1">
      <c r="A26974" t="inlineStr">
        <is>
          <t>Tatalon</t>
        </is>
      </c>
    </row>
    <row r="26975" spans="1:1">
      <c r="A26975" t="inlineStr">
        <is>
          <t>Teachers Village East</t>
        </is>
      </c>
    </row>
    <row r="26976" spans="1:1">
      <c r="A26976" t="inlineStr">
        <is>
          <t>Teachers Village West</t>
        </is>
      </c>
    </row>
    <row r="26977" spans="1:1">
      <c r="A26977" t="inlineStr">
        <is>
          <t>U.P. Campus</t>
        </is>
      </c>
    </row>
    <row r="26978" spans="1:1">
      <c r="A26978" t="inlineStr">
        <is>
          <t>U.P. Village</t>
        </is>
      </c>
    </row>
    <row r="26979" spans="1:1">
      <c r="A26979" t="inlineStr">
        <is>
          <t>Ugong Norte</t>
        </is>
      </c>
    </row>
    <row r="26980" spans="1:1">
      <c r="A26980" t="inlineStr">
        <is>
          <t>Unang Sigaw</t>
        </is>
      </c>
    </row>
    <row r="26981" spans="1:1">
      <c r="A26981" t="inlineStr">
        <is>
          <t>Valencia</t>
        </is>
      </c>
    </row>
    <row r="26982" spans="1:1">
      <c r="A26982" t="inlineStr">
        <is>
          <t>Vasra</t>
        </is>
      </c>
    </row>
    <row r="26983" spans="1:1">
      <c r="A26983" t="inlineStr">
        <is>
          <t>Veterans Village</t>
        </is>
      </c>
    </row>
    <row r="26984" spans="1:1">
      <c r="A26984" t="inlineStr">
        <is>
          <t>Villa Maria Clara</t>
        </is>
      </c>
    </row>
    <row r="26985" spans="1:1">
      <c r="A26985" t="inlineStr">
        <is>
          <t>West Kamias</t>
        </is>
      </c>
    </row>
    <row r="26986" spans="1:1">
      <c r="A26986" t="inlineStr">
        <is>
          <t>West Triangle</t>
        </is>
      </c>
    </row>
    <row r="26987" spans="1:1">
      <c r="A26987" t="inlineStr">
        <is>
          <t>White Plains</t>
        </is>
      </c>
    </row>
    <row r="26988" spans="1:1">
      <c r="A26988" t="inlineStr">
        <is>
          <t>Balintonga</t>
        </is>
      </c>
    </row>
    <row r="26989" spans="1:1">
      <c r="A26989" t="inlineStr">
        <is>
          <t>Banisilon</t>
        </is>
      </c>
    </row>
    <row r="26990" spans="1:1">
      <c r="A26990" t="inlineStr">
        <is>
          <t>Burgos</t>
        </is>
      </c>
    </row>
    <row r="26991" spans="1:1">
      <c r="A26991" t="inlineStr">
        <is>
          <t>Calube</t>
        </is>
      </c>
    </row>
    <row r="26992" spans="1:1">
      <c r="A26992" t="inlineStr">
        <is>
          <t>Caputol</t>
        </is>
      </c>
    </row>
    <row r="26993" spans="1:1">
      <c r="A26993" t="inlineStr">
        <is>
          <t>Casusan</t>
        </is>
      </c>
    </row>
    <row r="26994" spans="1:1">
      <c r="A26994" t="inlineStr">
        <is>
          <t>Conat</t>
        </is>
      </c>
    </row>
    <row r="26995" spans="1:1">
      <c r="A26995" t="inlineStr">
        <is>
          <t>Culpan</t>
        </is>
      </c>
    </row>
    <row r="26996" spans="1:1">
      <c r="A26996" t="inlineStr">
        <is>
          <t>Dalisay</t>
        </is>
      </c>
    </row>
    <row r="26997" spans="1:1">
      <c r="A26997" t="inlineStr">
        <is>
          <t>Dullan</t>
        </is>
      </c>
    </row>
    <row r="26998" spans="1:1">
      <c r="A26998" t="inlineStr">
        <is>
          <t>Ibabao</t>
        </is>
      </c>
    </row>
    <row r="26999" spans="1:1">
      <c r="A26999" t="inlineStr">
        <is>
          <t>Labo</t>
        </is>
      </c>
    </row>
    <row r="27000" spans="1:1">
      <c r="A27000" t="inlineStr">
        <is>
          <t>Lawa-an</t>
        </is>
      </c>
    </row>
    <row r="27001" spans="1:1">
      <c r="A27001" t="inlineStr">
        <is>
          <t>Lobogon</t>
        </is>
      </c>
    </row>
    <row r="27002" spans="1:1">
      <c r="A27002" t="inlineStr">
        <is>
          <t>Lumbayao</t>
        </is>
      </c>
    </row>
    <row r="27003" spans="1:1">
      <c r="A27003" t="inlineStr">
        <is>
          <t>Macubon</t>
        </is>
      </c>
    </row>
    <row r="27004" spans="1:1">
      <c r="A27004" t="inlineStr">
        <is>
          <t>Makawa</t>
        </is>
      </c>
    </row>
    <row r="27005" spans="1:1">
      <c r="A27005" t="inlineStr">
        <is>
          <t>Manamong</t>
        </is>
      </c>
    </row>
    <row r="27006" spans="1:1">
      <c r="A27006" t="inlineStr">
        <is>
          <t>Matipaz</t>
        </is>
      </c>
    </row>
    <row r="27007" spans="1:1">
      <c r="A27007" t="inlineStr">
        <is>
          <t>Maular</t>
        </is>
      </c>
    </row>
    <row r="27008" spans="1:1">
      <c r="A27008" t="inlineStr">
        <is>
          <t>Mitazan</t>
        </is>
      </c>
    </row>
    <row r="27009" spans="1:1">
      <c r="A27009" t="inlineStr">
        <is>
          <t>Mohon</t>
        </is>
      </c>
    </row>
    <row r="27010" spans="1:1">
      <c r="A27010" t="inlineStr">
        <is>
          <t>Monterico</t>
        </is>
      </c>
    </row>
    <row r="27011" spans="1:1">
      <c r="A27011" t="inlineStr">
        <is>
          <t>Nabuna</t>
        </is>
      </c>
    </row>
    <row r="27012" spans="1:1">
      <c r="A27012" t="inlineStr">
        <is>
          <t>Ospital</t>
        </is>
      </c>
    </row>
    <row r="27013" spans="1:1">
      <c r="A27013" t="inlineStr">
        <is>
          <t>Palayan</t>
        </is>
      </c>
    </row>
    <row r="27014" spans="1:1">
      <c r="A27014" t="inlineStr">
        <is>
          <t>Pelong</t>
        </is>
      </c>
    </row>
    <row r="27015" spans="1:1">
      <c r="A27015" t="inlineStr">
        <is>
          <t>Roxas</t>
        </is>
      </c>
    </row>
    <row r="27016" spans="1:1">
      <c r="A27016" t="inlineStr">
        <is>
          <t>San Pedro</t>
        </is>
      </c>
    </row>
    <row r="27017" spans="1:1">
      <c r="A27017" t="inlineStr">
        <is>
          <t>Santa Ana</t>
        </is>
      </c>
    </row>
    <row r="27018" spans="1:1">
      <c r="A27018" t="inlineStr">
        <is>
          <t>Sinampongan</t>
        </is>
      </c>
    </row>
    <row r="27019" spans="1:1">
      <c r="A27019" t="inlineStr">
        <is>
          <t>Taguanao</t>
        </is>
      </c>
    </row>
    <row r="27020" spans="1:1">
      <c r="A27020" t="inlineStr">
        <is>
          <t>Tawi-tawi</t>
        </is>
      </c>
    </row>
    <row r="27021" spans="1:1">
      <c r="A27021" t="inlineStr">
        <is>
          <t>Toril</t>
        </is>
      </c>
    </row>
    <row r="27022" spans="1:1">
      <c r="A27022" t="inlineStr">
        <is>
          <t>Tubod</t>
        </is>
      </c>
    </row>
    <row r="27023" spans="1:1">
      <c r="A27023" t="inlineStr">
        <is>
          <t>Tuburan</t>
        </is>
      </c>
    </row>
    <row r="27024" spans="1:1">
      <c r="A27024" t="inlineStr">
        <is>
          <t>Tugaya</t>
        </is>
      </c>
    </row>
    <row r="27025" spans="1:1">
      <c r="A27025" t="inlineStr">
        <is>
          <t>Zamora</t>
        </is>
      </c>
    </row>
    <row r="27026" spans="1:1">
      <c r="A27026" t="inlineStr">
        <is>
          <t>Del Pilar</t>
        </is>
      </c>
    </row>
    <row r="27027" spans="1:1">
      <c r="A27027" t="inlineStr">
        <is>
          <t>Landing</t>
        </is>
      </c>
    </row>
    <row r="27028" spans="1:1">
      <c r="A27028" t="inlineStr">
        <is>
          <t>Lumipac</t>
        </is>
      </c>
    </row>
    <row r="27029" spans="1:1">
      <c r="A27029" t="inlineStr">
        <is>
          <t>Lusot</t>
        </is>
      </c>
    </row>
    <row r="27030" spans="1:1">
      <c r="A27030" t="inlineStr">
        <is>
          <t>Mabini</t>
        </is>
      </c>
    </row>
    <row r="27031" spans="1:1">
      <c r="A27031" t="inlineStr">
        <is>
          <t>Magsaysay</t>
        </is>
      </c>
    </row>
    <row r="27032" spans="1:1">
      <c r="A27032" t="inlineStr">
        <is>
          <t>Misom</t>
        </is>
      </c>
    </row>
    <row r="27033" spans="1:1">
      <c r="A27033" t="inlineStr">
        <is>
          <t>Mitacas</t>
        </is>
      </c>
    </row>
    <row r="27034" spans="1:1">
      <c r="A27034" t="inlineStr">
        <is>
          <t>Naburos</t>
        </is>
      </c>
    </row>
    <row r="27035" spans="1:1">
      <c r="A27035" t="inlineStr">
        <is>
          <t>Northern Poblacion</t>
        </is>
      </c>
    </row>
    <row r="27036" spans="1:1">
      <c r="A27036" t="inlineStr">
        <is>
          <t>Punta Miray</t>
        </is>
      </c>
    </row>
    <row r="27037" spans="1:1">
      <c r="A27037" t="inlineStr">
        <is>
          <t>Punta Sulong</t>
        </is>
      </c>
    </row>
    <row r="27038" spans="1:1">
      <c r="A27038" t="inlineStr">
        <is>
          <t>Sinian</t>
        </is>
      </c>
    </row>
    <row r="27039" spans="1:1">
      <c r="A27039" t="inlineStr">
        <is>
          <t>Southern Poblacion</t>
        </is>
      </c>
    </row>
    <row r="27040" spans="1:1">
      <c r="A27040" t="inlineStr">
        <is>
          <t>Tugas</t>
        </is>
      </c>
    </row>
    <row r="27041" spans="1:1">
      <c r="A27041" t="inlineStr">
        <is>
          <t>Bag-ong Anonang</t>
        </is>
      </c>
    </row>
    <row r="27042" spans="1:1">
      <c r="A27042" t="inlineStr">
        <is>
          <t>Bagumbang</t>
        </is>
      </c>
    </row>
    <row r="27043" spans="1:1">
      <c r="A27043" t="inlineStr">
        <is>
          <t>Baybay</t>
        </is>
      </c>
    </row>
    <row r="27044" spans="1:1">
      <c r="A27044" t="inlineStr">
        <is>
          <t>Bolinsong</t>
        </is>
      </c>
    </row>
    <row r="27045" spans="1:1">
      <c r="A27045" t="inlineStr">
        <is>
          <t>Buenavista</t>
        </is>
      </c>
    </row>
    <row r="27046" spans="1:1">
      <c r="A27046" t="inlineStr">
        <is>
          <t>Buracan</t>
        </is>
      </c>
    </row>
    <row r="27047" spans="1:1">
      <c r="A27047" t="inlineStr">
        <is>
          <t>Calolot</t>
        </is>
      </c>
    </row>
    <row r="27048" spans="1:1">
      <c r="A27048" t="inlineStr">
        <is>
          <t>Demetrio Fernan</t>
        </is>
      </c>
    </row>
    <row r="27049" spans="1:1">
      <c r="A27049" t="inlineStr">
        <is>
          <t>Digson</t>
        </is>
      </c>
    </row>
    <row r="27050" spans="1:1">
      <c r="A27050" t="inlineStr">
        <is>
          <t>Dimalco</t>
        </is>
      </c>
    </row>
    <row r="27051" spans="1:1">
      <c r="A27051" t="inlineStr">
        <is>
          <t>Dullan</t>
        </is>
      </c>
    </row>
    <row r="27052" spans="1:1">
      <c r="A27052" t="inlineStr">
        <is>
          <t>Kanaokanao</t>
        </is>
      </c>
    </row>
    <row r="27053" spans="1:1">
      <c r="A27053" t="inlineStr">
        <is>
          <t>Liloan</t>
        </is>
      </c>
    </row>
    <row r="27054" spans="1:1">
      <c r="A27054" t="inlineStr">
        <is>
          <t>Linconan</t>
        </is>
      </c>
    </row>
    <row r="27055" spans="1:1">
      <c r="A27055" t="inlineStr">
        <is>
          <t>Lodiong</t>
        </is>
      </c>
    </row>
    <row r="27056" spans="1:1">
      <c r="A27056" t="inlineStr">
        <is>
          <t>Lower Usugan</t>
        </is>
      </c>
    </row>
    <row r="27057" spans="1:1">
      <c r="A27057" t="inlineStr">
        <is>
          <t>Mapurog</t>
        </is>
      </c>
    </row>
    <row r="27058" spans="1:1">
      <c r="A27058" t="inlineStr">
        <is>
          <t>Migpange</t>
        </is>
      </c>
    </row>
    <row r="27059" spans="1:1">
      <c r="A27059" t="inlineStr">
        <is>
          <t>Montol</t>
        </is>
      </c>
    </row>
    <row r="27060" spans="1:1">
      <c r="A27060" t="inlineStr">
        <is>
          <t>Pisa-an</t>
        </is>
      </c>
    </row>
    <row r="27061" spans="1:1">
      <c r="A27061" t="inlineStr">
        <is>
          <t>Poblacion</t>
        </is>
      </c>
    </row>
    <row r="27062" spans="1:1">
      <c r="A27062" t="inlineStr">
        <is>
          <t>Remedios</t>
        </is>
      </c>
    </row>
    <row r="27063" spans="1:1">
      <c r="A27063" t="inlineStr">
        <is>
          <t>Rufino Lumapas</t>
        </is>
      </c>
    </row>
    <row r="27064" spans="1:1">
      <c r="A27064" t="inlineStr">
        <is>
          <t>Sibuyon</t>
        </is>
      </c>
    </row>
    <row r="27065" spans="1:1">
      <c r="A27065" t="inlineStr">
        <is>
          <t>Tangab</t>
        </is>
      </c>
    </row>
    <row r="27066" spans="1:1">
      <c r="A27066" t="inlineStr">
        <is>
          <t>Tiaman</t>
        </is>
      </c>
    </row>
    <row r="27067" spans="1:1">
      <c r="A27067" t="inlineStr">
        <is>
          <t>Tusik</t>
        </is>
      </c>
    </row>
    <row r="27068" spans="1:1">
      <c r="A27068" t="inlineStr">
        <is>
          <t>Upper Usogan</t>
        </is>
      </c>
    </row>
    <row r="27069" spans="1:1">
      <c r="A27069" t="inlineStr">
        <is>
          <t>Bonifacio</t>
        </is>
      </c>
    </row>
    <row r="27070" spans="1:1">
      <c r="A27070" t="inlineStr">
        <is>
          <t>Bunawan</t>
        </is>
      </c>
    </row>
    <row r="27071" spans="1:1">
      <c r="A27071" t="inlineStr">
        <is>
          <t>Calaran</t>
        </is>
      </c>
    </row>
    <row r="27072" spans="1:1">
      <c r="A27072" t="inlineStr">
        <is>
          <t>Dapacan Alto</t>
        </is>
      </c>
    </row>
    <row r="27073" spans="1:1">
      <c r="A27073" t="inlineStr">
        <is>
          <t>Dapacan Bajo</t>
        </is>
      </c>
    </row>
    <row r="27074" spans="1:1">
      <c r="A27074" t="inlineStr">
        <is>
          <t>Don Bernardo Nery Pob.</t>
        </is>
      </c>
    </row>
    <row r="27075" spans="1:1">
      <c r="A27075" t="inlineStr">
        <is>
          <t>Langub</t>
        </is>
      </c>
    </row>
    <row r="27076" spans="1:1">
      <c r="A27076" t="inlineStr">
        <is>
          <t>Libertad</t>
        </is>
      </c>
    </row>
    <row r="27077" spans="1:1">
      <c r="A27077" t="inlineStr">
        <is>
          <t>Magcamiguing</t>
        </is>
      </c>
    </row>
    <row r="27078" spans="1:1">
      <c r="A27078" t="inlineStr">
        <is>
          <t>Mamalad</t>
        </is>
      </c>
    </row>
    <row r="27079" spans="1:1">
      <c r="A27079" t="inlineStr">
        <is>
          <t>Mauswagon</t>
        </is>
      </c>
    </row>
    <row r="27080" spans="1:1">
      <c r="A27080" t="inlineStr">
        <is>
          <t>Northern Poblacion</t>
        </is>
      </c>
    </row>
    <row r="27081" spans="1:1">
      <c r="A27081" t="inlineStr">
        <is>
          <t>Salvador</t>
        </is>
      </c>
    </row>
    <row r="27082" spans="1:1">
      <c r="A27082" t="inlineStr">
        <is>
          <t>San Isidro</t>
        </is>
      </c>
    </row>
    <row r="27083" spans="1:1">
      <c r="A27083" t="inlineStr">
        <is>
          <t>Siloy</t>
        </is>
      </c>
    </row>
    <row r="27084" spans="1:1">
      <c r="A27084" t="inlineStr">
        <is>
          <t>Singalat</t>
        </is>
      </c>
    </row>
    <row r="27085" spans="1:1">
      <c r="A27085" t="inlineStr">
        <is>
          <t>Solinog</t>
        </is>
      </c>
    </row>
    <row r="27086" spans="1:1">
      <c r="A27086" t="inlineStr">
        <is>
          <t>Southwestern Poblacion</t>
        </is>
      </c>
    </row>
    <row r="27087" spans="1:1">
      <c r="A27087" t="inlineStr">
        <is>
          <t>Sulipat</t>
        </is>
      </c>
    </row>
    <row r="27088" spans="1:1">
      <c r="A27088" t="inlineStr">
        <is>
          <t>Apil</t>
        </is>
      </c>
    </row>
    <row r="27089" spans="1:1">
      <c r="A27089" t="inlineStr">
        <is>
          <t>Binuangan</t>
        </is>
      </c>
    </row>
    <row r="27090" spans="1:1">
      <c r="A27090" t="inlineStr">
        <is>
          <t>Bolibol</t>
        </is>
      </c>
    </row>
    <row r="27091" spans="1:1">
      <c r="A27091" t="inlineStr">
        <is>
          <t>Buenavista</t>
        </is>
      </c>
    </row>
    <row r="27092" spans="1:1">
      <c r="A27092" t="inlineStr">
        <is>
          <t>Bunga</t>
        </is>
      </c>
    </row>
    <row r="27093" spans="1:1">
      <c r="A27093" t="inlineStr">
        <is>
          <t>Buntawan</t>
        </is>
      </c>
    </row>
    <row r="27094" spans="1:1">
      <c r="A27094" t="inlineStr">
        <is>
          <t>Burgos</t>
        </is>
      </c>
    </row>
    <row r="27095" spans="1:1">
      <c r="A27095" t="inlineStr">
        <is>
          <t>Canubay</t>
        </is>
      </c>
    </row>
    <row r="27096" spans="1:1">
      <c r="A27096" t="inlineStr">
        <is>
          <t>Ciriaco C. Pastrano</t>
        </is>
      </c>
    </row>
    <row r="27097" spans="1:1">
      <c r="A27097" t="inlineStr">
        <is>
          <t>Clarin Settlement</t>
        </is>
      </c>
    </row>
    <row r="27098" spans="1:1">
      <c r="A27098" t="inlineStr">
        <is>
          <t>Dolipos Alto</t>
        </is>
      </c>
    </row>
    <row r="27099" spans="1:1">
      <c r="A27099" t="inlineStr">
        <is>
          <t>Dolipos Bajo</t>
        </is>
      </c>
    </row>
    <row r="27100" spans="1:1">
      <c r="A27100" t="inlineStr">
        <is>
          <t>Dulapo</t>
        </is>
      </c>
    </row>
    <row r="27101" spans="1:1">
      <c r="A27101" t="inlineStr">
        <is>
          <t>Dullan Norte</t>
        </is>
      </c>
    </row>
    <row r="27102" spans="1:1">
      <c r="A27102" t="inlineStr">
        <is>
          <t>Dullan Sur</t>
        </is>
      </c>
    </row>
    <row r="27103" spans="1:1">
      <c r="A27103" t="inlineStr">
        <is>
          <t>Lamac Lower</t>
        </is>
      </c>
    </row>
    <row r="27104" spans="1:1">
      <c r="A27104" t="inlineStr">
        <is>
          <t>Lamac Upper</t>
        </is>
      </c>
    </row>
    <row r="27105" spans="1:1">
      <c r="A27105" t="inlineStr">
        <is>
          <t>Langcangan Lower</t>
        </is>
      </c>
    </row>
    <row r="27106" spans="1:1">
      <c r="A27106" t="inlineStr">
        <is>
          <t>Langcangan Proper</t>
        </is>
      </c>
    </row>
    <row r="27107" spans="1:1">
      <c r="A27107" t="inlineStr">
        <is>
          <t>Langcangan Upper</t>
        </is>
      </c>
    </row>
    <row r="27108" spans="1:1">
      <c r="A27108" t="inlineStr">
        <is>
          <t>Layawan</t>
        </is>
      </c>
    </row>
    <row r="27109" spans="1:1">
      <c r="A27109" t="inlineStr">
        <is>
          <t>Loboc Lower</t>
        </is>
      </c>
    </row>
    <row r="27110" spans="1:1">
      <c r="A27110" t="inlineStr">
        <is>
          <t>Loboc Upper</t>
        </is>
      </c>
    </row>
    <row r="27111" spans="1:1">
      <c r="A27111" t="inlineStr">
        <is>
          <t>Malindang</t>
        </is>
      </c>
    </row>
    <row r="27112" spans="1:1">
      <c r="A27112" t="inlineStr">
        <is>
          <t>Mialen</t>
        </is>
      </c>
    </row>
    <row r="27113" spans="1:1">
      <c r="A27113" t="inlineStr">
        <is>
          <t>Mobod</t>
        </is>
      </c>
    </row>
    <row r="27114" spans="1:1">
      <c r="A27114" t="inlineStr">
        <is>
          <t>Paypayan</t>
        </is>
      </c>
    </row>
    <row r="27115" spans="1:1">
      <c r="A27115" t="inlineStr">
        <is>
          <t>Pines</t>
        </is>
      </c>
    </row>
    <row r="27116" spans="1:1">
      <c r="A27116" t="inlineStr">
        <is>
          <t>Poblacion I</t>
        </is>
      </c>
    </row>
    <row r="27117" spans="1:1">
      <c r="A27117" t="inlineStr">
        <is>
          <t>Poblacion II</t>
        </is>
      </c>
    </row>
    <row r="27118" spans="1:1">
      <c r="A27118" t="inlineStr">
        <is>
          <t>Rizal Lower</t>
        </is>
      </c>
    </row>
    <row r="27119" spans="1:1">
      <c r="A27119" t="inlineStr">
        <is>
          <t>Rizal Upper</t>
        </is>
      </c>
    </row>
    <row r="27120" spans="1:1">
      <c r="A27120" t="inlineStr">
        <is>
          <t>San Vicente Alto</t>
        </is>
      </c>
    </row>
    <row r="27121" spans="1:1">
      <c r="A27121" t="inlineStr">
        <is>
          <t>San Vicente Bajo</t>
        </is>
      </c>
    </row>
    <row r="27122" spans="1:1">
      <c r="A27122" t="inlineStr">
        <is>
          <t>Sebucal</t>
        </is>
      </c>
    </row>
    <row r="27123" spans="1:1">
      <c r="A27123" t="inlineStr">
        <is>
          <t>Senote</t>
        </is>
      </c>
    </row>
    <row r="27124" spans="1:1">
      <c r="A27124" t="inlineStr">
        <is>
          <t>Taboc Norte</t>
        </is>
      </c>
    </row>
    <row r="27125" spans="1:1">
      <c r="A27125" t="inlineStr">
        <is>
          <t>Taboc Sur</t>
        </is>
      </c>
    </row>
    <row r="27126" spans="1:1">
      <c r="A27126" t="inlineStr">
        <is>
          <t>Talairon</t>
        </is>
      </c>
    </row>
    <row r="27127" spans="1:1">
      <c r="A27127" t="inlineStr">
        <is>
          <t>Talic</t>
        </is>
      </c>
    </row>
    <row r="27128" spans="1:1">
      <c r="A27128" t="inlineStr">
        <is>
          <t>Tipan</t>
        </is>
      </c>
    </row>
    <row r="27129" spans="1:1">
      <c r="A27129" t="inlineStr">
        <is>
          <t>Toliyok</t>
        </is>
      </c>
    </row>
    <row r="27130" spans="1:1">
      <c r="A27130" t="inlineStr">
        <is>
          <t>Tuyabang Alto</t>
        </is>
      </c>
    </row>
    <row r="27131" spans="1:1">
      <c r="A27131" t="inlineStr">
        <is>
          <t>Tuyabang Bajo</t>
        </is>
      </c>
    </row>
    <row r="27132" spans="1:1">
      <c r="A27132" t="inlineStr">
        <is>
          <t>Tuyabang Proper</t>
        </is>
      </c>
    </row>
    <row r="27133" spans="1:1">
      <c r="A27133" t="inlineStr">
        <is>
          <t>Victoria</t>
        </is>
      </c>
    </row>
    <row r="27134" spans="1:1">
      <c r="A27134" t="inlineStr">
        <is>
          <t>Villaflor</t>
        </is>
      </c>
    </row>
    <row r="27135" spans="1:1">
      <c r="A27135" t="inlineStr">
        <is>
          <t>50th District</t>
        </is>
      </c>
    </row>
    <row r="27136" spans="1:1">
      <c r="A27136" t="inlineStr">
        <is>
          <t>Aguada</t>
        </is>
      </c>
    </row>
    <row r="27137" spans="1:1">
      <c r="A27137" t="inlineStr">
        <is>
          <t>Bacolod</t>
        </is>
      </c>
    </row>
    <row r="27138" spans="1:1">
      <c r="A27138" t="inlineStr">
        <is>
          <t>Bagakay</t>
        </is>
      </c>
    </row>
    <row r="27139" spans="1:1">
      <c r="A27139" t="inlineStr">
        <is>
          <t>Balintawak</t>
        </is>
      </c>
    </row>
    <row r="27140" spans="1:1">
      <c r="A27140" t="inlineStr">
        <is>
          <t>Banadero</t>
        </is>
      </c>
    </row>
    <row r="27141" spans="1:1">
      <c r="A27141" t="inlineStr">
        <is>
          <t>Baybay San Roque</t>
        </is>
      </c>
    </row>
    <row r="27142" spans="1:1">
      <c r="A27142" t="inlineStr">
        <is>
          <t>Baybay Santa Cruz</t>
        </is>
      </c>
    </row>
    <row r="27143" spans="1:1">
      <c r="A27143" t="inlineStr">
        <is>
          <t>Baybay Triunfo</t>
        </is>
      </c>
    </row>
    <row r="27144" spans="1:1">
      <c r="A27144" t="inlineStr">
        <is>
          <t>Bongbong</t>
        </is>
      </c>
    </row>
    <row r="27145" spans="1:1">
      <c r="A27145" t="inlineStr">
        <is>
          <t>Calabayan</t>
        </is>
      </c>
    </row>
    <row r="27146" spans="1:1">
      <c r="A27146" t="inlineStr">
        <is>
          <t>Capucao C.</t>
        </is>
      </c>
    </row>
    <row r="27147" spans="1:1">
      <c r="A27147" t="inlineStr">
        <is>
          <t>Capucao P.</t>
        </is>
      </c>
    </row>
    <row r="27148" spans="1:1">
      <c r="A27148" t="inlineStr">
        <is>
          <t>Carangan</t>
        </is>
      </c>
    </row>
    <row r="27149" spans="1:1">
      <c r="A27149" t="inlineStr">
        <is>
          <t>Carmen</t>
        </is>
      </c>
    </row>
    <row r="27150" spans="1:1">
      <c r="A27150" t="inlineStr">
        <is>
          <t>Catadman-Manabay</t>
        </is>
      </c>
    </row>
    <row r="27151" spans="1:1">
      <c r="A27151" t="inlineStr">
        <is>
          <t>Cavinte</t>
        </is>
      </c>
    </row>
    <row r="27152" spans="1:1">
      <c r="A27152" t="inlineStr">
        <is>
          <t>Cogon</t>
        </is>
      </c>
    </row>
    <row r="27153" spans="1:1">
      <c r="A27153" t="inlineStr">
        <is>
          <t>Dalapang</t>
        </is>
      </c>
    </row>
    <row r="27154" spans="1:1">
      <c r="A27154" t="inlineStr">
        <is>
          <t>Diguan</t>
        </is>
      </c>
    </row>
    <row r="27155" spans="1:1">
      <c r="A27155" t="inlineStr">
        <is>
          <t>Dimaluna</t>
        </is>
      </c>
    </row>
    <row r="27156" spans="1:1">
      <c r="A27156" t="inlineStr">
        <is>
          <t>Doña Consuelo</t>
        </is>
      </c>
    </row>
    <row r="27157" spans="1:1">
      <c r="A27157" t="inlineStr">
        <is>
          <t>Embargo</t>
        </is>
      </c>
    </row>
    <row r="27158" spans="1:1">
      <c r="A27158" t="inlineStr">
        <is>
          <t>Gala</t>
        </is>
      </c>
    </row>
    <row r="27159" spans="1:1">
      <c r="A27159" t="inlineStr">
        <is>
          <t>Gango</t>
        </is>
      </c>
    </row>
    <row r="27160" spans="1:1">
      <c r="A27160" t="inlineStr">
        <is>
          <t>Gotokan Daku</t>
        </is>
      </c>
    </row>
    <row r="27161" spans="1:1">
      <c r="A27161" t="inlineStr">
        <is>
          <t>Gotokan Diot</t>
        </is>
      </c>
    </row>
    <row r="27162" spans="1:1">
      <c r="A27162" t="inlineStr">
        <is>
          <t>Guimad</t>
        </is>
      </c>
    </row>
    <row r="27163" spans="1:1">
      <c r="A27163" t="inlineStr">
        <is>
          <t>Guingona</t>
        </is>
      </c>
    </row>
    <row r="27164" spans="1:1">
      <c r="A27164" t="inlineStr">
        <is>
          <t>Kinuman Norte</t>
        </is>
      </c>
    </row>
    <row r="27165" spans="1:1">
      <c r="A27165" t="inlineStr">
        <is>
          <t>Kinuman Sur</t>
        </is>
      </c>
    </row>
    <row r="27166" spans="1:1">
      <c r="A27166" t="inlineStr">
        <is>
          <t>Labinay</t>
        </is>
      </c>
    </row>
    <row r="27167" spans="1:1">
      <c r="A27167" t="inlineStr">
        <is>
          <t>Labo</t>
        </is>
      </c>
    </row>
    <row r="27168" spans="1:1">
      <c r="A27168" t="inlineStr">
        <is>
          <t>Lam-an</t>
        </is>
      </c>
    </row>
    <row r="27169" spans="1:1">
      <c r="A27169" t="inlineStr">
        <is>
          <t>Liposong</t>
        </is>
      </c>
    </row>
    <row r="27170" spans="1:1">
      <c r="A27170" t="inlineStr">
        <is>
          <t>Litapan</t>
        </is>
      </c>
    </row>
    <row r="27171" spans="1:1">
      <c r="A27171" t="inlineStr">
        <is>
          <t>Malaubang</t>
        </is>
      </c>
    </row>
    <row r="27172" spans="1:1">
      <c r="A27172" t="inlineStr">
        <is>
          <t>Manaka</t>
        </is>
      </c>
    </row>
    <row r="27173" spans="1:1">
      <c r="A27173" t="inlineStr">
        <is>
          <t>Maningcol</t>
        </is>
      </c>
    </row>
    <row r="27174" spans="1:1">
      <c r="A27174" t="inlineStr">
        <is>
          <t>Mentering</t>
        </is>
      </c>
    </row>
    <row r="27175" spans="1:1">
      <c r="A27175" t="inlineStr">
        <is>
          <t>Molicay</t>
        </is>
      </c>
    </row>
    <row r="27176" spans="1:1">
      <c r="A27176" t="inlineStr">
        <is>
          <t>Pantaon</t>
        </is>
      </c>
    </row>
    <row r="27177" spans="1:1">
      <c r="A27177" t="inlineStr">
        <is>
          <t>Pulot</t>
        </is>
      </c>
    </row>
    <row r="27178" spans="1:1">
      <c r="A27178" t="inlineStr">
        <is>
          <t>San Antonio</t>
        </is>
      </c>
    </row>
    <row r="27179" spans="1:1">
      <c r="A27179" t="inlineStr">
        <is>
          <t>Sangay Daku</t>
        </is>
      </c>
    </row>
    <row r="27180" spans="1:1">
      <c r="A27180" t="inlineStr">
        <is>
          <t>Sangay Diot</t>
        </is>
      </c>
    </row>
    <row r="27181" spans="1:1">
      <c r="A27181" t="inlineStr">
        <is>
          <t>Sinuza</t>
        </is>
      </c>
    </row>
    <row r="27182" spans="1:1">
      <c r="A27182" t="inlineStr">
        <is>
          <t>Stimson Abordo</t>
        </is>
      </c>
    </row>
    <row r="27183" spans="1:1">
      <c r="A27183" t="inlineStr">
        <is>
          <t>Tabid</t>
        </is>
      </c>
    </row>
    <row r="27184" spans="1:1">
      <c r="A27184" t="inlineStr">
        <is>
          <t>Tinago</t>
        </is>
      </c>
    </row>
    <row r="27185" spans="1:1">
      <c r="A27185" t="inlineStr">
        <is>
          <t>Trigos</t>
        </is>
      </c>
    </row>
    <row r="27186" spans="1:1">
      <c r="A27186" t="inlineStr">
        <is>
          <t>Aquino</t>
        </is>
      </c>
    </row>
    <row r="27187" spans="1:1">
      <c r="A27187" t="inlineStr">
        <is>
          <t>Balatacan</t>
        </is>
      </c>
    </row>
    <row r="27188" spans="1:1">
      <c r="A27188" t="inlineStr">
        <is>
          <t>Baluk</t>
        </is>
      </c>
    </row>
    <row r="27189" spans="1:1">
      <c r="A27189" t="inlineStr">
        <is>
          <t>Banglay</t>
        </is>
      </c>
    </row>
    <row r="27190" spans="1:1">
      <c r="A27190" t="inlineStr">
        <is>
          <t>Barangay I - City Hall</t>
        </is>
      </c>
    </row>
    <row r="27191" spans="1:1">
      <c r="A27191" t="inlineStr">
        <is>
          <t>Barangay II - Marilou Annex</t>
        </is>
      </c>
    </row>
    <row r="27192" spans="1:1">
      <c r="A27192" t="inlineStr">
        <is>
          <t>Barangay III- Market Kalubian</t>
        </is>
      </c>
    </row>
    <row r="27193" spans="1:1">
      <c r="A27193" t="inlineStr">
        <is>
          <t>Barangay IV - St. Michael</t>
        </is>
      </c>
    </row>
    <row r="27194" spans="1:1">
      <c r="A27194" t="inlineStr">
        <is>
          <t>Barangay V - Malubog</t>
        </is>
      </c>
    </row>
    <row r="27195" spans="1:1">
      <c r="A27195" t="inlineStr">
        <is>
          <t>Barangay VI - Lower Polao</t>
        </is>
      </c>
    </row>
    <row r="27196" spans="1:1">
      <c r="A27196" t="inlineStr">
        <is>
          <t>Barangay VII - Upper Polao</t>
        </is>
      </c>
    </row>
    <row r="27197" spans="1:1">
      <c r="A27197" t="inlineStr">
        <is>
          <t>Bintana</t>
        </is>
      </c>
    </row>
    <row r="27198" spans="1:1">
      <c r="A27198" t="inlineStr">
        <is>
          <t>Bocator</t>
        </is>
      </c>
    </row>
    <row r="27199" spans="1:1">
      <c r="A27199" t="inlineStr">
        <is>
          <t>Bongabong</t>
        </is>
      </c>
    </row>
    <row r="27200" spans="1:1">
      <c r="A27200" t="inlineStr">
        <is>
          <t>Caniangan</t>
        </is>
      </c>
    </row>
    <row r="27201" spans="1:1">
      <c r="A27201" t="inlineStr">
        <is>
          <t>Capalaran</t>
        </is>
      </c>
    </row>
    <row r="27202" spans="1:1">
      <c r="A27202" t="inlineStr">
        <is>
          <t>Catagan</t>
        </is>
      </c>
    </row>
    <row r="27203" spans="1:1">
      <c r="A27203" t="inlineStr">
        <is>
          <t>Garang</t>
        </is>
      </c>
    </row>
    <row r="27204" spans="1:1">
      <c r="A27204" t="inlineStr">
        <is>
          <t>Guinabot</t>
        </is>
      </c>
    </row>
    <row r="27205" spans="1:1">
      <c r="A27205" t="inlineStr">
        <is>
          <t>Guinalaban</t>
        </is>
      </c>
    </row>
    <row r="27206" spans="1:1">
      <c r="A27206" t="inlineStr">
        <is>
          <t>Huyohoy</t>
        </is>
      </c>
    </row>
    <row r="27207" spans="1:1">
      <c r="A27207" t="inlineStr">
        <is>
          <t>Isidro D. Tan</t>
        </is>
      </c>
    </row>
    <row r="27208" spans="1:1">
      <c r="A27208" t="inlineStr">
        <is>
          <t>Kauswagan</t>
        </is>
      </c>
    </row>
    <row r="27209" spans="1:1">
      <c r="A27209" t="inlineStr">
        <is>
          <t>Kimat</t>
        </is>
      </c>
    </row>
    <row r="27210" spans="1:1">
      <c r="A27210" t="inlineStr">
        <is>
          <t>Labuyo</t>
        </is>
      </c>
    </row>
    <row r="27211" spans="1:1">
      <c r="A27211" t="inlineStr">
        <is>
          <t>Lorenzo Tan</t>
        </is>
      </c>
    </row>
    <row r="27212" spans="1:1">
      <c r="A27212" t="inlineStr">
        <is>
          <t>Lumban</t>
        </is>
      </c>
    </row>
    <row r="27213" spans="1:1">
      <c r="A27213" t="inlineStr">
        <is>
          <t>Maloro</t>
        </is>
      </c>
    </row>
    <row r="27214" spans="1:1">
      <c r="A27214" t="inlineStr">
        <is>
          <t>Manga</t>
        </is>
      </c>
    </row>
    <row r="27215" spans="1:1">
      <c r="A27215" t="inlineStr">
        <is>
          <t>Mantic</t>
        </is>
      </c>
    </row>
    <row r="27216" spans="1:1">
      <c r="A27216" t="inlineStr">
        <is>
          <t>Maquilao</t>
        </is>
      </c>
    </row>
    <row r="27217" spans="1:1">
      <c r="A27217" t="inlineStr">
        <is>
          <t>Matugnaw</t>
        </is>
      </c>
    </row>
    <row r="27218" spans="1:1">
      <c r="A27218" t="inlineStr">
        <is>
          <t>Migcanaway</t>
        </is>
      </c>
    </row>
    <row r="27219" spans="1:1">
      <c r="A27219" t="inlineStr">
        <is>
          <t>Minsubong</t>
        </is>
      </c>
    </row>
    <row r="27220" spans="1:1">
      <c r="A27220" t="inlineStr">
        <is>
          <t>Owayan</t>
        </is>
      </c>
    </row>
    <row r="27221" spans="1:1">
      <c r="A27221" t="inlineStr">
        <is>
          <t>Paiton</t>
        </is>
      </c>
    </row>
    <row r="27222" spans="1:1">
      <c r="A27222" t="inlineStr">
        <is>
          <t>Panalsalan</t>
        </is>
      </c>
    </row>
    <row r="27223" spans="1:1">
      <c r="A27223" t="inlineStr">
        <is>
          <t>Pangabuan</t>
        </is>
      </c>
    </row>
    <row r="27224" spans="1:1">
      <c r="A27224" t="inlineStr">
        <is>
          <t>Prenza</t>
        </is>
      </c>
    </row>
    <row r="27225" spans="1:1">
      <c r="A27225" t="inlineStr">
        <is>
          <t>Salimpuno</t>
        </is>
      </c>
    </row>
    <row r="27226" spans="1:1">
      <c r="A27226" t="inlineStr">
        <is>
          <t>San Antonio</t>
        </is>
      </c>
    </row>
    <row r="27227" spans="1:1">
      <c r="A27227" t="inlineStr">
        <is>
          <t>San Apolinario</t>
        </is>
      </c>
    </row>
    <row r="27228" spans="1:1">
      <c r="A27228" t="inlineStr">
        <is>
          <t>San Vicente</t>
        </is>
      </c>
    </row>
    <row r="27229" spans="1:1">
      <c r="A27229" t="inlineStr">
        <is>
          <t>Santa Cruz</t>
        </is>
      </c>
    </row>
    <row r="27230" spans="1:1">
      <c r="A27230" t="inlineStr">
        <is>
          <t>Santa Maria</t>
        </is>
      </c>
    </row>
    <row r="27231" spans="1:1">
      <c r="A27231" t="inlineStr">
        <is>
          <t>Santo Niño</t>
        </is>
      </c>
    </row>
    <row r="27232" spans="1:1">
      <c r="A27232" t="inlineStr">
        <is>
          <t>Sicot</t>
        </is>
      </c>
    </row>
    <row r="27233" spans="1:1">
      <c r="A27233" t="inlineStr">
        <is>
          <t>Silanga</t>
        </is>
      </c>
    </row>
    <row r="27234" spans="1:1">
      <c r="A27234" t="inlineStr">
        <is>
          <t>Silangit</t>
        </is>
      </c>
    </row>
    <row r="27235" spans="1:1">
      <c r="A27235" t="inlineStr">
        <is>
          <t>Simasay</t>
        </is>
      </c>
    </row>
    <row r="27236" spans="1:1">
      <c r="A27236" t="inlineStr">
        <is>
          <t>Sumirap</t>
        </is>
      </c>
    </row>
    <row r="27237" spans="1:1">
      <c r="A27237" t="inlineStr">
        <is>
          <t>Taguite</t>
        </is>
      </c>
    </row>
    <row r="27238" spans="1:1">
      <c r="A27238" t="inlineStr">
        <is>
          <t>Tituron</t>
        </is>
      </c>
    </row>
    <row r="27239" spans="1:1">
      <c r="A27239" t="inlineStr">
        <is>
          <t>Tugas</t>
        </is>
      </c>
    </row>
    <row r="27240" spans="1:1">
      <c r="A27240" t="inlineStr">
        <is>
          <t>Villaba</t>
        </is>
      </c>
    </row>
    <row r="27241" spans="1:1">
      <c r="A27241" t="inlineStr">
        <is>
          <t>Bernad</t>
        </is>
      </c>
    </row>
    <row r="27242" spans="1:1">
      <c r="A27242" t="inlineStr">
        <is>
          <t>Bito-on</t>
        </is>
      </c>
    </row>
    <row r="27243" spans="1:1">
      <c r="A27243" t="inlineStr">
        <is>
          <t>Cabunga-an</t>
        </is>
      </c>
    </row>
    <row r="27244" spans="1:1">
      <c r="A27244" t="inlineStr">
        <is>
          <t>Canibungan Daku</t>
        </is>
      </c>
    </row>
    <row r="27245" spans="1:1">
      <c r="A27245" t="inlineStr">
        <is>
          <t>Canibungan Putol</t>
        </is>
      </c>
    </row>
    <row r="27246" spans="1:1">
      <c r="A27246" t="inlineStr">
        <is>
          <t>Canipacan</t>
        </is>
      </c>
    </row>
    <row r="27247" spans="1:1">
      <c r="A27247" t="inlineStr">
        <is>
          <t>Dalingap</t>
        </is>
      </c>
    </row>
    <row r="27248" spans="1:1">
      <c r="A27248" t="inlineStr">
        <is>
          <t>Dela Paz</t>
        </is>
      </c>
    </row>
    <row r="27249" spans="1:1">
      <c r="A27249" t="inlineStr">
        <is>
          <t>Dolores</t>
        </is>
      </c>
    </row>
    <row r="27250" spans="1:1">
      <c r="A27250" t="inlineStr">
        <is>
          <t>Gata Daku</t>
        </is>
      </c>
    </row>
    <row r="27251" spans="1:1">
      <c r="A27251" t="inlineStr">
        <is>
          <t>Gata Diot</t>
        </is>
      </c>
    </row>
    <row r="27252" spans="1:1">
      <c r="A27252" t="inlineStr">
        <is>
          <t>Guba</t>
        </is>
      </c>
    </row>
    <row r="27253" spans="1:1">
      <c r="A27253" t="inlineStr">
        <is>
          <t>Kinangay Norte</t>
        </is>
      </c>
    </row>
    <row r="27254" spans="1:1">
      <c r="A27254" t="inlineStr">
        <is>
          <t>Kinangay Sur</t>
        </is>
      </c>
    </row>
    <row r="27255" spans="1:1">
      <c r="A27255" t="inlineStr">
        <is>
          <t>Lapasan</t>
        </is>
      </c>
    </row>
    <row r="27256" spans="1:1">
      <c r="A27256" t="inlineStr">
        <is>
          <t>Lupagan</t>
        </is>
      </c>
    </row>
    <row r="27257" spans="1:1">
      <c r="A27257" t="inlineStr">
        <is>
          <t>Malibangcao</t>
        </is>
      </c>
    </row>
    <row r="27258" spans="1:1">
      <c r="A27258" t="inlineStr">
        <is>
          <t>Masabud</t>
        </is>
      </c>
    </row>
    <row r="27259" spans="1:1">
      <c r="A27259" t="inlineStr">
        <is>
          <t>Mialen</t>
        </is>
      </c>
    </row>
    <row r="27260" spans="1:1">
      <c r="A27260" t="inlineStr">
        <is>
          <t>Pan-ay</t>
        </is>
      </c>
    </row>
    <row r="27261" spans="1:1">
      <c r="A27261" t="inlineStr">
        <is>
          <t>Penacio</t>
        </is>
      </c>
    </row>
    <row r="27262" spans="1:1">
      <c r="A27262" t="inlineStr">
        <is>
          <t>Poblacion I</t>
        </is>
      </c>
    </row>
    <row r="27263" spans="1:1">
      <c r="A27263" t="inlineStr">
        <is>
          <t>Poblacion II</t>
        </is>
      </c>
    </row>
    <row r="27264" spans="1:1">
      <c r="A27264" t="inlineStr">
        <is>
          <t>Poblacion III</t>
        </is>
      </c>
    </row>
    <row r="27265" spans="1:1">
      <c r="A27265" t="inlineStr">
        <is>
          <t>Poblacion IV</t>
        </is>
      </c>
    </row>
    <row r="27266" spans="1:1">
      <c r="A27266" t="inlineStr">
        <is>
          <t>Sebasi</t>
        </is>
      </c>
    </row>
    <row r="27267" spans="1:1">
      <c r="A27267" t="inlineStr">
        <is>
          <t>Segatic Daku</t>
        </is>
      </c>
    </row>
    <row r="27268" spans="1:1">
      <c r="A27268" t="inlineStr">
        <is>
          <t>Segatic Diot</t>
        </is>
      </c>
    </row>
    <row r="27269" spans="1:1">
      <c r="A27269" t="inlineStr">
        <is>
          <t>Tinacla-an</t>
        </is>
      </c>
    </row>
    <row r="27270" spans="1:1">
      <c r="A27270" t="inlineStr">
        <is>
          <t>Bagong Nayon</t>
        </is>
      </c>
    </row>
    <row r="27271" spans="1:1">
      <c r="A27271" t="inlineStr">
        <is>
          <t>Capule</t>
        </is>
      </c>
    </row>
    <row r="27272" spans="1:1">
      <c r="A27272" t="inlineStr">
        <is>
          <t>Guiban</t>
        </is>
      </c>
    </row>
    <row r="27273" spans="1:1">
      <c r="A27273" t="inlineStr">
        <is>
          <t>Laya-an</t>
        </is>
      </c>
    </row>
    <row r="27274" spans="1:1">
      <c r="A27274" t="inlineStr">
        <is>
          <t>Lingatongan</t>
        </is>
      </c>
    </row>
    <row r="27275" spans="1:1">
      <c r="A27275" t="inlineStr">
        <is>
          <t>Maligubaan</t>
        </is>
      </c>
    </row>
    <row r="27276" spans="1:1">
      <c r="A27276" t="inlineStr">
        <is>
          <t>Mantukoy</t>
        </is>
      </c>
    </row>
    <row r="27277" spans="1:1">
      <c r="A27277" t="inlineStr">
        <is>
          <t>Marugang</t>
        </is>
      </c>
    </row>
    <row r="27278" spans="1:1">
      <c r="A27278" t="inlineStr">
        <is>
          <t>New Casul</t>
        </is>
      </c>
    </row>
    <row r="27279" spans="1:1">
      <c r="A27279" t="inlineStr">
        <is>
          <t>Poblacion</t>
        </is>
      </c>
    </row>
    <row r="27280" spans="1:1">
      <c r="A27280" t="inlineStr">
        <is>
          <t>Pogan</t>
        </is>
      </c>
    </row>
    <row r="27281" spans="1:1">
      <c r="A27281" t="inlineStr">
        <is>
          <t>Small Potongan</t>
        </is>
      </c>
    </row>
    <row r="27282" spans="1:1">
      <c r="A27282" t="inlineStr">
        <is>
          <t>Soso-on</t>
        </is>
      </c>
    </row>
    <row r="27283" spans="1:1">
      <c r="A27283" t="inlineStr">
        <is>
          <t>Upper Dapitan</t>
        </is>
      </c>
    </row>
    <row r="27284" spans="1:1">
      <c r="A27284" t="inlineStr">
        <is>
          <t>Upper Dioyo</t>
        </is>
      </c>
    </row>
    <row r="27285" spans="1:1">
      <c r="A27285" t="inlineStr">
        <is>
          <t>Upper Potongan</t>
        </is>
      </c>
    </row>
    <row r="27286" spans="1:1">
      <c r="A27286" t="inlineStr">
        <is>
          <t>Upper Salimpono</t>
        </is>
      </c>
    </row>
    <row r="27287" spans="1:1">
      <c r="A27287" t="inlineStr">
        <is>
          <t>Virayan</t>
        </is>
      </c>
    </row>
    <row r="27288" spans="1:1">
      <c r="A27288" t="inlineStr">
        <is>
          <t>Bagong Clarin</t>
        </is>
      </c>
    </row>
    <row r="27289" spans="1:1">
      <c r="A27289" t="inlineStr">
        <is>
          <t>Gandawan</t>
        </is>
      </c>
    </row>
    <row r="27290" spans="1:1">
      <c r="A27290" t="inlineStr">
        <is>
          <t>Lake Duminagat</t>
        </is>
      </c>
    </row>
    <row r="27291" spans="1:1">
      <c r="A27291" t="inlineStr">
        <is>
          <t>Lalud</t>
        </is>
      </c>
    </row>
    <row r="27292" spans="1:1">
      <c r="A27292" t="inlineStr">
        <is>
          <t>Lampasan</t>
        </is>
      </c>
    </row>
    <row r="27293" spans="1:1">
      <c r="A27293" t="inlineStr">
        <is>
          <t>Liboron</t>
        </is>
      </c>
    </row>
    <row r="27294" spans="1:1">
      <c r="A27294" t="inlineStr">
        <is>
          <t>Maramara</t>
        </is>
      </c>
    </row>
    <row r="27295" spans="1:1">
      <c r="A27295" t="inlineStr">
        <is>
          <t>Napangan</t>
        </is>
      </c>
    </row>
    <row r="27296" spans="1:1">
      <c r="A27296" t="inlineStr">
        <is>
          <t>Nueva Vista</t>
        </is>
      </c>
    </row>
    <row r="27297" spans="1:1">
      <c r="A27297" t="inlineStr">
        <is>
          <t>Petianan</t>
        </is>
      </c>
    </row>
    <row r="27298" spans="1:1">
      <c r="A27298" t="inlineStr">
        <is>
          <t>Tuno</t>
        </is>
      </c>
    </row>
    <row r="27299" spans="1:1">
      <c r="A27299" t="inlineStr">
        <is>
          <t>Adorable</t>
        </is>
      </c>
    </row>
    <row r="27300" spans="1:1">
      <c r="A27300" t="inlineStr">
        <is>
          <t>Butuay</t>
        </is>
      </c>
    </row>
    <row r="27301" spans="1:1">
      <c r="A27301" t="inlineStr">
        <is>
          <t>Carmen</t>
        </is>
      </c>
    </row>
    <row r="27302" spans="1:1">
      <c r="A27302" t="inlineStr">
        <is>
          <t>Corrales</t>
        </is>
      </c>
    </row>
    <row r="27303" spans="1:1">
      <c r="A27303" t="inlineStr">
        <is>
          <t>Dicoloc</t>
        </is>
      </c>
    </row>
    <row r="27304" spans="1:1">
      <c r="A27304" t="inlineStr">
        <is>
          <t>Gata</t>
        </is>
      </c>
    </row>
    <row r="27305" spans="1:1">
      <c r="A27305" t="inlineStr">
        <is>
          <t>Guintomoyan</t>
        </is>
      </c>
    </row>
    <row r="27306" spans="1:1">
      <c r="A27306" t="inlineStr">
        <is>
          <t>Macabayao</t>
        </is>
      </c>
    </row>
    <row r="27307" spans="1:1">
      <c r="A27307" t="inlineStr">
        <is>
          <t>Malibacsan</t>
        </is>
      </c>
    </row>
    <row r="27308" spans="1:1">
      <c r="A27308" t="inlineStr">
        <is>
          <t>Matugas Alto</t>
        </is>
      </c>
    </row>
    <row r="27309" spans="1:1">
      <c r="A27309" t="inlineStr">
        <is>
          <t>Matugas Bajo</t>
        </is>
      </c>
    </row>
    <row r="27310" spans="1:1">
      <c r="A27310" t="inlineStr">
        <is>
          <t>Mialem</t>
        </is>
      </c>
    </row>
    <row r="27311" spans="1:1">
      <c r="A27311" t="inlineStr">
        <is>
          <t>Nacional</t>
        </is>
      </c>
    </row>
    <row r="27312" spans="1:1">
      <c r="A27312" t="inlineStr">
        <is>
          <t>Naga</t>
        </is>
      </c>
    </row>
    <row r="27313" spans="1:1">
      <c r="A27313" t="inlineStr">
        <is>
          <t>Palilan</t>
        </is>
      </c>
    </row>
    <row r="27314" spans="1:1">
      <c r="A27314" t="inlineStr">
        <is>
          <t>Rizal</t>
        </is>
      </c>
    </row>
    <row r="27315" spans="1:1">
      <c r="A27315" t="inlineStr">
        <is>
          <t>San Isidro</t>
        </is>
      </c>
    </row>
    <row r="27316" spans="1:1">
      <c r="A27316" t="inlineStr">
        <is>
          <t>Santa Cruz</t>
        </is>
      </c>
    </row>
    <row r="27317" spans="1:1">
      <c r="A27317" t="inlineStr">
        <is>
          <t>Seti</t>
        </is>
      </c>
    </row>
    <row r="27318" spans="1:1">
      <c r="A27318" t="inlineStr">
        <is>
          <t>Sibaroc</t>
        </is>
      </c>
    </row>
    <row r="27319" spans="1:1">
      <c r="A27319" t="inlineStr">
        <is>
          <t>Sinara Alto</t>
        </is>
      </c>
    </row>
    <row r="27320" spans="1:1">
      <c r="A27320" t="inlineStr">
        <is>
          <t>Sinara Bajo</t>
        </is>
      </c>
    </row>
    <row r="27321" spans="1:1">
      <c r="A27321" t="inlineStr">
        <is>
          <t>Tabo-o</t>
        </is>
      </c>
    </row>
    <row r="27322" spans="1:1">
      <c r="A27322" t="inlineStr">
        <is>
          <t>Taraka</t>
        </is>
      </c>
    </row>
    <row r="27323" spans="1:1">
      <c r="A27323" t="inlineStr">
        <is>
          <t>Alegria</t>
        </is>
      </c>
    </row>
    <row r="27324" spans="1:1">
      <c r="A27324" t="inlineStr">
        <is>
          <t>Bagong Silang</t>
        </is>
      </c>
    </row>
    <row r="27325" spans="1:1">
      <c r="A27325" t="inlineStr">
        <is>
          <t>Biasong</t>
        </is>
      </c>
    </row>
    <row r="27326" spans="1:1">
      <c r="A27326" t="inlineStr">
        <is>
          <t>Bonifacio</t>
        </is>
      </c>
    </row>
    <row r="27327" spans="1:1">
      <c r="A27327" t="inlineStr">
        <is>
          <t>Burgos</t>
        </is>
      </c>
    </row>
    <row r="27328" spans="1:1">
      <c r="A27328" t="inlineStr">
        <is>
          <t>Dalacon</t>
        </is>
      </c>
    </row>
    <row r="27329" spans="1:1">
      <c r="A27329" t="inlineStr">
        <is>
          <t>Dampalan</t>
        </is>
      </c>
    </row>
    <row r="27330" spans="1:1">
      <c r="A27330" t="inlineStr">
        <is>
          <t>Don Andres Soriano</t>
        </is>
      </c>
    </row>
    <row r="27331" spans="1:1">
      <c r="A27331" t="inlineStr">
        <is>
          <t>Eastern Poblacion</t>
        </is>
      </c>
    </row>
    <row r="27332" spans="1:1">
      <c r="A27332" t="inlineStr">
        <is>
          <t>Estante</t>
        </is>
      </c>
    </row>
    <row r="27333" spans="1:1">
      <c r="A27333" t="inlineStr">
        <is>
          <t>Jasa-an</t>
        </is>
      </c>
    </row>
    <row r="27334" spans="1:1">
      <c r="A27334" t="inlineStr">
        <is>
          <t>Katipa</t>
        </is>
      </c>
    </row>
    <row r="27335" spans="1:1">
      <c r="A27335" t="inlineStr">
        <is>
          <t>Luzaran</t>
        </is>
      </c>
    </row>
    <row r="27336" spans="1:1">
      <c r="A27336" t="inlineStr">
        <is>
          <t>Mabas</t>
        </is>
      </c>
    </row>
    <row r="27337" spans="1:1">
      <c r="A27337" t="inlineStr">
        <is>
          <t>Macalibre Alto</t>
        </is>
      </c>
    </row>
    <row r="27338" spans="1:1">
      <c r="A27338" t="inlineStr">
        <is>
          <t>Macalibre Bajo</t>
        </is>
      </c>
    </row>
    <row r="27339" spans="1:1">
      <c r="A27339" t="inlineStr">
        <is>
          <t>Mahayahay</t>
        </is>
      </c>
    </row>
    <row r="27340" spans="1:1">
      <c r="A27340" t="inlineStr">
        <is>
          <t>Manguehan</t>
        </is>
      </c>
    </row>
    <row r="27341" spans="1:1">
      <c r="A27341" t="inlineStr">
        <is>
          <t>Mansabay Alto</t>
        </is>
      </c>
    </row>
    <row r="27342" spans="1:1">
      <c r="A27342" t="inlineStr">
        <is>
          <t>Mansabay Bajo</t>
        </is>
      </c>
    </row>
    <row r="27343" spans="1:1">
      <c r="A27343" t="inlineStr">
        <is>
          <t>Molatuhan Alto</t>
        </is>
      </c>
    </row>
    <row r="27344" spans="1:1">
      <c r="A27344" t="inlineStr">
        <is>
          <t>Molatuhan Bajo</t>
        </is>
      </c>
    </row>
    <row r="27345" spans="1:1">
      <c r="A27345" t="inlineStr">
        <is>
          <t>Peniel</t>
        </is>
      </c>
    </row>
    <row r="27346" spans="1:1">
      <c r="A27346" t="inlineStr">
        <is>
          <t>Puntod</t>
        </is>
      </c>
    </row>
    <row r="27347" spans="1:1">
      <c r="A27347" t="inlineStr">
        <is>
          <t>Rizal</t>
        </is>
      </c>
    </row>
    <row r="27348" spans="1:1">
      <c r="A27348" t="inlineStr">
        <is>
          <t>Sibugon</t>
        </is>
      </c>
    </row>
    <row r="27349" spans="1:1">
      <c r="A27349" t="inlineStr">
        <is>
          <t>Sibula</t>
        </is>
      </c>
    </row>
    <row r="27350" spans="1:1">
      <c r="A27350" t="inlineStr">
        <is>
          <t>Western Poblacion</t>
        </is>
      </c>
    </row>
    <row r="27351" spans="1:1">
      <c r="A27351" t="inlineStr">
        <is>
          <t>Baga</t>
        </is>
      </c>
    </row>
    <row r="27352" spans="1:1">
      <c r="A27352" t="inlineStr">
        <is>
          <t>Bangko</t>
        </is>
      </c>
    </row>
    <row r="27353" spans="1:1">
      <c r="A27353" t="inlineStr">
        <is>
          <t>Camanucan</t>
        </is>
      </c>
    </row>
    <row r="27354" spans="1:1">
      <c r="A27354" t="inlineStr">
        <is>
          <t>Dela Paz</t>
        </is>
      </c>
    </row>
    <row r="27355" spans="1:1">
      <c r="A27355" t="inlineStr">
        <is>
          <t>Lutao</t>
        </is>
      </c>
    </row>
    <row r="27356" spans="1:1">
      <c r="A27356" t="inlineStr">
        <is>
          <t>Magsaysay</t>
        </is>
      </c>
    </row>
    <row r="27357" spans="1:1">
      <c r="A27357" t="inlineStr">
        <is>
          <t>Map-an</t>
        </is>
      </c>
    </row>
    <row r="27358" spans="1:1">
      <c r="A27358" t="inlineStr">
        <is>
          <t>Mohon</t>
        </is>
      </c>
    </row>
    <row r="27359" spans="1:1">
      <c r="A27359" t="inlineStr">
        <is>
          <t>Poblacion</t>
        </is>
      </c>
    </row>
    <row r="27360" spans="1:1">
      <c r="A27360" t="inlineStr">
        <is>
          <t>Punta</t>
        </is>
      </c>
    </row>
    <row r="27361" spans="1:1">
      <c r="A27361" t="inlineStr">
        <is>
          <t>Salimpuno</t>
        </is>
      </c>
    </row>
    <row r="27362" spans="1:1">
      <c r="A27362" t="inlineStr">
        <is>
          <t>San Andres</t>
        </is>
      </c>
    </row>
    <row r="27363" spans="1:1">
      <c r="A27363" t="inlineStr">
        <is>
          <t>San Juan</t>
        </is>
      </c>
    </row>
    <row r="27364" spans="1:1">
      <c r="A27364" t="inlineStr">
        <is>
          <t>San Roque</t>
        </is>
      </c>
    </row>
    <row r="27365" spans="1:1">
      <c r="A27365" t="inlineStr">
        <is>
          <t>Sumasap</t>
        </is>
      </c>
    </row>
    <row r="27366" spans="1:1">
      <c r="A27366" t="inlineStr">
        <is>
          <t>Villalin</t>
        </is>
      </c>
    </row>
    <row r="27367" spans="1:1">
      <c r="A27367" t="inlineStr">
        <is>
          <t>Agunod</t>
        </is>
      </c>
    </row>
    <row r="27368" spans="1:1">
      <c r="A27368" t="inlineStr">
        <is>
          <t>Bato</t>
        </is>
      </c>
    </row>
    <row r="27369" spans="1:1">
      <c r="A27369" t="inlineStr">
        <is>
          <t>Buena Voluntad</t>
        </is>
      </c>
    </row>
    <row r="27370" spans="1:1">
      <c r="A27370" t="inlineStr">
        <is>
          <t>Calaca-an</t>
        </is>
      </c>
    </row>
    <row r="27371" spans="1:1">
      <c r="A27371" t="inlineStr">
        <is>
          <t>Cartagena Proper</t>
        </is>
      </c>
    </row>
    <row r="27372" spans="1:1">
      <c r="A27372" t="inlineStr">
        <is>
          <t>Catarman</t>
        </is>
      </c>
    </row>
    <row r="27373" spans="1:1">
      <c r="A27373" t="inlineStr">
        <is>
          <t>Cebulin</t>
        </is>
      </c>
    </row>
    <row r="27374" spans="1:1">
      <c r="A27374" t="inlineStr">
        <is>
          <t>Clarin</t>
        </is>
      </c>
    </row>
    <row r="27375" spans="1:1">
      <c r="A27375" t="inlineStr">
        <is>
          <t>Danao</t>
        </is>
      </c>
    </row>
    <row r="27376" spans="1:1">
      <c r="A27376" t="inlineStr">
        <is>
          <t>Deboloc</t>
        </is>
      </c>
    </row>
    <row r="27377" spans="1:1">
      <c r="A27377" t="inlineStr">
        <is>
          <t>Divisoria</t>
        </is>
      </c>
    </row>
    <row r="27378" spans="1:1">
      <c r="A27378" t="inlineStr">
        <is>
          <t>Eastern Looc</t>
        </is>
      </c>
    </row>
    <row r="27379" spans="1:1">
      <c r="A27379" t="inlineStr">
        <is>
          <t>Ilisan</t>
        </is>
      </c>
    </row>
    <row r="27380" spans="1:1">
      <c r="A27380" t="inlineStr">
        <is>
          <t>Katipunan</t>
        </is>
      </c>
    </row>
    <row r="27381" spans="1:1">
      <c r="A27381" t="inlineStr">
        <is>
          <t>Kauswagan</t>
        </is>
      </c>
    </row>
    <row r="27382" spans="1:1">
      <c r="A27382" t="inlineStr">
        <is>
          <t>Lao Proper</t>
        </is>
      </c>
    </row>
    <row r="27383" spans="1:1">
      <c r="A27383" t="inlineStr">
        <is>
          <t>Lao Santa Cruz</t>
        </is>
      </c>
    </row>
    <row r="27384" spans="1:1">
      <c r="A27384" t="inlineStr">
        <is>
          <t>Looc Proper</t>
        </is>
      </c>
    </row>
    <row r="27385" spans="1:1">
      <c r="A27385" t="inlineStr">
        <is>
          <t>Mamanga Daku</t>
        </is>
      </c>
    </row>
    <row r="27386" spans="1:1">
      <c r="A27386" t="inlineStr">
        <is>
          <t>Mamanga Gamay</t>
        </is>
      </c>
    </row>
    <row r="27387" spans="1:1">
      <c r="A27387" t="inlineStr">
        <is>
          <t>Mangidkid</t>
        </is>
      </c>
    </row>
    <row r="27388" spans="1:1">
      <c r="A27388" t="inlineStr">
        <is>
          <t>New Cartagena</t>
        </is>
      </c>
    </row>
    <row r="27389" spans="1:1">
      <c r="A27389" t="inlineStr">
        <is>
          <t>New Look</t>
        </is>
      </c>
    </row>
    <row r="27390" spans="1:1">
      <c r="A27390" t="inlineStr">
        <is>
          <t>Northern Poblacion</t>
        </is>
      </c>
    </row>
    <row r="27391" spans="1:1">
      <c r="A27391" t="inlineStr">
        <is>
          <t>Panalsalan</t>
        </is>
      </c>
    </row>
    <row r="27392" spans="1:1">
      <c r="A27392" t="inlineStr">
        <is>
          <t>Puntod</t>
        </is>
      </c>
    </row>
    <row r="27393" spans="1:1">
      <c r="A27393" t="inlineStr">
        <is>
          <t>Quirino</t>
        </is>
      </c>
    </row>
    <row r="27394" spans="1:1">
      <c r="A27394" t="inlineStr">
        <is>
          <t>Santa Cruz</t>
        </is>
      </c>
    </row>
    <row r="27395" spans="1:1">
      <c r="A27395" t="inlineStr">
        <is>
          <t>Southern Looc</t>
        </is>
      </c>
    </row>
    <row r="27396" spans="1:1">
      <c r="A27396" t="inlineStr">
        <is>
          <t>Southern Poblacion</t>
        </is>
      </c>
    </row>
    <row r="27397" spans="1:1">
      <c r="A27397" t="inlineStr">
        <is>
          <t>Tipolo</t>
        </is>
      </c>
    </row>
    <row r="27398" spans="1:1">
      <c r="A27398" t="inlineStr">
        <is>
          <t>Unidos</t>
        </is>
      </c>
    </row>
    <row r="27399" spans="1:1">
      <c r="A27399" t="inlineStr">
        <is>
          <t>Usocan</t>
        </is>
      </c>
    </row>
    <row r="27400" spans="1:1">
      <c r="A27400" t="inlineStr">
        <is>
          <t>Agapito Yap, Sr.</t>
        </is>
      </c>
    </row>
    <row r="27401" spans="1:1">
      <c r="A27401" t="inlineStr">
        <is>
          <t>Bautista</t>
        </is>
      </c>
    </row>
    <row r="27402" spans="1:1">
      <c r="A27402" t="inlineStr">
        <is>
          <t>Bitibut</t>
        </is>
      </c>
    </row>
    <row r="27403" spans="1:1">
      <c r="A27403" t="inlineStr">
        <is>
          <t>Boundary</t>
        </is>
      </c>
    </row>
    <row r="27404" spans="1:1">
      <c r="A27404" t="inlineStr">
        <is>
          <t>Caluya</t>
        </is>
      </c>
    </row>
    <row r="27405" spans="1:1">
      <c r="A27405" t="inlineStr">
        <is>
          <t>Capundag</t>
        </is>
      </c>
    </row>
    <row r="27406" spans="1:1">
      <c r="A27406" t="inlineStr">
        <is>
          <t>Casul</t>
        </is>
      </c>
    </row>
    <row r="27407" spans="1:1">
      <c r="A27407" t="inlineStr">
        <is>
          <t>Dalumpinas</t>
        </is>
      </c>
    </row>
    <row r="27408" spans="1:1">
      <c r="A27408" t="inlineStr">
        <is>
          <t>Dasa</t>
        </is>
      </c>
    </row>
    <row r="27409" spans="1:1">
      <c r="A27409" t="inlineStr">
        <is>
          <t>Dioyo</t>
        </is>
      </c>
    </row>
    <row r="27410" spans="1:1">
      <c r="A27410" t="inlineStr">
        <is>
          <t>Disoy</t>
        </is>
      </c>
    </row>
    <row r="27411" spans="1:1">
      <c r="A27411" t="inlineStr">
        <is>
          <t>El Paraiso</t>
        </is>
      </c>
    </row>
    <row r="27412" spans="1:1">
      <c r="A27412" t="inlineStr">
        <is>
          <t>Guinabot</t>
        </is>
      </c>
    </row>
    <row r="27413" spans="1:1">
      <c r="A27413" t="inlineStr">
        <is>
          <t>Libertad</t>
        </is>
      </c>
    </row>
    <row r="27414" spans="1:1">
      <c r="A27414" t="inlineStr">
        <is>
          <t>Locus</t>
        </is>
      </c>
    </row>
    <row r="27415" spans="1:1">
      <c r="A27415" t="inlineStr">
        <is>
          <t>Macabibo</t>
        </is>
      </c>
    </row>
    <row r="27416" spans="1:1">
      <c r="A27416" t="inlineStr">
        <is>
          <t>Manla</t>
        </is>
      </c>
    </row>
    <row r="27417" spans="1:1">
      <c r="A27417" t="inlineStr">
        <is>
          <t>Masubong</t>
        </is>
      </c>
    </row>
    <row r="27418" spans="1:1">
      <c r="A27418" t="inlineStr">
        <is>
          <t>Medallo</t>
        </is>
      </c>
    </row>
    <row r="27419" spans="1:1">
      <c r="A27419" t="inlineStr">
        <is>
          <t>Poblacion</t>
        </is>
      </c>
    </row>
    <row r="27420" spans="1:1">
      <c r="A27420" t="inlineStr">
        <is>
          <t>Salimpuno</t>
        </is>
      </c>
    </row>
    <row r="27421" spans="1:1">
      <c r="A27421" t="inlineStr">
        <is>
          <t>San Agustin</t>
        </is>
      </c>
    </row>
    <row r="27422" spans="1:1">
      <c r="A27422" t="inlineStr">
        <is>
          <t>Sapang Ama</t>
        </is>
      </c>
    </row>
    <row r="27423" spans="1:1">
      <c r="A27423" t="inlineStr">
        <is>
          <t>Sinaad</t>
        </is>
      </c>
    </row>
    <row r="27424" spans="1:1">
      <c r="A27424" t="inlineStr">
        <is>
          <t>Sipac</t>
        </is>
      </c>
    </row>
    <row r="27425" spans="1:1">
      <c r="A27425" t="inlineStr">
        <is>
          <t>Sixto Velez, Sr.</t>
        </is>
      </c>
    </row>
    <row r="27426" spans="1:1">
      <c r="A27426" t="inlineStr">
        <is>
          <t>Upper Bautista</t>
        </is>
      </c>
    </row>
    <row r="27427" spans="1:1">
      <c r="A27427" t="inlineStr">
        <is>
          <t>Ventura</t>
        </is>
      </c>
    </row>
    <row r="27428" spans="1:1">
      <c r="A27428" t="inlineStr">
        <is>
          <t>Cagay-anon</t>
        </is>
      </c>
    </row>
    <row r="27429" spans="1:1">
      <c r="A27429" t="inlineStr">
        <is>
          <t>Camanse</t>
        </is>
      </c>
    </row>
    <row r="27430" spans="1:1">
      <c r="A27430" t="inlineStr">
        <is>
          <t>Colupan Alto</t>
        </is>
      </c>
    </row>
    <row r="27431" spans="1:1">
      <c r="A27431" t="inlineStr">
        <is>
          <t>Colupan Bajo</t>
        </is>
      </c>
    </row>
    <row r="27432" spans="1:1">
      <c r="A27432" t="inlineStr">
        <is>
          <t>Dinas</t>
        </is>
      </c>
    </row>
    <row r="27433" spans="1:1">
      <c r="A27433" t="inlineStr">
        <is>
          <t>Estrella</t>
        </is>
      </c>
    </row>
    <row r="27434" spans="1:1">
      <c r="A27434" t="inlineStr">
        <is>
          <t>Katipunan</t>
        </is>
      </c>
    </row>
    <row r="27435" spans="1:1">
      <c r="A27435" t="inlineStr">
        <is>
          <t>Libertad Alto</t>
        </is>
      </c>
    </row>
    <row r="27436" spans="1:1">
      <c r="A27436" t="inlineStr">
        <is>
          <t>Libertad Bajo</t>
        </is>
      </c>
    </row>
    <row r="27437" spans="1:1">
      <c r="A27437" t="inlineStr">
        <is>
          <t>Poblacion</t>
        </is>
      </c>
    </row>
    <row r="27438" spans="1:1">
      <c r="A27438" t="inlineStr">
        <is>
          <t>San Isidro Alto</t>
        </is>
      </c>
    </row>
    <row r="27439" spans="1:1">
      <c r="A27439" t="inlineStr">
        <is>
          <t>San Isidro Bajo</t>
        </is>
      </c>
    </row>
    <row r="27440" spans="1:1">
      <c r="A27440" t="inlineStr">
        <is>
          <t>San Lorenzo Ruiz</t>
        </is>
      </c>
    </row>
    <row r="27441" spans="1:1">
      <c r="A27441" t="inlineStr">
        <is>
          <t>San Vicente</t>
        </is>
      </c>
    </row>
    <row r="27442" spans="1:1">
      <c r="A27442" t="inlineStr">
        <is>
          <t>Señor</t>
        </is>
      </c>
    </row>
    <row r="27443" spans="1:1">
      <c r="A27443" t="inlineStr">
        <is>
          <t>Sinonoc</t>
        </is>
      </c>
    </row>
    <row r="27444" spans="1:1">
      <c r="A27444" t="inlineStr">
        <is>
          <t>Tipan</t>
        </is>
      </c>
    </row>
    <row r="27445" spans="1:1">
      <c r="A27445" t="inlineStr">
        <is>
          <t>Balon</t>
        </is>
      </c>
    </row>
    <row r="27446" spans="1:1">
      <c r="A27446" t="inlineStr">
        <is>
          <t>Barra</t>
        </is>
      </c>
    </row>
    <row r="27447" spans="1:1">
      <c r="A27447" t="inlineStr">
        <is>
          <t>Basirang</t>
        </is>
      </c>
    </row>
    <row r="27448" spans="1:1">
      <c r="A27448" t="inlineStr">
        <is>
          <t>Bongabong</t>
        </is>
      </c>
    </row>
    <row r="27449" spans="1:1">
      <c r="A27449" t="inlineStr">
        <is>
          <t>Buenavista</t>
        </is>
      </c>
    </row>
    <row r="27450" spans="1:1">
      <c r="A27450" t="inlineStr">
        <is>
          <t>Cabol-anonan</t>
        </is>
      </c>
    </row>
    <row r="27451" spans="1:1">
      <c r="A27451" t="inlineStr">
        <is>
          <t>Cahayag</t>
        </is>
      </c>
    </row>
    <row r="27452" spans="1:1">
      <c r="A27452" t="inlineStr">
        <is>
          <t>Calambutan Bajo</t>
        </is>
      </c>
    </row>
    <row r="27453" spans="1:1">
      <c r="A27453" t="inlineStr">
        <is>
          <t>Calambutan Settlement</t>
        </is>
      </c>
    </row>
    <row r="27454" spans="1:1">
      <c r="A27454" t="inlineStr">
        <is>
          <t>Camating</t>
        </is>
      </c>
    </row>
    <row r="27455" spans="1:1">
      <c r="A27455" t="inlineStr">
        <is>
          <t>Canibungan Proper</t>
        </is>
      </c>
    </row>
    <row r="27456" spans="1:1">
      <c r="A27456" t="inlineStr">
        <is>
          <t>Casilak San Agustin</t>
        </is>
      </c>
    </row>
    <row r="27457" spans="1:1">
      <c r="A27457" t="inlineStr">
        <is>
          <t>Centro Hulpa</t>
        </is>
      </c>
    </row>
    <row r="27458" spans="1:1">
      <c r="A27458" t="inlineStr">
        <is>
          <t>Centro Napu</t>
        </is>
      </c>
    </row>
    <row r="27459" spans="1:1">
      <c r="A27459" t="inlineStr">
        <is>
          <t>Centro Upper</t>
        </is>
      </c>
    </row>
    <row r="27460" spans="1:1">
      <c r="A27460" t="inlineStr">
        <is>
          <t>Duanguican</t>
        </is>
      </c>
    </row>
    <row r="27461" spans="1:1">
      <c r="A27461" t="inlineStr">
        <is>
          <t>Gala</t>
        </is>
      </c>
    </row>
    <row r="27462" spans="1:1">
      <c r="A27462" t="inlineStr">
        <is>
          <t>Gumbil</t>
        </is>
      </c>
    </row>
    <row r="27463" spans="1:1">
      <c r="A27463" t="inlineStr">
        <is>
          <t>Locso-on</t>
        </is>
      </c>
    </row>
    <row r="27464" spans="1:1">
      <c r="A27464" t="inlineStr">
        <is>
          <t>Maikay</t>
        </is>
      </c>
    </row>
    <row r="27465" spans="1:1">
      <c r="A27465" t="inlineStr">
        <is>
          <t>Maribojoc</t>
        </is>
      </c>
    </row>
    <row r="27466" spans="1:1">
      <c r="A27466" t="inlineStr">
        <is>
          <t>Mitugas</t>
        </is>
      </c>
    </row>
    <row r="27467" spans="1:1">
      <c r="A27467" t="inlineStr">
        <is>
          <t>Nailon</t>
        </is>
      </c>
    </row>
    <row r="27468" spans="1:1">
      <c r="A27468" t="inlineStr">
        <is>
          <t>Namut</t>
        </is>
      </c>
    </row>
    <row r="27469" spans="1:1">
      <c r="A27469" t="inlineStr">
        <is>
          <t>Napurog</t>
        </is>
      </c>
    </row>
    <row r="27470" spans="1:1">
      <c r="A27470" t="inlineStr">
        <is>
          <t>Pan-ay Diot</t>
        </is>
      </c>
    </row>
    <row r="27471" spans="1:1">
      <c r="A27471" t="inlineStr">
        <is>
          <t>San Nicolas</t>
        </is>
      </c>
    </row>
    <row r="27472" spans="1:1">
      <c r="A27472" t="inlineStr">
        <is>
          <t>Sebac</t>
        </is>
      </c>
    </row>
    <row r="27473" spans="1:1">
      <c r="A27473" t="inlineStr">
        <is>
          <t>Silongon</t>
        </is>
      </c>
    </row>
    <row r="27474" spans="1:1">
      <c r="A27474" t="inlineStr">
        <is>
          <t>Sinuza</t>
        </is>
      </c>
    </row>
    <row r="27475" spans="1:1">
      <c r="A27475" t="inlineStr">
        <is>
          <t>Taguima</t>
        </is>
      </c>
    </row>
    <row r="27476" spans="1:1">
      <c r="A27476" t="inlineStr">
        <is>
          <t>Tigdok</t>
        </is>
      </c>
    </row>
    <row r="27477" spans="1:1">
      <c r="A27477" t="inlineStr">
        <is>
          <t>Yahong</t>
        </is>
      </c>
    </row>
    <row r="27478" spans="1:1">
      <c r="A27478" t="inlineStr">
        <is>
          <t>Baybay</t>
        </is>
      </c>
    </row>
    <row r="27479" spans="1:1">
      <c r="A27479" t="inlineStr">
        <is>
          <t>Benigwayan</t>
        </is>
      </c>
    </row>
    <row r="27480" spans="1:1">
      <c r="A27480" t="inlineStr">
        <is>
          <t>Calatcat</t>
        </is>
      </c>
    </row>
    <row r="27481" spans="1:1">
      <c r="A27481" t="inlineStr">
        <is>
          <t>Lagtang</t>
        </is>
      </c>
    </row>
    <row r="27482" spans="1:1">
      <c r="A27482" t="inlineStr">
        <is>
          <t>Lanao</t>
        </is>
      </c>
    </row>
    <row r="27483" spans="1:1">
      <c r="A27483" t="inlineStr">
        <is>
          <t>Loguilo</t>
        </is>
      </c>
    </row>
    <row r="27484" spans="1:1">
      <c r="A27484" t="inlineStr">
        <is>
          <t>Lourdes</t>
        </is>
      </c>
    </row>
    <row r="27485" spans="1:1">
      <c r="A27485" t="inlineStr">
        <is>
          <t>Lumbo</t>
        </is>
      </c>
    </row>
    <row r="27486" spans="1:1">
      <c r="A27486" t="inlineStr">
        <is>
          <t>Molocboloc</t>
        </is>
      </c>
    </row>
    <row r="27487" spans="1:1">
      <c r="A27487" t="inlineStr">
        <is>
          <t>Poblacion</t>
        </is>
      </c>
    </row>
    <row r="27488" spans="1:1">
      <c r="A27488" t="inlineStr">
        <is>
          <t>Sampatulog</t>
        </is>
      </c>
    </row>
    <row r="27489" spans="1:1">
      <c r="A27489" t="inlineStr">
        <is>
          <t>Sungay</t>
        </is>
      </c>
    </row>
    <row r="27490" spans="1:1">
      <c r="A27490" t="inlineStr">
        <is>
          <t>Talaba</t>
        </is>
      </c>
    </row>
    <row r="27491" spans="1:1">
      <c r="A27491" t="inlineStr">
        <is>
          <t>Taparak</t>
        </is>
      </c>
    </row>
    <row r="27492" spans="1:1">
      <c r="A27492" t="inlineStr">
        <is>
          <t>Tugasnon</t>
        </is>
      </c>
    </row>
    <row r="27493" spans="1:1">
      <c r="A27493" t="inlineStr">
        <is>
          <t>Tula</t>
        </is>
      </c>
    </row>
    <row r="27494" spans="1:1">
      <c r="A27494" t="inlineStr">
        <is>
          <t>Balagnan</t>
        </is>
      </c>
    </row>
    <row r="27495" spans="1:1">
      <c r="A27495" t="inlineStr">
        <is>
          <t>Baliwagan</t>
        </is>
      </c>
    </row>
    <row r="27496" spans="1:1">
      <c r="A27496" t="inlineStr">
        <is>
          <t>Barangay 1</t>
        </is>
      </c>
    </row>
    <row r="27497" spans="1:1">
      <c r="A27497" t="inlineStr">
        <is>
          <t>Barangay 2</t>
        </is>
      </c>
    </row>
    <row r="27498" spans="1:1">
      <c r="A27498" t="inlineStr">
        <is>
          <t>Barangay 3</t>
        </is>
      </c>
    </row>
    <row r="27499" spans="1:1">
      <c r="A27499" t="inlineStr">
        <is>
          <t>Barangay 4</t>
        </is>
      </c>
    </row>
    <row r="27500" spans="1:1">
      <c r="A27500" t="inlineStr">
        <is>
          <t>Barangay 5</t>
        </is>
      </c>
    </row>
    <row r="27501" spans="1:1">
      <c r="A27501" t="inlineStr">
        <is>
          <t>Barangay 6</t>
        </is>
      </c>
    </row>
    <row r="27502" spans="1:1">
      <c r="A27502" t="inlineStr">
        <is>
          <t>Binitinan</t>
        </is>
      </c>
    </row>
    <row r="27503" spans="1:1">
      <c r="A27503" t="inlineStr">
        <is>
          <t>Blanco</t>
        </is>
      </c>
    </row>
    <row r="27504" spans="1:1">
      <c r="A27504" t="inlineStr">
        <is>
          <t>Calawag</t>
        </is>
      </c>
    </row>
    <row r="27505" spans="1:1">
      <c r="A27505" t="inlineStr">
        <is>
          <t>Camuayan</t>
        </is>
      </c>
    </row>
    <row r="27506" spans="1:1">
      <c r="A27506" t="inlineStr">
        <is>
          <t>Cogon</t>
        </is>
      </c>
    </row>
    <row r="27507" spans="1:1">
      <c r="A27507" t="inlineStr">
        <is>
          <t>Dansuli</t>
        </is>
      </c>
    </row>
    <row r="27508" spans="1:1">
      <c r="A27508" t="inlineStr">
        <is>
          <t>Dumarait</t>
        </is>
      </c>
    </row>
    <row r="27509" spans="1:1">
      <c r="A27509" t="inlineStr">
        <is>
          <t>Hermano</t>
        </is>
      </c>
    </row>
    <row r="27510" spans="1:1">
      <c r="A27510" t="inlineStr">
        <is>
          <t>Kibanban</t>
        </is>
      </c>
    </row>
    <row r="27511" spans="1:1">
      <c r="A27511" t="inlineStr">
        <is>
          <t>Linabu</t>
        </is>
      </c>
    </row>
    <row r="27512" spans="1:1">
      <c r="A27512" t="inlineStr">
        <is>
          <t>Linggangao</t>
        </is>
      </c>
    </row>
    <row r="27513" spans="1:1">
      <c r="A27513" t="inlineStr">
        <is>
          <t>Mambayaan</t>
        </is>
      </c>
    </row>
    <row r="27514" spans="1:1">
      <c r="A27514" t="inlineStr">
        <is>
          <t>Mandangoa</t>
        </is>
      </c>
    </row>
    <row r="27515" spans="1:1">
      <c r="A27515" t="inlineStr">
        <is>
          <t>Napaliran</t>
        </is>
      </c>
    </row>
    <row r="27516" spans="1:1">
      <c r="A27516" t="inlineStr">
        <is>
          <t>Quezon</t>
        </is>
      </c>
    </row>
    <row r="27517" spans="1:1">
      <c r="A27517" t="inlineStr">
        <is>
          <t>Rosario</t>
        </is>
      </c>
    </row>
    <row r="27518" spans="1:1">
      <c r="A27518" t="inlineStr">
        <is>
          <t>Samay</t>
        </is>
      </c>
    </row>
    <row r="27519" spans="1:1">
      <c r="A27519" t="inlineStr">
        <is>
          <t>San Francisco</t>
        </is>
      </c>
    </row>
    <row r="27520" spans="1:1">
      <c r="A27520" t="inlineStr">
        <is>
          <t>San Isidro</t>
        </is>
      </c>
    </row>
    <row r="27521" spans="1:1">
      <c r="A27521" t="inlineStr">
        <is>
          <t>San Juan</t>
        </is>
      </c>
    </row>
    <row r="27522" spans="1:1">
      <c r="A27522" t="inlineStr">
        <is>
          <t>Talusan</t>
        </is>
      </c>
    </row>
    <row r="27523" spans="1:1">
      <c r="A27523" t="inlineStr">
        <is>
          <t>Waterfall</t>
        </is>
      </c>
    </row>
    <row r="27524" spans="1:1">
      <c r="A27524" t="inlineStr">
        <is>
          <t>Baukbauk Pob.</t>
        </is>
      </c>
    </row>
    <row r="27525" spans="1:1">
      <c r="A27525" t="inlineStr">
        <is>
          <t>Dahilig</t>
        </is>
      </c>
    </row>
    <row r="27526" spans="1:1">
      <c r="A27526" t="inlineStr">
        <is>
          <t>Kabangasan</t>
        </is>
      </c>
    </row>
    <row r="27527" spans="1:1">
      <c r="A27527" t="inlineStr">
        <is>
          <t>Kabulakan</t>
        </is>
      </c>
    </row>
    <row r="27528" spans="1:1">
      <c r="A27528" t="inlineStr">
        <is>
          <t>Kauswagan</t>
        </is>
      </c>
    </row>
    <row r="27529" spans="1:1">
      <c r="A27529" t="inlineStr">
        <is>
          <t>Lapinig</t>
        </is>
      </c>
    </row>
    <row r="27530" spans="1:1">
      <c r="A27530" t="inlineStr">
        <is>
          <t>Mantangale</t>
        </is>
      </c>
    </row>
    <row r="27531" spans="1:1">
      <c r="A27531" t="inlineStr">
        <is>
          <t>Mapua</t>
        </is>
      </c>
    </row>
    <row r="27532" spans="1:1">
      <c r="A27532" t="inlineStr">
        <is>
          <t>San Alonzo</t>
        </is>
      </c>
    </row>
    <row r="27533" spans="1:1">
      <c r="A27533" t="inlineStr">
        <is>
          <t>Dampias</t>
        </is>
      </c>
    </row>
    <row r="27534" spans="1:1">
      <c r="A27534" t="inlineStr">
        <is>
          <t>Kitamban</t>
        </is>
      </c>
    </row>
    <row r="27535" spans="1:1">
      <c r="A27535" t="inlineStr">
        <is>
          <t>Kitambis</t>
        </is>
      </c>
    </row>
    <row r="27536" spans="1:1">
      <c r="A27536" t="inlineStr">
        <is>
          <t>Mabini</t>
        </is>
      </c>
    </row>
    <row r="27537" spans="1:1">
      <c r="A27537" t="inlineStr">
        <is>
          <t>Mosangot</t>
        </is>
      </c>
    </row>
    <row r="27538" spans="1:1">
      <c r="A27538" t="inlineStr">
        <is>
          <t>Nabataan</t>
        </is>
      </c>
    </row>
    <row r="27539" spans="1:1">
      <c r="A27539" t="inlineStr">
        <is>
          <t>Poblacion</t>
        </is>
      </c>
    </row>
    <row r="27540" spans="1:1">
      <c r="A27540" t="inlineStr">
        <is>
          <t>Valdeconcha</t>
        </is>
      </c>
    </row>
    <row r="27541" spans="1:1">
      <c r="A27541" t="inlineStr">
        <is>
          <t>Amoros</t>
        </is>
      </c>
    </row>
    <row r="27542" spans="1:1">
      <c r="A27542" t="inlineStr">
        <is>
          <t>Bolisong</t>
        </is>
      </c>
    </row>
    <row r="27543" spans="1:1">
      <c r="A27543" t="inlineStr">
        <is>
          <t>Bolobolo</t>
        </is>
      </c>
    </row>
    <row r="27544" spans="1:1">
      <c r="A27544" t="inlineStr">
        <is>
          <t>Calongonan</t>
        </is>
      </c>
    </row>
    <row r="27545" spans="1:1">
      <c r="A27545" t="inlineStr">
        <is>
          <t>Cogon</t>
        </is>
      </c>
    </row>
    <row r="27546" spans="1:1">
      <c r="A27546" t="inlineStr">
        <is>
          <t>Himaya</t>
        </is>
      </c>
    </row>
    <row r="27547" spans="1:1">
      <c r="A27547" t="inlineStr">
        <is>
          <t>Hinigdaan</t>
        </is>
      </c>
    </row>
    <row r="27548" spans="1:1">
      <c r="A27548" t="inlineStr">
        <is>
          <t>Kalabaylabay</t>
        </is>
      </c>
    </row>
    <row r="27549" spans="1:1">
      <c r="A27549" t="inlineStr">
        <is>
          <t>Kibonbon</t>
        </is>
      </c>
    </row>
    <row r="27550" spans="1:1">
      <c r="A27550" t="inlineStr">
        <is>
          <t>Molugan</t>
        </is>
      </c>
    </row>
    <row r="27551" spans="1:1">
      <c r="A27551" t="inlineStr">
        <is>
          <t>Poblacion</t>
        </is>
      </c>
    </row>
    <row r="27552" spans="1:1">
      <c r="A27552" t="inlineStr">
        <is>
          <t>Sambulawan</t>
        </is>
      </c>
    </row>
    <row r="27553" spans="1:1">
      <c r="A27553" t="inlineStr">
        <is>
          <t>Sinaloc</t>
        </is>
      </c>
    </row>
    <row r="27554" spans="1:1">
      <c r="A27554" t="inlineStr">
        <is>
          <t>Taytay</t>
        </is>
      </c>
    </row>
    <row r="27555" spans="1:1">
      <c r="A27555" t="inlineStr">
        <is>
          <t>Ulaliman</t>
        </is>
      </c>
    </row>
    <row r="27556" spans="1:1">
      <c r="A27556" t="inlineStr">
        <is>
          <t>Agay-ayan</t>
        </is>
      </c>
    </row>
    <row r="27557" spans="1:1">
      <c r="A27557" t="inlineStr">
        <is>
          <t>Alagatan</t>
        </is>
      </c>
    </row>
    <row r="27558" spans="1:1">
      <c r="A27558" t="inlineStr">
        <is>
          <t>Anakan</t>
        </is>
      </c>
    </row>
    <row r="27559" spans="1:1">
      <c r="A27559" t="inlineStr">
        <is>
          <t>Bagubad</t>
        </is>
      </c>
    </row>
    <row r="27560" spans="1:1">
      <c r="A27560" t="inlineStr">
        <is>
          <t>Bakidbakid</t>
        </is>
      </c>
    </row>
    <row r="27561" spans="1:1">
      <c r="A27561" t="inlineStr">
        <is>
          <t>Bal-ason</t>
        </is>
      </c>
    </row>
    <row r="27562" spans="1:1">
      <c r="A27562" t="inlineStr">
        <is>
          <t>Bantaawan</t>
        </is>
      </c>
    </row>
    <row r="27563" spans="1:1">
      <c r="A27563" t="inlineStr">
        <is>
          <t>Barangay 1</t>
        </is>
      </c>
    </row>
    <row r="27564" spans="1:1">
      <c r="A27564" t="inlineStr">
        <is>
          <t>Barangay 10</t>
        </is>
      </c>
    </row>
    <row r="27565" spans="1:1">
      <c r="A27565" t="inlineStr">
        <is>
          <t>Barangay 11</t>
        </is>
      </c>
    </row>
    <row r="27566" spans="1:1">
      <c r="A27566" t="inlineStr">
        <is>
          <t>Barangay 12</t>
        </is>
      </c>
    </row>
    <row r="27567" spans="1:1">
      <c r="A27567" t="inlineStr">
        <is>
          <t>Barangay 13</t>
        </is>
      </c>
    </row>
    <row r="27568" spans="1:1">
      <c r="A27568" t="inlineStr">
        <is>
          <t>Barangay 14</t>
        </is>
      </c>
    </row>
    <row r="27569" spans="1:1">
      <c r="A27569" t="inlineStr">
        <is>
          <t>Barangay 15</t>
        </is>
      </c>
    </row>
    <row r="27570" spans="1:1">
      <c r="A27570" t="inlineStr">
        <is>
          <t>Barangay 16</t>
        </is>
      </c>
    </row>
    <row r="27571" spans="1:1">
      <c r="A27571" t="inlineStr">
        <is>
          <t>Barangay 17</t>
        </is>
      </c>
    </row>
    <row r="27572" spans="1:1">
      <c r="A27572" t="inlineStr">
        <is>
          <t>Barangay 18</t>
        </is>
      </c>
    </row>
    <row r="27573" spans="1:1">
      <c r="A27573" t="inlineStr">
        <is>
          <t>Barangay 18-A</t>
        </is>
      </c>
    </row>
    <row r="27574" spans="1:1">
      <c r="A27574" t="inlineStr">
        <is>
          <t>Barangay 19</t>
        </is>
      </c>
    </row>
    <row r="27575" spans="1:1">
      <c r="A27575" t="inlineStr">
        <is>
          <t>Barangay 2</t>
        </is>
      </c>
    </row>
    <row r="27576" spans="1:1">
      <c r="A27576" t="inlineStr">
        <is>
          <t>Barangay 20</t>
        </is>
      </c>
    </row>
    <row r="27577" spans="1:1">
      <c r="A27577" t="inlineStr">
        <is>
          <t>Barangay 21</t>
        </is>
      </c>
    </row>
    <row r="27578" spans="1:1">
      <c r="A27578" t="inlineStr">
        <is>
          <t>Barangay 22</t>
        </is>
      </c>
    </row>
    <row r="27579" spans="1:1">
      <c r="A27579" t="inlineStr">
        <is>
          <t>Barangay 22-A</t>
        </is>
      </c>
    </row>
    <row r="27580" spans="1:1">
      <c r="A27580" t="inlineStr">
        <is>
          <t>Barangay 23</t>
        </is>
      </c>
    </row>
    <row r="27581" spans="1:1">
      <c r="A27581" t="inlineStr">
        <is>
          <t>Barangay 24</t>
        </is>
      </c>
    </row>
    <row r="27582" spans="1:1">
      <c r="A27582" t="inlineStr">
        <is>
          <t>Barangay 24-A</t>
        </is>
      </c>
    </row>
    <row r="27583" spans="1:1">
      <c r="A27583" t="inlineStr">
        <is>
          <t>Barangay 25</t>
        </is>
      </c>
    </row>
    <row r="27584" spans="1:1">
      <c r="A27584" t="inlineStr">
        <is>
          <t>Barangay 26</t>
        </is>
      </c>
    </row>
    <row r="27585" spans="1:1">
      <c r="A27585" t="inlineStr">
        <is>
          <t>Barangay 3</t>
        </is>
      </c>
    </row>
    <row r="27586" spans="1:1">
      <c r="A27586" t="inlineStr">
        <is>
          <t>Barangay 4</t>
        </is>
      </c>
    </row>
    <row r="27587" spans="1:1">
      <c r="A27587" t="inlineStr">
        <is>
          <t>Barangay 5</t>
        </is>
      </c>
    </row>
    <row r="27588" spans="1:1">
      <c r="A27588" t="inlineStr">
        <is>
          <t>Barangay 6</t>
        </is>
      </c>
    </row>
    <row r="27589" spans="1:1">
      <c r="A27589" t="inlineStr">
        <is>
          <t>Barangay 7</t>
        </is>
      </c>
    </row>
    <row r="27590" spans="1:1">
      <c r="A27590" t="inlineStr">
        <is>
          <t>Barangay 8</t>
        </is>
      </c>
    </row>
    <row r="27591" spans="1:1">
      <c r="A27591" t="inlineStr">
        <is>
          <t>Barangay 9</t>
        </is>
      </c>
    </row>
    <row r="27592" spans="1:1">
      <c r="A27592" t="inlineStr">
        <is>
          <t>Binakalan</t>
        </is>
      </c>
    </row>
    <row r="27593" spans="1:1">
      <c r="A27593" t="inlineStr">
        <is>
          <t>Capitulangan</t>
        </is>
      </c>
    </row>
    <row r="27594" spans="1:1">
      <c r="A27594" t="inlineStr">
        <is>
          <t>Daan-Lungsod</t>
        </is>
      </c>
    </row>
    <row r="27595" spans="1:1">
      <c r="A27595" t="inlineStr">
        <is>
          <t>Dinawehan</t>
        </is>
      </c>
    </row>
    <row r="27596" spans="1:1">
      <c r="A27596" t="inlineStr">
        <is>
          <t>Eureka</t>
        </is>
      </c>
    </row>
    <row r="27597" spans="1:1">
      <c r="A27597" t="inlineStr">
        <is>
          <t>Hindangon</t>
        </is>
      </c>
    </row>
    <row r="27598" spans="1:1">
      <c r="A27598" t="inlineStr">
        <is>
          <t>Kalagonoy</t>
        </is>
      </c>
    </row>
    <row r="27599" spans="1:1">
      <c r="A27599" t="inlineStr">
        <is>
          <t>Kalipay</t>
        </is>
      </c>
    </row>
    <row r="27600" spans="1:1">
      <c r="A27600" t="inlineStr">
        <is>
          <t>Kamanikan</t>
        </is>
      </c>
    </row>
    <row r="27601" spans="1:1">
      <c r="A27601" t="inlineStr">
        <is>
          <t>Kianlagan</t>
        </is>
      </c>
    </row>
    <row r="27602" spans="1:1">
      <c r="A27602" t="inlineStr">
        <is>
          <t>Kibuging</t>
        </is>
      </c>
    </row>
    <row r="27603" spans="1:1">
      <c r="A27603" t="inlineStr">
        <is>
          <t>Kipuntos</t>
        </is>
      </c>
    </row>
    <row r="27604" spans="1:1">
      <c r="A27604" t="inlineStr">
        <is>
          <t>Lawaan</t>
        </is>
      </c>
    </row>
    <row r="27605" spans="1:1">
      <c r="A27605" t="inlineStr">
        <is>
          <t>Lawit</t>
        </is>
      </c>
    </row>
    <row r="27606" spans="1:1">
      <c r="A27606" t="inlineStr">
        <is>
          <t>Libertad</t>
        </is>
      </c>
    </row>
    <row r="27607" spans="1:1">
      <c r="A27607" t="inlineStr">
        <is>
          <t>Libon</t>
        </is>
      </c>
    </row>
    <row r="27608" spans="1:1">
      <c r="A27608" t="inlineStr">
        <is>
          <t>Lunao</t>
        </is>
      </c>
    </row>
    <row r="27609" spans="1:1">
      <c r="A27609" t="inlineStr">
        <is>
          <t>Lunotan</t>
        </is>
      </c>
    </row>
    <row r="27610" spans="1:1">
      <c r="A27610" t="inlineStr">
        <is>
          <t>Malibud</t>
        </is>
      </c>
    </row>
    <row r="27611" spans="1:1">
      <c r="A27611" t="inlineStr">
        <is>
          <t>Malinao</t>
        </is>
      </c>
    </row>
    <row r="27612" spans="1:1">
      <c r="A27612" t="inlineStr">
        <is>
          <t>Maribucao</t>
        </is>
      </c>
    </row>
    <row r="27613" spans="1:1">
      <c r="A27613" t="inlineStr">
        <is>
          <t>Mimbalagon</t>
        </is>
      </c>
    </row>
    <row r="27614" spans="1:1">
      <c r="A27614" t="inlineStr">
        <is>
          <t>Mimbunga</t>
        </is>
      </c>
    </row>
    <row r="27615" spans="1:1">
      <c r="A27615" t="inlineStr">
        <is>
          <t>Mimbuntong</t>
        </is>
      </c>
    </row>
    <row r="27616" spans="1:1">
      <c r="A27616" t="inlineStr">
        <is>
          <t>Minsapinit</t>
        </is>
      </c>
    </row>
    <row r="27617" spans="1:1">
      <c r="A27617" t="inlineStr">
        <is>
          <t>Murallon</t>
        </is>
      </c>
    </row>
    <row r="27618" spans="1:1">
      <c r="A27618" t="inlineStr">
        <is>
          <t>Odiongan</t>
        </is>
      </c>
    </row>
    <row r="27619" spans="1:1">
      <c r="A27619" t="inlineStr">
        <is>
          <t>Pangasihan</t>
        </is>
      </c>
    </row>
    <row r="27620" spans="1:1">
      <c r="A27620" t="inlineStr">
        <is>
          <t>Pigsaluhan</t>
        </is>
      </c>
    </row>
    <row r="27621" spans="1:1">
      <c r="A27621" t="inlineStr">
        <is>
          <t>Punong</t>
        </is>
      </c>
    </row>
    <row r="27622" spans="1:1">
      <c r="A27622" t="inlineStr">
        <is>
          <t>Ricoro</t>
        </is>
      </c>
    </row>
    <row r="27623" spans="1:1">
      <c r="A27623" t="inlineStr">
        <is>
          <t>Samay</t>
        </is>
      </c>
    </row>
    <row r="27624" spans="1:1">
      <c r="A27624" t="inlineStr">
        <is>
          <t>San Jose</t>
        </is>
      </c>
    </row>
    <row r="27625" spans="1:1">
      <c r="A27625" t="inlineStr">
        <is>
          <t>San Juan</t>
        </is>
      </c>
    </row>
    <row r="27626" spans="1:1">
      <c r="A27626" t="inlineStr">
        <is>
          <t>San Luis</t>
        </is>
      </c>
    </row>
    <row r="27627" spans="1:1">
      <c r="A27627" t="inlineStr">
        <is>
          <t>San Miguel</t>
        </is>
      </c>
    </row>
    <row r="27628" spans="1:1">
      <c r="A27628" t="inlineStr">
        <is>
          <t>Sangalan</t>
        </is>
      </c>
    </row>
    <row r="27629" spans="1:1">
      <c r="A27629" t="inlineStr">
        <is>
          <t>Santiago</t>
        </is>
      </c>
    </row>
    <row r="27630" spans="1:1">
      <c r="A27630" t="inlineStr">
        <is>
          <t>Tagpako</t>
        </is>
      </c>
    </row>
    <row r="27631" spans="1:1">
      <c r="A27631" t="inlineStr">
        <is>
          <t>Talisay</t>
        </is>
      </c>
    </row>
    <row r="27632" spans="1:1">
      <c r="A27632" t="inlineStr">
        <is>
          <t>Talon</t>
        </is>
      </c>
    </row>
    <row r="27633" spans="1:1">
      <c r="A27633" t="inlineStr">
        <is>
          <t>Tinabalan</t>
        </is>
      </c>
    </row>
    <row r="27634" spans="1:1">
      <c r="A27634" t="inlineStr">
        <is>
          <t>Tinulongan</t>
        </is>
      </c>
    </row>
    <row r="27635" spans="1:1">
      <c r="A27635" t="inlineStr">
        <is>
          <t>Ani-e</t>
        </is>
      </c>
    </row>
    <row r="27636" spans="1:1">
      <c r="A27636" t="inlineStr">
        <is>
          <t>Aposkahoy</t>
        </is>
      </c>
    </row>
    <row r="27637" spans="1:1">
      <c r="A27637" t="inlineStr">
        <is>
          <t>Bulahan</t>
        </is>
      </c>
    </row>
    <row r="27638" spans="1:1">
      <c r="A27638" t="inlineStr">
        <is>
          <t>Cabacungan</t>
        </is>
      </c>
    </row>
    <row r="27639" spans="1:1">
      <c r="A27639" t="inlineStr">
        <is>
          <t>Gumaod</t>
        </is>
      </c>
    </row>
    <row r="27640" spans="1:1">
      <c r="A27640" t="inlineStr">
        <is>
          <t>Hinaplanan</t>
        </is>
      </c>
    </row>
    <row r="27641" spans="1:1">
      <c r="A27641" t="inlineStr">
        <is>
          <t>Kalawitan</t>
        </is>
      </c>
    </row>
    <row r="27642" spans="1:1">
      <c r="A27642" t="inlineStr">
        <is>
          <t>Lanise</t>
        </is>
      </c>
    </row>
    <row r="27643" spans="1:1">
      <c r="A27643" t="inlineStr">
        <is>
          <t>Luna</t>
        </is>
      </c>
    </row>
    <row r="27644" spans="1:1">
      <c r="A27644" t="inlineStr">
        <is>
          <t>Madaguing</t>
        </is>
      </c>
    </row>
    <row r="27645" spans="1:1">
      <c r="A27645" t="inlineStr">
        <is>
          <t>Malagana</t>
        </is>
      </c>
    </row>
    <row r="27646" spans="1:1">
      <c r="A27646" t="inlineStr">
        <is>
          <t>Mat-i</t>
        </is>
      </c>
    </row>
    <row r="27647" spans="1:1">
      <c r="A27647" t="inlineStr">
        <is>
          <t>Minalwang</t>
        </is>
      </c>
    </row>
    <row r="27648" spans="1:1">
      <c r="A27648" t="inlineStr">
        <is>
          <t>Pambugas</t>
        </is>
      </c>
    </row>
    <row r="27649" spans="1:1">
      <c r="A27649" t="inlineStr">
        <is>
          <t>Panampawan</t>
        </is>
      </c>
    </row>
    <row r="27650" spans="1:1">
      <c r="A27650" t="inlineStr">
        <is>
          <t>Patrocenio</t>
        </is>
      </c>
    </row>
    <row r="27651" spans="1:1">
      <c r="A27651" t="inlineStr">
        <is>
          <t>Pelaez</t>
        </is>
      </c>
    </row>
    <row r="27652" spans="1:1">
      <c r="A27652" t="inlineStr">
        <is>
          <t>Plaridel</t>
        </is>
      </c>
    </row>
    <row r="27653" spans="1:1">
      <c r="A27653" t="inlineStr">
        <is>
          <t>Poblacion</t>
        </is>
      </c>
    </row>
    <row r="27654" spans="1:1">
      <c r="A27654" t="inlineStr">
        <is>
          <t>Punong</t>
        </is>
      </c>
    </row>
    <row r="27655" spans="1:1">
      <c r="A27655" t="inlineStr">
        <is>
          <t>Rizal</t>
        </is>
      </c>
    </row>
    <row r="27656" spans="1:1">
      <c r="A27656" t="inlineStr">
        <is>
          <t>Santa Cruz</t>
        </is>
      </c>
    </row>
    <row r="27657" spans="1:1">
      <c r="A27657" t="inlineStr">
        <is>
          <t>Tamboboan</t>
        </is>
      </c>
    </row>
    <row r="27658" spans="1:1">
      <c r="A27658" t="inlineStr">
        <is>
          <t>Tipolohon</t>
        </is>
      </c>
    </row>
    <row r="27659" spans="1:1">
      <c r="A27659" t="inlineStr">
        <is>
          <t>Burnay</t>
        </is>
      </c>
    </row>
    <row r="27660" spans="1:1">
      <c r="A27660" t="inlineStr">
        <is>
          <t>Carlos P. Garcia</t>
        </is>
      </c>
    </row>
    <row r="27661" spans="1:1">
      <c r="A27661" t="inlineStr">
        <is>
          <t>Cogon</t>
        </is>
      </c>
    </row>
    <row r="27662" spans="1:1">
      <c r="A27662" t="inlineStr">
        <is>
          <t>Gregorio Pelaez</t>
        </is>
      </c>
    </row>
    <row r="27663" spans="1:1">
      <c r="A27663" t="inlineStr">
        <is>
          <t>Kilangit</t>
        </is>
      </c>
    </row>
    <row r="27664" spans="1:1">
      <c r="A27664" t="inlineStr">
        <is>
          <t>Matangad</t>
        </is>
      </c>
    </row>
    <row r="27665" spans="1:1">
      <c r="A27665" t="inlineStr">
        <is>
          <t>Pangayawan</t>
        </is>
      </c>
    </row>
    <row r="27666" spans="1:1">
      <c r="A27666" t="inlineStr">
        <is>
          <t>Poblacion</t>
        </is>
      </c>
    </row>
    <row r="27667" spans="1:1">
      <c r="A27667" t="inlineStr">
        <is>
          <t>Quezon</t>
        </is>
      </c>
    </row>
    <row r="27668" spans="1:1">
      <c r="A27668" t="inlineStr">
        <is>
          <t>Tala-o</t>
        </is>
      </c>
    </row>
    <row r="27669" spans="1:1">
      <c r="A27669" t="inlineStr">
        <is>
          <t>Ulab</t>
        </is>
      </c>
    </row>
    <row r="27670" spans="1:1">
      <c r="A27670" t="inlineStr">
        <is>
          <t>Aluna</t>
        </is>
      </c>
    </row>
    <row r="27671" spans="1:1">
      <c r="A27671" t="inlineStr">
        <is>
          <t>Andales</t>
        </is>
      </c>
    </row>
    <row r="27672" spans="1:1">
      <c r="A27672" t="inlineStr">
        <is>
          <t>Apas</t>
        </is>
      </c>
    </row>
    <row r="27673" spans="1:1">
      <c r="A27673" t="inlineStr">
        <is>
          <t>Calacapan</t>
        </is>
      </c>
    </row>
    <row r="27674" spans="1:1">
      <c r="A27674" t="inlineStr">
        <is>
          <t>Gimangpang</t>
        </is>
      </c>
    </row>
    <row r="27675" spans="1:1">
      <c r="A27675" t="inlineStr">
        <is>
          <t>Jampason</t>
        </is>
      </c>
    </row>
    <row r="27676" spans="1:1">
      <c r="A27676" t="inlineStr">
        <is>
          <t>Kamelon</t>
        </is>
      </c>
    </row>
    <row r="27677" spans="1:1">
      <c r="A27677" t="inlineStr">
        <is>
          <t>Kanitoan</t>
        </is>
      </c>
    </row>
    <row r="27678" spans="1:1">
      <c r="A27678" t="inlineStr">
        <is>
          <t>Oguis</t>
        </is>
      </c>
    </row>
    <row r="27679" spans="1:1">
      <c r="A27679" t="inlineStr">
        <is>
          <t>Pagahan</t>
        </is>
      </c>
    </row>
    <row r="27680" spans="1:1">
      <c r="A27680" t="inlineStr">
        <is>
          <t>Poblacion</t>
        </is>
      </c>
    </row>
    <row r="27681" spans="1:1">
      <c r="A27681" t="inlineStr">
        <is>
          <t>Pontacon</t>
        </is>
      </c>
    </row>
    <row r="27682" spans="1:1">
      <c r="A27682" t="inlineStr">
        <is>
          <t>San Pedro</t>
        </is>
      </c>
    </row>
    <row r="27683" spans="1:1">
      <c r="A27683" t="inlineStr">
        <is>
          <t>Sinalac</t>
        </is>
      </c>
    </row>
    <row r="27684" spans="1:1">
      <c r="A27684" t="inlineStr">
        <is>
          <t>Tawantawan</t>
        </is>
      </c>
    </row>
    <row r="27685" spans="1:1">
      <c r="A27685" t="inlineStr">
        <is>
          <t>Tubigan</t>
        </is>
      </c>
    </row>
    <row r="27686" spans="1:1">
      <c r="A27686" t="inlineStr">
        <is>
          <t>Aplaya</t>
        </is>
      </c>
    </row>
    <row r="27687" spans="1:1">
      <c r="A27687" t="inlineStr">
        <is>
          <t>Bobontugan</t>
        </is>
      </c>
    </row>
    <row r="27688" spans="1:1">
      <c r="A27688" t="inlineStr">
        <is>
          <t>Corrales</t>
        </is>
      </c>
    </row>
    <row r="27689" spans="1:1">
      <c r="A27689" t="inlineStr">
        <is>
          <t>Danao</t>
        </is>
      </c>
    </row>
    <row r="27690" spans="1:1">
      <c r="A27690" t="inlineStr">
        <is>
          <t>I. S. Cruz</t>
        </is>
      </c>
    </row>
    <row r="27691" spans="1:1">
      <c r="A27691" t="inlineStr">
        <is>
          <t>Jampason</t>
        </is>
      </c>
    </row>
    <row r="27692" spans="1:1">
      <c r="A27692" t="inlineStr">
        <is>
          <t>Kimaya</t>
        </is>
      </c>
    </row>
    <row r="27693" spans="1:1">
      <c r="A27693" t="inlineStr">
        <is>
          <t>Lower Jasaan</t>
        </is>
      </c>
    </row>
    <row r="27694" spans="1:1">
      <c r="A27694" t="inlineStr">
        <is>
          <t>Luz Banzon</t>
        </is>
      </c>
    </row>
    <row r="27695" spans="1:1">
      <c r="A27695" t="inlineStr">
        <is>
          <t>Natubo</t>
        </is>
      </c>
    </row>
    <row r="27696" spans="1:1">
      <c r="A27696" t="inlineStr">
        <is>
          <t>San Antonio</t>
        </is>
      </c>
    </row>
    <row r="27697" spans="1:1">
      <c r="A27697" t="inlineStr">
        <is>
          <t>San Isidro</t>
        </is>
      </c>
    </row>
    <row r="27698" spans="1:1">
      <c r="A27698" t="inlineStr">
        <is>
          <t>San Nicolas</t>
        </is>
      </c>
    </row>
    <row r="27699" spans="1:1">
      <c r="A27699" t="inlineStr">
        <is>
          <t>Solana</t>
        </is>
      </c>
    </row>
    <row r="27700" spans="1:1">
      <c r="A27700" t="inlineStr">
        <is>
          <t>Upper Jasaan</t>
        </is>
      </c>
    </row>
    <row r="27701" spans="1:1">
      <c r="A27701" t="inlineStr">
        <is>
          <t>Beray</t>
        </is>
      </c>
    </row>
    <row r="27702" spans="1:1">
      <c r="A27702" t="inlineStr">
        <is>
          <t>Bolisong</t>
        </is>
      </c>
    </row>
    <row r="27703" spans="1:1">
      <c r="A27703" t="inlineStr">
        <is>
          <t>Buko</t>
        </is>
      </c>
    </row>
    <row r="27704" spans="1:1">
      <c r="A27704" t="inlineStr">
        <is>
          <t>Calubo</t>
        </is>
      </c>
    </row>
    <row r="27705" spans="1:1">
      <c r="A27705" t="inlineStr">
        <is>
          <t>Campo</t>
        </is>
      </c>
    </row>
    <row r="27706" spans="1:1">
      <c r="A27706" t="inlineStr">
        <is>
          <t>Esperanza</t>
        </is>
      </c>
    </row>
    <row r="27707" spans="1:1">
      <c r="A27707" t="inlineStr">
        <is>
          <t>Kagumahan</t>
        </is>
      </c>
    </row>
    <row r="27708" spans="1:1">
      <c r="A27708" t="inlineStr">
        <is>
          <t>Kalitian</t>
        </is>
      </c>
    </row>
    <row r="27709" spans="1:1">
      <c r="A27709" t="inlineStr">
        <is>
          <t>Kitotok</t>
        </is>
      </c>
    </row>
    <row r="27710" spans="1:1">
      <c r="A27710" t="inlineStr">
        <is>
          <t>Panabol</t>
        </is>
      </c>
    </row>
    <row r="27711" spans="1:1">
      <c r="A27711" t="inlineStr">
        <is>
          <t>Poblacion</t>
        </is>
      </c>
    </row>
    <row r="27712" spans="1:1">
      <c r="A27712" t="inlineStr">
        <is>
          <t>Salicapawan</t>
        </is>
      </c>
    </row>
    <row r="27713" spans="1:1">
      <c r="A27713" t="inlineStr">
        <is>
          <t>Salubsob</t>
        </is>
      </c>
    </row>
    <row r="27714" spans="1:1">
      <c r="A27714" t="inlineStr">
        <is>
          <t>Suarez</t>
        </is>
      </c>
    </row>
    <row r="27715" spans="1:1">
      <c r="A27715" t="inlineStr">
        <is>
          <t>Sumalag</t>
        </is>
      </c>
    </row>
    <row r="27716" spans="1:1">
      <c r="A27716" t="inlineStr">
        <is>
          <t>Banglay</t>
        </is>
      </c>
    </row>
    <row r="27717" spans="1:1">
      <c r="A27717" t="inlineStr">
        <is>
          <t>Dampil</t>
        </is>
      </c>
    </row>
    <row r="27718" spans="1:1">
      <c r="A27718" t="inlineStr">
        <is>
          <t>Gaston</t>
        </is>
      </c>
    </row>
    <row r="27719" spans="1:1">
      <c r="A27719" t="inlineStr">
        <is>
          <t>Kabulawan</t>
        </is>
      </c>
    </row>
    <row r="27720" spans="1:1">
      <c r="A27720" t="inlineStr">
        <is>
          <t>Kauswagan</t>
        </is>
      </c>
    </row>
    <row r="27721" spans="1:1">
      <c r="A27721" t="inlineStr">
        <is>
          <t>Lumbo</t>
        </is>
      </c>
    </row>
    <row r="27722" spans="1:1">
      <c r="A27722" t="inlineStr">
        <is>
          <t>Manaol</t>
        </is>
      </c>
    </row>
    <row r="27723" spans="1:1">
      <c r="A27723" t="inlineStr">
        <is>
          <t>Poblacion</t>
        </is>
      </c>
    </row>
    <row r="27724" spans="1:1">
      <c r="A27724" t="inlineStr">
        <is>
          <t>Tabok</t>
        </is>
      </c>
    </row>
    <row r="27725" spans="1:1">
      <c r="A27725" t="inlineStr">
        <is>
          <t>Umagos</t>
        </is>
      </c>
    </row>
    <row r="27726" spans="1:1">
      <c r="A27726" t="inlineStr">
        <is>
          <t>Aromahon</t>
        </is>
      </c>
    </row>
    <row r="27727" spans="1:1">
      <c r="A27727" t="inlineStr">
        <is>
          <t>Gasi</t>
        </is>
      </c>
    </row>
    <row r="27728" spans="1:1">
      <c r="A27728" t="inlineStr">
        <is>
          <t>Kibaghot</t>
        </is>
      </c>
    </row>
    <row r="27729" spans="1:1">
      <c r="A27729" t="inlineStr">
        <is>
          <t>Lapad</t>
        </is>
      </c>
    </row>
    <row r="27730" spans="1:1">
      <c r="A27730" t="inlineStr">
        <is>
          <t>Liberty</t>
        </is>
      </c>
    </row>
    <row r="27731" spans="1:1">
      <c r="A27731" t="inlineStr">
        <is>
          <t>Mauswagon</t>
        </is>
      </c>
    </row>
    <row r="27732" spans="1:1">
      <c r="A27732" t="inlineStr">
        <is>
          <t>Moog</t>
        </is>
      </c>
    </row>
    <row r="27733" spans="1:1">
      <c r="A27733" t="inlineStr">
        <is>
          <t>Poblacion</t>
        </is>
      </c>
    </row>
    <row r="27734" spans="1:1">
      <c r="A27734" t="inlineStr">
        <is>
          <t>Sambulawan</t>
        </is>
      </c>
    </row>
    <row r="27735" spans="1:1">
      <c r="A27735" t="inlineStr">
        <is>
          <t>Sinai</t>
        </is>
      </c>
    </row>
    <row r="27736" spans="1:1">
      <c r="A27736" t="inlineStr">
        <is>
          <t>Tubajon</t>
        </is>
      </c>
    </row>
    <row r="27737" spans="1:1">
      <c r="A27737" t="inlineStr">
        <is>
          <t>Dulong</t>
        </is>
      </c>
    </row>
    <row r="27738" spans="1:1">
      <c r="A27738" t="inlineStr">
        <is>
          <t>Gimaylan</t>
        </is>
      </c>
    </row>
    <row r="27739" spans="1:1">
      <c r="A27739" t="inlineStr">
        <is>
          <t>Kimalok</t>
        </is>
      </c>
    </row>
    <row r="27740" spans="1:1">
      <c r="A27740" t="inlineStr">
        <is>
          <t>Lubluban</t>
        </is>
      </c>
    </row>
    <row r="27741" spans="1:1">
      <c r="A27741" t="inlineStr">
        <is>
          <t>Poblacion</t>
        </is>
      </c>
    </row>
    <row r="27742" spans="1:1">
      <c r="A27742" t="inlineStr">
        <is>
          <t>Retablo</t>
        </is>
      </c>
    </row>
    <row r="27743" spans="1:1">
      <c r="A27743" t="inlineStr">
        <is>
          <t>Santo Niño</t>
        </is>
      </c>
    </row>
    <row r="27744" spans="1:1">
      <c r="A27744" t="inlineStr">
        <is>
          <t>Tangcub</t>
        </is>
      </c>
    </row>
    <row r="27745" spans="1:1">
      <c r="A27745" t="inlineStr">
        <is>
          <t>Taytayan</t>
        </is>
      </c>
    </row>
    <row r="27746" spans="1:1">
      <c r="A27746" t="inlineStr">
        <is>
          <t>Aya-aya</t>
        </is>
      </c>
    </row>
    <row r="27747" spans="1:1">
      <c r="A27747" t="inlineStr">
        <is>
          <t>Betahon</t>
        </is>
      </c>
    </row>
    <row r="27748" spans="1:1">
      <c r="A27748" t="inlineStr">
        <is>
          <t>Biga</t>
        </is>
      </c>
    </row>
    <row r="27749" spans="1:1">
      <c r="A27749" t="inlineStr">
        <is>
          <t>Calangahan</t>
        </is>
      </c>
    </row>
    <row r="27750" spans="1:1">
      <c r="A27750" t="inlineStr">
        <is>
          <t>Kaluknayan</t>
        </is>
      </c>
    </row>
    <row r="27751" spans="1:1">
      <c r="A27751" t="inlineStr">
        <is>
          <t>Lower Talacogon</t>
        </is>
      </c>
    </row>
    <row r="27752" spans="1:1">
      <c r="A27752" t="inlineStr">
        <is>
          <t>Poblacion</t>
        </is>
      </c>
    </row>
    <row r="27753" spans="1:1">
      <c r="A27753" t="inlineStr">
        <is>
          <t>Upper Talacogon</t>
        </is>
      </c>
    </row>
    <row r="27754" spans="1:1">
      <c r="A27754" t="inlineStr">
        <is>
          <t>Abunda</t>
        </is>
      </c>
    </row>
    <row r="27755" spans="1:1">
      <c r="A27755" t="inlineStr">
        <is>
          <t>Artadi</t>
        </is>
      </c>
    </row>
    <row r="27756" spans="1:1">
      <c r="A27756" t="inlineStr">
        <is>
          <t>Bonifacio Aquino</t>
        </is>
      </c>
    </row>
    <row r="27757" spans="1:1">
      <c r="A27757" t="inlineStr">
        <is>
          <t>Cabalawan</t>
        </is>
      </c>
    </row>
    <row r="27758" spans="1:1">
      <c r="A27758" t="inlineStr">
        <is>
          <t>Cabantian</t>
        </is>
      </c>
    </row>
    <row r="27759" spans="1:1">
      <c r="A27759" t="inlineStr">
        <is>
          <t>Cabubuhan</t>
        </is>
      </c>
    </row>
    <row r="27760" spans="1:1">
      <c r="A27760" t="inlineStr">
        <is>
          <t>Candiis</t>
        </is>
      </c>
    </row>
    <row r="27761" spans="1:1">
      <c r="A27761" t="inlineStr">
        <is>
          <t>Consuelo</t>
        </is>
      </c>
    </row>
    <row r="27762" spans="1:1">
      <c r="A27762" t="inlineStr">
        <is>
          <t>Damayuhan</t>
        </is>
      </c>
    </row>
    <row r="27763" spans="1:1">
      <c r="A27763" t="inlineStr">
        <is>
          <t>Gumabon</t>
        </is>
      </c>
    </row>
    <row r="27764" spans="1:1">
      <c r="A27764" t="inlineStr">
        <is>
          <t>Katipunan</t>
        </is>
      </c>
    </row>
    <row r="27765" spans="1:1">
      <c r="A27765" t="inlineStr">
        <is>
          <t>Kauswagan</t>
        </is>
      </c>
    </row>
    <row r="27766" spans="1:1">
      <c r="A27766" t="inlineStr">
        <is>
          <t>Kibungsod</t>
        </is>
      </c>
    </row>
    <row r="27767" spans="1:1">
      <c r="A27767" t="inlineStr">
        <is>
          <t>Mahayahay</t>
        </is>
      </c>
    </row>
    <row r="27768" spans="1:1">
      <c r="A27768" t="inlineStr">
        <is>
          <t>Mindulao</t>
        </is>
      </c>
    </row>
    <row r="27769" spans="1:1">
      <c r="A27769" t="inlineStr">
        <is>
          <t>Pag-asa</t>
        </is>
      </c>
    </row>
    <row r="27770" spans="1:1">
      <c r="A27770" t="inlineStr">
        <is>
          <t>Poblacion</t>
        </is>
      </c>
    </row>
    <row r="27771" spans="1:1">
      <c r="A27771" t="inlineStr">
        <is>
          <t>San Isidro</t>
        </is>
      </c>
    </row>
    <row r="27772" spans="1:1">
      <c r="A27772" t="inlineStr">
        <is>
          <t>San Vicente</t>
        </is>
      </c>
    </row>
    <row r="27773" spans="1:1">
      <c r="A27773" t="inlineStr">
        <is>
          <t>Santa Cruz</t>
        </is>
      </c>
    </row>
    <row r="27774" spans="1:1">
      <c r="A27774" t="inlineStr">
        <is>
          <t>Tama</t>
        </is>
      </c>
    </row>
    <row r="27775" spans="1:1">
      <c r="A27775" t="inlineStr">
        <is>
          <t>Tibon-tibon</t>
        </is>
      </c>
    </row>
    <row r="27776" spans="1:1">
      <c r="A27776" t="inlineStr">
        <is>
          <t>Tinaan</t>
        </is>
      </c>
    </row>
    <row r="27777" spans="1:1">
      <c r="A27777" t="inlineStr">
        <is>
          <t>Tulang</t>
        </is>
      </c>
    </row>
    <row r="27778" spans="1:1">
      <c r="A27778" t="inlineStr">
        <is>
          <t>Villa Felipa</t>
        </is>
      </c>
    </row>
    <row r="27779" spans="1:1">
      <c r="A27779" t="inlineStr">
        <is>
          <t>Argayoso</t>
        </is>
      </c>
    </row>
    <row r="27780" spans="1:1">
      <c r="A27780" t="inlineStr">
        <is>
          <t>Balintad</t>
        </is>
      </c>
    </row>
    <row r="27781" spans="1:1">
      <c r="A27781" t="inlineStr">
        <is>
          <t>Cabalantian</t>
        </is>
      </c>
    </row>
    <row r="27782" spans="1:1">
      <c r="A27782" t="inlineStr">
        <is>
          <t>Camanga</t>
        </is>
      </c>
    </row>
    <row r="27783" spans="1:1">
      <c r="A27783" t="inlineStr">
        <is>
          <t>Digkilaan</t>
        </is>
      </c>
    </row>
    <row r="27784" spans="1:1">
      <c r="A27784" t="inlineStr">
        <is>
          <t>Mahayahay</t>
        </is>
      </c>
    </row>
    <row r="27785" spans="1:1">
      <c r="A27785" t="inlineStr">
        <is>
          <t>Pagawan</t>
        </is>
      </c>
    </row>
    <row r="27786" spans="1:1">
      <c r="A27786" t="inlineStr">
        <is>
          <t>Paniangan</t>
        </is>
      </c>
    </row>
    <row r="27787" spans="1:1">
      <c r="A27787" t="inlineStr">
        <is>
          <t>Patag</t>
        </is>
      </c>
    </row>
    <row r="27788" spans="1:1">
      <c r="A27788" t="inlineStr">
        <is>
          <t>Poblacion</t>
        </is>
      </c>
    </row>
    <row r="27789" spans="1:1">
      <c r="A27789" t="inlineStr">
        <is>
          <t>Punta Silum</t>
        </is>
      </c>
    </row>
    <row r="27790" spans="1:1">
      <c r="A27790" t="inlineStr">
        <is>
          <t>Tuod</t>
        </is>
      </c>
    </row>
    <row r="27791" spans="1:1">
      <c r="A27791" t="inlineStr">
        <is>
          <t>Upper Malubog</t>
        </is>
      </c>
    </row>
    <row r="27792" spans="1:1">
      <c r="A27792" t="inlineStr">
        <is>
          <t>Bangbang</t>
        </is>
      </c>
    </row>
    <row r="27793" spans="1:1">
      <c r="A27793" t="inlineStr">
        <is>
          <t>Bulwa</t>
        </is>
      </c>
    </row>
    <row r="27794" spans="1:1">
      <c r="A27794" t="inlineStr">
        <is>
          <t>Cabug</t>
        </is>
      </c>
    </row>
    <row r="27795" spans="1:1">
      <c r="A27795" t="inlineStr">
        <is>
          <t>Dig-aguyan</t>
        </is>
      </c>
    </row>
    <row r="27796" spans="1:1">
      <c r="A27796" t="inlineStr">
        <is>
          <t>Duka</t>
        </is>
      </c>
    </row>
    <row r="27797" spans="1:1">
      <c r="A27797" t="inlineStr">
        <is>
          <t>Gasa</t>
        </is>
      </c>
    </row>
    <row r="27798" spans="1:1">
      <c r="A27798" t="inlineStr">
        <is>
          <t>Maanas</t>
        </is>
      </c>
    </row>
    <row r="27799" spans="1:1">
      <c r="A27799" t="inlineStr">
        <is>
          <t>Mananum Bag-o</t>
        </is>
      </c>
    </row>
    <row r="27800" spans="1:1">
      <c r="A27800" t="inlineStr">
        <is>
          <t>Mananum Daan</t>
        </is>
      </c>
    </row>
    <row r="27801" spans="1:1">
      <c r="A27801" t="inlineStr">
        <is>
          <t>North Poblacion</t>
        </is>
      </c>
    </row>
    <row r="27802" spans="1:1">
      <c r="A27802" t="inlineStr">
        <is>
          <t>Pahindong</t>
        </is>
      </c>
    </row>
    <row r="27803" spans="1:1">
      <c r="A27803" t="inlineStr">
        <is>
          <t>Portulin</t>
        </is>
      </c>
    </row>
    <row r="27804" spans="1:1">
      <c r="A27804" t="inlineStr">
        <is>
          <t>San Isidro</t>
        </is>
      </c>
    </row>
    <row r="27805" spans="1:1">
      <c r="A27805" t="inlineStr">
        <is>
          <t>San Jose</t>
        </is>
      </c>
    </row>
    <row r="27806" spans="1:1">
      <c r="A27806" t="inlineStr">
        <is>
          <t>San Roque</t>
        </is>
      </c>
    </row>
    <row r="27807" spans="1:1">
      <c r="A27807" t="inlineStr">
        <is>
          <t>San Vicente</t>
        </is>
      </c>
    </row>
    <row r="27808" spans="1:1">
      <c r="A27808" t="inlineStr">
        <is>
          <t>South Poblacion</t>
        </is>
      </c>
    </row>
    <row r="27809" spans="1:1">
      <c r="A27809" t="inlineStr">
        <is>
          <t>Tambagan</t>
        </is>
      </c>
    </row>
    <row r="27810" spans="1:1">
      <c r="A27810" t="inlineStr">
        <is>
          <t>Tup-on</t>
        </is>
      </c>
    </row>
    <row r="27811" spans="1:1">
      <c r="A27811" t="inlineStr">
        <is>
          <t>Don Pedro</t>
        </is>
      </c>
    </row>
    <row r="27812" spans="1:1">
      <c r="A27812" t="inlineStr">
        <is>
          <t>Linangkayan</t>
        </is>
      </c>
    </row>
    <row r="27813" spans="1:1">
      <c r="A27813" t="inlineStr">
        <is>
          <t>Lubilan</t>
        </is>
      </c>
    </row>
    <row r="27814" spans="1:1">
      <c r="A27814" t="inlineStr">
        <is>
          <t>Mapulog</t>
        </is>
      </c>
    </row>
    <row r="27815" spans="1:1">
      <c r="A27815" t="inlineStr">
        <is>
          <t>Maputi</t>
        </is>
      </c>
    </row>
    <row r="27816" spans="1:1">
      <c r="A27816" t="inlineStr">
        <is>
          <t>Mat-i</t>
        </is>
      </c>
    </row>
    <row r="27817" spans="1:1">
      <c r="A27817" t="inlineStr">
        <is>
          <t>Patag</t>
        </is>
      </c>
    </row>
    <row r="27818" spans="1:1">
      <c r="A27818" t="inlineStr">
        <is>
          <t>Poblacion</t>
        </is>
      </c>
    </row>
    <row r="27819" spans="1:1">
      <c r="A27819" t="inlineStr">
        <is>
          <t>Tagbalogo</t>
        </is>
      </c>
    </row>
    <row r="27820" spans="1:1">
      <c r="A27820" t="inlineStr">
        <is>
          <t>Tuboran</t>
        </is>
      </c>
    </row>
    <row r="27821" spans="1:1">
      <c r="A27821" t="inlineStr">
        <is>
          <t>Awang</t>
        </is>
      </c>
    </row>
    <row r="27822" spans="1:1">
      <c r="A27822" t="inlineStr">
        <is>
          <t>Bagocboc</t>
        </is>
      </c>
    </row>
    <row r="27823" spans="1:1">
      <c r="A27823" t="inlineStr">
        <is>
          <t>Barra</t>
        </is>
      </c>
    </row>
    <row r="27824" spans="1:1">
      <c r="A27824" t="inlineStr">
        <is>
          <t>Bonbon</t>
        </is>
      </c>
    </row>
    <row r="27825" spans="1:1">
      <c r="A27825" t="inlineStr">
        <is>
          <t>Cauyonan</t>
        </is>
      </c>
    </row>
    <row r="27826" spans="1:1">
      <c r="A27826" t="inlineStr">
        <is>
          <t>Igpit</t>
        </is>
      </c>
    </row>
    <row r="27827" spans="1:1">
      <c r="A27827" t="inlineStr">
        <is>
          <t>Limonda</t>
        </is>
      </c>
    </row>
    <row r="27828" spans="1:1">
      <c r="A27828" t="inlineStr">
        <is>
          <t>Luyongbonbon</t>
        </is>
      </c>
    </row>
    <row r="27829" spans="1:1">
      <c r="A27829" t="inlineStr">
        <is>
          <t>Malanang</t>
        </is>
      </c>
    </row>
    <row r="27830" spans="1:1">
      <c r="A27830" t="inlineStr">
        <is>
          <t>Nangcaon</t>
        </is>
      </c>
    </row>
    <row r="27831" spans="1:1">
      <c r="A27831" t="inlineStr">
        <is>
          <t>Patag</t>
        </is>
      </c>
    </row>
    <row r="27832" spans="1:1">
      <c r="A27832" t="inlineStr">
        <is>
          <t>Poblacion</t>
        </is>
      </c>
    </row>
    <row r="27833" spans="1:1">
      <c r="A27833" t="inlineStr">
        <is>
          <t>Taboc</t>
        </is>
      </c>
    </row>
    <row r="27834" spans="1:1">
      <c r="A27834" t="inlineStr">
        <is>
          <t>Tingalan</t>
        </is>
      </c>
    </row>
    <row r="27835" spans="1:1">
      <c r="A27835" t="inlineStr">
        <is>
          <t>Alipuaton</t>
        </is>
      </c>
    </row>
    <row r="27836" spans="1:1">
      <c r="A27836" t="inlineStr">
        <is>
          <t>Ampenican</t>
        </is>
      </c>
    </row>
    <row r="27837" spans="1:1">
      <c r="A27837" t="inlineStr">
        <is>
          <t>Bunal</t>
        </is>
      </c>
    </row>
    <row r="27838" spans="1:1">
      <c r="A27838" t="inlineStr">
        <is>
          <t>Casulog</t>
        </is>
      </c>
    </row>
    <row r="27839" spans="1:1">
      <c r="A27839" t="inlineStr">
        <is>
          <t>Dinagsaan</t>
        </is>
      </c>
    </row>
    <row r="27840" spans="1:1">
      <c r="A27840" t="inlineStr">
        <is>
          <t>Guinalaban</t>
        </is>
      </c>
    </row>
    <row r="27841" spans="1:1">
      <c r="A27841" t="inlineStr">
        <is>
          <t>Ili-ilihon</t>
        </is>
      </c>
    </row>
    <row r="27842" spans="1:1">
      <c r="A27842" t="inlineStr">
        <is>
          <t>Inobulan</t>
        </is>
      </c>
    </row>
    <row r="27843" spans="1:1">
      <c r="A27843" t="inlineStr">
        <is>
          <t>Looc</t>
        </is>
      </c>
    </row>
    <row r="27844" spans="1:1">
      <c r="A27844" t="inlineStr">
        <is>
          <t>Matampa</t>
        </is>
      </c>
    </row>
    <row r="27845" spans="1:1">
      <c r="A27845" t="inlineStr">
        <is>
          <t>Membuli</t>
        </is>
      </c>
    </row>
    <row r="27846" spans="1:1">
      <c r="A27846" t="inlineStr">
        <is>
          <t>Poblacion</t>
        </is>
      </c>
    </row>
    <row r="27847" spans="1:1">
      <c r="A27847" t="inlineStr">
        <is>
          <t>Salagsag</t>
        </is>
      </c>
    </row>
    <row r="27848" spans="1:1">
      <c r="A27848" t="inlineStr">
        <is>
          <t>Salay River I</t>
        </is>
      </c>
    </row>
    <row r="27849" spans="1:1">
      <c r="A27849" t="inlineStr">
        <is>
          <t>Salay River II</t>
        </is>
      </c>
    </row>
    <row r="27850" spans="1:1">
      <c r="A27850" t="inlineStr">
        <is>
          <t>Saray</t>
        </is>
      </c>
    </row>
    <row r="27851" spans="1:1">
      <c r="A27851" t="inlineStr">
        <is>
          <t>Tinagaan</t>
        </is>
      </c>
    </row>
    <row r="27852" spans="1:1">
      <c r="A27852" t="inlineStr">
        <is>
          <t>Yungod</t>
        </is>
      </c>
    </row>
    <row r="27853" spans="1:1">
      <c r="A27853" t="inlineStr">
        <is>
          <t>Alicomohan</t>
        </is>
      </c>
    </row>
    <row r="27854" spans="1:1">
      <c r="A27854" t="inlineStr">
        <is>
          <t>Ampianga</t>
        </is>
      </c>
    </row>
    <row r="27855" spans="1:1">
      <c r="A27855" t="inlineStr">
        <is>
          <t>Kaulayanan</t>
        </is>
      </c>
    </row>
    <row r="27856" spans="1:1">
      <c r="A27856" t="inlineStr">
        <is>
          <t>Kidampas</t>
        </is>
      </c>
    </row>
    <row r="27857" spans="1:1">
      <c r="A27857" t="inlineStr">
        <is>
          <t>Kiraging</t>
        </is>
      </c>
    </row>
    <row r="27858" spans="1:1">
      <c r="A27858" t="inlineStr">
        <is>
          <t>Mangga</t>
        </is>
      </c>
    </row>
    <row r="27859" spans="1:1">
      <c r="A27859" t="inlineStr">
        <is>
          <t>Mimbuahan</t>
        </is>
      </c>
    </row>
    <row r="27860" spans="1:1">
      <c r="A27860" t="inlineStr">
        <is>
          <t>Poblacion</t>
        </is>
      </c>
    </row>
    <row r="27861" spans="1:1">
      <c r="A27861" t="inlineStr">
        <is>
          <t>Santa Cruz</t>
        </is>
      </c>
    </row>
    <row r="27862" spans="1:1">
      <c r="A27862" t="inlineStr">
        <is>
          <t>Silad</t>
        </is>
      </c>
    </row>
    <row r="27863" spans="1:1">
      <c r="A27863" t="inlineStr">
        <is>
          <t>Baluarte</t>
        </is>
      </c>
    </row>
    <row r="27864" spans="1:1">
      <c r="A27864" t="inlineStr">
        <is>
          <t>Casinglot</t>
        </is>
      </c>
    </row>
    <row r="27865" spans="1:1">
      <c r="A27865" t="inlineStr">
        <is>
          <t>Gracia</t>
        </is>
      </c>
    </row>
    <row r="27866" spans="1:1">
      <c r="A27866" t="inlineStr">
        <is>
          <t>Mohon</t>
        </is>
      </c>
    </row>
    <row r="27867" spans="1:1">
      <c r="A27867" t="inlineStr">
        <is>
          <t>Natumolan</t>
        </is>
      </c>
    </row>
    <row r="27868" spans="1:1">
      <c r="A27868" t="inlineStr">
        <is>
          <t>Poblacion</t>
        </is>
      </c>
    </row>
    <row r="27869" spans="1:1">
      <c r="A27869" t="inlineStr">
        <is>
          <t>Rosario</t>
        </is>
      </c>
    </row>
    <row r="27870" spans="1:1">
      <c r="A27870" t="inlineStr">
        <is>
          <t>Santa Ana</t>
        </is>
      </c>
    </row>
    <row r="27871" spans="1:1">
      <c r="A27871" t="inlineStr">
        <is>
          <t>Santa Cruz</t>
        </is>
      </c>
    </row>
    <row r="27872" spans="1:1">
      <c r="A27872" t="inlineStr">
        <is>
          <t>Sugbongcogon</t>
        </is>
      </c>
    </row>
    <row r="27873" spans="1:1">
      <c r="A27873" t="inlineStr">
        <is>
          <t>Bugdang</t>
        </is>
      </c>
    </row>
    <row r="27874" spans="1:1">
      <c r="A27874" t="inlineStr">
        <is>
          <t>Calamcam</t>
        </is>
      </c>
    </row>
    <row r="27875" spans="1:1">
      <c r="A27875" t="inlineStr">
        <is>
          <t>Casibole</t>
        </is>
      </c>
    </row>
    <row r="27876" spans="1:1">
      <c r="A27876" t="inlineStr">
        <is>
          <t>Macopa</t>
        </is>
      </c>
    </row>
    <row r="27877" spans="1:1">
      <c r="A27877" t="inlineStr">
        <is>
          <t>Magkarila</t>
        </is>
      </c>
    </row>
    <row r="27878" spans="1:1">
      <c r="A27878" t="inlineStr">
        <is>
          <t>Mahayag</t>
        </is>
      </c>
    </row>
    <row r="27879" spans="1:1">
      <c r="A27879" t="inlineStr">
        <is>
          <t>Mandahilag</t>
        </is>
      </c>
    </row>
    <row r="27880" spans="1:1">
      <c r="A27880" t="inlineStr">
        <is>
          <t>Mintabon</t>
        </is>
      </c>
    </row>
    <row r="27881" spans="1:1">
      <c r="A27881" t="inlineStr">
        <is>
          <t>Pangpangon</t>
        </is>
      </c>
    </row>
    <row r="27882" spans="1:1">
      <c r="A27882" t="inlineStr">
        <is>
          <t>Poblacion</t>
        </is>
      </c>
    </row>
    <row r="27883" spans="1:1">
      <c r="A27883" t="inlineStr">
        <is>
          <t>Pook</t>
        </is>
      </c>
    </row>
    <row r="27884" spans="1:1">
      <c r="A27884" t="inlineStr">
        <is>
          <t>Punta Santiago</t>
        </is>
      </c>
    </row>
    <row r="27885" spans="1:1">
      <c r="A27885" t="inlineStr">
        <is>
          <t>Puting Balas</t>
        </is>
      </c>
    </row>
    <row r="27886" spans="1:1">
      <c r="A27886" t="inlineStr">
        <is>
          <t>San Jose</t>
        </is>
      </c>
    </row>
    <row r="27887" spans="1:1">
      <c r="A27887" t="inlineStr">
        <is>
          <t>Santa Ines</t>
        </is>
      </c>
    </row>
    <row r="27888" spans="1:1">
      <c r="A27888" t="inlineStr">
        <is>
          <t>Sibantang</t>
        </is>
      </c>
    </row>
    <row r="27889" spans="1:1">
      <c r="A27889" t="inlineStr">
        <is>
          <t>Sindangan</t>
        </is>
      </c>
    </row>
    <row r="27890" spans="1:1">
      <c r="A27890" t="inlineStr">
        <is>
          <t>Tagbocboc</t>
        </is>
      </c>
    </row>
    <row r="27891" spans="1:1">
      <c r="A27891" t="inlineStr">
        <is>
          <t>Balacanas</t>
        </is>
      </c>
    </row>
    <row r="27892" spans="1:1">
      <c r="A27892" t="inlineStr">
        <is>
          <t>Dayawan</t>
        </is>
      </c>
    </row>
    <row r="27893" spans="1:1">
      <c r="A27893" t="inlineStr">
        <is>
          <t>Imelda</t>
        </is>
      </c>
    </row>
    <row r="27894" spans="1:1">
      <c r="A27894" t="inlineStr">
        <is>
          <t>Katipunan</t>
        </is>
      </c>
    </row>
    <row r="27895" spans="1:1">
      <c r="A27895" t="inlineStr">
        <is>
          <t>Kimaya</t>
        </is>
      </c>
    </row>
    <row r="27896" spans="1:1">
      <c r="A27896" t="inlineStr">
        <is>
          <t>Looc</t>
        </is>
      </c>
    </row>
    <row r="27897" spans="1:1">
      <c r="A27897" t="inlineStr">
        <is>
          <t>Poblacion 1</t>
        </is>
      </c>
    </row>
    <row r="27898" spans="1:1">
      <c r="A27898" t="inlineStr">
        <is>
          <t>Poblacion 2</t>
        </is>
      </c>
    </row>
    <row r="27899" spans="1:1">
      <c r="A27899" t="inlineStr">
        <is>
          <t>Poblacion 3</t>
        </is>
      </c>
    </row>
    <row r="27900" spans="1:1">
      <c r="A27900" t="inlineStr">
        <is>
          <t>San Martin</t>
        </is>
      </c>
    </row>
    <row r="27901" spans="1:1">
      <c r="A27901" t="inlineStr">
        <is>
          <t>Tambobong</t>
        </is>
      </c>
    </row>
    <row r="27902" spans="1:1">
      <c r="A27902" t="inlineStr">
        <is>
          <t>Chupac</t>
        </is>
      </c>
    </row>
    <row r="27903" spans="1:1">
      <c r="A27903" t="inlineStr">
        <is>
          <t>Fiangtin</t>
        </is>
      </c>
    </row>
    <row r="27904" spans="1:1">
      <c r="A27904" t="inlineStr">
        <is>
          <t>Gawana</t>
        </is>
      </c>
    </row>
    <row r="27905" spans="1:1">
      <c r="A27905" t="inlineStr">
        <is>
          <t>Kaleo</t>
        </is>
      </c>
    </row>
    <row r="27906" spans="1:1">
      <c r="A27906" t="inlineStr">
        <is>
          <t>Latang</t>
        </is>
      </c>
    </row>
    <row r="27907" spans="1:1">
      <c r="A27907" t="inlineStr">
        <is>
          <t>Lias Kanluran</t>
        </is>
      </c>
    </row>
    <row r="27908" spans="1:1">
      <c r="A27908" t="inlineStr">
        <is>
          <t>Lias Silangan</t>
        </is>
      </c>
    </row>
    <row r="27909" spans="1:1">
      <c r="A27909" t="inlineStr">
        <is>
          <t>Lingoy</t>
        </is>
      </c>
    </row>
    <row r="27910" spans="1:1">
      <c r="A27910" t="inlineStr">
        <is>
          <t>Lunas</t>
        </is>
      </c>
    </row>
    <row r="27911" spans="1:1">
      <c r="A27911" t="inlineStr">
        <is>
          <t>Macalana</t>
        </is>
      </c>
    </row>
    <row r="27912" spans="1:1">
      <c r="A27912" t="inlineStr">
        <is>
          <t>Ogo-og</t>
        </is>
      </c>
    </row>
    <row r="27913" spans="1:1">
      <c r="A27913" t="inlineStr">
        <is>
          <t>Abatan</t>
        </is>
      </c>
    </row>
    <row r="27914" spans="1:1">
      <c r="A27914" t="inlineStr">
        <is>
          <t>Bagnen Oriente</t>
        </is>
      </c>
    </row>
    <row r="27915" spans="1:1">
      <c r="A27915" t="inlineStr">
        <is>
          <t>Bagnen Proper</t>
        </is>
      </c>
    </row>
    <row r="27916" spans="1:1">
      <c r="A27916" t="inlineStr">
        <is>
          <t>Balintaugan</t>
        </is>
      </c>
    </row>
    <row r="27917" spans="1:1">
      <c r="A27917" t="inlineStr">
        <is>
          <t>Banao</t>
        </is>
      </c>
    </row>
    <row r="27918" spans="1:1">
      <c r="A27918" t="inlineStr">
        <is>
          <t>Bila</t>
        </is>
      </c>
    </row>
    <row r="27919" spans="1:1">
      <c r="A27919" t="inlineStr">
        <is>
          <t>Guinzadan Central</t>
        </is>
      </c>
    </row>
    <row r="27920" spans="1:1">
      <c r="A27920" t="inlineStr">
        <is>
          <t>Guinzadan Norte</t>
        </is>
      </c>
    </row>
    <row r="27921" spans="1:1">
      <c r="A27921" t="inlineStr">
        <is>
          <t>Guinzadan Sur</t>
        </is>
      </c>
    </row>
    <row r="27922" spans="1:1">
      <c r="A27922" t="inlineStr">
        <is>
          <t>Lagawa</t>
        </is>
      </c>
    </row>
    <row r="27923" spans="1:1">
      <c r="A27923" t="inlineStr">
        <is>
          <t>Leseb</t>
        </is>
      </c>
    </row>
    <row r="27924" spans="1:1">
      <c r="A27924" t="inlineStr">
        <is>
          <t>Mabaay</t>
        </is>
      </c>
    </row>
    <row r="27925" spans="1:1">
      <c r="A27925" t="inlineStr">
        <is>
          <t>Mayag</t>
        </is>
      </c>
    </row>
    <row r="27926" spans="1:1">
      <c r="A27926" t="inlineStr">
        <is>
          <t>Monamon Norte</t>
        </is>
      </c>
    </row>
    <row r="27927" spans="1:1">
      <c r="A27927" t="inlineStr">
        <is>
          <t>Monamon Sur</t>
        </is>
      </c>
    </row>
    <row r="27928" spans="1:1">
      <c r="A27928" t="inlineStr">
        <is>
          <t>Mount Data</t>
        </is>
      </c>
    </row>
    <row r="27929" spans="1:1">
      <c r="A27929" t="inlineStr">
        <is>
          <t>Otucan Norte</t>
        </is>
      </c>
    </row>
    <row r="27930" spans="1:1">
      <c r="A27930" t="inlineStr">
        <is>
          <t>Otucan Sur</t>
        </is>
      </c>
    </row>
    <row r="27931" spans="1:1">
      <c r="A27931" t="inlineStr">
        <is>
          <t>Poblacion</t>
        </is>
      </c>
    </row>
    <row r="27932" spans="1:1">
      <c r="A27932" t="inlineStr">
        <is>
          <t>Sadsadan</t>
        </is>
      </c>
    </row>
    <row r="27933" spans="1:1">
      <c r="A27933" t="inlineStr">
        <is>
          <t>Sinto</t>
        </is>
      </c>
    </row>
    <row r="27934" spans="1:1">
      <c r="A27934" t="inlineStr">
        <is>
          <t>Tapapan</t>
        </is>
      </c>
    </row>
    <row r="27935" spans="1:1">
      <c r="A27935" t="inlineStr">
        <is>
          <t>Agawa</t>
        </is>
      </c>
    </row>
    <row r="27936" spans="1:1">
      <c r="A27936" t="inlineStr">
        <is>
          <t>Ambaguio</t>
        </is>
      </c>
    </row>
    <row r="27937" spans="1:1">
      <c r="A27937" t="inlineStr">
        <is>
          <t>Banguitan</t>
        </is>
      </c>
    </row>
    <row r="27938" spans="1:1">
      <c r="A27938" t="inlineStr">
        <is>
          <t>Besao East</t>
        </is>
      </c>
    </row>
    <row r="27939" spans="1:1">
      <c r="A27939" t="inlineStr">
        <is>
          <t>Besao West</t>
        </is>
      </c>
    </row>
    <row r="27940" spans="1:1">
      <c r="A27940" t="inlineStr">
        <is>
          <t>Catengan</t>
        </is>
      </c>
    </row>
    <row r="27941" spans="1:1">
      <c r="A27941" t="inlineStr">
        <is>
          <t>Gueday</t>
        </is>
      </c>
    </row>
    <row r="27942" spans="1:1">
      <c r="A27942" t="inlineStr">
        <is>
          <t>Kin-iway</t>
        </is>
      </c>
    </row>
    <row r="27943" spans="1:1">
      <c r="A27943" t="inlineStr">
        <is>
          <t>Lacmaan</t>
        </is>
      </c>
    </row>
    <row r="27944" spans="1:1">
      <c r="A27944" t="inlineStr">
        <is>
          <t>Laylaya</t>
        </is>
      </c>
    </row>
    <row r="27945" spans="1:1">
      <c r="A27945" t="inlineStr">
        <is>
          <t>Padangan</t>
        </is>
      </c>
    </row>
    <row r="27946" spans="1:1">
      <c r="A27946" t="inlineStr">
        <is>
          <t>Payeo</t>
        </is>
      </c>
    </row>
    <row r="27947" spans="1:1">
      <c r="A27947" t="inlineStr">
        <is>
          <t>Suquib</t>
        </is>
      </c>
    </row>
    <row r="27948" spans="1:1">
      <c r="A27948" t="inlineStr">
        <is>
          <t>Tamboan</t>
        </is>
      </c>
    </row>
    <row r="27949" spans="1:1">
      <c r="A27949" t="inlineStr">
        <is>
          <t>Alab Oriente</t>
        </is>
      </c>
    </row>
    <row r="27950" spans="1:1">
      <c r="A27950" t="inlineStr">
        <is>
          <t>Alab Proper</t>
        </is>
      </c>
    </row>
    <row r="27951" spans="1:1">
      <c r="A27951" t="inlineStr">
        <is>
          <t>Balili</t>
        </is>
      </c>
    </row>
    <row r="27952" spans="1:1">
      <c r="A27952" t="inlineStr">
        <is>
          <t>Bayyo</t>
        </is>
      </c>
    </row>
    <row r="27953" spans="1:1">
      <c r="A27953" t="inlineStr">
        <is>
          <t>Bontoc Ili</t>
        </is>
      </c>
    </row>
    <row r="27954" spans="1:1">
      <c r="A27954" t="inlineStr">
        <is>
          <t>Caluttit</t>
        </is>
      </c>
    </row>
    <row r="27955" spans="1:1">
      <c r="A27955" t="inlineStr">
        <is>
          <t>Caneo</t>
        </is>
      </c>
    </row>
    <row r="27956" spans="1:1">
      <c r="A27956" t="inlineStr">
        <is>
          <t>Dalican</t>
        </is>
      </c>
    </row>
    <row r="27957" spans="1:1">
      <c r="A27957" t="inlineStr">
        <is>
          <t>Gonogon</t>
        </is>
      </c>
    </row>
    <row r="27958" spans="1:1">
      <c r="A27958" t="inlineStr">
        <is>
          <t>Guinaang</t>
        </is>
      </c>
    </row>
    <row r="27959" spans="1:1">
      <c r="A27959" t="inlineStr">
        <is>
          <t>Mainit</t>
        </is>
      </c>
    </row>
    <row r="27960" spans="1:1">
      <c r="A27960" t="inlineStr">
        <is>
          <t>Maligcong</t>
        </is>
      </c>
    </row>
    <row r="27961" spans="1:1">
      <c r="A27961" t="inlineStr">
        <is>
          <t>Poblacion</t>
        </is>
      </c>
    </row>
    <row r="27962" spans="1:1">
      <c r="A27962" t="inlineStr">
        <is>
          <t>Samoki</t>
        </is>
      </c>
    </row>
    <row r="27963" spans="1:1">
      <c r="A27963" t="inlineStr">
        <is>
          <t>Talubin</t>
        </is>
      </c>
    </row>
    <row r="27964" spans="1:1">
      <c r="A27964" t="inlineStr">
        <is>
          <t>Tocucan</t>
        </is>
      </c>
    </row>
    <row r="27965" spans="1:1">
      <c r="A27965" t="inlineStr">
        <is>
          <t>Alunogan</t>
        </is>
      </c>
    </row>
    <row r="27966" spans="1:1">
      <c r="A27966" t="inlineStr">
        <is>
          <t>Balangao</t>
        </is>
      </c>
    </row>
    <row r="27967" spans="1:1">
      <c r="A27967" t="inlineStr">
        <is>
          <t>Banao</t>
        </is>
      </c>
    </row>
    <row r="27968" spans="1:1">
      <c r="A27968" t="inlineStr">
        <is>
          <t>Banawal</t>
        </is>
      </c>
    </row>
    <row r="27969" spans="1:1">
      <c r="A27969" t="inlineStr">
        <is>
          <t>Butac</t>
        </is>
      </c>
    </row>
    <row r="27970" spans="1:1">
      <c r="A27970" t="inlineStr">
        <is>
          <t>Maducayan</t>
        </is>
      </c>
    </row>
    <row r="27971" spans="1:1">
      <c r="A27971" t="inlineStr">
        <is>
          <t>Poblacion</t>
        </is>
      </c>
    </row>
    <row r="27972" spans="1:1">
      <c r="A27972" t="inlineStr">
        <is>
          <t>Pudo</t>
        </is>
      </c>
    </row>
    <row r="27973" spans="1:1">
      <c r="A27973" t="inlineStr">
        <is>
          <t>Saliok</t>
        </is>
      </c>
    </row>
    <row r="27974" spans="1:1">
      <c r="A27974" t="inlineStr">
        <is>
          <t>Sta. Isabel</t>
        </is>
      </c>
    </row>
    <row r="27975" spans="1:1">
      <c r="A27975" t="inlineStr">
        <is>
          <t>Tonglayan</t>
        </is>
      </c>
    </row>
    <row r="27976" spans="1:1">
      <c r="A27976" t="inlineStr">
        <is>
          <t>Anonat</t>
        </is>
      </c>
    </row>
    <row r="27977" spans="1:1">
      <c r="A27977" t="inlineStr">
        <is>
          <t>Bacarri</t>
        </is>
      </c>
    </row>
    <row r="27978" spans="1:1">
      <c r="A27978" t="inlineStr">
        <is>
          <t>Bananao</t>
        </is>
      </c>
    </row>
    <row r="27979" spans="1:1">
      <c r="A27979" t="inlineStr">
        <is>
          <t>Bantay</t>
        </is>
      </c>
    </row>
    <row r="27980" spans="1:1">
      <c r="A27980" t="inlineStr">
        <is>
          <t>Bunot</t>
        </is>
      </c>
    </row>
    <row r="27981" spans="1:1">
      <c r="A27981" t="inlineStr">
        <is>
          <t>Buringal</t>
        </is>
      </c>
    </row>
    <row r="27982" spans="1:1">
      <c r="A27982" t="inlineStr">
        <is>
          <t>Butigue</t>
        </is>
      </c>
    </row>
    <row r="27983" spans="1:1">
      <c r="A27983" t="inlineStr">
        <is>
          <t>Palitud</t>
        </is>
      </c>
    </row>
    <row r="27984" spans="1:1">
      <c r="A27984" t="inlineStr">
        <is>
          <t>Poblacion</t>
        </is>
      </c>
    </row>
    <row r="27985" spans="1:1">
      <c r="A27985" t="inlineStr">
        <is>
          <t>Bao-angan</t>
        </is>
      </c>
    </row>
    <row r="27986" spans="1:1">
      <c r="A27986" t="inlineStr">
        <is>
          <t>Bun-ayan</t>
        </is>
      </c>
    </row>
    <row r="27987" spans="1:1">
      <c r="A27987" t="inlineStr">
        <is>
          <t>Busa</t>
        </is>
      </c>
    </row>
    <row r="27988" spans="1:1">
      <c r="A27988" t="inlineStr">
        <is>
          <t>Camatagan</t>
        </is>
      </c>
    </row>
    <row r="27989" spans="1:1">
      <c r="A27989" t="inlineStr">
        <is>
          <t>Capinitan</t>
        </is>
      </c>
    </row>
    <row r="27990" spans="1:1">
      <c r="A27990" t="inlineStr">
        <is>
          <t>Data</t>
        </is>
      </c>
    </row>
    <row r="27991" spans="1:1">
      <c r="A27991" t="inlineStr">
        <is>
          <t>Gayang</t>
        </is>
      </c>
    </row>
    <row r="27992" spans="1:1">
      <c r="A27992" t="inlineStr">
        <is>
          <t>Lagan</t>
        </is>
      </c>
    </row>
    <row r="27993" spans="1:1">
      <c r="A27993" t="inlineStr">
        <is>
          <t>Losad</t>
        </is>
      </c>
    </row>
    <row r="27994" spans="1:1">
      <c r="A27994" t="inlineStr">
        <is>
          <t>Namatec</t>
        </is>
      </c>
    </row>
    <row r="27995" spans="1:1">
      <c r="A27995" t="inlineStr">
        <is>
          <t>Napua</t>
        </is>
      </c>
    </row>
    <row r="27996" spans="1:1">
      <c r="A27996" t="inlineStr">
        <is>
          <t>Pingad</t>
        </is>
      </c>
    </row>
    <row r="27997" spans="1:1">
      <c r="A27997" t="inlineStr">
        <is>
          <t>Poblacion</t>
        </is>
      </c>
    </row>
    <row r="27998" spans="1:1">
      <c r="A27998" t="inlineStr">
        <is>
          <t>Supang</t>
        </is>
      </c>
    </row>
    <row r="27999" spans="1:1">
      <c r="A27999" t="inlineStr">
        <is>
          <t>Tambingan</t>
        </is>
      </c>
    </row>
    <row r="28000" spans="1:1">
      <c r="A28000" t="inlineStr">
        <is>
          <t>Anabel</t>
        </is>
      </c>
    </row>
    <row r="28001" spans="1:1">
      <c r="A28001" t="inlineStr">
        <is>
          <t>Bekigan</t>
        </is>
      </c>
    </row>
    <row r="28002" spans="1:1">
      <c r="A28002" t="inlineStr">
        <is>
          <t>Belwang</t>
        </is>
      </c>
    </row>
    <row r="28003" spans="1:1">
      <c r="A28003" t="inlineStr">
        <is>
          <t>Betwagan</t>
        </is>
      </c>
    </row>
    <row r="28004" spans="1:1">
      <c r="A28004" t="inlineStr">
        <is>
          <t>Demang</t>
        </is>
      </c>
    </row>
    <row r="28005" spans="1:1">
      <c r="A28005" t="inlineStr">
        <is>
          <t>Poblacion</t>
        </is>
      </c>
    </row>
    <row r="28006" spans="1:1">
      <c r="A28006" t="inlineStr">
        <is>
          <t>Sacasacan</t>
        </is>
      </c>
    </row>
    <row r="28007" spans="1:1">
      <c r="A28007" t="inlineStr">
        <is>
          <t>Saclit</t>
        </is>
      </c>
    </row>
    <row r="28008" spans="1:1">
      <c r="A28008" t="inlineStr">
        <is>
          <t>Aguid</t>
        </is>
      </c>
    </row>
    <row r="28009" spans="1:1">
      <c r="A28009" t="inlineStr">
        <is>
          <t>Ambasing</t>
        </is>
      </c>
    </row>
    <row r="28010" spans="1:1">
      <c r="A28010" t="inlineStr">
        <is>
          <t>Angkeling</t>
        </is>
      </c>
    </row>
    <row r="28011" spans="1:1">
      <c r="A28011" t="inlineStr">
        <is>
          <t>Antadao</t>
        </is>
      </c>
    </row>
    <row r="28012" spans="1:1">
      <c r="A28012" t="inlineStr">
        <is>
          <t>Balugan</t>
        </is>
      </c>
    </row>
    <row r="28013" spans="1:1">
      <c r="A28013" t="inlineStr">
        <is>
          <t>Bangaan</t>
        </is>
      </c>
    </row>
    <row r="28014" spans="1:1">
      <c r="A28014" t="inlineStr">
        <is>
          <t>Dagdag</t>
        </is>
      </c>
    </row>
    <row r="28015" spans="1:1">
      <c r="A28015" t="inlineStr">
        <is>
          <t>Demang</t>
        </is>
      </c>
    </row>
    <row r="28016" spans="1:1">
      <c r="A28016" t="inlineStr">
        <is>
          <t>Fidelisan</t>
        </is>
      </c>
    </row>
    <row r="28017" spans="1:1">
      <c r="A28017" t="inlineStr">
        <is>
          <t>Kilong</t>
        </is>
      </c>
    </row>
    <row r="28018" spans="1:1">
      <c r="A28018" t="inlineStr">
        <is>
          <t>Madongo</t>
        </is>
      </c>
    </row>
    <row r="28019" spans="1:1">
      <c r="A28019" t="inlineStr">
        <is>
          <t>Nacagang</t>
        </is>
      </c>
    </row>
    <row r="28020" spans="1:1">
      <c r="A28020" t="inlineStr">
        <is>
          <t>Pide</t>
        </is>
      </c>
    </row>
    <row r="28021" spans="1:1">
      <c r="A28021" t="inlineStr">
        <is>
          <t>Poblacion</t>
        </is>
      </c>
    </row>
    <row r="28022" spans="1:1">
      <c r="A28022" t="inlineStr">
        <is>
          <t>Suyo</t>
        </is>
      </c>
    </row>
    <row r="28023" spans="1:1">
      <c r="A28023" t="inlineStr">
        <is>
          <t>Taccong</t>
        </is>
      </c>
    </row>
    <row r="28024" spans="1:1">
      <c r="A28024" t="inlineStr">
        <is>
          <t>Tanulong</t>
        </is>
      </c>
    </row>
    <row r="28025" spans="1:1">
      <c r="A28025" t="inlineStr">
        <is>
          <t>Tetepan Norte</t>
        </is>
      </c>
    </row>
    <row r="28026" spans="1:1">
      <c r="A28026" t="inlineStr">
        <is>
          <t>Tetepan Sur</t>
        </is>
      </c>
    </row>
    <row r="28027" spans="1:1">
      <c r="A28027" t="inlineStr">
        <is>
          <t>Balaoa</t>
        </is>
      </c>
    </row>
    <row r="28028" spans="1:1">
      <c r="A28028" t="inlineStr">
        <is>
          <t>Banaao</t>
        </is>
      </c>
    </row>
    <row r="28029" spans="1:1">
      <c r="A28029" t="inlineStr">
        <is>
          <t>Bantey</t>
        </is>
      </c>
    </row>
    <row r="28030" spans="1:1">
      <c r="A28030" t="inlineStr">
        <is>
          <t>Batayan</t>
        </is>
      </c>
    </row>
    <row r="28031" spans="1:1">
      <c r="A28031" t="inlineStr">
        <is>
          <t>Bunga</t>
        </is>
      </c>
    </row>
    <row r="28032" spans="1:1">
      <c r="A28032" t="inlineStr">
        <is>
          <t>Cadad-anan</t>
        </is>
      </c>
    </row>
    <row r="28033" spans="1:1">
      <c r="A28033" t="inlineStr">
        <is>
          <t>Cagubatan</t>
        </is>
      </c>
    </row>
    <row r="28034" spans="1:1">
      <c r="A28034" t="inlineStr">
        <is>
          <t>Dacudac</t>
        </is>
      </c>
    </row>
    <row r="28035" spans="1:1">
      <c r="A28035" t="inlineStr">
        <is>
          <t>Duagan</t>
        </is>
      </c>
    </row>
    <row r="28036" spans="1:1">
      <c r="A28036" t="inlineStr">
        <is>
          <t>Kayan East</t>
        </is>
      </c>
    </row>
    <row r="28037" spans="1:1">
      <c r="A28037" t="inlineStr">
        <is>
          <t>Kayan West</t>
        </is>
      </c>
    </row>
    <row r="28038" spans="1:1">
      <c r="A28038" t="inlineStr">
        <is>
          <t>Lenga</t>
        </is>
      </c>
    </row>
    <row r="28039" spans="1:1">
      <c r="A28039" t="inlineStr">
        <is>
          <t>Lubon</t>
        </is>
      </c>
    </row>
    <row r="28040" spans="1:1">
      <c r="A28040" t="inlineStr">
        <is>
          <t>Mabalite</t>
        </is>
      </c>
    </row>
    <row r="28041" spans="1:1">
      <c r="A28041" t="inlineStr">
        <is>
          <t>Masla</t>
        </is>
      </c>
    </row>
    <row r="28042" spans="1:1">
      <c r="A28042" t="inlineStr">
        <is>
          <t>Pandayan</t>
        </is>
      </c>
    </row>
    <row r="28043" spans="1:1">
      <c r="A28043" t="inlineStr">
        <is>
          <t>Poblacion</t>
        </is>
      </c>
    </row>
    <row r="28044" spans="1:1">
      <c r="A28044" t="inlineStr">
        <is>
          <t>Sumadel</t>
        </is>
      </c>
    </row>
    <row r="28045" spans="1:1">
      <c r="A28045" t="inlineStr">
        <is>
          <t>Tue</t>
        </is>
      </c>
    </row>
    <row r="28046" spans="1:1">
      <c r="A28046" t="inlineStr">
        <is>
          <t>Amontay</t>
        </is>
      </c>
    </row>
    <row r="28047" spans="1:1">
      <c r="A28047" t="inlineStr">
        <is>
          <t>Bagroy</t>
        </is>
      </c>
    </row>
    <row r="28048" spans="1:1">
      <c r="A28048" t="inlineStr">
        <is>
          <t>Bi-ao</t>
        </is>
      </c>
    </row>
    <row r="28049" spans="1:1">
      <c r="A28049" t="inlineStr">
        <is>
          <t>Canmoros</t>
        </is>
      </c>
    </row>
    <row r="28050" spans="1:1">
      <c r="A28050" t="inlineStr">
        <is>
          <t>Enclaro</t>
        </is>
      </c>
    </row>
    <row r="28051" spans="1:1">
      <c r="A28051" t="inlineStr">
        <is>
          <t>Marina</t>
        </is>
      </c>
    </row>
    <row r="28052" spans="1:1">
      <c r="A28052" t="inlineStr">
        <is>
          <t>Paglaum</t>
        </is>
      </c>
    </row>
    <row r="28053" spans="1:1">
      <c r="A28053" t="inlineStr">
        <is>
          <t>Payao</t>
        </is>
      </c>
    </row>
    <row r="28054" spans="1:1">
      <c r="A28054" t="inlineStr">
        <is>
          <t>Progreso</t>
        </is>
      </c>
    </row>
    <row r="28055" spans="1:1">
      <c r="A28055" t="inlineStr">
        <is>
          <t>San Jose</t>
        </is>
      </c>
    </row>
    <row r="28056" spans="1:1">
      <c r="A28056" t="inlineStr">
        <is>
          <t>San Juan</t>
        </is>
      </c>
    </row>
    <row r="28057" spans="1:1">
      <c r="A28057" t="inlineStr">
        <is>
          <t>San Pedro</t>
        </is>
      </c>
    </row>
    <row r="28058" spans="1:1">
      <c r="A28058" t="inlineStr">
        <is>
          <t>San Teodoro</t>
        </is>
      </c>
    </row>
    <row r="28059" spans="1:1">
      <c r="A28059" t="inlineStr">
        <is>
          <t>San Vicente</t>
        </is>
      </c>
    </row>
    <row r="28060" spans="1:1">
      <c r="A28060" t="inlineStr">
        <is>
          <t>Santo Rosario</t>
        </is>
      </c>
    </row>
    <row r="28061" spans="1:1">
      <c r="A28061" t="inlineStr">
        <is>
          <t>Santol</t>
        </is>
      </c>
    </row>
    <row r="28062" spans="1:1">
      <c r="A28062" t="inlineStr">
        <is>
          <t>Agpangi</t>
        </is>
      </c>
    </row>
    <row r="28063" spans="1:1">
      <c r="A28063" t="inlineStr">
        <is>
          <t>Ani-e</t>
        </is>
      </c>
    </row>
    <row r="28064" spans="1:1">
      <c r="A28064" t="inlineStr">
        <is>
          <t>Bagacay</t>
        </is>
      </c>
    </row>
    <row r="28065" spans="1:1">
      <c r="A28065" t="inlineStr">
        <is>
          <t>Bantayanon</t>
        </is>
      </c>
    </row>
    <row r="28066" spans="1:1">
      <c r="A28066" t="inlineStr">
        <is>
          <t>Buenavista</t>
        </is>
      </c>
    </row>
    <row r="28067" spans="1:1">
      <c r="A28067" t="inlineStr">
        <is>
          <t>Cabungahan</t>
        </is>
      </c>
    </row>
    <row r="28068" spans="1:1">
      <c r="A28068" t="inlineStr">
        <is>
          <t>Calampisawan</t>
        </is>
      </c>
    </row>
    <row r="28069" spans="1:1">
      <c r="A28069" t="inlineStr">
        <is>
          <t>Cambayobo</t>
        </is>
      </c>
    </row>
    <row r="28070" spans="1:1">
      <c r="A28070" t="inlineStr">
        <is>
          <t>Castellano</t>
        </is>
      </c>
    </row>
    <row r="28071" spans="1:1">
      <c r="A28071" t="inlineStr">
        <is>
          <t>Cruz</t>
        </is>
      </c>
    </row>
    <row r="28072" spans="1:1">
      <c r="A28072" t="inlineStr">
        <is>
          <t>Dolis</t>
        </is>
      </c>
    </row>
    <row r="28073" spans="1:1">
      <c r="A28073" t="inlineStr">
        <is>
          <t>Hilub-Ang</t>
        </is>
      </c>
    </row>
    <row r="28074" spans="1:1">
      <c r="A28074" t="inlineStr">
        <is>
          <t>Hinab-Ongan</t>
        </is>
      </c>
    </row>
    <row r="28075" spans="1:1">
      <c r="A28075" t="inlineStr">
        <is>
          <t>Ilaya</t>
        </is>
      </c>
    </row>
    <row r="28076" spans="1:1">
      <c r="A28076" t="inlineStr">
        <is>
          <t>Laga-an</t>
        </is>
      </c>
    </row>
    <row r="28077" spans="1:1">
      <c r="A28077" t="inlineStr">
        <is>
          <t>Lalong</t>
        </is>
      </c>
    </row>
    <row r="28078" spans="1:1">
      <c r="A28078" t="inlineStr">
        <is>
          <t>Lemery</t>
        </is>
      </c>
    </row>
    <row r="28079" spans="1:1">
      <c r="A28079" t="inlineStr">
        <is>
          <t>Lipat-on</t>
        </is>
      </c>
    </row>
    <row r="28080" spans="1:1">
      <c r="A28080" t="inlineStr">
        <is>
          <t>Lo-ok</t>
        </is>
      </c>
    </row>
    <row r="28081" spans="1:1">
      <c r="A28081" t="inlineStr">
        <is>
          <t>Ma-aslob</t>
        </is>
      </c>
    </row>
    <row r="28082" spans="1:1">
      <c r="A28082" t="inlineStr">
        <is>
          <t>Macasilao</t>
        </is>
      </c>
    </row>
    <row r="28083" spans="1:1">
      <c r="A28083" t="inlineStr">
        <is>
          <t>Mahilum</t>
        </is>
      </c>
    </row>
    <row r="28084" spans="1:1">
      <c r="A28084" t="inlineStr">
        <is>
          <t>Malanog</t>
        </is>
      </c>
    </row>
    <row r="28085" spans="1:1">
      <c r="A28085" t="inlineStr">
        <is>
          <t>Malatas</t>
        </is>
      </c>
    </row>
    <row r="28086" spans="1:1">
      <c r="A28086" t="inlineStr">
        <is>
          <t>Marcelo</t>
        </is>
      </c>
    </row>
    <row r="28087" spans="1:1">
      <c r="A28087" t="inlineStr">
        <is>
          <t>Menchaca</t>
        </is>
      </c>
    </row>
    <row r="28088" spans="1:1">
      <c r="A28088" t="inlineStr">
        <is>
          <t>Mina-utok</t>
        </is>
      </c>
    </row>
    <row r="28089" spans="1:1">
      <c r="A28089" t="inlineStr">
        <is>
          <t>Minapasuk</t>
        </is>
      </c>
    </row>
    <row r="28090" spans="1:1">
      <c r="A28090" t="inlineStr">
        <is>
          <t>Paghumayan</t>
        </is>
      </c>
    </row>
    <row r="28091" spans="1:1">
      <c r="A28091" t="inlineStr">
        <is>
          <t>Pantao</t>
        </is>
      </c>
    </row>
    <row r="28092" spans="1:1">
      <c r="A28092" t="inlineStr">
        <is>
          <t>Patun-an</t>
        </is>
      </c>
    </row>
    <row r="28093" spans="1:1">
      <c r="A28093" t="inlineStr">
        <is>
          <t>Pinocutan</t>
        </is>
      </c>
    </row>
    <row r="28094" spans="1:1">
      <c r="A28094" t="inlineStr">
        <is>
          <t>Refugio</t>
        </is>
      </c>
    </row>
    <row r="28095" spans="1:1">
      <c r="A28095" t="inlineStr">
        <is>
          <t>San Benito</t>
        </is>
      </c>
    </row>
    <row r="28096" spans="1:1">
      <c r="A28096" t="inlineStr">
        <is>
          <t>San Isidro</t>
        </is>
      </c>
    </row>
    <row r="28097" spans="1:1">
      <c r="A28097" t="inlineStr">
        <is>
          <t>Suba</t>
        </is>
      </c>
    </row>
    <row r="28098" spans="1:1">
      <c r="A28098" t="inlineStr">
        <is>
          <t>Telim</t>
        </is>
      </c>
    </row>
    <row r="28099" spans="1:1">
      <c r="A28099" t="inlineStr">
        <is>
          <t>Tigbao</t>
        </is>
      </c>
    </row>
    <row r="28100" spans="1:1">
      <c r="A28100" t="inlineStr">
        <is>
          <t>Tigbon</t>
        </is>
      </c>
    </row>
    <row r="28101" spans="1:1">
      <c r="A28101" t="inlineStr">
        <is>
          <t>Winaswasan</t>
        </is>
      </c>
    </row>
    <row r="28102" spans="1:1">
      <c r="A28102" t="inlineStr">
        <is>
          <t>Agboy</t>
        </is>
      </c>
    </row>
    <row r="28103" spans="1:1">
      <c r="A28103" t="inlineStr">
        <is>
          <t>Banga</t>
        </is>
      </c>
    </row>
    <row r="28104" spans="1:1">
      <c r="A28104" t="inlineStr">
        <is>
          <t>Cabia-an</t>
        </is>
      </c>
    </row>
    <row r="28105" spans="1:1">
      <c r="A28105" t="inlineStr">
        <is>
          <t>Caningay</t>
        </is>
      </c>
    </row>
    <row r="28106" spans="1:1">
      <c r="A28106" t="inlineStr">
        <is>
          <t>Gatuslao</t>
        </is>
      </c>
    </row>
    <row r="28107" spans="1:1">
      <c r="A28107" t="inlineStr">
        <is>
          <t>Haba</t>
        </is>
      </c>
    </row>
    <row r="28108" spans="1:1">
      <c r="A28108" t="inlineStr">
        <is>
          <t>Payauan</t>
        </is>
      </c>
    </row>
    <row r="28109" spans="1:1">
      <c r="A28109" t="inlineStr">
        <is>
          <t>Poblacion East</t>
        </is>
      </c>
    </row>
    <row r="28110" spans="1:1">
      <c r="A28110" t="inlineStr">
        <is>
          <t>Poblacion West</t>
        </is>
      </c>
    </row>
    <row r="28111" spans="1:1">
      <c r="A28111" t="inlineStr">
        <is>
          <t>Abaca</t>
        </is>
      </c>
    </row>
    <row r="28112" spans="1:1">
      <c r="A28112" t="inlineStr">
        <is>
          <t>Baclao</t>
        </is>
      </c>
    </row>
    <row r="28113" spans="1:1">
      <c r="A28113" t="inlineStr">
        <is>
          <t>Basak</t>
        </is>
      </c>
    </row>
    <row r="28114" spans="1:1">
      <c r="A28114" t="inlineStr">
        <is>
          <t>Bulata</t>
        </is>
      </c>
    </row>
    <row r="28115" spans="1:1">
      <c r="A28115" t="inlineStr">
        <is>
          <t>Caliling</t>
        </is>
      </c>
    </row>
    <row r="28116" spans="1:1">
      <c r="A28116" t="inlineStr">
        <is>
          <t>Camalanda-an</t>
        </is>
      </c>
    </row>
    <row r="28117" spans="1:1">
      <c r="A28117" t="inlineStr">
        <is>
          <t>Camindangan</t>
        </is>
      </c>
    </row>
    <row r="28118" spans="1:1">
      <c r="A28118" t="inlineStr">
        <is>
          <t>Elihan</t>
        </is>
      </c>
    </row>
    <row r="28119" spans="1:1">
      <c r="A28119" t="inlineStr">
        <is>
          <t>Guiljungan</t>
        </is>
      </c>
    </row>
    <row r="28120" spans="1:1">
      <c r="A28120" t="inlineStr">
        <is>
          <t>Inayawan</t>
        </is>
      </c>
    </row>
    <row r="28121" spans="1:1">
      <c r="A28121" t="inlineStr">
        <is>
          <t>Isio</t>
        </is>
      </c>
    </row>
    <row r="28122" spans="1:1">
      <c r="A28122" t="inlineStr">
        <is>
          <t>Linaon</t>
        </is>
      </c>
    </row>
    <row r="28123" spans="1:1">
      <c r="A28123" t="inlineStr">
        <is>
          <t>Lumbia</t>
        </is>
      </c>
    </row>
    <row r="28124" spans="1:1">
      <c r="A28124" t="inlineStr">
        <is>
          <t>Mambugsay</t>
        </is>
      </c>
    </row>
    <row r="28125" spans="1:1">
      <c r="A28125" t="inlineStr">
        <is>
          <t>Man-Uling</t>
        </is>
      </c>
    </row>
    <row r="28126" spans="1:1">
      <c r="A28126" t="inlineStr">
        <is>
          <t>Masaling</t>
        </is>
      </c>
    </row>
    <row r="28127" spans="1:1">
      <c r="A28127" t="inlineStr">
        <is>
          <t>Molobolo</t>
        </is>
      </c>
    </row>
    <row r="28128" spans="1:1">
      <c r="A28128" t="inlineStr">
        <is>
          <t>Poblacion</t>
        </is>
      </c>
    </row>
    <row r="28129" spans="1:1">
      <c r="A28129" t="inlineStr">
        <is>
          <t>Sura</t>
        </is>
      </c>
    </row>
    <row r="28130" spans="1:1">
      <c r="A28130" t="inlineStr">
        <is>
          <t>Talacdan</t>
        </is>
      </c>
    </row>
    <row r="28131" spans="1:1">
      <c r="A28131" t="inlineStr">
        <is>
          <t>Tambad</t>
        </is>
      </c>
    </row>
    <row r="28132" spans="1:1">
      <c r="A28132" t="inlineStr">
        <is>
          <t>Tiling</t>
        </is>
      </c>
    </row>
    <row r="28133" spans="1:1">
      <c r="A28133" t="inlineStr">
        <is>
          <t>Tomina</t>
        </is>
      </c>
    </row>
    <row r="28134" spans="1:1">
      <c r="A28134" t="inlineStr">
        <is>
          <t>Tuyom</t>
        </is>
      </c>
    </row>
    <row r="28135" spans="1:1">
      <c r="A28135" t="inlineStr">
        <is>
          <t>Yao-yao</t>
        </is>
      </c>
    </row>
    <row r="28136" spans="1:1">
      <c r="A28136" t="inlineStr">
        <is>
          <t>Abuanan</t>
        </is>
      </c>
    </row>
    <row r="28137" spans="1:1">
      <c r="A28137" t="inlineStr">
        <is>
          <t>Alianza</t>
        </is>
      </c>
    </row>
    <row r="28138" spans="1:1">
      <c r="A28138" t="inlineStr">
        <is>
          <t>Atipuluan</t>
        </is>
      </c>
    </row>
    <row r="28139" spans="1:1">
      <c r="A28139" t="inlineStr">
        <is>
          <t>Bacong-Montilla</t>
        </is>
      </c>
    </row>
    <row r="28140" spans="1:1">
      <c r="A28140" t="inlineStr">
        <is>
          <t>Bagroy</t>
        </is>
      </c>
    </row>
    <row r="28141" spans="1:1">
      <c r="A28141" t="inlineStr">
        <is>
          <t>Balingasag</t>
        </is>
      </c>
    </row>
    <row r="28142" spans="1:1">
      <c r="A28142" t="inlineStr">
        <is>
          <t>Binubuhan</t>
        </is>
      </c>
    </row>
    <row r="28143" spans="1:1">
      <c r="A28143" t="inlineStr">
        <is>
          <t>Busay</t>
        </is>
      </c>
    </row>
    <row r="28144" spans="1:1">
      <c r="A28144" t="inlineStr">
        <is>
          <t>Calumangan</t>
        </is>
      </c>
    </row>
    <row r="28145" spans="1:1">
      <c r="A28145" t="inlineStr">
        <is>
          <t>Caridad</t>
        </is>
      </c>
    </row>
    <row r="28146" spans="1:1">
      <c r="A28146" t="inlineStr">
        <is>
          <t>Dulao</t>
        </is>
      </c>
    </row>
    <row r="28147" spans="1:1">
      <c r="A28147" t="inlineStr">
        <is>
          <t>Ilijan</t>
        </is>
      </c>
    </row>
    <row r="28148" spans="1:1">
      <c r="A28148" t="inlineStr">
        <is>
          <t>Jorge L. Araneta</t>
        </is>
      </c>
    </row>
    <row r="28149" spans="1:1">
      <c r="A28149" t="inlineStr">
        <is>
          <t>Lag-Asan</t>
        </is>
      </c>
    </row>
    <row r="28150" spans="1:1">
      <c r="A28150" t="inlineStr">
        <is>
          <t>Ma-ao Barrio</t>
        </is>
      </c>
    </row>
    <row r="28151" spans="1:1">
      <c r="A28151" t="inlineStr">
        <is>
          <t>Mailum</t>
        </is>
      </c>
    </row>
    <row r="28152" spans="1:1">
      <c r="A28152" t="inlineStr">
        <is>
          <t>Malingin</t>
        </is>
      </c>
    </row>
    <row r="28153" spans="1:1">
      <c r="A28153" t="inlineStr">
        <is>
          <t>Napoles</t>
        </is>
      </c>
    </row>
    <row r="28154" spans="1:1">
      <c r="A28154" t="inlineStr">
        <is>
          <t>Pacol</t>
        </is>
      </c>
    </row>
    <row r="28155" spans="1:1">
      <c r="A28155" t="inlineStr">
        <is>
          <t>Poblacion</t>
        </is>
      </c>
    </row>
    <row r="28156" spans="1:1">
      <c r="A28156" t="inlineStr">
        <is>
          <t>Sagasa</t>
        </is>
      </c>
    </row>
    <row r="28157" spans="1:1">
      <c r="A28157" t="inlineStr">
        <is>
          <t>Sampinit</t>
        </is>
      </c>
    </row>
    <row r="28158" spans="1:1">
      <c r="A28158" t="inlineStr">
        <is>
          <t>Tabunan</t>
        </is>
      </c>
    </row>
    <row r="28159" spans="1:1">
      <c r="A28159" t="inlineStr">
        <is>
          <t>Taloc</t>
        </is>
      </c>
    </row>
    <row r="28160" spans="1:1">
      <c r="A28160" t="inlineStr">
        <is>
          <t>Andres Bonifacio</t>
        </is>
      </c>
    </row>
    <row r="28161" spans="1:1">
      <c r="A28161" t="inlineStr">
        <is>
          <t>Banquerohan</t>
        </is>
      </c>
    </row>
    <row r="28162" spans="1:1">
      <c r="A28162" t="inlineStr">
        <is>
          <t>Barangay 1 Pob.</t>
        </is>
      </c>
    </row>
    <row r="28163" spans="1:1">
      <c r="A28163" t="inlineStr">
        <is>
          <t>Barangay 2 Pob.</t>
        </is>
      </c>
    </row>
    <row r="28164" spans="1:1">
      <c r="A28164" t="inlineStr">
        <is>
          <t>Barangay 3 Pob.</t>
        </is>
      </c>
    </row>
    <row r="28165" spans="1:1">
      <c r="A28165" t="inlineStr">
        <is>
          <t>Barangay 4 Pob.</t>
        </is>
      </c>
    </row>
    <row r="28166" spans="1:1">
      <c r="A28166" t="inlineStr">
        <is>
          <t>Barangay 5 Pob.</t>
        </is>
      </c>
    </row>
    <row r="28167" spans="1:1">
      <c r="A28167" t="inlineStr">
        <is>
          <t>Barangay 6 Pob.</t>
        </is>
      </c>
    </row>
    <row r="28168" spans="1:1">
      <c r="A28168" t="inlineStr">
        <is>
          <t>Burgos</t>
        </is>
      </c>
    </row>
    <row r="28169" spans="1:1">
      <c r="A28169" t="inlineStr">
        <is>
          <t>Cabahug</t>
        </is>
      </c>
    </row>
    <row r="28170" spans="1:1">
      <c r="A28170" t="inlineStr">
        <is>
          <t>Cadiz Viejo</t>
        </is>
      </c>
    </row>
    <row r="28171" spans="1:1">
      <c r="A28171" t="inlineStr">
        <is>
          <t>Caduha-an</t>
        </is>
      </c>
    </row>
    <row r="28172" spans="1:1">
      <c r="A28172" t="inlineStr">
        <is>
          <t>Celestino Villacin</t>
        </is>
      </c>
    </row>
    <row r="28173" spans="1:1">
      <c r="A28173" t="inlineStr">
        <is>
          <t>Daga</t>
        </is>
      </c>
    </row>
    <row r="28174" spans="1:1">
      <c r="A28174" t="inlineStr">
        <is>
          <t>Jerusalem</t>
        </is>
      </c>
    </row>
    <row r="28175" spans="1:1">
      <c r="A28175" t="inlineStr">
        <is>
          <t>Luna</t>
        </is>
      </c>
    </row>
    <row r="28176" spans="1:1">
      <c r="A28176" t="inlineStr">
        <is>
          <t>Mabini</t>
        </is>
      </c>
    </row>
    <row r="28177" spans="1:1">
      <c r="A28177" t="inlineStr">
        <is>
          <t>Magsaysay</t>
        </is>
      </c>
    </row>
    <row r="28178" spans="1:1">
      <c r="A28178" t="inlineStr">
        <is>
          <t>Sicaba</t>
        </is>
      </c>
    </row>
    <row r="28179" spans="1:1">
      <c r="A28179" t="inlineStr">
        <is>
          <t>Tiglawigan</t>
        </is>
      </c>
    </row>
    <row r="28180" spans="1:1">
      <c r="A28180" t="inlineStr">
        <is>
          <t>Tinampa-an</t>
        </is>
      </c>
    </row>
    <row r="28181" spans="1:1">
      <c r="A28181" t="inlineStr">
        <is>
          <t>V. F. Gustilo</t>
        </is>
      </c>
    </row>
    <row r="28182" spans="1:1">
      <c r="A28182" t="inlineStr">
        <is>
          <t>Alimango</t>
        </is>
      </c>
    </row>
    <row r="28183" spans="1:1">
      <c r="A28183" t="inlineStr">
        <is>
          <t>Balintawak</t>
        </is>
      </c>
    </row>
    <row r="28184" spans="1:1">
      <c r="A28184" t="inlineStr">
        <is>
          <t>Binaguiohan</t>
        </is>
      </c>
    </row>
    <row r="28185" spans="1:1">
      <c r="A28185" t="inlineStr">
        <is>
          <t>Buenavista</t>
        </is>
      </c>
    </row>
    <row r="28186" spans="1:1">
      <c r="A28186" t="inlineStr">
        <is>
          <t>Cervantes</t>
        </is>
      </c>
    </row>
    <row r="28187" spans="1:1">
      <c r="A28187" t="inlineStr">
        <is>
          <t>Dian-ay</t>
        </is>
      </c>
    </row>
    <row r="28188" spans="1:1">
      <c r="A28188" t="inlineStr">
        <is>
          <t>Hacienda Fe</t>
        </is>
      </c>
    </row>
    <row r="28189" spans="1:1">
      <c r="A28189" t="inlineStr">
        <is>
          <t>Japitan</t>
        </is>
      </c>
    </row>
    <row r="28190" spans="1:1">
      <c r="A28190" t="inlineStr">
        <is>
          <t>Jonobjonob</t>
        </is>
      </c>
    </row>
    <row r="28191" spans="1:1">
      <c r="A28191" t="inlineStr">
        <is>
          <t>Langub</t>
        </is>
      </c>
    </row>
    <row r="28192" spans="1:1">
      <c r="A28192" t="inlineStr">
        <is>
          <t>Libertad</t>
        </is>
      </c>
    </row>
    <row r="28193" spans="1:1">
      <c r="A28193" t="inlineStr">
        <is>
          <t>Mabini</t>
        </is>
      </c>
    </row>
    <row r="28194" spans="1:1">
      <c r="A28194" t="inlineStr">
        <is>
          <t>Magsaysay</t>
        </is>
      </c>
    </row>
    <row r="28195" spans="1:1">
      <c r="A28195" t="inlineStr">
        <is>
          <t>Malasibog</t>
        </is>
      </c>
    </row>
    <row r="28196" spans="1:1">
      <c r="A28196" t="inlineStr">
        <is>
          <t>Old Poblacion</t>
        </is>
      </c>
    </row>
    <row r="28197" spans="1:1">
      <c r="A28197" t="inlineStr">
        <is>
          <t>Paitan</t>
        </is>
      </c>
    </row>
    <row r="28198" spans="1:1">
      <c r="A28198" t="inlineStr">
        <is>
          <t>Pinapugasan</t>
        </is>
      </c>
    </row>
    <row r="28199" spans="1:1">
      <c r="A28199" t="inlineStr">
        <is>
          <t>Rizal</t>
        </is>
      </c>
    </row>
    <row r="28200" spans="1:1">
      <c r="A28200" t="inlineStr">
        <is>
          <t>Tamlang</t>
        </is>
      </c>
    </row>
    <row r="28201" spans="1:1">
      <c r="A28201" t="inlineStr">
        <is>
          <t>Udtongan</t>
        </is>
      </c>
    </row>
    <row r="28202" spans="1:1">
      <c r="A28202" t="inlineStr">
        <is>
          <t>Washington</t>
        </is>
      </c>
    </row>
    <row r="28203" spans="1:1">
      <c r="A28203" t="inlineStr">
        <is>
          <t>Aguisan</t>
        </is>
      </c>
    </row>
    <row r="28204" spans="1:1">
      <c r="A28204" t="inlineStr">
        <is>
          <t>Barangay I</t>
        </is>
      </c>
    </row>
    <row r="28205" spans="1:1">
      <c r="A28205" t="inlineStr">
        <is>
          <t>Barangay II</t>
        </is>
      </c>
    </row>
    <row r="28206" spans="1:1">
      <c r="A28206" t="inlineStr">
        <is>
          <t>Barangay III</t>
        </is>
      </c>
    </row>
    <row r="28207" spans="1:1">
      <c r="A28207" t="inlineStr">
        <is>
          <t>Barangay IV</t>
        </is>
      </c>
    </row>
    <row r="28208" spans="1:1">
      <c r="A28208" t="inlineStr">
        <is>
          <t>Buenavista</t>
        </is>
      </c>
    </row>
    <row r="28209" spans="1:1">
      <c r="A28209" t="inlineStr">
        <is>
          <t>Cabadiangan</t>
        </is>
      </c>
    </row>
    <row r="28210" spans="1:1">
      <c r="A28210" t="inlineStr">
        <is>
          <t>Cabanbanan</t>
        </is>
      </c>
    </row>
    <row r="28211" spans="1:1">
      <c r="A28211" t="inlineStr">
        <is>
          <t>Carabalan</t>
        </is>
      </c>
    </row>
    <row r="28212" spans="1:1">
      <c r="A28212" t="inlineStr">
        <is>
          <t>Caradio-an</t>
        </is>
      </c>
    </row>
    <row r="28213" spans="1:1">
      <c r="A28213" t="inlineStr">
        <is>
          <t>Libacao</t>
        </is>
      </c>
    </row>
    <row r="28214" spans="1:1">
      <c r="A28214" t="inlineStr">
        <is>
          <t>Mahalang</t>
        </is>
      </c>
    </row>
    <row r="28215" spans="1:1">
      <c r="A28215" t="inlineStr">
        <is>
          <t>Mambagaton</t>
        </is>
      </c>
    </row>
    <row r="28216" spans="1:1">
      <c r="A28216" t="inlineStr">
        <is>
          <t>Nabali-an</t>
        </is>
      </c>
    </row>
    <row r="28217" spans="1:1">
      <c r="A28217" t="inlineStr">
        <is>
          <t>San Antonio</t>
        </is>
      </c>
    </row>
    <row r="28218" spans="1:1">
      <c r="A28218" t="inlineStr">
        <is>
          <t>Sara-et</t>
        </is>
      </c>
    </row>
    <row r="28219" spans="1:1">
      <c r="A28219" t="inlineStr">
        <is>
          <t>Su-ay</t>
        </is>
      </c>
    </row>
    <row r="28220" spans="1:1">
      <c r="A28220" t="inlineStr">
        <is>
          <t>Talaban</t>
        </is>
      </c>
    </row>
    <row r="28221" spans="1:1">
      <c r="A28221" t="inlineStr">
        <is>
          <t>To-oy</t>
        </is>
      </c>
    </row>
    <row r="28222" spans="1:1">
      <c r="A28222" t="inlineStr">
        <is>
          <t>Bantayan</t>
        </is>
      </c>
    </row>
    <row r="28223" spans="1:1">
      <c r="A28223" t="inlineStr">
        <is>
          <t>Barangay 1</t>
        </is>
      </c>
    </row>
    <row r="28224" spans="1:1">
      <c r="A28224" t="inlineStr">
        <is>
          <t>Barangay 2</t>
        </is>
      </c>
    </row>
    <row r="28225" spans="1:1">
      <c r="A28225" t="inlineStr">
        <is>
          <t>Barangay 3</t>
        </is>
      </c>
    </row>
    <row r="28226" spans="1:1">
      <c r="A28226" t="inlineStr">
        <is>
          <t>Barangay 4</t>
        </is>
      </c>
    </row>
    <row r="28227" spans="1:1">
      <c r="A28227" t="inlineStr">
        <is>
          <t>Barangay 5</t>
        </is>
      </c>
    </row>
    <row r="28228" spans="1:1">
      <c r="A28228" t="inlineStr">
        <is>
          <t>Barangay 6</t>
        </is>
      </c>
    </row>
    <row r="28229" spans="1:1">
      <c r="A28229" t="inlineStr">
        <is>
          <t>Barangay 7</t>
        </is>
      </c>
    </row>
    <row r="28230" spans="1:1">
      <c r="A28230" t="inlineStr">
        <is>
          <t>Barangay 8</t>
        </is>
      </c>
    </row>
    <row r="28231" spans="1:1">
      <c r="A28231" t="inlineStr">
        <is>
          <t>Barangay 9</t>
        </is>
      </c>
    </row>
    <row r="28232" spans="1:1">
      <c r="A28232" t="inlineStr">
        <is>
          <t>Binicuil</t>
        </is>
      </c>
    </row>
    <row r="28233" spans="1:1">
      <c r="A28233" t="inlineStr">
        <is>
          <t>Camansi</t>
        </is>
      </c>
    </row>
    <row r="28234" spans="1:1">
      <c r="A28234" t="inlineStr">
        <is>
          <t>Camingawan</t>
        </is>
      </c>
    </row>
    <row r="28235" spans="1:1">
      <c r="A28235" t="inlineStr">
        <is>
          <t>Camugao</t>
        </is>
      </c>
    </row>
    <row r="28236" spans="1:1">
      <c r="A28236" t="inlineStr">
        <is>
          <t>Carol-an</t>
        </is>
      </c>
    </row>
    <row r="28237" spans="1:1">
      <c r="A28237" t="inlineStr">
        <is>
          <t>Daan Banua</t>
        </is>
      </c>
    </row>
    <row r="28238" spans="1:1">
      <c r="A28238" t="inlineStr">
        <is>
          <t>Hilamonan</t>
        </is>
      </c>
    </row>
    <row r="28239" spans="1:1">
      <c r="A28239" t="inlineStr">
        <is>
          <t>Inapoy</t>
        </is>
      </c>
    </row>
    <row r="28240" spans="1:1">
      <c r="A28240" t="inlineStr">
        <is>
          <t>Linao</t>
        </is>
      </c>
    </row>
    <row r="28241" spans="1:1">
      <c r="A28241" t="inlineStr">
        <is>
          <t>Locotan</t>
        </is>
      </c>
    </row>
    <row r="28242" spans="1:1">
      <c r="A28242" t="inlineStr">
        <is>
          <t>Magballo</t>
        </is>
      </c>
    </row>
    <row r="28243" spans="1:1">
      <c r="A28243" t="inlineStr">
        <is>
          <t>Oringao</t>
        </is>
      </c>
    </row>
    <row r="28244" spans="1:1">
      <c r="A28244" t="inlineStr">
        <is>
          <t>Orong</t>
        </is>
      </c>
    </row>
    <row r="28245" spans="1:1">
      <c r="A28245" t="inlineStr">
        <is>
          <t>Pinaguinpinan</t>
        </is>
      </c>
    </row>
    <row r="28246" spans="1:1">
      <c r="A28246" t="inlineStr">
        <is>
          <t>Salong</t>
        </is>
      </c>
    </row>
    <row r="28247" spans="1:1">
      <c r="A28247" t="inlineStr">
        <is>
          <t>Tabugon</t>
        </is>
      </c>
    </row>
    <row r="28248" spans="1:1">
      <c r="A28248" t="inlineStr">
        <is>
          <t>Tagoc</t>
        </is>
      </c>
    </row>
    <row r="28249" spans="1:1">
      <c r="A28249" t="inlineStr">
        <is>
          <t>Tagukon</t>
        </is>
      </c>
    </row>
    <row r="28250" spans="1:1">
      <c r="A28250" t="inlineStr">
        <is>
          <t>Talubangi</t>
        </is>
      </c>
    </row>
    <row r="28251" spans="1:1">
      <c r="A28251" t="inlineStr">
        <is>
          <t>Tampalon</t>
        </is>
      </c>
    </row>
    <row r="28252" spans="1:1">
      <c r="A28252" t="inlineStr">
        <is>
          <t>Tan-Awan</t>
        </is>
      </c>
    </row>
    <row r="28253" spans="1:1">
      <c r="A28253" t="inlineStr">
        <is>
          <t>Tapi</t>
        </is>
      </c>
    </row>
    <row r="28254" spans="1:1">
      <c r="A28254" t="inlineStr">
        <is>
          <t>Ara-al</t>
        </is>
      </c>
    </row>
    <row r="28255" spans="1:1">
      <c r="A28255" t="inlineStr">
        <is>
          <t>Ayungon</t>
        </is>
      </c>
    </row>
    <row r="28256" spans="1:1">
      <c r="A28256" t="inlineStr">
        <is>
          <t>Balabag</t>
        </is>
      </c>
    </row>
    <row r="28257" spans="1:1">
      <c r="A28257" t="inlineStr">
        <is>
          <t>Barangay I</t>
        </is>
      </c>
    </row>
    <row r="28258" spans="1:1">
      <c r="A28258" t="inlineStr">
        <is>
          <t>Barangay II</t>
        </is>
      </c>
    </row>
    <row r="28259" spans="1:1">
      <c r="A28259" t="inlineStr">
        <is>
          <t>Barangay III</t>
        </is>
      </c>
    </row>
    <row r="28260" spans="1:1">
      <c r="A28260" t="inlineStr">
        <is>
          <t>Batuan</t>
        </is>
      </c>
    </row>
    <row r="28261" spans="1:1">
      <c r="A28261" t="inlineStr">
        <is>
          <t>Cubay</t>
        </is>
      </c>
    </row>
    <row r="28262" spans="1:1">
      <c r="A28262" t="inlineStr">
        <is>
          <t>Haguimit</t>
        </is>
      </c>
    </row>
    <row r="28263" spans="1:1">
      <c r="A28263" t="inlineStr">
        <is>
          <t>La Granja</t>
        </is>
      </c>
    </row>
    <row r="28264" spans="1:1">
      <c r="A28264" t="inlineStr">
        <is>
          <t>Nagasi</t>
        </is>
      </c>
    </row>
    <row r="28265" spans="1:1">
      <c r="A28265" t="inlineStr">
        <is>
          <t>Roberto S. Benedicto</t>
        </is>
      </c>
    </row>
    <row r="28266" spans="1:1">
      <c r="A28266" t="inlineStr">
        <is>
          <t>San Miguel</t>
        </is>
      </c>
    </row>
    <row r="28267" spans="1:1">
      <c r="A28267" t="inlineStr">
        <is>
          <t>Yubo</t>
        </is>
      </c>
    </row>
    <row r="28268" spans="1:1">
      <c r="A28268" t="inlineStr">
        <is>
          <t>Andres Bonifacio</t>
        </is>
      </c>
    </row>
    <row r="28269" spans="1:1">
      <c r="A28269" t="inlineStr">
        <is>
          <t>Bato</t>
        </is>
      </c>
    </row>
    <row r="28270" spans="1:1">
      <c r="A28270" t="inlineStr">
        <is>
          <t>Baviera</t>
        </is>
      </c>
    </row>
    <row r="28271" spans="1:1">
      <c r="A28271" t="inlineStr">
        <is>
          <t>Bulanon</t>
        </is>
      </c>
    </row>
    <row r="28272" spans="1:1">
      <c r="A28272" t="inlineStr">
        <is>
          <t>Campo Himoga-an</t>
        </is>
      </c>
    </row>
    <row r="28273" spans="1:1">
      <c r="A28273" t="inlineStr">
        <is>
          <t>Campo Santiago</t>
        </is>
      </c>
    </row>
    <row r="28274" spans="1:1">
      <c r="A28274" t="inlineStr">
        <is>
          <t>Colonia Divina</t>
        </is>
      </c>
    </row>
    <row r="28275" spans="1:1">
      <c r="A28275" t="inlineStr">
        <is>
          <t>Fabrica</t>
        </is>
      </c>
    </row>
    <row r="28276" spans="1:1">
      <c r="A28276" t="inlineStr">
        <is>
          <t>General Luna</t>
        </is>
      </c>
    </row>
    <row r="28277" spans="1:1">
      <c r="A28277" t="inlineStr">
        <is>
          <t>Himoga-an Baybay</t>
        </is>
      </c>
    </row>
    <row r="28278" spans="1:1">
      <c r="A28278" t="inlineStr">
        <is>
          <t>Lopez Jaena</t>
        </is>
      </c>
    </row>
    <row r="28279" spans="1:1">
      <c r="A28279" t="inlineStr">
        <is>
          <t>Makiling</t>
        </is>
      </c>
    </row>
    <row r="28280" spans="1:1">
      <c r="A28280" t="inlineStr">
        <is>
          <t>Malubon</t>
        </is>
      </c>
    </row>
    <row r="28281" spans="1:1">
      <c r="A28281" t="inlineStr">
        <is>
          <t>Molocaboc</t>
        </is>
      </c>
    </row>
    <row r="28282" spans="1:1">
      <c r="A28282" t="inlineStr">
        <is>
          <t>Old Sagay</t>
        </is>
      </c>
    </row>
    <row r="28283" spans="1:1">
      <c r="A28283" t="inlineStr">
        <is>
          <t>Paraiso</t>
        </is>
      </c>
    </row>
    <row r="28284" spans="1:1">
      <c r="A28284" t="inlineStr">
        <is>
          <t>Plaridel</t>
        </is>
      </c>
    </row>
    <row r="28285" spans="1:1">
      <c r="A28285" t="inlineStr">
        <is>
          <t>Poblacion I</t>
        </is>
      </c>
    </row>
    <row r="28286" spans="1:1">
      <c r="A28286" t="inlineStr">
        <is>
          <t>Poblacion II</t>
        </is>
      </c>
    </row>
    <row r="28287" spans="1:1">
      <c r="A28287" t="inlineStr">
        <is>
          <t>Puey</t>
        </is>
      </c>
    </row>
    <row r="28288" spans="1:1">
      <c r="A28288" t="inlineStr">
        <is>
          <t>Rafaela Barrera</t>
        </is>
      </c>
    </row>
    <row r="28289" spans="1:1">
      <c r="A28289" t="inlineStr">
        <is>
          <t>Rizal</t>
        </is>
      </c>
    </row>
    <row r="28290" spans="1:1">
      <c r="A28290" t="inlineStr">
        <is>
          <t>Taba-ao</t>
        </is>
      </c>
    </row>
    <row r="28291" spans="1:1">
      <c r="A28291" t="inlineStr">
        <is>
          <t>Tadlong</t>
        </is>
      </c>
    </row>
    <row r="28292" spans="1:1">
      <c r="A28292" t="inlineStr">
        <is>
          <t>Vito</t>
        </is>
      </c>
    </row>
    <row r="28293" spans="1:1">
      <c r="A28293" t="inlineStr">
        <is>
          <t>Bagonbon</t>
        </is>
      </c>
    </row>
    <row r="28294" spans="1:1">
      <c r="A28294" t="inlineStr">
        <is>
          <t>Barangay I</t>
        </is>
      </c>
    </row>
    <row r="28295" spans="1:1">
      <c r="A28295" t="inlineStr">
        <is>
          <t>Barangay II</t>
        </is>
      </c>
    </row>
    <row r="28296" spans="1:1">
      <c r="A28296" t="inlineStr">
        <is>
          <t>Barangay III</t>
        </is>
      </c>
    </row>
    <row r="28297" spans="1:1">
      <c r="A28297" t="inlineStr">
        <is>
          <t>Barangay IV</t>
        </is>
      </c>
    </row>
    <row r="28298" spans="1:1">
      <c r="A28298" t="inlineStr">
        <is>
          <t>Barangay V</t>
        </is>
      </c>
    </row>
    <row r="28299" spans="1:1">
      <c r="A28299" t="inlineStr">
        <is>
          <t>Barangay VI</t>
        </is>
      </c>
    </row>
    <row r="28300" spans="1:1">
      <c r="A28300" t="inlineStr">
        <is>
          <t>Buluangan</t>
        </is>
      </c>
    </row>
    <row r="28301" spans="1:1">
      <c r="A28301" t="inlineStr">
        <is>
          <t>Codcod</t>
        </is>
      </c>
    </row>
    <row r="28302" spans="1:1">
      <c r="A28302" t="inlineStr">
        <is>
          <t>Ermita</t>
        </is>
      </c>
    </row>
    <row r="28303" spans="1:1">
      <c r="A28303" t="inlineStr">
        <is>
          <t>Guadalupe</t>
        </is>
      </c>
    </row>
    <row r="28304" spans="1:1">
      <c r="A28304" t="inlineStr">
        <is>
          <t>Nataban</t>
        </is>
      </c>
    </row>
    <row r="28305" spans="1:1">
      <c r="A28305" t="inlineStr">
        <is>
          <t>Palampas</t>
        </is>
      </c>
    </row>
    <row r="28306" spans="1:1">
      <c r="A28306" t="inlineStr">
        <is>
          <t>Prosperidad</t>
        </is>
      </c>
    </row>
    <row r="28307" spans="1:1">
      <c r="A28307" t="inlineStr">
        <is>
          <t>Punao</t>
        </is>
      </c>
    </row>
    <row r="28308" spans="1:1">
      <c r="A28308" t="inlineStr">
        <is>
          <t>Quezon</t>
        </is>
      </c>
    </row>
    <row r="28309" spans="1:1">
      <c r="A28309" t="inlineStr">
        <is>
          <t>Rizal</t>
        </is>
      </c>
    </row>
    <row r="28310" spans="1:1">
      <c r="A28310" t="inlineStr">
        <is>
          <t>San Juan</t>
        </is>
      </c>
    </row>
    <row r="28311" spans="1:1">
      <c r="A28311" t="inlineStr">
        <is>
          <t>Bagtic</t>
        </is>
      </c>
    </row>
    <row r="28312" spans="1:1">
      <c r="A28312" t="inlineStr">
        <is>
          <t>Balaring</t>
        </is>
      </c>
    </row>
    <row r="28313" spans="1:1">
      <c r="A28313" t="inlineStr">
        <is>
          <t>Barangay I</t>
        </is>
      </c>
    </row>
    <row r="28314" spans="1:1">
      <c r="A28314" t="inlineStr">
        <is>
          <t>Barangay II</t>
        </is>
      </c>
    </row>
    <row r="28315" spans="1:1">
      <c r="A28315" t="inlineStr">
        <is>
          <t>Barangay III</t>
        </is>
      </c>
    </row>
    <row r="28316" spans="1:1">
      <c r="A28316" t="inlineStr">
        <is>
          <t>Barangay IV</t>
        </is>
      </c>
    </row>
    <row r="28317" spans="1:1">
      <c r="A28317" t="inlineStr">
        <is>
          <t>Barangay V</t>
        </is>
      </c>
    </row>
    <row r="28318" spans="1:1">
      <c r="A28318" t="inlineStr">
        <is>
          <t>Barangay VI Pob.</t>
        </is>
      </c>
    </row>
    <row r="28319" spans="1:1">
      <c r="A28319" t="inlineStr">
        <is>
          <t>Eustaquio Lopez</t>
        </is>
      </c>
    </row>
    <row r="28320" spans="1:1">
      <c r="A28320" t="inlineStr">
        <is>
          <t>Guimbala-on</t>
        </is>
      </c>
    </row>
    <row r="28321" spans="1:1">
      <c r="A28321" t="inlineStr">
        <is>
          <t>Guinhalaran</t>
        </is>
      </c>
    </row>
    <row r="28322" spans="1:1">
      <c r="A28322" t="inlineStr">
        <is>
          <t>Kapitan Ramon</t>
        </is>
      </c>
    </row>
    <row r="28323" spans="1:1">
      <c r="A28323" t="inlineStr">
        <is>
          <t>Lantad</t>
        </is>
      </c>
    </row>
    <row r="28324" spans="1:1">
      <c r="A28324" t="inlineStr">
        <is>
          <t>Mambulac</t>
        </is>
      </c>
    </row>
    <row r="28325" spans="1:1">
      <c r="A28325" t="inlineStr">
        <is>
          <t>Patag</t>
        </is>
      </c>
    </row>
    <row r="28326" spans="1:1">
      <c r="A28326" t="inlineStr">
        <is>
          <t>Rizal</t>
        </is>
      </c>
    </row>
    <row r="28327" spans="1:1">
      <c r="A28327" t="inlineStr">
        <is>
          <t>Barangay 1</t>
        </is>
      </c>
    </row>
    <row r="28328" spans="1:1">
      <c r="A28328" t="inlineStr">
        <is>
          <t>Barangay 2</t>
        </is>
      </c>
    </row>
    <row r="28329" spans="1:1">
      <c r="A28329" t="inlineStr">
        <is>
          <t>Barangay 3</t>
        </is>
      </c>
    </row>
    <row r="28330" spans="1:1">
      <c r="A28330" t="inlineStr">
        <is>
          <t>Barangay 4</t>
        </is>
      </c>
    </row>
    <row r="28331" spans="1:1">
      <c r="A28331" t="inlineStr">
        <is>
          <t>Barangay 5</t>
        </is>
      </c>
    </row>
    <row r="28332" spans="1:1">
      <c r="A28332" t="inlineStr">
        <is>
          <t>Cabadiangan</t>
        </is>
      </c>
    </row>
    <row r="28333" spans="1:1">
      <c r="A28333" t="inlineStr">
        <is>
          <t>Camindangan</t>
        </is>
      </c>
    </row>
    <row r="28334" spans="1:1">
      <c r="A28334" t="inlineStr">
        <is>
          <t>Canturay</t>
        </is>
      </c>
    </row>
    <row r="28335" spans="1:1">
      <c r="A28335" t="inlineStr">
        <is>
          <t>Cartagena</t>
        </is>
      </c>
    </row>
    <row r="28336" spans="1:1">
      <c r="A28336" t="inlineStr">
        <is>
          <t>Cayhagan</t>
        </is>
      </c>
    </row>
    <row r="28337" spans="1:1">
      <c r="A28337" t="inlineStr">
        <is>
          <t>Gil Montilla</t>
        </is>
      </c>
    </row>
    <row r="28338" spans="1:1">
      <c r="A28338" t="inlineStr">
        <is>
          <t>Mambaroto</t>
        </is>
      </c>
    </row>
    <row r="28339" spans="1:1">
      <c r="A28339" t="inlineStr">
        <is>
          <t>Manlucahoc</t>
        </is>
      </c>
    </row>
    <row r="28340" spans="1:1">
      <c r="A28340" t="inlineStr">
        <is>
          <t>Maricalum</t>
        </is>
      </c>
    </row>
    <row r="28341" spans="1:1">
      <c r="A28341" t="inlineStr">
        <is>
          <t>Nabulao</t>
        </is>
      </c>
    </row>
    <row r="28342" spans="1:1">
      <c r="A28342" t="inlineStr">
        <is>
          <t>Nauhang</t>
        </is>
      </c>
    </row>
    <row r="28343" spans="1:1">
      <c r="A28343" t="inlineStr">
        <is>
          <t>San Jose</t>
        </is>
      </c>
    </row>
    <row r="28344" spans="1:1">
      <c r="A28344" t="inlineStr">
        <is>
          <t>Bubog</t>
        </is>
      </c>
    </row>
    <row r="28345" spans="1:1">
      <c r="A28345" t="inlineStr">
        <is>
          <t>Cabatangan</t>
        </is>
      </c>
    </row>
    <row r="28346" spans="1:1">
      <c r="A28346" t="inlineStr">
        <is>
          <t>Concepcion</t>
        </is>
      </c>
    </row>
    <row r="28347" spans="1:1">
      <c r="A28347" t="inlineStr">
        <is>
          <t>Dos Hermanas</t>
        </is>
      </c>
    </row>
    <row r="28348" spans="1:1">
      <c r="A28348" t="inlineStr">
        <is>
          <t>Efigenio Lizares</t>
        </is>
      </c>
    </row>
    <row r="28349" spans="1:1">
      <c r="A28349" t="inlineStr">
        <is>
          <t>Katilingban</t>
        </is>
      </c>
    </row>
    <row r="28350" spans="1:1">
      <c r="A28350" t="inlineStr">
        <is>
          <t>Matab-ang</t>
        </is>
      </c>
    </row>
    <row r="28351" spans="1:1">
      <c r="A28351" t="inlineStr">
        <is>
          <t>San Fernando</t>
        </is>
      </c>
    </row>
    <row r="28352" spans="1:1">
      <c r="A28352" t="inlineStr">
        <is>
          <t>Zone 1</t>
        </is>
      </c>
    </row>
    <row r="28353" spans="1:1">
      <c r="A28353" t="inlineStr">
        <is>
          <t>Zone 10</t>
        </is>
      </c>
    </row>
    <row r="28354" spans="1:1">
      <c r="A28354" t="inlineStr">
        <is>
          <t>Zone 11</t>
        </is>
      </c>
    </row>
    <row r="28355" spans="1:1">
      <c r="A28355" t="inlineStr">
        <is>
          <t>Zone 12</t>
        </is>
      </c>
    </row>
    <row r="28356" spans="1:1">
      <c r="A28356" t="inlineStr">
        <is>
          <t>Zone 12-A</t>
        </is>
      </c>
    </row>
    <row r="28357" spans="1:1">
      <c r="A28357" t="inlineStr">
        <is>
          <t>Zone 14</t>
        </is>
      </c>
    </row>
    <row r="28358" spans="1:1">
      <c r="A28358" t="inlineStr">
        <is>
          <t>Zone 14-A</t>
        </is>
      </c>
    </row>
    <row r="28359" spans="1:1">
      <c r="A28359" t="inlineStr">
        <is>
          <t>Zone 14-B</t>
        </is>
      </c>
    </row>
    <row r="28360" spans="1:1">
      <c r="A28360" t="inlineStr">
        <is>
          <t>Zone 15</t>
        </is>
      </c>
    </row>
    <row r="28361" spans="1:1">
      <c r="A28361" t="inlineStr">
        <is>
          <t>Zone 16</t>
        </is>
      </c>
    </row>
    <row r="28362" spans="1:1">
      <c r="A28362" t="inlineStr">
        <is>
          <t>Zone 2</t>
        </is>
      </c>
    </row>
    <row r="28363" spans="1:1">
      <c r="A28363" t="inlineStr">
        <is>
          <t>Zone 3</t>
        </is>
      </c>
    </row>
    <row r="28364" spans="1:1">
      <c r="A28364" t="inlineStr">
        <is>
          <t>Zone 4</t>
        </is>
      </c>
    </row>
    <row r="28365" spans="1:1">
      <c r="A28365" t="inlineStr">
        <is>
          <t>Zone 4-A</t>
        </is>
      </c>
    </row>
    <row r="28366" spans="1:1">
      <c r="A28366" t="inlineStr">
        <is>
          <t>Zone 5</t>
        </is>
      </c>
    </row>
    <row r="28367" spans="1:1">
      <c r="A28367" t="inlineStr">
        <is>
          <t>Zone 6</t>
        </is>
      </c>
    </row>
    <row r="28368" spans="1:1">
      <c r="A28368" t="inlineStr">
        <is>
          <t>Zone 7</t>
        </is>
      </c>
    </row>
    <row r="28369" spans="1:1">
      <c r="A28369" t="inlineStr">
        <is>
          <t>Zone 8</t>
        </is>
      </c>
    </row>
    <row r="28370" spans="1:1">
      <c r="A28370" t="inlineStr">
        <is>
          <t>Zone 9</t>
        </is>
      </c>
    </row>
    <row r="28371" spans="1:1">
      <c r="A28371" t="inlineStr">
        <is>
          <t>Barangay I</t>
        </is>
      </c>
    </row>
    <row r="28372" spans="1:1">
      <c r="A28372" t="inlineStr">
        <is>
          <t>Barangay II</t>
        </is>
      </c>
    </row>
    <row r="28373" spans="1:1">
      <c r="A28373" t="inlineStr">
        <is>
          <t>Barangay III</t>
        </is>
      </c>
    </row>
    <row r="28374" spans="1:1">
      <c r="A28374" t="inlineStr">
        <is>
          <t>Barangay IV</t>
        </is>
      </c>
    </row>
    <row r="28375" spans="1:1">
      <c r="A28375" t="inlineStr">
        <is>
          <t>Barangay IX</t>
        </is>
      </c>
    </row>
    <row r="28376" spans="1:1">
      <c r="A28376" t="inlineStr">
        <is>
          <t>Barangay V</t>
        </is>
      </c>
    </row>
    <row r="28377" spans="1:1">
      <c r="A28377" t="inlineStr">
        <is>
          <t>Barangay VI</t>
        </is>
      </c>
    </row>
    <row r="28378" spans="1:1">
      <c r="A28378" t="inlineStr">
        <is>
          <t>Barangay VI-A</t>
        </is>
      </c>
    </row>
    <row r="28379" spans="1:1">
      <c r="A28379" t="inlineStr">
        <is>
          <t>Barangay VII</t>
        </is>
      </c>
    </row>
    <row r="28380" spans="1:1">
      <c r="A28380" t="inlineStr">
        <is>
          <t>Barangay VIII</t>
        </is>
      </c>
    </row>
    <row r="28381" spans="1:1">
      <c r="A28381" t="inlineStr">
        <is>
          <t>Barangay X</t>
        </is>
      </c>
    </row>
    <row r="28382" spans="1:1">
      <c r="A28382" t="inlineStr">
        <is>
          <t>Barangay XI</t>
        </is>
      </c>
    </row>
    <row r="28383" spans="1:1">
      <c r="A28383" t="inlineStr">
        <is>
          <t>Barangay XII</t>
        </is>
      </c>
    </row>
    <row r="28384" spans="1:1">
      <c r="A28384" t="inlineStr">
        <is>
          <t>Barangay XIII</t>
        </is>
      </c>
    </row>
    <row r="28385" spans="1:1">
      <c r="A28385" t="inlineStr">
        <is>
          <t>Barangay XIV</t>
        </is>
      </c>
    </row>
    <row r="28386" spans="1:1">
      <c r="A28386" t="inlineStr">
        <is>
          <t>Barangay XIX</t>
        </is>
      </c>
    </row>
    <row r="28387" spans="1:1">
      <c r="A28387" t="inlineStr">
        <is>
          <t>Barangay XIX-A</t>
        </is>
      </c>
    </row>
    <row r="28388" spans="1:1">
      <c r="A28388" t="inlineStr">
        <is>
          <t>Barangay XV</t>
        </is>
      </c>
    </row>
    <row r="28389" spans="1:1">
      <c r="A28389" t="inlineStr">
        <is>
          <t>Barangay XV-A</t>
        </is>
      </c>
    </row>
    <row r="28390" spans="1:1">
      <c r="A28390" t="inlineStr">
        <is>
          <t>Barangay XVI</t>
        </is>
      </c>
    </row>
    <row r="28391" spans="1:1">
      <c r="A28391" t="inlineStr">
        <is>
          <t>Barangay XVI-A</t>
        </is>
      </c>
    </row>
    <row r="28392" spans="1:1">
      <c r="A28392" t="inlineStr">
        <is>
          <t>Barangay XVII</t>
        </is>
      </c>
    </row>
    <row r="28393" spans="1:1">
      <c r="A28393" t="inlineStr">
        <is>
          <t>Barangay XVIII</t>
        </is>
      </c>
    </row>
    <row r="28394" spans="1:1">
      <c r="A28394" t="inlineStr">
        <is>
          <t>Barangay XVIII-A</t>
        </is>
      </c>
    </row>
    <row r="28395" spans="1:1">
      <c r="A28395" t="inlineStr">
        <is>
          <t>Barangay XX</t>
        </is>
      </c>
    </row>
    <row r="28396" spans="1:1">
      <c r="A28396" t="inlineStr">
        <is>
          <t>Barangay XXI</t>
        </is>
      </c>
    </row>
    <row r="28397" spans="1:1">
      <c r="A28397" t="inlineStr">
        <is>
          <t>Alacaygan</t>
        </is>
      </c>
    </row>
    <row r="28398" spans="1:1">
      <c r="A28398" t="inlineStr">
        <is>
          <t>Alicante</t>
        </is>
      </c>
    </row>
    <row r="28399" spans="1:1">
      <c r="A28399" t="inlineStr">
        <is>
          <t>Batea</t>
        </is>
      </c>
    </row>
    <row r="28400" spans="1:1">
      <c r="A28400" t="inlineStr">
        <is>
          <t>Canlusong</t>
        </is>
      </c>
    </row>
    <row r="28401" spans="1:1">
      <c r="A28401" t="inlineStr">
        <is>
          <t>Consing</t>
        </is>
      </c>
    </row>
    <row r="28402" spans="1:1">
      <c r="A28402" t="inlineStr">
        <is>
          <t>Cudangdang</t>
        </is>
      </c>
    </row>
    <row r="28403" spans="1:1">
      <c r="A28403" t="inlineStr">
        <is>
          <t>Damgo</t>
        </is>
      </c>
    </row>
    <row r="28404" spans="1:1">
      <c r="A28404" t="inlineStr">
        <is>
          <t>Gahit</t>
        </is>
      </c>
    </row>
    <row r="28405" spans="1:1">
      <c r="A28405" t="inlineStr">
        <is>
          <t>Latasan</t>
        </is>
      </c>
    </row>
    <row r="28406" spans="1:1">
      <c r="A28406" t="inlineStr">
        <is>
          <t>Madalag</t>
        </is>
      </c>
    </row>
    <row r="28407" spans="1:1">
      <c r="A28407" t="inlineStr">
        <is>
          <t>Manta-angan</t>
        </is>
      </c>
    </row>
    <row r="28408" spans="1:1">
      <c r="A28408" t="inlineStr">
        <is>
          <t>Nanca</t>
        </is>
      </c>
    </row>
    <row r="28409" spans="1:1">
      <c r="A28409" t="inlineStr">
        <is>
          <t>Pasil</t>
        </is>
      </c>
    </row>
    <row r="28410" spans="1:1">
      <c r="A28410" t="inlineStr">
        <is>
          <t>Poblacion I</t>
        </is>
      </c>
    </row>
    <row r="28411" spans="1:1">
      <c r="A28411" t="inlineStr">
        <is>
          <t>Poblacion II</t>
        </is>
      </c>
    </row>
    <row r="28412" spans="1:1">
      <c r="A28412" t="inlineStr">
        <is>
          <t>Poblacion III</t>
        </is>
      </c>
    </row>
    <row r="28413" spans="1:1">
      <c r="A28413" t="inlineStr">
        <is>
          <t>San Isidro</t>
        </is>
      </c>
    </row>
    <row r="28414" spans="1:1">
      <c r="A28414" t="inlineStr">
        <is>
          <t>San Jose</t>
        </is>
      </c>
    </row>
    <row r="28415" spans="1:1">
      <c r="A28415" t="inlineStr">
        <is>
          <t>Santo Niño</t>
        </is>
      </c>
    </row>
    <row r="28416" spans="1:1">
      <c r="A28416" t="inlineStr">
        <is>
          <t>Tabigue</t>
        </is>
      </c>
    </row>
    <row r="28417" spans="1:1">
      <c r="A28417" t="inlineStr">
        <is>
          <t>Tanza</t>
        </is>
      </c>
    </row>
    <row r="28418" spans="1:1">
      <c r="A28418" t="inlineStr">
        <is>
          <t>Tomongtong</t>
        </is>
      </c>
    </row>
    <row r="28419" spans="1:1">
      <c r="A28419" t="inlineStr">
        <is>
          <t>Tuburan</t>
        </is>
      </c>
    </row>
    <row r="28420" spans="1:1">
      <c r="A28420" t="inlineStr">
        <is>
          <t>Anahaw</t>
        </is>
      </c>
    </row>
    <row r="28421" spans="1:1">
      <c r="A28421" t="inlineStr">
        <is>
          <t>Aranda</t>
        </is>
      </c>
    </row>
    <row r="28422" spans="1:1">
      <c r="A28422" t="inlineStr">
        <is>
          <t>Baga-as</t>
        </is>
      </c>
    </row>
    <row r="28423" spans="1:1">
      <c r="A28423" t="inlineStr">
        <is>
          <t>Barangay I</t>
        </is>
      </c>
    </row>
    <row r="28424" spans="1:1">
      <c r="A28424" t="inlineStr">
        <is>
          <t>Barangay II</t>
        </is>
      </c>
    </row>
    <row r="28425" spans="1:1">
      <c r="A28425" t="inlineStr">
        <is>
          <t>Barangay III</t>
        </is>
      </c>
    </row>
    <row r="28426" spans="1:1">
      <c r="A28426" t="inlineStr">
        <is>
          <t>Barangay IV</t>
        </is>
      </c>
    </row>
    <row r="28427" spans="1:1">
      <c r="A28427" t="inlineStr">
        <is>
          <t>Bato</t>
        </is>
      </c>
    </row>
    <row r="28428" spans="1:1">
      <c r="A28428" t="inlineStr">
        <is>
          <t>Calapi</t>
        </is>
      </c>
    </row>
    <row r="28429" spans="1:1">
      <c r="A28429" t="inlineStr">
        <is>
          <t>Camalobalo</t>
        </is>
      </c>
    </row>
    <row r="28430" spans="1:1">
      <c r="A28430" t="inlineStr">
        <is>
          <t>Camba-og</t>
        </is>
      </c>
    </row>
    <row r="28431" spans="1:1">
      <c r="A28431" t="inlineStr">
        <is>
          <t>Cambugsa</t>
        </is>
      </c>
    </row>
    <row r="28432" spans="1:1">
      <c r="A28432" t="inlineStr">
        <is>
          <t>Candumarao</t>
        </is>
      </c>
    </row>
    <row r="28433" spans="1:1">
      <c r="A28433" t="inlineStr">
        <is>
          <t>Gargato</t>
        </is>
      </c>
    </row>
    <row r="28434" spans="1:1">
      <c r="A28434" t="inlineStr">
        <is>
          <t>Himaya</t>
        </is>
      </c>
    </row>
    <row r="28435" spans="1:1">
      <c r="A28435" t="inlineStr">
        <is>
          <t>Miranda</t>
        </is>
      </c>
    </row>
    <row r="28436" spans="1:1">
      <c r="A28436" t="inlineStr">
        <is>
          <t>Nanunga</t>
        </is>
      </c>
    </row>
    <row r="28437" spans="1:1">
      <c r="A28437" t="inlineStr">
        <is>
          <t>Narauis</t>
        </is>
      </c>
    </row>
    <row r="28438" spans="1:1">
      <c r="A28438" t="inlineStr">
        <is>
          <t>Palayog</t>
        </is>
      </c>
    </row>
    <row r="28439" spans="1:1">
      <c r="A28439" t="inlineStr">
        <is>
          <t>Paticui</t>
        </is>
      </c>
    </row>
    <row r="28440" spans="1:1">
      <c r="A28440" t="inlineStr">
        <is>
          <t>Pilar</t>
        </is>
      </c>
    </row>
    <row r="28441" spans="1:1">
      <c r="A28441" t="inlineStr">
        <is>
          <t>Quiwi</t>
        </is>
      </c>
    </row>
    <row r="28442" spans="1:1">
      <c r="A28442" t="inlineStr">
        <is>
          <t>Tagda</t>
        </is>
      </c>
    </row>
    <row r="28443" spans="1:1">
      <c r="A28443" t="inlineStr">
        <is>
          <t>Tuguis</t>
        </is>
      </c>
    </row>
    <row r="28444" spans="1:1">
      <c r="A28444" t="inlineStr">
        <is>
          <t>Alim</t>
        </is>
      </c>
    </row>
    <row r="28445" spans="1:1">
      <c r="A28445" t="inlineStr">
        <is>
          <t>Asia</t>
        </is>
      </c>
    </row>
    <row r="28446" spans="1:1">
      <c r="A28446" t="inlineStr">
        <is>
          <t>Bacuyangan</t>
        </is>
      </c>
    </row>
    <row r="28447" spans="1:1">
      <c r="A28447" t="inlineStr">
        <is>
          <t>Barangay I</t>
        </is>
      </c>
    </row>
    <row r="28448" spans="1:1">
      <c r="A28448" t="inlineStr">
        <is>
          <t>Barangay II</t>
        </is>
      </c>
    </row>
    <row r="28449" spans="1:1">
      <c r="A28449" t="inlineStr">
        <is>
          <t>Bulwangan</t>
        </is>
      </c>
    </row>
    <row r="28450" spans="1:1">
      <c r="A28450" t="inlineStr">
        <is>
          <t>Culipapa</t>
        </is>
      </c>
    </row>
    <row r="28451" spans="1:1">
      <c r="A28451" t="inlineStr">
        <is>
          <t>Damutan</t>
        </is>
      </c>
    </row>
    <row r="28452" spans="1:1">
      <c r="A28452" t="inlineStr">
        <is>
          <t>Daug</t>
        </is>
      </c>
    </row>
    <row r="28453" spans="1:1">
      <c r="A28453" t="inlineStr">
        <is>
          <t>Po-ok</t>
        </is>
      </c>
    </row>
    <row r="28454" spans="1:1">
      <c r="A28454" t="inlineStr">
        <is>
          <t>San Rafael</t>
        </is>
      </c>
    </row>
    <row r="28455" spans="1:1">
      <c r="A28455" t="inlineStr">
        <is>
          <t>Sangke</t>
        </is>
      </c>
    </row>
    <row r="28456" spans="1:1">
      <c r="A28456" t="inlineStr">
        <is>
          <t>Talacagay</t>
        </is>
      </c>
    </row>
    <row r="28457" spans="1:1">
      <c r="A28457" t="inlineStr">
        <is>
          <t>Andulauan</t>
        </is>
      </c>
    </row>
    <row r="28458" spans="1:1">
      <c r="A28458" t="inlineStr">
        <is>
          <t>Balicotoc</t>
        </is>
      </c>
    </row>
    <row r="28459" spans="1:1">
      <c r="A28459" t="inlineStr">
        <is>
          <t>Barangay I</t>
        </is>
      </c>
    </row>
    <row r="28460" spans="1:1">
      <c r="A28460" t="inlineStr">
        <is>
          <t>Barangay II</t>
        </is>
      </c>
    </row>
    <row r="28461" spans="1:1">
      <c r="A28461" t="inlineStr">
        <is>
          <t>Bocana</t>
        </is>
      </c>
    </row>
    <row r="28462" spans="1:1">
      <c r="A28462" t="inlineStr">
        <is>
          <t>Calubang</t>
        </is>
      </c>
    </row>
    <row r="28463" spans="1:1">
      <c r="A28463" t="inlineStr">
        <is>
          <t>Canlamay</t>
        </is>
      </c>
    </row>
    <row r="28464" spans="1:1">
      <c r="A28464" t="inlineStr">
        <is>
          <t>Consuelo</t>
        </is>
      </c>
    </row>
    <row r="28465" spans="1:1">
      <c r="A28465" t="inlineStr">
        <is>
          <t>Dancalan</t>
        </is>
      </c>
    </row>
    <row r="28466" spans="1:1">
      <c r="A28466" t="inlineStr">
        <is>
          <t>Delicioso</t>
        </is>
      </c>
    </row>
    <row r="28467" spans="1:1">
      <c r="A28467" t="inlineStr">
        <is>
          <t>Galicia</t>
        </is>
      </c>
    </row>
    <row r="28468" spans="1:1">
      <c r="A28468" t="inlineStr">
        <is>
          <t>Manalad</t>
        </is>
      </c>
    </row>
    <row r="28469" spans="1:1">
      <c r="A28469" t="inlineStr">
        <is>
          <t>Pinggot</t>
        </is>
      </c>
    </row>
    <row r="28470" spans="1:1">
      <c r="A28470" t="inlineStr">
        <is>
          <t>Tabu</t>
        </is>
      </c>
    </row>
    <row r="28471" spans="1:1">
      <c r="A28471" t="inlineStr">
        <is>
          <t>Vista Alegre</t>
        </is>
      </c>
    </row>
    <row r="28472" spans="1:1">
      <c r="A28472" t="inlineStr">
        <is>
          <t>Amin</t>
        </is>
      </c>
    </row>
    <row r="28473" spans="1:1">
      <c r="A28473" t="inlineStr">
        <is>
          <t>Banogbanog</t>
        </is>
      </c>
    </row>
    <row r="28474" spans="1:1">
      <c r="A28474" t="inlineStr">
        <is>
          <t>Barangay 1</t>
        </is>
      </c>
    </row>
    <row r="28475" spans="1:1">
      <c r="A28475" t="inlineStr">
        <is>
          <t>Barangay 2</t>
        </is>
      </c>
    </row>
    <row r="28476" spans="1:1">
      <c r="A28476" t="inlineStr">
        <is>
          <t>Barangay 3</t>
        </is>
      </c>
    </row>
    <row r="28477" spans="1:1">
      <c r="A28477" t="inlineStr">
        <is>
          <t>Barangay 4</t>
        </is>
      </c>
    </row>
    <row r="28478" spans="1:1">
      <c r="A28478" t="inlineStr">
        <is>
          <t>Barangay 5</t>
        </is>
      </c>
    </row>
    <row r="28479" spans="1:1">
      <c r="A28479" t="inlineStr">
        <is>
          <t>Barangay 6</t>
        </is>
      </c>
    </row>
    <row r="28480" spans="1:1">
      <c r="A28480" t="inlineStr">
        <is>
          <t>Barangay 7</t>
        </is>
      </c>
    </row>
    <row r="28481" spans="1:1">
      <c r="A28481" t="inlineStr">
        <is>
          <t>Barangay 8</t>
        </is>
      </c>
    </row>
    <row r="28482" spans="1:1">
      <c r="A28482" t="inlineStr">
        <is>
          <t>Barangay 9</t>
        </is>
      </c>
    </row>
    <row r="28483" spans="1:1">
      <c r="A28483" t="inlineStr">
        <is>
          <t>Bulad</t>
        </is>
      </c>
    </row>
    <row r="28484" spans="1:1">
      <c r="A28484" t="inlineStr">
        <is>
          <t>Bungahin</t>
        </is>
      </c>
    </row>
    <row r="28485" spans="1:1">
      <c r="A28485" t="inlineStr">
        <is>
          <t>Cabcab</t>
        </is>
      </c>
    </row>
    <row r="28486" spans="1:1">
      <c r="A28486" t="inlineStr">
        <is>
          <t>Camangcamang</t>
        </is>
      </c>
    </row>
    <row r="28487" spans="1:1">
      <c r="A28487" t="inlineStr">
        <is>
          <t>Camp Clark</t>
        </is>
      </c>
    </row>
    <row r="28488" spans="1:1">
      <c r="A28488" t="inlineStr">
        <is>
          <t>Cansalongon</t>
        </is>
      </c>
    </row>
    <row r="28489" spans="1:1">
      <c r="A28489" t="inlineStr">
        <is>
          <t>Guintubhan</t>
        </is>
      </c>
    </row>
    <row r="28490" spans="1:1">
      <c r="A28490" t="inlineStr">
        <is>
          <t>Libas</t>
        </is>
      </c>
    </row>
    <row r="28491" spans="1:1">
      <c r="A28491" t="inlineStr">
        <is>
          <t>Limalima</t>
        </is>
      </c>
    </row>
    <row r="28492" spans="1:1">
      <c r="A28492" t="inlineStr">
        <is>
          <t>Makilignit</t>
        </is>
      </c>
    </row>
    <row r="28493" spans="1:1">
      <c r="A28493" t="inlineStr">
        <is>
          <t>Mansablay</t>
        </is>
      </c>
    </row>
    <row r="28494" spans="1:1">
      <c r="A28494" t="inlineStr">
        <is>
          <t>Maytubig</t>
        </is>
      </c>
    </row>
    <row r="28495" spans="1:1">
      <c r="A28495" t="inlineStr">
        <is>
          <t>Panaquiao</t>
        </is>
      </c>
    </row>
    <row r="28496" spans="1:1">
      <c r="A28496" t="inlineStr">
        <is>
          <t>Riverside</t>
        </is>
      </c>
    </row>
    <row r="28497" spans="1:1">
      <c r="A28497" t="inlineStr">
        <is>
          <t>Rumirang</t>
        </is>
      </c>
    </row>
    <row r="28498" spans="1:1">
      <c r="A28498" t="inlineStr">
        <is>
          <t>San Agustin</t>
        </is>
      </c>
    </row>
    <row r="28499" spans="1:1">
      <c r="A28499" t="inlineStr">
        <is>
          <t>Sebucawan</t>
        </is>
      </c>
    </row>
    <row r="28500" spans="1:1">
      <c r="A28500" t="inlineStr">
        <is>
          <t>Sikatuna</t>
        </is>
      </c>
    </row>
    <row r="28501" spans="1:1">
      <c r="A28501" t="inlineStr">
        <is>
          <t>Tinongan</t>
        </is>
      </c>
    </row>
    <row r="28502" spans="1:1">
      <c r="A28502" t="inlineStr">
        <is>
          <t>Biaknabato</t>
        </is>
      </c>
    </row>
    <row r="28503" spans="1:1">
      <c r="A28503" t="inlineStr">
        <is>
          <t>Cabacungan</t>
        </is>
      </c>
    </row>
    <row r="28504" spans="1:1">
      <c r="A28504" t="inlineStr">
        <is>
          <t>Cabagnaan</t>
        </is>
      </c>
    </row>
    <row r="28505" spans="1:1">
      <c r="A28505" t="inlineStr">
        <is>
          <t>Camandag</t>
        </is>
      </c>
    </row>
    <row r="28506" spans="1:1">
      <c r="A28506" t="inlineStr">
        <is>
          <t>Lalagsan</t>
        </is>
      </c>
    </row>
    <row r="28507" spans="1:1">
      <c r="A28507" t="inlineStr">
        <is>
          <t>Manghanoy</t>
        </is>
      </c>
    </row>
    <row r="28508" spans="1:1">
      <c r="A28508" t="inlineStr">
        <is>
          <t>Mansalanao</t>
        </is>
      </c>
    </row>
    <row r="28509" spans="1:1">
      <c r="A28509" t="inlineStr">
        <is>
          <t>Masulog</t>
        </is>
      </c>
    </row>
    <row r="28510" spans="1:1">
      <c r="A28510" t="inlineStr">
        <is>
          <t>Nato</t>
        </is>
      </c>
    </row>
    <row r="28511" spans="1:1">
      <c r="A28511" t="inlineStr">
        <is>
          <t>Puso</t>
        </is>
      </c>
    </row>
    <row r="28512" spans="1:1">
      <c r="A28512" t="inlineStr">
        <is>
          <t>Robles</t>
        </is>
      </c>
    </row>
    <row r="28513" spans="1:1">
      <c r="A28513" t="inlineStr">
        <is>
          <t>Sag-Ang</t>
        </is>
      </c>
    </row>
    <row r="28514" spans="1:1">
      <c r="A28514" t="inlineStr">
        <is>
          <t>Talaptap</t>
        </is>
      </c>
    </row>
    <row r="28515" spans="1:1">
      <c r="A28515" t="inlineStr">
        <is>
          <t>Barangay I</t>
        </is>
      </c>
    </row>
    <row r="28516" spans="1:1">
      <c r="A28516" t="inlineStr">
        <is>
          <t>Barangay I-A</t>
        </is>
      </c>
    </row>
    <row r="28517" spans="1:1">
      <c r="A28517" t="inlineStr">
        <is>
          <t>Barangay I-B</t>
        </is>
      </c>
    </row>
    <row r="28518" spans="1:1">
      <c r="A28518" t="inlineStr">
        <is>
          <t>Barangay II</t>
        </is>
      </c>
    </row>
    <row r="28519" spans="1:1">
      <c r="A28519" t="inlineStr">
        <is>
          <t>Barangay II-A</t>
        </is>
      </c>
    </row>
    <row r="28520" spans="1:1">
      <c r="A28520" t="inlineStr">
        <is>
          <t>Chambery</t>
        </is>
      </c>
    </row>
    <row r="28521" spans="1:1">
      <c r="A28521" t="inlineStr">
        <is>
          <t>Punta Mesa</t>
        </is>
      </c>
    </row>
    <row r="28522" spans="1:1">
      <c r="A28522" t="inlineStr">
        <is>
          <t>Punta Salong</t>
        </is>
      </c>
    </row>
    <row r="28523" spans="1:1">
      <c r="A28523" t="inlineStr">
        <is>
          <t>Purisima</t>
        </is>
      </c>
    </row>
    <row r="28524" spans="1:1">
      <c r="A28524" t="inlineStr">
        <is>
          <t>San Pablo</t>
        </is>
      </c>
    </row>
    <row r="28525" spans="1:1">
      <c r="A28525" t="inlineStr">
        <is>
          <t>Santa Teresa</t>
        </is>
      </c>
    </row>
    <row r="28526" spans="1:1">
      <c r="A28526" t="inlineStr">
        <is>
          <t>Tortosa</t>
        </is>
      </c>
    </row>
    <row r="28527" spans="1:1">
      <c r="A28527" t="inlineStr">
        <is>
          <t>Barangay 1</t>
        </is>
      </c>
    </row>
    <row r="28528" spans="1:1">
      <c r="A28528" t="inlineStr">
        <is>
          <t>Barangay 2</t>
        </is>
      </c>
    </row>
    <row r="28529" spans="1:1">
      <c r="A28529" t="inlineStr">
        <is>
          <t>Barangay 3</t>
        </is>
      </c>
    </row>
    <row r="28530" spans="1:1">
      <c r="A28530" t="inlineStr">
        <is>
          <t>Barangay 4</t>
        </is>
      </c>
    </row>
    <row r="28531" spans="1:1">
      <c r="A28531" t="inlineStr">
        <is>
          <t>Barangay 5</t>
        </is>
      </c>
    </row>
    <row r="28532" spans="1:1">
      <c r="A28532" t="inlineStr">
        <is>
          <t>Barangay 6</t>
        </is>
      </c>
    </row>
    <row r="28533" spans="1:1">
      <c r="A28533" t="inlineStr">
        <is>
          <t>Barangay 7</t>
        </is>
      </c>
    </row>
    <row r="28534" spans="1:1">
      <c r="A28534" t="inlineStr">
        <is>
          <t>Crossing Magallon</t>
        </is>
      </c>
    </row>
    <row r="28535" spans="1:1">
      <c r="A28535" t="inlineStr">
        <is>
          <t>Guinpana-an</t>
        </is>
      </c>
    </row>
    <row r="28536" spans="1:1">
      <c r="A28536" t="inlineStr">
        <is>
          <t>Inolingan</t>
        </is>
      </c>
    </row>
    <row r="28537" spans="1:1">
      <c r="A28537" t="inlineStr">
        <is>
          <t>Macagahay</t>
        </is>
      </c>
    </row>
    <row r="28538" spans="1:1">
      <c r="A28538" t="inlineStr">
        <is>
          <t>Magallon Cadre</t>
        </is>
      </c>
    </row>
    <row r="28539" spans="1:1">
      <c r="A28539" t="inlineStr">
        <is>
          <t>Montilla</t>
        </is>
      </c>
    </row>
    <row r="28540" spans="1:1">
      <c r="A28540" t="inlineStr">
        <is>
          <t>Odiong</t>
        </is>
      </c>
    </row>
    <row r="28541" spans="1:1">
      <c r="A28541" t="inlineStr">
        <is>
          <t>Quintin Remo</t>
        </is>
      </c>
    </row>
    <row r="28542" spans="1:1">
      <c r="A28542" t="inlineStr">
        <is>
          <t>Abo-abo</t>
        </is>
      </c>
    </row>
    <row r="28543" spans="1:1">
      <c r="A28543" t="inlineStr">
        <is>
          <t>Alegria</t>
        </is>
      </c>
    </row>
    <row r="28544" spans="1:1">
      <c r="A28544" t="inlineStr">
        <is>
          <t>Amayco</t>
        </is>
      </c>
    </row>
    <row r="28545" spans="1:1">
      <c r="A28545" t="inlineStr">
        <is>
          <t>Blumentritt</t>
        </is>
      </c>
    </row>
    <row r="28546" spans="1:1">
      <c r="A28546" t="inlineStr">
        <is>
          <t>Buenavista</t>
        </is>
      </c>
    </row>
    <row r="28547" spans="1:1">
      <c r="A28547" t="inlineStr">
        <is>
          <t>Caliban</t>
        </is>
      </c>
    </row>
    <row r="28548" spans="1:1">
      <c r="A28548" t="inlineStr">
        <is>
          <t>Canlandog</t>
        </is>
      </c>
    </row>
    <row r="28549" spans="1:1">
      <c r="A28549" t="inlineStr">
        <is>
          <t>Cansilayan</t>
        </is>
      </c>
    </row>
    <row r="28550" spans="1:1">
      <c r="A28550" t="inlineStr">
        <is>
          <t>Damsite</t>
        </is>
      </c>
    </row>
    <row r="28551" spans="1:1">
      <c r="A28551" t="inlineStr">
        <is>
          <t>Iglau-an</t>
        </is>
      </c>
    </row>
    <row r="28552" spans="1:1">
      <c r="A28552" t="inlineStr">
        <is>
          <t>Lopez Jaena</t>
        </is>
      </c>
    </row>
    <row r="28553" spans="1:1">
      <c r="A28553" t="inlineStr">
        <is>
          <t>Minoyan</t>
        </is>
      </c>
    </row>
    <row r="28554" spans="1:1">
      <c r="A28554" t="inlineStr">
        <is>
          <t>Pandanon</t>
        </is>
      </c>
    </row>
    <row r="28555" spans="1:1">
      <c r="A28555" t="inlineStr">
        <is>
          <t>Salvacion</t>
        </is>
      </c>
    </row>
    <row r="28556" spans="1:1">
      <c r="A28556" t="inlineStr">
        <is>
          <t>San Miguel</t>
        </is>
      </c>
    </row>
    <row r="28557" spans="1:1">
      <c r="A28557" t="inlineStr">
        <is>
          <t>Santa Cruz</t>
        </is>
      </c>
    </row>
    <row r="28558" spans="1:1">
      <c r="A28558" t="inlineStr">
        <is>
          <t>Santa Rosa</t>
        </is>
      </c>
    </row>
    <row r="28559" spans="1:1">
      <c r="A28559" t="inlineStr">
        <is>
          <t>Talotog</t>
        </is>
      </c>
    </row>
    <row r="28560" spans="1:1">
      <c r="A28560" t="inlineStr">
        <is>
          <t>Zone I</t>
        </is>
      </c>
    </row>
    <row r="28561" spans="1:1">
      <c r="A28561" t="inlineStr">
        <is>
          <t>Zone II</t>
        </is>
      </c>
    </row>
    <row r="28562" spans="1:1">
      <c r="A28562" t="inlineStr">
        <is>
          <t>Zone III</t>
        </is>
      </c>
    </row>
    <row r="28563" spans="1:1">
      <c r="A28563" t="inlineStr">
        <is>
          <t>Zone IV</t>
        </is>
      </c>
    </row>
    <row r="28564" spans="1:1">
      <c r="A28564" t="inlineStr">
        <is>
          <t>Zone V</t>
        </is>
      </c>
    </row>
    <row r="28565" spans="1:1">
      <c r="A28565" t="inlineStr">
        <is>
          <t>Antipolo</t>
        </is>
      </c>
    </row>
    <row r="28566" spans="1:1">
      <c r="A28566" t="inlineStr">
        <is>
          <t>Barangay I</t>
        </is>
      </c>
    </row>
    <row r="28567" spans="1:1">
      <c r="A28567" t="inlineStr">
        <is>
          <t>Barangay II</t>
        </is>
      </c>
    </row>
    <row r="28568" spans="1:1">
      <c r="A28568" t="inlineStr">
        <is>
          <t>Barangay III</t>
        </is>
      </c>
    </row>
    <row r="28569" spans="1:1">
      <c r="A28569" t="inlineStr">
        <is>
          <t>Buenavista Gibong</t>
        </is>
      </c>
    </row>
    <row r="28570" spans="1:1">
      <c r="A28570" t="inlineStr">
        <is>
          <t>Buenavista Rizal</t>
        </is>
      </c>
    </row>
    <row r="28571" spans="1:1">
      <c r="A28571" t="inlineStr">
        <is>
          <t>Burgos</t>
        </is>
      </c>
    </row>
    <row r="28572" spans="1:1">
      <c r="A28572" t="inlineStr">
        <is>
          <t>Cambarus</t>
        </is>
      </c>
    </row>
    <row r="28573" spans="1:1">
      <c r="A28573" t="inlineStr">
        <is>
          <t>Canroma</t>
        </is>
      </c>
    </row>
    <row r="28574" spans="1:1">
      <c r="A28574" t="inlineStr">
        <is>
          <t>Don Salvador Benedicto</t>
        </is>
      </c>
    </row>
    <row r="28575" spans="1:1">
      <c r="A28575" t="inlineStr">
        <is>
          <t>General Malvar</t>
        </is>
      </c>
    </row>
    <row r="28576" spans="1:1">
      <c r="A28576" t="inlineStr">
        <is>
          <t>Gomez</t>
        </is>
      </c>
    </row>
    <row r="28577" spans="1:1">
      <c r="A28577" t="inlineStr">
        <is>
          <t>M. H. Del Pilar</t>
        </is>
      </c>
    </row>
    <row r="28578" spans="1:1">
      <c r="A28578" t="inlineStr">
        <is>
          <t>Mabini</t>
        </is>
      </c>
    </row>
    <row r="28579" spans="1:1">
      <c r="A28579" t="inlineStr">
        <is>
          <t>Miranda</t>
        </is>
      </c>
    </row>
    <row r="28580" spans="1:1">
      <c r="A28580" t="inlineStr">
        <is>
          <t>Pandan</t>
        </is>
      </c>
    </row>
    <row r="28581" spans="1:1">
      <c r="A28581" t="inlineStr">
        <is>
          <t>Recreo</t>
        </is>
      </c>
    </row>
    <row r="28582" spans="1:1">
      <c r="A28582" t="inlineStr">
        <is>
          <t>San Isidro</t>
        </is>
      </c>
    </row>
    <row r="28583" spans="1:1">
      <c r="A28583" t="inlineStr">
        <is>
          <t>San Juan</t>
        </is>
      </c>
    </row>
    <row r="28584" spans="1:1">
      <c r="A28584" t="inlineStr">
        <is>
          <t>Zamora</t>
        </is>
      </c>
    </row>
    <row r="28585" spans="1:1">
      <c r="A28585" t="inlineStr">
        <is>
          <t>Barangay Zone 1</t>
        </is>
      </c>
    </row>
    <row r="28586" spans="1:1">
      <c r="A28586" t="inlineStr">
        <is>
          <t>Barangay Zone 1-A</t>
        </is>
      </c>
    </row>
    <row r="28587" spans="1:1">
      <c r="A28587" t="inlineStr">
        <is>
          <t>Barangay Zone 2</t>
        </is>
      </c>
    </row>
    <row r="28588" spans="1:1">
      <c r="A28588" t="inlineStr">
        <is>
          <t>Barangay Zone 3</t>
        </is>
      </c>
    </row>
    <row r="28589" spans="1:1">
      <c r="A28589" t="inlineStr">
        <is>
          <t>Barangay Zone 4</t>
        </is>
      </c>
    </row>
    <row r="28590" spans="1:1">
      <c r="A28590" t="inlineStr">
        <is>
          <t>Barangay Zone 4-A</t>
        </is>
      </c>
    </row>
    <row r="28591" spans="1:1">
      <c r="A28591" t="inlineStr">
        <is>
          <t>Barangay Zone 5</t>
        </is>
      </c>
    </row>
    <row r="28592" spans="1:1">
      <c r="A28592" t="inlineStr">
        <is>
          <t>Barangay Zone 6</t>
        </is>
      </c>
    </row>
    <row r="28593" spans="1:1">
      <c r="A28593" t="inlineStr">
        <is>
          <t>Barangay Zone 7</t>
        </is>
      </c>
    </row>
    <row r="28594" spans="1:1">
      <c r="A28594" t="inlineStr">
        <is>
          <t>Canjusa</t>
        </is>
      </c>
    </row>
    <row r="28595" spans="1:1">
      <c r="A28595" t="inlineStr">
        <is>
          <t>Crossing Pulupandan</t>
        </is>
      </c>
    </row>
    <row r="28596" spans="1:1">
      <c r="A28596" t="inlineStr">
        <is>
          <t>Culo</t>
        </is>
      </c>
    </row>
    <row r="28597" spans="1:1">
      <c r="A28597" t="inlineStr">
        <is>
          <t>Mabini</t>
        </is>
      </c>
    </row>
    <row r="28598" spans="1:1">
      <c r="A28598" t="inlineStr">
        <is>
          <t>Pag-ayon</t>
        </is>
      </c>
    </row>
    <row r="28599" spans="1:1">
      <c r="A28599" t="inlineStr">
        <is>
          <t>Palaka Norte</t>
        </is>
      </c>
    </row>
    <row r="28600" spans="1:1">
      <c r="A28600" t="inlineStr">
        <is>
          <t>Palaka Sur</t>
        </is>
      </c>
    </row>
    <row r="28601" spans="1:1">
      <c r="A28601" t="inlineStr">
        <is>
          <t>Patic</t>
        </is>
      </c>
    </row>
    <row r="28602" spans="1:1">
      <c r="A28602" t="inlineStr">
        <is>
          <t>Tapong</t>
        </is>
      </c>
    </row>
    <row r="28603" spans="1:1">
      <c r="A28603" t="inlineStr">
        <is>
          <t>Ubay</t>
        </is>
      </c>
    </row>
    <row r="28604" spans="1:1">
      <c r="A28604" t="inlineStr">
        <is>
          <t>Utod</t>
        </is>
      </c>
    </row>
    <row r="28605" spans="1:1">
      <c r="A28605" t="inlineStr">
        <is>
          <t>Bago</t>
        </is>
      </c>
    </row>
    <row r="28606" spans="1:1">
      <c r="A28606" t="inlineStr">
        <is>
          <t>Bagong Silang</t>
        </is>
      </c>
    </row>
    <row r="28607" spans="1:1">
      <c r="A28607" t="inlineStr">
        <is>
          <t>Bunga</t>
        </is>
      </c>
    </row>
    <row r="28608" spans="1:1">
      <c r="A28608" t="inlineStr">
        <is>
          <t>Igmaya-an</t>
        </is>
      </c>
    </row>
    <row r="28609" spans="1:1">
      <c r="A28609" t="inlineStr">
        <is>
          <t>Kumaliskis</t>
        </is>
      </c>
    </row>
    <row r="28610" spans="1:1">
      <c r="A28610" t="inlineStr">
        <is>
          <t>Pandanon</t>
        </is>
      </c>
    </row>
    <row r="28611" spans="1:1">
      <c r="A28611" t="inlineStr">
        <is>
          <t>Pinowayan</t>
        </is>
      </c>
    </row>
    <row r="28612" spans="1:1">
      <c r="A28612" t="inlineStr">
        <is>
          <t>Bagonawa</t>
        </is>
      </c>
    </row>
    <row r="28613" spans="1:1">
      <c r="A28613" t="inlineStr">
        <is>
          <t>Baliwagan</t>
        </is>
      </c>
    </row>
    <row r="28614" spans="1:1">
      <c r="A28614" t="inlineStr">
        <is>
          <t>Batuan</t>
        </is>
      </c>
    </row>
    <row r="28615" spans="1:1">
      <c r="A28615" t="inlineStr">
        <is>
          <t>Guintorilan</t>
        </is>
      </c>
    </row>
    <row r="28616" spans="1:1">
      <c r="A28616" t="inlineStr">
        <is>
          <t>Nayon</t>
        </is>
      </c>
    </row>
    <row r="28617" spans="1:1">
      <c r="A28617" t="inlineStr">
        <is>
          <t>Poblacion</t>
        </is>
      </c>
    </row>
    <row r="28618" spans="1:1">
      <c r="A28618" t="inlineStr">
        <is>
          <t>Sibucao</t>
        </is>
      </c>
    </row>
    <row r="28619" spans="1:1">
      <c r="A28619" t="inlineStr">
        <is>
          <t>Tabao Baybay</t>
        </is>
      </c>
    </row>
    <row r="28620" spans="1:1">
      <c r="A28620" t="inlineStr">
        <is>
          <t>Tabao Rizal</t>
        </is>
      </c>
    </row>
    <row r="28621" spans="1:1">
      <c r="A28621" t="inlineStr">
        <is>
          <t>Tibsoc</t>
        </is>
      </c>
    </row>
    <row r="28622" spans="1:1">
      <c r="A28622" t="inlineStr">
        <is>
          <t>Bandila</t>
        </is>
      </c>
    </row>
    <row r="28623" spans="1:1">
      <c r="A28623" t="inlineStr">
        <is>
          <t>Bug-ang</t>
        </is>
      </c>
    </row>
    <row r="28624" spans="1:1">
      <c r="A28624" t="inlineStr">
        <is>
          <t>General Luna</t>
        </is>
      </c>
    </row>
    <row r="28625" spans="1:1">
      <c r="A28625" t="inlineStr">
        <is>
          <t>Magticol</t>
        </is>
      </c>
    </row>
    <row r="28626" spans="1:1">
      <c r="A28626" t="inlineStr">
        <is>
          <t>Poblacion</t>
        </is>
      </c>
    </row>
    <row r="28627" spans="1:1">
      <c r="A28627" t="inlineStr">
        <is>
          <t>Salamanca</t>
        </is>
      </c>
    </row>
    <row r="28628" spans="1:1">
      <c r="A28628" t="inlineStr">
        <is>
          <t>San Isidro</t>
        </is>
      </c>
    </row>
    <row r="28629" spans="1:1">
      <c r="A28629" t="inlineStr">
        <is>
          <t>San Jose</t>
        </is>
      </c>
    </row>
    <row r="28630" spans="1:1">
      <c r="A28630" t="inlineStr">
        <is>
          <t>Tabun-ac</t>
        </is>
      </c>
    </row>
    <row r="28631" spans="1:1">
      <c r="A28631" t="inlineStr">
        <is>
          <t>Alijis</t>
        </is>
      </c>
    </row>
    <row r="28632" spans="1:1">
      <c r="A28632" t="inlineStr">
        <is>
          <t>Ayungon</t>
        </is>
      </c>
    </row>
    <row r="28633" spans="1:1">
      <c r="A28633" t="inlineStr">
        <is>
          <t>Bagumbayan</t>
        </is>
      </c>
    </row>
    <row r="28634" spans="1:1">
      <c r="A28634" t="inlineStr">
        <is>
          <t>Batuan</t>
        </is>
      </c>
    </row>
    <row r="28635" spans="1:1">
      <c r="A28635" t="inlineStr">
        <is>
          <t>Bayabas</t>
        </is>
      </c>
    </row>
    <row r="28636" spans="1:1">
      <c r="A28636" t="inlineStr">
        <is>
          <t>Central Tabao</t>
        </is>
      </c>
    </row>
    <row r="28637" spans="1:1">
      <c r="A28637" t="inlineStr">
        <is>
          <t>Doldol</t>
        </is>
      </c>
    </row>
    <row r="28638" spans="1:1">
      <c r="A28638" t="inlineStr">
        <is>
          <t>Guintorilan</t>
        </is>
      </c>
    </row>
    <row r="28639" spans="1:1">
      <c r="A28639" t="inlineStr">
        <is>
          <t>Lacaron</t>
        </is>
      </c>
    </row>
    <row r="28640" spans="1:1">
      <c r="A28640" t="inlineStr">
        <is>
          <t>Mabini</t>
        </is>
      </c>
    </row>
    <row r="28641" spans="1:1">
      <c r="A28641" t="inlineStr">
        <is>
          <t>Pacol</t>
        </is>
      </c>
    </row>
    <row r="28642" spans="1:1">
      <c r="A28642" t="inlineStr">
        <is>
          <t>Palaka</t>
        </is>
      </c>
    </row>
    <row r="28643" spans="1:1">
      <c r="A28643" t="inlineStr">
        <is>
          <t>Paloma</t>
        </is>
      </c>
    </row>
    <row r="28644" spans="1:1">
      <c r="A28644" t="inlineStr">
        <is>
          <t>Poblacion</t>
        </is>
      </c>
    </row>
    <row r="28645" spans="1:1">
      <c r="A28645" t="inlineStr">
        <is>
          <t>Sagua Banua</t>
        </is>
      </c>
    </row>
    <row r="28646" spans="1:1">
      <c r="A28646" t="inlineStr">
        <is>
          <t>Tabao Proper</t>
        </is>
      </c>
    </row>
    <row r="28647" spans="1:1">
      <c r="A28647" t="inlineStr">
        <is>
          <t>Bio-os</t>
        </is>
      </c>
    </row>
    <row r="28648" spans="1:1">
      <c r="A28648" t="inlineStr">
        <is>
          <t>Jantianon</t>
        </is>
      </c>
    </row>
    <row r="28649" spans="1:1">
      <c r="A28649" t="inlineStr">
        <is>
          <t>Jugno</t>
        </is>
      </c>
    </row>
    <row r="28650" spans="1:1">
      <c r="A28650" t="inlineStr">
        <is>
          <t>Mag-abo</t>
        </is>
      </c>
    </row>
    <row r="28651" spans="1:1">
      <c r="A28651" t="inlineStr">
        <is>
          <t>Poblacion</t>
        </is>
      </c>
    </row>
    <row r="28652" spans="1:1">
      <c r="A28652" t="inlineStr">
        <is>
          <t>Silab</t>
        </is>
      </c>
    </row>
    <row r="28653" spans="1:1">
      <c r="A28653" t="inlineStr">
        <is>
          <t>Tambojangin</t>
        </is>
      </c>
    </row>
    <row r="28654" spans="1:1">
      <c r="A28654" t="inlineStr">
        <is>
          <t>Tandayag</t>
        </is>
      </c>
    </row>
    <row r="28655" spans="1:1">
      <c r="A28655" t="inlineStr">
        <is>
          <t>Amdus</t>
        </is>
      </c>
    </row>
    <row r="28656" spans="1:1">
      <c r="A28656" t="inlineStr">
        <is>
          <t>Anibong</t>
        </is>
      </c>
    </row>
    <row r="28657" spans="1:1">
      <c r="A28657" t="inlineStr">
        <is>
          <t>Atabay</t>
        </is>
      </c>
    </row>
    <row r="28658" spans="1:1">
      <c r="A28658" t="inlineStr">
        <is>
          <t>Awa-an</t>
        </is>
      </c>
    </row>
    <row r="28659" spans="1:1">
      <c r="A28659" t="inlineStr">
        <is>
          <t>Ban-ban</t>
        </is>
      </c>
    </row>
    <row r="28660" spans="1:1">
      <c r="A28660" t="inlineStr">
        <is>
          <t>Calagcalag</t>
        </is>
      </c>
    </row>
    <row r="28661" spans="1:1">
      <c r="A28661" t="inlineStr">
        <is>
          <t>Candana-ay</t>
        </is>
      </c>
    </row>
    <row r="28662" spans="1:1">
      <c r="A28662" t="inlineStr">
        <is>
          <t>Carol-an</t>
        </is>
      </c>
    </row>
    <row r="28663" spans="1:1">
      <c r="A28663" t="inlineStr">
        <is>
          <t>Gomentoc</t>
        </is>
      </c>
    </row>
    <row r="28664" spans="1:1">
      <c r="A28664" t="inlineStr">
        <is>
          <t>Inacban</t>
        </is>
      </c>
    </row>
    <row r="28665" spans="1:1">
      <c r="A28665" t="inlineStr">
        <is>
          <t>Iniban</t>
        </is>
      </c>
    </row>
    <row r="28666" spans="1:1">
      <c r="A28666" t="inlineStr">
        <is>
          <t>Jandalamanon</t>
        </is>
      </c>
    </row>
    <row r="28667" spans="1:1">
      <c r="A28667" t="inlineStr">
        <is>
          <t>Kilaban</t>
        </is>
      </c>
    </row>
    <row r="28668" spans="1:1">
      <c r="A28668" t="inlineStr">
        <is>
          <t>Lamigan</t>
        </is>
      </c>
    </row>
    <row r="28669" spans="1:1">
      <c r="A28669" t="inlineStr">
        <is>
          <t>Maaslum</t>
        </is>
      </c>
    </row>
    <row r="28670" spans="1:1">
      <c r="A28670" t="inlineStr">
        <is>
          <t>Mabato</t>
        </is>
      </c>
    </row>
    <row r="28671" spans="1:1">
      <c r="A28671" t="inlineStr">
        <is>
          <t>Manogtong</t>
        </is>
      </c>
    </row>
    <row r="28672" spans="1:1">
      <c r="A28672" t="inlineStr">
        <is>
          <t>Nabhang</t>
        </is>
      </c>
    </row>
    <row r="28673" spans="1:1">
      <c r="A28673" t="inlineStr">
        <is>
          <t>Poblacion</t>
        </is>
      </c>
    </row>
    <row r="28674" spans="1:1">
      <c r="A28674" t="inlineStr">
        <is>
          <t>Tambo</t>
        </is>
      </c>
    </row>
    <row r="28675" spans="1:1">
      <c r="A28675" t="inlineStr">
        <is>
          <t>Tampocon I</t>
        </is>
      </c>
    </row>
    <row r="28676" spans="1:1">
      <c r="A28676" t="inlineStr">
        <is>
          <t>Tampocon II</t>
        </is>
      </c>
    </row>
    <row r="28677" spans="1:1">
      <c r="A28677" t="inlineStr">
        <is>
          <t>Tibyawan</t>
        </is>
      </c>
    </row>
    <row r="28678" spans="1:1">
      <c r="A28678" t="inlineStr">
        <is>
          <t>Tiguib</t>
        </is>
      </c>
    </row>
    <row r="28679" spans="1:1">
      <c r="A28679" t="inlineStr">
        <is>
          <t>Balayagmanok</t>
        </is>
      </c>
    </row>
    <row r="28680" spans="1:1">
      <c r="A28680" t="inlineStr">
        <is>
          <t>Banilad</t>
        </is>
      </c>
    </row>
    <row r="28681" spans="1:1">
      <c r="A28681" t="inlineStr">
        <is>
          <t>Buntis</t>
        </is>
      </c>
    </row>
    <row r="28682" spans="1:1">
      <c r="A28682" t="inlineStr">
        <is>
          <t>Buntod</t>
        </is>
      </c>
    </row>
    <row r="28683" spans="1:1">
      <c r="A28683" t="inlineStr">
        <is>
          <t>Calangag</t>
        </is>
      </c>
    </row>
    <row r="28684" spans="1:1">
      <c r="A28684" t="inlineStr">
        <is>
          <t>Combado</t>
        </is>
      </c>
    </row>
    <row r="28685" spans="1:1">
      <c r="A28685" t="inlineStr">
        <is>
          <t>Doldol</t>
        </is>
      </c>
    </row>
    <row r="28686" spans="1:1">
      <c r="A28686" t="inlineStr">
        <is>
          <t>Isugan</t>
        </is>
      </c>
    </row>
    <row r="28687" spans="1:1">
      <c r="A28687" t="inlineStr">
        <is>
          <t>Liptong</t>
        </is>
      </c>
    </row>
    <row r="28688" spans="1:1">
      <c r="A28688" t="inlineStr">
        <is>
          <t>Lutao</t>
        </is>
      </c>
    </row>
    <row r="28689" spans="1:1">
      <c r="A28689" t="inlineStr">
        <is>
          <t>Magsuhot</t>
        </is>
      </c>
    </row>
    <row r="28690" spans="1:1">
      <c r="A28690" t="inlineStr">
        <is>
          <t>Malabago</t>
        </is>
      </c>
    </row>
    <row r="28691" spans="1:1">
      <c r="A28691" t="inlineStr">
        <is>
          <t>Mampas</t>
        </is>
      </c>
    </row>
    <row r="28692" spans="1:1">
      <c r="A28692" t="inlineStr">
        <is>
          <t>North Poblacion</t>
        </is>
      </c>
    </row>
    <row r="28693" spans="1:1">
      <c r="A28693" t="inlineStr">
        <is>
          <t>Sacsac</t>
        </is>
      </c>
    </row>
    <row r="28694" spans="1:1">
      <c r="A28694" t="inlineStr">
        <is>
          <t>San Miguel</t>
        </is>
      </c>
    </row>
    <row r="28695" spans="1:1">
      <c r="A28695" t="inlineStr">
        <is>
          <t>South Poblacion</t>
        </is>
      </c>
    </row>
    <row r="28696" spans="1:1">
      <c r="A28696" t="inlineStr">
        <is>
          <t>Sulodpan</t>
        </is>
      </c>
    </row>
    <row r="28697" spans="1:1">
      <c r="A28697" t="inlineStr">
        <is>
          <t>Timbanga</t>
        </is>
      </c>
    </row>
    <row r="28698" spans="1:1">
      <c r="A28698" t="inlineStr">
        <is>
          <t>Timbao</t>
        </is>
      </c>
    </row>
    <row r="28699" spans="1:1">
      <c r="A28699" t="inlineStr">
        <is>
          <t>Tubod</t>
        </is>
      </c>
    </row>
    <row r="28700" spans="1:1">
      <c r="A28700" t="inlineStr">
        <is>
          <t>West Poblacion</t>
        </is>
      </c>
    </row>
    <row r="28701" spans="1:1">
      <c r="A28701" t="inlineStr">
        <is>
          <t>Actin</t>
        </is>
      </c>
    </row>
    <row r="28702" spans="1:1">
      <c r="A28702" t="inlineStr">
        <is>
          <t>Bal-os</t>
        </is>
      </c>
    </row>
    <row r="28703" spans="1:1">
      <c r="A28703" t="inlineStr">
        <is>
          <t>Bongalonan</t>
        </is>
      </c>
    </row>
    <row r="28704" spans="1:1">
      <c r="A28704" t="inlineStr">
        <is>
          <t>Cabalayongan</t>
        </is>
      </c>
    </row>
    <row r="28705" spans="1:1">
      <c r="A28705" t="inlineStr">
        <is>
          <t>Cabatuanan</t>
        </is>
      </c>
    </row>
    <row r="28706" spans="1:1">
      <c r="A28706" t="inlineStr">
        <is>
          <t>Linantayan</t>
        </is>
      </c>
    </row>
    <row r="28707" spans="1:1">
      <c r="A28707" t="inlineStr">
        <is>
          <t>Maglinao</t>
        </is>
      </c>
    </row>
    <row r="28708" spans="1:1">
      <c r="A28708" t="inlineStr">
        <is>
          <t>Nagbo-alao</t>
        </is>
      </c>
    </row>
    <row r="28709" spans="1:1">
      <c r="A28709" t="inlineStr">
        <is>
          <t>Olandao</t>
        </is>
      </c>
    </row>
    <row r="28710" spans="1:1">
      <c r="A28710" t="inlineStr">
        <is>
          <t>Poblacion</t>
        </is>
      </c>
    </row>
    <row r="28711" spans="1:1">
      <c r="A28711" t="inlineStr">
        <is>
          <t>Atotes</t>
        </is>
      </c>
    </row>
    <row r="28712" spans="1:1">
      <c r="A28712" t="inlineStr">
        <is>
          <t>Batangan</t>
        </is>
      </c>
    </row>
    <row r="28713" spans="1:1">
      <c r="A28713" t="inlineStr">
        <is>
          <t>Bulod</t>
        </is>
      </c>
    </row>
    <row r="28714" spans="1:1">
      <c r="A28714" t="inlineStr">
        <is>
          <t>Cabcaban</t>
        </is>
      </c>
    </row>
    <row r="28715" spans="1:1">
      <c r="A28715" t="inlineStr">
        <is>
          <t>Cabugan</t>
        </is>
      </c>
    </row>
    <row r="28716" spans="1:1">
      <c r="A28716" t="inlineStr">
        <is>
          <t>Camudlas</t>
        </is>
      </c>
    </row>
    <row r="28717" spans="1:1">
      <c r="A28717" t="inlineStr">
        <is>
          <t>Canluto</t>
        </is>
      </c>
    </row>
    <row r="28718" spans="1:1">
      <c r="A28718" t="inlineStr">
        <is>
          <t>Danao</t>
        </is>
      </c>
    </row>
    <row r="28719" spans="1:1">
      <c r="A28719" t="inlineStr">
        <is>
          <t>Danawan</t>
        </is>
      </c>
    </row>
    <row r="28720" spans="1:1">
      <c r="A28720" t="inlineStr">
        <is>
          <t>Domolog</t>
        </is>
      </c>
    </row>
    <row r="28721" spans="1:1">
      <c r="A28721" t="inlineStr">
        <is>
          <t>Malaga</t>
        </is>
      </c>
    </row>
    <row r="28722" spans="1:1">
      <c r="A28722" t="inlineStr">
        <is>
          <t>Manseje</t>
        </is>
      </c>
    </row>
    <row r="28723" spans="1:1">
      <c r="A28723" t="inlineStr">
        <is>
          <t>Matobato</t>
        </is>
      </c>
    </row>
    <row r="28724" spans="1:1">
      <c r="A28724" t="inlineStr">
        <is>
          <t>Nagcasunog</t>
        </is>
      </c>
    </row>
    <row r="28725" spans="1:1">
      <c r="A28725" t="inlineStr">
        <is>
          <t>Nalundan</t>
        </is>
      </c>
    </row>
    <row r="28726" spans="1:1">
      <c r="A28726" t="inlineStr">
        <is>
          <t>Pangalaycayan</t>
        </is>
      </c>
    </row>
    <row r="28727" spans="1:1">
      <c r="A28727" t="inlineStr">
        <is>
          <t>Peñahan</t>
        </is>
      </c>
    </row>
    <row r="28728" spans="1:1">
      <c r="A28728" t="inlineStr">
        <is>
          <t>Poblacion</t>
        </is>
      </c>
    </row>
    <row r="28729" spans="1:1">
      <c r="A28729" t="inlineStr">
        <is>
          <t>Salong</t>
        </is>
      </c>
    </row>
    <row r="28730" spans="1:1">
      <c r="A28730" t="inlineStr">
        <is>
          <t>Tagaytay</t>
        </is>
      </c>
    </row>
    <row r="28731" spans="1:1">
      <c r="A28731" t="inlineStr">
        <is>
          <t>Tinaogan</t>
        </is>
      </c>
    </row>
    <row r="28732" spans="1:1">
      <c r="A28732" t="inlineStr">
        <is>
          <t>Tubod</t>
        </is>
      </c>
    </row>
    <row r="28733" spans="1:1">
      <c r="A28733" t="inlineStr">
        <is>
          <t>Barangay I</t>
        </is>
      </c>
    </row>
    <row r="28734" spans="1:1">
      <c r="A28734" t="inlineStr">
        <is>
          <t>Barangay II</t>
        </is>
      </c>
    </row>
    <row r="28735" spans="1:1">
      <c r="A28735" t="inlineStr">
        <is>
          <t>Basak</t>
        </is>
      </c>
    </row>
    <row r="28736" spans="1:1">
      <c r="A28736" t="inlineStr">
        <is>
          <t>Biñohon</t>
        </is>
      </c>
    </row>
    <row r="28737" spans="1:1">
      <c r="A28737" t="inlineStr">
        <is>
          <t>Cabanlutan</t>
        </is>
      </c>
    </row>
    <row r="28738" spans="1:1">
      <c r="A28738" t="inlineStr">
        <is>
          <t>Calasga-an</t>
        </is>
      </c>
    </row>
    <row r="28739" spans="1:1">
      <c r="A28739" t="inlineStr">
        <is>
          <t>Cambagahan</t>
        </is>
      </c>
    </row>
    <row r="28740" spans="1:1">
      <c r="A28740" t="inlineStr">
        <is>
          <t>Cambaguio</t>
        </is>
      </c>
    </row>
    <row r="28741" spans="1:1">
      <c r="A28741" t="inlineStr">
        <is>
          <t>Cambanjao</t>
        </is>
      </c>
    </row>
    <row r="28742" spans="1:1">
      <c r="A28742" t="inlineStr">
        <is>
          <t>Cambuilao</t>
        </is>
      </c>
    </row>
    <row r="28743" spans="1:1">
      <c r="A28743" t="inlineStr">
        <is>
          <t>Canlargo</t>
        </is>
      </c>
    </row>
    <row r="28744" spans="1:1">
      <c r="A28744" t="inlineStr">
        <is>
          <t>Capiñahan</t>
        </is>
      </c>
    </row>
    <row r="28745" spans="1:1">
      <c r="A28745" t="inlineStr">
        <is>
          <t>Consolacion</t>
        </is>
      </c>
    </row>
    <row r="28746" spans="1:1">
      <c r="A28746" t="inlineStr">
        <is>
          <t>Dansulan</t>
        </is>
      </c>
    </row>
    <row r="28747" spans="1:1">
      <c r="A28747" t="inlineStr">
        <is>
          <t>Hangyad</t>
        </is>
      </c>
    </row>
    <row r="28748" spans="1:1">
      <c r="A28748" t="inlineStr">
        <is>
          <t>Katacgahan</t>
        </is>
      </c>
    </row>
    <row r="28749" spans="1:1">
      <c r="A28749" t="inlineStr">
        <is>
          <t>La Paz</t>
        </is>
      </c>
    </row>
    <row r="28750" spans="1:1">
      <c r="A28750" t="inlineStr">
        <is>
          <t>Lo-oc</t>
        </is>
      </c>
    </row>
    <row r="28751" spans="1:1">
      <c r="A28751" t="inlineStr">
        <is>
          <t>Lonoy</t>
        </is>
      </c>
    </row>
    <row r="28752" spans="1:1">
      <c r="A28752" t="inlineStr">
        <is>
          <t>Mabunao</t>
        </is>
      </c>
    </row>
    <row r="28753" spans="1:1">
      <c r="A28753" t="inlineStr">
        <is>
          <t>Manlipac</t>
        </is>
      </c>
    </row>
    <row r="28754" spans="1:1">
      <c r="A28754" t="inlineStr">
        <is>
          <t>Mansangaban</t>
        </is>
      </c>
    </row>
    <row r="28755" spans="1:1">
      <c r="A28755" t="inlineStr">
        <is>
          <t>Okiot</t>
        </is>
      </c>
    </row>
    <row r="28756" spans="1:1">
      <c r="A28756" t="inlineStr">
        <is>
          <t>Olympia</t>
        </is>
      </c>
    </row>
    <row r="28757" spans="1:1">
      <c r="A28757" t="inlineStr">
        <is>
          <t>Panala-an</t>
        </is>
      </c>
    </row>
    <row r="28758" spans="1:1">
      <c r="A28758" t="inlineStr">
        <is>
          <t>Panam-angan</t>
        </is>
      </c>
    </row>
    <row r="28759" spans="1:1">
      <c r="A28759" t="inlineStr">
        <is>
          <t>Rosario</t>
        </is>
      </c>
    </row>
    <row r="28760" spans="1:1">
      <c r="A28760" t="inlineStr">
        <is>
          <t>Sab-ahan</t>
        </is>
      </c>
    </row>
    <row r="28761" spans="1:1">
      <c r="A28761" t="inlineStr">
        <is>
          <t>San Isidro</t>
        </is>
      </c>
    </row>
    <row r="28762" spans="1:1">
      <c r="A28762" t="inlineStr">
        <is>
          <t>Tagpo</t>
        </is>
      </c>
    </row>
    <row r="28763" spans="1:1">
      <c r="A28763" t="inlineStr">
        <is>
          <t>Talungon</t>
        </is>
      </c>
    </row>
    <row r="28764" spans="1:1">
      <c r="A28764" t="inlineStr">
        <is>
          <t>Tamisu</t>
        </is>
      </c>
    </row>
    <row r="28765" spans="1:1">
      <c r="A28765" t="inlineStr">
        <is>
          <t>Tamogong</t>
        </is>
      </c>
    </row>
    <row r="28766" spans="1:1">
      <c r="A28766" t="inlineStr">
        <is>
          <t>Tangculogan</t>
        </is>
      </c>
    </row>
    <row r="28767" spans="1:1">
      <c r="A28767" t="inlineStr">
        <is>
          <t>Valencia</t>
        </is>
      </c>
    </row>
    <row r="28768" spans="1:1">
      <c r="A28768" t="inlineStr">
        <is>
          <t>Ali-is</t>
        </is>
      </c>
    </row>
    <row r="28769" spans="1:1">
      <c r="A28769" t="inlineStr">
        <is>
          <t>Banaybanay</t>
        </is>
      </c>
    </row>
    <row r="28770" spans="1:1">
      <c r="A28770" t="inlineStr">
        <is>
          <t>Banga</t>
        </is>
      </c>
    </row>
    <row r="28771" spans="1:1">
      <c r="A28771" t="inlineStr">
        <is>
          <t>Boyco</t>
        </is>
      </c>
    </row>
    <row r="28772" spans="1:1">
      <c r="A28772" t="inlineStr">
        <is>
          <t>Bugay</t>
        </is>
      </c>
    </row>
    <row r="28773" spans="1:1">
      <c r="A28773" t="inlineStr">
        <is>
          <t>Cansumalig</t>
        </is>
      </c>
    </row>
    <row r="28774" spans="1:1">
      <c r="A28774" t="inlineStr">
        <is>
          <t>Dawis</t>
        </is>
      </c>
    </row>
    <row r="28775" spans="1:1">
      <c r="A28775" t="inlineStr">
        <is>
          <t>Kalamtukan</t>
        </is>
      </c>
    </row>
    <row r="28776" spans="1:1">
      <c r="A28776" t="inlineStr">
        <is>
          <t>Kalumboyan</t>
        </is>
      </c>
    </row>
    <row r="28777" spans="1:1">
      <c r="A28777" t="inlineStr">
        <is>
          <t>Malabugas</t>
        </is>
      </c>
    </row>
    <row r="28778" spans="1:1">
      <c r="A28778" t="inlineStr">
        <is>
          <t>Mandu-ao</t>
        </is>
      </c>
    </row>
    <row r="28779" spans="1:1">
      <c r="A28779" t="inlineStr">
        <is>
          <t>Maninihon</t>
        </is>
      </c>
    </row>
    <row r="28780" spans="1:1">
      <c r="A28780" t="inlineStr">
        <is>
          <t>Minaba</t>
        </is>
      </c>
    </row>
    <row r="28781" spans="1:1">
      <c r="A28781" t="inlineStr">
        <is>
          <t>Nangka</t>
        </is>
      </c>
    </row>
    <row r="28782" spans="1:1">
      <c r="A28782" t="inlineStr">
        <is>
          <t>Narra</t>
        </is>
      </c>
    </row>
    <row r="28783" spans="1:1">
      <c r="A28783" t="inlineStr">
        <is>
          <t>Pagatban</t>
        </is>
      </c>
    </row>
    <row r="28784" spans="1:1">
      <c r="A28784" t="inlineStr">
        <is>
          <t>Poblacion</t>
        </is>
      </c>
    </row>
    <row r="28785" spans="1:1">
      <c r="A28785" t="inlineStr">
        <is>
          <t>San Isidro</t>
        </is>
      </c>
    </row>
    <row r="28786" spans="1:1">
      <c r="A28786" t="inlineStr">
        <is>
          <t>San Jose</t>
        </is>
      </c>
    </row>
    <row r="28787" spans="1:1">
      <c r="A28787" t="inlineStr">
        <is>
          <t>San Miguel</t>
        </is>
      </c>
    </row>
    <row r="28788" spans="1:1">
      <c r="A28788" t="inlineStr">
        <is>
          <t>San Roque</t>
        </is>
      </c>
    </row>
    <row r="28789" spans="1:1">
      <c r="A28789" t="inlineStr">
        <is>
          <t>Suba</t>
        </is>
      </c>
    </row>
    <row r="28790" spans="1:1">
      <c r="A28790" t="inlineStr">
        <is>
          <t>Tabuan</t>
        </is>
      </c>
    </row>
    <row r="28791" spans="1:1">
      <c r="A28791" t="inlineStr">
        <is>
          <t>Tayawan</t>
        </is>
      </c>
    </row>
    <row r="28792" spans="1:1">
      <c r="A28792" t="inlineStr">
        <is>
          <t>Tinago</t>
        </is>
      </c>
    </row>
    <row r="28793" spans="1:1">
      <c r="A28793" t="inlineStr">
        <is>
          <t>Ubos</t>
        </is>
      </c>
    </row>
    <row r="28794" spans="1:1">
      <c r="A28794" t="inlineStr">
        <is>
          <t>Villareal</t>
        </is>
      </c>
    </row>
    <row r="28795" spans="1:1">
      <c r="A28795" t="inlineStr">
        <is>
          <t>Villasol</t>
        </is>
      </c>
    </row>
    <row r="28796" spans="1:1">
      <c r="A28796" t="inlineStr">
        <is>
          <t>Bayog</t>
        </is>
      </c>
    </row>
    <row r="28797" spans="1:1">
      <c r="A28797" t="inlineStr">
        <is>
          <t>Binalbagan</t>
        </is>
      </c>
    </row>
    <row r="28798" spans="1:1">
      <c r="A28798" t="inlineStr">
        <is>
          <t>Bucalan</t>
        </is>
      </c>
    </row>
    <row r="28799" spans="1:1">
      <c r="A28799" t="inlineStr">
        <is>
          <t>Budlasan</t>
        </is>
      </c>
    </row>
    <row r="28800" spans="1:1">
      <c r="A28800" t="inlineStr">
        <is>
          <t>Linothangan</t>
        </is>
      </c>
    </row>
    <row r="28801" spans="1:1">
      <c r="A28801" t="inlineStr">
        <is>
          <t>Lumapao</t>
        </is>
      </c>
    </row>
    <row r="28802" spans="1:1">
      <c r="A28802" t="inlineStr">
        <is>
          <t>Mabigo</t>
        </is>
      </c>
    </row>
    <row r="28803" spans="1:1">
      <c r="A28803" t="inlineStr">
        <is>
          <t>Malaiba</t>
        </is>
      </c>
    </row>
    <row r="28804" spans="1:1">
      <c r="A28804" t="inlineStr">
        <is>
          <t>Masulog</t>
        </is>
      </c>
    </row>
    <row r="28805" spans="1:1">
      <c r="A28805" t="inlineStr">
        <is>
          <t>Ninoy Aquino</t>
        </is>
      </c>
    </row>
    <row r="28806" spans="1:1">
      <c r="A28806" t="inlineStr">
        <is>
          <t>Panubigan</t>
        </is>
      </c>
    </row>
    <row r="28807" spans="1:1">
      <c r="A28807" t="inlineStr">
        <is>
          <t>Pula</t>
        </is>
      </c>
    </row>
    <row r="28808" spans="1:1">
      <c r="A28808" t="inlineStr">
        <is>
          <t>Bagacay</t>
        </is>
      </c>
    </row>
    <row r="28809" spans="1:1">
      <c r="A28809" t="inlineStr">
        <is>
          <t>Bajumpandan</t>
        </is>
      </c>
    </row>
    <row r="28810" spans="1:1">
      <c r="A28810" t="inlineStr">
        <is>
          <t>Balugo</t>
        </is>
      </c>
    </row>
    <row r="28811" spans="1:1">
      <c r="A28811" t="inlineStr">
        <is>
          <t>Banilad</t>
        </is>
      </c>
    </row>
    <row r="28812" spans="1:1">
      <c r="A28812" t="inlineStr">
        <is>
          <t>Bantayan</t>
        </is>
      </c>
    </row>
    <row r="28813" spans="1:1">
      <c r="A28813" t="inlineStr">
        <is>
          <t>Batinguel</t>
        </is>
      </c>
    </row>
    <row r="28814" spans="1:1">
      <c r="A28814" t="inlineStr">
        <is>
          <t>Bunao</t>
        </is>
      </c>
    </row>
    <row r="28815" spans="1:1">
      <c r="A28815" t="inlineStr">
        <is>
          <t>Cadawinonan</t>
        </is>
      </c>
    </row>
    <row r="28816" spans="1:1">
      <c r="A28816" t="inlineStr">
        <is>
          <t>Calindagan</t>
        </is>
      </c>
    </row>
    <row r="28817" spans="1:1">
      <c r="A28817" t="inlineStr">
        <is>
          <t>Camanjac</t>
        </is>
      </c>
    </row>
    <row r="28818" spans="1:1">
      <c r="A28818" t="inlineStr">
        <is>
          <t>Candau-ay</t>
        </is>
      </c>
    </row>
    <row r="28819" spans="1:1">
      <c r="A28819" t="inlineStr">
        <is>
          <t>Cantil-e</t>
        </is>
      </c>
    </row>
    <row r="28820" spans="1:1">
      <c r="A28820" t="inlineStr">
        <is>
          <t>Daro</t>
        </is>
      </c>
    </row>
    <row r="28821" spans="1:1">
      <c r="A28821" t="inlineStr">
        <is>
          <t>Junob</t>
        </is>
      </c>
    </row>
    <row r="28822" spans="1:1">
      <c r="A28822" t="inlineStr">
        <is>
          <t>Looc</t>
        </is>
      </c>
    </row>
    <row r="28823" spans="1:1">
      <c r="A28823" t="inlineStr">
        <is>
          <t>Mangnao-Canal</t>
        </is>
      </c>
    </row>
    <row r="28824" spans="1:1">
      <c r="A28824" t="inlineStr">
        <is>
          <t>Motong</t>
        </is>
      </c>
    </row>
    <row r="28825" spans="1:1">
      <c r="A28825" t="inlineStr">
        <is>
          <t>Piapi</t>
        </is>
      </c>
    </row>
    <row r="28826" spans="1:1">
      <c r="A28826" t="inlineStr">
        <is>
          <t>Poblacion No. 1</t>
        </is>
      </c>
    </row>
    <row r="28827" spans="1:1">
      <c r="A28827" t="inlineStr">
        <is>
          <t>Poblacion No. 2</t>
        </is>
      </c>
    </row>
    <row r="28828" spans="1:1">
      <c r="A28828" t="inlineStr">
        <is>
          <t>Poblacion No. 3</t>
        </is>
      </c>
    </row>
    <row r="28829" spans="1:1">
      <c r="A28829" t="inlineStr">
        <is>
          <t>Poblacion No. 4</t>
        </is>
      </c>
    </row>
    <row r="28830" spans="1:1">
      <c r="A28830" t="inlineStr">
        <is>
          <t>Poblacion No. 5</t>
        </is>
      </c>
    </row>
    <row r="28831" spans="1:1">
      <c r="A28831" t="inlineStr">
        <is>
          <t>Poblacion No. 6</t>
        </is>
      </c>
    </row>
    <row r="28832" spans="1:1">
      <c r="A28832" t="inlineStr">
        <is>
          <t>Poblacion No. 7</t>
        </is>
      </c>
    </row>
    <row r="28833" spans="1:1">
      <c r="A28833" t="inlineStr">
        <is>
          <t>Poblacion No. 8</t>
        </is>
      </c>
    </row>
    <row r="28834" spans="1:1">
      <c r="A28834" t="inlineStr">
        <is>
          <t>Pulantubig</t>
        </is>
      </c>
    </row>
    <row r="28835" spans="1:1">
      <c r="A28835" t="inlineStr">
        <is>
          <t>Tabuctubig</t>
        </is>
      </c>
    </row>
    <row r="28836" spans="1:1">
      <c r="A28836" t="inlineStr">
        <is>
          <t>Taclobo</t>
        </is>
      </c>
    </row>
    <row r="28837" spans="1:1">
      <c r="A28837" t="inlineStr">
        <is>
          <t>Talay</t>
        </is>
      </c>
    </row>
    <row r="28838" spans="1:1">
      <c r="A28838" t="inlineStr">
        <is>
          <t>Bakid</t>
        </is>
      </c>
    </row>
    <row r="28839" spans="1:1">
      <c r="A28839" t="inlineStr">
        <is>
          <t>Balogo</t>
        </is>
      </c>
    </row>
    <row r="28840" spans="1:1">
      <c r="A28840" t="inlineStr">
        <is>
          <t>Banwaque</t>
        </is>
      </c>
    </row>
    <row r="28841" spans="1:1">
      <c r="A28841" t="inlineStr">
        <is>
          <t>Basak</t>
        </is>
      </c>
    </row>
    <row r="28842" spans="1:1">
      <c r="A28842" t="inlineStr">
        <is>
          <t>Binobohan</t>
        </is>
      </c>
    </row>
    <row r="28843" spans="1:1">
      <c r="A28843" t="inlineStr">
        <is>
          <t>Buenavista</t>
        </is>
      </c>
    </row>
    <row r="28844" spans="1:1">
      <c r="A28844" t="inlineStr">
        <is>
          <t>Bulado</t>
        </is>
      </c>
    </row>
    <row r="28845" spans="1:1">
      <c r="A28845" t="inlineStr">
        <is>
          <t>Calamba</t>
        </is>
      </c>
    </row>
    <row r="28846" spans="1:1">
      <c r="A28846" t="inlineStr">
        <is>
          <t>Calupa-an</t>
        </is>
      </c>
    </row>
    <row r="28847" spans="1:1">
      <c r="A28847" t="inlineStr">
        <is>
          <t>Hibaiyo</t>
        </is>
      </c>
    </row>
    <row r="28848" spans="1:1">
      <c r="A28848" t="inlineStr">
        <is>
          <t>Hilaitan</t>
        </is>
      </c>
    </row>
    <row r="28849" spans="1:1">
      <c r="A28849" t="inlineStr">
        <is>
          <t>Hinakpan</t>
        </is>
      </c>
    </row>
    <row r="28850" spans="1:1">
      <c r="A28850" t="inlineStr">
        <is>
          <t>Humayhumay</t>
        </is>
      </c>
    </row>
    <row r="28851" spans="1:1">
      <c r="A28851" t="inlineStr">
        <is>
          <t>Imelda</t>
        </is>
      </c>
    </row>
    <row r="28852" spans="1:1">
      <c r="A28852" t="inlineStr">
        <is>
          <t>Kagawasan</t>
        </is>
      </c>
    </row>
    <row r="28853" spans="1:1">
      <c r="A28853" t="inlineStr">
        <is>
          <t>Linantuyan</t>
        </is>
      </c>
    </row>
    <row r="28854" spans="1:1">
      <c r="A28854" t="inlineStr">
        <is>
          <t>Luz</t>
        </is>
      </c>
    </row>
    <row r="28855" spans="1:1">
      <c r="A28855" t="inlineStr">
        <is>
          <t>Mabunga</t>
        </is>
      </c>
    </row>
    <row r="28856" spans="1:1">
      <c r="A28856" t="inlineStr">
        <is>
          <t>Magsaysay</t>
        </is>
      </c>
    </row>
    <row r="28857" spans="1:1">
      <c r="A28857" t="inlineStr">
        <is>
          <t>Malusay</t>
        </is>
      </c>
    </row>
    <row r="28858" spans="1:1">
      <c r="A28858" t="inlineStr">
        <is>
          <t>Maniak</t>
        </is>
      </c>
    </row>
    <row r="28859" spans="1:1">
      <c r="A28859" t="inlineStr">
        <is>
          <t>Mckinley</t>
        </is>
      </c>
    </row>
    <row r="28860" spans="1:1">
      <c r="A28860" t="inlineStr">
        <is>
          <t>Nagsaha</t>
        </is>
      </c>
    </row>
    <row r="28861" spans="1:1">
      <c r="A28861" t="inlineStr">
        <is>
          <t>Padre Zamora</t>
        </is>
      </c>
    </row>
    <row r="28862" spans="1:1">
      <c r="A28862" t="inlineStr">
        <is>
          <t>Plagatasanon</t>
        </is>
      </c>
    </row>
    <row r="28863" spans="1:1">
      <c r="A28863" t="inlineStr">
        <is>
          <t>Planas</t>
        </is>
      </c>
    </row>
    <row r="28864" spans="1:1">
      <c r="A28864" t="inlineStr">
        <is>
          <t>Poblacion</t>
        </is>
      </c>
    </row>
    <row r="28865" spans="1:1">
      <c r="A28865" t="inlineStr">
        <is>
          <t>Sandayao</t>
        </is>
      </c>
    </row>
    <row r="28866" spans="1:1">
      <c r="A28866" t="inlineStr">
        <is>
          <t>Tacpao</t>
        </is>
      </c>
    </row>
    <row r="28867" spans="1:1">
      <c r="A28867" t="inlineStr">
        <is>
          <t>Tinayunan Beach</t>
        </is>
      </c>
    </row>
    <row r="28868" spans="1:1">
      <c r="A28868" t="inlineStr">
        <is>
          <t>Tinayunan Hill</t>
        </is>
      </c>
    </row>
    <row r="28869" spans="1:1">
      <c r="A28869" t="inlineStr">
        <is>
          <t>Trinidad</t>
        </is>
      </c>
    </row>
    <row r="28870" spans="1:1">
      <c r="A28870" t="inlineStr">
        <is>
          <t>Villegas</t>
        </is>
      </c>
    </row>
    <row r="28871" spans="1:1">
      <c r="A28871" t="inlineStr">
        <is>
          <t>Azagra</t>
        </is>
      </c>
    </row>
    <row r="28872" spans="1:1">
      <c r="A28872" t="inlineStr">
        <is>
          <t>Bahi-an</t>
        </is>
      </c>
    </row>
    <row r="28873" spans="1:1">
      <c r="A28873" t="inlineStr">
        <is>
          <t>Luca</t>
        </is>
      </c>
    </row>
    <row r="28874" spans="1:1">
      <c r="A28874" t="inlineStr">
        <is>
          <t>Manipis</t>
        </is>
      </c>
    </row>
    <row r="28875" spans="1:1">
      <c r="A28875" t="inlineStr">
        <is>
          <t>Novallas</t>
        </is>
      </c>
    </row>
    <row r="28876" spans="1:1">
      <c r="A28876" t="inlineStr">
        <is>
          <t>Obogon</t>
        </is>
      </c>
    </row>
    <row r="28877" spans="1:1">
      <c r="A28877" t="inlineStr">
        <is>
          <t>Pal-ew</t>
        </is>
      </c>
    </row>
    <row r="28878" spans="1:1">
      <c r="A28878" t="inlineStr">
        <is>
          <t>Poblacion I</t>
        </is>
      </c>
    </row>
    <row r="28879" spans="1:1">
      <c r="A28879" t="inlineStr">
        <is>
          <t>Poblacion II</t>
        </is>
      </c>
    </row>
    <row r="28880" spans="1:1">
      <c r="A28880" t="inlineStr">
        <is>
          <t>Poblacion III</t>
        </is>
      </c>
    </row>
    <row r="28881" spans="1:1">
      <c r="A28881" t="inlineStr">
        <is>
          <t>Poblacion IV</t>
        </is>
      </c>
    </row>
    <row r="28882" spans="1:1">
      <c r="A28882" t="inlineStr">
        <is>
          <t>Poblacion IX</t>
        </is>
      </c>
    </row>
    <row r="28883" spans="1:1">
      <c r="A28883" t="inlineStr">
        <is>
          <t>Poblacion V</t>
        </is>
      </c>
    </row>
    <row r="28884" spans="1:1">
      <c r="A28884" t="inlineStr">
        <is>
          <t>Poblacion VI</t>
        </is>
      </c>
    </row>
    <row r="28885" spans="1:1">
      <c r="A28885" t="inlineStr">
        <is>
          <t>Poblacion VII</t>
        </is>
      </c>
    </row>
    <row r="28886" spans="1:1">
      <c r="A28886" t="inlineStr">
        <is>
          <t>Poblacion VIII</t>
        </is>
      </c>
    </row>
    <row r="28887" spans="1:1">
      <c r="A28887" t="inlineStr">
        <is>
          <t>Polo</t>
        </is>
      </c>
    </row>
    <row r="28888" spans="1:1">
      <c r="A28888" t="inlineStr">
        <is>
          <t>San Isidro</t>
        </is>
      </c>
    </row>
    <row r="28889" spans="1:1">
      <c r="A28889" t="inlineStr">
        <is>
          <t>San Jose</t>
        </is>
      </c>
    </row>
    <row r="28890" spans="1:1">
      <c r="A28890" t="inlineStr">
        <is>
          <t>San Miguel</t>
        </is>
      </c>
    </row>
    <row r="28891" spans="1:1">
      <c r="A28891" t="inlineStr">
        <is>
          <t>Santa Cruz Nuevo</t>
        </is>
      </c>
    </row>
    <row r="28892" spans="1:1">
      <c r="A28892" t="inlineStr">
        <is>
          <t>Santa Cruz Viejo</t>
        </is>
      </c>
    </row>
    <row r="28893" spans="1:1">
      <c r="A28893" t="inlineStr">
        <is>
          <t>Santo Niño</t>
        </is>
      </c>
    </row>
    <row r="28894" spans="1:1">
      <c r="A28894" t="inlineStr">
        <is>
          <t>Tugas</t>
        </is>
      </c>
    </row>
    <row r="28895" spans="1:1">
      <c r="A28895" t="inlineStr">
        <is>
          <t>Anhawan</t>
        </is>
      </c>
    </row>
    <row r="28896" spans="1:1">
      <c r="A28896" t="inlineStr">
        <is>
          <t>Apo Island</t>
        </is>
      </c>
    </row>
    <row r="28897" spans="1:1">
      <c r="A28897" t="inlineStr">
        <is>
          <t>Bagacay</t>
        </is>
      </c>
    </row>
    <row r="28898" spans="1:1">
      <c r="A28898" t="inlineStr">
        <is>
          <t>Baslay</t>
        </is>
      </c>
    </row>
    <row r="28899" spans="1:1">
      <c r="A28899" t="inlineStr">
        <is>
          <t>Batuhon Dacu</t>
        </is>
      </c>
    </row>
    <row r="28900" spans="1:1">
      <c r="A28900" t="inlineStr">
        <is>
          <t>Boloc-boloc</t>
        </is>
      </c>
    </row>
    <row r="28901" spans="1:1">
      <c r="A28901" t="inlineStr">
        <is>
          <t>Bulak</t>
        </is>
      </c>
    </row>
    <row r="28902" spans="1:1">
      <c r="A28902" t="inlineStr">
        <is>
          <t>Bunga</t>
        </is>
      </c>
    </row>
    <row r="28903" spans="1:1">
      <c r="A28903" t="inlineStr">
        <is>
          <t>Casile</t>
        </is>
      </c>
    </row>
    <row r="28904" spans="1:1">
      <c r="A28904" t="inlineStr">
        <is>
          <t>Libjo</t>
        </is>
      </c>
    </row>
    <row r="28905" spans="1:1">
      <c r="A28905" t="inlineStr">
        <is>
          <t>Lipayo</t>
        </is>
      </c>
    </row>
    <row r="28906" spans="1:1">
      <c r="A28906" t="inlineStr">
        <is>
          <t>Maayongtubig</t>
        </is>
      </c>
    </row>
    <row r="28907" spans="1:1">
      <c r="A28907" t="inlineStr">
        <is>
          <t>Mag-aso</t>
        </is>
      </c>
    </row>
    <row r="28908" spans="1:1">
      <c r="A28908" t="inlineStr">
        <is>
          <t>Magsaysay</t>
        </is>
      </c>
    </row>
    <row r="28909" spans="1:1">
      <c r="A28909" t="inlineStr">
        <is>
          <t>Malongcay Dacu</t>
        </is>
      </c>
    </row>
    <row r="28910" spans="1:1">
      <c r="A28910" t="inlineStr">
        <is>
          <t>Masaplod Norte</t>
        </is>
      </c>
    </row>
    <row r="28911" spans="1:1">
      <c r="A28911" t="inlineStr">
        <is>
          <t>Masaplod Sur</t>
        </is>
      </c>
    </row>
    <row r="28912" spans="1:1">
      <c r="A28912" t="inlineStr">
        <is>
          <t>Panubtuban</t>
        </is>
      </c>
    </row>
    <row r="28913" spans="1:1">
      <c r="A28913" t="inlineStr">
        <is>
          <t>Poblacion I</t>
        </is>
      </c>
    </row>
    <row r="28914" spans="1:1">
      <c r="A28914" t="inlineStr">
        <is>
          <t>Poblacion II</t>
        </is>
      </c>
    </row>
    <row r="28915" spans="1:1">
      <c r="A28915" t="inlineStr">
        <is>
          <t>Poblacion III</t>
        </is>
      </c>
    </row>
    <row r="28916" spans="1:1">
      <c r="A28916" t="inlineStr">
        <is>
          <t>Tugawe</t>
        </is>
      </c>
    </row>
    <row r="28917" spans="1:1">
      <c r="A28917" t="inlineStr">
        <is>
          <t>Tunga-tunga</t>
        </is>
      </c>
    </row>
    <row r="28918" spans="1:1">
      <c r="A28918" t="inlineStr">
        <is>
          <t>Aglahug</t>
        </is>
      </c>
    </row>
    <row r="28919" spans="1:1">
      <c r="A28919" t="inlineStr">
        <is>
          <t>Agutayon</t>
        </is>
      </c>
    </row>
    <row r="28920" spans="1:1">
      <c r="A28920" t="inlineStr">
        <is>
          <t>Apanangon</t>
        </is>
      </c>
    </row>
    <row r="28921" spans="1:1">
      <c r="A28921" t="inlineStr">
        <is>
          <t>Bae</t>
        </is>
      </c>
    </row>
    <row r="28922" spans="1:1">
      <c r="A28922" t="inlineStr">
        <is>
          <t>Bala-as</t>
        </is>
      </c>
    </row>
    <row r="28923" spans="1:1">
      <c r="A28923" t="inlineStr">
        <is>
          <t>Bangcal</t>
        </is>
      </c>
    </row>
    <row r="28924" spans="1:1">
      <c r="A28924" t="inlineStr">
        <is>
          <t>Banog</t>
        </is>
      </c>
    </row>
    <row r="28925" spans="1:1">
      <c r="A28925" t="inlineStr">
        <is>
          <t>Buto</t>
        </is>
      </c>
    </row>
    <row r="28926" spans="1:1">
      <c r="A28926" t="inlineStr">
        <is>
          <t>Cabang</t>
        </is>
      </c>
    </row>
    <row r="28927" spans="1:1">
      <c r="A28927" t="inlineStr">
        <is>
          <t>Camandayon</t>
        </is>
      </c>
    </row>
    <row r="28928" spans="1:1">
      <c r="A28928" t="inlineStr">
        <is>
          <t>Cangharay</t>
        </is>
      </c>
    </row>
    <row r="28929" spans="1:1">
      <c r="A28929" t="inlineStr">
        <is>
          <t>Canlahao</t>
        </is>
      </c>
    </row>
    <row r="28930" spans="1:1">
      <c r="A28930" t="inlineStr">
        <is>
          <t>Dayoyo</t>
        </is>
      </c>
    </row>
    <row r="28931" spans="1:1">
      <c r="A28931" t="inlineStr">
        <is>
          <t>Eli</t>
        </is>
      </c>
    </row>
    <row r="28932" spans="1:1">
      <c r="A28932" t="inlineStr">
        <is>
          <t>Lacaon</t>
        </is>
      </c>
    </row>
    <row r="28933" spans="1:1">
      <c r="A28933" t="inlineStr">
        <is>
          <t>Mahanlud</t>
        </is>
      </c>
    </row>
    <row r="28934" spans="1:1">
      <c r="A28934" t="inlineStr">
        <is>
          <t>Malabago</t>
        </is>
      </c>
    </row>
    <row r="28935" spans="1:1">
      <c r="A28935" t="inlineStr">
        <is>
          <t>Mambaid</t>
        </is>
      </c>
    </row>
    <row r="28936" spans="1:1">
      <c r="A28936" t="inlineStr">
        <is>
          <t>Mongpong</t>
        </is>
      </c>
    </row>
    <row r="28937" spans="1:1">
      <c r="A28937" t="inlineStr">
        <is>
          <t>North Poblacion</t>
        </is>
      </c>
    </row>
    <row r="28938" spans="1:1">
      <c r="A28938" t="inlineStr">
        <is>
          <t>Owacan</t>
        </is>
      </c>
    </row>
    <row r="28939" spans="1:1">
      <c r="A28939" t="inlineStr">
        <is>
          <t>Pacuan</t>
        </is>
      </c>
    </row>
    <row r="28940" spans="1:1">
      <c r="A28940" t="inlineStr">
        <is>
          <t>Panglaya-an</t>
        </is>
      </c>
    </row>
    <row r="28941" spans="1:1">
      <c r="A28941" t="inlineStr">
        <is>
          <t>Polopantao</t>
        </is>
      </c>
    </row>
    <row r="28942" spans="1:1">
      <c r="A28942" t="inlineStr">
        <is>
          <t>Sampiniton</t>
        </is>
      </c>
    </row>
    <row r="28943" spans="1:1">
      <c r="A28943" t="inlineStr">
        <is>
          <t>South Poblacion</t>
        </is>
      </c>
    </row>
    <row r="28944" spans="1:1">
      <c r="A28944" t="inlineStr">
        <is>
          <t>Talamban</t>
        </is>
      </c>
    </row>
    <row r="28945" spans="1:1">
      <c r="A28945" t="inlineStr">
        <is>
          <t>Tamao</t>
        </is>
      </c>
    </row>
    <row r="28946" spans="1:1">
      <c r="A28946" t="inlineStr">
        <is>
          <t>Aniniaw</t>
        </is>
      </c>
    </row>
    <row r="28947" spans="1:1">
      <c r="A28947" t="inlineStr">
        <is>
          <t>Aya</t>
        </is>
      </c>
    </row>
    <row r="28948" spans="1:1">
      <c r="A28948" t="inlineStr">
        <is>
          <t>Bagtic</t>
        </is>
      </c>
    </row>
    <row r="28949" spans="1:1">
      <c r="A28949" t="inlineStr">
        <is>
          <t>Biga-a</t>
        </is>
      </c>
    </row>
    <row r="28950" spans="1:1">
      <c r="A28950" t="inlineStr">
        <is>
          <t>Busilak</t>
        </is>
      </c>
    </row>
    <row r="28951" spans="1:1">
      <c r="A28951" t="inlineStr">
        <is>
          <t>Cangabo</t>
        </is>
      </c>
    </row>
    <row r="28952" spans="1:1">
      <c r="A28952" t="inlineStr">
        <is>
          <t>Cantupa</t>
        </is>
      </c>
    </row>
    <row r="28953" spans="1:1">
      <c r="A28953" t="inlineStr">
        <is>
          <t>Elecia</t>
        </is>
      </c>
    </row>
    <row r="28954" spans="1:1">
      <c r="A28954" t="inlineStr">
        <is>
          <t>Eli</t>
        </is>
      </c>
    </row>
    <row r="28955" spans="1:1">
      <c r="A28955" t="inlineStr">
        <is>
          <t>Guihob</t>
        </is>
      </c>
    </row>
    <row r="28956" spans="1:1">
      <c r="A28956" t="inlineStr">
        <is>
          <t>Kansumandig</t>
        </is>
      </c>
    </row>
    <row r="28957" spans="1:1">
      <c r="A28957" t="inlineStr">
        <is>
          <t>Mambulod</t>
        </is>
      </c>
    </row>
    <row r="28958" spans="1:1">
      <c r="A28958" t="inlineStr">
        <is>
          <t>Mandapaton</t>
        </is>
      </c>
    </row>
    <row r="28959" spans="1:1">
      <c r="A28959" t="inlineStr">
        <is>
          <t>Manghulyawon</t>
        </is>
      </c>
    </row>
    <row r="28960" spans="1:1">
      <c r="A28960" t="inlineStr">
        <is>
          <t>Manluminsag</t>
        </is>
      </c>
    </row>
    <row r="28961" spans="1:1">
      <c r="A28961" t="inlineStr">
        <is>
          <t>Mapalasan</t>
        </is>
      </c>
    </row>
    <row r="28962" spans="1:1">
      <c r="A28962" t="inlineStr">
        <is>
          <t>Maragondong</t>
        </is>
      </c>
    </row>
    <row r="28963" spans="1:1">
      <c r="A28963" t="inlineStr">
        <is>
          <t>Martilo</t>
        </is>
      </c>
    </row>
    <row r="28964" spans="1:1">
      <c r="A28964" t="inlineStr">
        <is>
          <t>Nasungan</t>
        </is>
      </c>
    </row>
    <row r="28965" spans="1:1">
      <c r="A28965" t="inlineStr">
        <is>
          <t>Pacuan</t>
        </is>
      </c>
    </row>
    <row r="28966" spans="1:1">
      <c r="A28966" t="inlineStr">
        <is>
          <t>Pangca</t>
        </is>
      </c>
    </row>
    <row r="28967" spans="1:1">
      <c r="A28967" t="inlineStr">
        <is>
          <t>Pisong</t>
        </is>
      </c>
    </row>
    <row r="28968" spans="1:1">
      <c r="A28968" t="inlineStr">
        <is>
          <t>Pitogo</t>
        </is>
      </c>
    </row>
    <row r="28969" spans="1:1">
      <c r="A28969" t="inlineStr">
        <is>
          <t>Poblacion North</t>
        </is>
      </c>
    </row>
    <row r="28970" spans="1:1">
      <c r="A28970" t="inlineStr">
        <is>
          <t>Poblacion South</t>
        </is>
      </c>
    </row>
    <row r="28971" spans="1:1">
      <c r="A28971" t="inlineStr">
        <is>
          <t>San Jose</t>
        </is>
      </c>
    </row>
    <row r="28972" spans="1:1">
      <c r="A28972" t="inlineStr">
        <is>
          <t>Solongon</t>
        </is>
      </c>
    </row>
    <row r="28973" spans="1:1">
      <c r="A28973" t="inlineStr">
        <is>
          <t>Tala-on</t>
        </is>
      </c>
    </row>
    <row r="28974" spans="1:1">
      <c r="A28974" t="inlineStr">
        <is>
          <t>Talayong</t>
        </is>
      </c>
    </row>
    <row r="28975" spans="1:1">
      <c r="A28975" t="inlineStr">
        <is>
          <t>Abis</t>
        </is>
      </c>
    </row>
    <row r="28976" spans="1:1">
      <c r="A28976" t="inlineStr">
        <is>
          <t>Arebasore</t>
        </is>
      </c>
    </row>
    <row r="28977" spans="1:1">
      <c r="A28977" t="inlineStr">
        <is>
          <t>Bagtic</t>
        </is>
      </c>
    </row>
    <row r="28978" spans="1:1">
      <c r="A28978" t="inlineStr">
        <is>
          <t>Banban</t>
        </is>
      </c>
    </row>
    <row r="28979" spans="1:1">
      <c r="A28979" t="inlineStr">
        <is>
          <t>Barras</t>
        </is>
      </c>
    </row>
    <row r="28980" spans="1:1">
      <c r="A28980" t="inlineStr">
        <is>
          <t>Bato</t>
        </is>
      </c>
    </row>
    <row r="28981" spans="1:1">
      <c r="A28981" t="inlineStr">
        <is>
          <t>Bugnay</t>
        </is>
      </c>
    </row>
    <row r="28982" spans="1:1">
      <c r="A28982" t="inlineStr">
        <is>
          <t>Bulibulihan</t>
        </is>
      </c>
    </row>
    <row r="28983" spans="1:1">
      <c r="A28983" t="inlineStr">
        <is>
          <t>Bulwang</t>
        </is>
      </c>
    </row>
    <row r="28984" spans="1:1">
      <c r="A28984" t="inlineStr">
        <is>
          <t>Campanun-an</t>
        </is>
      </c>
    </row>
    <row r="28985" spans="1:1">
      <c r="A28985" t="inlineStr">
        <is>
          <t>Canggohob</t>
        </is>
      </c>
    </row>
    <row r="28986" spans="1:1">
      <c r="A28986" t="inlineStr">
        <is>
          <t>Cansal-ing</t>
        </is>
      </c>
    </row>
    <row r="28987" spans="1:1">
      <c r="A28987" t="inlineStr">
        <is>
          <t>Dagbasan</t>
        </is>
      </c>
    </row>
    <row r="28988" spans="1:1">
      <c r="A28988" t="inlineStr">
        <is>
          <t>Dahile</t>
        </is>
      </c>
    </row>
    <row r="28989" spans="1:1">
      <c r="A28989" t="inlineStr">
        <is>
          <t>Hagtu</t>
        </is>
      </c>
    </row>
    <row r="28990" spans="1:1">
      <c r="A28990" t="inlineStr">
        <is>
          <t>Himocdongon</t>
        </is>
      </c>
    </row>
    <row r="28991" spans="1:1">
      <c r="A28991" t="inlineStr">
        <is>
          <t>Inapoy</t>
        </is>
      </c>
    </row>
    <row r="28992" spans="1:1">
      <c r="A28992" t="inlineStr">
        <is>
          <t>Lamdas</t>
        </is>
      </c>
    </row>
    <row r="28993" spans="1:1">
      <c r="A28993" t="inlineStr">
        <is>
          <t>Lumbangan</t>
        </is>
      </c>
    </row>
    <row r="28994" spans="1:1">
      <c r="A28994" t="inlineStr">
        <is>
          <t>Luyang</t>
        </is>
      </c>
    </row>
    <row r="28995" spans="1:1">
      <c r="A28995" t="inlineStr">
        <is>
          <t>Manlingay</t>
        </is>
      </c>
    </row>
    <row r="28996" spans="1:1">
      <c r="A28996" t="inlineStr">
        <is>
          <t>Mayaposi</t>
        </is>
      </c>
    </row>
    <row r="28997" spans="1:1">
      <c r="A28997" t="inlineStr">
        <is>
          <t>Napasu-an</t>
        </is>
      </c>
    </row>
    <row r="28998" spans="1:1">
      <c r="A28998" t="inlineStr">
        <is>
          <t>New Namangka</t>
        </is>
      </c>
    </row>
    <row r="28999" spans="1:1">
      <c r="A28999" t="inlineStr">
        <is>
          <t>Old Namangka</t>
        </is>
      </c>
    </row>
    <row r="29000" spans="1:1">
      <c r="A29000" t="inlineStr">
        <is>
          <t>Pandanon</t>
        </is>
      </c>
    </row>
    <row r="29001" spans="1:1">
      <c r="A29001" t="inlineStr">
        <is>
          <t>Paniabonan</t>
        </is>
      </c>
    </row>
    <row r="29002" spans="1:1">
      <c r="A29002" t="inlineStr">
        <is>
          <t>Pantao</t>
        </is>
      </c>
    </row>
    <row r="29003" spans="1:1">
      <c r="A29003" t="inlineStr">
        <is>
          <t>Poblacion</t>
        </is>
      </c>
    </row>
    <row r="29004" spans="1:1">
      <c r="A29004" t="inlineStr">
        <is>
          <t>Samac</t>
        </is>
      </c>
    </row>
    <row r="29005" spans="1:1">
      <c r="A29005" t="inlineStr">
        <is>
          <t>Tadlong</t>
        </is>
      </c>
    </row>
    <row r="29006" spans="1:1">
      <c r="A29006" t="inlineStr">
        <is>
          <t>Tara</t>
        </is>
      </c>
    </row>
    <row r="29007" spans="1:1">
      <c r="A29007" t="inlineStr">
        <is>
          <t>Alangilanan</t>
        </is>
      </c>
    </row>
    <row r="29008" spans="1:1">
      <c r="A29008" t="inlineStr">
        <is>
          <t>Bagtic</t>
        </is>
      </c>
    </row>
    <row r="29009" spans="1:1">
      <c r="A29009" t="inlineStr">
        <is>
          <t>Balaas</t>
        </is>
      </c>
    </row>
    <row r="29010" spans="1:1">
      <c r="A29010" t="inlineStr">
        <is>
          <t>Bantolinao</t>
        </is>
      </c>
    </row>
    <row r="29011" spans="1:1">
      <c r="A29011" t="inlineStr">
        <is>
          <t>Bolisong</t>
        </is>
      </c>
    </row>
    <row r="29012" spans="1:1">
      <c r="A29012" t="inlineStr">
        <is>
          <t>Butong</t>
        </is>
      </c>
    </row>
    <row r="29013" spans="1:1">
      <c r="A29013" t="inlineStr">
        <is>
          <t>Campuyo</t>
        </is>
      </c>
    </row>
    <row r="29014" spans="1:1">
      <c r="A29014" t="inlineStr">
        <is>
          <t>Candabong</t>
        </is>
      </c>
    </row>
    <row r="29015" spans="1:1">
      <c r="A29015" t="inlineStr">
        <is>
          <t>Concepcion</t>
        </is>
      </c>
    </row>
    <row r="29016" spans="1:1">
      <c r="A29016" t="inlineStr">
        <is>
          <t>Dungo-an</t>
        </is>
      </c>
    </row>
    <row r="29017" spans="1:1">
      <c r="A29017" t="inlineStr">
        <is>
          <t>Kauswagan</t>
        </is>
      </c>
    </row>
    <row r="29018" spans="1:1">
      <c r="A29018" t="inlineStr">
        <is>
          <t>Lamogong</t>
        </is>
      </c>
    </row>
    <row r="29019" spans="1:1">
      <c r="A29019" t="inlineStr">
        <is>
          <t>Libjo</t>
        </is>
      </c>
    </row>
    <row r="29020" spans="1:1">
      <c r="A29020" t="inlineStr">
        <is>
          <t>Maaslum</t>
        </is>
      </c>
    </row>
    <row r="29021" spans="1:1">
      <c r="A29021" t="inlineStr">
        <is>
          <t>Mandalupang</t>
        </is>
      </c>
    </row>
    <row r="29022" spans="1:1">
      <c r="A29022" t="inlineStr">
        <is>
          <t>Panciao</t>
        </is>
      </c>
    </row>
    <row r="29023" spans="1:1">
      <c r="A29023" t="inlineStr">
        <is>
          <t>Poblacion</t>
        </is>
      </c>
    </row>
    <row r="29024" spans="1:1">
      <c r="A29024" t="inlineStr">
        <is>
          <t>Sac-sac</t>
        </is>
      </c>
    </row>
    <row r="29025" spans="1:1">
      <c r="A29025" t="inlineStr">
        <is>
          <t>Salvacion</t>
        </is>
      </c>
    </row>
    <row r="29026" spans="1:1">
      <c r="A29026" t="inlineStr">
        <is>
          <t>San Isidro</t>
        </is>
      </c>
    </row>
    <row r="29027" spans="1:1">
      <c r="A29027" t="inlineStr">
        <is>
          <t>San Jose</t>
        </is>
      </c>
    </row>
    <row r="29028" spans="1:1">
      <c r="A29028" t="inlineStr">
        <is>
          <t>Santa Monica</t>
        </is>
      </c>
    </row>
    <row r="29029" spans="1:1">
      <c r="A29029" t="inlineStr">
        <is>
          <t>Suba</t>
        </is>
      </c>
    </row>
    <row r="29030" spans="1:1">
      <c r="A29030" t="inlineStr">
        <is>
          <t>Sundo-an</t>
        </is>
      </c>
    </row>
    <row r="29031" spans="1:1">
      <c r="A29031" t="inlineStr">
        <is>
          <t>Tanglad</t>
        </is>
      </c>
    </row>
    <row r="29032" spans="1:1">
      <c r="A29032" t="inlineStr">
        <is>
          <t>Tubod</t>
        </is>
      </c>
    </row>
    <row r="29033" spans="1:1">
      <c r="A29033" t="inlineStr">
        <is>
          <t>Tupas</t>
        </is>
      </c>
    </row>
    <row r="29034" spans="1:1">
      <c r="A29034" t="inlineStr">
        <is>
          <t>Abante</t>
        </is>
      </c>
    </row>
    <row r="29035" spans="1:1">
      <c r="A29035" t="inlineStr">
        <is>
          <t>Balayong</t>
        </is>
      </c>
    </row>
    <row r="29036" spans="1:1">
      <c r="A29036" t="inlineStr">
        <is>
          <t>Banawe</t>
        </is>
      </c>
    </row>
    <row r="29037" spans="1:1">
      <c r="A29037" t="inlineStr">
        <is>
          <t>Calicanan</t>
        </is>
      </c>
    </row>
    <row r="29038" spans="1:1">
      <c r="A29038" t="inlineStr">
        <is>
          <t>Datagon</t>
        </is>
      </c>
    </row>
    <row r="29039" spans="1:1">
      <c r="A29039" t="inlineStr">
        <is>
          <t>Fatima</t>
        </is>
      </c>
    </row>
    <row r="29040" spans="1:1">
      <c r="A29040" t="inlineStr">
        <is>
          <t>Inawasan</t>
        </is>
      </c>
    </row>
    <row r="29041" spans="1:1">
      <c r="A29041" t="inlineStr">
        <is>
          <t>Magsusunog</t>
        </is>
      </c>
    </row>
    <row r="29042" spans="1:1">
      <c r="A29042" t="inlineStr">
        <is>
          <t>Malalangsi</t>
        </is>
      </c>
    </row>
    <row r="29043" spans="1:1">
      <c r="A29043" t="inlineStr">
        <is>
          <t>Mamburao</t>
        </is>
      </c>
    </row>
    <row r="29044" spans="1:1">
      <c r="A29044" t="inlineStr">
        <is>
          <t>Mangoto</t>
        </is>
      </c>
    </row>
    <row r="29045" spans="1:1">
      <c r="A29045" t="inlineStr">
        <is>
          <t>Poblacion</t>
        </is>
      </c>
    </row>
    <row r="29046" spans="1:1">
      <c r="A29046" t="inlineStr">
        <is>
          <t>San Isidro</t>
        </is>
      </c>
    </row>
    <row r="29047" spans="1:1">
      <c r="A29047" t="inlineStr">
        <is>
          <t>Santa Agueda</t>
        </is>
      </c>
    </row>
    <row r="29048" spans="1:1">
      <c r="A29048" t="inlineStr">
        <is>
          <t>Simborio</t>
        </is>
      </c>
    </row>
    <row r="29049" spans="1:1">
      <c r="A29049" t="inlineStr">
        <is>
          <t>Yupisan</t>
        </is>
      </c>
    </row>
    <row r="29050" spans="1:1">
      <c r="A29050" t="inlineStr">
        <is>
          <t>Basak</t>
        </is>
      </c>
    </row>
    <row r="29051" spans="1:1">
      <c r="A29051" t="inlineStr">
        <is>
          <t>Basiao</t>
        </is>
      </c>
    </row>
    <row r="29052" spans="1:1">
      <c r="A29052" t="inlineStr">
        <is>
          <t>Cambaloctot</t>
        </is>
      </c>
    </row>
    <row r="29053" spans="1:1">
      <c r="A29053" t="inlineStr">
        <is>
          <t>Cancawas</t>
        </is>
      </c>
    </row>
    <row r="29054" spans="1:1">
      <c r="A29054" t="inlineStr">
        <is>
          <t>Janayjanay</t>
        </is>
      </c>
    </row>
    <row r="29055" spans="1:1">
      <c r="A29055" t="inlineStr">
        <is>
          <t>Jilocon</t>
        </is>
      </c>
    </row>
    <row r="29056" spans="1:1">
      <c r="A29056" t="inlineStr">
        <is>
          <t>Naiba</t>
        </is>
      </c>
    </row>
    <row r="29057" spans="1:1">
      <c r="A29057" t="inlineStr">
        <is>
          <t>Poblacion</t>
        </is>
      </c>
    </row>
    <row r="29058" spans="1:1">
      <c r="A29058" t="inlineStr">
        <is>
          <t>San Roque</t>
        </is>
      </c>
    </row>
    <row r="29059" spans="1:1">
      <c r="A29059" t="inlineStr">
        <is>
          <t>Santo Niño</t>
        </is>
      </c>
    </row>
    <row r="29060" spans="1:1">
      <c r="A29060" t="inlineStr">
        <is>
          <t>Señora Ascion</t>
        </is>
      </c>
    </row>
    <row r="29061" spans="1:1">
      <c r="A29061" t="inlineStr">
        <is>
          <t>Siapo</t>
        </is>
      </c>
    </row>
    <row r="29062" spans="1:1">
      <c r="A29062" t="inlineStr">
        <is>
          <t>Tampi</t>
        </is>
      </c>
    </row>
    <row r="29063" spans="1:1">
      <c r="A29063" t="inlineStr">
        <is>
          <t>Tapon Norte</t>
        </is>
      </c>
    </row>
    <row r="29064" spans="1:1">
      <c r="A29064" t="inlineStr">
        <is>
          <t>Alangilan</t>
        </is>
      </c>
    </row>
    <row r="29065" spans="1:1">
      <c r="A29065" t="inlineStr">
        <is>
          <t>Amio</t>
        </is>
      </c>
    </row>
    <row r="29066" spans="1:1">
      <c r="A29066" t="inlineStr">
        <is>
          <t>Buenavista</t>
        </is>
      </c>
    </row>
    <row r="29067" spans="1:1">
      <c r="A29067" t="inlineStr">
        <is>
          <t>Caigangan</t>
        </is>
      </c>
    </row>
    <row r="29068" spans="1:1">
      <c r="A29068" t="inlineStr">
        <is>
          <t>Caranoche</t>
        </is>
      </c>
    </row>
    <row r="29069" spans="1:1">
      <c r="A29069" t="inlineStr">
        <is>
          <t>Cawitan</t>
        </is>
      </c>
    </row>
    <row r="29070" spans="1:1">
      <c r="A29070" t="inlineStr">
        <is>
          <t>Fatima</t>
        </is>
      </c>
    </row>
    <row r="29071" spans="1:1">
      <c r="A29071" t="inlineStr">
        <is>
          <t>Kabulacan</t>
        </is>
      </c>
    </row>
    <row r="29072" spans="1:1">
      <c r="A29072" t="inlineStr">
        <is>
          <t>Mabuhay</t>
        </is>
      </c>
    </row>
    <row r="29073" spans="1:1">
      <c r="A29073" t="inlineStr">
        <is>
          <t>Manalongon</t>
        </is>
      </c>
    </row>
    <row r="29074" spans="1:1">
      <c r="A29074" t="inlineStr">
        <is>
          <t>Mansagomayon</t>
        </is>
      </c>
    </row>
    <row r="29075" spans="1:1">
      <c r="A29075" t="inlineStr">
        <is>
          <t>Milagrosa</t>
        </is>
      </c>
    </row>
    <row r="29076" spans="1:1">
      <c r="A29076" t="inlineStr">
        <is>
          <t>Nagbalaye</t>
        </is>
      </c>
    </row>
    <row r="29077" spans="1:1">
      <c r="A29077" t="inlineStr">
        <is>
          <t>Nagbinlod</t>
        </is>
      </c>
    </row>
    <row r="29078" spans="1:1">
      <c r="A29078" t="inlineStr">
        <is>
          <t>Obat</t>
        </is>
      </c>
    </row>
    <row r="29079" spans="1:1">
      <c r="A29079" t="inlineStr">
        <is>
          <t>Poblacion</t>
        </is>
      </c>
    </row>
    <row r="29080" spans="1:1">
      <c r="A29080" t="inlineStr">
        <is>
          <t>San Francisco</t>
        </is>
      </c>
    </row>
    <row r="29081" spans="1:1">
      <c r="A29081" t="inlineStr">
        <is>
          <t>San Jose</t>
        </is>
      </c>
    </row>
    <row r="29082" spans="1:1">
      <c r="A29082" t="inlineStr">
        <is>
          <t>San Miguel</t>
        </is>
      </c>
    </row>
    <row r="29083" spans="1:1">
      <c r="A29083" t="inlineStr">
        <is>
          <t>San Pedro</t>
        </is>
      </c>
    </row>
    <row r="29084" spans="1:1">
      <c r="A29084" t="inlineStr">
        <is>
          <t>Santo Rosario</t>
        </is>
      </c>
    </row>
    <row r="29085" spans="1:1">
      <c r="A29085" t="inlineStr">
        <is>
          <t>Talalak</t>
        </is>
      </c>
    </row>
    <row r="29086" spans="1:1">
      <c r="A29086" t="inlineStr">
        <is>
          <t>Albiga</t>
        </is>
      </c>
    </row>
    <row r="29087" spans="1:1">
      <c r="A29087" t="inlineStr">
        <is>
          <t>Apoloy</t>
        </is>
      </c>
    </row>
    <row r="29088" spans="1:1">
      <c r="A29088" t="inlineStr">
        <is>
          <t>Bonawon</t>
        </is>
      </c>
    </row>
    <row r="29089" spans="1:1">
      <c r="A29089" t="inlineStr">
        <is>
          <t>Bonbonon</t>
        </is>
      </c>
    </row>
    <row r="29090" spans="1:1">
      <c r="A29090" t="inlineStr">
        <is>
          <t>Cabangahan</t>
        </is>
      </c>
    </row>
    <row r="29091" spans="1:1">
      <c r="A29091" t="inlineStr">
        <is>
          <t>Canaway</t>
        </is>
      </c>
    </row>
    <row r="29092" spans="1:1">
      <c r="A29092" t="inlineStr">
        <is>
          <t>Casala-an</t>
        </is>
      </c>
    </row>
    <row r="29093" spans="1:1">
      <c r="A29093" t="inlineStr">
        <is>
          <t>Caticugan</t>
        </is>
      </c>
    </row>
    <row r="29094" spans="1:1">
      <c r="A29094" t="inlineStr">
        <is>
          <t>Datag</t>
        </is>
      </c>
    </row>
    <row r="29095" spans="1:1">
      <c r="A29095" t="inlineStr">
        <is>
          <t>Giliga-on</t>
        </is>
      </c>
    </row>
    <row r="29096" spans="1:1">
      <c r="A29096" t="inlineStr">
        <is>
          <t>Inalad</t>
        </is>
      </c>
    </row>
    <row r="29097" spans="1:1">
      <c r="A29097" t="inlineStr">
        <is>
          <t>Malabuhan</t>
        </is>
      </c>
    </row>
    <row r="29098" spans="1:1">
      <c r="A29098" t="inlineStr">
        <is>
          <t>Maloh</t>
        </is>
      </c>
    </row>
    <row r="29099" spans="1:1">
      <c r="A29099" t="inlineStr">
        <is>
          <t>Mantiquil</t>
        </is>
      </c>
    </row>
    <row r="29100" spans="1:1">
      <c r="A29100" t="inlineStr">
        <is>
          <t>Mantuyop</t>
        </is>
      </c>
    </row>
    <row r="29101" spans="1:1">
      <c r="A29101" t="inlineStr">
        <is>
          <t>Napacao</t>
        </is>
      </c>
    </row>
    <row r="29102" spans="1:1">
      <c r="A29102" t="inlineStr">
        <is>
          <t>Poblacion I</t>
        </is>
      </c>
    </row>
    <row r="29103" spans="1:1">
      <c r="A29103" t="inlineStr">
        <is>
          <t>Poblacion II</t>
        </is>
      </c>
    </row>
    <row r="29104" spans="1:1">
      <c r="A29104" t="inlineStr">
        <is>
          <t>Poblacion III</t>
        </is>
      </c>
    </row>
    <row r="29105" spans="1:1">
      <c r="A29105" t="inlineStr">
        <is>
          <t>Poblacion IV</t>
        </is>
      </c>
    </row>
    <row r="29106" spans="1:1">
      <c r="A29106" t="inlineStr">
        <is>
          <t>Salag</t>
        </is>
      </c>
    </row>
    <row r="29107" spans="1:1">
      <c r="A29107" t="inlineStr">
        <is>
          <t>San Jose</t>
        </is>
      </c>
    </row>
    <row r="29108" spans="1:1">
      <c r="A29108" t="inlineStr">
        <is>
          <t>Sandulot</t>
        </is>
      </c>
    </row>
    <row r="29109" spans="1:1">
      <c r="A29109" t="inlineStr">
        <is>
          <t>Si-it</t>
        </is>
      </c>
    </row>
    <row r="29110" spans="1:1">
      <c r="A29110" t="inlineStr">
        <is>
          <t>Sumaliring</t>
        </is>
      </c>
    </row>
    <row r="29111" spans="1:1">
      <c r="A29111" t="inlineStr">
        <is>
          <t>Tayak</t>
        </is>
      </c>
    </row>
    <row r="29112" spans="1:1">
      <c r="A29112" t="inlineStr">
        <is>
          <t>Agan-an</t>
        </is>
      </c>
    </row>
    <row r="29113" spans="1:1">
      <c r="A29113" t="inlineStr">
        <is>
          <t>Ajong</t>
        </is>
      </c>
    </row>
    <row r="29114" spans="1:1">
      <c r="A29114" t="inlineStr">
        <is>
          <t>Balugo</t>
        </is>
      </c>
    </row>
    <row r="29115" spans="1:1">
      <c r="A29115" t="inlineStr">
        <is>
          <t>Bolocboloc</t>
        </is>
      </c>
    </row>
    <row r="29116" spans="1:1">
      <c r="A29116" t="inlineStr">
        <is>
          <t>Calabnugan</t>
        </is>
      </c>
    </row>
    <row r="29117" spans="1:1">
      <c r="A29117" t="inlineStr">
        <is>
          <t>Cangmating</t>
        </is>
      </c>
    </row>
    <row r="29118" spans="1:1">
      <c r="A29118" t="inlineStr">
        <is>
          <t>Enrique Villanueva</t>
        </is>
      </c>
    </row>
    <row r="29119" spans="1:1">
      <c r="A29119" t="inlineStr">
        <is>
          <t>Looc</t>
        </is>
      </c>
    </row>
    <row r="29120" spans="1:1">
      <c r="A29120" t="inlineStr">
        <is>
          <t>Magatas</t>
        </is>
      </c>
    </row>
    <row r="29121" spans="1:1">
      <c r="A29121" t="inlineStr">
        <is>
          <t>Maningcao</t>
        </is>
      </c>
    </row>
    <row r="29122" spans="1:1">
      <c r="A29122" t="inlineStr">
        <is>
          <t>Maslog</t>
        </is>
      </c>
    </row>
    <row r="29123" spans="1:1">
      <c r="A29123" t="inlineStr">
        <is>
          <t>Poblacion</t>
        </is>
      </c>
    </row>
    <row r="29124" spans="1:1">
      <c r="A29124" t="inlineStr">
        <is>
          <t>San Antonio</t>
        </is>
      </c>
    </row>
    <row r="29125" spans="1:1">
      <c r="A29125" t="inlineStr">
        <is>
          <t>Tubigon</t>
        </is>
      </c>
    </row>
    <row r="29126" spans="1:1">
      <c r="A29126" t="inlineStr">
        <is>
          <t>Tubtubon</t>
        </is>
      </c>
    </row>
    <row r="29127" spans="1:1">
      <c r="A29127" t="inlineStr">
        <is>
          <t>Bacong</t>
        </is>
      </c>
    </row>
    <row r="29128" spans="1:1">
      <c r="A29128" t="inlineStr">
        <is>
          <t>Bago</t>
        </is>
      </c>
    </row>
    <row r="29129" spans="1:1">
      <c r="A29129" t="inlineStr">
        <is>
          <t>Banga</t>
        </is>
      </c>
    </row>
    <row r="29130" spans="1:1">
      <c r="A29130" t="inlineStr">
        <is>
          <t>Cabulotan</t>
        </is>
      </c>
    </row>
    <row r="29131" spans="1:1">
      <c r="A29131" t="inlineStr">
        <is>
          <t>Cambaye</t>
        </is>
      </c>
    </row>
    <row r="29132" spans="1:1">
      <c r="A29132" t="inlineStr">
        <is>
          <t>Dalaupon</t>
        </is>
      </c>
    </row>
    <row r="29133" spans="1:1">
      <c r="A29133" t="inlineStr">
        <is>
          <t>Guincalaban</t>
        </is>
      </c>
    </row>
    <row r="29134" spans="1:1">
      <c r="A29134" t="inlineStr">
        <is>
          <t>Ilaya-Tayasan</t>
        </is>
      </c>
    </row>
    <row r="29135" spans="1:1">
      <c r="A29135" t="inlineStr">
        <is>
          <t>Jilabangan</t>
        </is>
      </c>
    </row>
    <row r="29136" spans="1:1">
      <c r="A29136" t="inlineStr">
        <is>
          <t>Lag-it</t>
        </is>
      </c>
    </row>
    <row r="29137" spans="1:1">
      <c r="A29137" t="inlineStr">
        <is>
          <t>Linao</t>
        </is>
      </c>
    </row>
    <row r="29138" spans="1:1">
      <c r="A29138" t="inlineStr">
        <is>
          <t>Lutay</t>
        </is>
      </c>
    </row>
    <row r="29139" spans="1:1">
      <c r="A29139" t="inlineStr">
        <is>
          <t>Maglihe</t>
        </is>
      </c>
    </row>
    <row r="29140" spans="1:1">
      <c r="A29140" t="inlineStr">
        <is>
          <t>Magtuhao</t>
        </is>
      </c>
    </row>
    <row r="29141" spans="1:1">
      <c r="A29141" t="inlineStr">
        <is>
          <t>Matauta</t>
        </is>
      </c>
    </row>
    <row r="29142" spans="1:1">
      <c r="A29142" t="inlineStr">
        <is>
          <t>Matuog</t>
        </is>
      </c>
    </row>
    <row r="29143" spans="1:1">
      <c r="A29143" t="inlineStr">
        <is>
          <t>Numnum</t>
        </is>
      </c>
    </row>
    <row r="29144" spans="1:1">
      <c r="A29144" t="inlineStr">
        <is>
          <t>Palaslan</t>
        </is>
      </c>
    </row>
    <row r="29145" spans="1:1">
      <c r="A29145" t="inlineStr">
        <is>
          <t>Pinalubngan</t>
        </is>
      </c>
    </row>
    <row r="29146" spans="1:1">
      <c r="A29146" t="inlineStr">
        <is>
          <t>Pindahan</t>
        </is>
      </c>
    </row>
    <row r="29147" spans="1:1">
      <c r="A29147" t="inlineStr">
        <is>
          <t>Pinocawan</t>
        </is>
      </c>
    </row>
    <row r="29148" spans="1:1">
      <c r="A29148" t="inlineStr">
        <is>
          <t>Poblacion</t>
        </is>
      </c>
    </row>
    <row r="29149" spans="1:1">
      <c r="A29149" t="inlineStr">
        <is>
          <t>Santa Cruz</t>
        </is>
      </c>
    </row>
    <row r="29150" spans="1:1">
      <c r="A29150" t="inlineStr">
        <is>
          <t>Saying</t>
        </is>
      </c>
    </row>
    <row r="29151" spans="1:1">
      <c r="A29151" t="inlineStr">
        <is>
          <t>Suquib</t>
        </is>
      </c>
    </row>
    <row r="29152" spans="1:1">
      <c r="A29152" t="inlineStr">
        <is>
          <t>Tamao</t>
        </is>
      </c>
    </row>
    <row r="29153" spans="1:1">
      <c r="A29153" t="inlineStr">
        <is>
          <t>Tambulan</t>
        </is>
      </c>
    </row>
    <row r="29154" spans="1:1">
      <c r="A29154" t="inlineStr">
        <is>
          <t>Tanlad</t>
        </is>
      </c>
    </row>
    <row r="29155" spans="1:1">
      <c r="A29155" t="inlineStr">
        <is>
          <t>Apolong</t>
        </is>
      </c>
    </row>
    <row r="29156" spans="1:1">
      <c r="A29156" t="inlineStr">
        <is>
          <t>Balabag East</t>
        </is>
      </c>
    </row>
    <row r="29157" spans="1:1">
      <c r="A29157" t="inlineStr">
        <is>
          <t>Balabag West</t>
        </is>
      </c>
    </row>
    <row r="29158" spans="1:1">
      <c r="A29158" t="inlineStr">
        <is>
          <t>Balayagmanok</t>
        </is>
      </c>
    </row>
    <row r="29159" spans="1:1">
      <c r="A29159" t="inlineStr">
        <is>
          <t>Balili</t>
        </is>
      </c>
    </row>
    <row r="29160" spans="1:1">
      <c r="A29160" t="inlineStr">
        <is>
          <t>Balugo</t>
        </is>
      </c>
    </row>
    <row r="29161" spans="1:1">
      <c r="A29161" t="inlineStr">
        <is>
          <t>Bong-ao</t>
        </is>
      </c>
    </row>
    <row r="29162" spans="1:1">
      <c r="A29162" t="inlineStr">
        <is>
          <t>Bongbong</t>
        </is>
      </c>
    </row>
    <row r="29163" spans="1:1">
      <c r="A29163" t="inlineStr">
        <is>
          <t>Caidiocan</t>
        </is>
      </c>
    </row>
    <row r="29164" spans="1:1">
      <c r="A29164" t="inlineStr">
        <is>
          <t>Calayugan</t>
        </is>
      </c>
    </row>
    <row r="29165" spans="1:1">
      <c r="A29165" t="inlineStr">
        <is>
          <t>Cambucad</t>
        </is>
      </c>
    </row>
    <row r="29166" spans="1:1">
      <c r="A29166" t="inlineStr">
        <is>
          <t>Dobdob</t>
        </is>
      </c>
    </row>
    <row r="29167" spans="1:1">
      <c r="A29167" t="inlineStr">
        <is>
          <t>Jawa</t>
        </is>
      </c>
    </row>
    <row r="29168" spans="1:1">
      <c r="A29168" t="inlineStr">
        <is>
          <t>Liptong</t>
        </is>
      </c>
    </row>
    <row r="29169" spans="1:1">
      <c r="A29169" t="inlineStr">
        <is>
          <t>Lunga</t>
        </is>
      </c>
    </row>
    <row r="29170" spans="1:1">
      <c r="A29170" t="inlineStr">
        <is>
          <t>Malabo</t>
        </is>
      </c>
    </row>
    <row r="29171" spans="1:1">
      <c r="A29171" t="inlineStr">
        <is>
          <t>Malaunay</t>
        </is>
      </c>
    </row>
    <row r="29172" spans="1:1">
      <c r="A29172" t="inlineStr">
        <is>
          <t>Mampas</t>
        </is>
      </c>
    </row>
    <row r="29173" spans="1:1">
      <c r="A29173" t="inlineStr">
        <is>
          <t>North Poblacion</t>
        </is>
      </c>
    </row>
    <row r="29174" spans="1:1">
      <c r="A29174" t="inlineStr">
        <is>
          <t>Palinpinon</t>
        </is>
      </c>
    </row>
    <row r="29175" spans="1:1">
      <c r="A29175" t="inlineStr">
        <is>
          <t>Puhagan</t>
        </is>
      </c>
    </row>
    <row r="29176" spans="1:1">
      <c r="A29176" t="inlineStr">
        <is>
          <t>Pulangbato</t>
        </is>
      </c>
    </row>
    <row r="29177" spans="1:1">
      <c r="A29177" t="inlineStr">
        <is>
          <t>Sagbang</t>
        </is>
      </c>
    </row>
    <row r="29178" spans="1:1">
      <c r="A29178" t="inlineStr">
        <is>
          <t>South Poblacion</t>
        </is>
      </c>
    </row>
    <row r="29179" spans="1:1">
      <c r="A29179" t="inlineStr">
        <is>
          <t>Bagawines</t>
        </is>
      </c>
    </row>
    <row r="29180" spans="1:1">
      <c r="A29180" t="inlineStr">
        <is>
          <t>Bairan</t>
        </is>
      </c>
    </row>
    <row r="29181" spans="1:1">
      <c r="A29181" t="inlineStr">
        <is>
          <t>Cabulihan</t>
        </is>
      </c>
    </row>
    <row r="29182" spans="1:1">
      <c r="A29182" t="inlineStr">
        <is>
          <t>Don Espiridion Villegas</t>
        </is>
      </c>
    </row>
    <row r="29183" spans="1:1">
      <c r="A29183" t="inlineStr">
        <is>
          <t>Guba</t>
        </is>
      </c>
    </row>
    <row r="29184" spans="1:1">
      <c r="A29184" t="inlineStr">
        <is>
          <t>Macapso</t>
        </is>
      </c>
    </row>
    <row r="29185" spans="1:1">
      <c r="A29185" t="inlineStr">
        <is>
          <t>Maglahos</t>
        </is>
      </c>
    </row>
    <row r="29186" spans="1:1">
      <c r="A29186" t="inlineStr">
        <is>
          <t>Malangsa</t>
        </is>
      </c>
    </row>
    <row r="29187" spans="1:1">
      <c r="A29187" t="inlineStr">
        <is>
          <t>Molobolo</t>
        </is>
      </c>
    </row>
    <row r="29188" spans="1:1">
      <c r="A29188" t="inlineStr">
        <is>
          <t>Pinocawan</t>
        </is>
      </c>
    </row>
    <row r="29189" spans="1:1">
      <c r="A29189" t="inlineStr">
        <is>
          <t>Poblacion</t>
        </is>
      </c>
    </row>
    <row r="29190" spans="1:1">
      <c r="A29190" t="inlineStr">
        <is>
          <t>Puan</t>
        </is>
      </c>
    </row>
    <row r="29191" spans="1:1">
      <c r="A29191" t="inlineStr">
        <is>
          <t>Tabon</t>
        </is>
      </c>
    </row>
    <row r="29192" spans="1:1">
      <c r="A29192" t="inlineStr">
        <is>
          <t>Tagbino</t>
        </is>
      </c>
    </row>
    <row r="29193" spans="1:1">
      <c r="A29193" t="inlineStr">
        <is>
          <t>Ulay</t>
        </is>
      </c>
    </row>
    <row r="29194" spans="1:1">
      <c r="A29194" t="inlineStr">
        <is>
          <t>Basac</t>
        </is>
      </c>
    </row>
    <row r="29195" spans="1:1">
      <c r="A29195" t="inlineStr">
        <is>
          <t>Calango</t>
        </is>
      </c>
    </row>
    <row r="29196" spans="1:1">
      <c r="A29196" t="inlineStr">
        <is>
          <t>Lotuban</t>
        </is>
      </c>
    </row>
    <row r="29197" spans="1:1">
      <c r="A29197" t="inlineStr">
        <is>
          <t>Malongcay Diot</t>
        </is>
      </c>
    </row>
    <row r="29198" spans="1:1">
      <c r="A29198" t="inlineStr">
        <is>
          <t>Maluay</t>
        </is>
      </c>
    </row>
    <row r="29199" spans="1:1">
      <c r="A29199" t="inlineStr">
        <is>
          <t>Mayabon</t>
        </is>
      </c>
    </row>
    <row r="29200" spans="1:1">
      <c r="A29200" t="inlineStr">
        <is>
          <t>Nabago</t>
        </is>
      </c>
    </row>
    <row r="29201" spans="1:1">
      <c r="A29201" t="inlineStr">
        <is>
          <t>Najandig</t>
        </is>
      </c>
    </row>
    <row r="29202" spans="1:1">
      <c r="A29202" t="inlineStr">
        <is>
          <t>Nasig-id</t>
        </is>
      </c>
    </row>
    <row r="29203" spans="1:1">
      <c r="A29203" t="inlineStr">
        <is>
          <t>Poblacion</t>
        </is>
      </c>
    </row>
    <row r="29204" spans="1:1">
      <c r="A29204" t="inlineStr">
        <is>
          <t>Alejandro Village</t>
        </is>
      </c>
    </row>
    <row r="29205" spans="1:1">
      <c r="A29205" t="inlineStr">
        <is>
          <t>Bonifacio</t>
        </is>
      </c>
    </row>
    <row r="29206" spans="1:1">
      <c r="A29206" t="inlineStr">
        <is>
          <t>Cabacungan</t>
        </is>
      </c>
    </row>
    <row r="29207" spans="1:1">
      <c r="A29207" t="inlineStr">
        <is>
          <t>Calarayan</t>
        </is>
      </c>
    </row>
    <row r="29208" spans="1:1">
      <c r="A29208" t="inlineStr">
        <is>
          <t>Frederic</t>
        </is>
      </c>
    </row>
    <row r="29209" spans="1:1">
      <c r="A29209" t="inlineStr">
        <is>
          <t>Guin-arawayan</t>
        </is>
      </c>
    </row>
    <row r="29210" spans="1:1">
      <c r="A29210" t="inlineStr">
        <is>
          <t>Imelda</t>
        </is>
      </c>
    </row>
    <row r="29211" spans="1:1">
      <c r="A29211" t="inlineStr">
        <is>
          <t>Jubasan</t>
        </is>
      </c>
    </row>
    <row r="29212" spans="1:1">
      <c r="A29212" t="inlineStr">
        <is>
          <t>Kinabranan Zone I</t>
        </is>
      </c>
    </row>
    <row r="29213" spans="1:1">
      <c r="A29213" t="inlineStr">
        <is>
          <t>Kinabranan Zone II</t>
        </is>
      </c>
    </row>
    <row r="29214" spans="1:1">
      <c r="A29214" t="inlineStr">
        <is>
          <t>Kinaguitman</t>
        </is>
      </c>
    </row>
    <row r="29215" spans="1:1">
      <c r="A29215" t="inlineStr">
        <is>
          <t>Lagundi</t>
        </is>
      </c>
    </row>
    <row r="29216" spans="1:1">
      <c r="A29216" t="inlineStr">
        <is>
          <t>Lipata</t>
        </is>
      </c>
    </row>
    <row r="29217" spans="1:1">
      <c r="A29217" t="inlineStr">
        <is>
          <t>Lo-oc</t>
        </is>
      </c>
    </row>
    <row r="29218" spans="1:1">
      <c r="A29218" t="inlineStr">
        <is>
          <t>Londres</t>
        </is>
      </c>
    </row>
    <row r="29219" spans="1:1">
      <c r="A29219" t="inlineStr">
        <is>
          <t>Sabang Zone I</t>
        </is>
      </c>
    </row>
    <row r="29220" spans="1:1">
      <c r="A29220" t="inlineStr">
        <is>
          <t>Sabang Zone II</t>
        </is>
      </c>
    </row>
    <row r="29221" spans="1:1">
      <c r="A29221" t="inlineStr">
        <is>
          <t>Santa Rita</t>
        </is>
      </c>
    </row>
    <row r="29222" spans="1:1">
      <c r="A29222" t="inlineStr">
        <is>
          <t>Tasvilla</t>
        </is>
      </c>
    </row>
    <row r="29223" spans="1:1">
      <c r="A29223" t="inlineStr">
        <is>
          <t>Victoria</t>
        </is>
      </c>
    </row>
    <row r="29224" spans="1:1">
      <c r="A29224" t="inlineStr">
        <is>
          <t>Kauswagan</t>
        </is>
      </c>
    </row>
    <row r="29225" spans="1:1">
      <c r="A29225" t="inlineStr">
        <is>
          <t>MacArthur</t>
        </is>
      </c>
    </row>
    <row r="29226" spans="1:1">
      <c r="A29226" t="inlineStr">
        <is>
          <t>Pio Del Pilar</t>
        </is>
      </c>
    </row>
    <row r="29227" spans="1:1">
      <c r="A29227" t="inlineStr">
        <is>
          <t>Poblacion</t>
        </is>
      </c>
    </row>
    <row r="29228" spans="1:1">
      <c r="A29228" t="inlineStr">
        <is>
          <t>Progresso</t>
        </is>
      </c>
    </row>
    <row r="29229" spans="1:1">
      <c r="A29229" t="inlineStr">
        <is>
          <t>San Antonio</t>
        </is>
      </c>
    </row>
    <row r="29230" spans="1:1">
      <c r="A29230" t="inlineStr">
        <is>
          <t>San Pedro</t>
        </is>
      </c>
    </row>
    <row r="29231" spans="1:1">
      <c r="A29231" t="inlineStr">
        <is>
          <t>Santo Niño</t>
        </is>
      </c>
    </row>
    <row r="29232" spans="1:1">
      <c r="A29232" t="inlineStr">
        <is>
          <t>Acerida</t>
        </is>
      </c>
    </row>
    <row r="29233" spans="1:1">
      <c r="A29233" t="inlineStr">
        <is>
          <t>Arellano</t>
        </is>
      </c>
    </row>
    <row r="29234" spans="1:1">
      <c r="A29234" t="inlineStr">
        <is>
          <t>Balat-balud</t>
        </is>
      </c>
    </row>
    <row r="29235" spans="1:1">
      <c r="A29235" t="inlineStr">
        <is>
          <t>Calantiao</t>
        </is>
      </c>
    </row>
    <row r="29236" spans="1:1">
      <c r="A29236" t="inlineStr">
        <is>
          <t>Dancalan</t>
        </is>
      </c>
    </row>
    <row r="29237" spans="1:1">
      <c r="A29237" t="inlineStr">
        <is>
          <t>E. Duran</t>
        </is>
      </c>
    </row>
    <row r="29238" spans="1:1">
      <c r="A29238" t="inlineStr">
        <is>
          <t>Gen. Lucban</t>
        </is>
      </c>
    </row>
    <row r="29239" spans="1:1">
      <c r="A29239" t="inlineStr">
        <is>
          <t>Jose Abad Santos</t>
        </is>
      </c>
    </row>
    <row r="29240" spans="1:1">
      <c r="A29240" t="inlineStr">
        <is>
          <t>Jose P. Laurel</t>
        </is>
      </c>
    </row>
    <row r="29241" spans="1:1">
      <c r="A29241" t="inlineStr">
        <is>
          <t>Magsaysay</t>
        </is>
      </c>
    </row>
    <row r="29242" spans="1:1">
      <c r="A29242" t="inlineStr">
        <is>
          <t>Quezon</t>
        </is>
      </c>
    </row>
    <row r="29243" spans="1:1">
      <c r="A29243" t="inlineStr">
        <is>
          <t>Salvacion</t>
        </is>
      </c>
    </row>
    <row r="29244" spans="1:1">
      <c r="A29244" t="inlineStr">
        <is>
          <t>San Isidro</t>
        </is>
      </c>
    </row>
    <row r="29245" spans="1:1">
      <c r="A29245" t="inlineStr">
        <is>
          <t>San Juan</t>
        </is>
      </c>
    </row>
    <row r="29246" spans="1:1">
      <c r="A29246" t="inlineStr">
        <is>
          <t>Santa Clara</t>
        </is>
      </c>
    </row>
    <row r="29247" spans="1:1">
      <c r="A29247" t="inlineStr">
        <is>
          <t>Santander</t>
        </is>
      </c>
    </row>
    <row r="29248" spans="1:1">
      <c r="A29248" t="inlineStr">
        <is>
          <t>Somoroy</t>
        </is>
      </c>
    </row>
    <row r="29249" spans="1:1">
      <c r="A29249" t="inlineStr">
        <is>
          <t>Trojello</t>
        </is>
      </c>
    </row>
    <row r="29250" spans="1:1">
      <c r="A29250" t="inlineStr">
        <is>
          <t>Aguin</t>
        </is>
      </c>
    </row>
    <row r="29251" spans="1:1">
      <c r="A29251" t="inlineStr">
        <is>
          <t>Jubang</t>
        </is>
      </c>
    </row>
    <row r="29252" spans="1:1">
      <c r="A29252" t="inlineStr">
        <is>
          <t>Landusan</t>
        </is>
      </c>
    </row>
    <row r="29253" spans="1:1">
      <c r="A29253" t="inlineStr">
        <is>
          <t>Oson</t>
        </is>
      </c>
    </row>
    <row r="29254" spans="1:1">
      <c r="A29254" t="inlineStr">
        <is>
          <t>Poblacion Barangay 1</t>
        </is>
      </c>
    </row>
    <row r="29255" spans="1:1">
      <c r="A29255" t="inlineStr">
        <is>
          <t>Poblacion Barangay 2</t>
        </is>
      </c>
    </row>
    <row r="29256" spans="1:1">
      <c r="A29256" t="inlineStr">
        <is>
          <t>Poblacion Barangay 3</t>
        </is>
      </c>
    </row>
    <row r="29257" spans="1:1">
      <c r="A29257" t="inlineStr">
        <is>
          <t>Poblacion Barangay 4</t>
        </is>
      </c>
    </row>
    <row r="29258" spans="1:1">
      <c r="A29258" t="inlineStr">
        <is>
          <t>Poblacion Barangay 5</t>
        </is>
      </c>
    </row>
    <row r="29259" spans="1:1">
      <c r="A29259" t="inlineStr">
        <is>
          <t>Sagaosawan</t>
        </is>
      </c>
    </row>
    <row r="29260" spans="1:1">
      <c r="A29260" t="inlineStr">
        <is>
          <t>San Luis</t>
        </is>
      </c>
    </row>
    <row r="29261" spans="1:1">
      <c r="A29261" t="inlineStr">
        <is>
          <t>Sawang</t>
        </is>
      </c>
    </row>
    <row r="29262" spans="1:1">
      <c r="A29262" t="inlineStr">
        <is>
          <t>Acacia</t>
        </is>
      </c>
    </row>
    <row r="29263" spans="1:1">
      <c r="A29263" t="inlineStr">
        <is>
          <t>Aguinaldo</t>
        </is>
      </c>
    </row>
    <row r="29264" spans="1:1">
      <c r="A29264" t="inlineStr">
        <is>
          <t>Airport Village</t>
        </is>
      </c>
    </row>
    <row r="29265" spans="1:1">
      <c r="A29265" t="inlineStr">
        <is>
          <t>Bangkerohan</t>
        </is>
      </c>
    </row>
    <row r="29266" spans="1:1">
      <c r="A29266" t="inlineStr">
        <is>
          <t>Baybay</t>
        </is>
      </c>
    </row>
    <row r="29267" spans="1:1">
      <c r="A29267" t="inlineStr">
        <is>
          <t>Bocsol</t>
        </is>
      </c>
    </row>
    <row r="29268" spans="1:1">
      <c r="A29268" t="inlineStr">
        <is>
          <t>Cabayhan</t>
        </is>
      </c>
    </row>
    <row r="29269" spans="1:1">
      <c r="A29269" t="inlineStr">
        <is>
          <t>Cag-abaca</t>
        </is>
      </c>
    </row>
    <row r="29270" spans="1:1">
      <c r="A29270" t="inlineStr">
        <is>
          <t>Cal-igang</t>
        </is>
      </c>
    </row>
    <row r="29271" spans="1:1">
      <c r="A29271" t="inlineStr">
        <is>
          <t>Calachuchi</t>
        </is>
      </c>
    </row>
    <row r="29272" spans="1:1">
      <c r="A29272" t="inlineStr">
        <is>
          <t>Cawayan</t>
        </is>
      </c>
    </row>
    <row r="29273" spans="1:1">
      <c r="A29273" t="inlineStr">
        <is>
          <t>Cervantes</t>
        </is>
      </c>
    </row>
    <row r="29274" spans="1:1">
      <c r="A29274" t="inlineStr">
        <is>
          <t>Cularima</t>
        </is>
      </c>
    </row>
    <row r="29275" spans="1:1">
      <c r="A29275" t="inlineStr">
        <is>
          <t>Daganas</t>
        </is>
      </c>
    </row>
    <row r="29276" spans="1:1">
      <c r="A29276" t="inlineStr">
        <is>
          <t>Dalakit</t>
        </is>
      </c>
    </row>
    <row r="29277" spans="1:1">
      <c r="A29277" t="inlineStr">
        <is>
          <t>Doña Pulqueria</t>
        </is>
      </c>
    </row>
    <row r="29278" spans="1:1">
      <c r="A29278" t="inlineStr">
        <is>
          <t>Galutan</t>
        </is>
      </c>
    </row>
    <row r="29279" spans="1:1">
      <c r="A29279" t="inlineStr">
        <is>
          <t>Gebalagnan</t>
        </is>
      </c>
    </row>
    <row r="29280" spans="1:1">
      <c r="A29280" t="inlineStr">
        <is>
          <t>Gebulwangan</t>
        </is>
      </c>
    </row>
    <row r="29281" spans="1:1">
      <c r="A29281" t="inlineStr">
        <is>
          <t>General Malvar</t>
        </is>
      </c>
    </row>
    <row r="29282" spans="1:1">
      <c r="A29282" t="inlineStr">
        <is>
          <t>Guba</t>
        </is>
      </c>
    </row>
    <row r="29283" spans="1:1">
      <c r="A29283" t="inlineStr">
        <is>
          <t>Hinatad</t>
        </is>
      </c>
    </row>
    <row r="29284" spans="1:1">
      <c r="A29284" t="inlineStr">
        <is>
          <t>Imelda</t>
        </is>
      </c>
    </row>
    <row r="29285" spans="1:1">
      <c r="A29285" t="inlineStr">
        <is>
          <t>Ipil-ipil</t>
        </is>
      </c>
    </row>
    <row r="29286" spans="1:1">
      <c r="A29286" t="inlineStr">
        <is>
          <t>Jose Abad Santos</t>
        </is>
      </c>
    </row>
    <row r="29287" spans="1:1">
      <c r="A29287" t="inlineStr">
        <is>
          <t>Jose P. Rizal</t>
        </is>
      </c>
    </row>
    <row r="29288" spans="1:1">
      <c r="A29288" t="inlineStr">
        <is>
          <t>Kasoy</t>
        </is>
      </c>
    </row>
    <row r="29289" spans="1:1">
      <c r="A29289" t="inlineStr">
        <is>
          <t>Lapu-lapu</t>
        </is>
      </c>
    </row>
    <row r="29290" spans="1:1">
      <c r="A29290" t="inlineStr">
        <is>
          <t>Liberty</t>
        </is>
      </c>
    </row>
    <row r="29291" spans="1:1">
      <c r="A29291" t="inlineStr">
        <is>
          <t>Libjo</t>
        </is>
      </c>
    </row>
    <row r="29292" spans="1:1">
      <c r="A29292" t="inlineStr">
        <is>
          <t>Mabini</t>
        </is>
      </c>
    </row>
    <row r="29293" spans="1:1">
      <c r="A29293" t="inlineStr">
        <is>
          <t>Mabolo</t>
        </is>
      </c>
    </row>
    <row r="29294" spans="1:1">
      <c r="A29294" t="inlineStr">
        <is>
          <t>Macagtas</t>
        </is>
      </c>
    </row>
    <row r="29295" spans="1:1">
      <c r="A29295" t="inlineStr">
        <is>
          <t>Mckinley</t>
        </is>
      </c>
    </row>
    <row r="29296" spans="1:1">
      <c r="A29296" t="inlineStr">
        <is>
          <t>Molave</t>
        </is>
      </c>
    </row>
    <row r="29297" spans="1:1">
      <c r="A29297" t="inlineStr">
        <is>
          <t>Narra</t>
        </is>
      </c>
    </row>
    <row r="29298" spans="1:1">
      <c r="A29298" t="inlineStr">
        <is>
          <t>New Rizal</t>
        </is>
      </c>
    </row>
    <row r="29299" spans="1:1">
      <c r="A29299" t="inlineStr">
        <is>
          <t>Old Rizal</t>
        </is>
      </c>
    </row>
    <row r="29300" spans="1:1">
      <c r="A29300" t="inlineStr">
        <is>
          <t>Paticua</t>
        </is>
      </c>
    </row>
    <row r="29301" spans="1:1">
      <c r="A29301" t="inlineStr">
        <is>
          <t>Polangi</t>
        </is>
      </c>
    </row>
    <row r="29302" spans="1:1">
      <c r="A29302" t="inlineStr">
        <is>
          <t>Quezon</t>
        </is>
      </c>
    </row>
    <row r="29303" spans="1:1">
      <c r="A29303" t="inlineStr">
        <is>
          <t>Salvacion</t>
        </is>
      </c>
    </row>
    <row r="29304" spans="1:1">
      <c r="A29304" t="inlineStr">
        <is>
          <t>Sampaguita</t>
        </is>
      </c>
    </row>
    <row r="29305" spans="1:1">
      <c r="A29305" t="inlineStr">
        <is>
          <t>San Julian</t>
        </is>
      </c>
    </row>
    <row r="29306" spans="1:1">
      <c r="A29306" t="inlineStr">
        <is>
          <t>San Pascual</t>
        </is>
      </c>
    </row>
    <row r="29307" spans="1:1">
      <c r="A29307" t="inlineStr">
        <is>
          <t>Santol</t>
        </is>
      </c>
    </row>
    <row r="29308" spans="1:1">
      <c r="A29308" t="inlineStr">
        <is>
          <t>Somoge</t>
        </is>
      </c>
    </row>
    <row r="29309" spans="1:1">
      <c r="A29309" t="inlineStr">
        <is>
          <t>Talisay</t>
        </is>
      </c>
    </row>
    <row r="29310" spans="1:1">
      <c r="A29310" t="inlineStr">
        <is>
          <t>Tinowaran</t>
        </is>
      </c>
    </row>
    <row r="29311" spans="1:1">
      <c r="A29311" t="inlineStr">
        <is>
          <t>Trangue</t>
        </is>
      </c>
    </row>
    <row r="29312" spans="1:1">
      <c r="A29312" t="inlineStr">
        <is>
          <t>UEP I</t>
        </is>
      </c>
    </row>
    <row r="29313" spans="1:1">
      <c r="A29313" t="inlineStr">
        <is>
          <t>UEP II</t>
        </is>
      </c>
    </row>
    <row r="29314" spans="1:1">
      <c r="A29314" t="inlineStr">
        <is>
          <t>UEP III</t>
        </is>
      </c>
    </row>
    <row r="29315" spans="1:1">
      <c r="A29315" t="inlineStr">
        <is>
          <t>Washington</t>
        </is>
      </c>
    </row>
    <row r="29316" spans="1:1">
      <c r="A29316" t="inlineStr">
        <is>
          <t>Yakal</t>
        </is>
      </c>
    </row>
    <row r="29317" spans="1:1">
      <c r="A29317" t="inlineStr">
        <is>
          <t>Anongo</t>
        </is>
      </c>
    </row>
    <row r="29318" spans="1:1">
      <c r="A29318" t="inlineStr">
        <is>
          <t>Barangay 1</t>
        </is>
      </c>
    </row>
    <row r="29319" spans="1:1">
      <c r="A29319" t="inlineStr">
        <is>
          <t>Barangay 2</t>
        </is>
      </c>
    </row>
    <row r="29320" spans="1:1">
      <c r="A29320" t="inlineStr">
        <is>
          <t>Barangay 3</t>
        </is>
      </c>
    </row>
    <row r="29321" spans="1:1">
      <c r="A29321" t="inlineStr">
        <is>
          <t>Barangay 4</t>
        </is>
      </c>
    </row>
    <row r="29322" spans="1:1">
      <c r="A29322" t="inlineStr">
        <is>
          <t>Barangay 5</t>
        </is>
      </c>
    </row>
    <row r="29323" spans="1:1">
      <c r="A29323" t="inlineStr">
        <is>
          <t>Barangay 6</t>
        </is>
      </c>
    </row>
    <row r="29324" spans="1:1">
      <c r="A29324" t="inlineStr">
        <is>
          <t>Barangay 7</t>
        </is>
      </c>
    </row>
    <row r="29325" spans="1:1">
      <c r="A29325" t="inlineStr">
        <is>
          <t>Barangay 8</t>
        </is>
      </c>
    </row>
    <row r="29326" spans="1:1">
      <c r="A29326" t="inlineStr">
        <is>
          <t>Bonifacio</t>
        </is>
      </c>
    </row>
    <row r="29327" spans="1:1">
      <c r="A29327" t="inlineStr">
        <is>
          <t>Boring</t>
        </is>
      </c>
    </row>
    <row r="29328" spans="1:1">
      <c r="A29328" t="inlineStr">
        <is>
          <t>Cagbugna</t>
        </is>
      </c>
    </row>
    <row r="29329" spans="1:1">
      <c r="A29329" t="inlineStr">
        <is>
          <t>Cagmanaba</t>
        </is>
      </c>
    </row>
    <row r="29330" spans="1:1">
      <c r="A29330" t="inlineStr">
        <is>
          <t>Cagogobngan</t>
        </is>
      </c>
    </row>
    <row r="29331" spans="1:1">
      <c r="A29331" t="inlineStr">
        <is>
          <t>Calingnan</t>
        </is>
      </c>
    </row>
    <row r="29332" spans="1:1">
      <c r="A29332" t="inlineStr">
        <is>
          <t>Canuctan</t>
        </is>
      </c>
    </row>
    <row r="29333" spans="1:1">
      <c r="A29333" t="inlineStr">
        <is>
          <t>Claro M. Recto</t>
        </is>
      </c>
    </row>
    <row r="29334" spans="1:1">
      <c r="A29334" t="inlineStr">
        <is>
          <t>D. Mercader</t>
        </is>
      </c>
    </row>
    <row r="29335" spans="1:1">
      <c r="A29335" t="inlineStr">
        <is>
          <t>Guibwangan</t>
        </is>
      </c>
    </row>
    <row r="29336" spans="1:1">
      <c r="A29336" t="inlineStr">
        <is>
          <t>Hinagonoyan</t>
        </is>
      </c>
    </row>
    <row r="29337" spans="1:1">
      <c r="A29337" t="inlineStr">
        <is>
          <t>Hiparayan</t>
        </is>
      </c>
    </row>
    <row r="29338" spans="1:1">
      <c r="A29338" t="inlineStr">
        <is>
          <t>Hitapi-an</t>
        </is>
      </c>
    </row>
    <row r="29339" spans="1:1">
      <c r="A29339" t="inlineStr">
        <is>
          <t>Inoburan</t>
        </is>
      </c>
    </row>
    <row r="29340" spans="1:1">
      <c r="A29340" t="inlineStr">
        <is>
          <t>Irawahan</t>
        </is>
      </c>
    </row>
    <row r="29341" spans="1:1">
      <c r="A29341" t="inlineStr">
        <is>
          <t>Lenoyahan</t>
        </is>
      </c>
    </row>
    <row r="29342" spans="1:1">
      <c r="A29342" t="inlineStr">
        <is>
          <t>Libon</t>
        </is>
      </c>
    </row>
    <row r="29343" spans="1:1">
      <c r="A29343" t="inlineStr">
        <is>
          <t>Magongon</t>
        </is>
      </c>
    </row>
    <row r="29344" spans="1:1">
      <c r="A29344" t="inlineStr">
        <is>
          <t>Magtuad</t>
        </is>
      </c>
    </row>
    <row r="29345" spans="1:1">
      <c r="A29345" t="inlineStr">
        <is>
          <t>Manering</t>
        </is>
      </c>
    </row>
    <row r="29346" spans="1:1">
      <c r="A29346" t="inlineStr">
        <is>
          <t>Nabulo</t>
        </is>
      </c>
    </row>
    <row r="29347" spans="1:1">
      <c r="A29347" t="inlineStr">
        <is>
          <t>Nagoocan</t>
        </is>
      </c>
    </row>
    <row r="29348" spans="1:1">
      <c r="A29348" t="inlineStr">
        <is>
          <t>Nahulid</t>
        </is>
      </c>
    </row>
    <row r="29349" spans="1:1">
      <c r="A29349" t="inlineStr">
        <is>
          <t>Opong</t>
        </is>
      </c>
    </row>
    <row r="29350" spans="1:1">
      <c r="A29350" t="inlineStr">
        <is>
          <t>Osang</t>
        </is>
      </c>
    </row>
    <row r="29351" spans="1:1">
      <c r="A29351" t="inlineStr">
        <is>
          <t>Osmeña</t>
        </is>
      </c>
    </row>
    <row r="29352" spans="1:1">
      <c r="A29352" t="inlineStr">
        <is>
          <t>P. Rebadulla</t>
        </is>
      </c>
    </row>
    <row r="29353" spans="1:1">
      <c r="A29353" t="inlineStr">
        <is>
          <t>Roxas</t>
        </is>
      </c>
    </row>
    <row r="29354" spans="1:1">
      <c r="A29354" t="inlineStr">
        <is>
          <t>Sagudsuron</t>
        </is>
      </c>
    </row>
    <row r="29355" spans="1:1">
      <c r="A29355" t="inlineStr">
        <is>
          <t>San Antonio</t>
        </is>
      </c>
    </row>
    <row r="29356" spans="1:1">
      <c r="A29356" t="inlineStr">
        <is>
          <t>San Francisco</t>
        </is>
      </c>
    </row>
    <row r="29357" spans="1:1">
      <c r="A29357" t="inlineStr">
        <is>
          <t>San Jose</t>
        </is>
      </c>
    </row>
    <row r="29358" spans="1:1">
      <c r="A29358" t="inlineStr">
        <is>
          <t>San Vicente</t>
        </is>
      </c>
    </row>
    <row r="29359" spans="1:1">
      <c r="A29359" t="inlineStr">
        <is>
          <t>Santa Fe</t>
        </is>
      </c>
    </row>
    <row r="29360" spans="1:1">
      <c r="A29360" t="inlineStr">
        <is>
          <t>Sulitan</t>
        </is>
      </c>
    </row>
    <row r="29361" spans="1:1">
      <c r="A29361" t="inlineStr">
        <is>
          <t>Tangbo</t>
        </is>
      </c>
    </row>
    <row r="29362" spans="1:1">
      <c r="A29362" t="inlineStr">
        <is>
          <t>Tungodnon</t>
        </is>
      </c>
    </row>
    <row r="29363" spans="1:1">
      <c r="A29363" t="inlineStr">
        <is>
          <t>Vienna Maria</t>
        </is>
      </c>
    </row>
    <row r="29364" spans="1:1">
      <c r="A29364" t="inlineStr">
        <is>
          <t>Anito</t>
        </is>
      </c>
    </row>
    <row r="29365" spans="1:1">
      <c r="A29365" t="inlineStr">
        <is>
          <t>Bangon</t>
        </is>
      </c>
    </row>
    <row r="29366" spans="1:1">
      <c r="A29366" t="inlineStr">
        <is>
          <t>Bato</t>
        </is>
      </c>
    </row>
    <row r="29367" spans="1:1">
      <c r="A29367" t="inlineStr">
        <is>
          <t>Baybay District</t>
        </is>
      </c>
    </row>
    <row r="29368" spans="1:1">
      <c r="A29368" t="inlineStr">
        <is>
          <t>Bonifacio</t>
        </is>
      </c>
    </row>
    <row r="29369" spans="1:1">
      <c r="A29369" t="inlineStr">
        <is>
          <t>Burabod</t>
        </is>
      </c>
    </row>
    <row r="29370" spans="1:1">
      <c r="A29370" t="inlineStr">
        <is>
          <t>Cabarasan</t>
        </is>
      </c>
    </row>
    <row r="29371" spans="1:1">
      <c r="A29371" t="inlineStr">
        <is>
          <t>Cadac-an</t>
        </is>
      </c>
    </row>
    <row r="29372" spans="1:1">
      <c r="A29372" t="inlineStr">
        <is>
          <t>Cade-an</t>
        </is>
      </c>
    </row>
    <row r="29373" spans="1:1">
      <c r="A29373" t="inlineStr">
        <is>
          <t>Cagamutan del Norte</t>
        </is>
      </c>
    </row>
    <row r="29374" spans="1:1">
      <c r="A29374" t="inlineStr">
        <is>
          <t>Cagamutan del Sur</t>
        </is>
      </c>
    </row>
    <row r="29375" spans="1:1">
      <c r="A29375" t="inlineStr">
        <is>
          <t>Dao</t>
        </is>
      </c>
    </row>
    <row r="29376" spans="1:1">
      <c r="A29376" t="inlineStr">
        <is>
          <t>G. M. Osias</t>
        </is>
      </c>
    </row>
    <row r="29377" spans="1:1">
      <c r="A29377" t="inlineStr">
        <is>
          <t>Gamay Central</t>
        </is>
      </c>
    </row>
    <row r="29378" spans="1:1">
      <c r="A29378" t="inlineStr">
        <is>
          <t>Gamay Occidental I</t>
        </is>
      </c>
    </row>
    <row r="29379" spans="1:1">
      <c r="A29379" t="inlineStr">
        <is>
          <t>Gamay Oriental I</t>
        </is>
      </c>
    </row>
    <row r="29380" spans="1:1">
      <c r="A29380" t="inlineStr">
        <is>
          <t>Guibuangan</t>
        </is>
      </c>
    </row>
    <row r="29381" spans="1:1">
      <c r="A29381" t="inlineStr">
        <is>
          <t>Henogawe</t>
        </is>
      </c>
    </row>
    <row r="29382" spans="1:1">
      <c r="A29382" t="inlineStr">
        <is>
          <t>Libertad</t>
        </is>
      </c>
    </row>
    <row r="29383" spans="1:1">
      <c r="A29383" t="inlineStr">
        <is>
          <t>Lonoy</t>
        </is>
      </c>
    </row>
    <row r="29384" spans="1:1">
      <c r="A29384" t="inlineStr">
        <is>
          <t>Luneta</t>
        </is>
      </c>
    </row>
    <row r="29385" spans="1:1">
      <c r="A29385" t="inlineStr">
        <is>
          <t>Malidong</t>
        </is>
      </c>
    </row>
    <row r="29386" spans="1:1">
      <c r="A29386" t="inlineStr">
        <is>
          <t>Occidental II</t>
        </is>
      </c>
    </row>
    <row r="29387" spans="1:1">
      <c r="A29387" t="inlineStr">
        <is>
          <t>Oriental II</t>
        </is>
      </c>
    </row>
    <row r="29388" spans="1:1">
      <c r="A29388" t="inlineStr">
        <is>
          <t>Rizal</t>
        </is>
      </c>
    </row>
    <row r="29389" spans="1:1">
      <c r="A29389" t="inlineStr">
        <is>
          <t>San Antonio</t>
        </is>
      </c>
    </row>
    <row r="29390" spans="1:1">
      <c r="A29390" t="inlineStr">
        <is>
          <t>Abaton</t>
        </is>
      </c>
    </row>
    <row r="29391" spans="1:1">
      <c r="A29391" t="inlineStr">
        <is>
          <t>Aguadahan</t>
        </is>
      </c>
    </row>
    <row r="29392" spans="1:1">
      <c r="A29392" t="inlineStr">
        <is>
          <t>Aroganga</t>
        </is>
      </c>
    </row>
    <row r="29393" spans="1:1">
      <c r="A29393" t="inlineStr">
        <is>
          <t>Atipolo</t>
        </is>
      </c>
    </row>
    <row r="29394" spans="1:1">
      <c r="A29394" t="inlineStr">
        <is>
          <t>Bawang</t>
        </is>
      </c>
    </row>
    <row r="29395" spans="1:1">
      <c r="A29395" t="inlineStr">
        <is>
          <t>Baybay</t>
        </is>
      </c>
    </row>
    <row r="29396" spans="1:1">
      <c r="A29396" t="inlineStr">
        <is>
          <t>Binatiklan</t>
        </is>
      </c>
    </row>
    <row r="29397" spans="1:1">
      <c r="A29397" t="inlineStr">
        <is>
          <t>Bobolosan</t>
        </is>
      </c>
    </row>
    <row r="29398" spans="1:1">
      <c r="A29398" t="inlineStr">
        <is>
          <t>Bongliw</t>
        </is>
      </c>
    </row>
    <row r="29399" spans="1:1">
      <c r="A29399" t="inlineStr">
        <is>
          <t>Burabud</t>
        </is>
      </c>
    </row>
    <row r="29400" spans="1:1">
      <c r="A29400" t="inlineStr">
        <is>
          <t>Cabadiangan</t>
        </is>
      </c>
    </row>
    <row r="29401" spans="1:1">
      <c r="A29401" t="inlineStr">
        <is>
          <t>Cabagngan</t>
        </is>
      </c>
    </row>
    <row r="29402" spans="1:1">
      <c r="A29402" t="inlineStr">
        <is>
          <t>Cabago-an</t>
        </is>
      </c>
    </row>
    <row r="29403" spans="1:1">
      <c r="A29403" t="inlineStr">
        <is>
          <t>Cabulaloan</t>
        </is>
      </c>
    </row>
    <row r="29404" spans="1:1">
      <c r="A29404" t="inlineStr">
        <is>
          <t>Cagaasan</t>
        </is>
      </c>
    </row>
    <row r="29405" spans="1:1">
      <c r="A29405" t="inlineStr">
        <is>
          <t>Cagdara-o</t>
        </is>
      </c>
    </row>
    <row r="29406" spans="1:1">
      <c r="A29406" t="inlineStr">
        <is>
          <t>Cahayagan</t>
        </is>
      </c>
    </row>
    <row r="29407" spans="1:1">
      <c r="A29407" t="inlineStr">
        <is>
          <t>Calintaan Pob.</t>
        </is>
      </c>
    </row>
    <row r="29408" spans="1:1">
      <c r="A29408" t="inlineStr">
        <is>
          <t>Calomotan</t>
        </is>
      </c>
    </row>
    <row r="29409" spans="1:1">
      <c r="A29409" t="inlineStr">
        <is>
          <t>Candawid</t>
        </is>
      </c>
    </row>
    <row r="29410" spans="1:1">
      <c r="A29410" t="inlineStr">
        <is>
          <t>Cangcahipos</t>
        </is>
      </c>
    </row>
    <row r="29411" spans="1:1">
      <c r="A29411" t="inlineStr">
        <is>
          <t>Canyomanao</t>
        </is>
      </c>
    </row>
    <row r="29412" spans="1:1">
      <c r="A29412" t="inlineStr">
        <is>
          <t>Catigbian</t>
        </is>
      </c>
    </row>
    <row r="29413" spans="1:1">
      <c r="A29413" t="inlineStr">
        <is>
          <t>E. J. Dulay</t>
        </is>
      </c>
    </row>
    <row r="29414" spans="1:1">
      <c r="A29414" t="inlineStr">
        <is>
          <t>G. B. Tan</t>
        </is>
      </c>
    </row>
    <row r="29415" spans="1:1">
      <c r="A29415" t="inlineStr">
        <is>
          <t>Gibatangan</t>
        </is>
      </c>
    </row>
    <row r="29416" spans="1:1">
      <c r="A29416" t="inlineStr">
        <is>
          <t>Guilaoangi</t>
        </is>
      </c>
    </row>
    <row r="29417" spans="1:1">
      <c r="A29417" t="inlineStr">
        <is>
          <t>Inamlan</t>
        </is>
      </c>
    </row>
    <row r="29418" spans="1:1">
      <c r="A29418" t="inlineStr">
        <is>
          <t>La Perla</t>
        </is>
      </c>
    </row>
    <row r="29419" spans="1:1">
      <c r="A29419" t="inlineStr">
        <is>
          <t>Langob</t>
        </is>
      </c>
    </row>
    <row r="29420" spans="1:1">
      <c r="A29420" t="inlineStr">
        <is>
          <t>Lawaan</t>
        </is>
      </c>
    </row>
    <row r="29421" spans="1:1">
      <c r="A29421" t="inlineStr">
        <is>
          <t>Little Venice</t>
        </is>
      </c>
    </row>
    <row r="29422" spans="1:1">
      <c r="A29422" t="inlineStr">
        <is>
          <t>Magsaysay</t>
        </is>
      </c>
    </row>
    <row r="29423" spans="1:1">
      <c r="A29423" t="inlineStr">
        <is>
          <t>Marubay</t>
        </is>
      </c>
    </row>
    <row r="29424" spans="1:1">
      <c r="A29424" t="inlineStr">
        <is>
          <t>Mualbual</t>
        </is>
      </c>
    </row>
    <row r="29425" spans="1:1">
      <c r="A29425" t="inlineStr">
        <is>
          <t>Napotiocan</t>
        </is>
      </c>
    </row>
    <row r="29426" spans="1:1">
      <c r="A29426" t="inlineStr">
        <is>
          <t>Oleras</t>
        </is>
      </c>
    </row>
    <row r="29427" spans="1:1">
      <c r="A29427" t="inlineStr">
        <is>
          <t>Onay</t>
        </is>
      </c>
    </row>
    <row r="29428" spans="1:1">
      <c r="A29428" t="inlineStr">
        <is>
          <t>Palmera</t>
        </is>
      </c>
    </row>
    <row r="29429" spans="1:1">
      <c r="A29429" t="inlineStr">
        <is>
          <t>Pangdan</t>
        </is>
      </c>
    </row>
    <row r="29430" spans="1:1">
      <c r="A29430" t="inlineStr">
        <is>
          <t>Rawis</t>
        </is>
      </c>
    </row>
    <row r="29431" spans="1:1">
      <c r="A29431" t="inlineStr">
        <is>
          <t>Rombang</t>
        </is>
      </c>
    </row>
    <row r="29432" spans="1:1">
      <c r="A29432" t="inlineStr">
        <is>
          <t>San Antonio</t>
        </is>
      </c>
    </row>
    <row r="29433" spans="1:1">
      <c r="A29433" t="inlineStr">
        <is>
          <t>San Miguel Heights</t>
        </is>
      </c>
    </row>
    <row r="29434" spans="1:1">
      <c r="A29434" t="inlineStr">
        <is>
          <t>Sangcol</t>
        </is>
      </c>
    </row>
    <row r="29435" spans="1:1">
      <c r="A29435" t="inlineStr">
        <is>
          <t>Sibunot</t>
        </is>
      </c>
    </row>
    <row r="29436" spans="1:1">
      <c r="A29436" t="inlineStr">
        <is>
          <t>Simora</t>
        </is>
      </c>
    </row>
    <row r="29437" spans="1:1">
      <c r="A29437" t="inlineStr">
        <is>
          <t>Suba</t>
        </is>
      </c>
    </row>
    <row r="29438" spans="1:1">
      <c r="A29438" t="inlineStr">
        <is>
          <t>Talisay</t>
        </is>
      </c>
    </row>
    <row r="29439" spans="1:1">
      <c r="A29439" t="inlineStr">
        <is>
          <t>Tan-awan</t>
        </is>
      </c>
    </row>
    <row r="29440" spans="1:1">
      <c r="A29440" t="inlineStr">
        <is>
          <t>Tarusan</t>
        </is>
      </c>
    </row>
    <row r="29441" spans="1:1">
      <c r="A29441" t="inlineStr">
        <is>
          <t>Tinoblan</t>
        </is>
      </c>
    </row>
    <row r="29442" spans="1:1">
      <c r="A29442" t="inlineStr">
        <is>
          <t>Tumaguingting</t>
        </is>
      </c>
    </row>
    <row r="29443" spans="1:1">
      <c r="A29443" t="inlineStr">
        <is>
          <t>Vigo</t>
        </is>
      </c>
    </row>
    <row r="29444" spans="1:1">
      <c r="A29444" t="inlineStr">
        <is>
          <t>Yabyaban</t>
        </is>
      </c>
    </row>
    <row r="29445" spans="1:1">
      <c r="A29445" t="inlineStr">
        <is>
          <t>Yapas</t>
        </is>
      </c>
    </row>
    <row r="29446" spans="1:1">
      <c r="A29446" t="inlineStr">
        <is>
          <t>Alang-alang</t>
        </is>
      </c>
    </row>
    <row r="29447" spans="1:1">
      <c r="A29447" t="inlineStr">
        <is>
          <t>Bagacay</t>
        </is>
      </c>
    </row>
    <row r="29448" spans="1:1">
      <c r="A29448" t="inlineStr">
        <is>
          <t>Cahagwayan</t>
        </is>
      </c>
    </row>
    <row r="29449" spans="1:1">
      <c r="A29449" t="inlineStr">
        <is>
          <t>Can Maria</t>
        </is>
      </c>
    </row>
    <row r="29450" spans="1:1">
      <c r="A29450" t="inlineStr">
        <is>
          <t>Can Omanio</t>
        </is>
      </c>
    </row>
    <row r="29451" spans="1:1">
      <c r="A29451" t="inlineStr">
        <is>
          <t>Imelda</t>
        </is>
      </c>
    </row>
    <row r="29452" spans="1:1">
      <c r="A29452" t="inlineStr">
        <is>
          <t>Lapinig Del Norte</t>
        </is>
      </c>
    </row>
    <row r="29453" spans="1:1">
      <c r="A29453" t="inlineStr">
        <is>
          <t>Lapinig Del Sur</t>
        </is>
      </c>
    </row>
    <row r="29454" spans="1:1">
      <c r="A29454" t="inlineStr">
        <is>
          <t>Lo-ok</t>
        </is>
      </c>
    </row>
    <row r="29455" spans="1:1">
      <c r="A29455" t="inlineStr">
        <is>
          <t>Mabini</t>
        </is>
      </c>
    </row>
    <row r="29456" spans="1:1">
      <c r="A29456" t="inlineStr">
        <is>
          <t>May-igot</t>
        </is>
      </c>
    </row>
    <row r="29457" spans="1:1">
      <c r="A29457" t="inlineStr">
        <is>
          <t>Palanas</t>
        </is>
      </c>
    </row>
    <row r="29458" spans="1:1">
      <c r="A29458" t="inlineStr">
        <is>
          <t>Pio Del Pilar</t>
        </is>
      </c>
    </row>
    <row r="29459" spans="1:1">
      <c r="A29459" t="inlineStr">
        <is>
          <t>Potong</t>
        </is>
      </c>
    </row>
    <row r="29460" spans="1:1">
      <c r="A29460" t="inlineStr">
        <is>
          <t>Potong Del Sur</t>
        </is>
      </c>
    </row>
    <row r="29461" spans="1:1">
      <c r="A29461" t="inlineStr">
        <is>
          <t>Balugo</t>
        </is>
      </c>
    </row>
    <row r="29462" spans="1:1">
      <c r="A29462" t="inlineStr">
        <is>
          <t>Bugay</t>
        </is>
      </c>
    </row>
    <row r="29463" spans="1:1">
      <c r="A29463" t="inlineStr">
        <is>
          <t>Bugtosan</t>
        </is>
      </c>
    </row>
    <row r="29464" spans="1:1">
      <c r="A29464" t="inlineStr">
        <is>
          <t>Bukid</t>
        </is>
      </c>
    </row>
    <row r="29465" spans="1:1">
      <c r="A29465" t="inlineStr">
        <is>
          <t>Bulao</t>
        </is>
      </c>
    </row>
    <row r="29466" spans="1:1">
      <c r="A29466" t="inlineStr">
        <is>
          <t>Caputoan</t>
        </is>
      </c>
    </row>
    <row r="29467" spans="1:1">
      <c r="A29467" t="inlineStr">
        <is>
          <t>Catoto-ogan</t>
        </is>
      </c>
    </row>
    <row r="29468" spans="1:1">
      <c r="A29468" t="inlineStr">
        <is>
          <t>Cuenco</t>
        </is>
      </c>
    </row>
    <row r="29469" spans="1:1">
      <c r="A29469" t="inlineStr">
        <is>
          <t>Dapdap</t>
        </is>
      </c>
    </row>
    <row r="29470" spans="1:1">
      <c r="A29470" t="inlineStr">
        <is>
          <t>Del Pilar</t>
        </is>
      </c>
    </row>
    <row r="29471" spans="1:1">
      <c r="A29471" t="inlineStr">
        <is>
          <t>Dolores</t>
        </is>
      </c>
    </row>
    <row r="29472" spans="1:1">
      <c r="A29472" t="inlineStr">
        <is>
          <t>Epaw</t>
        </is>
      </c>
    </row>
    <row r="29473" spans="1:1">
      <c r="A29473" t="inlineStr">
        <is>
          <t>Geguinta</t>
        </is>
      </c>
    </row>
    <row r="29474" spans="1:1">
      <c r="A29474" t="inlineStr">
        <is>
          <t>Geracdo</t>
        </is>
      </c>
    </row>
    <row r="29475" spans="1:1">
      <c r="A29475" t="inlineStr">
        <is>
          <t>Guyo</t>
        </is>
      </c>
    </row>
    <row r="29476" spans="1:1">
      <c r="A29476" t="inlineStr">
        <is>
          <t>H. Jolejole</t>
        </is>
      </c>
    </row>
    <row r="29477" spans="1:1">
      <c r="A29477" t="inlineStr">
        <is>
          <t>H. Jolejole District</t>
        </is>
      </c>
    </row>
    <row r="29478" spans="1:1">
      <c r="A29478" t="inlineStr">
        <is>
          <t>Hangi</t>
        </is>
      </c>
    </row>
    <row r="29479" spans="1:1">
      <c r="A29479" t="inlineStr">
        <is>
          <t>Imelda</t>
        </is>
      </c>
    </row>
    <row r="29480" spans="1:1">
      <c r="A29480" t="inlineStr">
        <is>
          <t>L. Empon</t>
        </is>
      </c>
    </row>
    <row r="29481" spans="1:1">
      <c r="A29481" t="inlineStr">
        <is>
          <t>Lakandula</t>
        </is>
      </c>
    </row>
    <row r="29482" spans="1:1">
      <c r="A29482" t="inlineStr">
        <is>
          <t>Lourdes</t>
        </is>
      </c>
    </row>
    <row r="29483" spans="1:1">
      <c r="A29483" t="inlineStr">
        <is>
          <t>Lumala-og</t>
        </is>
      </c>
    </row>
    <row r="29484" spans="1:1">
      <c r="A29484" t="inlineStr">
        <is>
          <t>Mabini</t>
        </is>
      </c>
    </row>
    <row r="29485" spans="1:1">
      <c r="A29485" t="inlineStr">
        <is>
          <t>Macarthur</t>
        </is>
      </c>
    </row>
    <row r="29486" spans="1:1">
      <c r="A29486" t="inlineStr">
        <is>
          <t>Magsaysay</t>
        </is>
      </c>
    </row>
    <row r="29487" spans="1:1">
      <c r="A29487" t="inlineStr">
        <is>
          <t>Matelarag</t>
        </is>
      </c>
    </row>
    <row r="29488" spans="1:1">
      <c r="A29488" t="inlineStr">
        <is>
          <t>Osmeña</t>
        </is>
      </c>
    </row>
    <row r="29489" spans="1:1">
      <c r="A29489" t="inlineStr">
        <is>
          <t>Paco</t>
        </is>
      </c>
    </row>
    <row r="29490" spans="1:1">
      <c r="A29490" t="inlineStr">
        <is>
          <t>Palanas</t>
        </is>
      </c>
    </row>
    <row r="29491" spans="1:1">
      <c r="A29491" t="inlineStr">
        <is>
          <t>Perez</t>
        </is>
      </c>
    </row>
    <row r="29492" spans="1:1">
      <c r="A29492" t="inlineStr">
        <is>
          <t>Poponton</t>
        </is>
      </c>
    </row>
    <row r="29493" spans="1:1">
      <c r="A29493" t="inlineStr">
        <is>
          <t>Quezon</t>
        </is>
      </c>
    </row>
    <row r="29494" spans="1:1">
      <c r="A29494" t="inlineStr">
        <is>
          <t>Quirino</t>
        </is>
      </c>
    </row>
    <row r="29495" spans="1:1">
      <c r="A29495" t="inlineStr">
        <is>
          <t>Quirino District</t>
        </is>
      </c>
    </row>
    <row r="29496" spans="1:1">
      <c r="A29496" t="inlineStr">
        <is>
          <t>Rebong</t>
        </is>
      </c>
    </row>
    <row r="29497" spans="1:1">
      <c r="A29497" t="inlineStr">
        <is>
          <t>Rizal</t>
        </is>
      </c>
    </row>
    <row r="29498" spans="1:1">
      <c r="A29498" t="inlineStr">
        <is>
          <t>Roxas</t>
        </is>
      </c>
    </row>
    <row r="29499" spans="1:1">
      <c r="A29499" t="inlineStr">
        <is>
          <t>Rufino</t>
        </is>
      </c>
    </row>
    <row r="29500" spans="1:1">
      <c r="A29500" t="inlineStr">
        <is>
          <t>Sag-od</t>
        </is>
      </c>
    </row>
    <row r="29501" spans="1:1">
      <c r="A29501" t="inlineStr">
        <is>
          <t>San Andres</t>
        </is>
      </c>
    </row>
    <row r="29502" spans="1:1">
      <c r="A29502" t="inlineStr">
        <is>
          <t>San Antonio</t>
        </is>
      </c>
    </row>
    <row r="29503" spans="1:1">
      <c r="A29503" t="inlineStr">
        <is>
          <t>San Fernando</t>
        </is>
      </c>
    </row>
    <row r="29504" spans="1:1">
      <c r="A29504" t="inlineStr">
        <is>
          <t>San Francisco</t>
        </is>
      </c>
    </row>
    <row r="29505" spans="1:1">
      <c r="A29505" t="inlineStr">
        <is>
          <t>San Isidro</t>
        </is>
      </c>
    </row>
    <row r="29506" spans="1:1">
      <c r="A29506" t="inlineStr">
        <is>
          <t>San Jorge</t>
        </is>
      </c>
    </row>
    <row r="29507" spans="1:1">
      <c r="A29507" t="inlineStr">
        <is>
          <t>San Jose</t>
        </is>
      </c>
    </row>
    <row r="29508" spans="1:1">
      <c r="A29508" t="inlineStr">
        <is>
          <t>San Miguel</t>
        </is>
      </c>
    </row>
    <row r="29509" spans="1:1">
      <c r="A29509" t="inlineStr">
        <is>
          <t>Santo Tomas</t>
        </is>
      </c>
    </row>
    <row r="29510" spans="1:1">
      <c r="A29510" t="inlineStr">
        <is>
          <t>Tagab-iran</t>
        </is>
      </c>
    </row>
    <row r="29511" spans="1:1">
      <c r="A29511" t="inlineStr">
        <is>
          <t>Tagan-ayan</t>
        </is>
      </c>
    </row>
    <row r="29512" spans="1:1">
      <c r="A29512" t="inlineStr">
        <is>
          <t>Taylor</t>
        </is>
      </c>
    </row>
    <row r="29513" spans="1:1">
      <c r="A29513" t="inlineStr">
        <is>
          <t>Victory</t>
        </is>
      </c>
    </row>
    <row r="29514" spans="1:1">
      <c r="A29514" t="inlineStr">
        <is>
          <t>Balicuatro</t>
        </is>
      </c>
    </row>
    <row r="29515" spans="1:1">
      <c r="A29515" t="inlineStr">
        <is>
          <t>Bani</t>
        </is>
      </c>
    </row>
    <row r="29516" spans="1:1">
      <c r="A29516" t="inlineStr">
        <is>
          <t>Barobaybay</t>
        </is>
      </c>
    </row>
    <row r="29517" spans="1:1">
      <c r="A29517" t="inlineStr">
        <is>
          <t>Caburihan</t>
        </is>
      </c>
    </row>
    <row r="29518" spans="1:1">
      <c r="A29518" t="inlineStr">
        <is>
          <t>Caragas</t>
        </is>
      </c>
    </row>
    <row r="29519" spans="1:1">
      <c r="A29519" t="inlineStr">
        <is>
          <t>Cataogan</t>
        </is>
      </c>
    </row>
    <row r="29520" spans="1:1">
      <c r="A29520" t="inlineStr">
        <is>
          <t>Chansvilla</t>
        </is>
      </c>
    </row>
    <row r="29521" spans="1:1">
      <c r="A29521" t="inlineStr">
        <is>
          <t>Datag</t>
        </is>
      </c>
    </row>
    <row r="29522" spans="1:1">
      <c r="A29522" t="inlineStr">
        <is>
          <t>Enriqueta</t>
        </is>
      </c>
    </row>
    <row r="29523" spans="1:1">
      <c r="A29523" t="inlineStr">
        <is>
          <t>Libas</t>
        </is>
      </c>
    </row>
    <row r="29524" spans="1:1">
      <c r="A29524" t="inlineStr">
        <is>
          <t>Libertad</t>
        </is>
      </c>
    </row>
    <row r="29525" spans="1:1">
      <c r="A29525" t="inlineStr">
        <is>
          <t>Macarthur</t>
        </is>
      </c>
    </row>
    <row r="29526" spans="1:1">
      <c r="A29526" t="inlineStr">
        <is>
          <t>Magsaysay</t>
        </is>
      </c>
    </row>
    <row r="29527" spans="1:1">
      <c r="A29527" t="inlineStr">
        <is>
          <t>Maravilla</t>
        </is>
      </c>
    </row>
    <row r="29528" spans="1:1">
      <c r="A29528" t="inlineStr">
        <is>
          <t>Ocad</t>
        </is>
      </c>
    </row>
    <row r="29529" spans="1:1">
      <c r="A29529" t="inlineStr">
        <is>
          <t>Sabong-Tabok</t>
        </is>
      </c>
    </row>
    <row r="29530" spans="1:1">
      <c r="A29530" t="inlineStr">
        <is>
          <t>Salvacion</t>
        </is>
      </c>
    </row>
    <row r="29531" spans="1:1">
      <c r="A29531" t="inlineStr">
        <is>
          <t>San Agustin</t>
        </is>
      </c>
    </row>
    <row r="29532" spans="1:1">
      <c r="A29532" t="inlineStr">
        <is>
          <t>San Isidro</t>
        </is>
      </c>
    </row>
    <row r="29533" spans="1:1">
      <c r="A29533" t="inlineStr">
        <is>
          <t>San Jose</t>
        </is>
      </c>
    </row>
    <row r="29534" spans="1:1">
      <c r="A29534" t="inlineStr">
        <is>
          <t>San Juan</t>
        </is>
      </c>
    </row>
    <row r="29535" spans="1:1">
      <c r="A29535" t="inlineStr">
        <is>
          <t>San Miguel</t>
        </is>
      </c>
    </row>
    <row r="29536" spans="1:1">
      <c r="A29536" t="inlineStr">
        <is>
          <t>To-og</t>
        </is>
      </c>
    </row>
    <row r="29537" spans="1:1">
      <c r="A29537" t="inlineStr">
        <is>
          <t>Urdaneta</t>
        </is>
      </c>
    </row>
    <row r="29538" spans="1:1">
      <c r="A29538" t="inlineStr">
        <is>
          <t>Villa</t>
        </is>
      </c>
    </row>
    <row r="29539" spans="1:1">
      <c r="A29539" t="inlineStr">
        <is>
          <t>Villahermosa</t>
        </is>
      </c>
    </row>
    <row r="29540" spans="1:1">
      <c r="A29540" t="inlineStr">
        <is>
          <t>Bayho</t>
        </is>
      </c>
    </row>
    <row r="29541" spans="1:1">
      <c r="A29541" t="inlineStr">
        <is>
          <t>Bonifacio</t>
        </is>
      </c>
    </row>
    <row r="29542" spans="1:1">
      <c r="A29542" t="inlineStr">
        <is>
          <t>Cag-aguingay</t>
        </is>
      </c>
    </row>
    <row r="29543" spans="1:1">
      <c r="A29543" t="inlineStr">
        <is>
          <t>Cagamesarag</t>
        </is>
      </c>
    </row>
    <row r="29544" spans="1:1">
      <c r="A29544" t="inlineStr">
        <is>
          <t>Curry</t>
        </is>
      </c>
    </row>
    <row r="29545" spans="1:1">
      <c r="A29545" t="inlineStr">
        <is>
          <t>Gebonawan</t>
        </is>
      </c>
    </row>
    <row r="29546" spans="1:1">
      <c r="A29546" t="inlineStr">
        <is>
          <t>Gen. Luna</t>
        </is>
      </c>
    </row>
    <row r="29547" spans="1:1">
      <c r="A29547" t="inlineStr">
        <is>
          <t>Getigo</t>
        </is>
      </c>
    </row>
    <row r="29548" spans="1:1">
      <c r="A29548" t="inlineStr">
        <is>
          <t>Henaronagan</t>
        </is>
      </c>
    </row>
    <row r="29549" spans="1:1">
      <c r="A29549" t="inlineStr">
        <is>
          <t>Lope De Vega</t>
        </is>
      </c>
    </row>
    <row r="29550" spans="1:1">
      <c r="A29550" t="inlineStr">
        <is>
          <t>Lower Caynaga</t>
        </is>
      </c>
    </row>
    <row r="29551" spans="1:1">
      <c r="A29551" t="inlineStr">
        <is>
          <t>Maghipid</t>
        </is>
      </c>
    </row>
    <row r="29552" spans="1:1">
      <c r="A29552" t="inlineStr">
        <is>
          <t>Magsaysay</t>
        </is>
      </c>
    </row>
    <row r="29553" spans="1:1">
      <c r="A29553" t="inlineStr">
        <is>
          <t>Osmeña</t>
        </is>
      </c>
    </row>
    <row r="29554" spans="1:1">
      <c r="A29554" t="inlineStr">
        <is>
          <t>Paguite</t>
        </is>
      </c>
    </row>
    <row r="29555" spans="1:1">
      <c r="A29555" t="inlineStr">
        <is>
          <t>Roxas</t>
        </is>
      </c>
    </row>
    <row r="29556" spans="1:1">
      <c r="A29556" t="inlineStr">
        <is>
          <t>Sampaguita</t>
        </is>
      </c>
    </row>
    <row r="29557" spans="1:1">
      <c r="A29557" t="inlineStr">
        <is>
          <t>San Francisco</t>
        </is>
      </c>
    </row>
    <row r="29558" spans="1:1">
      <c r="A29558" t="inlineStr">
        <is>
          <t>San Jose</t>
        </is>
      </c>
    </row>
    <row r="29559" spans="1:1">
      <c r="A29559" t="inlineStr">
        <is>
          <t>San Miguel</t>
        </is>
      </c>
    </row>
    <row r="29560" spans="1:1">
      <c r="A29560" t="inlineStr">
        <is>
          <t>Somoroy</t>
        </is>
      </c>
    </row>
    <row r="29561" spans="1:1">
      <c r="A29561" t="inlineStr">
        <is>
          <t>Upper Caynaga</t>
        </is>
      </c>
    </row>
    <row r="29562" spans="1:1">
      <c r="A29562" t="inlineStr">
        <is>
          <t>Burgos</t>
        </is>
      </c>
    </row>
    <row r="29563" spans="1:1">
      <c r="A29563" t="inlineStr">
        <is>
          <t>Del Norte</t>
        </is>
      </c>
    </row>
    <row r="29564" spans="1:1">
      <c r="A29564" t="inlineStr">
        <is>
          <t>Del Sur</t>
        </is>
      </c>
    </row>
    <row r="29565" spans="1:1">
      <c r="A29565" t="inlineStr">
        <is>
          <t>E. Laodenio</t>
        </is>
      </c>
    </row>
    <row r="29566" spans="1:1">
      <c r="A29566" t="inlineStr">
        <is>
          <t>Jubasan</t>
        </is>
      </c>
    </row>
    <row r="29567" spans="1:1">
      <c r="A29567" t="inlineStr">
        <is>
          <t>Magsaysay</t>
        </is>
      </c>
    </row>
    <row r="29568" spans="1:1">
      <c r="A29568" t="inlineStr">
        <is>
          <t>Magtaon</t>
        </is>
      </c>
    </row>
    <row r="29569" spans="1:1">
      <c r="A29569" t="inlineStr">
        <is>
          <t>Manaybanay</t>
        </is>
      </c>
    </row>
    <row r="29570" spans="1:1">
      <c r="A29570" t="inlineStr">
        <is>
          <t>Naparasan</t>
        </is>
      </c>
    </row>
    <row r="29571" spans="1:1">
      <c r="A29571" t="inlineStr">
        <is>
          <t>Quezon</t>
        </is>
      </c>
    </row>
    <row r="29572" spans="1:1">
      <c r="A29572" t="inlineStr">
        <is>
          <t>San Jose</t>
        </is>
      </c>
    </row>
    <row r="29573" spans="1:1">
      <c r="A29573" t="inlineStr">
        <is>
          <t>Santa Potenciana</t>
        </is>
      </c>
    </row>
    <row r="29574" spans="1:1">
      <c r="A29574" t="inlineStr">
        <is>
          <t>Siljagon</t>
        </is>
      </c>
    </row>
    <row r="29575" spans="1:1">
      <c r="A29575" t="inlineStr">
        <is>
          <t>Bagasbas</t>
        </is>
      </c>
    </row>
    <row r="29576" spans="1:1">
      <c r="A29576" t="inlineStr">
        <is>
          <t>Bugko</t>
        </is>
      </c>
    </row>
    <row r="29577" spans="1:1">
      <c r="A29577" t="inlineStr">
        <is>
          <t>Cablangan</t>
        </is>
      </c>
    </row>
    <row r="29578" spans="1:1">
      <c r="A29578" t="inlineStr">
        <is>
          <t>Cagmanaba</t>
        </is>
      </c>
    </row>
    <row r="29579" spans="1:1">
      <c r="A29579" t="inlineStr">
        <is>
          <t>Cahicsan</t>
        </is>
      </c>
    </row>
    <row r="29580" spans="1:1">
      <c r="A29580" t="inlineStr">
        <is>
          <t>Chitongco</t>
        </is>
      </c>
    </row>
    <row r="29581" spans="1:1">
      <c r="A29581" t="inlineStr">
        <is>
          <t>De Maria</t>
        </is>
      </c>
    </row>
    <row r="29582" spans="1:1">
      <c r="A29582" t="inlineStr">
        <is>
          <t>Doña Lucia</t>
        </is>
      </c>
    </row>
    <row r="29583" spans="1:1">
      <c r="A29583" t="inlineStr">
        <is>
          <t>Eco</t>
        </is>
      </c>
    </row>
    <row r="29584" spans="1:1">
      <c r="A29584" t="inlineStr">
        <is>
          <t>Flormina</t>
        </is>
      </c>
    </row>
    <row r="29585" spans="1:1">
      <c r="A29585" t="inlineStr">
        <is>
          <t>Hinabangan</t>
        </is>
      </c>
    </row>
    <row r="29586" spans="1:1">
      <c r="A29586" t="inlineStr">
        <is>
          <t>Imelda</t>
        </is>
      </c>
    </row>
    <row r="29587" spans="1:1">
      <c r="A29587" t="inlineStr">
        <is>
          <t>La Trinidad</t>
        </is>
      </c>
    </row>
    <row r="29588" spans="1:1">
      <c r="A29588" t="inlineStr">
        <is>
          <t>Makiwalo</t>
        </is>
      </c>
    </row>
    <row r="29589" spans="1:1">
      <c r="A29589" t="inlineStr">
        <is>
          <t>Mirador</t>
        </is>
      </c>
    </row>
    <row r="29590" spans="1:1">
      <c r="A29590" t="inlineStr">
        <is>
          <t>Nenita</t>
        </is>
      </c>
    </row>
    <row r="29591" spans="1:1">
      <c r="A29591" t="inlineStr">
        <is>
          <t>Roxas</t>
        </is>
      </c>
    </row>
    <row r="29592" spans="1:1">
      <c r="A29592" t="inlineStr">
        <is>
          <t>San Agustin</t>
        </is>
      </c>
    </row>
    <row r="29593" spans="1:1">
      <c r="A29593" t="inlineStr">
        <is>
          <t>San Antonio</t>
        </is>
      </c>
    </row>
    <row r="29594" spans="1:1">
      <c r="A29594" t="inlineStr">
        <is>
          <t>San Isidro</t>
        </is>
      </c>
    </row>
    <row r="29595" spans="1:1">
      <c r="A29595" t="inlineStr">
        <is>
          <t>San Jose</t>
        </is>
      </c>
    </row>
    <row r="29596" spans="1:1">
      <c r="A29596" t="inlineStr">
        <is>
          <t>San Juan</t>
        </is>
      </c>
    </row>
    <row r="29597" spans="1:1">
      <c r="A29597" t="inlineStr">
        <is>
          <t>Santa Catalina</t>
        </is>
      </c>
    </row>
    <row r="29598" spans="1:1">
      <c r="A29598" t="inlineStr">
        <is>
          <t>Talolora</t>
        </is>
      </c>
    </row>
    <row r="29599" spans="1:1">
      <c r="A29599" t="inlineStr">
        <is>
          <t>Asum</t>
        </is>
      </c>
    </row>
    <row r="29600" spans="1:1">
      <c r="A29600" t="inlineStr">
        <is>
          <t>Bagacay</t>
        </is>
      </c>
    </row>
    <row r="29601" spans="1:1">
      <c r="A29601" t="inlineStr">
        <is>
          <t>Bangon</t>
        </is>
      </c>
    </row>
    <row r="29602" spans="1:1">
      <c r="A29602" t="inlineStr">
        <is>
          <t>Benigno S. Aquino, Jr.</t>
        </is>
      </c>
    </row>
    <row r="29603" spans="1:1">
      <c r="A29603" t="inlineStr">
        <is>
          <t>Binay</t>
        </is>
      </c>
    </row>
    <row r="29604" spans="1:1">
      <c r="A29604" t="inlineStr">
        <is>
          <t>Cabariwan</t>
        </is>
      </c>
    </row>
    <row r="29605" spans="1:1">
      <c r="A29605" t="inlineStr">
        <is>
          <t>Cabatuan</t>
        </is>
      </c>
    </row>
    <row r="29606" spans="1:1">
      <c r="A29606" t="inlineStr">
        <is>
          <t>Campedico</t>
        </is>
      </c>
    </row>
    <row r="29607" spans="1:1">
      <c r="A29607" t="inlineStr">
        <is>
          <t>Capacujan</t>
        </is>
      </c>
    </row>
    <row r="29608" spans="1:1">
      <c r="A29608" t="inlineStr">
        <is>
          <t>Jangtud</t>
        </is>
      </c>
    </row>
    <row r="29609" spans="1:1">
      <c r="A29609" t="inlineStr">
        <is>
          <t>Laniwan</t>
        </is>
      </c>
    </row>
    <row r="29610" spans="1:1">
      <c r="A29610" t="inlineStr">
        <is>
          <t>Mabaras</t>
        </is>
      </c>
    </row>
    <row r="29611" spans="1:1">
      <c r="A29611" t="inlineStr">
        <is>
          <t>Magsaysay</t>
        </is>
      </c>
    </row>
    <row r="29612" spans="1:1">
      <c r="A29612" t="inlineStr">
        <is>
          <t>Manajao</t>
        </is>
      </c>
    </row>
    <row r="29613" spans="1:1">
      <c r="A29613" t="inlineStr">
        <is>
          <t>Mapno</t>
        </is>
      </c>
    </row>
    <row r="29614" spans="1:1">
      <c r="A29614" t="inlineStr">
        <is>
          <t>Maragano</t>
        </is>
      </c>
    </row>
    <row r="29615" spans="1:1">
      <c r="A29615" t="inlineStr">
        <is>
          <t>Matambag</t>
        </is>
      </c>
    </row>
    <row r="29616" spans="1:1">
      <c r="A29616" t="inlineStr">
        <is>
          <t>Monbon</t>
        </is>
      </c>
    </row>
    <row r="29617" spans="1:1">
      <c r="A29617" t="inlineStr">
        <is>
          <t>Nagbobtac</t>
        </is>
      </c>
    </row>
    <row r="29618" spans="1:1">
      <c r="A29618" t="inlineStr">
        <is>
          <t>Napo</t>
        </is>
      </c>
    </row>
    <row r="29619" spans="1:1">
      <c r="A29619" t="inlineStr">
        <is>
          <t>Natawo</t>
        </is>
      </c>
    </row>
    <row r="29620" spans="1:1">
      <c r="A29620" t="inlineStr">
        <is>
          <t>Nipa</t>
        </is>
      </c>
    </row>
    <row r="29621" spans="1:1">
      <c r="A29621" t="inlineStr">
        <is>
          <t>Osmeña</t>
        </is>
      </c>
    </row>
    <row r="29622" spans="1:1">
      <c r="A29622" t="inlineStr">
        <is>
          <t>Pangpang</t>
        </is>
      </c>
    </row>
    <row r="29623" spans="1:1">
      <c r="A29623" t="inlineStr">
        <is>
          <t>Paysud</t>
        </is>
      </c>
    </row>
    <row r="29624" spans="1:1">
      <c r="A29624" t="inlineStr">
        <is>
          <t>Sangay</t>
        </is>
      </c>
    </row>
    <row r="29625" spans="1:1">
      <c r="A29625" t="inlineStr">
        <is>
          <t>Simora</t>
        </is>
      </c>
    </row>
    <row r="29626" spans="1:1">
      <c r="A29626" t="inlineStr">
        <is>
          <t>Sinalaran</t>
        </is>
      </c>
    </row>
    <row r="29627" spans="1:1">
      <c r="A29627" t="inlineStr">
        <is>
          <t>Sumoroy</t>
        </is>
      </c>
    </row>
    <row r="29628" spans="1:1">
      <c r="A29628" t="inlineStr">
        <is>
          <t>Talolora</t>
        </is>
      </c>
    </row>
    <row r="29629" spans="1:1">
      <c r="A29629" t="inlineStr">
        <is>
          <t>Tambangan</t>
        </is>
      </c>
    </row>
    <row r="29630" spans="1:1">
      <c r="A29630" t="inlineStr">
        <is>
          <t>Tinampo</t>
        </is>
      </c>
    </row>
    <row r="29631" spans="1:1">
      <c r="A29631" t="inlineStr">
        <is>
          <t>Cababto-an</t>
        </is>
      </c>
    </row>
    <row r="29632" spans="1:1">
      <c r="A29632" t="inlineStr">
        <is>
          <t>Cabari-an</t>
        </is>
      </c>
    </row>
    <row r="29633" spans="1:1">
      <c r="A29633" t="inlineStr">
        <is>
          <t>Cagbigajo</t>
        </is>
      </c>
    </row>
    <row r="29634" spans="1:1">
      <c r="A29634" t="inlineStr">
        <is>
          <t>Camparanga</t>
        </is>
      </c>
    </row>
    <row r="29635" spans="1:1">
      <c r="A29635" t="inlineStr">
        <is>
          <t>Canjumadal</t>
        </is>
      </c>
    </row>
    <row r="29636" spans="1:1">
      <c r="A29636" t="inlineStr">
        <is>
          <t>Doña Anecita</t>
        </is>
      </c>
    </row>
    <row r="29637" spans="1:1">
      <c r="A29637" t="inlineStr">
        <is>
          <t>Ge-adgawan</t>
        </is>
      </c>
    </row>
    <row r="29638" spans="1:1">
      <c r="A29638" t="inlineStr">
        <is>
          <t>Geparayan</t>
        </is>
      </c>
    </row>
    <row r="29639" spans="1:1">
      <c r="A29639" t="inlineStr">
        <is>
          <t>Ginulgan</t>
        </is>
      </c>
    </row>
    <row r="29640" spans="1:1">
      <c r="A29640" t="inlineStr">
        <is>
          <t>Igot</t>
        </is>
      </c>
    </row>
    <row r="29641" spans="1:1">
      <c r="A29641" t="inlineStr">
        <is>
          <t>Inanahawan</t>
        </is>
      </c>
    </row>
    <row r="29642" spans="1:1">
      <c r="A29642" t="inlineStr">
        <is>
          <t>Manahao</t>
        </is>
      </c>
    </row>
    <row r="29643" spans="1:1">
      <c r="A29643" t="inlineStr">
        <is>
          <t>Paninirongan</t>
        </is>
      </c>
    </row>
    <row r="29644" spans="1:1">
      <c r="A29644" t="inlineStr">
        <is>
          <t>Poblacion District 1</t>
        </is>
      </c>
    </row>
    <row r="29645" spans="1:1">
      <c r="A29645" t="inlineStr">
        <is>
          <t>Poblacion District 2</t>
        </is>
      </c>
    </row>
    <row r="29646" spans="1:1">
      <c r="A29646" t="inlineStr">
        <is>
          <t>Poblacion District 3</t>
        </is>
      </c>
    </row>
    <row r="29647" spans="1:1">
      <c r="A29647" t="inlineStr">
        <is>
          <t>Poblacion District 4</t>
        </is>
      </c>
    </row>
    <row r="29648" spans="1:1">
      <c r="A29648" t="inlineStr">
        <is>
          <t>Poblacion District 5</t>
        </is>
      </c>
    </row>
    <row r="29649" spans="1:1">
      <c r="A29649" t="inlineStr">
        <is>
          <t>Poblacion District 6</t>
        </is>
      </c>
    </row>
    <row r="29650" spans="1:1">
      <c r="A29650" t="inlineStr">
        <is>
          <t>Poblacion District 7</t>
        </is>
      </c>
    </row>
    <row r="29651" spans="1:1">
      <c r="A29651" t="inlineStr">
        <is>
          <t>Poblacion District 8</t>
        </is>
      </c>
    </row>
    <row r="29652" spans="1:1">
      <c r="A29652" t="inlineStr">
        <is>
          <t>San Ramon</t>
        </is>
      </c>
    </row>
    <row r="29653" spans="1:1">
      <c r="A29653" t="inlineStr">
        <is>
          <t>Senonogan</t>
        </is>
      </c>
    </row>
    <row r="29654" spans="1:1">
      <c r="A29654" t="inlineStr">
        <is>
          <t>Sixto T. Balanguit, Sr.</t>
        </is>
      </c>
    </row>
    <row r="29655" spans="1:1">
      <c r="A29655" t="inlineStr">
        <is>
          <t>Tula</t>
        </is>
      </c>
    </row>
    <row r="29656" spans="1:1">
      <c r="A29656" t="inlineStr">
        <is>
          <t>Ynaguingayan</t>
        </is>
      </c>
    </row>
    <row r="29657" spans="1:1">
      <c r="A29657" t="inlineStr">
        <is>
          <t>Aguada</t>
        </is>
      </c>
    </row>
    <row r="29658" spans="1:1">
      <c r="A29658" t="inlineStr">
        <is>
          <t>Bantolinao</t>
        </is>
      </c>
    </row>
    <row r="29659" spans="1:1">
      <c r="A29659" t="inlineStr">
        <is>
          <t>Buenavista</t>
        </is>
      </c>
    </row>
    <row r="29660" spans="1:1">
      <c r="A29660" t="inlineStr">
        <is>
          <t>Commonwealth</t>
        </is>
      </c>
    </row>
    <row r="29661" spans="1:1">
      <c r="A29661" t="inlineStr">
        <is>
          <t>Guindaulan</t>
        </is>
      </c>
    </row>
    <row r="29662" spans="1:1">
      <c r="A29662" t="inlineStr">
        <is>
          <t>Jamoog</t>
        </is>
      </c>
    </row>
    <row r="29663" spans="1:1">
      <c r="A29663" t="inlineStr">
        <is>
          <t>Kailingan</t>
        </is>
      </c>
    </row>
    <row r="29664" spans="1:1">
      <c r="A29664" t="inlineStr">
        <is>
          <t>Ligaya</t>
        </is>
      </c>
    </row>
    <row r="29665" spans="1:1">
      <c r="A29665" t="inlineStr">
        <is>
          <t>Poblacion</t>
        </is>
      </c>
    </row>
    <row r="29666" spans="1:1">
      <c r="A29666" t="inlineStr">
        <is>
          <t>Salhag</t>
        </is>
      </c>
    </row>
    <row r="29667" spans="1:1">
      <c r="A29667" t="inlineStr">
        <is>
          <t>San Lorenzo</t>
        </is>
      </c>
    </row>
    <row r="29668" spans="1:1">
      <c r="A29668" t="inlineStr">
        <is>
          <t>Burabod</t>
        </is>
      </c>
    </row>
    <row r="29669" spans="1:1">
      <c r="A29669" t="inlineStr">
        <is>
          <t>Dalupirit</t>
        </is>
      </c>
    </row>
    <row r="29670" spans="1:1">
      <c r="A29670" t="inlineStr">
        <is>
          <t>Manraya</t>
        </is>
      </c>
    </row>
    <row r="29671" spans="1:1">
      <c r="A29671" t="inlineStr">
        <is>
          <t>Pilar</t>
        </is>
      </c>
    </row>
    <row r="29672" spans="1:1">
      <c r="A29672" t="inlineStr">
        <is>
          <t>Rizal</t>
        </is>
      </c>
    </row>
    <row r="29673" spans="1:1">
      <c r="A29673" t="inlineStr">
        <is>
          <t>San Nicolas</t>
        </is>
      </c>
    </row>
    <row r="29674" spans="1:1">
      <c r="A29674" t="inlineStr">
        <is>
          <t>Vinisitahan</t>
        </is>
      </c>
    </row>
    <row r="29675" spans="1:1">
      <c r="A29675" t="inlineStr">
        <is>
          <t>Ward I</t>
        </is>
      </c>
    </row>
    <row r="29676" spans="1:1">
      <c r="A29676" t="inlineStr">
        <is>
          <t>Ward II</t>
        </is>
      </c>
    </row>
    <row r="29677" spans="1:1">
      <c r="A29677" t="inlineStr">
        <is>
          <t>Ward III</t>
        </is>
      </c>
    </row>
    <row r="29678" spans="1:1">
      <c r="A29678" t="inlineStr">
        <is>
          <t>Alegria</t>
        </is>
      </c>
    </row>
    <row r="29679" spans="1:1">
      <c r="A29679" t="inlineStr">
        <is>
          <t>Balite</t>
        </is>
      </c>
    </row>
    <row r="29680" spans="1:1">
      <c r="A29680" t="inlineStr">
        <is>
          <t>Buenavista</t>
        </is>
      </c>
    </row>
    <row r="29681" spans="1:1">
      <c r="A29681" t="inlineStr">
        <is>
          <t>Caglanipao</t>
        </is>
      </c>
    </row>
    <row r="29682" spans="1:1">
      <c r="A29682" t="inlineStr">
        <is>
          <t>Happy Valley</t>
        </is>
      </c>
    </row>
    <row r="29683" spans="1:1">
      <c r="A29683" t="inlineStr">
        <is>
          <t>Mabuhay</t>
        </is>
      </c>
    </row>
    <row r="29684" spans="1:1">
      <c r="A29684" t="inlineStr">
        <is>
          <t>Palanit</t>
        </is>
      </c>
    </row>
    <row r="29685" spans="1:1">
      <c r="A29685" t="inlineStr">
        <is>
          <t>Poblacion Norte</t>
        </is>
      </c>
    </row>
    <row r="29686" spans="1:1">
      <c r="A29686" t="inlineStr">
        <is>
          <t>Poblacion Sur</t>
        </is>
      </c>
    </row>
    <row r="29687" spans="1:1">
      <c r="A29687" t="inlineStr">
        <is>
          <t>Salvacion</t>
        </is>
      </c>
    </row>
    <row r="29688" spans="1:1">
      <c r="A29688" t="inlineStr">
        <is>
          <t>San Juan</t>
        </is>
      </c>
    </row>
    <row r="29689" spans="1:1">
      <c r="A29689" t="inlineStr">
        <is>
          <t>San Roque</t>
        </is>
      </c>
    </row>
    <row r="29690" spans="1:1">
      <c r="A29690" t="inlineStr">
        <is>
          <t>Seven Hills</t>
        </is>
      </c>
    </row>
    <row r="29691" spans="1:1">
      <c r="A29691" t="inlineStr">
        <is>
          <t>Veriato</t>
        </is>
      </c>
    </row>
    <row r="29692" spans="1:1">
      <c r="A29692" t="inlineStr">
        <is>
          <t>Aguadahan</t>
        </is>
      </c>
    </row>
    <row r="29693" spans="1:1">
      <c r="A29693" t="inlineStr">
        <is>
          <t>Bagong Sabang</t>
        </is>
      </c>
    </row>
    <row r="29694" spans="1:1">
      <c r="A29694" t="inlineStr">
        <is>
          <t>Balite</t>
        </is>
      </c>
    </row>
    <row r="29695" spans="1:1">
      <c r="A29695" t="inlineStr">
        <is>
          <t>Barangay East</t>
        </is>
      </c>
    </row>
    <row r="29696" spans="1:1">
      <c r="A29696" t="inlineStr">
        <is>
          <t>Barangay North</t>
        </is>
      </c>
    </row>
    <row r="29697" spans="1:1">
      <c r="A29697" t="inlineStr">
        <is>
          <t>Barangay South</t>
        </is>
      </c>
    </row>
    <row r="29698" spans="1:1">
      <c r="A29698" t="inlineStr">
        <is>
          <t>Barangay West</t>
        </is>
      </c>
    </row>
    <row r="29699" spans="1:1">
      <c r="A29699" t="inlineStr">
        <is>
          <t>Bonglas</t>
        </is>
      </c>
    </row>
    <row r="29700" spans="1:1">
      <c r="A29700" t="inlineStr">
        <is>
          <t>Da-o</t>
        </is>
      </c>
    </row>
    <row r="29701" spans="1:1">
      <c r="A29701" t="inlineStr">
        <is>
          <t>Gengarog</t>
        </is>
      </c>
    </row>
    <row r="29702" spans="1:1">
      <c r="A29702" t="inlineStr">
        <is>
          <t>Geratag</t>
        </is>
      </c>
    </row>
    <row r="29703" spans="1:1">
      <c r="A29703" t="inlineStr">
        <is>
          <t>Layuhan</t>
        </is>
      </c>
    </row>
    <row r="29704" spans="1:1">
      <c r="A29704" t="inlineStr">
        <is>
          <t>Mandugang</t>
        </is>
      </c>
    </row>
    <row r="29705" spans="1:1">
      <c r="A29705" t="inlineStr">
        <is>
          <t>P. Tingzon</t>
        </is>
      </c>
    </row>
    <row r="29706" spans="1:1">
      <c r="A29706" t="inlineStr">
        <is>
          <t>San Lorenzo</t>
        </is>
      </c>
    </row>
    <row r="29707" spans="1:1">
      <c r="A29707" t="inlineStr">
        <is>
          <t>Tubigdanao</t>
        </is>
      </c>
    </row>
    <row r="29708" spans="1:1">
      <c r="A29708" t="inlineStr">
        <is>
          <t>Balnasan</t>
        </is>
      </c>
    </row>
    <row r="29709" spans="1:1">
      <c r="A29709" t="inlineStr">
        <is>
          <t>Balud</t>
        </is>
      </c>
    </row>
    <row r="29710" spans="1:1">
      <c r="A29710" t="inlineStr">
        <is>
          <t>Bantayan</t>
        </is>
      </c>
    </row>
    <row r="29711" spans="1:1">
      <c r="A29711" t="inlineStr">
        <is>
          <t>Coroconog</t>
        </is>
      </c>
    </row>
    <row r="29712" spans="1:1">
      <c r="A29712" t="inlineStr">
        <is>
          <t>Dale</t>
        </is>
      </c>
    </row>
    <row r="29713" spans="1:1">
      <c r="A29713" t="inlineStr">
        <is>
          <t>Ginagdanan</t>
        </is>
      </c>
    </row>
    <row r="29714" spans="1:1">
      <c r="A29714" t="inlineStr">
        <is>
          <t>Lao-angan</t>
        </is>
      </c>
    </row>
    <row r="29715" spans="1:1">
      <c r="A29715" t="inlineStr">
        <is>
          <t>Lawaan</t>
        </is>
      </c>
    </row>
    <row r="29716" spans="1:1">
      <c r="A29716" t="inlineStr">
        <is>
          <t>Malobago</t>
        </is>
      </c>
    </row>
    <row r="29717" spans="1:1">
      <c r="A29717" t="inlineStr">
        <is>
          <t>Pagsang-an</t>
        </is>
      </c>
    </row>
    <row r="29718" spans="1:1">
      <c r="A29718" t="inlineStr">
        <is>
          <t>Zone 1</t>
        </is>
      </c>
    </row>
    <row r="29719" spans="1:1">
      <c r="A29719" t="inlineStr">
        <is>
          <t>Zone 2</t>
        </is>
      </c>
    </row>
    <row r="29720" spans="1:1">
      <c r="A29720" t="inlineStr">
        <is>
          <t>Zone 3</t>
        </is>
      </c>
    </row>
    <row r="29721" spans="1:1">
      <c r="A29721" t="inlineStr">
        <is>
          <t>Zone 4</t>
        </is>
      </c>
    </row>
    <row r="29722" spans="1:1">
      <c r="A29722" t="inlineStr">
        <is>
          <t>Zone 5</t>
        </is>
      </c>
    </row>
    <row r="29723" spans="1:1">
      <c r="A29723" t="inlineStr">
        <is>
          <t>Zone 6</t>
        </is>
      </c>
    </row>
    <row r="29724" spans="1:1">
      <c r="A29724" t="inlineStr">
        <is>
          <t>Destacado Pob.</t>
        </is>
      </c>
    </row>
    <row r="29725" spans="1:1">
      <c r="A29725" t="inlineStr">
        <is>
          <t>Maragat</t>
        </is>
      </c>
    </row>
    <row r="29726" spans="1:1">
      <c r="A29726" t="inlineStr">
        <is>
          <t>Mongol Bongol Pob.</t>
        </is>
      </c>
    </row>
    <row r="29727" spans="1:1">
      <c r="A29727" t="inlineStr">
        <is>
          <t>Punta Pob.</t>
        </is>
      </c>
    </row>
    <row r="29728" spans="1:1">
      <c r="A29728" t="inlineStr">
        <is>
          <t>Sangputan</t>
        </is>
      </c>
    </row>
    <row r="29729" spans="1:1">
      <c r="A29729" t="inlineStr">
        <is>
          <t>Sila</t>
        </is>
      </c>
    </row>
    <row r="29730" spans="1:1">
      <c r="A29730" t="inlineStr">
        <is>
          <t>Tarnate</t>
        </is>
      </c>
    </row>
    <row r="29731" spans="1:1">
      <c r="A29731" t="inlineStr">
        <is>
          <t>Balud</t>
        </is>
      </c>
    </row>
    <row r="29732" spans="1:1">
      <c r="A29732" t="inlineStr">
        <is>
          <t>Cababayogan</t>
        </is>
      </c>
    </row>
    <row r="29733" spans="1:1">
      <c r="A29733" t="inlineStr">
        <is>
          <t>Cabunga-an</t>
        </is>
      </c>
    </row>
    <row r="29734" spans="1:1">
      <c r="A29734" t="inlineStr">
        <is>
          <t>Cagda-o</t>
        </is>
      </c>
    </row>
    <row r="29735" spans="1:1">
      <c r="A29735" t="inlineStr">
        <is>
          <t>Caghilot</t>
        </is>
      </c>
    </row>
    <row r="29736" spans="1:1">
      <c r="A29736" t="inlineStr">
        <is>
          <t>Camanggaran</t>
        </is>
      </c>
    </row>
    <row r="29737" spans="1:1">
      <c r="A29737" t="inlineStr">
        <is>
          <t>Camaya-an</t>
        </is>
      </c>
    </row>
    <row r="29738" spans="1:1">
      <c r="A29738" t="inlineStr">
        <is>
          <t>Deit De Suba</t>
        </is>
      </c>
    </row>
    <row r="29739" spans="1:1">
      <c r="A29739" t="inlineStr">
        <is>
          <t>Deit De Turag</t>
        </is>
      </c>
    </row>
    <row r="29740" spans="1:1">
      <c r="A29740" t="inlineStr">
        <is>
          <t>Gebolwangan</t>
        </is>
      </c>
    </row>
    <row r="29741" spans="1:1">
      <c r="A29741" t="inlineStr">
        <is>
          <t>Gebonawan</t>
        </is>
      </c>
    </row>
    <row r="29742" spans="1:1">
      <c r="A29742" t="inlineStr">
        <is>
          <t>Gecbo-an</t>
        </is>
      </c>
    </row>
    <row r="29743" spans="1:1">
      <c r="A29743" t="inlineStr">
        <is>
          <t>Genagasan</t>
        </is>
      </c>
    </row>
    <row r="29744" spans="1:1">
      <c r="A29744" t="inlineStr">
        <is>
          <t>Geparayan De Turag</t>
        </is>
      </c>
    </row>
    <row r="29745" spans="1:1">
      <c r="A29745" t="inlineStr">
        <is>
          <t>Giguimitan</t>
        </is>
      </c>
    </row>
    <row r="29746" spans="1:1">
      <c r="A29746" t="inlineStr">
        <is>
          <t>Gusaran</t>
        </is>
      </c>
    </row>
    <row r="29747" spans="1:1">
      <c r="A29747" t="inlineStr">
        <is>
          <t>Imelda</t>
        </is>
      </c>
    </row>
    <row r="29748" spans="1:1">
      <c r="A29748" t="inlineStr">
        <is>
          <t>Montalban</t>
        </is>
      </c>
    </row>
    <row r="29749" spans="1:1">
      <c r="A29749" t="inlineStr">
        <is>
          <t>Poblacion I</t>
        </is>
      </c>
    </row>
    <row r="29750" spans="1:1">
      <c r="A29750" t="inlineStr">
        <is>
          <t>Poblacion II</t>
        </is>
      </c>
    </row>
    <row r="29751" spans="1:1">
      <c r="A29751" t="inlineStr">
        <is>
          <t>San Antonio</t>
        </is>
      </c>
    </row>
    <row r="29752" spans="1:1">
      <c r="A29752" t="inlineStr">
        <is>
          <t>San Isidro</t>
        </is>
      </c>
    </row>
    <row r="29753" spans="1:1">
      <c r="A29753" t="inlineStr">
        <is>
          <t>Senonogan de Tubang</t>
        </is>
      </c>
    </row>
    <row r="29754" spans="1:1">
      <c r="A29754" t="inlineStr">
        <is>
          <t>Suba</t>
        </is>
      </c>
    </row>
    <row r="29755" spans="1:1">
      <c r="A29755" t="inlineStr">
        <is>
          <t>Tobgon</t>
        </is>
      </c>
    </row>
    <row r="29756" spans="1:1">
      <c r="A29756" t="inlineStr">
        <is>
          <t>Victory</t>
        </is>
      </c>
    </row>
    <row r="29757" spans="1:1">
      <c r="A29757" t="inlineStr">
        <is>
          <t>Acedillo</t>
        </is>
      </c>
    </row>
    <row r="29758" spans="1:1">
      <c r="A29758" t="inlineStr">
        <is>
          <t>Buenasuerte</t>
        </is>
      </c>
    </row>
    <row r="29759" spans="1:1">
      <c r="A29759" t="inlineStr">
        <is>
          <t>Buenos Aires</t>
        </is>
      </c>
    </row>
    <row r="29760" spans="1:1">
      <c r="A29760" t="inlineStr">
        <is>
          <t>Colab-og</t>
        </is>
      </c>
    </row>
    <row r="29761" spans="1:1">
      <c r="A29761" t="inlineStr">
        <is>
          <t>Erenas</t>
        </is>
      </c>
    </row>
    <row r="29762" spans="1:1">
      <c r="A29762" t="inlineStr">
        <is>
          <t>Libertad</t>
        </is>
      </c>
    </row>
    <row r="29763" spans="1:1">
      <c r="A29763" t="inlineStr">
        <is>
          <t>Luisita</t>
        </is>
      </c>
    </row>
    <row r="29764" spans="1:1">
      <c r="A29764" t="inlineStr">
        <is>
          <t>Lungib</t>
        </is>
      </c>
    </row>
    <row r="29765" spans="1:1">
      <c r="A29765" t="inlineStr">
        <is>
          <t>Maxvilla</t>
        </is>
      </c>
    </row>
    <row r="29766" spans="1:1">
      <c r="A29766" t="inlineStr">
        <is>
          <t>Pasabuena</t>
        </is>
      </c>
    </row>
    <row r="29767" spans="1:1">
      <c r="A29767" t="inlineStr">
        <is>
          <t>San Lazaro</t>
        </is>
      </c>
    </row>
    <row r="29768" spans="1:1">
      <c r="A29768" t="inlineStr">
        <is>
          <t>San Miguel</t>
        </is>
      </c>
    </row>
    <row r="29769" spans="1:1">
      <c r="A29769" t="inlineStr">
        <is>
          <t>San Roman</t>
        </is>
      </c>
    </row>
    <row r="29770" spans="1:1">
      <c r="A29770" t="inlineStr">
        <is>
          <t>Zone I</t>
        </is>
      </c>
    </row>
    <row r="29771" spans="1:1">
      <c r="A29771" t="inlineStr">
        <is>
          <t>Zone II</t>
        </is>
      </c>
    </row>
    <row r="29772" spans="1:1">
      <c r="A29772" t="inlineStr">
        <is>
          <t>Zone III</t>
        </is>
      </c>
    </row>
    <row r="29773" spans="1:1">
      <c r="A29773" t="inlineStr">
        <is>
          <t>Betes</t>
        </is>
      </c>
    </row>
    <row r="29774" spans="1:1">
      <c r="A29774" t="inlineStr">
        <is>
          <t>Bibiclat</t>
        </is>
      </c>
    </row>
    <row r="29775" spans="1:1">
      <c r="A29775" t="inlineStr">
        <is>
          <t>Bucot</t>
        </is>
      </c>
    </row>
    <row r="29776" spans="1:1">
      <c r="A29776" t="inlineStr">
        <is>
          <t>La Purisima</t>
        </is>
      </c>
    </row>
    <row r="29777" spans="1:1">
      <c r="A29777" t="inlineStr">
        <is>
          <t>Macabucod</t>
        </is>
      </c>
    </row>
    <row r="29778" spans="1:1">
      <c r="A29778" t="inlineStr">
        <is>
          <t>Magsaysay</t>
        </is>
      </c>
    </row>
    <row r="29779" spans="1:1">
      <c r="A29779" t="inlineStr">
        <is>
          <t>Pantoc</t>
        </is>
      </c>
    </row>
    <row r="29780" spans="1:1">
      <c r="A29780" t="inlineStr">
        <is>
          <t>Poblacion Centro</t>
        </is>
      </c>
    </row>
    <row r="29781" spans="1:1">
      <c r="A29781" t="inlineStr">
        <is>
          <t>Poblacion East I</t>
        </is>
      </c>
    </row>
    <row r="29782" spans="1:1">
      <c r="A29782" t="inlineStr">
        <is>
          <t>Poblacion East II</t>
        </is>
      </c>
    </row>
    <row r="29783" spans="1:1">
      <c r="A29783" t="inlineStr">
        <is>
          <t>Poblacion West III</t>
        </is>
      </c>
    </row>
    <row r="29784" spans="1:1">
      <c r="A29784" t="inlineStr">
        <is>
          <t>Poblacion West IV</t>
        </is>
      </c>
    </row>
    <row r="29785" spans="1:1">
      <c r="A29785" t="inlineStr">
        <is>
          <t>San Carlos</t>
        </is>
      </c>
    </row>
    <row r="29786" spans="1:1">
      <c r="A29786" t="inlineStr">
        <is>
          <t>San Emiliano</t>
        </is>
      </c>
    </row>
    <row r="29787" spans="1:1">
      <c r="A29787" t="inlineStr">
        <is>
          <t>San Eustacio</t>
        </is>
      </c>
    </row>
    <row r="29788" spans="1:1">
      <c r="A29788" t="inlineStr">
        <is>
          <t>San Felipe Bata</t>
        </is>
      </c>
    </row>
    <row r="29789" spans="1:1">
      <c r="A29789" t="inlineStr">
        <is>
          <t>San Felipe Matanda</t>
        </is>
      </c>
    </row>
    <row r="29790" spans="1:1">
      <c r="A29790" t="inlineStr">
        <is>
          <t>San Juan</t>
        </is>
      </c>
    </row>
    <row r="29791" spans="1:1">
      <c r="A29791" t="inlineStr">
        <is>
          <t>San Pablo Bata</t>
        </is>
      </c>
    </row>
    <row r="29792" spans="1:1">
      <c r="A29792" t="inlineStr">
        <is>
          <t>San Pablo Matanda</t>
        </is>
      </c>
    </row>
    <row r="29793" spans="1:1">
      <c r="A29793" t="inlineStr">
        <is>
          <t>Santa Monica</t>
        </is>
      </c>
    </row>
    <row r="29794" spans="1:1">
      <c r="A29794" t="inlineStr">
        <is>
          <t>Santiago</t>
        </is>
      </c>
    </row>
    <row r="29795" spans="1:1">
      <c r="A29795" t="inlineStr">
        <is>
          <t>Santo Rosario</t>
        </is>
      </c>
    </row>
    <row r="29796" spans="1:1">
      <c r="A29796" t="inlineStr">
        <is>
          <t>Santo Tomas</t>
        </is>
      </c>
    </row>
    <row r="29797" spans="1:1">
      <c r="A29797" t="inlineStr">
        <is>
          <t>Sunson</t>
        </is>
      </c>
    </row>
    <row r="29798" spans="1:1">
      <c r="A29798" t="inlineStr">
        <is>
          <t>Umangan</t>
        </is>
      </c>
    </row>
    <row r="29799" spans="1:1">
      <c r="A29799" t="inlineStr">
        <is>
          <t>Antipolo</t>
        </is>
      </c>
    </row>
    <row r="29800" spans="1:1">
      <c r="A29800" t="inlineStr">
        <is>
          <t>Ariendo</t>
        </is>
      </c>
    </row>
    <row r="29801" spans="1:1">
      <c r="A29801" t="inlineStr">
        <is>
          <t>Bantug</t>
        </is>
      </c>
    </row>
    <row r="29802" spans="1:1">
      <c r="A29802" t="inlineStr">
        <is>
          <t>Calaanan</t>
        </is>
      </c>
    </row>
    <row r="29803" spans="1:1">
      <c r="A29803" t="inlineStr">
        <is>
          <t>Commercial</t>
        </is>
      </c>
    </row>
    <row r="29804" spans="1:1">
      <c r="A29804" t="inlineStr">
        <is>
          <t>Cruz</t>
        </is>
      </c>
    </row>
    <row r="29805" spans="1:1">
      <c r="A29805" t="inlineStr">
        <is>
          <t>Curva</t>
        </is>
      </c>
    </row>
    <row r="29806" spans="1:1">
      <c r="A29806" t="inlineStr">
        <is>
          <t>Digmala</t>
        </is>
      </c>
    </row>
    <row r="29807" spans="1:1">
      <c r="A29807" t="inlineStr">
        <is>
          <t>Kaingin</t>
        </is>
      </c>
    </row>
    <row r="29808" spans="1:1">
      <c r="A29808" t="inlineStr">
        <is>
          <t>Labi</t>
        </is>
      </c>
    </row>
    <row r="29809" spans="1:1">
      <c r="A29809" t="inlineStr">
        <is>
          <t>Larcon</t>
        </is>
      </c>
    </row>
    <row r="29810" spans="1:1">
      <c r="A29810" t="inlineStr">
        <is>
          <t>Lusok</t>
        </is>
      </c>
    </row>
    <row r="29811" spans="1:1">
      <c r="A29811" t="inlineStr">
        <is>
          <t>Macabaclay</t>
        </is>
      </c>
    </row>
    <row r="29812" spans="1:1">
      <c r="A29812" t="inlineStr">
        <is>
          <t>Magtanggol</t>
        </is>
      </c>
    </row>
    <row r="29813" spans="1:1">
      <c r="A29813" t="inlineStr">
        <is>
          <t>Mantile</t>
        </is>
      </c>
    </row>
    <row r="29814" spans="1:1">
      <c r="A29814" t="inlineStr">
        <is>
          <t>Olivete</t>
        </is>
      </c>
    </row>
    <row r="29815" spans="1:1">
      <c r="A29815" t="inlineStr">
        <is>
          <t>Palo Maria</t>
        </is>
      </c>
    </row>
    <row r="29816" spans="1:1">
      <c r="A29816" t="inlineStr">
        <is>
          <t>Pesa</t>
        </is>
      </c>
    </row>
    <row r="29817" spans="1:1">
      <c r="A29817" t="inlineStr">
        <is>
          <t>Rizal</t>
        </is>
      </c>
    </row>
    <row r="29818" spans="1:1">
      <c r="A29818" t="inlineStr">
        <is>
          <t>Sampalucan</t>
        </is>
      </c>
    </row>
    <row r="29819" spans="1:1">
      <c r="A29819" t="inlineStr">
        <is>
          <t>San Roque</t>
        </is>
      </c>
    </row>
    <row r="29820" spans="1:1">
      <c r="A29820" t="inlineStr">
        <is>
          <t>Santor</t>
        </is>
      </c>
    </row>
    <row r="29821" spans="1:1">
      <c r="A29821" t="inlineStr">
        <is>
          <t>Sinipit</t>
        </is>
      </c>
    </row>
    <row r="29822" spans="1:1">
      <c r="A29822" t="inlineStr">
        <is>
          <t>Sisilang na Ligaya</t>
        </is>
      </c>
    </row>
    <row r="29823" spans="1:1">
      <c r="A29823" t="inlineStr">
        <is>
          <t>Social</t>
        </is>
      </c>
    </row>
    <row r="29824" spans="1:1">
      <c r="A29824" t="inlineStr">
        <is>
          <t>Tugatug</t>
        </is>
      </c>
    </row>
    <row r="29825" spans="1:1">
      <c r="A29825" t="inlineStr">
        <is>
          <t>Tulay na Bato</t>
        </is>
      </c>
    </row>
    <row r="29826" spans="1:1">
      <c r="A29826" t="inlineStr">
        <is>
          <t>Vega</t>
        </is>
      </c>
    </row>
    <row r="29827" spans="1:1">
      <c r="A29827" t="inlineStr">
        <is>
          <t>Bagong Buhay</t>
        </is>
      </c>
    </row>
    <row r="29828" spans="1:1">
      <c r="A29828" t="inlineStr">
        <is>
          <t>Bagong Sikat</t>
        </is>
      </c>
    </row>
    <row r="29829" spans="1:1">
      <c r="A29829" t="inlineStr">
        <is>
          <t>Bagong Silang</t>
        </is>
      </c>
    </row>
    <row r="29830" spans="1:1">
      <c r="A29830" t="inlineStr">
        <is>
          <t>Concepcion</t>
        </is>
      </c>
    </row>
    <row r="29831" spans="1:1">
      <c r="A29831" t="inlineStr">
        <is>
          <t>Entablado</t>
        </is>
      </c>
    </row>
    <row r="29832" spans="1:1">
      <c r="A29832" t="inlineStr">
        <is>
          <t>Maligaya</t>
        </is>
      </c>
    </row>
    <row r="29833" spans="1:1">
      <c r="A29833" t="inlineStr">
        <is>
          <t>Natividad North</t>
        </is>
      </c>
    </row>
    <row r="29834" spans="1:1">
      <c r="A29834" t="inlineStr">
        <is>
          <t>Natividad South</t>
        </is>
      </c>
    </row>
    <row r="29835" spans="1:1">
      <c r="A29835" t="inlineStr">
        <is>
          <t>Palasinan</t>
        </is>
      </c>
    </row>
    <row r="29836" spans="1:1">
      <c r="A29836" t="inlineStr">
        <is>
          <t>Polilio</t>
        </is>
      </c>
    </row>
    <row r="29837" spans="1:1">
      <c r="A29837" t="inlineStr">
        <is>
          <t>San Antonio</t>
        </is>
      </c>
    </row>
    <row r="29838" spans="1:1">
      <c r="A29838" t="inlineStr">
        <is>
          <t>San Carlos</t>
        </is>
      </c>
    </row>
    <row r="29839" spans="1:1">
      <c r="A29839" t="inlineStr">
        <is>
          <t>San Fernando Norte</t>
        </is>
      </c>
    </row>
    <row r="29840" spans="1:1">
      <c r="A29840" t="inlineStr">
        <is>
          <t>San Fernando Sur</t>
        </is>
      </c>
    </row>
    <row r="29841" spans="1:1">
      <c r="A29841" t="inlineStr">
        <is>
          <t>San Gregorio</t>
        </is>
      </c>
    </row>
    <row r="29842" spans="1:1">
      <c r="A29842" t="inlineStr">
        <is>
          <t>San Juan North</t>
        </is>
      </c>
    </row>
    <row r="29843" spans="1:1">
      <c r="A29843" t="inlineStr">
        <is>
          <t>San Juan South</t>
        </is>
      </c>
    </row>
    <row r="29844" spans="1:1">
      <c r="A29844" t="inlineStr">
        <is>
          <t>San Roque</t>
        </is>
      </c>
    </row>
    <row r="29845" spans="1:1">
      <c r="A29845" t="inlineStr">
        <is>
          <t>San Vicente</t>
        </is>
      </c>
    </row>
    <row r="29846" spans="1:1">
      <c r="A29846" t="inlineStr">
        <is>
          <t>Santa Ines</t>
        </is>
      </c>
    </row>
    <row r="29847" spans="1:1">
      <c r="A29847" t="inlineStr">
        <is>
          <t>Santa Isabel</t>
        </is>
      </c>
    </row>
    <row r="29848" spans="1:1">
      <c r="A29848" t="inlineStr">
        <is>
          <t>Santa Rita</t>
        </is>
      </c>
    </row>
    <row r="29849" spans="1:1">
      <c r="A29849" t="inlineStr">
        <is>
          <t>Sinipit</t>
        </is>
      </c>
    </row>
    <row r="29850" spans="1:1">
      <c r="A29850" t="inlineStr">
        <is>
          <t>Bantug</t>
        </is>
      </c>
    </row>
    <row r="29851" spans="1:1">
      <c r="A29851" t="inlineStr">
        <is>
          <t>Bunga</t>
        </is>
      </c>
    </row>
    <row r="29852" spans="1:1">
      <c r="A29852" t="inlineStr">
        <is>
          <t>Burgos</t>
        </is>
      </c>
    </row>
    <row r="29853" spans="1:1">
      <c r="A29853" t="inlineStr">
        <is>
          <t>Capintalan</t>
        </is>
      </c>
    </row>
    <row r="29854" spans="1:1">
      <c r="A29854" t="inlineStr">
        <is>
          <t>D. L. Maglanoc Pob.</t>
        </is>
      </c>
    </row>
    <row r="29855" spans="1:1">
      <c r="A29855" t="inlineStr">
        <is>
          <t>F. C. Otic Pob.</t>
        </is>
      </c>
    </row>
    <row r="29856" spans="1:1">
      <c r="A29856" t="inlineStr">
        <is>
          <t>G. S. Rosario Pob.</t>
        </is>
      </c>
    </row>
    <row r="29857" spans="1:1">
      <c r="A29857" t="inlineStr">
        <is>
          <t>General Luna</t>
        </is>
      </c>
    </row>
    <row r="29858" spans="1:1">
      <c r="A29858" t="inlineStr">
        <is>
          <t>Joson</t>
        </is>
      </c>
    </row>
    <row r="29859" spans="1:1">
      <c r="A29859" t="inlineStr">
        <is>
          <t>Minuli</t>
        </is>
      </c>
    </row>
    <row r="29860" spans="1:1">
      <c r="A29860" t="inlineStr">
        <is>
          <t>Piut</t>
        </is>
      </c>
    </row>
    <row r="29861" spans="1:1">
      <c r="A29861" t="inlineStr">
        <is>
          <t>Puncan</t>
        </is>
      </c>
    </row>
    <row r="29862" spans="1:1">
      <c r="A29862" t="inlineStr">
        <is>
          <t>Putlan</t>
        </is>
      </c>
    </row>
    <row r="29863" spans="1:1">
      <c r="A29863" t="inlineStr">
        <is>
          <t>R.A.Padilla</t>
        </is>
      </c>
    </row>
    <row r="29864" spans="1:1">
      <c r="A29864" t="inlineStr">
        <is>
          <t>Salazar</t>
        </is>
      </c>
    </row>
    <row r="29865" spans="1:1">
      <c r="A29865" t="inlineStr">
        <is>
          <t>San Agustin</t>
        </is>
      </c>
    </row>
    <row r="29866" spans="1:1">
      <c r="A29866" t="inlineStr">
        <is>
          <t>T. L. Padilla Pob.</t>
        </is>
      </c>
    </row>
    <row r="29867" spans="1:1">
      <c r="A29867" t="inlineStr">
        <is>
          <t>Aduas Centro</t>
        </is>
      </c>
    </row>
    <row r="29868" spans="1:1">
      <c r="A29868" t="inlineStr">
        <is>
          <t>Aduas Norte</t>
        </is>
      </c>
    </row>
    <row r="29869" spans="1:1">
      <c r="A29869" t="inlineStr">
        <is>
          <t>Aduas Sur</t>
        </is>
      </c>
    </row>
    <row r="29870" spans="1:1">
      <c r="A29870" t="inlineStr">
        <is>
          <t>Bagong Buhay</t>
        </is>
      </c>
    </row>
    <row r="29871" spans="1:1">
      <c r="A29871" t="inlineStr">
        <is>
          <t>Bagong Sikat</t>
        </is>
      </c>
    </row>
    <row r="29872" spans="1:1">
      <c r="A29872" t="inlineStr">
        <is>
          <t>Bakero</t>
        </is>
      </c>
    </row>
    <row r="29873" spans="1:1">
      <c r="A29873" t="inlineStr">
        <is>
          <t>Bakod Bayan</t>
        </is>
      </c>
    </row>
    <row r="29874" spans="1:1">
      <c r="A29874" t="inlineStr">
        <is>
          <t>Balite</t>
        </is>
      </c>
    </row>
    <row r="29875" spans="1:1">
      <c r="A29875" t="inlineStr">
        <is>
          <t>Bangad</t>
        </is>
      </c>
    </row>
    <row r="29876" spans="1:1">
      <c r="A29876" t="inlineStr">
        <is>
          <t>Bantug Bulalo</t>
        </is>
      </c>
    </row>
    <row r="29877" spans="1:1">
      <c r="A29877" t="inlineStr">
        <is>
          <t>Bantug Norte</t>
        </is>
      </c>
    </row>
    <row r="29878" spans="1:1">
      <c r="A29878" t="inlineStr">
        <is>
          <t>Barlis</t>
        </is>
      </c>
    </row>
    <row r="29879" spans="1:1">
      <c r="A29879" t="inlineStr">
        <is>
          <t>Barrera District</t>
        </is>
      </c>
    </row>
    <row r="29880" spans="1:1">
      <c r="A29880" t="inlineStr">
        <is>
          <t>Bernardo District</t>
        </is>
      </c>
    </row>
    <row r="29881" spans="1:1">
      <c r="A29881" t="inlineStr">
        <is>
          <t>Bitas</t>
        </is>
      </c>
    </row>
    <row r="29882" spans="1:1">
      <c r="A29882" t="inlineStr">
        <is>
          <t>Bonifacio District</t>
        </is>
      </c>
    </row>
    <row r="29883" spans="1:1">
      <c r="A29883" t="inlineStr">
        <is>
          <t>Buliran</t>
        </is>
      </c>
    </row>
    <row r="29884" spans="1:1">
      <c r="A29884" t="inlineStr">
        <is>
          <t>Caalibangbangan</t>
        </is>
      </c>
    </row>
    <row r="29885" spans="1:1">
      <c r="A29885" t="inlineStr">
        <is>
          <t>Cabu</t>
        </is>
      </c>
    </row>
    <row r="29886" spans="1:1">
      <c r="A29886" t="inlineStr">
        <is>
          <t>Calawagan</t>
        </is>
      </c>
    </row>
    <row r="29887" spans="1:1">
      <c r="A29887" t="inlineStr">
        <is>
          <t>Campo Tinio</t>
        </is>
      </c>
    </row>
    <row r="29888" spans="1:1">
      <c r="A29888" t="inlineStr">
        <is>
          <t>Caridad</t>
        </is>
      </c>
    </row>
    <row r="29889" spans="1:1">
      <c r="A29889" t="inlineStr">
        <is>
          <t>Caudillo</t>
        </is>
      </c>
    </row>
    <row r="29890" spans="1:1">
      <c r="A29890" t="inlineStr">
        <is>
          <t>Cinco-Cinco</t>
        </is>
      </c>
    </row>
    <row r="29891" spans="1:1">
      <c r="A29891" t="inlineStr">
        <is>
          <t>City Supermarket</t>
        </is>
      </c>
    </row>
    <row r="29892" spans="1:1">
      <c r="A29892" t="inlineStr">
        <is>
          <t>Communal</t>
        </is>
      </c>
    </row>
    <row r="29893" spans="1:1">
      <c r="A29893" t="inlineStr">
        <is>
          <t>Cruz Roja</t>
        </is>
      </c>
    </row>
    <row r="29894" spans="1:1">
      <c r="A29894" t="inlineStr">
        <is>
          <t>Daang Sarile</t>
        </is>
      </c>
    </row>
    <row r="29895" spans="1:1">
      <c r="A29895" t="inlineStr">
        <is>
          <t>Dalampang</t>
        </is>
      </c>
    </row>
    <row r="29896" spans="1:1">
      <c r="A29896" t="inlineStr">
        <is>
          <t>Dicarma</t>
        </is>
      </c>
    </row>
    <row r="29897" spans="1:1">
      <c r="A29897" t="inlineStr">
        <is>
          <t>Dimasalang</t>
        </is>
      </c>
    </row>
    <row r="29898" spans="1:1">
      <c r="A29898" t="inlineStr">
        <is>
          <t>Dionisio S. Garcia</t>
        </is>
      </c>
    </row>
    <row r="29899" spans="1:1">
      <c r="A29899" t="inlineStr">
        <is>
          <t>Fatima</t>
        </is>
      </c>
    </row>
    <row r="29900" spans="1:1">
      <c r="A29900" t="inlineStr">
        <is>
          <t>General Luna</t>
        </is>
      </c>
    </row>
    <row r="29901" spans="1:1">
      <c r="A29901" t="inlineStr">
        <is>
          <t>Hermogenes C. Concepcion, Sr.</t>
        </is>
      </c>
    </row>
    <row r="29902" spans="1:1">
      <c r="A29902" t="inlineStr">
        <is>
          <t>Ibabao Bana</t>
        </is>
      </c>
    </row>
    <row r="29903" spans="1:1">
      <c r="A29903" t="inlineStr">
        <is>
          <t>Imelda District</t>
        </is>
      </c>
    </row>
    <row r="29904" spans="1:1">
      <c r="A29904" t="inlineStr">
        <is>
          <t>Isla</t>
        </is>
      </c>
    </row>
    <row r="29905" spans="1:1">
      <c r="A29905" t="inlineStr">
        <is>
          <t>Kalikid Norte</t>
        </is>
      </c>
    </row>
    <row r="29906" spans="1:1">
      <c r="A29906" t="inlineStr">
        <is>
          <t>Kalikid Sur</t>
        </is>
      </c>
    </row>
    <row r="29907" spans="1:1">
      <c r="A29907" t="inlineStr">
        <is>
          <t>Kapitan Pepe</t>
        </is>
      </c>
    </row>
    <row r="29908" spans="1:1">
      <c r="A29908" t="inlineStr">
        <is>
          <t>Lagare</t>
        </is>
      </c>
    </row>
    <row r="29909" spans="1:1">
      <c r="A29909" t="inlineStr">
        <is>
          <t>Lourdes</t>
        </is>
      </c>
    </row>
    <row r="29910" spans="1:1">
      <c r="A29910" t="inlineStr">
        <is>
          <t>M. S. Garcia</t>
        </is>
      </c>
    </row>
    <row r="29911" spans="1:1">
      <c r="A29911" t="inlineStr">
        <is>
          <t>Mabini Extension</t>
        </is>
      </c>
    </row>
    <row r="29912" spans="1:1">
      <c r="A29912" t="inlineStr">
        <is>
          <t>Mabini Homesite</t>
        </is>
      </c>
    </row>
    <row r="29913" spans="1:1">
      <c r="A29913" t="inlineStr">
        <is>
          <t>Macatbong</t>
        </is>
      </c>
    </row>
    <row r="29914" spans="1:1">
      <c r="A29914" t="inlineStr">
        <is>
          <t>Magsaysay District</t>
        </is>
      </c>
    </row>
    <row r="29915" spans="1:1">
      <c r="A29915" t="inlineStr">
        <is>
          <t>Magsaysay South</t>
        </is>
      </c>
    </row>
    <row r="29916" spans="1:1">
      <c r="A29916" t="inlineStr">
        <is>
          <t>Maria Theresa</t>
        </is>
      </c>
    </row>
    <row r="29917" spans="1:1">
      <c r="A29917" t="inlineStr">
        <is>
          <t>Matadero</t>
        </is>
      </c>
    </row>
    <row r="29918" spans="1:1">
      <c r="A29918" t="inlineStr">
        <is>
          <t>Mayapyap Norte</t>
        </is>
      </c>
    </row>
    <row r="29919" spans="1:1">
      <c r="A29919" t="inlineStr">
        <is>
          <t>Mayapyap Sur</t>
        </is>
      </c>
    </row>
    <row r="29920" spans="1:1">
      <c r="A29920" t="inlineStr">
        <is>
          <t>Melojavilla</t>
        </is>
      </c>
    </row>
    <row r="29921" spans="1:1">
      <c r="A29921" t="inlineStr">
        <is>
          <t>Nabao</t>
        </is>
      </c>
    </row>
    <row r="29922" spans="1:1">
      <c r="A29922" t="inlineStr">
        <is>
          <t>Obrero</t>
        </is>
      </c>
    </row>
    <row r="29923" spans="1:1">
      <c r="A29923" t="inlineStr">
        <is>
          <t>Padre Burgos</t>
        </is>
      </c>
    </row>
    <row r="29924" spans="1:1">
      <c r="A29924" t="inlineStr">
        <is>
          <t>Padre Crisostomo</t>
        </is>
      </c>
    </row>
    <row r="29925" spans="1:1">
      <c r="A29925" t="inlineStr">
        <is>
          <t>Pagas</t>
        </is>
      </c>
    </row>
    <row r="29926" spans="1:1">
      <c r="A29926" t="inlineStr">
        <is>
          <t>Palagay</t>
        </is>
      </c>
    </row>
    <row r="29927" spans="1:1">
      <c r="A29927" t="inlineStr">
        <is>
          <t>Pamaldan</t>
        </is>
      </c>
    </row>
    <row r="29928" spans="1:1">
      <c r="A29928" t="inlineStr">
        <is>
          <t>Pangatian</t>
        </is>
      </c>
    </row>
    <row r="29929" spans="1:1">
      <c r="A29929" t="inlineStr">
        <is>
          <t>Patalac</t>
        </is>
      </c>
    </row>
    <row r="29930" spans="1:1">
      <c r="A29930" t="inlineStr">
        <is>
          <t>Polilio</t>
        </is>
      </c>
    </row>
    <row r="29931" spans="1:1">
      <c r="A29931" t="inlineStr">
        <is>
          <t>Pula</t>
        </is>
      </c>
    </row>
    <row r="29932" spans="1:1">
      <c r="A29932" t="inlineStr">
        <is>
          <t>Quezon District</t>
        </is>
      </c>
    </row>
    <row r="29933" spans="1:1">
      <c r="A29933" t="inlineStr">
        <is>
          <t>Rizdelis</t>
        </is>
      </c>
    </row>
    <row r="29934" spans="1:1">
      <c r="A29934" t="inlineStr">
        <is>
          <t>Samon</t>
        </is>
      </c>
    </row>
    <row r="29935" spans="1:1">
      <c r="A29935" t="inlineStr">
        <is>
          <t>San Isidro</t>
        </is>
      </c>
    </row>
    <row r="29936" spans="1:1">
      <c r="A29936" t="inlineStr">
        <is>
          <t>San Josef Norte</t>
        </is>
      </c>
    </row>
    <row r="29937" spans="1:1">
      <c r="A29937" t="inlineStr">
        <is>
          <t>San Josef Sur</t>
        </is>
      </c>
    </row>
    <row r="29938" spans="1:1">
      <c r="A29938" t="inlineStr">
        <is>
          <t>San Juan Pob.</t>
        </is>
      </c>
    </row>
    <row r="29939" spans="1:1">
      <c r="A29939" t="inlineStr">
        <is>
          <t>San Roque Norte</t>
        </is>
      </c>
    </row>
    <row r="29940" spans="1:1">
      <c r="A29940" t="inlineStr">
        <is>
          <t>San Roque Sur</t>
        </is>
      </c>
    </row>
    <row r="29941" spans="1:1">
      <c r="A29941" t="inlineStr">
        <is>
          <t>Sanbermicristi</t>
        </is>
      </c>
    </row>
    <row r="29942" spans="1:1">
      <c r="A29942" t="inlineStr">
        <is>
          <t>Sangitan</t>
        </is>
      </c>
    </row>
    <row r="29943" spans="1:1">
      <c r="A29943" t="inlineStr">
        <is>
          <t>Sangitan East</t>
        </is>
      </c>
    </row>
    <row r="29944" spans="1:1">
      <c r="A29944" t="inlineStr">
        <is>
          <t>Santa Arcadia</t>
        </is>
      </c>
    </row>
    <row r="29945" spans="1:1">
      <c r="A29945" t="inlineStr">
        <is>
          <t>Santo Niño</t>
        </is>
      </c>
    </row>
    <row r="29946" spans="1:1">
      <c r="A29946" t="inlineStr">
        <is>
          <t>Sapang</t>
        </is>
      </c>
    </row>
    <row r="29947" spans="1:1">
      <c r="A29947" t="inlineStr">
        <is>
          <t>Sumacab Este</t>
        </is>
      </c>
    </row>
    <row r="29948" spans="1:1">
      <c r="A29948" t="inlineStr">
        <is>
          <t>Sumacab Norte</t>
        </is>
      </c>
    </row>
    <row r="29949" spans="1:1">
      <c r="A29949" t="inlineStr">
        <is>
          <t>Sumacab South</t>
        </is>
      </c>
    </row>
    <row r="29950" spans="1:1">
      <c r="A29950" t="inlineStr">
        <is>
          <t>Talipapa</t>
        </is>
      </c>
    </row>
    <row r="29951" spans="1:1">
      <c r="A29951" t="inlineStr">
        <is>
          <t>Valdefuente</t>
        </is>
      </c>
    </row>
    <row r="29952" spans="1:1">
      <c r="A29952" t="inlineStr">
        <is>
          <t>Valle Cruz</t>
        </is>
      </c>
    </row>
    <row r="29953" spans="1:1">
      <c r="A29953" t="inlineStr">
        <is>
          <t>Vijandre District</t>
        </is>
      </c>
    </row>
    <row r="29954" spans="1:1">
      <c r="A29954" t="inlineStr">
        <is>
          <t>Villa Ofelia-Caridad</t>
        </is>
      </c>
    </row>
    <row r="29955" spans="1:1">
      <c r="A29955" t="inlineStr">
        <is>
          <t>Zulueta District</t>
        </is>
      </c>
    </row>
    <row r="29956" spans="1:1">
      <c r="A29956" t="inlineStr">
        <is>
          <t>Balante</t>
        </is>
      </c>
    </row>
    <row r="29957" spans="1:1">
      <c r="A29957" t="inlineStr">
        <is>
          <t>Bayanihan</t>
        </is>
      </c>
    </row>
    <row r="29958" spans="1:1">
      <c r="A29958" t="inlineStr">
        <is>
          <t>Bulak</t>
        </is>
      </c>
    </row>
    <row r="29959" spans="1:1">
      <c r="A29959" t="inlineStr">
        <is>
          <t>Bungo</t>
        </is>
      </c>
    </row>
    <row r="29960" spans="1:1">
      <c r="A29960" t="inlineStr">
        <is>
          <t>Kapalangan</t>
        </is>
      </c>
    </row>
    <row r="29961" spans="1:1">
      <c r="A29961" t="inlineStr">
        <is>
          <t>Mabunga</t>
        </is>
      </c>
    </row>
    <row r="29962" spans="1:1">
      <c r="A29962" t="inlineStr">
        <is>
          <t>Maburak</t>
        </is>
      </c>
    </row>
    <row r="29963" spans="1:1">
      <c r="A29963" t="inlineStr">
        <is>
          <t>Mahipon</t>
        </is>
      </c>
    </row>
    <row r="29964" spans="1:1">
      <c r="A29964" t="inlineStr">
        <is>
          <t>Makabaclay</t>
        </is>
      </c>
    </row>
    <row r="29965" spans="1:1">
      <c r="A29965" t="inlineStr">
        <is>
          <t>Malimba</t>
        </is>
      </c>
    </row>
    <row r="29966" spans="1:1">
      <c r="A29966" t="inlineStr">
        <is>
          <t>Mangino</t>
        </is>
      </c>
    </row>
    <row r="29967" spans="1:1">
      <c r="A29967" t="inlineStr">
        <is>
          <t>Marelo</t>
        </is>
      </c>
    </row>
    <row r="29968" spans="1:1">
      <c r="A29968" t="inlineStr">
        <is>
          <t>Pambuan</t>
        </is>
      </c>
    </row>
    <row r="29969" spans="1:1">
      <c r="A29969" t="inlineStr">
        <is>
          <t>Parcutela</t>
        </is>
      </c>
    </row>
    <row r="29970" spans="1:1">
      <c r="A29970" t="inlineStr">
        <is>
          <t>Puting Tubig</t>
        </is>
      </c>
    </row>
    <row r="29971" spans="1:1">
      <c r="A29971" t="inlineStr">
        <is>
          <t>San Lorenzo</t>
        </is>
      </c>
    </row>
    <row r="29972" spans="1:1">
      <c r="A29972" t="inlineStr">
        <is>
          <t>San Nicolas</t>
        </is>
      </c>
    </row>
    <row r="29973" spans="1:1">
      <c r="A29973" t="inlineStr">
        <is>
          <t>San Roque</t>
        </is>
      </c>
    </row>
    <row r="29974" spans="1:1">
      <c r="A29974" t="inlineStr">
        <is>
          <t>San Vicente</t>
        </is>
      </c>
    </row>
    <row r="29975" spans="1:1">
      <c r="A29975" t="inlineStr">
        <is>
          <t>Santa Cruz</t>
        </is>
      </c>
    </row>
    <row r="29976" spans="1:1">
      <c r="A29976" t="inlineStr">
        <is>
          <t>Santo Cristo Norte</t>
        </is>
      </c>
    </row>
    <row r="29977" spans="1:1">
      <c r="A29977" t="inlineStr">
        <is>
          <t>Santo Cristo Sur</t>
        </is>
      </c>
    </row>
    <row r="29978" spans="1:1">
      <c r="A29978" t="inlineStr">
        <is>
          <t>Santo Niño</t>
        </is>
      </c>
    </row>
    <row r="29979" spans="1:1">
      <c r="A29979" t="inlineStr">
        <is>
          <t>Atate</t>
        </is>
      </c>
    </row>
    <row r="29980" spans="1:1">
      <c r="A29980" t="inlineStr">
        <is>
          <t>Aulo</t>
        </is>
      </c>
    </row>
    <row r="29981" spans="1:1">
      <c r="A29981" t="inlineStr">
        <is>
          <t>Bagong Buhay</t>
        </is>
      </c>
    </row>
    <row r="29982" spans="1:1">
      <c r="A29982" t="inlineStr">
        <is>
          <t>Bo. Militar</t>
        </is>
      </c>
    </row>
    <row r="29983" spans="1:1">
      <c r="A29983" t="inlineStr">
        <is>
          <t>Caballero</t>
        </is>
      </c>
    </row>
    <row r="29984" spans="1:1">
      <c r="A29984" t="inlineStr">
        <is>
          <t>Caimito</t>
        </is>
      </c>
    </row>
    <row r="29985" spans="1:1">
      <c r="A29985" t="inlineStr">
        <is>
          <t>Doña Josefa</t>
        </is>
      </c>
    </row>
    <row r="29986" spans="1:1">
      <c r="A29986" t="inlineStr">
        <is>
          <t>Ganaderia</t>
        </is>
      </c>
    </row>
    <row r="29987" spans="1:1">
      <c r="A29987" t="inlineStr">
        <is>
          <t>Imelda Valley</t>
        </is>
      </c>
    </row>
    <row r="29988" spans="1:1">
      <c r="A29988" t="inlineStr">
        <is>
          <t>Langka</t>
        </is>
      </c>
    </row>
    <row r="29989" spans="1:1">
      <c r="A29989" t="inlineStr">
        <is>
          <t>Malate</t>
        </is>
      </c>
    </row>
    <row r="29990" spans="1:1">
      <c r="A29990" t="inlineStr">
        <is>
          <t>Maligaya</t>
        </is>
      </c>
    </row>
    <row r="29991" spans="1:1">
      <c r="A29991" t="inlineStr">
        <is>
          <t>Manacnac</t>
        </is>
      </c>
    </row>
    <row r="29992" spans="1:1">
      <c r="A29992" t="inlineStr">
        <is>
          <t>Mapait</t>
        </is>
      </c>
    </row>
    <row r="29993" spans="1:1">
      <c r="A29993" t="inlineStr">
        <is>
          <t>Marcos Village</t>
        </is>
      </c>
    </row>
    <row r="29994" spans="1:1">
      <c r="A29994" t="inlineStr">
        <is>
          <t>Popolon Pagas</t>
        </is>
      </c>
    </row>
    <row r="29995" spans="1:1">
      <c r="A29995" t="inlineStr">
        <is>
          <t>Santolan</t>
        </is>
      </c>
    </row>
    <row r="29996" spans="1:1">
      <c r="A29996" t="inlineStr">
        <is>
          <t>Sapang Buho</t>
        </is>
      </c>
    </row>
    <row r="29997" spans="1:1">
      <c r="A29997" t="inlineStr">
        <is>
          <t>Singalat</t>
        </is>
      </c>
    </row>
    <row r="29998" spans="1:1">
      <c r="A29998" t="inlineStr">
        <is>
          <t>Baloy</t>
        </is>
      </c>
    </row>
    <row r="29999" spans="1:1">
      <c r="A29999" t="inlineStr">
        <is>
          <t>Bambanaba</t>
        </is>
      </c>
    </row>
    <row r="30000" spans="1:1">
      <c r="A30000" t="inlineStr">
        <is>
          <t>Bantug</t>
        </is>
      </c>
    </row>
    <row r="30001" spans="1:1">
      <c r="A30001" t="inlineStr">
        <is>
          <t>Bentigan</t>
        </is>
      </c>
    </row>
    <row r="30002" spans="1:1">
      <c r="A30002" t="inlineStr">
        <is>
          <t>Bibiclat</t>
        </is>
      </c>
    </row>
    <row r="30003" spans="1:1">
      <c r="A30003" t="inlineStr">
        <is>
          <t>Bonifacio</t>
        </is>
      </c>
    </row>
    <row r="30004" spans="1:1">
      <c r="A30004" t="inlineStr">
        <is>
          <t>Bued</t>
        </is>
      </c>
    </row>
    <row r="30005" spans="1:1">
      <c r="A30005" t="inlineStr">
        <is>
          <t>Bulala</t>
        </is>
      </c>
    </row>
    <row r="30006" spans="1:1">
      <c r="A30006" t="inlineStr">
        <is>
          <t>Burgos</t>
        </is>
      </c>
    </row>
    <row r="30007" spans="1:1">
      <c r="A30007" t="inlineStr">
        <is>
          <t>Cabatuan</t>
        </is>
      </c>
    </row>
    <row r="30008" spans="1:1">
      <c r="A30008" t="inlineStr">
        <is>
          <t>Cabileo</t>
        </is>
      </c>
    </row>
    <row r="30009" spans="1:1">
      <c r="A30009" t="inlineStr">
        <is>
          <t>Cacapasan</t>
        </is>
      </c>
    </row>
    <row r="30010" spans="1:1">
      <c r="A30010" t="inlineStr">
        <is>
          <t>Calancuasan Norte</t>
        </is>
      </c>
    </row>
    <row r="30011" spans="1:1">
      <c r="A30011" t="inlineStr">
        <is>
          <t>Calancuasan Sur</t>
        </is>
      </c>
    </row>
    <row r="30012" spans="1:1">
      <c r="A30012" t="inlineStr">
        <is>
          <t>Colosboa</t>
        </is>
      </c>
    </row>
    <row r="30013" spans="1:1">
      <c r="A30013" t="inlineStr">
        <is>
          <t>Columbitin</t>
        </is>
      </c>
    </row>
    <row r="30014" spans="1:1">
      <c r="A30014" t="inlineStr">
        <is>
          <t>Curva</t>
        </is>
      </c>
    </row>
    <row r="30015" spans="1:1">
      <c r="A30015" t="inlineStr">
        <is>
          <t>District I</t>
        </is>
      </c>
    </row>
    <row r="30016" spans="1:1">
      <c r="A30016" t="inlineStr">
        <is>
          <t>District II</t>
        </is>
      </c>
    </row>
    <row r="30017" spans="1:1">
      <c r="A30017" t="inlineStr">
        <is>
          <t>District IV</t>
        </is>
      </c>
    </row>
    <row r="30018" spans="1:1">
      <c r="A30018" t="inlineStr">
        <is>
          <t>District V</t>
        </is>
      </c>
    </row>
    <row r="30019" spans="1:1">
      <c r="A30019" t="inlineStr">
        <is>
          <t>District VI</t>
        </is>
      </c>
    </row>
    <row r="30020" spans="1:1">
      <c r="A30020" t="inlineStr">
        <is>
          <t>District VII</t>
        </is>
      </c>
    </row>
    <row r="30021" spans="1:1">
      <c r="A30021" t="inlineStr">
        <is>
          <t>District VIII</t>
        </is>
      </c>
    </row>
    <row r="30022" spans="1:1">
      <c r="A30022" t="inlineStr">
        <is>
          <t>Landig</t>
        </is>
      </c>
    </row>
    <row r="30023" spans="1:1">
      <c r="A30023" t="inlineStr">
        <is>
          <t>Latap</t>
        </is>
      </c>
    </row>
    <row r="30024" spans="1:1">
      <c r="A30024" t="inlineStr">
        <is>
          <t>Loob</t>
        </is>
      </c>
    </row>
    <row r="30025" spans="1:1">
      <c r="A30025" t="inlineStr">
        <is>
          <t>Luna</t>
        </is>
      </c>
    </row>
    <row r="30026" spans="1:1">
      <c r="A30026" t="inlineStr">
        <is>
          <t>Malbeg-Patalan</t>
        </is>
      </c>
    </row>
    <row r="30027" spans="1:1">
      <c r="A30027" t="inlineStr">
        <is>
          <t>Malineng</t>
        </is>
      </c>
    </row>
    <row r="30028" spans="1:1">
      <c r="A30028" t="inlineStr">
        <is>
          <t>Matindeg</t>
        </is>
      </c>
    </row>
    <row r="30029" spans="1:1">
      <c r="A30029" t="inlineStr">
        <is>
          <t>Maycaban</t>
        </is>
      </c>
    </row>
    <row r="30030" spans="1:1">
      <c r="A30030" t="inlineStr">
        <is>
          <t>Nagcuralan</t>
        </is>
      </c>
    </row>
    <row r="30031" spans="1:1">
      <c r="A30031" t="inlineStr">
        <is>
          <t>Nagmisahan</t>
        </is>
      </c>
    </row>
    <row r="30032" spans="1:1">
      <c r="A30032" t="inlineStr">
        <is>
          <t>Paitan Norte</t>
        </is>
      </c>
    </row>
    <row r="30033" spans="1:1">
      <c r="A30033" t="inlineStr">
        <is>
          <t>Paitan Sur</t>
        </is>
      </c>
    </row>
    <row r="30034" spans="1:1">
      <c r="A30034" t="inlineStr">
        <is>
          <t>Piglisan</t>
        </is>
      </c>
    </row>
    <row r="30035" spans="1:1">
      <c r="A30035" t="inlineStr">
        <is>
          <t>Pugo</t>
        </is>
      </c>
    </row>
    <row r="30036" spans="1:1">
      <c r="A30036" t="inlineStr">
        <is>
          <t>Rizal</t>
        </is>
      </c>
    </row>
    <row r="30037" spans="1:1">
      <c r="A30037" t="inlineStr">
        <is>
          <t>Sabit</t>
        </is>
      </c>
    </row>
    <row r="30038" spans="1:1">
      <c r="A30038" t="inlineStr">
        <is>
          <t>Salagusog</t>
        </is>
      </c>
    </row>
    <row r="30039" spans="1:1">
      <c r="A30039" t="inlineStr">
        <is>
          <t>San Antonio</t>
        </is>
      </c>
    </row>
    <row r="30040" spans="1:1">
      <c r="A30040" t="inlineStr">
        <is>
          <t>San Jose</t>
        </is>
      </c>
    </row>
    <row r="30041" spans="1:1">
      <c r="A30041" t="inlineStr">
        <is>
          <t>San Juan</t>
        </is>
      </c>
    </row>
    <row r="30042" spans="1:1">
      <c r="A30042" t="inlineStr">
        <is>
          <t>Santa Clara</t>
        </is>
      </c>
    </row>
    <row r="30043" spans="1:1">
      <c r="A30043" t="inlineStr">
        <is>
          <t>Santa Cruz</t>
        </is>
      </c>
    </row>
    <row r="30044" spans="1:1">
      <c r="A30044" t="inlineStr">
        <is>
          <t>Simimbaan</t>
        </is>
      </c>
    </row>
    <row r="30045" spans="1:1">
      <c r="A30045" t="inlineStr">
        <is>
          <t>Tagtagumbao</t>
        </is>
      </c>
    </row>
    <row r="30046" spans="1:1">
      <c r="A30046" t="inlineStr">
        <is>
          <t>Tutuloy</t>
        </is>
      </c>
    </row>
    <row r="30047" spans="1:1">
      <c r="A30047" t="inlineStr">
        <is>
          <t>Ungab</t>
        </is>
      </c>
    </row>
    <row r="30048" spans="1:1">
      <c r="A30048" t="inlineStr">
        <is>
          <t>Villaflores</t>
        </is>
      </c>
    </row>
    <row r="30049" spans="1:1">
      <c r="A30049" t="inlineStr">
        <is>
          <t>Bagong Sikat</t>
        </is>
      </c>
    </row>
    <row r="30050" spans="1:1">
      <c r="A30050" t="inlineStr">
        <is>
          <t>Bagting</t>
        </is>
      </c>
    </row>
    <row r="30051" spans="1:1">
      <c r="A30051" t="inlineStr">
        <is>
          <t>Bantug</t>
        </is>
      </c>
    </row>
    <row r="30052" spans="1:1">
      <c r="A30052" t="inlineStr">
        <is>
          <t>Bitulok</t>
        </is>
      </c>
    </row>
    <row r="30053" spans="1:1">
      <c r="A30053" t="inlineStr">
        <is>
          <t>Bugnan</t>
        </is>
      </c>
    </row>
    <row r="30054" spans="1:1">
      <c r="A30054" t="inlineStr">
        <is>
          <t>Calabasa</t>
        </is>
      </c>
    </row>
    <row r="30055" spans="1:1">
      <c r="A30055" t="inlineStr">
        <is>
          <t>Camachile</t>
        </is>
      </c>
    </row>
    <row r="30056" spans="1:1">
      <c r="A30056" t="inlineStr">
        <is>
          <t>Cuyapa</t>
        </is>
      </c>
    </row>
    <row r="30057" spans="1:1">
      <c r="A30057" t="inlineStr">
        <is>
          <t>Ligaya</t>
        </is>
      </c>
    </row>
    <row r="30058" spans="1:1">
      <c r="A30058" t="inlineStr">
        <is>
          <t>Macasandal</t>
        </is>
      </c>
    </row>
    <row r="30059" spans="1:1">
      <c r="A30059" t="inlineStr">
        <is>
          <t>Malinao</t>
        </is>
      </c>
    </row>
    <row r="30060" spans="1:1">
      <c r="A30060" t="inlineStr">
        <is>
          <t>Pantoc</t>
        </is>
      </c>
    </row>
    <row r="30061" spans="1:1">
      <c r="A30061" t="inlineStr">
        <is>
          <t>Pinamalisan</t>
        </is>
      </c>
    </row>
    <row r="30062" spans="1:1">
      <c r="A30062" t="inlineStr">
        <is>
          <t>Sawmill</t>
        </is>
      </c>
    </row>
    <row r="30063" spans="1:1">
      <c r="A30063" t="inlineStr">
        <is>
          <t>South Poblacion</t>
        </is>
      </c>
    </row>
    <row r="30064" spans="1:1">
      <c r="A30064" t="inlineStr">
        <is>
          <t>Tagumpay</t>
        </is>
      </c>
    </row>
    <row r="30065" spans="1:1">
      <c r="A30065" t="inlineStr">
        <is>
          <t>Balangkare Norte</t>
        </is>
      </c>
    </row>
    <row r="30066" spans="1:1">
      <c r="A30066" t="inlineStr">
        <is>
          <t>Balangkare Sur</t>
        </is>
      </c>
    </row>
    <row r="30067" spans="1:1">
      <c r="A30067" t="inlineStr">
        <is>
          <t>Balaring</t>
        </is>
      </c>
    </row>
    <row r="30068" spans="1:1">
      <c r="A30068" t="inlineStr">
        <is>
          <t>Belen</t>
        </is>
      </c>
    </row>
    <row r="30069" spans="1:1">
      <c r="A30069" t="inlineStr">
        <is>
          <t>Bravo</t>
        </is>
      </c>
    </row>
    <row r="30070" spans="1:1">
      <c r="A30070" t="inlineStr">
        <is>
          <t>Burol</t>
        </is>
      </c>
    </row>
    <row r="30071" spans="1:1">
      <c r="A30071" t="inlineStr">
        <is>
          <t>Kabulihan</t>
        </is>
      </c>
    </row>
    <row r="30072" spans="1:1">
      <c r="A30072" t="inlineStr">
        <is>
          <t>Mag-asawang Sampaloc</t>
        </is>
      </c>
    </row>
    <row r="30073" spans="1:1">
      <c r="A30073" t="inlineStr">
        <is>
          <t>Manarog</t>
        </is>
      </c>
    </row>
    <row r="30074" spans="1:1">
      <c r="A30074" t="inlineStr">
        <is>
          <t>Mataas na Kahoy</t>
        </is>
      </c>
    </row>
    <row r="30075" spans="1:1">
      <c r="A30075" t="inlineStr">
        <is>
          <t>Panacsac</t>
        </is>
      </c>
    </row>
    <row r="30076" spans="1:1">
      <c r="A30076" t="inlineStr">
        <is>
          <t>Picaleon</t>
        </is>
      </c>
    </row>
    <row r="30077" spans="1:1">
      <c r="A30077" t="inlineStr">
        <is>
          <t>Pinahan</t>
        </is>
      </c>
    </row>
    <row r="30078" spans="1:1">
      <c r="A30078" t="inlineStr">
        <is>
          <t>Platero</t>
        </is>
      </c>
    </row>
    <row r="30079" spans="1:1">
      <c r="A30079" t="inlineStr">
        <is>
          <t>Poblacion</t>
        </is>
      </c>
    </row>
    <row r="30080" spans="1:1">
      <c r="A30080" t="inlineStr">
        <is>
          <t>Pula</t>
        </is>
      </c>
    </row>
    <row r="30081" spans="1:1">
      <c r="A30081" t="inlineStr">
        <is>
          <t>Pulong Singkamas</t>
        </is>
      </c>
    </row>
    <row r="30082" spans="1:1">
      <c r="A30082" t="inlineStr">
        <is>
          <t>Sapang Bato</t>
        </is>
      </c>
    </row>
    <row r="30083" spans="1:1">
      <c r="A30083" t="inlineStr">
        <is>
          <t>Talabutab Norte</t>
        </is>
      </c>
    </row>
    <row r="30084" spans="1:1">
      <c r="A30084" t="inlineStr">
        <is>
          <t>Talabutab Sur</t>
        </is>
      </c>
    </row>
    <row r="30085" spans="1:1">
      <c r="A30085" t="inlineStr">
        <is>
          <t>Bago</t>
        </is>
      </c>
    </row>
    <row r="30086" spans="1:1">
      <c r="A30086" t="inlineStr">
        <is>
          <t>Concepcion</t>
        </is>
      </c>
    </row>
    <row r="30087" spans="1:1">
      <c r="A30087" t="inlineStr">
        <is>
          <t>Nazareth</t>
        </is>
      </c>
    </row>
    <row r="30088" spans="1:1">
      <c r="A30088" t="inlineStr">
        <is>
          <t>Padolina</t>
        </is>
      </c>
    </row>
    <row r="30089" spans="1:1">
      <c r="A30089" t="inlineStr">
        <is>
          <t>Palale</t>
        </is>
      </c>
    </row>
    <row r="30090" spans="1:1">
      <c r="A30090" t="inlineStr">
        <is>
          <t>Pias</t>
        </is>
      </c>
    </row>
    <row r="30091" spans="1:1">
      <c r="A30091" t="inlineStr">
        <is>
          <t>Poblacion Central</t>
        </is>
      </c>
    </row>
    <row r="30092" spans="1:1">
      <c r="A30092" t="inlineStr">
        <is>
          <t>Poblacion East</t>
        </is>
      </c>
    </row>
    <row r="30093" spans="1:1">
      <c r="A30093" t="inlineStr">
        <is>
          <t>Poblacion West</t>
        </is>
      </c>
    </row>
    <row r="30094" spans="1:1">
      <c r="A30094" t="inlineStr">
        <is>
          <t>Pulong Matong</t>
        </is>
      </c>
    </row>
    <row r="30095" spans="1:1">
      <c r="A30095" t="inlineStr">
        <is>
          <t>Rio Chico</t>
        </is>
      </c>
    </row>
    <row r="30096" spans="1:1">
      <c r="A30096" t="inlineStr">
        <is>
          <t>Sampaguita</t>
        </is>
      </c>
    </row>
    <row r="30097" spans="1:1">
      <c r="A30097" t="inlineStr">
        <is>
          <t>San Pedro</t>
        </is>
      </c>
    </row>
    <row r="30098" spans="1:1">
      <c r="A30098" t="inlineStr">
        <is>
          <t>Agcano</t>
        </is>
      </c>
    </row>
    <row r="30099" spans="1:1">
      <c r="A30099" t="inlineStr">
        <is>
          <t>Ayos Lomboy</t>
        </is>
      </c>
    </row>
    <row r="30100" spans="1:1">
      <c r="A30100" t="inlineStr">
        <is>
          <t>Bacayao</t>
        </is>
      </c>
    </row>
    <row r="30101" spans="1:1">
      <c r="A30101" t="inlineStr">
        <is>
          <t>Bagong Barrio</t>
        </is>
      </c>
    </row>
    <row r="30102" spans="1:1">
      <c r="A30102" t="inlineStr">
        <is>
          <t>Balbalino</t>
        </is>
      </c>
    </row>
    <row r="30103" spans="1:1">
      <c r="A30103" t="inlineStr">
        <is>
          <t>Balingog East</t>
        </is>
      </c>
    </row>
    <row r="30104" spans="1:1">
      <c r="A30104" t="inlineStr">
        <is>
          <t>Balingog West</t>
        </is>
      </c>
    </row>
    <row r="30105" spans="1:1">
      <c r="A30105" t="inlineStr">
        <is>
          <t>Banitan</t>
        </is>
      </c>
    </row>
    <row r="30106" spans="1:1">
      <c r="A30106" t="inlineStr">
        <is>
          <t>Bantug</t>
        </is>
      </c>
    </row>
    <row r="30107" spans="1:1">
      <c r="A30107" t="inlineStr">
        <is>
          <t>Bulakid</t>
        </is>
      </c>
    </row>
    <row r="30108" spans="1:1">
      <c r="A30108" t="inlineStr">
        <is>
          <t>Bunol</t>
        </is>
      </c>
    </row>
    <row r="30109" spans="1:1">
      <c r="A30109" t="inlineStr">
        <is>
          <t>Caballero</t>
        </is>
      </c>
    </row>
    <row r="30110" spans="1:1">
      <c r="A30110" t="inlineStr">
        <is>
          <t>Cabaruan</t>
        </is>
      </c>
    </row>
    <row r="30111" spans="1:1">
      <c r="A30111" t="inlineStr">
        <is>
          <t>Caingin Tabing Ilog</t>
        </is>
      </c>
    </row>
    <row r="30112" spans="1:1">
      <c r="A30112" t="inlineStr">
        <is>
          <t>Calem</t>
        </is>
      </c>
    </row>
    <row r="30113" spans="1:1">
      <c r="A30113" t="inlineStr">
        <is>
          <t>Camiing</t>
        </is>
      </c>
    </row>
    <row r="30114" spans="1:1">
      <c r="A30114" t="inlineStr">
        <is>
          <t>Cardinal</t>
        </is>
      </c>
    </row>
    <row r="30115" spans="1:1">
      <c r="A30115" t="inlineStr">
        <is>
          <t>Casongsong</t>
        </is>
      </c>
    </row>
    <row r="30116" spans="1:1">
      <c r="A30116" t="inlineStr">
        <is>
          <t>Catimon</t>
        </is>
      </c>
    </row>
    <row r="30117" spans="1:1">
      <c r="A30117" t="inlineStr">
        <is>
          <t>Cavite</t>
        </is>
      </c>
    </row>
    <row r="30118" spans="1:1">
      <c r="A30118" t="inlineStr">
        <is>
          <t>Cawayan Bugtong</t>
        </is>
      </c>
    </row>
    <row r="30119" spans="1:1">
      <c r="A30119" t="inlineStr">
        <is>
          <t>Consuelo</t>
        </is>
      </c>
    </row>
    <row r="30120" spans="1:1">
      <c r="A30120" t="inlineStr">
        <is>
          <t>Culong</t>
        </is>
      </c>
    </row>
    <row r="30121" spans="1:1">
      <c r="A30121" t="inlineStr">
        <is>
          <t>Escano</t>
        </is>
      </c>
    </row>
    <row r="30122" spans="1:1">
      <c r="A30122" t="inlineStr">
        <is>
          <t>Faigal</t>
        </is>
      </c>
    </row>
    <row r="30123" spans="1:1">
      <c r="A30123" t="inlineStr">
        <is>
          <t>Galvan</t>
        </is>
      </c>
    </row>
    <row r="30124" spans="1:1">
      <c r="A30124" t="inlineStr">
        <is>
          <t>Guiset</t>
        </is>
      </c>
    </row>
    <row r="30125" spans="1:1">
      <c r="A30125" t="inlineStr">
        <is>
          <t>Lamorito</t>
        </is>
      </c>
    </row>
    <row r="30126" spans="1:1">
      <c r="A30126" t="inlineStr">
        <is>
          <t>Lennec</t>
        </is>
      </c>
    </row>
    <row r="30127" spans="1:1">
      <c r="A30127" t="inlineStr">
        <is>
          <t>Macamias</t>
        </is>
      </c>
    </row>
    <row r="30128" spans="1:1">
      <c r="A30128" t="inlineStr">
        <is>
          <t>Macapabellag</t>
        </is>
      </c>
    </row>
    <row r="30129" spans="1:1">
      <c r="A30129" t="inlineStr">
        <is>
          <t>Macatcatuit</t>
        </is>
      </c>
    </row>
    <row r="30130" spans="1:1">
      <c r="A30130" t="inlineStr">
        <is>
          <t>Manacsac</t>
        </is>
      </c>
    </row>
    <row r="30131" spans="1:1">
      <c r="A30131" t="inlineStr">
        <is>
          <t>Manggang Marikit</t>
        </is>
      </c>
    </row>
    <row r="30132" spans="1:1">
      <c r="A30132" t="inlineStr">
        <is>
          <t>Maturanoc</t>
        </is>
      </c>
    </row>
    <row r="30133" spans="1:1">
      <c r="A30133" t="inlineStr">
        <is>
          <t>Maybubon</t>
        </is>
      </c>
    </row>
    <row r="30134" spans="1:1">
      <c r="A30134" t="inlineStr">
        <is>
          <t>Naglabrahan</t>
        </is>
      </c>
    </row>
    <row r="30135" spans="1:1">
      <c r="A30135" t="inlineStr">
        <is>
          <t>Nagpandayan</t>
        </is>
      </c>
    </row>
    <row r="30136" spans="1:1">
      <c r="A30136" t="inlineStr">
        <is>
          <t>Narvacan I</t>
        </is>
      </c>
    </row>
    <row r="30137" spans="1:1">
      <c r="A30137" t="inlineStr">
        <is>
          <t>Narvacan II</t>
        </is>
      </c>
    </row>
    <row r="30138" spans="1:1">
      <c r="A30138" t="inlineStr">
        <is>
          <t>Pacac</t>
        </is>
      </c>
    </row>
    <row r="30139" spans="1:1">
      <c r="A30139" t="inlineStr">
        <is>
          <t>Partida I</t>
        </is>
      </c>
    </row>
    <row r="30140" spans="1:1">
      <c r="A30140" t="inlineStr">
        <is>
          <t>Partida II</t>
        </is>
      </c>
    </row>
    <row r="30141" spans="1:1">
      <c r="A30141" t="inlineStr">
        <is>
          <t>Pasong Inchic</t>
        </is>
      </c>
    </row>
    <row r="30142" spans="1:1">
      <c r="A30142" t="inlineStr">
        <is>
          <t>Saint John District</t>
        </is>
      </c>
    </row>
    <row r="30143" spans="1:1">
      <c r="A30143" t="inlineStr">
        <is>
          <t>San Agustin</t>
        </is>
      </c>
    </row>
    <row r="30144" spans="1:1">
      <c r="A30144" t="inlineStr">
        <is>
          <t>San Andres</t>
        </is>
      </c>
    </row>
    <row r="30145" spans="1:1">
      <c r="A30145" t="inlineStr">
        <is>
          <t>San Bernardino</t>
        </is>
      </c>
    </row>
    <row r="30146" spans="1:1">
      <c r="A30146" t="inlineStr">
        <is>
          <t>San Marcelino</t>
        </is>
      </c>
    </row>
    <row r="30147" spans="1:1">
      <c r="A30147" t="inlineStr">
        <is>
          <t>San Miguel</t>
        </is>
      </c>
    </row>
    <row r="30148" spans="1:1">
      <c r="A30148" t="inlineStr">
        <is>
          <t>San Rafael</t>
        </is>
      </c>
    </row>
    <row r="30149" spans="1:1">
      <c r="A30149" t="inlineStr">
        <is>
          <t>San Roque</t>
        </is>
      </c>
    </row>
    <row r="30150" spans="1:1">
      <c r="A30150" t="inlineStr">
        <is>
          <t>Santa Ana</t>
        </is>
      </c>
    </row>
    <row r="30151" spans="1:1">
      <c r="A30151" t="inlineStr">
        <is>
          <t>Santa Cruz</t>
        </is>
      </c>
    </row>
    <row r="30152" spans="1:1">
      <c r="A30152" t="inlineStr">
        <is>
          <t>Santa Lucia</t>
        </is>
      </c>
    </row>
    <row r="30153" spans="1:1">
      <c r="A30153" t="inlineStr">
        <is>
          <t>Santa Veronica District</t>
        </is>
      </c>
    </row>
    <row r="30154" spans="1:1">
      <c r="A30154" t="inlineStr">
        <is>
          <t>Santo Cristo District</t>
        </is>
      </c>
    </row>
    <row r="30155" spans="1:1">
      <c r="A30155" t="inlineStr">
        <is>
          <t>Saranay District</t>
        </is>
      </c>
    </row>
    <row r="30156" spans="1:1">
      <c r="A30156" t="inlineStr">
        <is>
          <t>Sinulatan</t>
        </is>
      </c>
    </row>
    <row r="30157" spans="1:1">
      <c r="A30157" t="inlineStr">
        <is>
          <t>Subol</t>
        </is>
      </c>
    </row>
    <row r="30158" spans="1:1">
      <c r="A30158" t="inlineStr">
        <is>
          <t>Tampac I</t>
        </is>
      </c>
    </row>
    <row r="30159" spans="1:1">
      <c r="A30159" t="inlineStr">
        <is>
          <t>Tampac II &amp; III</t>
        </is>
      </c>
    </row>
    <row r="30160" spans="1:1">
      <c r="A30160" t="inlineStr">
        <is>
          <t>Triala</t>
        </is>
      </c>
    </row>
    <row r="30161" spans="1:1">
      <c r="A30161" t="inlineStr">
        <is>
          <t>Yuson</t>
        </is>
      </c>
    </row>
    <row r="30162" spans="1:1">
      <c r="A30162" t="inlineStr">
        <is>
          <t>Calabasa</t>
        </is>
      </c>
    </row>
    <row r="30163" spans="1:1">
      <c r="A30163" t="inlineStr">
        <is>
          <t>Dampulan</t>
        </is>
      </c>
    </row>
    <row r="30164" spans="1:1">
      <c r="A30164" t="inlineStr">
        <is>
          <t>Don Mariano Marcos</t>
        </is>
      </c>
    </row>
    <row r="30165" spans="1:1">
      <c r="A30165" t="inlineStr">
        <is>
          <t>Hilera</t>
        </is>
      </c>
    </row>
    <row r="30166" spans="1:1">
      <c r="A30166" t="inlineStr">
        <is>
          <t>Imbunia</t>
        </is>
      </c>
    </row>
    <row r="30167" spans="1:1">
      <c r="A30167" t="inlineStr">
        <is>
          <t>Imelda Pob.</t>
        </is>
      </c>
    </row>
    <row r="30168" spans="1:1">
      <c r="A30168" t="inlineStr">
        <is>
          <t>Lambakin</t>
        </is>
      </c>
    </row>
    <row r="30169" spans="1:1">
      <c r="A30169" t="inlineStr">
        <is>
          <t>Langla</t>
        </is>
      </c>
    </row>
    <row r="30170" spans="1:1">
      <c r="A30170" t="inlineStr">
        <is>
          <t>Magsalisi</t>
        </is>
      </c>
    </row>
    <row r="30171" spans="1:1">
      <c r="A30171" t="inlineStr">
        <is>
          <t>Malabon-Kaingin</t>
        </is>
      </c>
    </row>
    <row r="30172" spans="1:1">
      <c r="A30172" t="inlineStr">
        <is>
          <t>Marawa</t>
        </is>
      </c>
    </row>
    <row r="30173" spans="1:1">
      <c r="A30173" t="inlineStr">
        <is>
          <t>Niyugan</t>
        </is>
      </c>
    </row>
    <row r="30174" spans="1:1">
      <c r="A30174" t="inlineStr">
        <is>
          <t>Ocampo-Rivera District</t>
        </is>
      </c>
    </row>
    <row r="30175" spans="1:1">
      <c r="A30175" t="inlineStr">
        <is>
          <t>Pakol</t>
        </is>
      </c>
    </row>
    <row r="30176" spans="1:1">
      <c r="A30176" t="inlineStr">
        <is>
          <t>Pamacpacan</t>
        </is>
      </c>
    </row>
    <row r="30177" spans="1:1">
      <c r="A30177" t="inlineStr">
        <is>
          <t>Pinanggaan</t>
        </is>
      </c>
    </row>
    <row r="30178" spans="1:1">
      <c r="A30178" t="inlineStr">
        <is>
          <t>Putlod</t>
        </is>
      </c>
    </row>
    <row r="30179" spans="1:1">
      <c r="A30179" t="inlineStr">
        <is>
          <t>San Jose</t>
        </is>
      </c>
    </row>
    <row r="30180" spans="1:1">
      <c r="A30180" t="inlineStr">
        <is>
          <t>San Josef</t>
        </is>
      </c>
    </row>
    <row r="30181" spans="1:1">
      <c r="A30181" t="inlineStr">
        <is>
          <t>San Pablo</t>
        </is>
      </c>
    </row>
    <row r="30182" spans="1:1">
      <c r="A30182" t="inlineStr">
        <is>
          <t>San Roque</t>
        </is>
      </c>
    </row>
    <row r="30183" spans="1:1">
      <c r="A30183" t="inlineStr">
        <is>
          <t>San Vicente</t>
        </is>
      </c>
    </row>
    <row r="30184" spans="1:1">
      <c r="A30184" t="inlineStr">
        <is>
          <t>Santa Rita</t>
        </is>
      </c>
    </row>
    <row r="30185" spans="1:1">
      <c r="A30185" t="inlineStr">
        <is>
          <t>Santo Tomas North</t>
        </is>
      </c>
    </row>
    <row r="30186" spans="1:1">
      <c r="A30186" t="inlineStr">
        <is>
          <t>Santo Tomas South</t>
        </is>
      </c>
    </row>
    <row r="30187" spans="1:1">
      <c r="A30187" t="inlineStr">
        <is>
          <t>Sapang</t>
        </is>
      </c>
    </row>
    <row r="30188" spans="1:1">
      <c r="A30188" t="inlineStr">
        <is>
          <t>Ulanin-Pitak</t>
        </is>
      </c>
    </row>
    <row r="30189" spans="1:1">
      <c r="A30189" t="inlineStr">
        <is>
          <t>Barangay I</t>
        </is>
      </c>
    </row>
    <row r="30190" spans="1:1">
      <c r="A30190" t="inlineStr">
        <is>
          <t>Barangay II</t>
        </is>
      </c>
    </row>
    <row r="30191" spans="1:1">
      <c r="A30191" t="inlineStr">
        <is>
          <t>Barangay III</t>
        </is>
      </c>
    </row>
    <row r="30192" spans="1:1">
      <c r="A30192" t="inlineStr">
        <is>
          <t>Barangay IV</t>
        </is>
      </c>
    </row>
    <row r="30193" spans="1:1">
      <c r="A30193" t="inlineStr">
        <is>
          <t>Betania</t>
        </is>
      </c>
    </row>
    <row r="30194" spans="1:1">
      <c r="A30194" t="inlineStr">
        <is>
          <t>Canantong</t>
        </is>
      </c>
    </row>
    <row r="30195" spans="1:1">
      <c r="A30195" t="inlineStr">
        <is>
          <t>Nauzon</t>
        </is>
      </c>
    </row>
    <row r="30196" spans="1:1">
      <c r="A30196" t="inlineStr">
        <is>
          <t>Pangarulong</t>
        </is>
      </c>
    </row>
    <row r="30197" spans="1:1">
      <c r="A30197" t="inlineStr">
        <is>
          <t>Pinagbayanan</t>
        </is>
      </c>
    </row>
    <row r="30198" spans="1:1">
      <c r="A30198" t="inlineStr">
        <is>
          <t>Sagana</t>
        </is>
      </c>
    </row>
    <row r="30199" spans="1:1">
      <c r="A30199" t="inlineStr">
        <is>
          <t>San Felipe</t>
        </is>
      </c>
    </row>
    <row r="30200" spans="1:1">
      <c r="A30200" t="inlineStr">
        <is>
          <t>San Fernando</t>
        </is>
      </c>
    </row>
    <row r="30201" spans="1:1">
      <c r="A30201" t="inlineStr">
        <is>
          <t>San Isidro</t>
        </is>
      </c>
    </row>
    <row r="30202" spans="1:1">
      <c r="A30202" t="inlineStr">
        <is>
          <t>San Josef</t>
        </is>
      </c>
    </row>
    <row r="30203" spans="1:1">
      <c r="A30203" t="inlineStr">
        <is>
          <t>San Juan</t>
        </is>
      </c>
    </row>
    <row r="30204" spans="1:1">
      <c r="A30204" t="inlineStr">
        <is>
          <t>San Vicente</t>
        </is>
      </c>
    </row>
    <row r="30205" spans="1:1">
      <c r="A30205" t="inlineStr">
        <is>
          <t>Siclong</t>
        </is>
      </c>
    </row>
    <row r="30206" spans="1:1">
      <c r="A30206" t="inlineStr">
        <is>
          <t>Aquino</t>
        </is>
      </c>
    </row>
    <row r="30207" spans="1:1">
      <c r="A30207" t="inlineStr">
        <is>
          <t>Linao</t>
        </is>
      </c>
    </row>
    <row r="30208" spans="1:1">
      <c r="A30208" t="inlineStr">
        <is>
          <t>Poblacion Norte</t>
        </is>
      </c>
    </row>
    <row r="30209" spans="1:1">
      <c r="A30209" t="inlineStr">
        <is>
          <t>Poblacion Sur</t>
        </is>
      </c>
    </row>
    <row r="30210" spans="1:1">
      <c r="A30210" t="inlineStr">
        <is>
          <t>San Casimiro</t>
        </is>
      </c>
    </row>
    <row r="30211" spans="1:1">
      <c r="A30211" t="inlineStr">
        <is>
          <t>San Cristobal</t>
        </is>
      </c>
    </row>
    <row r="30212" spans="1:1">
      <c r="A30212" t="inlineStr">
        <is>
          <t>San Jose</t>
        </is>
      </c>
    </row>
    <row r="30213" spans="1:1">
      <c r="A30213" t="inlineStr">
        <is>
          <t>San Juan</t>
        </is>
      </c>
    </row>
    <row r="30214" spans="1:1">
      <c r="A30214" t="inlineStr">
        <is>
          <t>Santa Maria</t>
        </is>
      </c>
    </row>
    <row r="30215" spans="1:1">
      <c r="A30215" t="inlineStr">
        <is>
          <t>Tabing Ilog</t>
        </is>
      </c>
    </row>
    <row r="30216" spans="1:1">
      <c r="A30216" t="inlineStr">
        <is>
          <t>Villarosa</t>
        </is>
      </c>
    </row>
    <row r="30217" spans="1:1">
      <c r="A30217" t="inlineStr">
        <is>
          <t>A. Bonifacio</t>
        </is>
      </c>
    </row>
    <row r="30218" spans="1:1">
      <c r="A30218" t="inlineStr">
        <is>
          <t>Bagumbayan</t>
        </is>
      </c>
    </row>
    <row r="30219" spans="1:1">
      <c r="A30219" t="inlineStr">
        <is>
          <t>Bosque</t>
        </is>
      </c>
    </row>
    <row r="30220" spans="1:1">
      <c r="A30220" t="inlineStr">
        <is>
          <t>Caridad Norte</t>
        </is>
      </c>
    </row>
    <row r="30221" spans="1:1">
      <c r="A30221" t="inlineStr">
        <is>
          <t>Caridad Sur</t>
        </is>
      </c>
    </row>
    <row r="30222" spans="1:1">
      <c r="A30222" t="inlineStr">
        <is>
          <t>Casile</t>
        </is>
      </c>
    </row>
    <row r="30223" spans="1:1">
      <c r="A30223" t="inlineStr">
        <is>
          <t>Florida Blanca</t>
        </is>
      </c>
    </row>
    <row r="30224" spans="1:1">
      <c r="A30224" t="inlineStr">
        <is>
          <t>General Luna</t>
        </is>
      </c>
    </row>
    <row r="30225" spans="1:1">
      <c r="A30225" t="inlineStr">
        <is>
          <t>General Ricarte</t>
        </is>
      </c>
    </row>
    <row r="30226" spans="1:1">
      <c r="A30226" t="inlineStr">
        <is>
          <t>Gomez</t>
        </is>
      </c>
    </row>
    <row r="30227" spans="1:1">
      <c r="A30227" t="inlineStr">
        <is>
          <t>Inanama</t>
        </is>
      </c>
    </row>
    <row r="30228" spans="1:1">
      <c r="A30228" t="inlineStr">
        <is>
          <t>Ligaya</t>
        </is>
      </c>
    </row>
    <row r="30229" spans="1:1">
      <c r="A30229" t="inlineStr">
        <is>
          <t>Mabini</t>
        </is>
      </c>
    </row>
    <row r="30230" spans="1:1">
      <c r="A30230" t="inlineStr">
        <is>
          <t>Murcon</t>
        </is>
      </c>
    </row>
    <row r="30231" spans="1:1">
      <c r="A30231" t="inlineStr">
        <is>
          <t>Plaridel</t>
        </is>
      </c>
    </row>
    <row r="30232" spans="1:1">
      <c r="A30232" t="inlineStr">
        <is>
          <t>San Felipe</t>
        </is>
      </c>
    </row>
    <row r="30233" spans="1:1">
      <c r="A30233" t="inlineStr">
        <is>
          <t>San Francisco</t>
        </is>
      </c>
    </row>
    <row r="30234" spans="1:1">
      <c r="A30234" t="inlineStr">
        <is>
          <t>San Nicolas</t>
        </is>
      </c>
    </row>
    <row r="30235" spans="1:1">
      <c r="A30235" t="inlineStr">
        <is>
          <t>San Vicente</t>
        </is>
      </c>
    </row>
    <row r="30236" spans="1:1">
      <c r="A30236" t="inlineStr">
        <is>
          <t>Santa Barbara</t>
        </is>
      </c>
    </row>
    <row r="30237" spans="1:1">
      <c r="A30237" t="inlineStr">
        <is>
          <t>Victoria</t>
        </is>
      </c>
    </row>
    <row r="30238" spans="1:1">
      <c r="A30238" t="inlineStr">
        <is>
          <t>Villa Viniegas</t>
        </is>
      </c>
    </row>
    <row r="30239" spans="1:1">
      <c r="A30239" t="inlineStr">
        <is>
          <t>Agupalo Este</t>
        </is>
      </c>
    </row>
    <row r="30240" spans="1:1">
      <c r="A30240" t="inlineStr">
        <is>
          <t>Agupalo Weste</t>
        </is>
      </c>
    </row>
    <row r="30241" spans="1:1">
      <c r="A30241" t="inlineStr">
        <is>
          <t>Alalay Chica</t>
        </is>
      </c>
    </row>
    <row r="30242" spans="1:1">
      <c r="A30242" t="inlineStr">
        <is>
          <t>Alalay Grande</t>
        </is>
      </c>
    </row>
    <row r="30243" spans="1:1">
      <c r="A30243" t="inlineStr">
        <is>
          <t>Bagong Flores</t>
        </is>
      </c>
    </row>
    <row r="30244" spans="1:1">
      <c r="A30244" t="inlineStr">
        <is>
          <t>Balbalungao</t>
        </is>
      </c>
    </row>
    <row r="30245" spans="1:1">
      <c r="A30245" t="inlineStr">
        <is>
          <t>Burgos</t>
        </is>
      </c>
    </row>
    <row r="30246" spans="1:1">
      <c r="A30246" t="inlineStr">
        <is>
          <t>Cordero</t>
        </is>
      </c>
    </row>
    <row r="30247" spans="1:1">
      <c r="A30247" t="inlineStr">
        <is>
          <t>J. U. Tienzo</t>
        </is>
      </c>
    </row>
    <row r="30248" spans="1:1">
      <c r="A30248" t="inlineStr">
        <is>
          <t>Mapangpang</t>
        </is>
      </c>
    </row>
    <row r="30249" spans="1:1">
      <c r="A30249" t="inlineStr">
        <is>
          <t>Namulandayan</t>
        </is>
      </c>
    </row>
    <row r="30250" spans="1:1">
      <c r="A30250" t="inlineStr">
        <is>
          <t>Parista</t>
        </is>
      </c>
    </row>
    <row r="30251" spans="1:1">
      <c r="A30251" t="inlineStr">
        <is>
          <t>Poblacion East</t>
        </is>
      </c>
    </row>
    <row r="30252" spans="1:1">
      <c r="A30252" t="inlineStr">
        <is>
          <t>Poblacion North</t>
        </is>
      </c>
    </row>
    <row r="30253" spans="1:1">
      <c r="A30253" t="inlineStr">
        <is>
          <t>Poblacion South</t>
        </is>
      </c>
    </row>
    <row r="30254" spans="1:1">
      <c r="A30254" t="inlineStr">
        <is>
          <t>Poblacion West</t>
        </is>
      </c>
    </row>
    <row r="30255" spans="1:1">
      <c r="A30255" t="inlineStr">
        <is>
          <t>Salvacion I</t>
        </is>
      </c>
    </row>
    <row r="30256" spans="1:1">
      <c r="A30256" t="inlineStr">
        <is>
          <t>Salvacion II</t>
        </is>
      </c>
    </row>
    <row r="30257" spans="1:1">
      <c r="A30257" t="inlineStr">
        <is>
          <t>San Antonio Este</t>
        </is>
      </c>
    </row>
    <row r="30258" spans="1:1">
      <c r="A30258" t="inlineStr">
        <is>
          <t>San Antonio Weste</t>
        </is>
      </c>
    </row>
    <row r="30259" spans="1:1">
      <c r="A30259" t="inlineStr">
        <is>
          <t>San Isidro</t>
        </is>
      </c>
    </row>
    <row r="30260" spans="1:1">
      <c r="A30260" t="inlineStr">
        <is>
          <t>San Pedro</t>
        </is>
      </c>
    </row>
    <row r="30261" spans="1:1">
      <c r="A30261" t="inlineStr">
        <is>
          <t>San Roque</t>
        </is>
      </c>
    </row>
    <row r="30262" spans="1:1">
      <c r="A30262" t="inlineStr">
        <is>
          <t>Santo Domingo</t>
        </is>
      </c>
    </row>
    <row r="30263" spans="1:1">
      <c r="A30263" t="inlineStr">
        <is>
          <t>Alemania</t>
        </is>
      </c>
    </row>
    <row r="30264" spans="1:1">
      <c r="A30264" t="inlineStr">
        <is>
          <t>Ambasador Alzate Village</t>
        </is>
      </c>
    </row>
    <row r="30265" spans="1:1">
      <c r="A30265" t="inlineStr">
        <is>
          <t>Cabaducan East</t>
        </is>
      </c>
    </row>
    <row r="30266" spans="1:1">
      <c r="A30266" t="inlineStr">
        <is>
          <t>Cabaducan West</t>
        </is>
      </c>
    </row>
    <row r="30267" spans="1:1">
      <c r="A30267" t="inlineStr">
        <is>
          <t>Cabawangan</t>
        </is>
      </c>
    </row>
    <row r="30268" spans="1:1">
      <c r="A30268" t="inlineStr">
        <is>
          <t>East Central Poblacion</t>
        </is>
      </c>
    </row>
    <row r="30269" spans="1:1">
      <c r="A30269" t="inlineStr">
        <is>
          <t>Edy</t>
        </is>
      </c>
    </row>
    <row r="30270" spans="1:1">
      <c r="A30270" t="inlineStr">
        <is>
          <t>Estacion</t>
        </is>
      </c>
    </row>
    <row r="30271" spans="1:1">
      <c r="A30271" t="inlineStr">
        <is>
          <t>Maeling</t>
        </is>
      </c>
    </row>
    <row r="30272" spans="1:1">
      <c r="A30272" t="inlineStr">
        <is>
          <t>Mayantoc</t>
        </is>
      </c>
    </row>
    <row r="30273" spans="1:1">
      <c r="A30273" t="inlineStr">
        <is>
          <t>Medico</t>
        </is>
      </c>
    </row>
    <row r="30274" spans="1:1">
      <c r="A30274" t="inlineStr">
        <is>
          <t>Monic</t>
        </is>
      </c>
    </row>
    <row r="30275" spans="1:1">
      <c r="A30275" t="inlineStr">
        <is>
          <t>North Poblacion</t>
        </is>
      </c>
    </row>
    <row r="30276" spans="1:1">
      <c r="A30276" t="inlineStr">
        <is>
          <t>Northwest Poblacion</t>
        </is>
      </c>
    </row>
    <row r="30277" spans="1:1">
      <c r="A30277" t="inlineStr">
        <is>
          <t>Recuerdo</t>
        </is>
      </c>
    </row>
    <row r="30278" spans="1:1">
      <c r="A30278" t="inlineStr">
        <is>
          <t>South Central Poblacion</t>
        </is>
      </c>
    </row>
    <row r="30279" spans="1:1">
      <c r="A30279" t="inlineStr">
        <is>
          <t>Southeast Poblacion</t>
        </is>
      </c>
    </row>
    <row r="30280" spans="1:1">
      <c r="A30280" t="inlineStr">
        <is>
          <t>Southwest Poblacion</t>
        </is>
      </c>
    </row>
    <row r="30281" spans="1:1">
      <c r="A30281" t="inlineStr">
        <is>
          <t>Tony</t>
        </is>
      </c>
    </row>
    <row r="30282" spans="1:1">
      <c r="A30282" t="inlineStr">
        <is>
          <t>West Central Poblacion</t>
        </is>
      </c>
    </row>
    <row r="30283" spans="1:1">
      <c r="A30283" t="inlineStr">
        <is>
          <t>West Poblacion</t>
        </is>
      </c>
    </row>
    <row r="30284" spans="1:1">
      <c r="A30284" t="inlineStr">
        <is>
          <t>Cadaclan</t>
        </is>
      </c>
    </row>
    <row r="30285" spans="1:1">
      <c r="A30285" t="inlineStr">
        <is>
          <t>Cambitala</t>
        </is>
      </c>
    </row>
    <row r="30286" spans="1:1">
      <c r="A30286" t="inlineStr">
        <is>
          <t>Conversion</t>
        </is>
      </c>
    </row>
    <row r="30287" spans="1:1">
      <c r="A30287" t="inlineStr">
        <is>
          <t>Fatima</t>
        </is>
      </c>
    </row>
    <row r="30288" spans="1:1">
      <c r="A30288" t="inlineStr">
        <is>
          <t>Ganduz</t>
        </is>
      </c>
    </row>
    <row r="30289" spans="1:1">
      <c r="A30289" t="inlineStr">
        <is>
          <t>Liberty</t>
        </is>
      </c>
    </row>
    <row r="30290" spans="1:1">
      <c r="A30290" t="inlineStr">
        <is>
          <t>Malbang</t>
        </is>
      </c>
    </row>
    <row r="30291" spans="1:1">
      <c r="A30291" t="inlineStr">
        <is>
          <t>Marikit</t>
        </is>
      </c>
    </row>
    <row r="30292" spans="1:1">
      <c r="A30292" t="inlineStr">
        <is>
          <t>Napon-Napon</t>
        </is>
      </c>
    </row>
    <row r="30293" spans="1:1">
      <c r="A30293" t="inlineStr">
        <is>
          <t>Poblacion East</t>
        </is>
      </c>
    </row>
    <row r="30294" spans="1:1">
      <c r="A30294" t="inlineStr">
        <is>
          <t>Poblacion West</t>
        </is>
      </c>
    </row>
    <row r="30295" spans="1:1">
      <c r="A30295" t="inlineStr">
        <is>
          <t>Sampaloc</t>
        </is>
      </c>
    </row>
    <row r="30296" spans="1:1">
      <c r="A30296" t="inlineStr">
        <is>
          <t>San Juan</t>
        </is>
      </c>
    </row>
    <row r="30297" spans="1:1">
      <c r="A30297" t="inlineStr">
        <is>
          <t>Villarica</t>
        </is>
      </c>
    </row>
    <row r="30298" spans="1:1">
      <c r="A30298" t="inlineStr">
        <is>
          <t>Callos</t>
        </is>
      </c>
    </row>
    <row r="30299" spans="1:1">
      <c r="A30299" t="inlineStr">
        <is>
          <t>Las Piñas</t>
        </is>
      </c>
    </row>
    <row r="30300" spans="1:1">
      <c r="A30300" t="inlineStr">
        <is>
          <t>Poblacion I</t>
        </is>
      </c>
    </row>
    <row r="30301" spans="1:1">
      <c r="A30301" t="inlineStr">
        <is>
          <t>Poblacion II</t>
        </is>
      </c>
    </row>
    <row r="30302" spans="1:1">
      <c r="A30302" t="inlineStr">
        <is>
          <t>Poblacion III</t>
        </is>
      </c>
    </row>
    <row r="30303" spans="1:1">
      <c r="A30303" t="inlineStr">
        <is>
          <t>Poblacion IV</t>
        </is>
      </c>
    </row>
    <row r="30304" spans="1:1">
      <c r="A30304" t="inlineStr">
        <is>
          <t>San Josef</t>
        </is>
      </c>
    </row>
    <row r="30305" spans="1:1">
      <c r="A30305" t="inlineStr">
        <is>
          <t>San Mariano</t>
        </is>
      </c>
    </row>
    <row r="30306" spans="1:1">
      <c r="A30306" t="inlineStr">
        <is>
          <t>Santo Tomas</t>
        </is>
      </c>
    </row>
    <row r="30307" spans="1:1">
      <c r="A30307" t="inlineStr">
        <is>
          <t>Sinasajan</t>
        </is>
      </c>
    </row>
    <row r="30308" spans="1:1">
      <c r="A30308" t="inlineStr">
        <is>
          <t>Barangay I</t>
        </is>
      </c>
    </row>
    <row r="30309" spans="1:1">
      <c r="A30309" t="inlineStr">
        <is>
          <t>Barangay II</t>
        </is>
      </c>
    </row>
    <row r="30310" spans="1:1">
      <c r="A30310" t="inlineStr">
        <is>
          <t>Bertese</t>
        </is>
      </c>
    </row>
    <row r="30311" spans="1:1">
      <c r="A30311" t="inlineStr">
        <is>
          <t>Doña Lucia</t>
        </is>
      </c>
    </row>
    <row r="30312" spans="1:1">
      <c r="A30312" t="inlineStr">
        <is>
          <t>Dulong Bayan</t>
        </is>
      </c>
    </row>
    <row r="30313" spans="1:1">
      <c r="A30313" t="inlineStr">
        <is>
          <t>Ilog Baliwag</t>
        </is>
      </c>
    </row>
    <row r="30314" spans="1:1">
      <c r="A30314" t="inlineStr">
        <is>
          <t>Pulong Bahay</t>
        </is>
      </c>
    </row>
    <row r="30315" spans="1:1">
      <c r="A30315" t="inlineStr">
        <is>
          <t>San Alejandro</t>
        </is>
      </c>
    </row>
    <row r="30316" spans="1:1">
      <c r="A30316" t="inlineStr">
        <is>
          <t>San Andres I</t>
        </is>
      </c>
    </row>
    <row r="30317" spans="1:1">
      <c r="A30317" t="inlineStr">
        <is>
          <t>San Andres II</t>
        </is>
      </c>
    </row>
    <row r="30318" spans="1:1">
      <c r="A30318" t="inlineStr">
        <is>
          <t>San Manuel</t>
        </is>
      </c>
    </row>
    <row r="30319" spans="1:1">
      <c r="A30319" t="inlineStr">
        <is>
          <t>San Miguel</t>
        </is>
      </c>
    </row>
    <row r="30320" spans="1:1">
      <c r="A30320" t="inlineStr">
        <is>
          <t>Santa Clara</t>
        </is>
      </c>
    </row>
    <row r="30321" spans="1:1">
      <c r="A30321" t="inlineStr">
        <is>
          <t>Santa Rita</t>
        </is>
      </c>
    </row>
    <row r="30322" spans="1:1">
      <c r="A30322" t="inlineStr">
        <is>
          <t>Santo Cristo</t>
        </is>
      </c>
    </row>
    <row r="30323" spans="1:1">
      <c r="A30323" t="inlineStr">
        <is>
          <t>Santo Tomas Feria</t>
        </is>
      </c>
    </row>
    <row r="30324" spans="1:1">
      <c r="A30324" t="inlineStr">
        <is>
          <t>Agbannawag</t>
        </is>
      </c>
    </row>
    <row r="30325" spans="1:1">
      <c r="A30325" t="inlineStr">
        <is>
          <t>Aglipay</t>
        </is>
      </c>
    </row>
    <row r="30326" spans="1:1">
      <c r="A30326" t="inlineStr">
        <is>
          <t>Bicos</t>
        </is>
      </c>
    </row>
    <row r="30327" spans="1:1">
      <c r="A30327" t="inlineStr">
        <is>
          <t>Cabucbucan</t>
        </is>
      </c>
    </row>
    <row r="30328" spans="1:1">
      <c r="A30328" t="inlineStr">
        <is>
          <t>Calaocan District</t>
        </is>
      </c>
    </row>
    <row r="30329" spans="1:1">
      <c r="A30329" t="inlineStr">
        <is>
          <t>Canaan East</t>
        </is>
      </c>
    </row>
    <row r="30330" spans="1:1">
      <c r="A30330" t="inlineStr">
        <is>
          <t>Canaan West</t>
        </is>
      </c>
    </row>
    <row r="30331" spans="1:1">
      <c r="A30331" t="inlineStr">
        <is>
          <t>Casilagan</t>
        </is>
      </c>
    </row>
    <row r="30332" spans="1:1">
      <c r="A30332" t="inlineStr">
        <is>
          <t>Del Pilar</t>
        </is>
      </c>
    </row>
    <row r="30333" spans="1:1">
      <c r="A30333" t="inlineStr">
        <is>
          <t>Estrella</t>
        </is>
      </c>
    </row>
    <row r="30334" spans="1:1">
      <c r="A30334" t="inlineStr">
        <is>
          <t>General Luna</t>
        </is>
      </c>
    </row>
    <row r="30335" spans="1:1">
      <c r="A30335" t="inlineStr">
        <is>
          <t>Macapsing</t>
        </is>
      </c>
    </row>
    <row r="30336" spans="1:1">
      <c r="A30336" t="inlineStr">
        <is>
          <t>Maligaya</t>
        </is>
      </c>
    </row>
    <row r="30337" spans="1:1">
      <c r="A30337" t="inlineStr">
        <is>
          <t>Paco Roman</t>
        </is>
      </c>
    </row>
    <row r="30338" spans="1:1">
      <c r="A30338" t="inlineStr">
        <is>
          <t>Pag-asa</t>
        </is>
      </c>
    </row>
    <row r="30339" spans="1:1">
      <c r="A30339" t="inlineStr">
        <is>
          <t>Poblacion Central</t>
        </is>
      </c>
    </row>
    <row r="30340" spans="1:1">
      <c r="A30340" t="inlineStr">
        <is>
          <t>Poblacion East</t>
        </is>
      </c>
    </row>
    <row r="30341" spans="1:1">
      <c r="A30341" t="inlineStr">
        <is>
          <t>Poblacion Norte</t>
        </is>
      </c>
    </row>
    <row r="30342" spans="1:1">
      <c r="A30342" t="inlineStr">
        <is>
          <t>Poblacion Sur</t>
        </is>
      </c>
    </row>
    <row r="30343" spans="1:1">
      <c r="A30343" t="inlineStr">
        <is>
          <t>Poblacion West</t>
        </is>
      </c>
    </row>
    <row r="30344" spans="1:1">
      <c r="A30344" t="inlineStr">
        <is>
          <t>Portal</t>
        </is>
      </c>
    </row>
    <row r="30345" spans="1:1">
      <c r="A30345" t="inlineStr">
        <is>
          <t>San Esteban</t>
        </is>
      </c>
    </row>
    <row r="30346" spans="1:1">
      <c r="A30346" t="inlineStr">
        <is>
          <t>San Gregorio</t>
        </is>
      </c>
    </row>
    <row r="30347" spans="1:1">
      <c r="A30347" t="inlineStr">
        <is>
          <t>Santa Monica</t>
        </is>
      </c>
    </row>
    <row r="30348" spans="1:1">
      <c r="A30348" t="inlineStr">
        <is>
          <t>Villa Labrador</t>
        </is>
      </c>
    </row>
    <row r="30349" spans="1:1">
      <c r="A30349" t="inlineStr">
        <is>
          <t>Villa Paraiso</t>
        </is>
      </c>
    </row>
    <row r="30350" spans="1:1">
      <c r="A30350" t="inlineStr">
        <is>
          <t>Buliran</t>
        </is>
      </c>
    </row>
    <row r="30351" spans="1:1">
      <c r="A30351" t="inlineStr">
        <is>
          <t>Cama Juan</t>
        </is>
      </c>
    </row>
    <row r="30352" spans="1:1">
      <c r="A30352" t="inlineStr">
        <is>
          <t>Julo</t>
        </is>
      </c>
    </row>
    <row r="30353" spans="1:1">
      <c r="A30353" t="inlineStr">
        <is>
          <t>Lawang Kupang</t>
        </is>
      </c>
    </row>
    <row r="30354" spans="1:1">
      <c r="A30354" t="inlineStr">
        <is>
          <t>Luyos</t>
        </is>
      </c>
    </row>
    <row r="30355" spans="1:1">
      <c r="A30355" t="inlineStr">
        <is>
          <t>Maugat</t>
        </is>
      </c>
    </row>
    <row r="30356" spans="1:1">
      <c r="A30356" t="inlineStr">
        <is>
          <t>Panabingan</t>
        </is>
      </c>
    </row>
    <row r="30357" spans="1:1">
      <c r="A30357" t="inlineStr">
        <is>
          <t>Papaya</t>
        </is>
      </c>
    </row>
    <row r="30358" spans="1:1">
      <c r="A30358" t="inlineStr">
        <is>
          <t>Poblacion</t>
        </is>
      </c>
    </row>
    <row r="30359" spans="1:1">
      <c r="A30359" t="inlineStr">
        <is>
          <t>San Francisco</t>
        </is>
      </c>
    </row>
    <row r="30360" spans="1:1">
      <c r="A30360" t="inlineStr">
        <is>
          <t>San Jose</t>
        </is>
      </c>
    </row>
    <row r="30361" spans="1:1">
      <c r="A30361" t="inlineStr">
        <is>
          <t>San Mariano</t>
        </is>
      </c>
    </row>
    <row r="30362" spans="1:1">
      <c r="A30362" t="inlineStr">
        <is>
          <t>Santa Barbara</t>
        </is>
      </c>
    </row>
    <row r="30363" spans="1:1">
      <c r="A30363" t="inlineStr">
        <is>
          <t>Santa Cruz</t>
        </is>
      </c>
    </row>
    <row r="30364" spans="1:1">
      <c r="A30364" t="inlineStr">
        <is>
          <t>Santo Cristo</t>
        </is>
      </c>
    </row>
    <row r="30365" spans="1:1">
      <c r="A30365" t="inlineStr">
        <is>
          <t>Tikiw</t>
        </is>
      </c>
    </row>
    <row r="30366" spans="1:1">
      <c r="A30366" t="inlineStr">
        <is>
          <t>Alua</t>
        </is>
      </c>
    </row>
    <row r="30367" spans="1:1">
      <c r="A30367" t="inlineStr">
        <is>
          <t>Calaba</t>
        </is>
      </c>
    </row>
    <row r="30368" spans="1:1">
      <c r="A30368" t="inlineStr">
        <is>
          <t>Malapit</t>
        </is>
      </c>
    </row>
    <row r="30369" spans="1:1">
      <c r="A30369" t="inlineStr">
        <is>
          <t>Mangga</t>
        </is>
      </c>
    </row>
    <row r="30370" spans="1:1">
      <c r="A30370" t="inlineStr">
        <is>
          <t>Poblacion</t>
        </is>
      </c>
    </row>
    <row r="30371" spans="1:1">
      <c r="A30371" t="inlineStr">
        <is>
          <t>Pulo</t>
        </is>
      </c>
    </row>
    <row r="30372" spans="1:1">
      <c r="A30372" t="inlineStr">
        <is>
          <t>San Roque</t>
        </is>
      </c>
    </row>
    <row r="30373" spans="1:1">
      <c r="A30373" t="inlineStr">
        <is>
          <t>Sto. Cristo</t>
        </is>
      </c>
    </row>
    <row r="30374" spans="1:1">
      <c r="A30374" t="inlineStr">
        <is>
          <t>Tabon</t>
        </is>
      </c>
    </row>
    <row r="30375" spans="1:1">
      <c r="A30375" t="inlineStr">
        <is>
          <t>A. Pascual</t>
        </is>
      </c>
    </row>
    <row r="30376" spans="1:1">
      <c r="A30376" t="inlineStr">
        <is>
          <t>Abar 2nd</t>
        </is>
      </c>
    </row>
    <row r="30377" spans="1:1">
      <c r="A30377" t="inlineStr">
        <is>
          <t>Abar Ist</t>
        </is>
      </c>
    </row>
    <row r="30378" spans="1:1">
      <c r="A30378" t="inlineStr">
        <is>
          <t>Bagong Sikat</t>
        </is>
      </c>
    </row>
    <row r="30379" spans="1:1">
      <c r="A30379" t="inlineStr">
        <is>
          <t>Caanawan</t>
        </is>
      </c>
    </row>
    <row r="30380" spans="1:1">
      <c r="A30380" t="inlineStr">
        <is>
          <t>Calaocan</t>
        </is>
      </c>
    </row>
    <row r="30381" spans="1:1">
      <c r="A30381" t="inlineStr">
        <is>
          <t>Camanacsacan</t>
        </is>
      </c>
    </row>
    <row r="30382" spans="1:1">
      <c r="A30382" t="inlineStr">
        <is>
          <t>Canuto Ramos Pob.</t>
        </is>
      </c>
    </row>
    <row r="30383" spans="1:1">
      <c r="A30383" t="inlineStr">
        <is>
          <t>Crisanto Sanchez Pob.</t>
        </is>
      </c>
    </row>
    <row r="30384" spans="1:1">
      <c r="A30384" t="inlineStr">
        <is>
          <t>Culaylay</t>
        </is>
      </c>
    </row>
    <row r="30385" spans="1:1">
      <c r="A30385" t="inlineStr">
        <is>
          <t>Dizol</t>
        </is>
      </c>
    </row>
    <row r="30386" spans="1:1">
      <c r="A30386" t="inlineStr">
        <is>
          <t>Ferdinand E. Marcos Pob.</t>
        </is>
      </c>
    </row>
    <row r="30387" spans="1:1">
      <c r="A30387" t="inlineStr">
        <is>
          <t>Kaliwanagan</t>
        </is>
      </c>
    </row>
    <row r="30388" spans="1:1">
      <c r="A30388" t="inlineStr">
        <is>
          <t>Kita-Kita</t>
        </is>
      </c>
    </row>
    <row r="30389" spans="1:1">
      <c r="A30389" t="inlineStr">
        <is>
          <t>Malasin</t>
        </is>
      </c>
    </row>
    <row r="30390" spans="1:1">
      <c r="A30390" t="inlineStr">
        <is>
          <t>Manicla</t>
        </is>
      </c>
    </row>
    <row r="30391" spans="1:1">
      <c r="A30391" t="inlineStr">
        <is>
          <t>Palestina</t>
        </is>
      </c>
    </row>
    <row r="30392" spans="1:1">
      <c r="A30392" t="inlineStr">
        <is>
          <t>Parang Mangga</t>
        </is>
      </c>
    </row>
    <row r="30393" spans="1:1">
      <c r="A30393" t="inlineStr">
        <is>
          <t>Pinili</t>
        </is>
      </c>
    </row>
    <row r="30394" spans="1:1">
      <c r="A30394" t="inlineStr">
        <is>
          <t>Porais</t>
        </is>
      </c>
    </row>
    <row r="30395" spans="1:1">
      <c r="A30395" t="inlineStr">
        <is>
          <t>Rafael Rueda, Sr. Pob.</t>
        </is>
      </c>
    </row>
    <row r="30396" spans="1:1">
      <c r="A30396" t="inlineStr">
        <is>
          <t>Raymundo Eugenio Pob.</t>
        </is>
      </c>
    </row>
    <row r="30397" spans="1:1">
      <c r="A30397" t="inlineStr">
        <is>
          <t>San Agustin</t>
        </is>
      </c>
    </row>
    <row r="30398" spans="1:1">
      <c r="A30398" t="inlineStr">
        <is>
          <t>San Juan</t>
        </is>
      </c>
    </row>
    <row r="30399" spans="1:1">
      <c r="A30399" t="inlineStr">
        <is>
          <t>San Mauricio</t>
        </is>
      </c>
    </row>
    <row r="30400" spans="1:1">
      <c r="A30400" t="inlineStr">
        <is>
          <t>Santo Niño 1st</t>
        </is>
      </c>
    </row>
    <row r="30401" spans="1:1">
      <c r="A30401" t="inlineStr">
        <is>
          <t>Santo Niño 2nd</t>
        </is>
      </c>
    </row>
    <row r="30402" spans="1:1">
      <c r="A30402" t="inlineStr">
        <is>
          <t>Santo Niño 3rd</t>
        </is>
      </c>
    </row>
    <row r="30403" spans="1:1">
      <c r="A30403" t="inlineStr">
        <is>
          <t>Santo Tomas</t>
        </is>
      </c>
    </row>
    <row r="30404" spans="1:1">
      <c r="A30404" t="inlineStr">
        <is>
          <t>Sibut</t>
        </is>
      </c>
    </row>
    <row r="30405" spans="1:1">
      <c r="A30405" t="inlineStr">
        <is>
          <t>Sinipit Bubon</t>
        </is>
      </c>
    </row>
    <row r="30406" spans="1:1">
      <c r="A30406" t="inlineStr">
        <is>
          <t>Tabulac</t>
        </is>
      </c>
    </row>
    <row r="30407" spans="1:1">
      <c r="A30407" t="inlineStr">
        <is>
          <t>Tayabo</t>
        </is>
      </c>
    </row>
    <row r="30408" spans="1:1">
      <c r="A30408" t="inlineStr">
        <is>
          <t>Tondod</t>
        </is>
      </c>
    </row>
    <row r="30409" spans="1:1">
      <c r="A30409" t="inlineStr">
        <is>
          <t>Tulat</t>
        </is>
      </c>
    </row>
    <row r="30410" spans="1:1">
      <c r="A30410" t="inlineStr">
        <is>
          <t>Villa Floresta</t>
        </is>
      </c>
    </row>
    <row r="30411" spans="1:1">
      <c r="A30411" t="inlineStr">
        <is>
          <t>Villa Joson</t>
        </is>
      </c>
    </row>
    <row r="30412" spans="1:1">
      <c r="A30412" t="inlineStr">
        <is>
          <t>Villa Marina</t>
        </is>
      </c>
    </row>
    <row r="30413" spans="1:1">
      <c r="A30413" t="inlineStr">
        <is>
          <t>Bonifacio District</t>
        </is>
      </c>
    </row>
    <row r="30414" spans="1:1">
      <c r="A30414" t="inlineStr">
        <is>
          <t>Burgos District</t>
        </is>
      </c>
    </row>
    <row r="30415" spans="1:1">
      <c r="A30415" t="inlineStr">
        <is>
          <t>Castellano</t>
        </is>
      </c>
    </row>
    <row r="30416" spans="1:1">
      <c r="A30416" t="inlineStr">
        <is>
          <t>Diversion</t>
        </is>
      </c>
    </row>
    <row r="30417" spans="1:1">
      <c r="A30417" t="inlineStr">
        <is>
          <t>Magpapalayoc</t>
        </is>
      </c>
    </row>
    <row r="30418" spans="1:1">
      <c r="A30418" t="inlineStr">
        <is>
          <t>Mallorca</t>
        </is>
      </c>
    </row>
    <row r="30419" spans="1:1">
      <c r="A30419" t="inlineStr">
        <is>
          <t>Mambangnan</t>
        </is>
      </c>
    </row>
    <row r="30420" spans="1:1">
      <c r="A30420" t="inlineStr">
        <is>
          <t>Nieves</t>
        </is>
      </c>
    </row>
    <row r="30421" spans="1:1">
      <c r="A30421" t="inlineStr">
        <is>
          <t>Rizal District</t>
        </is>
      </c>
    </row>
    <row r="30422" spans="1:1">
      <c r="A30422" t="inlineStr">
        <is>
          <t>San Anton</t>
        </is>
      </c>
    </row>
    <row r="30423" spans="1:1">
      <c r="A30423" t="inlineStr">
        <is>
          <t>San Bartolome</t>
        </is>
      </c>
    </row>
    <row r="30424" spans="1:1">
      <c r="A30424" t="inlineStr">
        <is>
          <t>San Roque</t>
        </is>
      </c>
    </row>
    <row r="30425" spans="1:1">
      <c r="A30425" t="inlineStr">
        <is>
          <t>Tabuating</t>
        </is>
      </c>
    </row>
    <row r="30426" spans="1:1">
      <c r="A30426" t="inlineStr">
        <is>
          <t>Tagumpay</t>
        </is>
      </c>
    </row>
    <row r="30427" spans="1:1">
      <c r="A30427" t="inlineStr">
        <is>
          <t>Tambo Adorable</t>
        </is>
      </c>
    </row>
    <row r="30428" spans="1:1">
      <c r="A30428" t="inlineStr">
        <is>
          <t>Aguinaldo</t>
        </is>
      </c>
    </row>
    <row r="30429" spans="1:1">
      <c r="A30429" t="inlineStr">
        <is>
          <t>Berang</t>
        </is>
      </c>
    </row>
    <row r="30430" spans="1:1">
      <c r="A30430" t="inlineStr">
        <is>
          <t>Burgos</t>
        </is>
      </c>
    </row>
    <row r="30431" spans="1:1">
      <c r="A30431" t="inlineStr">
        <is>
          <t>Cojuangco</t>
        </is>
      </c>
    </row>
    <row r="30432" spans="1:1">
      <c r="A30432" t="inlineStr">
        <is>
          <t>Del Pilar</t>
        </is>
      </c>
    </row>
    <row r="30433" spans="1:1">
      <c r="A30433" t="inlineStr">
        <is>
          <t>Gomez</t>
        </is>
      </c>
    </row>
    <row r="30434" spans="1:1">
      <c r="A30434" t="inlineStr">
        <is>
          <t>Inspector</t>
        </is>
      </c>
    </row>
    <row r="30435" spans="1:1">
      <c r="A30435" t="inlineStr">
        <is>
          <t>Isla</t>
        </is>
      </c>
    </row>
    <row r="30436" spans="1:1">
      <c r="A30436" t="inlineStr">
        <is>
          <t>La Fuente</t>
        </is>
      </c>
    </row>
    <row r="30437" spans="1:1">
      <c r="A30437" t="inlineStr">
        <is>
          <t>Liwayway</t>
        </is>
      </c>
    </row>
    <row r="30438" spans="1:1">
      <c r="A30438" t="inlineStr">
        <is>
          <t>Lourdes</t>
        </is>
      </c>
    </row>
    <row r="30439" spans="1:1">
      <c r="A30439" t="inlineStr">
        <is>
          <t>Luna</t>
        </is>
      </c>
    </row>
    <row r="30440" spans="1:1">
      <c r="A30440" t="inlineStr">
        <is>
          <t>Mabini</t>
        </is>
      </c>
    </row>
    <row r="30441" spans="1:1">
      <c r="A30441" t="inlineStr">
        <is>
          <t>Malacañang</t>
        </is>
      </c>
    </row>
    <row r="30442" spans="1:1">
      <c r="A30442" t="inlineStr">
        <is>
          <t>Maliolio</t>
        </is>
      </c>
    </row>
    <row r="30443" spans="1:1">
      <c r="A30443" t="inlineStr">
        <is>
          <t>Mapalad</t>
        </is>
      </c>
    </row>
    <row r="30444" spans="1:1">
      <c r="A30444" t="inlineStr">
        <is>
          <t>Rajal Centro</t>
        </is>
      </c>
    </row>
    <row r="30445" spans="1:1">
      <c r="A30445" t="inlineStr">
        <is>
          <t>Rajal Norte</t>
        </is>
      </c>
    </row>
    <row r="30446" spans="1:1">
      <c r="A30446" t="inlineStr">
        <is>
          <t>Rajal Sur</t>
        </is>
      </c>
    </row>
    <row r="30447" spans="1:1">
      <c r="A30447" t="inlineStr">
        <is>
          <t>Rizal</t>
        </is>
      </c>
    </row>
    <row r="30448" spans="1:1">
      <c r="A30448" t="inlineStr">
        <is>
          <t>San Gregorio</t>
        </is>
      </c>
    </row>
    <row r="30449" spans="1:1">
      <c r="A30449" t="inlineStr">
        <is>
          <t>San Isidro</t>
        </is>
      </c>
    </row>
    <row r="30450" spans="1:1">
      <c r="A30450" t="inlineStr">
        <is>
          <t>San Josep</t>
        </is>
      </c>
    </row>
    <row r="30451" spans="1:1">
      <c r="A30451" t="inlineStr">
        <is>
          <t>San Mariano</t>
        </is>
      </c>
    </row>
    <row r="30452" spans="1:1">
      <c r="A30452" t="inlineStr">
        <is>
          <t>San Pedro</t>
        </is>
      </c>
    </row>
    <row r="30453" spans="1:1">
      <c r="A30453" t="inlineStr">
        <is>
          <t>Santa Teresita</t>
        </is>
      </c>
    </row>
    <row r="30454" spans="1:1">
      <c r="A30454" t="inlineStr">
        <is>
          <t>Santo Rosario</t>
        </is>
      </c>
    </row>
    <row r="30455" spans="1:1">
      <c r="A30455" t="inlineStr">
        <is>
          <t>Sapsap</t>
        </is>
      </c>
    </row>
    <row r="30456" spans="1:1">
      <c r="A30456" t="inlineStr">
        <is>
          <t>Soledad</t>
        </is>
      </c>
    </row>
    <row r="30457" spans="1:1">
      <c r="A30457" t="inlineStr">
        <is>
          <t>Tagpos</t>
        </is>
      </c>
    </row>
    <row r="30458" spans="1:1">
      <c r="A30458" t="inlineStr">
        <is>
          <t>Tramo</t>
        </is>
      </c>
    </row>
    <row r="30459" spans="1:1">
      <c r="A30459" t="inlineStr">
        <is>
          <t>Valenzuela</t>
        </is>
      </c>
    </row>
    <row r="30460" spans="1:1">
      <c r="A30460" t="inlineStr">
        <is>
          <t>Zamora</t>
        </is>
      </c>
    </row>
    <row r="30461" spans="1:1">
      <c r="A30461" t="inlineStr">
        <is>
          <t>Baloc</t>
        </is>
      </c>
    </row>
    <row r="30462" spans="1:1">
      <c r="A30462" t="inlineStr">
        <is>
          <t>Buasao</t>
        </is>
      </c>
    </row>
    <row r="30463" spans="1:1">
      <c r="A30463" t="inlineStr">
        <is>
          <t>Burgos</t>
        </is>
      </c>
    </row>
    <row r="30464" spans="1:1">
      <c r="A30464" t="inlineStr">
        <is>
          <t>Cabugao</t>
        </is>
      </c>
    </row>
    <row r="30465" spans="1:1">
      <c r="A30465" t="inlineStr">
        <is>
          <t>Casulucan</t>
        </is>
      </c>
    </row>
    <row r="30466" spans="1:1">
      <c r="A30466" t="inlineStr">
        <is>
          <t>Comitang</t>
        </is>
      </c>
    </row>
    <row r="30467" spans="1:1">
      <c r="A30467" t="inlineStr">
        <is>
          <t>Concepcion</t>
        </is>
      </c>
    </row>
    <row r="30468" spans="1:1">
      <c r="A30468" t="inlineStr">
        <is>
          <t>Dolores</t>
        </is>
      </c>
    </row>
    <row r="30469" spans="1:1">
      <c r="A30469" t="inlineStr">
        <is>
          <t>General Luna</t>
        </is>
      </c>
    </row>
    <row r="30470" spans="1:1">
      <c r="A30470" t="inlineStr">
        <is>
          <t>Hulo</t>
        </is>
      </c>
    </row>
    <row r="30471" spans="1:1">
      <c r="A30471" t="inlineStr">
        <is>
          <t>Mabini</t>
        </is>
      </c>
    </row>
    <row r="30472" spans="1:1">
      <c r="A30472" t="inlineStr">
        <is>
          <t>Malasin</t>
        </is>
      </c>
    </row>
    <row r="30473" spans="1:1">
      <c r="A30473" t="inlineStr">
        <is>
          <t>Malaya</t>
        </is>
      </c>
    </row>
    <row r="30474" spans="1:1">
      <c r="A30474" t="inlineStr">
        <is>
          <t>Malayantoc</t>
        </is>
      </c>
    </row>
    <row r="30475" spans="1:1">
      <c r="A30475" t="inlineStr">
        <is>
          <t>Mambarao</t>
        </is>
      </c>
    </row>
    <row r="30476" spans="1:1">
      <c r="A30476" t="inlineStr">
        <is>
          <t>Poblacion</t>
        </is>
      </c>
    </row>
    <row r="30477" spans="1:1">
      <c r="A30477" t="inlineStr">
        <is>
          <t>Pulong Buli</t>
        </is>
      </c>
    </row>
    <row r="30478" spans="1:1">
      <c r="A30478" t="inlineStr">
        <is>
          <t>Sagaba</t>
        </is>
      </c>
    </row>
    <row r="30479" spans="1:1">
      <c r="A30479" t="inlineStr">
        <is>
          <t>San Agustin</t>
        </is>
      </c>
    </row>
    <row r="30480" spans="1:1">
      <c r="A30480" t="inlineStr">
        <is>
          <t>San Fabian</t>
        </is>
      </c>
    </row>
    <row r="30481" spans="1:1">
      <c r="A30481" t="inlineStr">
        <is>
          <t>San Francisco</t>
        </is>
      </c>
    </row>
    <row r="30482" spans="1:1">
      <c r="A30482" t="inlineStr">
        <is>
          <t>San Pascual</t>
        </is>
      </c>
    </row>
    <row r="30483" spans="1:1">
      <c r="A30483" t="inlineStr">
        <is>
          <t>Santa Rita</t>
        </is>
      </c>
    </row>
    <row r="30484" spans="1:1">
      <c r="A30484" t="inlineStr">
        <is>
          <t>Santo Rosario</t>
        </is>
      </c>
    </row>
    <row r="30485" spans="1:1">
      <c r="A30485" t="inlineStr">
        <is>
          <t>Bagong Sikat</t>
        </is>
      </c>
    </row>
    <row r="30486" spans="1:1">
      <c r="A30486" t="inlineStr">
        <is>
          <t>Balante</t>
        </is>
      </c>
    </row>
    <row r="30487" spans="1:1">
      <c r="A30487" t="inlineStr">
        <is>
          <t>Bantug</t>
        </is>
      </c>
    </row>
    <row r="30488" spans="1:1">
      <c r="A30488" t="inlineStr">
        <is>
          <t>Bical</t>
        </is>
      </c>
    </row>
    <row r="30489" spans="1:1">
      <c r="A30489" t="inlineStr">
        <is>
          <t>Cabisuculan</t>
        </is>
      </c>
    </row>
    <row r="30490" spans="1:1">
      <c r="A30490" t="inlineStr">
        <is>
          <t>Calabalabaan</t>
        </is>
      </c>
    </row>
    <row r="30491" spans="1:1">
      <c r="A30491" t="inlineStr">
        <is>
          <t>Calisitan</t>
        </is>
      </c>
    </row>
    <row r="30492" spans="1:1">
      <c r="A30492" t="inlineStr">
        <is>
          <t>Catalanacan</t>
        </is>
      </c>
    </row>
    <row r="30493" spans="1:1">
      <c r="A30493" t="inlineStr">
        <is>
          <t>Curva</t>
        </is>
      </c>
    </row>
    <row r="30494" spans="1:1">
      <c r="A30494" t="inlineStr">
        <is>
          <t>Franza</t>
        </is>
      </c>
    </row>
    <row r="30495" spans="1:1">
      <c r="A30495" t="inlineStr">
        <is>
          <t>Gabaldon</t>
        </is>
      </c>
    </row>
    <row r="30496" spans="1:1">
      <c r="A30496" t="inlineStr">
        <is>
          <t>Labney</t>
        </is>
      </c>
    </row>
    <row r="30497" spans="1:1">
      <c r="A30497" t="inlineStr">
        <is>
          <t>Licaong</t>
        </is>
      </c>
    </row>
    <row r="30498" spans="1:1">
      <c r="A30498" t="inlineStr">
        <is>
          <t>Linglingay</t>
        </is>
      </c>
    </row>
    <row r="30499" spans="1:1">
      <c r="A30499" t="inlineStr">
        <is>
          <t>Magtanggol</t>
        </is>
      </c>
    </row>
    <row r="30500" spans="1:1">
      <c r="A30500" t="inlineStr">
        <is>
          <t>Maligaya</t>
        </is>
      </c>
    </row>
    <row r="30501" spans="1:1">
      <c r="A30501" t="inlineStr">
        <is>
          <t>Mangandingay</t>
        </is>
      </c>
    </row>
    <row r="30502" spans="1:1">
      <c r="A30502" t="inlineStr">
        <is>
          <t>Mapangpang</t>
        </is>
      </c>
    </row>
    <row r="30503" spans="1:1">
      <c r="A30503" t="inlineStr">
        <is>
          <t>Maragol</t>
        </is>
      </c>
    </row>
    <row r="30504" spans="1:1">
      <c r="A30504" t="inlineStr">
        <is>
          <t>Matingkis</t>
        </is>
      </c>
    </row>
    <row r="30505" spans="1:1">
      <c r="A30505" t="inlineStr">
        <is>
          <t>Naglabrahan</t>
        </is>
      </c>
    </row>
    <row r="30506" spans="1:1">
      <c r="A30506" t="inlineStr">
        <is>
          <t>Palusapis</t>
        </is>
      </c>
    </row>
    <row r="30507" spans="1:1">
      <c r="A30507" t="inlineStr">
        <is>
          <t>Pandalla</t>
        </is>
      </c>
    </row>
    <row r="30508" spans="1:1">
      <c r="A30508" t="inlineStr">
        <is>
          <t>Poblacion East</t>
        </is>
      </c>
    </row>
    <row r="30509" spans="1:1">
      <c r="A30509" t="inlineStr">
        <is>
          <t>Poblacion North</t>
        </is>
      </c>
    </row>
    <row r="30510" spans="1:1">
      <c r="A30510" t="inlineStr">
        <is>
          <t>Poblacion South</t>
        </is>
      </c>
    </row>
    <row r="30511" spans="1:1">
      <c r="A30511" t="inlineStr">
        <is>
          <t>Poblacion West</t>
        </is>
      </c>
    </row>
    <row r="30512" spans="1:1">
      <c r="A30512" t="inlineStr">
        <is>
          <t>Rang-ayan</t>
        </is>
      </c>
    </row>
    <row r="30513" spans="1:1">
      <c r="A30513" t="inlineStr">
        <is>
          <t>Rizal</t>
        </is>
      </c>
    </row>
    <row r="30514" spans="1:1">
      <c r="A30514" t="inlineStr">
        <is>
          <t>San Andres</t>
        </is>
      </c>
    </row>
    <row r="30515" spans="1:1">
      <c r="A30515" t="inlineStr">
        <is>
          <t>San Antonio</t>
        </is>
      </c>
    </row>
    <row r="30516" spans="1:1">
      <c r="A30516" t="inlineStr">
        <is>
          <t>San Felipe</t>
        </is>
      </c>
    </row>
    <row r="30517" spans="1:1">
      <c r="A30517" t="inlineStr">
        <is>
          <t>Sapang Cawayan</t>
        </is>
      </c>
    </row>
    <row r="30518" spans="1:1">
      <c r="A30518" t="inlineStr">
        <is>
          <t>Villa Cuizon</t>
        </is>
      </c>
    </row>
    <row r="30519" spans="1:1">
      <c r="A30519" t="inlineStr">
        <is>
          <t>Villa Isla</t>
        </is>
      </c>
    </row>
    <row r="30520" spans="1:1">
      <c r="A30520" t="inlineStr">
        <is>
          <t>Villa Nati</t>
        </is>
      </c>
    </row>
    <row r="30521" spans="1:1">
      <c r="A30521" t="inlineStr">
        <is>
          <t>Villa Santos</t>
        </is>
      </c>
    </row>
    <row r="30522" spans="1:1">
      <c r="A30522" t="inlineStr">
        <is>
          <t>Andal Alino</t>
        </is>
      </c>
    </row>
    <row r="30523" spans="1:1">
      <c r="A30523" t="inlineStr">
        <is>
          <t>Bagong Sikat</t>
        </is>
      </c>
    </row>
    <row r="30524" spans="1:1">
      <c r="A30524" t="inlineStr">
        <is>
          <t>Bagong Silang</t>
        </is>
      </c>
    </row>
    <row r="30525" spans="1:1">
      <c r="A30525" t="inlineStr">
        <is>
          <t>Bakal I</t>
        </is>
      </c>
    </row>
    <row r="30526" spans="1:1">
      <c r="A30526" t="inlineStr">
        <is>
          <t>Bakal II</t>
        </is>
      </c>
    </row>
    <row r="30527" spans="1:1">
      <c r="A30527" t="inlineStr">
        <is>
          <t>Bakal III</t>
        </is>
      </c>
    </row>
    <row r="30528" spans="1:1">
      <c r="A30528" t="inlineStr">
        <is>
          <t>Baluga</t>
        </is>
      </c>
    </row>
    <row r="30529" spans="1:1">
      <c r="A30529" t="inlineStr">
        <is>
          <t>Bantug</t>
        </is>
      </c>
    </row>
    <row r="30530" spans="1:1">
      <c r="A30530" t="inlineStr">
        <is>
          <t>Bantug Hacienda</t>
        </is>
      </c>
    </row>
    <row r="30531" spans="1:1">
      <c r="A30531" t="inlineStr">
        <is>
          <t>Bantug Hamog</t>
        </is>
      </c>
    </row>
    <row r="30532" spans="1:1">
      <c r="A30532" t="inlineStr">
        <is>
          <t>Bugtong na Buli</t>
        </is>
      </c>
    </row>
    <row r="30533" spans="1:1">
      <c r="A30533" t="inlineStr">
        <is>
          <t>Bulac</t>
        </is>
      </c>
    </row>
    <row r="30534" spans="1:1">
      <c r="A30534" t="inlineStr">
        <is>
          <t>Burnay</t>
        </is>
      </c>
    </row>
    <row r="30535" spans="1:1">
      <c r="A30535" t="inlineStr">
        <is>
          <t>Caaniplahan</t>
        </is>
      </c>
    </row>
    <row r="30536" spans="1:1">
      <c r="A30536" t="inlineStr">
        <is>
          <t>Cabubulaonan</t>
        </is>
      </c>
    </row>
    <row r="30537" spans="1:1">
      <c r="A30537" t="inlineStr">
        <is>
          <t>Calipahan</t>
        </is>
      </c>
    </row>
    <row r="30538" spans="1:1">
      <c r="A30538" t="inlineStr">
        <is>
          <t>Campos</t>
        </is>
      </c>
    </row>
    <row r="30539" spans="1:1">
      <c r="A30539" t="inlineStr">
        <is>
          <t>Caputican</t>
        </is>
      </c>
    </row>
    <row r="30540" spans="1:1">
      <c r="A30540" t="inlineStr">
        <is>
          <t>Casulucan Este</t>
        </is>
      </c>
    </row>
    <row r="30541" spans="1:1">
      <c r="A30541" t="inlineStr">
        <is>
          <t>Collado</t>
        </is>
      </c>
    </row>
    <row r="30542" spans="1:1">
      <c r="A30542" t="inlineStr">
        <is>
          <t>Dimasalang Norte</t>
        </is>
      </c>
    </row>
    <row r="30543" spans="1:1">
      <c r="A30543" t="inlineStr">
        <is>
          <t>Dimasalang Sur</t>
        </is>
      </c>
    </row>
    <row r="30544" spans="1:1">
      <c r="A30544" t="inlineStr">
        <is>
          <t>Dinarayat</t>
        </is>
      </c>
    </row>
    <row r="30545" spans="1:1">
      <c r="A30545" t="inlineStr">
        <is>
          <t>Esguerra District</t>
        </is>
      </c>
    </row>
    <row r="30546" spans="1:1">
      <c r="A30546" t="inlineStr">
        <is>
          <t>Gulod</t>
        </is>
      </c>
    </row>
    <row r="30547" spans="1:1">
      <c r="A30547" t="inlineStr">
        <is>
          <t>Homestead I</t>
        </is>
      </c>
    </row>
    <row r="30548" spans="1:1">
      <c r="A30548" t="inlineStr">
        <is>
          <t>Homestead II</t>
        </is>
      </c>
    </row>
    <row r="30549" spans="1:1">
      <c r="A30549" t="inlineStr">
        <is>
          <t>Kinalanguyan</t>
        </is>
      </c>
    </row>
    <row r="30550" spans="1:1">
      <c r="A30550" t="inlineStr">
        <is>
          <t>La Torre</t>
        </is>
      </c>
    </row>
    <row r="30551" spans="1:1">
      <c r="A30551" t="inlineStr">
        <is>
          <t>Lomboy</t>
        </is>
      </c>
    </row>
    <row r="30552" spans="1:1">
      <c r="A30552" t="inlineStr">
        <is>
          <t>Mabuhay</t>
        </is>
      </c>
    </row>
    <row r="30553" spans="1:1">
      <c r="A30553" t="inlineStr">
        <is>
          <t>Maestrang Kikay</t>
        </is>
      </c>
    </row>
    <row r="30554" spans="1:1">
      <c r="A30554" t="inlineStr">
        <is>
          <t>Mamandil</t>
        </is>
      </c>
    </row>
    <row r="30555" spans="1:1">
      <c r="A30555" t="inlineStr">
        <is>
          <t>Marcos District</t>
        </is>
      </c>
    </row>
    <row r="30556" spans="1:1">
      <c r="A30556" t="inlineStr">
        <is>
          <t>Matingkis</t>
        </is>
      </c>
    </row>
    <row r="30557" spans="1:1">
      <c r="A30557" t="inlineStr">
        <is>
          <t>Minabuyoc</t>
        </is>
      </c>
    </row>
    <row r="30558" spans="1:1">
      <c r="A30558" t="inlineStr">
        <is>
          <t>Pag-asa</t>
        </is>
      </c>
    </row>
    <row r="30559" spans="1:1">
      <c r="A30559" t="inlineStr">
        <is>
          <t>Paludpod</t>
        </is>
      </c>
    </row>
    <row r="30560" spans="1:1">
      <c r="A30560" t="inlineStr">
        <is>
          <t>Pantoc Bulac</t>
        </is>
      </c>
    </row>
    <row r="30561" spans="1:1">
      <c r="A30561" t="inlineStr">
        <is>
          <t>Pinagpanaan</t>
        </is>
      </c>
    </row>
    <row r="30562" spans="1:1">
      <c r="A30562" t="inlineStr">
        <is>
          <t>Poblacion Sur</t>
        </is>
      </c>
    </row>
    <row r="30563" spans="1:1">
      <c r="A30563" t="inlineStr">
        <is>
          <t>Pula</t>
        </is>
      </c>
    </row>
    <row r="30564" spans="1:1">
      <c r="A30564" t="inlineStr">
        <is>
          <t>Pulong San Miguel</t>
        </is>
      </c>
    </row>
    <row r="30565" spans="1:1">
      <c r="A30565" t="inlineStr">
        <is>
          <t>Purok Matias</t>
        </is>
      </c>
    </row>
    <row r="30566" spans="1:1">
      <c r="A30566" t="inlineStr">
        <is>
          <t>Sampaloc</t>
        </is>
      </c>
    </row>
    <row r="30567" spans="1:1">
      <c r="A30567" t="inlineStr">
        <is>
          <t>San Miguel na Munti</t>
        </is>
      </c>
    </row>
    <row r="30568" spans="1:1">
      <c r="A30568" t="inlineStr">
        <is>
          <t>San Pascual</t>
        </is>
      </c>
    </row>
    <row r="30569" spans="1:1">
      <c r="A30569" t="inlineStr">
        <is>
          <t>San Ricardo</t>
        </is>
      </c>
    </row>
    <row r="30570" spans="1:1">
      <c r="A30570" t="inlineStr">
        <is>
          <t>Sibul</t>
        </is>
      </c>
    </row>
    <row r="30571" spans="1:1">
      <c r="A30571" t="inlineStr">
        <is>
          <t>Sicsican Matanda</t>
        </is>
      </c>
    </row>
    <row r="30572" spans="1:1">
      <c r="A30572" t="inlineStr">
        <is>
          <t>Tabacao</t>
        </is>
      </c>
    </row>
    <row r="30573" spans="1:1">
      <c r="A30573" t="inlineStr">
        <is>
          <t>Tagaytay</t>
        </is>
      </c>
    </row>
    <row r="30574" spans="1:1">
      <c r="A30574" t="inlineStr">
        <is>
          <t>Valle</t>
        </is>
      </c>
    </row>
    <row r="30575" spans="1:1">
      <c r="A30575" t="inlineStr">
        <is>
          <t>Alula</t>
        </is>
      </c>
    </row>
    <row r="30576" spans="1:1">
      <c r="A30576" t="inlineStr">
        <is>
          <t>Baybayabas</t>
        </is>
      </c>
    </row>
    <row r="30577" spans="1:1">
      <c r="A30577" t="inlineStr">
        <is>
          <t>Buted</t>
        </is>
      </c>
    </row>
    <row r="30578" spans="1:1">
      <c r="A30578" t="inlineStr">
        <is>
          <t>Cabiangan</t>
        </is>
      </c>
    </row>
    <row r="30579" spans="1:1">
      <c r="A30579" t="inlineStr">
        <is>
          <t>Calisitan</t>
        </is>
      </c>
    </row>
    <row r="30580" spans="1:1">
      <c r="A30580" t="inlineStr">
        <is>
          <t>Cinense</t>
        </is>
      </c>
    </row>
    <row r="30581" spans="1:1">
      <c r="A30581" t="inlineStr">
        <is>
          <t>Culiat</t>
        </is>
      </c>
    </row>
    <row r="30582" spans="1:1">
      <c r="A30582" t="inlineStr">
        <is>
          <t>Maasin</t>
        </is>
      </c>
    </row>
    <row r="30583" spans="1:1">
      <c r="A30583" t="inlineStr">
        <is>
          <t>Magsaysay</t>
        </is>
      </c>
    </row>
    <row r="30584" spans="1:1">
      <c r="A30584" t="inlineStr">
        <is>
          <t>Mayamot I</t>
        </is>
      </c>
    </row>
    <row r="30585" spans="1:1">
      <c r="A30585" t="inlineStr">
        <is>
          <t>Mayamot II</t>
        </is>
      </c>
    </row>
    <row r="30586" spans="1:1">
      <c r="A30586" t="inlineStr">
        <is>
          <t>Nangabulan</t>
        </is>
      </c>
    </row>
    <row r="30587" spans="1:1">
      <c r="A30587" t="inlineStr">
        <is>
          <t>Osmeña</t>
        </is>
      </c>
    </row>
    <row r="30588" spans="1:1">
      <c r="A30588" t="inlineStr">
        <is>
          <t>Pangit</t>
        </is>
      </c>
    </row>
    <row r="30589" spans="1:1">
      <c r="A30589" t="inlineStr">
        <is>
          <t>Patola</t>
        </is>
      </c>
    </row>
    <row r="30590" spans="1:1">
      <c r="A30590" t="inlineStr">
        <is>
          <t>Quezon</t>
        </is>
      </c>
    </row>
    <row r="30591" spans="1:1">
      <c r="A30591" t="inlineStr">
        <is>
          <t>Quirino</t>
        </is>
      </c>
    </row>
    <row r="30592" spans="1:1">
      <c r="A30592" t="inlineStr">
        <is>
          <t>Roxas</t>
        </is>
      </c>
    </row>
    <row r="30593" spans="1:1">
      <c r="A30593" t="inlineStr">
        <is>
          <t>Saguing</t>
        </is>
      </c>
    </row>
    <row r="30594" spans="1:1">
      <c r="A30594" t="inlineStr">
        <is>
          <t>Sampaloc</t>
        </is>
      </c>
    </row>
    <row r="30595" spans="1:1">
      <c r="A30595" t="inlineStr">
        <is>
          <t>Santa Catalina</t>
        </is>
      </c>
    </row>
    <row r="30596" spans="1:1">
      <c r="A30596" t="inlineStr">
        <is>
          <t>Santo Domingo</t>
        </is>
      </c>
    </row>
    <row r="30597" spans="1:1">
      <c r="A30597" t="inlineStr">
        <is>
          <t>Saringaya</t>
        </is>
      </c>
    </row>
    <row r="30598" spans="1:1">
      <c r="A30598" t="inlineStr">
        <is>
          <t>Saverona</t>
        </is>
      </c>
    </row>
    <row r="30599" spans="1:1">
      <c r="A30599" t="inlineStr">
        <is>
          <t>Tandoc</t>
        </is>
      </c>
    </row>
    <row r="30600" spans="1:1">
      <c r="A30600" t="inlineStr">
        <is>
          <t>Tibag</t>
        </is>
      </c>
    </row>
    <row r="30601" spans="1:1">
      <c r="A30601" t="inlineStr">
        <is>
          <t>Villa Boado</t>
        </is>
      </c>
    </row>
    <row r="30602" spans="1:1">
      <c r="A30602" t="inlineStr">
        <is>
          <t>Villa Rosario</t>
        </is>
      </c>
    </row>
    <row r="30603" spans="1:1">
      <c r="A30603" t="inlineStr">
        <is>
          <t>Batitang</t>
        </is>
      </c>
    </row>
    <row r="30604" spans="1:1">
      <c r="A30604" t="inlineStr">
        <is>
          <t>Carmen</t>
        </is>
      </c>
    </row>
    <row r="30605" spans="1:1">
      <c r="A30605" t="inlineStr">
        <is>
          <t>Concepcion</t>
        </is>
      </c>
    </row>
    <row r="30606" spans="1:1">
      <c r="A30606" t="inlineStr">
        <is>
          <t>Del Pilar</t>
        </is>
      </c>
    </row>
    <row r="30607" spans="1:1">
      <c r="A30607" t="inlineStr">
        <is>
          <t>General Luna</t>
        </is>
      </c>
    </row>
    <row r="30608" spans="1:1">
      <c r="A30608" t="inlineStr">
        <is>
          <t>H. Romero</t>
        </is>
      </c>
    </row>
    <row r="30609" spans="1:1">
      <c r="A30609" t="inlineStr">
        <is>
          <t>Macarse</t>
        </is>
      </c>
    </row>
    <row r="30610" spans="1:1">
      <c r="A30610" t="inlineStr">
        <is>
          <t>Manaul</t>
        </is>
      </c>
    </row>
    <row r="30611" spans="1:1">
      <c r="A30611" t="inlineStr">
        <is>
          <t>Mayamot</t>
        </is>
      </c>
    </row>
    <row r="30612" spans="1:1">
      <c r="A30612" t="inlineStr">
        <is>
          <t>Pantoc</t>
        </is>
      </c>
    </row>
    <row r="30613" spans="1:1">
      <c r="A30613" t="inlineStr">
        <is>
          <t>San Isidro</t>
        </is>
      </c>
    </row>
    <row r="30614" spans="1:1">
      <c r="A30614" t="inlineStr">
        <is>
          <t>San Rafael</t>
        </is>
      </c>
    </row>
    <row r="30615" spans="1:1">
      <c r="A30615" t="inlineStr">
        <is>
          <t>San Vicente</t>
        </is>
      </c>
    </row>
    <row r="30616" spans="1:1">
      <c r="A30616" t="inlineStr">
        <is>
          <t>Santa Cruz</t>
        </is>
      </c>
    </row>
    <row r="30617" spans="1:1">
      <c r="A30617" t="inlineStr">
        <is>
          <t>Santa Lucia Old</t>
        </is>
      </c>
    </row>
    <row r="30618" spans="1:1">
      <c r="A30618" t="inlineStr">
        <is>
          <t>Santa Lucia Young</t>
        </is>
      </c>
    </row>
    <row r="30619" spans="1:1">
      <c r="A30619" t="inlineStr">
        <is>
          <t>Santo Rosario Old</t>
        </is>
      </c>
    </row>
    <row r="30620" spans="1:1">
      <c r="A30620" t="inlineStr">
        <is>
          <t>Santo Rosario Young</t>
        </is>
      </c>
    </row>
    <row r="30621" spans="1:1">
      <c r="A30621" t="inlineStr">
        <is>
          <t>Valeriana</t>
        </is>
      </c>
    </row>
    <row r="30622" spans="1:1">
      <c r="A30622" t="inlineStr">
        <is>
          <t>Abuyo</t>
        </is>
      </c>
    </row>
    <row r="30623" spans="1:1">
      <c r="A30623" t="inlineStr">
        <is>
          <t>Cawayan</t>
        </is>
      </c>
    </row>
    <row r="30624" spans="1:1">
      <c r="A30624" t="inlineStr">
        <is>
          <t>Galintuja</t>
        </is>
      </c>
    </row>
    <row r="30625" spans="1:1">
      <c r="A30625" t="inlineStr">
        <is>
          <t>Lipuga</t>
        </is>
      </c>
    </row>
    <row r="30626" spans="1:1">
      <c r="A30626" t="inlineStr">
        <is>
          <t>Lublub</t>
        </is>
      </c>
    </row>
    <row r="30627" spans="1:1">
      <c r="A30627" t="inlineStr">
        <is>
          <t>Pelaway</t>
        </is>
      </c>
    </row>
    <row r="30628" spans="1:1">
      <c r="A30628" t="inlineStr">
        <is>
          <t>Ammoweg</t>
        </is>
      </c>
    </row>
    <row r="30629" spans="1:1">
      <c r="A30629" t="inlineStr">
        <is>
          <t>Camandag</t>
        </is>
      </c>
    </row>
    <row r="30630" spans="1:1">
      <c r="A30630" t="inlineStr">
        <is>
          <t>Dulli</t>
        </is>
      </c>
    </row>
    <row r="30631" spans="1:1">
      <c r="A30631" t="inlineStr">
        <is>
          <t>Labang</t>
        </is>
      </c>
    </row>
    <row r="30632" spans="1:1">
      <c r="A30632" t="inlineStr">
        <is>
          <t>Napo</t>
        </is>
      </c>
    </row>
    <row r="30633" spans="1:1">
      <c r="A30633" t="inlineStr">
        <is>
          <t>Poblacion</t>
        </is>
      </c>
    </row>
    <row r="30634" spans="1:1">
      <c r="A30634" t="inlineStr">
        <is>
          <t>Salingsingan</t>
        </is>
      </c>
    </row>
    <row r="30635" spans="1:1">
      <c r="A30635" t="inlineStr">
        <is>
          <t>Tiblac</t>
        </is>
      </c>
    </row>
    <row r="30636" spans="1:1">
      <c r="A30636" t="inlineStr">
        <is>
          <t>Anayo</t>
        </is>
      </c>
    </row>
    <row r="30637" spans="1:1">
      <c r="A30637" t="inlineStr">
        <is>
          <t>Baan</t>
        </is>
      </c>
    </row>
    <row r="30638" spans="1:1">
      <c r="A30638" t="inlineStr">
        <is>
          <t>Balite</t>
        </is>
      </c>
    </row>
    <row r="30639" spans="1:1">
      <c r="A30639" t="inlineStr">
        <is>
          <t>Banganan</t>
        </is>
      </c>
    </row>
    <row r="30640" spans="1:1">
      <c r="A30640" t="inlineStr">
        <is>
          <t>Beti</t>
        </is>
      </c>
    </row>
    <row r="30641" spans="1:1">
      <c r="A30641" t="inlineStr">
        <is>
          <t>Bone North</t>
        </is>
      </c>
    </row>
    <row r="30642" spans="1:1">
      <c r="A30642" t="inlineStr">
        <is>
          <t>Bone South</t>
        </is>
      </c>
    </row>
    <row r="30643" spans="1:1">
      <c r="A30643" t="inlineStr">
        <is>
          <t>Calitlitan</t>
        </is>
      </c>
    </row>
    <row r="30644" spans="1:1">
      <c r="A30644" t="inlineStr">
        <is>
          <t>Canabuan</t>
        </is>
      </c>
    </row>
    <row r="30645" spans="1:1">
      <c r="A30645" t="inlineStr">
        <is>
          <t>Canarem</t>
        </is>
      </c>
    </row>
    <row r="30646" spans="1:1">
      <c r="A30646" t="inlineStr">
        <is>
          <t>Comon</t>
        </is>
      </c>
    </row>
    <row r="30647" spans="1:1">
      <c r="A30647" t="inlineStr">
        <is>
          <t>Cutar</t>
        </is>
      </c>
    </row>
    <row r="30648" spans="1:1">
      <c r="A30648" t="inlineStr">
        <is>
          <t>Darapidap</t>
        </is>
      </c>
    </row>
    <row r="30649" spans="1:1">
      <c r="A30649" t="inlineStr">
        <is>
          <t>Kirang</t>
        </is>
      </c>
    </row>
    <row r="30650" spans="1:1">
      <c r="A30650" t="inlineStr">
        <is>
          <t>Latar-Nocnoc-San Francisco</t>
        </is>
      </c>
    </row>
    <row r="30651" spans="1:1">
      <c r="A30651" t="inlineStr">
        <is>
          <t>Nagcuartelan</t>
        </is>
      </c>
    </row>
    <row r="30652" spans="1:1">
      <c r="A30652" t="inlineStr">
        <is>
          <t>Ocao-Capiniaan</t>
        </is>
      </c>
    </row>
    <row r="30653" spans="1:1">
      <c r="A30653" t="inlineStr">
        <is>
          <t>Poblacion</t>
        </is>
      </c>
    </row>
    <row r="30654" spans="1:1">
      <c r="A30654" t="inlineStr">
        <is>
          <t>Sta. Clara</t>
        </is>
      </c>
    </row>
    <row r="30655" spans="1:1">
      <c r="A30655" t="inlineStr">
        <is>
          <t>Tabueng</t>
        </is>
      </c>
    </row>
    <row r="30656" spans="1:1">
      <c r="A30656" t="inlineStr">
        <is>
          <t>Tucanon</t>
        </is>
      </c>
    </row>
    <row r="30657" spans="1:1">
      <c r="A30657" t="inlineStr">
        <is>
          <t>Yaway</t>
        </is>
      </c>
    </row>
    <row r="30658" spans="1:1">
      <c r="A30658" t="inlineStr">
        <is>
          <t>Bakir</t>
        </is>
      </c>
    </row>
    <row r="30659" spans="1:1">
      <c r="A30659" t="inlineStr">
        <is>
          <t>Baretbet</t>
        </is>
      </c>
    </row>
    <row r="30660" spans="1:1">
      <c r="A30660" t="inlineStr">
        <is>
          <t>Careb</t>
        </is>
      </c>
    </row>
    <row r="30661" spans="1:1">
      <c r="A30661" t="inlineStr">
        <is>
          <t>Lantap</t>
        </is>
      </c>
    </row>
    <row r="30662" spans="1:1">
      <c r="A30662" t="inlineStr">
        <is>
          <t>Murong</t>
        </is>
      </c>
    </row>
    <row r="30663" spans="1:1">
      <c r="A30663" t="inlineStr">
        <is>
          <t>Nangalisan</t>
        </is>
      </c>
    </row>
    <row r="30664" spans="1:1">
      <c r="A30664" t="inlineStr">
        <is>
          <t>Paniki</t>
        </is>
      </c>
    </row>
    <row r="30665" spans="1:1">
      <c r="A30665" t="inlineStr">
        <is>
          <t>Pogonsino</t>
        </is>
      </c>
    </row>
    <row r="30666" spans="1:1">
      <c r="A30666" t="inlineStr">
        <is>
          <t>Quirino</t>
        </is>
      </c>
    </row>
    <row r="30667" spans="1:1">
      <c r="A30667" t="inlineStr">
        <is>
          <t>San Geronimo</t>
        </is>
      </c>
    </row>
    <row r="30668" spans="1:1">
      <c r="A30668" t="inlineStr">
        <is>
          <t>San Pedro</t>
        </is>
      </c>
    </row>
    <row r="30669" spans="1:1">
      <c r="A30669" t="inlineStr">
        <is>
          <t>Sta. Cruz</t>
        </is>
      </c>
    </row>
    <row r="30670" spans="1:1">
      <c r="A30670" t="inlineStr">
        <is>
          <t>Sta. Lucia</t>
        </is>
      </c>
    </row>
    <row r="30671" spans="1:1">
      <c r="A30671" t="inlineStr">
        <is>
          <t>Tuao North</t>
        </is>
      </c>
    </row>
    <row r="30672" spans="1:1">
      <c r="A30672" t="inlineStr">
        <is>
          <t>Tuao South</t>
        </is>
      </c>
    </row>
    <row r="30673" spans="1:1">
      <c r="A30673" t="inlineStr">
        <is>
          <t>Villa Coloma</t>
        </is>
      </c>
    </row>
    <row r="30674" spans="1:1">
      <c r="A30674" t="inlineStr">
        <is>
          <t>Villaros</t>
        </is>
      </c>
    </row>
    <row r="30675" spans="1:1">
      <c r="A30675" t="inlineStr">
        <is>
          <t>Abian</t>
        </is>
      </c>
    </row>
    <row r="30676" spans="1:1">
      <c r="A30676" t="inlineStr">
        <is>
          <t>Abinganan</t>
        </is>
      </c>
    </row>
    <row r="30677" spans="1:1">
      <c r="A30677" t="inlineStr">
        <is>
          <t>Aliaga</t>
        </is>
      </c>
    </row>
    <row r="30678" spans="1:1">
      <c r="A30678" t="inlineStr">
        <is>
          <t>Almaguer North</t>
        </is>
      </c>
    </row>
    <row r="30679" spans="1:1">
      <c r="A30679" t="inlineStr">
        <is>
          <t>Almaguer South</t>
        </is>
      </c>
    </row>
    <row r="30680" spans="1:1">
      <c r="A30680" t="inlineStr">
        <is>
          <t>Banggot</t>
        </is>
      </c>
    </row>
    <row r="30681" spans="1:1">
      <c r="A30681" t="inlineStr">
        <is>
          <t>Barat</t>
        </is>
      </c>
    </row>
    <row r="30682" spans="1:1">
      <c r="A30682" t="inlineStr">
        <is>
          <t>Buag</t>
        </is>
      </c>
    </row>
    <row r="30683" spans="1:1">
      <c r="A30683" t="inlineStr">
        <is>
          <t>Calaocan</t>
        </is>
      </c>
    </row>
    <row r="30684" spans="1:1">
      <c r="A30684" t="inlineStr">
        <is>
          <t>Dullao</t>
        </is>
      </c>
    </row>
    <row r="30685" spans="1:1">
      <c r="A30685" t="inlineStr">
        <is>
          <t>Homestead</t>
        </is>
      </c>
    </row>
    <row r="30686" spans="1:1">
      <c r="A30686" t="inlineStr">
        <is>
          <t>Indiana</t>
        </is>
      </c>
    </row>
    <row r="30687" spans="1:1">
      <c r="A30687" t="inlineStr">
        <is>
          <t>Mabuslo</t>
        </is>
      </c>
    </row>
    <row r="30688" spans="1:1">
      <c r="A30688" t="inlineStr">
        <is>
          <t>Macate</t>
        </is>
      </c>
    </row>
    <row r="30689" spans="1:1">
      <c r="A30689" t="inlineStr">
        <is>
          <t>Magsaysay Hills</t>
        </is>
      </c>
    </row>
    <row r="30690" spans="1:1">
      <c r="A30690" t="inlineStr">
        <is>
          <t>Manamtam</t>
        </is>
      </c>
    </row>
    <row r="30691" spans="1:1">
      <c r="A30691" t="inlineStr">
        <is>
          <t>Mauan</t>
        </is>
      </c>
    </row>
    <row r="30692" spans="1:1">
      <c r="A30692" t="inlineStr">
        <is>
          <t>Pallas</t>
        </is>
      </c>
    </row>
    <row r="30693" spans="1:1">
      <c r="A30693" t="inlineStr">
        <is>
          <t>Salinas</t>
        </is>
      </c>
    </row>
    <row r="30694" spans="1:1">
      <c r="A30694" t="inlineStr">
        <is>
          <t>San Antonio North</t>
        </is>
      </c>
    </row>
    <row r="30695" spans="1:1">
      <c r="A30695" t="inlineStr">
        <is>
          <t>San Antonio South</t>
        </is>
      </c>
    </row>
    <row r="30696" spans="1:1">
      <c r="A30696" t="inlineStr">
        <is>
          <t>San Fernando</t>
        </is>
      </c>
    </row>
    <row r="30697" spans="1:1">
      <c r="A30697" t="inlineStr">
        <is>
          <t>San Leonardo</t>
        </is>
      </c>
    </row>
    <row r="30698" spans="1:1">
      <c r="A30698" t="inlineStr">
        <is>
          <t>Santo Domingo</t>
        </is>
      </c>
    </row>
    <row r="30699" spans="1:1">
      <c r="A30699" t="inlineStr">
        <is>
          <t>Santo Domingo West</t>
        </is>
      </c>
    </row>
    <row r="30700" spans="1:1">
      <c r="A30700" t="inlineStr">
        <is>
          <t>Bansing</t>
        </is>
      </c>
    </row>
    <row r="30701" spans="1:1">
      <c r="A30701" t="inlineStr">
        <is>
          <t>Bonfal East</t>
        </is>
      </c>
    </row>
    <row r="30702" spans="1:1">
      <c r="A30702" t="inlineStr">
        <is>
          <t>Bonfal Proper</t>
        </is>
      </c>
    </row>
    <row r="30703" spans="1:1">
      <c r="A30703" t="inlineStr">
        <is>
          <t>Bonfal West</t>
        </is>
      </c>
    </row>
    <row r="30704" spans="1:1">
      <c r="A30704" t="inlineStr">
        <is>
          <t>Buenavista</t>
        </is>
      </c>
    </row>
    <row r="30705" spans="1:1">
      <c r="A30705" t="inlineStr">
        <is>
          <t>Busilac</t>
        </is>
      </c>
    </row>
    <row r="30706" spans="1:1">
      <c r="A30706" t="inlineStr">
        <is>
          <t>Cabuaan</t>
        </is>
      </c>
    </row>
    <row r="30707" spans="1:1">
      <c r="A30707" t="inlineStr">
        <is>
          <t>Casat</t>
        </is>
      </c>
    </row>
    <row r="30708" spans="1:1">
      <c r="A30708" t="inlineStr">
        <is>
          <t>District III Pob.</t>
        </is>
      </c>
    </row>
    <row r="30709" spans="1:1">
      <c r="A30709" t="inlineStr">
        <is>
          <t>District IV</t>
        </is>
      </c>
    </row>
    <row r="30710" spans="1:1">
      <c r="A30710" t="inlineStr">
        <is>
          <t>Don Domingo Maddela Pob.</t>
        </is>
      </c>
    </row>
    <row r="30711" spans="1:1">
      <c r="A30711" t="inlineStr">
        <is>
          <t>Don Mariano Marcos</t>
        </is>
      </c>
    </row>
    <row r="30712" spans="1:1">
      <c r="A30712" t="inlineStr">
        <is>
          <t>Don Tomas Maddela Pob.</t>
        </is>
      </c>
    </row>
    <row r="30713" spans="1:1">
      <c r="A30713" t="inlineStr">
        <is>
          <t>Ipil-Cuneg</t>
        </is>
      </c>
    </row>
    <row r="30714" spans="1:1">
      <c r="A30714" t="inlineStr">
        <is>
          <t>La Torre North</t>
        </is>
      </c>
    </row>
    <row r="30715" spans="1:1">
      <c r="A30715" t="inlineStr">
        <is>
          <t>La Torre South</t>
        </is>
      </c>
    </row>
    <row r="30716" spans="1:1">
      <c r="A30716" t="inlineStr">
        <is>
          <t>Luyang</t>
        </is>
      </c>
    </row>
    <row r="30717" spans="1:1">
      <c r="A30717" t="inlineStr">
        <is>
          <t>Magapuy</t>
        </is>
      </c>
    </row>
    <row r="30718" spans="1:1">
      <c r="A30718" t="inlineStr">
        <is>
          <t>Magsaysay</t>
        </is>
      </c>
    </row>
    <row r="30719" spans="1:1">
      <c r="A30719" t="inlineStr">
        <is>
          <t>Masoc</t>
        </is>
      </c>
    </row>
    <row r="30720" spans="1:1">
      <c r="A30720" t="inlineStr">
        <is>
          <t>Paitan</t>
        </is>
      </c>
    </row>
    <row r="30721" spans="1:1">
      <c r="A30721" t="inlineStr">
        <is>
          <t>Salvacion</t>
        </is>
      </c>
    </row>
    <row r="30722" spans="1:1">
      <c r="A30722" t="inlineStr">
        <is>
          <t>San Nicolas North</t>
        </is>
      </c>
    </row>
    <row r="30723" spans="1:1">
      <c r="A30723" t="inlineStr">
        <is>
          <t>Santa Rosa</t>
        </is>
      </c>
    </row>
    <row r="30724" spans="1:1">
      <c r="A30724" t="inlineStr">
        <is>
          <t>Vista Alegre</t>
        </is>
      </c>
    </row>
    <row r="30725" spans="1:1">
      <c r="A30725" t="inlineStr">
        <is>
          <t>Ampakleng</t>
        </is>
      </c>
    </row>
    <row r="30726" spans="1:1">
      <c r="A30726" t="inlineStr">
        <is>
          <t>Arwas</t>
        </is>
      </c>
    </row>
    <row r="30727" spans="1:1">
      <c r="A30727" t="inlineStr">
        <is>
          <t>Balete</t>
        </is>
      </c>
    </row>
    <row r="30728" spans="1:1">
      <c r="A30728" t="inlineStr">
        <is>
          <t>Bugnay</t>
        </is>
      </c>
    </row>
    <row r="30729" spans="1:1">
      <c r="A30729" t="inlineStr">
        <is>
          <t>Butao</t>
        </is>
      </c>
    </row>
    <row r="30730" spans="1:1">
      <c r="A30730" t="inlineStr">
        <is>
          <t>Decabacan</t>
        </is>
      </c>
    </row>
    <row r="30731" spans="1:1">
      <c r="A30731" t="inlineStr">
        <is>
          <t>Duruarog</t>
        </is>
      </c>
    </row>
    <row r="30732" spans="1:1">
      <c r="A30732" t="inlineStr">
        <is>
          <t>Escoting</t>
        </is>
      </c>
    </row>
    <row r="30733" spans="1:1">
      <c r="A30733" t="inlineStr">
        <is>
          <t>Langka</t>
        </is>
      </c>
    </row>
    <row r="30734" spans="1:1">
      <c r="A30734" t="inlineStr">
        <is>
          <t>Lurad</t>
        </is>
      </c>
    </row>
    <row r="30735" spans="1:1">
      <c r="A30735" t="inlineStr">
        <is>
          <t>Nagsabaran</t>
        </is>
      </c>
    </row>
    <row r="30736" spans="1:1">
      <c r="A30736" t="inlineStr">
        <is>
          <t>Namamparan</t>
        </is>
      </c>
    </row>
    <row r="30737" spans="1:1">
      <c r="A30737" t="inlineStr">
        <is>
          <t>Pinya</t>
        </is>
      </c>
    </row>
    <row r="30738" spans="1:1">
      <c r="A30738" t="inlineStr">
        <is>
          <t>Poblacion</t>
        </is>
      </c>
    </row>
    <row r="30739" spans="1:1">
      <c r="A30739" t="inlineStr">
        <is>
          <t>Rosario</t>
        </is>
      </c>
    </row>
    <row r="30740" spans="1:1">
      <c r="A30740" t="inlineStr">
        <is>
          <t>San Luis</t>
        </is>
      </c>
    </row>
    <row r="30741" spans="1:1">
      <c r="A30741" t="inlineStr">
        <is>
          <t>San Pablo</t>
        </is>
      </c>
    </row>
    <row r="30742" spans="1:1">
      <c r="A30742" t="inlineStr">
        <is>
          <t>Villa Aurora</t>
        </is>
      </c>
    </row>
    <row r="30743" spans="1:1">
      <c r="A30743" t="inlineStr">
        <is>
          <t>Villa Florentino</t>
        </is>
      </c>
    </row>
    <row r="30744" spans="1:1">
      <c r="A30744" t="inlineStr">
        <is>
          <t>Belance</t>
        </is>
      </c>
    </row>
    <row r="30745" spans="1:1">
      <c r="A30745" t="inlineStr">
        <is>
          <t>Binuangan</t>
        </is>
      </c>
    </row>
    <row r="30746" spans="1:1">
      <c r="A30746" t="inlineStr">
        <is>
          <t>Bitnong</t>
        </is>
      </c>
    </row>
    <row r="30747" spans="1:1">
      <c r="A30747" t="inlineStr">
        <is>
          <t>Bulala</t>
        </is>
      </c>
    </row>
    <row r="30748" spans="1:1">
      <c r="A30748" t="inlineStr">
        <is>
          <t>Inaban</t>
        </is>
      </c>
    </row>
    <row r="30749" spans="1:1">
      <c r="A30749" t="inlineStr">
        <is>
          <t>Ineangan</t>
        </is>
      </c>
    </row>
    <row r="30750" spans="1:1">
      <c r="A30750" t="inlineStr">
        <is>
          <t>Lamo</t>
        </is>
      </c>
    </row>
    <row r="30751" spans="1:1">
      <c r="A30751" t="inlineStr">
        <is>
          <t>Mabasa</t>
        </is>
      </c>
    </row>
    <row r="30752" spans="1:1">
      <c r="A30752" t="inlineStr">
        <is>
          <t>Macabenga</t>
        </is>
      </c>
    </row>
    <row r="30753" spans="1:1">
      <c r="A30753" t="inlineStr">
        <is>
          <t>Malasin</t>
        </is>
      </c>
    </row>
    <row r="30754" spans="1:1">
      <c r="A30754" t="inlineStr">
        <is>
          <t>Munguia</t>
        </is>
      </c>
    </row>
    <row r="30755" spans="1:1">
      <c r="A30755" t="inlineStr">
        <is>
          <t>New Gumiad</t>
        </is>
      </c>
    </row>
    <row r="30756" spans="1:1">
      <c r="A30756" t="inlineStr">
        <is>
          <t>Oyao</t>
        </is>
      </c>
    </row>
    <row r="30757" spans="1:1">
      <c r="A30757" t="inlineStr">
        <is>
          <t>Parai</t>
        </is>
      </c>
    </row>
    <row r="30758" spans="1:1">
      <c r="A30758" t="inlineStr">
        <is>
          <t>Yabbi</t>
        </is>
      </c>
    </row>
    <row r="30759" spans="1:1">
      <c r="A30759" t="inlineStr">
        <is>
          <t>Abaca</t>
        </is>
      </c>
    </row>
    <row r="30760" spans="1:1">
      <c r="A30760" t="inlineStr">
        <is>
          <t>Bagumbayan</t>
        </is>
      </c>
    </row>
    <row r="30761" spans="1:1">
      <c r="A30761" t="inlineStr">
        <is>
          <t>Balsain</t>
        </is>
      </c>
    </row>
    <row r="30762" spans="1:1">
      <c r="A30762" t="inlineStr">
        <is>
          <t>Banila</t>
        </is>
      </c>
    </row>
    <row r="30763" spans="1:1">
      <c r="A30763" t="inlineStr">
        <is>
          <t>Biruk</t>
        </is>
      </c>
    </row>
    <row r="30764" spans="1:1">
      <c r="A30764" t="inlineStr">
        <is>
          <t>Canabay</t>
        </is>
      </c>
    </row>
    <row r="30765" spans="1:1">
      <c r="A30765" t="inlineStr">
        <is>
          <t>Carolotan</t>
        </is>
      </c>
    </row>
    <row r="30766" spans="1:1">
      <c r="A30766" t="inlineStr">
        <is>
          <t>Domang</t>
        </is>
      </c>
    </row>
    <row r="30767" spans="1:1">
      <c r="A30767" t="inlineStr">
        <is>
          <t>Dopaj</t>
        </is>
      </c>
    </row>
    <row r="30768" spans="1:1">
      <c r="A30768" t="inlineStr">
        <is>
          <t>Gabut</t>
        </is>
      </c>
    </row>
    <row r="30769" spans="1:1">
      <c r="A30769" t="inlineStr">
        <is>
          <t>Ganao</t>
        </is>
      </c>
    </row>
    <row r="30770" spans="1:1">
      <c r="A30770" t="inlineStr">
        <is>
          <t>Kimbutan</t>
        </is>
      </c>
    </row>
    <row r="30771" spans="1:1">
      <c r="A30771" t="inlineStr">
        <is>
          <t>Kinabuan</t>
        </is>
      </c>
    </row>
    <row r="30772" spans="1:1">
      <c r="A30772" t="inlineStr">
        <is>
          <t>Lukidnon</t>
        </is>
      </c>
    </row>
    <row r="30773" spans="1:1">
      <c r="A30773" t="inlineStr">
        <is>
          <t>Mangayang</t>
        </is>
      </c>
    </row>
    <row r="30774" spans="1:1">
      <c r="A30774" t="inlineStr">
        <is>
          <t>Palabotan</t>
        </is>
      </c>
    </row>
    <row r="30775" spans="1:1">
      <c r="A30775" t="inlineStr">
        <is>
          <t>Sanguit</t>
        </is>
      </c>
    </row>
    <row r="30776" spans="1:1">
      <c r="A30776" t="inlineStr">
        <is>
          <t>Santa Maria</t>
        </is>
      </c>
    </row>
    <row r="30777" spans="1:1">
      <c r="A30777" t="inlineStr">
        <is>
          <t>Talbek</t>
        </is>
      </c>
    </row>
    <row r="30778" spans="1:1">
      <c r="A30778" t="inlineStr">
        <is>
          <t>Alimit</t>
        </is>
      </c>
    </row>
    <row r="30779" spans="1:1">
      <c r="A30779" t="inlineStr">
        <is>
          <t>Alloy</t>
        </is>
      </c>
    </row>
    <row r="30780" spans="1:1">
      <c r="A30780" t="inlineStr">
        <is>
          <t>Antutot</t>
        </is>
      </c>
    </row>
    <row r="30781" spans="1:1">
      <c r="A30781" t="inlineStr">
        <is>
          <t>Belet</t>
        </is>
      </c>
    </row>
    <row r="30782" spans="1:1">
      <c r="A30782" t="inlineStr">
        <is>
          <t>Binogawan</t>
        </is>
      </c>
    </row>
    <row r="30783" spans="1:1">
      <c r="A30783" t="inlineStr">
        <is>
          <t>Biyoy</t>
        </is>
      </c>
    </row>
    <row r="30784" spans="1:1">
      <c r="A30784" t="inlineStr">
        <is>
          <t>Bua</t>
        </is>
      </c>
    </row>
    <row r="30785" spans="1:1">
      <c r="A30785" t="inlineStr">
        <is>
          <t>Camamasi</t>
        </is>
      </c>
    </row>
    <row r="30786" spans="1:1">
      <c r="A30786" t="inlineStr">
        <is>
          <t>Capisaan</t>
        </is>
      </c>
    </row>
    <row r="30787" spans="1:1">
      <c r="A30787" t="inlineStr">
        <is>
          <t>Catarawan</t>
        </is>
      </c>
    </row>
    <row r="30788" spans="1:1">
      <c r="A30788" t="inlineStr">
        <is>
          <t>Cordon</t>
        </is>
      </c>
    </row>
    <row r="30789" spans="1:1">
      <c r="A30789" t="inlineStr">
        <is>
          <t>Didipio</t>
        </is>
      </c>
    </row>
    <row r="30790" spans="1:1">
      <c r="A30790" t="inlineStr">
        <is>
          <t>Dine</t>
        </is>
      </c>
    </row>
    <row r="30791" spans="1:1">
      <c r="A30791" t="inlineStr">
        <is>
          <t>Kakiduguen</t>
        </is>
      </c>
    </row>
    <row r="30792" spans="1:1">
      <c r="A30792" t="inlineStr">
        <is>
          <t>Kongkong</t>
        </is>
      </c>
    </row>
    <row r="30793" spans="1:1">
      <c r="A30793" t="inlineStr">
        <is>
          <t>Lupa</t>
        </is>
      </c>
    </row>
    <row r="30794" spans="1:1">
      <c r="A30794" t="inlineStr">
        <is>
          <t>Macalong</t>
        </is>
      </c>
    </row>
    <row r="30795" spans="1:1">
      <c r="A30795" t="inlineStr">
        <is>
          <t>Malabing</t>
        </is>
      </c>
    </row>
    <row r="30796" spans="1:1">
      <c r="A30796" t="inlineStr">
        <is>
          <t>Muta</t>
        </is>
      </c>
    </row>
    <row r="30797" spans="1:1">
      <c r="A30797" t="inlineStr">
        <is>
          <t>Nantawakan</t>
        </is>
      </c>
    </row>
    <row r="30798" spans="1:1">
      <c r="A30798" t="inlineStr">
        <is>
          <t>Pao</t>
        </is>
      </c>
    </row>
    <row r="30799" spans="1:1">
      <c r="A30799" t="inlineStr">
        <is>
          <t>Papaya</t>
        </is>
      </c>
    </row>
    <row r="30800" spans="1:1">
      <c r="A30800" t="inlineStr">
        <is>
          <t>Paquet</t>
        </is>
      </c>
    </row>
    <row r="30801" spans="1:1">
      <c r="A30801" t="inlineStr">
        <is>
          <t>Poblacion</t>
        </is>
      </c>
    </row>
    <row r="30802" spans="1:1">
      <c r="A30802" t="inlineStr">
        <is>
          <t>Pudi</t>
        </is>
      </c>
    </row>
    <row r="30803" spans="1:1">
      <c r="A30803" t="inlineStr">
        <is>
          <t>Siguem</t>
        </is>
      </c>
    </row>
    <row r="30804" spans="1:1">
      <c r="A30804" t="inlineStr">
        <is>
          <t>Tadji</t>
        </is>
      </c>
    </row>
    <row r="30805" spans="1:1">
      <c r="A30805" t="inlineStr">
        <is>
          <t>Tukod</t>
        </is>
      </c>
    </row>
    <row r="30806" spans="1:1">
      <c r="A30806" t="inlineStr">
        <is>
          <t>Wangal</t>
        </is>
      </c>
    </row>
    <row r="30807" spans="1:1">
      <c r="A30807" t="inlineStr">
        <is>
          <t>Watwat</t>
        </is>
      </c>
    </row>
    <row r="30808" spans="1:1">
      <c r="A30808" t="inlineStr">
        <is>
          <t>Acacia</t>
        </is>
      </c>
    </row>
    <row r="30809" spans="1:1">
      <c r="A30809" t="inlineStr">
        <is>
          <t>Alang Salacsac</t>
        </is>
      </c>
    </row>
    <row r="30810" spans="1:1">
      <c r="A30810" t="inlineStr">
        <is>
          <t>Amelong Labeng</t>
        </is>
      </c>
    </row>
    <row r="30811" spans="1:1">
      <c r="A30811" t="inlineStr">
        <is>
          <t>Ansipsip</t>
        </is>
      </c>
    </row>
    <row r="30812" spans="1:1">
      <c r="A30812" t="inlineStr">
        <is>
          <t>Baan</t>
        </is>
      </c>
    </row>
    <row r="30813" spans="1:1">
      <c r="A30813" t="inlineStr">
        <is>
          <t>Babadi</t>
        </is>
      </c>
    </row>
    <row r="30814" spans="1:1">
      <c r="A30814" t="inlineStr">
        <is>
          <t>Balangabang</t>
        </is>
      </c>
    </row>
    <row r="30815" spans="1:1">
      <c r="A30815" t="inlineStr">
        <is>
          <t>Balete</t>
        </is>
      </c>
    </row>
    <row r="30816" spans="1:1">
      <c r="A30816" t="inlineStr">
        <is>
          <t>Banao</t>
        </is>
      </c>
    </row>
    <row r="30817" spans="1:1">
      <c r="A30817" t="inlineStr">
        <is>
          <t>Besong</t>
        </is>
      </c>
    </row>
    <row r="30818" spans="1:1">
      <c r="A30818" t="inlineStr">
        <is>
          <t>Binalian</t>
        </is>
      </c>
    </row>
    <row r="30819" spans="1:1">
      <c r="A30819" t="inlineStr">
        <is>
          <t>Buyasyas</t>
        </is>
      </c>
    </row>
    <row r="30820" spans="1:1">
      <c r="A30820" t="inlineStr">
        <is>
          <t>Cabalatan Alang</t>
        </is>
      </c>
    </row>
    <row r="30821" spans="1:1">
      <c r="A30821" t="inlineStr">
        <is>
          <t>Cabanglasan</t>
        </is>
      </c>
    </row>
    <row r="30822" spans="1:1">
      <c r="A30822" t="inlineStr">
        <is>
          <t>Cabayo</t>
        </is>
      </c>
    </row>
    <row r="30823" spans="1:1">
      <c r="A30823" t="inlineStr">
        <is>
          <t>Castillo Village</t>
        </is>
      </c>
    </row>
    <row r="30824" spans="1:1">
      <c r="A30824" t="inlineStr">
        <is>
          <t>Kayapa Proper East</t>
        </is>
      </c>
    </row>
    <row r="30825" spans="1:1">
      <c r="A30825" t="inlineStr">
        <is>
          <t>Kayapa Proper West</t>
        </is>
      </c>
    </row>
    <row r="30826" spans="1:1">
      <c r="A30826" t="inlineStr">
        <is>
          <t>Latbang</t>
        </is>
      </c>
    </row>
    <row r="30827" spans="1:1">
      <c r="A30827" t="inlineStr">
        <is>
          <t>Lawigan</t>
        </is>
      </c>
    </row>
    <row r="30828" spans="1:1">
      <c r="A30828" t="inlineStr">
        <is>
          <t>Mapayao</t>
        </is>
      </c>
    </row>
    <row r="30829" spans="1:1">
      <c r="A30829" t="inlineStr">
        <is>
          <t>Nansiakan</t>
        </is>
      </c>
    </row>
    <row r="30830" spans="1:1">
      <c r="A30830" t="inlineStr">
        <is>
          <t>Pampang</t>
        </is>
      </c>
    </row>
    <row r="30831" spans="1:1">
      <c r="A30831" t="inlineStr">
        <is>
          <t>Pangawan</t>
        </is>
      </c>
    </row>
    <row r="30832" spans="1:1">
      <c r="A30832" t="inlineStr">
        <is>
          <t>Pinayag</t>
        </is>
      </c>
    </row>
    <row r="30833" spans="1:1">
      <c r="A30833" t="inlineStr">
        <is>
          <t>Pingkian</t>
        </is>
      </c>
    </row>
    <row r="30834" spans="1:1">
      <c r="A30834" t="inlineStr">
        <is>
          <t>San Fabian</t>
        </is>
      </c>
    </row>
    <row r="30835" spans="1:1">
      <c r="A30835" t="inlineStr">
        <is>
          <t>Talicabcab</t>
        </is>
      </c>
    </row>
    <row r="30836" spans="1:1">
      <c r="A30836" t="inlineStr">
        <is>
          <t>Tidang Village</t>
        </is>
      </c>
    </row>
    <row r="30837" spans="1:1">
      <c r="A30837" t="inlineStr">
        <is>
          <t>Tubungan</t>
        </is>
      </c>
    </row>
    <row r="30838" spans="1:1">
      <c r="A30838" t="inlineStr">
        <is>
          <t>Aurora</t>
        </is>
      </c>
    </row>
    <row r="30839" spans="1:1">
      <c r="A30839" t="inlineStr">
        <is>
          <t>Baresbes</t>
        </is>
      </c>
    </row>
    <row r="30840" spans="1:1">
      <c r="A30840" t="inlineStr">
        <is>
          <t>Bonifacio</t>
        </is>
      </c>
    </row>
    <row r="30841" spans="1:1">
      <c r="A30841" t="inlineStr">
        <is>
          <t>Buliwao</t>
        </is>
      </c>
    </row>
    <row r="30842" spans="1:1">
      <c r="A30842" t="inlineStr">
        <is>
          <t>Calaocan</t>
        </is>
      </c>
    </row>
    <row r="30843" spans="1:1">
      <c r="A30843" t="inlineStr">
        <is>
          <t>Caliat</t>
        </is>
      </c>
    </row>
    <row r="30844" spans="1:1">
      <c r="A30844" t="inlineStr">
        <is>
          <t>Dagupan</t>
        </is>
      </c>
    </row>
    <row r="30845" spans="1:1">
      <c r="A30845" t="inlineStr">
        <is>
          <t>Darubba</t>
        </is>
      </c>
    </row>
    <row r="30846" spans="1:1">
      <c r="A30846" t="inlineStr">
        <is>
          <t>Maasin</t>
        </is>
      </c>
    </row>
    <row r="30847" spans="1:1">
      <c r="A30847" t="inlineStr">
        <is>
          <t>Maddiangat</t>
        </is>
      </c>
    </row>
    <row r="30848" spans="1:1">
      <c r="A30848" t="inlineStr">
        <is>
          <t>Nalubbunan</t>
        </is>
      </c>
    </row>
    <row r="30849" spans="1:1">
      <c r="A30849" t="inlineStr">
        <is>
          <t>Runruno</t>
        </is>
      </c>
    </row>
    <row r="30850" spans="1:1">
      <c r="A30850" t="inlineStr">
        <is>
          <t>Atbu</t>
        </is>
      </c>
    </row>
    <row r="30851" spans="1:1">
      <c r="A30851" t="inlineStr">
        <is>
          <t>Bacneng</t>
        </is>
      </c>
    </row>
    <row r="30852" spans="1:1">
      <c r="A30852" t="inlineStr">
        <is>
          <t>Balete</t>
        </is>
      </c>
    </row>
    <row r="30853" spans="1:1">
      <c r="A30853" t="inlineStr">
        <is>
          <t>Baliling</t>
        </is>
      </c>
    </row>
    <row r="30854" spans="1:1">
      <c r="A30854" t="inlineStr">
        <is>
          <t>Bantinan</t>
        </is>
      </c>
    </row>
    <row r="30855" spans="1:1">
      <c r="A30855" t="inlineStr">
        <is>
          <t>Baracbac</t>
        </is>
      </c>
    </row>
    <row r="30856" spans="1:1">
      <c r="A30856" t="inlineStr">
        <is>
          <t>Buyasyas</t>
        </is>
      </c>
    </row>
    <row r="30857" spans="1:1">
      <c r="A30857" t="inlineStr">
        <is>
          <t>Canabuan</t>
        </is>
      </c>
    </row>
    <row r="30858" spans="1:1">
      <c r="A30858" t="inlineStr">
        <is>
          <t>Imugan</t>
        </is>
      </c>
    </row>
    <row r="30859" spans="1:1">
      <c r="A30859" t="inlineStr">
        <is>
          <t>Malico</t>
        </is>
      </c>
    </row>
    <row r="30860" spans="1:1">
      <c r="A30860" t="inlineStr">
        <is>
          <t>Poblacion</t>
        </is>
      </c>
    </row>
    <row r="30861" spans="1:1">
      <c r="A30861" t="inlineStr">
        <is>
          <t>Santa Rosa</t>
        </is>
      </c>
    </row>
    <row r="30862" spans="1:1">
      <c r="A30862" t="inlineStr">
        <is>
          <t>Sinapaoan</t>
        </is>
      </c>
    </row>
    <row r="30863" spans="1:1">
      <c r="A30863" t="inlineStr">
        <is>
          <t>Tactac</t>
        </is>
      </c>
    </row>
    <row r="30864" spans="1:1">
      <c r="A30864" t="inlineStr">
        <is>
          <t>Unib</t>
        </is>
      </c>
    </row>
    <row r="30865" spans="1:1">
      <c r="A30865" t="inlineStr">
        <is>
          <t>Villa Flores</t>
        </is>
      </c>
    </row>
    <row r="30866" spans="1:1">
      <c r="A30866" t="inlineStr">
        <is>
          <t>Aggub</t>
        </is>
      </c>
    </row>
    <row r="30867" spans="1:1">
      <c r="A30867" t="inlineStr">
        <is>
          <t>Bagahabag</t>
        </is>
      </c>
    </row>
    <row r="30868" spans="1:1">
      <c r="A30868" t="inlineStr">
        <is>
          <t>Bangaan</t>
        </is>
      </c>
    </row>
    <row r="30869" spans="1:1">
      <c r="A30869" t="inlineStr">
        <is>
          <t>Bangar</t>
        </is>
      </c>
    </row>
    <row r="30870" spans="1:1">
      <c r="A30870" t="inlineStr">
        <is>
          <t>Bascaran</t>
        </is>
      </c>
    </row>
    <row r="30871" spans="1:1">
      <c r="A30871" t="inlineStr">
        <is>
          <t>Communal</t>
        </is>
      </c>
    </row>
    <row r="30872" spans="1:1">
      <c r="A30872" t="inlineStr">
        <is>
          <t>Concepcion</t>
        </is>
      </c>
    </row>
    <row r="30873" spans="1:1">
      <c r="A30873" t="inlineStr">
        <is>
          <t>Curifang</t>
        </is>
      </c>
    </row>
    <row r="30874" spans="1:1">
      <c r="A30874" t="inlineStr">
        <is>
          <t>Dadap</t>
        </is>
      </c>
    </row>
    <row r="30875" spans="1:1">
      <c r="A30875" t="inlineStr">
        <is>
          <t>Lactawan</t>
        </is>
      </c>
    </row>
    <row r="30876" spans="1:1">
      <c r="A30876" t="inlineStr">
        <is>
          <t>Osmeña</t>
        </is>
      </c>
    </row>
    <row r="30877" spans="1:1">
      <c r="A30877" t="inlineStr">
        <is>
          <t>Pilar D. Galima</t>
        </is>
      </c>
    </row>
    <row r="30878" spans="1:1">
      <c r="A30878" t="inlineStr">
        <is>
          <t>Poblacion North</t>
        </is>
      </c>
    </row>
    <row r="30879" spans="1:1">
      <c r="A30879" t="inlineStr">
        <is>
          <t>Poblacion South</t>
        </is>
      </c>
    </row>
    <row r="30880" spans="1:1">
      <c r="A30880" t="inlineStr">
        <is>
          <t>Quezon</t>
        </is>
      </c>
    </row>
    <row r="30881" spans="1:1">
      <c r="A30881" t="inlineStr">
        <is>
          <t>Quirino</t>
        </is>
      </c>
    </row>
    <row r="30882" spans="1:1">
      <c r="A30882" t="inlineStr">
        <is>
          <t>Roxas</t>
        </is>
      </c>
    </row>
    <row r="30883" spans="1:1">
      <c r="A30883" t="inlineStr">
        <is>
          <t>San Juan</t>
        </is>
      </c>
    </row>
    <row r="30884" spans="1:1">
      <c r="A30884" t="inlineStr">
        <is>
          <t>San Luis</t>
        </is>
      </c>
    </row>
    <row r="30885" spans="1:1">
      <c r="A30885" t="inlineStr">
        <is>
          <t>Tucal</t>
        </is>
      </c>
    </row>
    <row r="30886" spans="1:1">
      <c r="A30886" t="inlineStr">
        <is>
          <t>Uddiawan</t>
        </is>
      </c>
    </row>
    <row r="30887" spans="1:1">
      <c r="A30887" t="inlineStr">
        <is>
          <t>Wacal</t>
        </is>
      </c>
    </row>
    <row r="30888" spans="1:1">
      <c r="A30888" t="inlineStr">
        <is>
          <t>Bintawan Norte</t>
        </is>
      </c>
    </row>
    <row r="30889" spans="1:1">
      <c r="A30889" t="inlineStr">
        <is>
          <t>Bintawan Sur</t>
        </is>
      </c>
    </row>
    <row r="30890" spans="1:1">
      <c r="A30890" t="inlineStr">
        <is>
          <t>Cabuluan</t>
        </is>
      </c>
    </row>
    <row r="30891" spans="1:1">
      <c r="A30891" t="inlineStr">
        <is>
          <t>Ibung</t>
        </is>
      </c>
    </row>
    <row r="30892" spans="1:1">
      <c r="A30892" t="inlineStr">
        <is>
          <t>Nagbitin</t>
        </is>
      </c>
    </row>
    <row r="30893" spans="1:1">
      <c r="A30893" t="inlineStr">
        <is>
          <t>Ocapon</t>
        </is>
      </c>
    </row>
    <row r="30894" spans="1:1">
      <c r="A30894" t="inlineStr">
        <is>
          <t>Pieza</t>
        </is>
      </c>
    </row>
    <row r="30895" spans="1:1">
      <c r="A30895" t="inlineStr">
        <is>
          <t>Poblacion</t>
        </is>
      </c>
    </row>
    <row r="30896" spans="1:1">
      <c r="A30896" t="inlineStr">
        <is>
          <t>Sawmill</t>
        </is>
      </c>
    </row>
    <row r="30897" spans="1:1">
      <c r="A30897" t="inlineStr">
        <is>
          <t>Armado</t>
        </is>
      </c>
    </row>
    <row r="30898" spans="1:1">
      <c r="A30898" t="inlineStr">
        <is>
          <t>Balao</t>
        </is>
      </c>
    </row>
    <row r="30899" spans="1:1">
      <c r="A30899" t="inlineStr">
        <is>
          <t>Cabacao</t>
        </is>
      </c>
    </row>
    <row r="30900" spans="1:1">
      <c r="A30900" t="inlineStr">
        <is>
          <t>Lumangbayan</t>
        </is>
      </c>
    </row>
    <row r="30901" spans="1:1">
      <c r="A30901" t="inlineStr">
        <is>
          <t>Poblacion</t>
        </is>
      </c>
    </row>
    <row r="30902" spans="1:1">
      <c r="A30902" t="inlineStr">
        <is>
          <t>San Vicente</t>
        </is>
      </c>
    </row>
    <row r="30903" spans="1:1">
      <c r="A30903" t="inlineStr">
        <is>
          <t>Sta. Maria</t>
        </is>
      </c>
    </row>
    <row r="30904" spans="1:1">
      <c r="A30904" t="inlineStr">
        <is>
          <t>Tibag</t>
        </is>
      </c>
    </row>
    <row r="30905" spans="1:1">
      <c r="A30905" t="inlineStr">
        <is>
          <t>Udalo</t>
        </is>
      </c>
    </row>
    <row r="30906" spans="1:1">
      <c r="A30906" t="inlineStr">
        <is>
          <t>Wawa</t>
        </is>
      </c>
    </row>
    <row r="30907" spans="1:1">
      <c r="A30907" t="inlineStr">
        <is>
          <t>Concepcion</t>
        </is>
      </c>
    </row>
    <row r="30908" spans="1:1">
      <c r="A30908" t="inlineStr">
        <is>
          <t>Iriron</t>
        </is>
      </c>
    </row>
    <row r="30909" spans="1:1">
      <c r="A30909" t="inlineStr">
        <is>
          <t>Malpalon</t>
        </is>
      </c>
    </row>
    <row r="30910" spans="1:1">
      <c r="A30910" t="inlineStr">
        <is>
          <t>New Dagupan</t>
        </is>
      </c>
    </row>
    <row r="30911" spans="1:1">
      <c r="A30911" t="inlineStr">
        <is>
          <t>Poblacion</t>
        </is>
      </c>
    </row>
    <row r="30912" spans="1:1">
      <c r="A30912" t="inlineStr">
        <is>
          <t>Poypoy</t>
        </is>
      </c>
    </row>
    <row r="30913" spans="1:1">
      <c r="A30913" t="inlineStr">
        <is>
          <t>Tanyag</t>
        </is>
      </c>
    </row>
    <row r="30914" spans="1:1">
      <c r="A30914" t="inlineStr">
        <is>
          <t>Agkawayan</t>
        </is>
      </c>
    </row>
    <row r="30915" spans="1:1">
      <c r="A30915" t="inlineStr">
        <is>
          <t>Ambil</t>
        </is>
      </c>
    </row>
    <row r="30916" spans="1:1">
      <c r="A30916" t="inlineStr">
        <is>
          <t>Balikyas</t>
        </is>
      </c>
    </row>
    <row r="30917" spans="1:1">
      <c r="A30917" t="inlineStr">
        <is>
          <t>Bonbon</t>
        </is>
      </c>
    </row>
    <row r="30918" spans="1:1">
      <c r="A30918" t="inlineStr">
        <is>
          <t>Bulacan</t>
        </is>
      </c>
    </row>
    <row r="30919" spans="1:1">
      <c r="A30919" t="inlineStr">
        <is>
          <t>Burol</t>
        </is>
      </c>
    </row>
    <row r="30920" spans="1:1">
      <c r="A30920" t="inlineStr">
        <is>
          <t>Guitna</t>
        </is>
      </c>
    </row>
    <row r="30921" spans="1:1">
      <c r="A30921" t="inlineStr">
        <is>
          <t>Kanluran</t>
        </is>
      </c>
    </row>
    <row r="30922" spans="1:1">
      <c r="A30922" t="inlineStr">
        <is>
          <t>Talaotao</t>
        </is>
      </c>
    </row>
    <row r="30923" spans="1:1">
      <c r="A30923" t="inlineStr">
        <is>
          <t>Araw At Bituin</t>
        </is>
      </c>
    </row>
    <row r="30924" spans="1:1">
      <c r="A30924" t="inlineStr">
        <is>
          <t>Bagong Sikat</t>
        </is>
      </c>
    </row>
    <row r="30925" spans="1:1">
      <c r="A30925" t="inlineStr">
        <is>
          <t>Banaag ng Pag-asa</t>
        </is>
      </c>
    </row>
    <row r="30926" spans="1:1">
      <c r="A30926" t="inlineStr">
        <is>
          <t>Binakas</t>
        </is>
      </c>
    </row>
    <row r="30927" spans="1:1">
      <c r="A30927" t="inlineStr">
        <is>
          <t>Cabra</t>
        </is>
      </c>
    </row>
    <row r="30928" spans="1:1">
      <c r="A30928" t="inlineStr">
        <is>
          <t>Likas Ng Silangan</t>
        </is>
      </c>
    </row>
    <row r="30929" spans="1:1">
      <c r="A30929" t="inlineStr">
        <is>
          <t>Maginhawa</t>
        </is>
      </c>
    </row>
    <row r="30930" spans="1:1">
      <c r="A30930" t="inlineStr">
        <is>
          <t>Maligaya</t>
        </is>
      </c>
    </row>
    <row r="30931" spans="1:1">
      <c r="A30931" t="inlineStr">
        <is>
          <t>Maliig</t>
        </is>
      </c>
    </row>
    <row r="30932" spans="1:1">
      <c r="A30932" t="inlineStr">
        <is>
          <t>Ninikat Ng Pag-Asa</t>
        </is>
      </c>
    </row>
    <row r="30933" spans="1:1">
      <c r="A30933" t="inlineStr">
        <is>
          <t>Paraiso</t>
        </is>
      </c>
    </row>
    <row r="30934" spans="1:1">
      <c r="A30934" t="inlineStr">
        <is>
          <t>Sorville</t>
        </is>
      </c>
    </row>
    <row r="30935" spans="1:1">
      <c r="A30935" t="inlineStr">
        <is>
          <t>Tagbac</t>
        </is>
      </c>
    </row>
    <row r="30936" spans="1:1">
      <c r="A30936" t="inlineStr">
        <is>
          <t>Tangal</t>
        </is>
      </c>
    </row>
    <row r="30937" spans="1:1">
      <c r="A30937" t="inlineStr">
        <is>
          <t>Tilik</t>
        </is>
      </c>
    </row>
    <row r="30938" spans="1:1">
      <c r="A30938" t="inlineStr">
        <is>
          <t>Vigo</t>
        </is>
      </c>
    </row>
    <row r="30939" spans="1:1">
      <c r="A30939" t="inlineStr">
        <is>
          <t>Alibog</t>
        </is>
      </c>
    </row>
    <row r="30940" spans="1:1">
      <c r="A30940" t="inlineStr">
        <is>
          <t>Caguray</t>
        </is>
      </c>
    </row>
    <row r="30941" spans="1:1">
      <c r="A30941" t="inlineStr">
        <is>
          <t>Calawag</t>
        </is>
      </c>
    </row>
    <row r="30942" spans="1:1">
      <c r="A30942" t="inlineStr">
        <is>
          <t>Gapasan</t>
        </is>
      </c>
    </row>
    <row r="30943" spans="1:1">
      <c r="A30943" t="inlineStr">
        <is>
          <t>Laste</t>
        </is>
      </c>
    </row>
    <row r="30944" spans="1:1">
      <c r="A30944" t="inlineStr">
        <is>
          <t>Lourdes</t>
        </is>
      </c>
    </row>
    <row r="30945" spans="1:1">
      <c r="A30945" t="inlineStr">
        <is>
          <t>Nicolas</t>
        </is>
      </c>
    </row>
    <row r="30946" spans="1:1">
      <c r="A30946" t="inlineStr">
        <is>
          <t>Paclolo</t>
        </is>
      </c>
    </row>
    <row r="30947" spans="1:1">
      <c r="A30947" t="inlineStr">
        <is>
          <t>Poblacion</t>
        </is>
      </c>
    </row>
    <row r="30948" spans="1:1">
      <c r="A30948" t="inlineStr">
        <is>
          <t>Purnaga</t>
        </is>
      </c>
    </row>
    <row r="30949" spans="1:1">
      <c r="A30949" t="inlineStr">
        <is>
          <t>Santa Teresa</t>
        </is>
      </c>
    </row>
    <row r="30950" spans="1:1">
      <c r="A30950" t="inlineStr">
        <is>
          <t>Sibalat</t>
        </is>
      </c>
    </row>
    <row r="30951" spans="1:1">
      <c r="A30951" t="inlineStr">
        <is>
          <t>Balansay</t>
        </is>
      </c>
    </row>
    <row r="30952" spans="1:1">
      <c r="A30952" t="inlineStr">
        <is>
          <t>Fatima</t>
        </is>
      </c>
    </row>
    <row r="30953" spans="1:1">
      <c r="A30953" t="inlineStr">
        <is>
          <t>Payompon</t>
        </is>
      </c>
    </row>
    <row r="30954" spans="1:1">
      <c r="A30954" t="inlineStr">
        <is>
          <t>Poblacion 1</t>
        </is>
      </c>
    </row>
    <row r="30955" spans="1:1">
      <c r="A30955" t="inlineStr">
        <is>
          <t>Poblacion 2</t>
        </is>
      </c>
    </row>
    <row r="30956" spans="1:1">
      <c r="A30956" t="inlineStr">
        <is>
          <t>Poblacion 3</t>
        </is>
      </c>
    </row>
    <row r="30957" spans="1:1">
      <c r="A30957" t="inlineStr">
        <is>
          <t>Poblacion 4</t>
        </is>
      </c>
    </row>
    <row r="30958" spans="1:1">
      <c r="A30958" t="inlineStr">
        <is>
          <t>Poblacion 5</t>
        </is>
      </c>
    </row>
    <row r="30959" spans="1:1">
      <c r="A30959" t="inlineStr">
        <is>
          <t>Poblacion 6</t>
        </is>
      </c>
    </row>
    <row r="30960" spans="1:1">
      <c r="A30960" t="inlineStr">
        <is>
          <t>Poblacion 7</t>
        </is>
      </c>
    </row>
    <row r="30961" spans="1:1">
      <c r="A30961" t="inlineStr">
        <is>
          <t>Poblacion 8</t>
        </is>
      </c>
    </row>
    <row r="30962" spans="1:1">
      <c r="A30962" t="inlineStr">
        <is>
          <t>San Luis</t>
        </is>
      </c>
    </row>
    <row r="30963" spans="1:1">
      <c r="A30963" t="inlineStr">
        <is>
          <t>Talabaan</t>
        </is>
      </c>
    </row>
    <row r="30964" spans="1:1">
      <c r="A30964" t="inlineStr">
        <is>
          <t>Tangkalan</t>
        </is>
      </c>
    </row>
    <row r="30965" spans="1:1">
      <c r="A30965" t="inlineStr">
        <is>
          <t>Tayamaan</t>
        </is>
      </c>
    </row>
    <row r="30966" spans="1:1">
      <c r="A30966" t="inlineStr">
        <is>
          <t>Alipaoy</t>
        </is>
      </c>
    </row>
    <row r="30967" spans="1:1">
      <c r="A30967" t="inlineStr">
        <is>
          <t>Bagong Silang Pob.</t>
        </is>
      </c>
    </row>
    <row r="30968" spans="1:1">
      <c r="A30968" t="inlineStr">
        <is>
          <t>Handang Tumulong Pob.</t>
        </is>
      </c>
    </row>
    <row r="30969" spans="1:1">
      <c r="A30969" t="inlineStr">
        <is>
          <t>Harrison</t>
        </is>
      </c>
    </row>
    <row r="30970" spans="1:1">
      <c r="A30970" t="inlineStr">
        <is>
          <t>Lumangbayan</t>
        </is>
      </c>
    </row>
    <row r="30971" spans="1:1">
      <c r="A30971" t="inlineStr">
        <is>
          <t>Mananao</t>
        </is>
      </c>
    </row>
    <row r="30972" spans="1:1">
      <c r="A30972" t="inlineStr">
        <is>
          <t>Mapalad Pob.</t>
        </is>
      </c>
    </row>
    <row r="30973" spans="1:1">
      <c r="A30973" t="inlineStr">
        <is>
          <t>Marikit</t>
        </is>
      </c>
    </row>
    <row r="30974" spans="1:1">
      <c r="A30974" t="inlineStr">
        <is>
          <t>Pag-Asa Ng Bayan Pob.</t>
        </is>
      </c>
    </row>
    <row r="30975" spans="1:1">
      <c r="A30975" t="inlineStr">
        <is>
          <t>San Jose Pob.</t>
        </is>
      </c>
    </row>
    <row r="30976" spans="1:1">
      <c r="A30976" t="inlineStr">
        <is>
          <t>Silahis Ng Pag-Asa Pob.</t>
        </is>
      </c>
    </row>
    <row r="30977" spans="1:1">
      <c r="A30977" t="inlineStr">
        <is>
          <t>Tubili</t>
        </is>
      </c>
    </row>
    <row r="30978" spans="1:1">
      <c r="A30978" t="inlineStr">
        <is>
          <t>Adela</t>
        </is>
      </c>
    </row>
    <row r="30979" spans="1:1">
      <c r="A30979" t="inlineStr">
        <is>
          <t>Aguas</t>
        </is>
      </c>
    </row>
    <row r="30980" spans="1:1">
      <c r="A30980" t="inlineStr">
        <is>
          <t>Magsikap</t>
        </is>
      </c>
    </row>
    <row r="30981" spans="1:1">
      <c r="A30981" t="inlineStr">
        <is>
          <t>Malawaan</t>
        </is>
      </c>
    </row>
    <row r="30982" spans="1:1">
      <c r="A30982" t="inlineStr">
        <is>
          <t>Manoot</t>
        </is>
      </c>
    </row>
    <row r="30983" spans="1:1">
      <c r="A30983" t="inlineStr">
        <is>
          <t>Pitogo</t>
        </is>
      </c>
    </row>
    <row r="30984" spans="1:1">
      <c r="A30984" t="inlineStr">
        <is>
          <t>Rizal</t>
        </is>
      </c>
    </row>
    <row r="30985" spans="1:1">
      <c r="A30985" t="inlineStr">
        <is>
          <t>Rumbang</t>
        </is>
      </c>
    </row>
    <row r="30986" spans="1:1">
      <c r="A30986" t="inlineStr">
        <is>
          <t>Salvacion</t>
        </is>
      </c>
    </row>
    <row r="30987" spans="1:1">
      <c r="A30987" t="inlineStr">
        <is>
          <t>San Pedro</t>
        </is>
      </c>
    </row>
    <row r="30988" spans="1:1">
      <c r="A30988" t="inlineStr">
        <is>
          <t>Santo Niño</t>
        </is>
      </c>
    </row>
    <row r="30989" spans="1:1">
      <c r="A30989" t="inlineStr">
        <is>
          <t>Batong Buhay</t>
        </is>
      </c>
    </row>
    <row r="30990" spans="1:1">
      <c r="A30990" t="inlineStr">
        <is>
          <t>Buenavista</t>
        </is>
      </c>
    </row>
    <row r="30991" spans="1:1">
      <c r="A30991" t="inlineStr">
        <is>
          <t>Burgos</t>
        </is>
      </c>
    </row>
    <row r="30992" spans="1:1">
      <c r="A30992" t="inlineStr">
        <is>
          <t>Claudio Salgado</t>
        </is>
      </c>
    </row>
    <row r="30993" spans="1:1">
      <c r="A30993" t="inlineStr">
        <is>
          <t>General Emilio Aguinaldo</t>
        </is>
      </c>
    </row>
    <row r="30994" spans="1:1">
      <c r="A30994" t="inlineStr">
        <is>
          <t>Ibud</t>
        </is>
      </c>
    </row>
    <row r="30995" spans="1:1">
      <c r="A30995" t="inlineStr">
        <is>
          <t>Ilvita</t>
        </is>
      </c>
    </row>
    <row r="30996" spans="1:1">
      <c r="A30996" t="inlineStr">
        <is>
          <t>Lagnas</t>
        </is>
      </c>
    </row>
    <row r="30997" spans="1:1">
      <c r="A30997" t="inlineStr">
        <is>
          <t>Ligaya</t>
        </is>
      </c>
    </row>
    <row r="30998" spans="1:1">
      <c r="A30998" t="inlineStr">
        <is>
          <t>Malisbong</t>
        </is>
      </c>
    </row>
    <row r="30999" spans="1:1">
      <c r="A30999" t="inlineStr">
        <is>
          <t>Paetan</t>
        </is>
      </c>
    </row>
    <row r="31000" spans="1:1">
      <c r="A31000" t="inlineStr">
        <is>
          <t>Pag-Asa</t>
        </is>
      </c>
    </row>
    <row r="31001" spans="1:1">
      <c r="A31001" t="inlineStr">
        <is>
          <t>Poblacion</t>
        </is>
      </c>
    </row>
    <row r="31002" spans="1:1">
      <c r="A31002" t="inlineStr">
        <is>
          <t>San Agustin</t>
        </is>
      </c>
    </row>
    <row r="31003" spans="1:1">
      <c r="A31003" t="inlineStr">
        <is>
          <t>San Francisco</t>
        </is>
      </c>
    </row>
    <row r="31004" spans="1:1">
      <c r="A31004" t="inlineStr">
        <is>
          <t>San Nicolas</t>
        </is>
      </c>
    </row>
    <row r="31005" spans="1:1">
      <c r="A31005" t="inlineStr">
        <is>
          <t>San Vicente</t>
        </is>
      </c>
    </row>
    <row r="31006" spans="1:1">
      <c r="A31006" t="inlineStr">
        <is>
          <t>Sta. Lucia</t>
        </is>
      </c>
    </row>
    <row r="31007" spans="1:1">
      <c r="A31007" t="inlineStr">
        <is>
          <t>Sto. Niño</t>
        </is>
      </c>
    </row>
    <row r="31008" spans="1:1">
      <c r="A31008" t="inlineStr">
        <is>
          <t>Tagumpay</t>
        </is>
      </c>
    </row>
    <row r="31009" spans="1:1">
      <c r="A31009" t="inlineStr">
        <is>
          <t>Tuban</t>
        </is>
      </c>
    </row>
    <row r="31010" spans="1:1">
      <c r="A31010" t="inlineStr">
        <is>
          <t>Victoria</t>
        </is>
      </c>
    </row>
    <row r="31011" spans="1:1">
      <c r="A31011" t="inlineStr">
        <is>
          <t>Ambulong</t>
        </is>
      </c>
    </row>
    <row r="31012" spans="1:1">
      <c r="A31012" t="inlineStr">
        <is>
          <t>Ansiray</t>
        </is>
      </c>
    </row>
    <row r="31013" spans="1:1">
      <c r="A31013" t="inlineStr">
        <is>
          <t>Bagong Sikat</t>
        </is>
      </c>
    </row>
    <row r="31014" spans="1:1">
      <c r="A31014" t="inlineStr">
        <is>
          <t>Bangkal</t>
        </is>
      </c>
    </row>
    <row r="31015" spans="1:1">
      <c r="A31015" t="inlineStr">
        <is>
          <t>Barangay 1</t>
        </is>
      </c>
    </row>
    <row r="31016" spans="1:1">
      <c r="A31016" t="inlineStr">
        <is>
          <t>Barangay 2</t>
        </is>
      </c>
    </row>
    <row r="31017" spans="1:1">
      <c r="A31017" t="inlineStr">
        <is>
          <t>Barangay 3</t>
        </is>
      </c>
    </row>
    <row r="31018" spans="1:1">
      <c r="A31018" t="inlineStr">
        <is>
          <t>Barangay 4</t>
        </is>
      </c>
    </row>
    <row r="31019" spans="1:1">
      <c r="A31019" t="inlineStr">
        <is>
          <t>Barangay 5</t>
        </is>
      </c>
    </row>
    <row r="31020" spans="1:1">
      <c r="A31020" t="inlineStr">
        <is>
          <t>Barangay 6</t>
        </is>
      </c>
    </row>
    <row r="31021" spans="1:1">
      <c r="A31021" t="inlineStr">
        <is>
          <t>Barangay 7</t>
        </is>
      </c>
    </row>
    <row r="31022" spans="1:1">
      <c r="A31022" t="inlineStr">
        <is>
          <t>Barangay 8</t>
        </is>
      </c>
    </row>
    <row r="31023" spans="1:1">
      <c r="A31023" t="inlineStr">
        <is>
          <t>Batasan</t>
        </is>
      </c>
    </row>
    <row r="31024" spans="1:1">
      <c r="A31024" t="inlineStr">
        <is>
          <t>Bayotbot</t>
        </is>
      </c>
    </row>
    <row r="31025" spans="1:1">
      <c r="A31025" t="inlineStr">
        <is>
          <t>Bubog</t>
        </is>
      </c>
    </row>
    <row r="31026" spans="1:1">
      <c r="A31026" t="inlineStr">
        <is>
          <t>Buri</t>
        </is>
      </c>
    </row>
    <row r="31027" spans="1:1">
      <c r="A31027" t="inlineStr">
        <is>
          <t>Camburay</t>
        </is>
      </c>
    </row>
    <row r="31028" spans="1:1">
      <c r="A31028" t="inlineStr">
        <is>
          <t>Caminawit</t>
        </is>
      </c>
    </row>
    <row r="31029" spans="1:1">
      <c r="A31029" t="inlineStr">
        <is>
          <t>Catayungan</t>
        </is>
      </c>
    </row>
    <row r="31030" spans="1:1">
      <c r="A31030" t="inlineStr">
        <is>
          <t>Central</t>
        </is>
      </c>
    </row>
    <row r="31031" spans="1:1">
      <c r="A31031" t="inlineStr">
        <is>
          <t>Iling Proper</t>
        </is>
      </c>
    </row>
    <row r="31032" spans="1:1">
      <c r="A31032" t="inlineStr">
        <is>
          <t>Inasakan</t>
        </is>
      </c>
    </row>
    <row r="31033" spans="1:1">
      <c r="A31033" t="inlineStr">
        <is>
          <t>Ipil</t>
        </is>
      </c>
    </row>
    <row r="31034" spans="1:1">
      <c r="A31034" t="inlineStr">
        <is>
          <t>La Curva</t>
        </is>
      </c>
    </row>
    <row r="31035" spans="1:1">
      <c r="A31035" t="inlineStr">
        <is>
          <t>Labangan Iling</t>
        </is>
      </c>
    </row>
    <row r="31036" spans="1:1">
      <c r="A31036" t="inlineStr">
        <is>
          <t>Labangan Poblacion</t>
        </is>
      </c>
    </row>
    <row r="31037" spans="1:1">
      <c r="A31037" t="inlineStr">
        <is>
          <t>Mabini</t>
        </is>
      </c>
    </row>
    <row r="31038" spans="1:1">
      <c r="A31038" t="inlineStr">
        <is>
          <t>Magbay</t>
        </is>
      </c>
    </row>
    <row r="31039" spans="1:1">
      <c r="A31039" t="inlineStr">
        <is>
          <t>Mangarin</t>
        </is>
      </c>
    </row>
    <row r="31040" spans="1:1">
      <c r="A31040" t="inlineStr">
        <is>
          <t>Mapaya</t>
        </is>
      </c>
    </row>
    <row r="31041" spans="1:1">
      <c r="A31041" t="inlineStr">
        <is>
          <t>Monte Claro</t>
        </is>
      </c>
    </row>
    <row r="31042" spans="1:1">
      <c r="A31042" t="inlineStr">
        <is>
          <t>Murtha</t>
        </is>
      </c>
    </row>
    <row r="31043" spans="1:1">
      <c r="A31043" t="inlineStr">
        <is>
          <t>Naibuan</t>
        </is>
      </c>
    </row>
    <row r="31044" spans="1:1">
      <c r="A31044" t="inlineStr">
        <is>
          <t>Natandol</t>
        </is>
      </c>
    </row>
    <row r="31045" spans="1:1">
      <c r="A31045" t="inlineStr">
        <is>
          <t>Pag-Asa</t>
        </is>
      </c>
    </row>
    <row r="31046" spans="1:1">
      <c r="A31046" t="inlineStr">
        <is>
          <t>Pawican</t>
        </is>
      </c>
    </row>
    <row r="31047" spans="1:1">
      <c r="A31047" t="inlineStr">
        <is>
          <t>San Agustin</t>
        </is>
      </c>
    </row>
    <row r="31048" spans="1:1">
      <c r="A31048" t="inlineStr">
        <is>
          <t>San Isidro</t>
        </is>
      </c>
    </row>
    <row r="31049" spans="1:1">
      <c r="A31049" t="inlineStr">
        <is>
          <t>San Roque</t>
        </is>
      </c>
    </row>
    <row r="31050" spans="1:1">
      <c r="A31050" t="inlineStr">
        <is>
          <t>Alacaak</t>
        </is>
      </c>
    </row>
    <row r="31051" spans="1:1">
      <c r="A31051" t="inlineStr">
        <is>
          <t>Barahan</t>
        </is>
      </c>
    </row>
    <row r="31052" spans="1:1">
      <c r="A31052" t="inlineStr">
        <is>
          <t>Casague</t>
        </is>
      </c>
    </row>
    <row r="31053" spans="1:1">
      <c r="A31053" t="inlineStr">
        <is>
          <t>Dayap</t>
        </is>
      </c>
    </row>
    <row r="31054" spans="1:1">
      <c r="A31054" t="inlineStr">
        <is>
          <t>Kurtinganan</t>
        </is>
      </c>
    </row>
    <row r="31055" spans="1:1">
      <c r="A31055" t="inlineStr">
        <is>
          <t>Lumangbayan</t>
        </is>
      </c>
    </row>
    <row r="31056" spans="1:1">
      <c r="A31056" t="inlineStr">
        <is>
          <t>Mulawin</t>
        </is>
      </c>
    </row>
    <row r="31057" spans="1:1">
      <c r="A31057" t="inlineStr">
        <is>
          <t>Pinagturilan</t>
        </is>
      </c>
    </row>
    <row r="31058" spans="1:1">
      <c r="A31058" t="inlineStr">
        <is>
          <t>Poblacion I</t>
        </is>
      </c>
    </row>
    <row r="31059" spans="1:1">
      <c r="A31059" t="inlineStr">
        <is>
          <t>Poblacion II</t>
        </is>
      </c>
    </row>
    <row r="31060" spans="1:1">
      <c r="A31060" t="inlineStr">
        <is>
          <t>San Vicente</t>
        </is>
      </c>
    </row>
    <row r="31061" spans="1:1">
      <c r="A31061" t="inlineStr">
        <is>
          <t>Alag</t>
        </is>
      </c>
    </row>
    <row r="31062" spans="1:1">
      <c r="A31062" t="inlineStr">
        <is>
          <t>Bangkatan</t>
        </is>
      </c>
    </row>
    <row r="31063" spans="1:1">
      <c r="A31063" t="inlineStr">
        <is>
          <t>Baras</t>
        </is>
      </c>
    </row>
    <row r="31064" spans="1:1">
      <c r="A31064" t="inlineStr">
        <is>
          <t>Bayanan</t>
        </is>
      </c>
    </row>
    <row r="31065" spans="1:1">
      <c r="A31065" t="inlineStr">
        <is>
          <t>Burbuli</t>
        </is>
      </c>
    </row>
    <row r="31066" spans="1:1">
      <c r="A31066" t="inlineStr">
        <is>
          <t>Catwiran I</t>
        </is>
      </c>
    </row>
    <row r="31067" spans="1:1">
      <c r="A31067" t="inlineStr">
        <is>
          <t>Catwiran II</t>
        </is>
      </c>
    </row>
    <row r="31068" spans="1:1">
      <c r="A31068" t="inlineStr">
        <is>
          <t>Dulangan I</t>
        </is>
      </c>
    </row>
    <row r="31069" spans="1:1">
      <c r="A31069" t="inlineStr">
        <is>
          <t>Dulangan II</t>
        </is>
      </c>
    </row>
    <row r="31070" spans="1:1">
      <c r="A31070" t="inlineStr">
        <is>
          <t>Lantuyang</t>
        </is>
      </c>
    </row>
    <row r="31071" spans="1:1">
      <c r="A31071" t="inlineStr">
        <is>
          <t>Lumang Bayan</t>
        </is>
      </c>
    </row>
    <row r="31072" spans="1:1">
      <c r="A31072" t="inlineStr">
        <is>
          <t>Malapad</t>
        </is>
      </c>
    </row>
    <row r="31073" spans="1:1">
      <c r="A31073" t="inlineStr">
        <is>
          <t>Mangangan I</t>
        </is>
      </c>
    </row>
    <row r="31074" spans="1:1">
      <c r="A31074" t="inlineStr">
        <is>
          <t>Mangangan II</t>
        </is>
      </c>
    </row>
    <row r="31075" spans="1:1">
      <c r="A31075" t="inlineStr">
        <is>
          <t>Mayabig</t>
        </is>
      </c>
    </row>
    <row r="31076" spans="1:1">
      <c r="A31076" t="inlineStr">
        <is>
          <t>Pambisan</t>
        </is>
      </c>
    </row>
    <row r="31077" spans="1:1">
      <c r="A31077" t="inlineStr">
        <is>
          <t>Poblacion</t>
        </is>
      </c>
    </row>
    <row r="31078" spans="1:1">
      <c r="A31078" t="inlineStr">
        <is>
          <t>Pulang-Tubig</t>
        </is>
      </c>
    </row>
    <row r="31079" spans="1:1">
      <c r="A31079" t="inlineStr">
        <is>
          <t>Putican-Cabulo</t>
        </is>
      </c>
    </row>
    <row r="31080" spans="1:1">
      <c r="A31080" t="inlineStr">
        <is>
          <t>San Andres</t>
        </is>
      </c>
    </row>
    <row r="31081" spans="1:1">
      <c r="A31081" t="inlineStr">
        <is>
          <t>San Ignacio</t>
        </is>
      </c>
    </row>
    <row r="31082" spans="1:1">
      <c r="A31082" t="inlineStr">
        <is>
          <t>Santa Cruz</t>
        </is>
      </c>
    </row>
    <row r="31083" spans="1:1">
      <c r="A31083" t="inlineStr">
        <is>
          <t>Santa Rosa I</t>
        </is>
      </c>
    </row>
    <row r="31084" spans="1:1">
      <c r="A31084" t="inlineStr">
        <is>
          <t>Santa Rosa II</t>
        </is>
      </c>
    </row>
    <row r="31085" spans="1:1">
      <c r="A31085" t="inlineStr">
        <is>
          <t>Tabon-tabon</t>
        </is>
      </c>
    </row>
    <row r="31086" spans="1:1">
      <c r="A31086" t="inlineStr">
        <is>
          <t>Tagumpay</t>
        </is>
      </c>
    </row>
    <row r="31087" spans="1:1">
      <c r="A31087" t="inlineStr">
        <is>
          <t>Water</t>
        </is>
      </c>
    </row>
    <row r="31088" spans="1:1">
      <c r="A31088" t="inlineStr">
        <is>
          <t>Alcadesma</t>
        </is>
      </c>
    </row>
    <row r="31089" spans="1:1">
      <c r="A31089" t="inlineStr">
        <is>
          <t>Bato</t>
        </is>
      </c>
    </row>
    <row r="31090" spans="1:1">
      <c r="A31090" t="inlineStr">
        <is>
          <t>Conrazon</t>
        </is>
      </c>
    </row>
    <row r="31091" spans="1:1">
      <c r="A31091" t="inlineStr">
        <is>
          <t>Malo</t>
        </is>
      </c>
    </row>
    <row r="31092" spans="1:1">
      <c r="A31092" t="inlineStr">
        <is>
          <t>Manihala</t>
        </is>
      </c>
    </row>
    <row r="31093" spans="1:1">
      <c r="A31093" t="inlineStr">
        <is>
          <t>Pag-Asa</t>
        </is>
      </c>
    </row>
    <row r="31094" spans="1:1">
      <c r="A31094" t="inlineStr">
        <is>
          <t>Poblacion</t>
        </is>
      </c>
    </row>
    <row r="31095" spans="1:1">
      <c r="A31095" t="inlineStr">
        <is>
          <t>Proper Bansud</t>
        </is>
      </c>
    </row>
    <row r="31096" spans="1:1">
      <c r="A31096" t="inlineStr">
        <is>
          <t>Proper Tiguisan</t>
        </is>
      </c>
    </row>
    <row r="31097" spans="1:1">
      <c r="A31097" t="inlineStr">
        <is>
          <t>Rosacara</t>
        </is>
      </c>
    </row>
    <row r="31098" spans="1:1">
      <c r="A31098" t="inlineStr">
        <is>
          <t>Salcedo</t>
        </is>
      </c>
    </row>
    <row r="31099" spans="1:1">
      <c r="A31099" t="inlineStr">
        <is>
          <t>Sumagui</t>
        </is>
      </c>
    </row>
    <row r="31100" spans="1:1">
      <c r="A31100" t="inlineStr">
        <is>
          <t>Villa Pag-Asa</t>
        </is>
      </c>
    </row>
    <row r="31101" spans="1:1">
      <c r="A31101" t="inlineStr">
        <is>
          <t>Anilao</t>
        </is>
      </c>
    </row>
    <row r="31102" spans="1:1">
      <c r="A31102" t="inlineStr">
        <is>
          <t>Aplaya</t>
        </is>
      </c>
    </row>
    <row r="31103" spans="1:1">
      <c r="A31103" t="inlineStr">
        <is>
          <t>Bagumbayan I</t>
        </is>
      </c>
    </row>
    <row r="31104" spans="1:1">
      <c r="A31104" t="inlineStr">
        <is>
          <t>Bagumbayan II</t>
        </is>
      </c>
    </row>
    <row r="31105" spans="1:1">
      <c r="A31105" t="inlineStr">
        <is>
          <t>Batangan</t>
        </is>
      </c>
    </row>
    <row r="31106" spans="1:1">
      <c r="A31106" t="inlineStr">
        <is>
          <t>Bukal</t>
        </is>
      </c>
    </row>
    <row r="31107" spans="1:1">
      <c r="A31107" t="inlineStr">
        <is>
          <t>Camantigue</t>
        </is>
      </c>
    </row>
    <row r="31108" spans="1:1">
      <c r="A31108" t="inlineStr">
        <is>
          <t>Carmundo</t>
        </is>
      </c>
    </row>
    <row r="31109" spans="1:1">
      <c r="A31109" t="inlineStr">
        <is>
          <t>Cawayan</t>
        </is>
      </c>
    </row>
    <row r="31110" spans="1:1">
      <c r="A31110" t="inlineStr">
        <is>
          <t>Dayhagan</t>
        </is>
      </c>
    </row>
    <row r="31111" spans="1:1">
      <c r="A31111" t="inlineStr">
        <is>
          <t>Formon</t>
        </is>
      </c>
    </row>
    <row r="31112" spans="1:1">
      <c r="A31112" t="inlineStr">
        <is>
          <t>Hagan</t>
        </is>
      </c>
    </row>
    <row r="31113" spans="1:1">
      <c r="A31113" t="inlineStr">
        <is>
          <t>Hagupit</t>
        </is>
      </c>
    </row>
    <row r="31114" spans="1:1">
      <c r="A31114" t="inlineStr">
        <is>
          <t>Ipil</t>
        </is>
      </c>
    </row>
    <row r="31115" spans="1:1">
      <c r="A31115" t="inlineStr">
        <is>
          <t>Kaligtasan</t>
        </is>
      </c>
    </row>
    <row r="31116" spans="1:1">
      <c r="A31116" t="inlineStr">
        <is>
          <t>Labasan</t>
        </is>
      </c>
    </row>
    <row r="31117" spans="1:1">
      <c r="A31117" t="inlineStr">
        <is>
          <t>Labonan</t>
        </is>
      </c>
    </row>
    <row r="31118" spans="1:1">
      <c r="A31118" t="inlineStr">
        <is>
          <t>Libertad</t>
        </is>
      </c>
    </row>
    <row r="31119" spans="1:1">
      <c r="A31119" t="inlineStr">
        <is>
          <t>Lisap</t>
        </is>
      </c>
    </row>
    <row r="31120" spans="1:1">
      <c r="A31120" t="inlineStr">
        <is>
          <t>Luna</t>
        </is>
      </c>
    </row>
    <row r="31121" spans="1:1">
      <c r="A31121" t="inlineStr">
        <is>
          <t>Malitbog</t>
        </is>
      </c>
    </row>
    <row r="31122" spans="1:1">
      <c r="A31122" t="inlineStr">
        <is>
          <t>Mapang</t>
        </is>
      </c>
    </row>
    <row r="31123" spans="1:1">
      <c r="A31123" t="inlineStr">
        <is>
          <t>Masaguisi</t>
        </is>
      </c>
    </row>
    <row r="31124" spans="1:1">
      <c r="A31124" t="inlineStr">
        <is>
          <t>Mina de Oro</t>
        </is>
      </c>
    </row>
    <row r="31125" spans="1:1">
      <c r="A31125" t="inlineStr">
        <is>
          <t>Morente</t>
        </is>
      </c>
    </row>
    <row r="31126" spans="1:1">
      <c r="A31126" t="inlineStr">
        <is>
          <t>Ogbot</t>
        </is>
      </c>
    </row>
    <row r="31127" spans="1:1">
      <c r="A31127" t="inlineStr">
        <is>
          <t>Orconuma</t>
        </is>
      </c>
    </row>
    <row r="31128" spans="1:1">
      <c r="A31128" t="inlineStr">
        <is>
          <t>Poblacion</t>
        </is>
      </c>
    </row>
    <row r="31129" spans="1:1">
      <c r="A31129" t="inlineStr">
        <is>
          <t>Polusahi</t>
        </is>
      </c>
    </row>
    <row r="31130" spans="1:1">
      <c r="A31130" t="inlineStr">
        <is>
          <t>Sagana</t>
        </is>
      </c>
    </row>
    <row r="31131" spans="1:1">
      <c r="A31131" t="inlineStr">
        <is>
          <t>San Isidro</t>
        </is>
      </c>
    </row>
    <row r="31132" spans="1:1">
      <c r="A31132" t="inlineStr">
        <is>
          <t>San Jose</t>
        </is>
      </c>
    </row>
    <row r="31133" spans="1:1">
      <c r="A31133" t="inlineStr">
        <is>
          <t>San Juan</t>
        </is>
      </c>
    </row>
    <row r="31134" spans="1:1">
      <c r="A31134" t="inlineStr">
        <is>
          <t>Santa Cruz</t>
        </is>
      </c>
    </row>
    <row r="31135" spans="1:1">
      <c r="A31135" t="inlineStr">
        <is>
          <t>Sigange</t>
        </is>
      </c>
    </row>
    <row r="31136" spans="1:1">
      <c r="A31136" t="inlineStr">
        <is>
          <t>Tawas</t>
        </is>
      </c>
    </row>
    <row r="31137" spans="1:1">
      <c r="A31137" t="inlineStr">
        <is>
          <t>Bagong Sikat</t>
        </is>
      </c>
    </row>
    <row r="31138" spans="1:1">
      <c r="A31138" t="inlineStr">
        <is>
          <t>Balatasan</t>
        </is>
      </c>
    </row>
    <row r="31139" spans="1:1">
      <c r="A31139" t="inlineStr">
        <is>
          <t>Benli</t>
        </is>
      </c>
    </row>
    <row r="31140" spans="1:1">
      <c r="A31140" t="inlineStr">
        <is>
          <t>Cabugao</t>
        </is>
      </c>
    </row>
    <row r="31141" spans="1:1">
      <c r="A31141" t="inlineStr">
        <is>
          <t>Cambunang</t>
        </is>
      </c>
    </row>
    <row r="31142" spans="1:1">
      <c r="A31142" t="inlineStr">
        <is>
          <t>Campaasan</t>
        </is>
      </c>
    </row>
    <row r="31143" spans="1:1">
      <c r="A31143" t="inlineStr">
        <is>
          <t>Maasin</t>
        </is>
      </c>
    </row>
    <row r="31144" spans="1:1">
      <c r="A31144" t="inlineStr">
        <is>
          <t>Maujao</t>
        </is>
      </c>
    </row>
    <row r="31145" spans="1:1">
      <c r="A31145" t="inlineStr">
        <is>
          <t>Milagrosa</t>
        </is>
      </c>
    </row>
    <row r="31146" spans="1:1">
      <c r="A31146" t="inlineStr">
        <is>
          <t>Nasukob</t>
        </is>
      </c>
    </row>
    <row r="31147" spans="1:1">
      <c r="A31147" t="inlineStr">
        <is>
          <t>Poblacion</t>
        </is>
      </c>
    </row>
    <row r="31148" spans="1:1">
      <c r="A31148" t="inlineStr">
        <is>
          <t>San Francisco</t>
        </is>
      </c>
    </row>
    <row r="31149" spans="1:1">
      <c r="A31149" t="inlineStr">
        <is>
          <t>San Isidro</t>
        </is>
      </c>
    </row>
    <row r="31150" spans="1:1">
      <c r="A31150" t="inlineStr">
        <is>
          <t>San Juan</t>
        </is>
      </c>
    </row>
    <row r="31151" spans="1:1">
      <c r="A31151" t="inlineStr">
        <is>
          <t>San Roque</t>
        </is>
      </c>
    </row>
    <row r="31152" spans="1:1">
      <c r="A31152" t="inlineStr">
        <is>
          <t>Balingayan</t>
        </is>
      </c>
    </row>
    <row r="31153" spans="1:1">
      <c r="A31153" t="inlineStr">
        <is>
          <t>Balite</t>
        </is>
      </c>
    </row>
    <row r="31154" spans="1:1">
      <c r="A31154" t="inlineStr">
        <is>
          <t>Baruyan</t>
        </is>
      </c>
    </row>
    <row r="31155" spans="1:1">
      <c r="A31155" t="inlineStr">
        <is>
          <t>Batino</t>
        </is>
      </c>
    </row>
    <row r="31156" spans="1:1">
      <c r="A31156" t="inlineStr">
        <is>
          <t>Bayanan I</t>
        </is>
      </c>
    </row>
    <row r="31157" spans="1:1">
      <c r="A31157" t="inlineStr">
        <is>
          <t>Bayanan II</t>
        </is>
      </c>
    </row>
    <row r="31158" spans="1:1">
      <c r="A31158" t="inlineStr">
        <is>
          <t>Biga</t>
        </is>
      </c>
    </row>
    <row r="31159" spans="1:1">
      <c r="A31159" t="inlineStr">
        <is>
          <t>Bondoc</t>
        </is>
      </c>
    </row>
    <row r="31160" spans="1:1">
      <c r="A31160" t="inlineStr">
        <is>
          <t>Bucayao</t>
        </is>
      </c>
    </row>
    <row r="31161" spans="1:1">
      <c r="A31161" t="inlineStr">
        <is>
          <t>Buhuan</t>
        </is>
      </c>
    </row>
    <row r="31162" spans="1:1">
      <c r="A31162" t="inlineStr">
        <is>
          <t>Bulusan</t>
        </is>
      </c>
    </row>
    <row r="31163" spans="1:1">
      <c r="A31163" t="inlineStr">
        <is>
          <t>Calero</t>
        </is>
      </c>
    </row>
    <row r="31164" spans="1:1">
      <c r="A31164" t="inlineStr">
        <is>
          <t>Camansihan</t>
        </is>
      </c>
    </row>
    <row r="31165" spans="1:1">
      <c r="A31165" t="inlineStr">
        <is>
          <t>Camilmil</t>
        </is>
      </c>
    </row>
    <row r="31166" spans="1:1">
      <c r="A31166" t="inlineStr">
        <is>
          <t>Canubing I</t>
        </is>
      </c>
    </row>
    <row r="31167" spans="1:1">
      <c r="A31167" t="inlineStr">
        <is>
          <t>Canubing II</t>
        </is>
      </c>
    </row>
    <row r="31168" spans="1:1">
      <c r="A31168" t="inlineStr">
        <is>
          <t>Comunal</t>
        </is>
      </c>
    </row>
    <row r="31169" spans="1:1">
      <c r="A31169" t="inlineStr">
        <is>
          <t>Guinobatan</t>
        </is>
      </c>
    </row>
    <row r="31170" spans="1:1">
      <c r="A31170" t="inlineStr">
        <is>
          <t>Gulod</t>
        </is>
      </c>
    </row>
    <row r="31171" spans="1:1">
      <c r="A31171" t="inlineStr">
        <is>
          <t>Gutad</t>
        </is>
      </c>
    </row>
    <row r="31172" spans="1:1">
      <c r="A31172" t="inlineStr">
        <is>
          <t>Ibaba East</t>
        </is>
      </c>
    </row>
    <row r="31173" spans="1:1">
      <c r="A31173" t="inlineStr">
        <is>
          <t>Ibaba West</t>
        </is>
      </c>
    </row>
    <row r="31174" spans="1:1">
      <c r="A31174" t="inlineStr">
        <is>
          <t>Ilaya</t>
        </is>
      </c>
    </row>
    <row r="31175" spans="1:1">
      <c r="A31175" t="inlineStr">
        <is>
          <t>Lalud</t>
        </is>
      </c>
    </row>
    <row r="31176" spans="1:1">
      <c r="A31176" t="inlineStr">
        <is>
          <t>Lazareto</t>
        </is>
      </c>
    </row>
    <row r="31177" spans="1:1">
      <c r="A31177" t="inlineStr">
        <is>
          <t>Libis</t>
        </is>
      </c>
    </row>
    <row r="31178" spans="1:1">
      <c r="A31178" t="inlineStr">
        <is>
          <t>Lumangbayan</t>
        </is>
      </c>
    </row>
    <row r="31179" spans="1:1">
      <c r="A31179" t="inlineStr">
        <is>
          <t>Mahal Na Pangalan</t>
        </is>
      </c>
    </row>
    <row r="31180" spans="1:1">
      <c r="A31180" t="inlineStr">
        <is>
          <t>Maidlang</t>
        </is>
      </c>
    </row>
    <row r="31181" spans="1:1">
      <c r="A31181" t="inlineStr">
        <is>
          <t>Malad</t>
        </is>
      </c>
    </row>
    <row r="31182" spans="1:1">
      <c r="A31182" t="inlineStr">
        <is>
          <t>Malamig</t>
        </is>
      </c>
    </row>
    <row r="31183" spans="1:1">
      <c r="A31183" t="inlineStr">
        <is>
          <t>Managpi</t>
        </is>
      </c>
    </row>
    <row r="31184" spans="1:1">
      <c r="A31184" t="inlineStr">
        <is>
          <t>Masipit</t>
        </is>
      </c>
    </row>
    <row r="31185" spans="1:1">
      <c r="A31185" t="inlineStr">
        <is>
          <t>Nag-Iba I</t>
        </is>
      </c>
    </row>
    <row r="31186" spans="1:1">
      <c r="A31186" t="inlineStr">
        <is>
          <t>Nag-Iba II</t>
        </is>
      </c>
    </row>
    <row r="31187" spans="1:1">
      <c r="A31187" t="inlineStr">
        <is>
          <t>Navotas</t>
        </is>
      </c>
    </row>
    <row r="31188" spans="1:1">
      <c r="A31188" t="inlineStr">
        <is>
          <t>Pachoca</t>
        </is>
      </c>
    </row>
    <row r="31189" spans="1:1">
      <c r="A31189" t="inlineStr">
        <is>
          <t>Palhi</t>
        </is>
      </c>
    </row>
    <row r="31190" spans="1:1">
      <c r="A31190" t="inlineStr">
        <is>
          <t>Panggalaan</t>
        </is>
      </c>
    </row>
    <row r="31191" spans="1:1">
      <c r="A31191" t="inlineStr">
        <is>
          <t>Parang</t>
        </is>
      </c>
    </row>
    <row r="31192" spans="1:1">
      <c r="A31192" t="inlineStr">
        <is>
          <t>Patas</t>
        </is>
      </c>
    </row>
    <row r="31193" spans="1:1">
      <c r="A31193" t="inlineStr">
        <is>
          <t>Personas</t>
        </is>
      </c>
    </row>
    <row r="31194" spans="1:1">
      <c r="A31194" t="inlineStr">
        <is>
          <t>Puting Tubig</t>
        </is>
      </c>
    </row>
    <row r="31195" spans="1:1">
      <c r="A31195" t="inlineStr">
        <is>
          <t>Salong</t>
        </is>
      </c>
    </row>
    <row r="31196" spans="1:1">
      <c r="A31196" t="inlineStr">
        <is>
          <t>San Antonio</t>
        </is>
      </c>
    </row>
    <row r="31197" spans="1:1">
      <c r="A31197" t="inlineStr">
        <is>
          <t>San Vicente Central</t>
        </is>
      </c>
    </row>
    <row r="31198" spans="1:1">
      <c r="A31198" t="inlineStr">
        <is>
          <t>San Vicente East</t>
        </is>
      </c>
    </row>
    <row r="31199" spans="1:1">
      <c r="A31199" t="inlineStr">
        <is>
          <t>San Vicente North</t>
        </is>
      </c>
    </row>
    <row r="31200" spans="1:1">
      <c r="A31200" t="inlineStr">
        <is>
          <t>San Vicente South</t>
        </is>
      </c>
    </row>
    <row r="31201" spans="1:1">
      <c r="A31201" t="inlineStr">
        <is>
          <t>San Vicente West</t>
        </is>
      </c>
    </row>
    <row r="31202" spans="1:1">
      <c r="A31202" t="inlineStr">
        <is>
          <t>Sapul</t>
        </is>
      </c>
    </row>
    <row r="31203" spans="1:1">
      <c r="A31203" t="inlineStr">
        <is>
          <t>Silonay</t>
        </is>
      </c>
    </row>
    <row r="31204" spans="1:1">
      <c r="A31204" t="inlineStr">
        <is>
          <t>Sta. Cruz</t>
        </is>
      </c>
    </row>
    <row r="31205" spans="1:1">
      <c r="A31205" t="inlineStr">
        <is>
          <t>Sta. Isabel</t>
        </is>
      </c>
    </row>
    <row r="31206" spans="1:1">
      <c r="A31206" t="inlineStr">
        <is>
          <t>Sta. Maria Village</t>
        </is>
      </c>
    </row>
    <row r="31207" spans="1:1">
      <c r="A31207" t="inlineStr">
        <is>
          <t>Sta. Rita</t>
        </is>
      </c>
    </row>
    <row r="31208" spans="1:1">
      <c r="A31208" t="inlineStr">
        <is>
          <t>Sto. Niño</t>
        </is>
      </c>
    </row>
    <row r="31209" spans="1:1">
      <c r="A31209" t="inlineStr">
        <is>
          <t>Suqui</t>
        </is>
      </c>
    </row>
    <row r="31210" spans="1:1">
      <c r="A31210" t="inlineStr">
        <is>
          <t>Tawagan</t>
        </is>
      </c>
    </row>
    <row r="31211" spans="1:1">
      <c r="A31211" t="inlineStr">
        <is>
          <t>Tawiran</t>
        </is>
      </c>
    </row>
    <row r="31212" spans="1:1">
      <c r="A31212" t="inlineStr">
        <is>
          <t>Tibag</t>
        </is>
      </c>
    </row>
    <row r="31213" spans="1:1">
      <c r="A31213" t="inlineStr">
        <is>
          <t>Wawa</t>
        </is>
      </c>
    </row>
    <row r="31214" spans="1:1">
      <c r="A31214" t="inlineStr">
        <is>
          <t>Agos</t>
        </is>
      </c>
    </row>
    <row r="31215" spans="1:1">
      <c r="A31215" t="inlineStr">
        <is>
          <t>Agsalin</t>
        </is>
      </c>
    </row>
    <row r="31216" spans="1:1">
      <c r="A31216" t="inlineStr">
        <is>
          <t>Alma Villa</t>
        </is>
      </c>
    </row>
    <row r="31217" spans="1:1">
      <c r="A31217" t="inlineStr">
        <is>
          <t>Andres Bonifacio</t>
        </is>
      </c>
    </row>
    <row r="31218" spans="1:1">
      <c r="A31218" t="inlineStr">
        <is>
          <t>Balete</t>
        </is>
      </c>
    </row>
    <row r="31219" spans="1:1">
      <c r="A31219" t="inlineStr">
        <is>
          <t>Banus</t>
        </is>
      </c>
    </row>
    <row r="31220" spans="1:1">
      <c r="A31220" t="inlineStr">
        <is>
          <t>Banutan</t>
        </is>
      </c>
    </row>
    <row r="31221" spans="1:1">
      <c r="A31221" t="inlineStr">
        <is>
          <t>Bulaklakan</t>
        </is>
      </c>
    </row>
    <row r="31222" spans="1:1">
      <c r="A31222" t="inlineStr">
        <is>
          <t>Buong Lupa</t>
        </is>
      </c>
    </row>
    <row r="31223" spans="1:1">
      <c r="A31223" t="inlineStr">
        <is>
          <t>Gaudencio Antonino</t>
        </is>
      </c>
    </row>
    <row r="31224" spans="1:1">
      <c r="A31224" t="inlineStr">
        <is>
          <t>Guimbonan</t>
        </is>
      </c>
    </row>
    <row r="31225" spans="1:1">
      <c r="A31225" t="inlineStr">
        <is>
          <t>Kawit</t>
        </is>
      </c>
    </row>
    <row r="31226" spans="1:1">
      <c r="A31226" t="inlineStr">
        <is>
          <t>Lucio Laurel</t>
        </is>
      </c>
    </row>
    <row r="31227" spans="1:1">
      <c r="A31227" t="inlineStr">
        <is>
          <t>Macario Adriatico</t>
        </is>
      </c>
    </row>
    <row r="31228" spans="1:1">
      <c r="A31228" t="inlineStr">
        <is>
          <t>Malamig</t>
        </is>
      </c>
    </row>
    <row r="31229" spans="1:1">
      <c r="A31229" t="inlineStr">
        <is>
          <t>Malayong</t>
        </is>
      </c>
    </row>
    <row r="31230" spans="1:1">
      <c r="A31230" t="inlineStr">
        <is>
          <t>Maligaya</t>
        </is>
      </c>
    </row>
    <row r="31231" spans="1:1">
      <c r="A31231" t="inlineStr">
        <is>
          <t>Malubay</t>
        </is>
      </c>
    </row>
    <row r="31232" spans="1:1">
      <c r="A31232" t="inlineStr">
        <is>
          <t>Manguyang</t>
        </is>
      </c>
    </row>
    <row r="31233" spans="1:1">
      <c r="A31233" t="inlineStr">
        <is>
          <t>Maragooc</t>
        </is>
      </c>
    </row>
    <row r="31234" spans="1:1">
      <c r="A31234" t="inlineStr">
        <is>
          <t>Mirayan</t>
        </is>
      </c>
    </row>
    <row r="31235" spans="1:1">
      <c r="A31235" t="inlineStr">
        <is>
          <t>Narra</t>
        </is>
      </c>
    </row>
    <row r="31236" spans="1:1">
      <c r="A31236" t="inlineStr">
        <is>
          <t>Papandungin</t>
        </is>
      </c>
    </row>
    <row r="31237" spans="1:1">
      <c r="A31237" t="inlineStr">
        <is>
          <t>San Antonio</t>
        </is>
      </c>
    </row>
    <row r="31238" spans="1:1">
      <c r="A31238" t="inlineStr">
        <is>
          <t>Santa Maria</t>
        </is>
      </c>
    </row>
    <row r="31239" spans="1:1">
      <c r="A31239" t="inlineStr">
        <is>
          <t>Santa Theresa</t>
        </is>
      </c>
    </row>
    <row r="31240" spans="1:1">
      <c r="A31240" t="inlineStr">
        <is>
          <t>Tambong</t>
        </is>
      </c>
    </row>
    <row r="31241" spans="1:1">
      <c r="A31241" t="inlineStr">
        <is>
          <t>B. Del Mundo</t>
        </is>
      </c>
    </row>
    <row r="31242" spans="1:1">
      <c r="A31242" t="inlineStr">
        <is>
          <t>Balugo</t>
        </is>
      </c>
    </row>
    <row r="31243" spans="1:1">
      <c r="A31243" t="inlineStr">
        <is>
          <t>Bonbon</t>
        </is>
      </c>
    </row>
    <row r="31244" spans="1:1">
      <c r="A31244" t="inlineStr">
        <is>
          <t>Budburan</t>
        </is>
      </c>
    </row>
    <row r="31245" spans="1:1">
      <c r="A31245" t="inlineStr">
        <is>
          <t>Cabalwa</t>
        </is>
      </c>
    </row>
    <row r="31246" spans="1:1">
      <c r="A31246" t="inlineStr">
        <is>
          <t>Don Pedro</t>
        </is>
      </c>
    </row>
    <row r="31247" spans="1:1">
      <c r="A31247" t="inlineStr">
        <is>
          <t>Maliwanag</t>
        </is>
      </c>
    </row>
    <row r="31248" spans="1:1">
      <c r="A31248" t="inlineStr">
        <is>
          <t>Manaul</t>
        </is>
      </c>
    </row>
    <row r="31249" spans="1:1">
      <c r="A31249" t="inlineStr">
        <is>
          <t>Panaytayan</t>
        </is>
      </c>
    </row>
    <row r="31250" spans="1:1">
      <c r="A31250" t="inlineStr">
        <is>
          <t>Poblacion</t>
        </is>
      </c>
    </row>
    <row r="31251" spans="1:1">
      <c r="A31251" t="inlineStr">
        <is>
          <t>Roma</t>
        </is>
      </c>
    </row>
    <row r="31252" spans="1:1">
      <c r="A31252" t="inlineStr">
        <is>
          <t>Santa Brigida</t>
        </is>
      </c>
    </row>
    <row r="31253" spans="1:1">
      <c r="A31253" t="inlineStr">
        <is>
          <t>Santa Maria</t>
        </is>
      </c>
    </row>
    <row r="31254" spans="1:1">
      <c r="A31254" t="inlineStr">
        <is>
          <t>Santa Teresita</t>
        </is>
      </c>
    </row>
    <row r="31255" spans="1:1">
      <c r="A31255" t="inlineStr">
        <is>
          <t>Villa Celestial</t>
        </is>
      </c>
    </row>
    <row r="31256" spans="1:1">
      <c r="A31256" t="inlineStr">
        <is>
          <t>Wasig</t>
        </is>
      </c>
    </row>
    <row r="31257" spans="1:1">
      <c r="A31257" t="inlineStr">
        <is>
          <t>Waygan</t>
        </is>
      </c>
    </row>
    <row r="31258" spans="1:1">
      <c r="A31258" t="inlineStr">
        <is>
          <t>Adrialuna</t>
        </is>
      </c>
    </row>
    <row r="31259" spans="1:1">
      <c r="A31259" t="inlineStr">
        <is>
          <t>Andres Ilagan</t>
        </is>
      </c>
    </row>
    <row r="31260" spans="1:1">
      <c r="A31260" t="inlineStr">
        <is>
          <t>Antipolo</t>
        </is>
      </c>
    </row>
    <row r="31261" spans="1:1">
      <c r="A31261" t="inlineStr">
        <is>
          <t>Apitong</t>
        </is>
      </c>
    </row>
    <row r="31262" spans="1:1">
      <c r="A31262" t="inlineStr">
        <is>
          <t>Arangin</t>
        </is>
      </c>
    </row>
    <row r="31263" spans="1:1">
      <c r="A31263" t="inlineStr">
        <is>
          <t>Aurora</t>
        </is>
      </c>
    </row>
    <row r="31264" spans="1:1">
      <c r="A31264" t="inlineStr">
        <is>
          <t>Bacungan</t>
        </is>
      </c>
    </row>
    <row r="31265" spans="1:1">
      <c r="A31265" t="inlineStr">
        <is>
          <t>Bagong Buhay</t>
        </is>
      </c>
    </row>
    <row r="31266" spans="1:1">
      <c r="A31266" t="inlineStr">
        <is>
          <t>Balite</t>
        </is>
      </c>
    </row>
    <row r="31267" spans="1:1">
      <c r="A31267" t="inlineStr">
        <is>
          <t>Bancuro</t>
        </is>
      </c>
    </row>
    <row r="31268" spans="1:1">
      <c r="A31268" t="inlineStr">
        <is>
          <t>Banuton</t>
        </is>
      </c>
    </row>
    <row r="31269" spans="1:1">
      <c r="A31269" t="inlineStr">
        <is>
          <t>Barcenaga</t>
        </is>
      </c>
    </row>
    <row r="31270" spans="1:1">
      <c r="A31270" t="inlineStr">
        <is>
          <t>Bayani</t>
        </is>
      </c>
    </row>
    <row r="31271" spans="1:1">
      <c r="A31271" t="inlineStr">
        <is>
          <t>Buhangin</t>
        </is>
      </c>
    </row>
    <row r="31272" spans="1:1">
      <c r="A31272" t="inlineStr">
        <is>
          <t>Caburo</t>
        </is>
      </c>
    </row>
    <row r="31273" spans="1:1">
      <c r="A31273" t="inlineStr">
        <is>
          <t>Concepcion</t>
        </is>
      </c>
    </row>
    <row r="31274" spans="1:1">
      <c r="A31274" t="inlineStr">
        <is>
          <t>Dao</t>
        </is>
      </c>
    </row>
    <row r="31275" spans="1:1">
      <c r="A31275" t="inlineStr">
        <is>
          <t>Del Pilar</t>
        </is>
      </c>
    </row>
    <row r="31276" spans="1:1">
      <c r="A31276" t="inlineStr">
        <is>
          <t>Estrella</t>
        </is>
      </c>
    </row>
    <row r="31277" spans="1:1">
      <c r="A31277" t="inlineStr">
        <is>
          <t>Evangelista</t>
        </is>
      </c>
    </row>
    <row r="31278" spans="1:1">
      <c r="A31278" t="inlineStr">
        <is>
          <t>Gamao</t>
        </is>
      </c>
    </row>
    <row r="31279" spans="1:1">
      <c r="A31279" t="inlineStr">
        <is>
          <t>General Esco</t>
        </is>
      </c>
    </row>
    <row r="31280" spans="1:1">
      <c r="A31280" t="inlineStr">
        <is>
          <t>Herrera</t>
        </is>
      </c>
    </row>
    <row r="31281" spans="1:1">
      <c r="A31281" t="inlineStr">
        <is>
          <t>Inarawan</t>
        </is>
      </c>
    </row>
    <row r="31282" spans="1:1">
      <c r="A31282" t="inlineStr">
        <is>
          <t>Kalinisan</t>
        </is>
      </c>
    </row>
    <row r="31283" spans="1:1">
      <c r="A31283" t="inlineStr">
        <is>
          <t>Laguna</t>
        </is>
      </c>
    </row>
    <row r="31284" spans="1:1">
      <c r="A31284" t="inlineStr">
        <is>
          <t>Mabini</t>
        </is>
      </c>
    </row>
    <row r="31285" spans="1:1">
      <c r="A31285" t="inlineStr">
        <is>
          <t>Magtibay</t>
        </is>
      </c>
    </row>
    <row r="31286" spans="1:1">
      <c r="A31286" t="inlineStr">
        <is>
          <t>Mahabang Parang</t>
        </is>
      </c>
    </row>
    <row r="31287" spans="1:1">
      <c r="A31287" t="inlineStr">
        <is>
          <t>Malaya</t>
        </is>
      </c>
    </row>
    <row r="31288" spans="1:1">
      <c r="A31288" t="inlineStr">
        <is>
          <t>Malinao</t>
        </is>
      </c>
    </row>
    <row r="31289" spans="1:1">
      <c r="A31289" t="inlineStr">
        <is>
          <t>Malvar</t>
        </is>
      </c>
    </row>
    <row r="31290" spans="1:1">
      <c r="A31290" t="inlineStr">
        <is>
          <t>Masagana</t>
        </is>
      </c>
    </row>
    <row r="31291" spans="1:1">
      <c r="A31291" t="inlineStr">
        <is>
          <t>Masaguing</t>
        </is>
      </c>
    </row>
    <row r="31292" spans="1:1">
      <c r="A31292" t="inlineStr">
        <is>
          <t>Melgar A</t>
        </is>
      </c>
    </row>
    <row r="31293" spans="1:1">
      <c r="A31293" t="inlineStr">
        <is>
          <t>Melgar B</t>
        </is>
      </c>
    </row>
    <row r="31294" spans="1:1">
      <c r="A31294" t="inlineStr">
        <is>
          <t>Metolza</t>
        </is>
      </c>
    </row>
    <row r="31295" spans="1:1">
      <c r="A31295" t="inlineStr">
        <is>
          <t>Montelago</t>
        </is>
      </c>
    </row>
    <row r="31296" spans="1:1">
      <c r="A31296" t="inlineStr">
        <is>
          <t>Montemayor</t>
        </is>
      </c>
    </row>
    <row r="31297" spans="1:1">
      <c r="A31297" t="inlineStr">
        <is>
          <t>Motoderazo</t>
        </is>
      </c>
    </row>
    <row r="31298" spans="1:1">
      <c r="A31298" t="inlineStr">
        <is>
          <t>Mulawin</t>
        </is>
      </c>
    </row>
    <row r="31299" spans="1:1">
      <c r="A31299" t="inlineStr">
        <is>
          <t>Nag-Iba I</t>
        </is>
      </c>
    </row>
    <row r="31300" spans="1:1">
      <c r="A31300" t="inlineStr">
        <is>
          <t>Nag-Iba II</t>
        </is>
      </c>
    </row>
    <row r="31301" spans="1:1">
      <c r="A31301" t="inlineStr">
        <is>
          <t>Pagkakaisa</t>
        </is>
      </c>
    </row>
    <row r="31302" spans="1:1">
      <c r="A31302" t="inlineStr">
        <is>
          <t>Paitan</t>
        </is>
      </c>
    </row>
    <row r="31303" spans="1:1">
      <c r="A31303" t="inlineStr">
        <is>
          <t>Paniquian</t>
        </is>
      </c>
    </row>
    <row r="31304" spans="1:1">
      <c r="A31304" t="inlineStr">
        <is>
          <t>Pinagsabangan I</t>
        </is>
      </c>
    </row>
    <row r="31305" spans="1:1">
      <c r="A31305" t="inlineStr">
        <is>
          <t>Pinagsabangan II</t>
        </is>
      </c>
    </row>
    <row r="31306" spans="1:1">
      <c r="A31306" t="inlineStr">
        <is>
          <t>Piñahan</t>
        </is>
      </c>
    </row>
    <row r="31307" spans="1:1">
      <c r="A31307" t="inlineStr">
        <is>
          <t>Poblacion I</t>
        </is>
      </c>
    </row>
    <row r="31308" spans="1:1">
      <c r="A31308" t="inlineStr">
        <is>
          <t>Poblacion II</t>
        </is>
      </c>
    </row>
    <row r="31309" spans="1:1">
      <c r="A31309" t="inlineStr">
        <is>
          <t>Poblacion III</t>
        </is>
      </c>
    </row>
    <row r="31310" spans="1:1">
      <c r="A31310" t="inlineStr">
        <is>
          <t>Sampaguita</t>
        </is>
      </c>
    </row>
    <row r="31311" spans="1:1">
      <c r="A31311" t="inlineStr">
        <is>
          <t>San Agustin I</t>
        </is>
      </c>
    </row>
    <row r="31312" spans="1:1">
      <c r="A31312" t="inlineStr">
        <is>
          <t>San Agustin II</t>
        </is>
      </c>
    </row>
    <row r="31313" spans="1:1">
      <c r="A31313" t="inlineStr">
        <is>
          <t>San Andres</t>
        </is>
      </c>
    </row>
    <row r="31314" spans="1:1">
      <c r="A31314" t="inlineStr">
        <is>
          <t>San Antonio</t>
        </is>
      </c>
    </row>
    <row r="31315" spans="1:1">
      <c r="A31315" t="inlineStr">
        <is>
          <t>San Carlos</t>
        </is>
      </c>
    </row>
    <row r="31316" spans="1:1">
      <c r="A31316" t="inlineStr">
        <is>
          <t>San Isidro</t>
        </is>
      </c>
    </row>
    <row r="31317" spans="1:1">
      <c r="A31317" t="inlineStr">
        <is>
          <t>San Jose</t>
        </is>
      </c>
    </row>
    <row r="31318" spans="1:1">
      <c r="A31318" t="inlineStr">
        <is>
          <t>San Luis</t>
        </is>
      </c>
    </row>
    <row r="31319" spans="1:1">
      <c r="A31319" t="inlineStr">
        <is>
          <t>San Nicolas</t>
        </is>
      </c>
    </row>
    <row r="31320" spans="1:1">
      <c r="A31320" t="inlineStr">
        <is>
          <t>San Pedro</t>
        </is>
      </c>
    </row>
    <row r="31321" spans="1:1">
      <c r="A31321" t="inlineStr">
        <is>
          <t>Santa Cruz</t>
        </is>
      </c>
    </row>
    <row r="31322" spans="1:1">
      <c r="A31322" t="inlineStr">
        <is>
          <t>Santa Isabel</t>
        </is>
      </c>
    </row>
    <row r="31323" spans="1:1">
      <c r="A31323" t="inlineStr">
        <is>
          <t>Santa Maria</t>
        </is>
      </c>
    </row>
    <row r="31324" spans="1:1">
      <c r="A31324" t="inlineStr">
        <is>
          <t>Santiago</t>
        </is>
      </c>
    </row>
    <row r="31325" spans="1:1">
      <c r="A31325" t="inlineStr">
        <is>
          <t>Santo Niño</t>
        </is>
      </c>
    </row>
    <row r="31326" spans="1:1">
      <c r="A31326" t="inlineStr">
        <is>
          <t>Tagumpay</t>
        </is>
      </c>
    </row>
    <row r="31327" spans="1:1">
      <c r="A31327" t="inlineStr">
        <is>
          <t>Tigkan</t>
        </is>
      </c>
    </row>
    <row r="31328" spans="1:1">
      <c r="A31328" t="inlineStr">
        <is>
          <t>Anoling</t>
        </is>
      </c>
    </row>
    <row r="31329" spans="1:1">
      <c r="A31329" t="inlineStr">
        <is>
          <t>Bacungan</t>
        </is>
      </c>
    </row>
    <row r="31330" spans="1:1">
      <c r="A31330" t="inlineStr">
        <is>
          <t>Bangbang</t>
        </is>
      </c>
    </row>
    <row r="31331" spans="1:1">
      <c r="A31331" t="inlineStr">
        <is>
          <t>Banilad</t>
        </is>
      </c>
    </row>
    <row r="31332" spans="1:1">
      <c r="A31332" t="inlineStr">
        <is>
          <t>Buli</t>
        </is>
      </c>
    </row>
    <row r="31333" spans="1:1">
      <c r="A31333" t="inlineStr">
        <is>
          <t>Cacawan</t>
        </is>
      </c>
    </row>
    <row r="31334" spans="1:1">
      <c r="A31334" t="inlineStr">
        <is>
          <t>Calingag</t>
        </is>
      </c>
    </row>
    <row r="31335" spans="1:1">
      <c r="A31335" t="inlineStr">
        <is>
          <t>Delrazon</t>
        </is>
      </c>
    </row>
    <row r="31336" spans="1:1">
      <c r="A31336" t="inlineStr">
        <is>
          <t>Guinhawa</t>
        </is>
      </c>
    </row>
    <row r="31337" spans="1:1">
      <c r="A31337" t="inlineStr">
        <is>
          <t>Inclanay</t>
        </is>
      </c>
    </row>
    <row r="31338" spans="1:1">
      <c r="A31338" t="inlineStr">
        <is>
          <t>Lumambayan</t>
        </is>
      </c>
    </row>
    <row r="31339" spans="1:1">
      <c r="A31339" t="inlineStr">
        <is>
          <t>Malaya</t>
        </is>
      </c>
    </row>
    <row r="31340" spans="1:1">
      <c r="A31340" t="inlineStr">
        <is>
          <t>Maliangcog</t>
        </is>
      </c>
    </row>
    <row r="31341" spans="1:1">
      <c r="A31341" t="inlineStr">
        <is>
          <t>Maningcol</t>
        </is>
      </c>
    </row>
    <row r="31342" spans="1:1">
      <c r="A31342" t="inlineStr">
        <is>
          <t>Marayos</t>
        </is>
      </c>
    </row>
    <row r="31343" spans="1:1">
      <c r="A31343" t="inlineStr">
        <is>
          <t>Marfrancisco</t>
        </is>
      </c>
    </row>
    <row r="31344" spans="1:1">
      <c r="A31344" t="inlineStr">
        <is>
          <t>Nabuslot</t>
        </is>
      </c>
    </row>
    <row r="31345" spans="1:1">
      <c r="A31345" t="inlineStr">
        <is>
          <t>Pagalagala</t>
        </is>
      </c>
    </row>
    <row r="31346" spans="1:1">
      <c r="A31346" t="inlineStr">
        <is>
          <t>Palayan</t>
        </is>
      </c>
    </row>
    <row r="31347" spans="1:1">
      <c r="A31347" t="inlineStr">
        <is>
          <t>Pambisan Malaki</t>
        </is>
      </c>
    </row>
    <row r="31348" spans="1:1">
      <c r="A31348" t="inlineStr">
        <is>
          <t>Pambisan Munti</t>
        </is>
      </c>
    </row>
    <row r="31349" spans="1:1">
      <c r="A31349" t="inlineStr">
        <is>
          <t>Panggulayan</t>
        </is>
      </c>
    </row>
    <row r="31350" spans="1:1">
      <c r="A31350" t="inlineStr">
        <is>
          <t>Papandayan</t>
        </is>
      </c>
    </row>
    <row r="31351" spans="1:1">
      <c r="A31351" t="inlineStr">
        <is>
          <t>Pili</t>
        </is>
      </c>
    </row>
    <row r="31352" spans="1:1">
      <c r="A31352" t="inlineStr">
        <is>
          <t>Quinabigan</t>
        </is>
      </c>
    </row>
    <row r="31353" spans="1:1">
      <c r="A31353" t="inlineStr">
        <is>
          <t>Ranzo</t>
        </is>
      </c>
    </row>
    <row r="31354" spans="1:1">
      <c r="A31354" t="inlineStr">
        <is>
          <t>Rosario</t>
        </is>
      </c>
    </row>
    <row r="31355" spans="1:1">
      <c r="A31355" t="inlineStr">
        <is>
          <t>Sabang</t>
        </is>
      </c>
    </row>
    <row r="31356" spans="1:1">
      <c r="A31356" t="inlineStr">
        <is>
          <t>Sta. Isabel</t>
        </is>
      </c>
    </row>
    <row r="31357" spans="1:1">
      <c r="A31357" t="inlineStr">
        <is>
          <t>Sta. Maria</t>
        </is>
      </c>
    </row>
    <row r="31358" spans="1:1">
      <c r="A31358" t="inlineStr">
        <is>
          <t>Sta. Rita</t>
        </is>
      </c>
    </row>
    <row r="31359" spans="1:1">
      <c r="A31359" t="inlineStr">
        <is>
          <t>Sto. Niño</t>
        </is>
      </c>
    </row>
    <row r="31360" spans="1:1">
      <c r="A31360" t="inlineStr">
        <is>
          <t>Wawa</t>
        </is>
      </c>
    </row>
    <row r="31361" spans="1:1">
      <c r="A31361" t="inlineStr">
        <is>
          <t>Zone I</t>
        </is>
      </c>
    </row>
    <row r="31362" spans="1:1">
      <c r="A31362" t="inlineStr">
        <is>
          <t>Zone II</t>
        </is>
      </c>
    </row>
    <row r="31363" spans="1:1">
      <c r="A31363" t="inlineStr">
        <is>
          <t>Zone III</t>
        </is>
      </c>
    </row>
    <row r="31364" spans="1:1">
      <c r="A31364" t="inlineStr">
        <is>
          <t>Zone IV</t>
        </is>
      </c>
    </row>
    <row r="31365" spans="1:1">
      <c r="A31365" t="inlineStr">
        <is>
          <t>Bacawan</t>
        </is>
      </c>
    </row>
    <row r="31366" spans="1:1">
      <c r="A31366" t="inlineStr">
        <is>
          <t>Bacungan</t>
        </is>
      </c>
    </row>
    <row r="31367" spans="1:1">
      <c r="A31367" t="inlineStr">
        <is>
          <t>Batuhan</t>
        </is>
      </c>
    </row>
    <row r="31368" spans="1:1">
      <c r="A31368" t="inlineStr">
        <is>
          <t>Bayanan</t>
        </is>
      </c>
    </row>
    <row r="31369" spans="1:1">
      <c r="A31369" t="inlineStr">
        <is>
          <t>Biga</t>
        </is>
      </c>
    </row>
    <row r="31370" spans="1:1">
      <c r="A31370" t="inlineStr">
        <is>
          <t>Buhay Na Tubig</t>
        </is>
      </c>
    </row>
    <row r="31371" spans="1:1">
      <c r="A31371" t="inlineStr">
        <is>
          <t>Calima</t>
        </is>
      </c>
    </row>
    <row r="31372" spans="1:1">
      <c r="A31372" t="inlineStr">
        <is>
          <t>Calubasanhon</t>
        </is>
      </c>
    </row>
    <row r="31373" spans="1:1">
      <c r="A31373" t="inlineStr">
        <is>
          <t>Campamento</t>
        </is>
      </c>
    </row>
    <row r="31374" spans="1:1">
      <c r="A31374" t="inlineStr">
        <is>
          <t>Casiligan</t>
        </is>
      </c>
    </row>
    <row r="31375" spans="1:1">
      <c r="A31375" t="inlineStr">
        <is>
          <t>Malibago</t>
        </is>
      </c>
    </row>
    <row r="31376" spans="1:1">
      <c r="A31376" t="inlineStr">
        <is>
          <t>Maluanluan</t>
        </is>
      </c>
    </row>
    <row r="31377" spans="1:1">
      <c r="A31377" t="inlineStr">
        <is>
          <t>Matulatula</t>
        </is>
      </c>
    </row>
    <row r="31378" spans="1:1">
      <c r="A31378" t="inlineStr">
        <is>
          <t>Misong</t>
        </is>
      </c>
    </row>
    <row r="31379" spans="1:1">
      <c r="A31379" t="inlineStr">
        <is>
          <t>Pahilahan</t>
        </is>
      </c>
    </row>
    <row r="31380" spans="1:1">
      <c r="A31380" t="inlineStr">
        <is>
          <t>Panikihan</t>
        </is>
      </c>
    </row>
    <row r="31381" spans="1:1">
      <c r="A31381" t="inlineStr">
        <is>
          <t>Pula</t>
        </is>
      </c>
    </row>
    <row r="31382" spans="1:1">
      <c r="A31382" t="inlineStr">
        <is>
          <t>Puting Cacao</t>
        </is>
      </c>
    </row>
    <row r="31383" spans="1:1">
      <c r="A31383" t="inlineStr">
        <is>
          <t>Tagbakin</t>
        </is>
      </c>
    </row>
    <row r="31384" spans="1:1">
      <c r="A31384" t="inlineStr">
        <is>
          <t>Tagumpay</t>
        </is>
      </c>
    </row>
    <row r="31385" spans="1:1">
      <c r="A31385" t="inlineStr">
        <is>
          <t>Tiguihan</t>
        </is>
      </c>
    </row>
    <row r="31386" spans="1:1">
      <c r="A31386" t="inlineStr">
        <is>
          <t>Zone I</t>
        </is>
      </c>
    </row>
    <row r="31387" spans="1:1">
      <c r="A31387" t="inlineStr">
        <is>
          <t>Zone II</t>
        </is>
      </c>
    </row>
    <row r="31388" spans="1:1">
      <c r="A31388" t="inlineStr">
        <is>
          <t>Aninuan</t>
        </is>
      </c>
    </row>
    <row r="31389" spans="1:1">
      <c r="A31389" t="inlineStr">
        <is>
          <t>Baclayan</t>
        </is>
      </c>
    </row>
    <row r="31390" spans="1:1">
      <c r="A31390" t="inlineStr">
        <is>
          <t>Balatero</t>
        </is>
      </c>
    </row>
    <row r="31391" spans="1:1">
      <c r="A31391" t="inlineStr">
        <is>
          <t>Dulangan</t>
        </is>
      </c>
    </row>
    <row r="31392" spans="1:1">
      <c r="A31392" t="inlineStr">
        <is>
          <t>Palangan</t>
        </is>
      </c>
    </row>
    <row r="31393" spans="1:1">
      <c r="A31393" t="inlineStr">
        <is>
          <t>Poblacion</t>
        </is>
      </c>
    </row>
    <row r="31394" spans="1:1">
      <c r="A31394" t="inlineStr">
        <is>
          <t>Sabang</t>
        </is>
      </c>
    </row>
    <row r="31395" spans="1:1">
      <c r="A31395" t="inlineStr">
        <is>
          <t>San Antonio</t>
        </is>
      </c>
    </row>
    <row r="31396" spans="1:1">
      <c r="A31396" t="inlineStr">
        <is>
          <t>San Isidro</t>
        </is>
      </c>
    </row>
    <row r="31397" spans="1:1">
      <c r="A31397" t="inlineStr">
        <is>
          <t>Santo Niño</t>
        </is>
      </c>
    </row>
    <row r="31398" spans="1:1">
      <c r="A31398" t="inlineStr">
        <is>
          <t>Sinandigan</t>
        </is>
      </c>
    </row>
    <row r="31399" spans="1:1">
      <c r="A31399" t="inlineStr">
        <is>
          <t>Tabinay</t>
        </is>
      </c>
    </row>
    <row r="31400" spans="1:1">
      <c r="A31400" t="inlineStr">
        <is>
          <t>Villaflor</t>
        </is>
      </c>
    </row>
    <row r="31401" spans="1:1">
      <c r="A31401" t="inlineStr">
        <is>
          <t>Bagumbayan</t>
        </is>
      </c>
    </row>
    <row r="31402" spans="1:1">
      <c r="A31402" t="inlineStr">
        <is>
          <t>Cantil</t>
        </is>
      </c>
    </row>
    <row r="31403" spans="1:1">
      <c r="A31403" t="inlineStr">
        <is>
          <t>Dangay</t>
        </is>
      </c>
    </row>
    <row r="31404" spans="1:1">
      <c r="A31404" t="inlineStr">
        <is>
          <t>Happy Valley</t>
        </is>
      </c>
    </row>
    <row r="31405" spans="1:1">
      <c r="A31405" t="inlineStr">
        <is>
          <t>Libertad</t>
        </is>
      </c>
    </row>
    <row r="31406" spans="1:1">
      <c r="A31406" t="inlineStr">
        <is>
          <t>Libtong</t>
        </is>
      </c>
    </row>
    <row r="31407" spans="1:1">
      <c r="A31407" t="inlineStr">
        <is>
          <t>Little Tanauan</t>
        </is>
      </c>
    </row>
    <row r="31408" spans="1:1">
      <c r="A31408" t="inlineStr">
        <is>
          <t>Mabuhay</t>
        </is>
      </c>
    </row>
    <row r="31409" spans="1:1">
      <c r="A31409" t="inlineStr">
        <is>
          <t>Maraska</t>
        </is>
      </c>
    </row>
    <row r="31410" spans="1:1">
      <c r="A31410" t="inlineStr">
        <is>
          <t>Odiong</t>
        </is>
      </c>
    </row>
    <row r="31411" spans="1:1">
      <c r="A31411" t="inlineStr">
        <is>
          <t>Paclasan</t>
        </is>
      </c>
    </row>
    <row r="31412" spans="1:1">
      <c r="A31412" t="inlineStr">
        <is>
          <t>San Aquilino</t>
        </is>
      </c>
    </row>
    <row r="31413" spans="1:1">
      <c r="A31413" t="inlineStr">
        <is>
          <t>San Isidro</t>
        </is>
      </c>
    </row>
    <row r="31414" spans="1:1">
      <c r="A31414" t="inlineStr">
        <is>
          <t>San Jose</t>
        </is>
      </c>
    </row>
    <row r="31415" spans="1:1">
      <c r="A31415" t="inlineStr">
        <is>
          <t>San Mariano</t>
        </is>
      </c>
    </row>
    <row r="31416" spans="1:1">
      <c r="A31416" t="inlineStr">
        <is>
          <t>San Miguel</t>
        </is>
      </c>
    </row>
    <row r="31417" spans="1:1">
      <c r="A31417" t="inlineStr">
        <is>
          <t>San Rafael</t>
        </is>
      </c>
    </row>
    <row r="31418" spans="1:1">
      <c r="A31418" t="inlineStr">
        <is>
          <t>San Vicente</t>
        </is>
      </c>
    </row>
    <row r="31419" spans="1:1">
      <c r="A31419" t="inlineStr">
        <is>
          <t>Uyao</t>
        </is>
      </c>
    </row>
    <row r="31420" spans="1:1">
      <c r="A31420" t="inlineStr">
        <is>
          <t>Victoria</t>
        </is>
      </c>
    </row>
    <row r="31421" spans="1:1">
      <c r="A31421" t="inlineStr">
        <is>
          <t>Bigaan</t>
        </is>
      </c>
    </row>
    <row r="31422" spans="1:1">
      <c r="A31422" t="inlineStr">
        <is>
          <t>Caagutayan</t>
        </is>
      </c>
    </row>
    <row r="31423" spans="1:1">
      <c r="A31423" t="inlineStr">
        <is>
          <t>Calangatan</t>
        </is>
      </c>
    </row>
    <row r="31424" spans="1:1">
      <c r="A31424" t="inlineStr">
        <is>
          <t>Calsapa</t>
        </is>
      </c>
    </row>
    <row r="31425" spans="1:1">
      <c r="A31425" t="inlineStr">
        <is>
          <t>Ilag</t>
        </is>
      </c>
    </row>
    <row r="31426" spans="1:1">
      <c r="A31426" t="inlineStr">
        <is>
          <t>Lumangbayan</t>
        </is>
      </c>
    </row>
    <row r="31427" spans="1:1">
      <c r="A31427" t="inlineStr">
        <is>
          <t>Poblacion</t>
        </is>
      </c>
    </row>
    <row r="31428" spans="1:1">
      <c r="A31428" t="inlineStr">
        <is>
          <t>Tacligan</t>
        </is>
      </c>
    </row>
    <row r="31429" spans="1:1">
      <c r="A31429" t="inlineStr">
        <is>
          <t>Bagsok</t>
        </is>
      </c>
    </row>
    <row r="31430" spans="1:1">
      <c r="A31430" t="inlineStr">
        <is>
          <t>Batong Dalig</t>
        </is>
      </c>
    </row>
    <row r="31431" spans="1:1">
      <c r="A31431" t="inlineStr">
        <is>
          <t>Bayuin</t>
        </is>
      </c>
    </row>
    <row r="31432" spans="1:1">
      <c r="A31432" t="inlineStr">
        <is>
          <t>Bugtong Na Tuog</t>
        </is>
      </c>
    </row>
    <row r="31433" spans="1:1">
      <c r="A31433" t="inlineStr">
        <is>
          <t>Calocmoy</t>
        </is>
      </c>
    </row>
    <row r="31434" spans="1:1">
      <c r="A31434" t="inlineStr">
        <is>
          <t>Calubayan</t>
        </is>
      </c>
    </row>
    <row r="31435" spans="1:1">
      <c r="A31435" t="inlineStr">
        <is>
          <t>Catiningan</t>
        </is>
      </c>
    </row>
    <row r="31436" spans="1:1">
      <c r="A31436" t="inlineStr">
        <is>
          <t>Fortuna</t>
        </is>
      </c>
    </row>
    <row r="31437" spans="1:1">
      <c r="A31437" t="inlineStr">
        <is>
          <t>Happy Valley</t>
        </is>
      </c>
    </row>
    <row r="31438" spans="1:1">
      <c r="A31438" t="inlineStr">
        <is>
          <t>Leuteboro I</t>
        </is>
      </c>
    </row>
    <row r="31439" spans="1:1">
      <c r="A31439" t="inlineStr">
        <is>
          <t>Leuteboro II</t>
        </is>
      </c>
    </row>
    <row r="31440" spans="1:1">
      <c r="A31440" t="inlineStr">
        <is>
          <t>Ma. Concepcion</t>
        </is>
      </c>
    </row>
    <row r="31441" spans="1:1">
      <c r="A31441" t="inlineStr">
        <is>
          <t>Mabuhay I</t>
        </is>
      </c>
    </row>
    <row r="31442" spans="1:1">
      <c r="A31442" t="inlineStr">
        <is>
          <t>Mabuhay II</t>
        </is>
      </c>
    </row>
    <row r="31443" spans="1:1">
      <c r="A31443" t="inlineStr">
        <is>
          <t>Malugay</t>
        </is>
      </c>
    </row>
    <row r="31444" spans="1:1">
      <c r="A31444" t="inlineStr">
        <is>
          <t>Matungao</t>
        </is>
      </c>
    </row>
    <row r="31445" spans="1:1">
      <c r="A31445" t="inlineStr">
        <is>
          <t>Monteverde</t>
        </is>
      </c>
    </row>
    <row r="31446" spans="1:1">
      <c r="A31446" t="inlineStr">
        <is>
          <t>Pasi I</t>
        </is>
      </c>
    </row>
    <row r="31447" spans="1:1">
      <c r="A31447" t="inlineStr">
        <is>
          <t>Pasi II</t>
        </is>
      </c>
    </row>
    <row r="31448" spans="1:1">
      <c r="A31448" t="inlineStr">
        <is>
          <t>Santo Domingo</t>
        </is>
      </c>
    </row>
    <row r="31449" spans="1:1">
      <c r="A31449" t="inlineStr">
        <is>
          <t>Subaan</t>
        </is>
      </c>
    </row>
    <row r="31450" spans="1:1">
      <c r="A31450" t="inlineStr">
        <is>
          <t>Villareal</t>
        </is>
      </c>
    </row>
    <row r="31451" spans="1:1">
      <c r="A31451" t="inlineStr">
        <is>
          <t>Zone I</t>
        </is>
      </c>
    </row>
    <row r="31452" spans="1:1">
      <c r="A31452" t="inlineStr">
        <is>
          <t>Zone II</t>
        </is>
      </c>
    </row>
    <row r="31453" spans="1:1">
      <c r="A31453" t="inlineStr">
        <is>
          <t>Zone III</t>
        </is>
      </c>
    </row>
    <row r="31454" spans="1:1">
      <c r="A31454" t="inlineStr">
        <is>
          <t>Zone IV</t>
        </is>
      </c>
    </row>
    <row r="31455" spans="1:1">
      <c r="A31455" t="inlineStr">
        <is>
          <t>Alcate</t>
        </is>
      </c>
    </row>
    <row r="31456" spans="1:1">
      <c r="A31456" t="inlineStr">
        <is>
          <t>Antonino</t>
        </is>
      </c>
    </row>
    <row r="31457" spans="1:1">
      <c r="A31457" t="inlineStr">
        <is>
          <t>Babangonan</t>
        </is>
      </c>
    </row>
    <row r="31458" spans="1:1">
      <c r="A31458" t="inlineStr">
        <is>
          <t>Bagong Buhay</t>
        </is>
      </c>
    </row>
    <row r="31459" spans="1:1">
      <c r="A31459" t="inlineStr">
        <is>
          <t>Bagong Silang</t>
        </is>
      </c>
    </row>
    <row r="31460" spans="1:1">
      <c r="A31460" t="inlineStr">
        <is>
          <t>Bambanin</t>
        </is>
      </c>
    </row>
    <row r="31461" spans="1:1">
      <c r="A31461" t="inlineStr">
        <is>
          <t>Bethel</t>
        </is>
      </c>
    </row>
    <row r="31462" spans="1:1">
      <c r="A31462" t="inlineStr">
        <is>
          <t>Canaan</t>
        </is>
      </c>
    </row>
    <row r="31463" spans="1:1">
      <c r="A31463" t="inlineStr">
        <is>
          <t>Concepcion</t>
        </is>
      </c>
    </row>
    <row r="31464" spans="1:1">
      <c r="A31464" t="inlineStr">
        <is>
          <t>Duongan</t>
        </is>
      </c>
    </row>
    <row r="31465" spans="1:1">
      <c r="A31465" t="inlineStr">
        <is>
          <t>Jose Leido Jr.</t>
        </is>
      </c>
    </row>
    <row r="31466" spans="1:1">
      <c r="A31466" t="inlineStr">
        <is>
          <t>Loyal</t>
        </is>
      </c>
    </row>
    <row r="31467" spans="1:1">
      <c r="A31467" t="inlineStr">
        <is>
          <t>Mabini</t>
        </is>
      </c>
    </row>
    <row r="31468" spans="1:1">
      <c r="A31468" t="inlineStr">
        <is>
          <t>Macatoc</t>
        </is>
      </c>
    </row>
    <row r="31469" spans="1:1">
      <c r="A31469" t="inlineStr">
        <is>
          <t>Malabo</t>
        </is>
      </c>
    </row>
    <row r="31470" spans="1:1">
      <c r="A31470" t="inlineStr">
        <is>
          <t>Merit</t>
        </is>
      </c>
    </row>
    <row r="31471" spans="1:1">
      <c r="A31471" t="inlineStr">
        <is>
          <t>Ordovilla</t>
        </is>
      </c>
    </row>
    <row r="31472" spans="1:1">
      <c r="A31472" t="inlineStr">
        <is>
          <t>Pakyas</t>
        </is>
      </c>
    </row>
    <row r="31473" spans="1:1">
      <c r="A31473" t="inlineStr">
        <is>
          <t>Poblacion I</t>
        </is>
      </c>
    </row>
    <row r="31474" spans="1:1">
      <c r="A31474" t="inlineStr">
        <is>
          <t>Poblacion II</t>
        </is>
      </c>
    </row>
    <row r="31475" spans="1:1">
      <c r="A31475" t="inlineStr">
        <is>
          <t>Poblacion III</t>
        </is>
      </c>
    </row>
    <row r="31476" spans="1:1">
      <c r="A31476" t="inlineStr">
        <is>
          <t>Poblacion IV</t>
        </is>
      </c>
    </row>
    <row r="31477" spans="1:1">
      <c r="A31477" t="inlineStr">
        <is>
          <t>Sampaguita</t>
        </is>
      </c>
    </row>
    <row r="31478" spans="1:1">
      <c r="A31478" t="inlineStr">
        <is>
          <t>San Antonio</t>
        </is>
      </c>
    </row>
    <row r="31479" spans="1:1">
      <c r="A31479" t="inlineStr">
        <is>
          <t>San Cristobal</t>
        </is>
      </c>
    </row>
    <row r="31480" spans="1:1">
      <c r="A31480" t="inlineStr">
        <is>
          <t>San Gabriel</t>
        </is>
      </c>
    </row>
    <row r="31481" spans="1:1">
      <c r="A31481" t="inlineStr">
        <is>
          <t>San Gelacio</t>
        </is>
      </c>
    </row>
    <row r="31482" spans="1:1">
      <c r="A31482" t="inlineStr">
        <is>
          <t>San Isidro</t>
        </is>
      </c>
    </row>
    <row r="31483" spans="1:1">
      <c r="A31483" t="inlineStr">
        <is>
          <t>San Juan</t>
        </is>
      </c>
    </row>
    <row r="31484" spans="1:1">
      <c r="A31484" t="inlineStr">
        <is>
          <t>San Narciso</t>
        </is>
      </c>
    </row>
    <row r="31485" spans="1:1">
      <c r="A31485" t="inlineStr">
        <is>
          <t>Urdaneta</t>
        </is>
      </c>
    </row>
    <row r="31486" spans="1:1">
      <c r="A31486" t="inlineStr">
        <is>
          <t>Villa Cerveza</t>
        </is>
      </c>
    </row>
    <row r="31487" spans="1:1">
      <c r="A31487" t="inlineStr">
        <is>
          <t>Apoaporawan</t>
        </is>
      </c>
    </row>
    <row r="31488" spans="1:1">
      <c r="A31488" t="inlineStr">
        <is>
          <t>Apoc-apoc</t>
        </is>
      </c>
    </row>
    <row r="31489" spans="1:1">
      <c r="A31489" t="inlineStr">
        <is>
          <t>Apurawan</t>
        </is>
      </c>
    </row>
    <row r="31490" spans="1:1">
      <c r="A31490" t="inlineStr">
        <is>
          <t>Barake</t>
        </is>
      </c>
    </row>
    <row r="31491" spans="1:1">
      <c r="A31491" t="inlineStr">
        <is>
          <t>Cabigaan</t>
        </is>
      </c>
    </row>
    <row r="31492" spans="1:1">
      <c r="A31492" t="inlineStr">
        <is>
          <t>Culandanum</t>
        </is>
      </c>
    </row>
    <row r="31493" spans="1:1">
      <c r="A31493" t="inlineStr">
        <is>
          <t>Gogognan</t>
        </is>
      </c>
    </row>
    <row r="31494" spans="1:1">
      <c r="A31494" t="inlineStr">
        <is>
          <t>Iraan</t>
        </is>
      </c>
    </row>
    <row r="31495" spans="1:1">
      <c r="A31495" t="inlineStr">
        <is>
          <t>Isaub</t>
        </is>
      </c>
    </row>
    <row r="31496" spans="1:1">
      <c r="A31496" t="inlineStr">
        <is>
          <t>Jose Rizal</t>
        </is>
      </c>
    </row>
    <row r="31497" spans="1:1">
      <c r="A31497" t="inlineStr">
        <is>
          <t>Mabini</t>
        </is>
      </c>
    </row>
    <row r="31498" spans="1:1">
      <c r="A31498" t="inlineStr">
        <is>
          <t>Magbabadil</t>
        </is>
      </c>
    </row>
    <row r="31499" spans="1:1">
      <c r="A31499" t="inlineStr">
        <is>
          <t>Plaridel</t>
        </is>
      </c>
    </row>
    <row r="31500" spans="1:1">
      <c r="A31500" t="inlineStr">
        <is>
          <t>Poblacion</t>
        </is>
      </c>
    </row>
    <row r="31501" spans="1:1">
      <c r="A31501" t="inlineStr">
        <is>
          <t>Ramon Magsaysay</t>
        </is>
      </c>
    </row>
    <row r="31502" spans="1:1">
      <c r="A31502" t="inlineStr">
        <is>
          <t>Sagpangan</t>
        </is>
      </c>
    </row>
    <row r="31503" spans="1:1">
      <c r="A31503" t="inlineStr">
        <is>
          <t>San Juan</t>
        </is>
      </c>
    </row>
    <row r="31504" spans="1:1">
      <c r="A31504" t="inlineStr">
        <is>
          <t>Tagpait</t>
        </is>
      </c>
    </row>
    <row r="31505" spans="1:1">
      <c r="A31505" t="inlineStr">
        <is>
          <t>Tigman</t>
        </is>
      </c>
    </row>
    <row r="31506" spans="1:1">
      <c r="A31506" t="inlineStr">
        <is>
          <t>Abagat</t>
        </is>
      </c>
    </row>
    <row r="31507" spans="1:1">
      <c r="A31507" t="inlineStr">
        <is>
          <t>Algeciras</t>
        </is>
      </c>
    </row>
    <row r="31508" spans="1:1">
      <c r="A31508" t="inlineStr">
        <is>
          <t>Bangcal</t>
        </is>
      </c>
    </row>
    <row r="31509" spans="1:1">
      <c r="A31509" t="inlineStr">
        <is>
          <t>Cambian</t>
        </is>
      </c>
    </row>
    <row r="31510" spans="1:1">
      <c r="A31510" t="inlineStr">
        <is>
          <t>Concepcion</t>
        </is>
      </c>
    </row>
    <row r="31511" spans="1:1">
      <c r="A31511" t="inlineStr">
        <is>
          <t>Diit</t>
        </is>
      </c>
    </row>
    <row r="31512" spans="1:1">
      <c r="A31512" t="inlineStr">
        <is>
          <t>Maracanao</t>
        </is>
      </c>
    </row>
    <row r="31513" spans="1:1">
      <c r="A31513" t="inlineStr">
        <is>
          <t>Matarawis</t>
        </is>
      </c>
    </row>
    <row r="31514" spans="1:1">
      <c r="A31514" t="inlineStr">
        <is>
          <t>Villafria</t>
        </is>
      </c>
    </row>
    <row r="31515" spans="1:1">
      <c r="A31515" t="inlineStr">
        <is>
          <t>Villasol</t>
        </is>
      </c>
    </row>
    <row r="31516" spans="1:1">
      <c r="A31516" t="inlineStr">
        <is>
          <t>Balogo</t>
        </is>
      </c>
    </row>
    <row r="31517" spans="1:1">
      <c r="A31517" t="inlineStr">
        <is>
          <t>Dagman</t>
        </is>
      </c>
    </row>
    <row r="31518" spans="1:1">
      <c r="A31518" t="inlineStr">
        <is>
          <t>Dalayawon</t>
        </is>
      </c>
    </row>
    <row r="31519" spans="1:1">
      <c r="A31519" t="inlineStr">
        <is>
          <t>Lumacad</t>
        </is>
      </c>
    </row>
    <row r="31520" spans="1:1">
      <c r="A31520" t="inlineStr">
        <is>
          <t>Madoldolon</t>
        </is>
      </c>
    </row>
    <row r="31521" spans="1:1">
      <c r="A31521" t="inlineStr">
        <is>
          <t>Mauringuen</t>
        </is>
      </c>
    </row>
    <row r="31522" spans="1:1">
      <c r="A31522" t="inlineStr">
        <is>
          <t>Osmeña</t>
        </is>
      </c>
    </row>
    <row r="31523" spans="1:1">
      <c r="A31523" t="inlineStr">
        <is>
          <t>Poblacion</t>
        </is>
      </c>
    </row>
    <row r="31524" spans="1:1">
      <c r="A31524" t="inlineStr">
        <is>
          <t>San Jose De Oro</t>
        </is>
      </c>
    </row>
    <row r="31525" spans="1:1">
      <c r="A31525" t="inlineStr">
        <is>
          <t>Sto. Niño</t>
        </is>
      </c>
    </row>
    <row r="31526" spans="1:1">
      <c r="A31526" t="inlineStr">
        <is>
          <t>Taloto</t>
        </is>
      </c>
    </row>
    <row r="31527" spans="1:1">
      <c r="A31527" t="inlineStr">
        <is>
          <t>Tinintinan</t>
        </is>
      </c>
    </row>
    <row r="31528" spans="1:1">
      <c r="A31528" t="inlineStr">
        <is>
          <t>Tudela</t>
        </is>
      </c>
    </row>
    <row r="31529" spans="1:1">
      <c r="A31529" t="inlineStr">
        <is>
          <t>Agutayan</t>
        </is>
      </c>
    </row>
    <row r="31530" spans="1:1">
      <c r="A31530" t="inlineStr">
        <is>
          <t>Bancalaan</t>
        </is>
      </c>
    </row>
    <row r="31531" spans="1:1">
      <c r="A31531" t="inlineStr">
        <is>
          <t>Bugsuk</t>
        </is>
      </c>
    </row>
    <row r="31532" spans="1:1">
      <c r="A31532" t="inlineStr">
        <is>
          <t>Catagupan</t>
        </is>
      </c>
    </row>
    <row r="31533" spans="1:1">
      <c r="A31533" t="inlineStr">
        <is>
          <t>Indalawan</t>
        </is>
      </c>
    </row>
    <row r="31534" spans="1:1">
      <c r="A31534" t="inlineStr">
        <is>
          <t>Malaking Ilog</t>
        </is>
      </c>
    </row>
    <row r="31535" spans="1:1">
      <c r="A31535" t="inlineStr">
        <is>
          <t>Mangsee</t>
        </is>
      </c>
    </row>
    <row r="31536" spans="1:1">
      <c r="A31536" t="inlineStr">
        <is>
          <t>Melville</t>
        </is>
      </c>
    </row>
    <row r="31537" spans="1:1">
      <c r="A31537" t="inlineStr">
        <is>
          <t>Pandanan</t>
        </is>
      </c>
    </row>
    <row r="31538" spans="1:1">
      <c r="A31538" t="inlineStr">
        <is>
          <t>Pasig</t>
        </is>
      </c>
    </row>
    <row r="31539" spans="1:1">
      <c r="A31539" t="inlineStr">
        <is>
          <t>Poblacion I</t>
        </is>
      </c>
    </row>
    <row r="31540" spans="1:1">
      <c r="A31540" t="inlineStr">
        <is>
          <t>Poblacion II</t>
        </is>
      </c>
    </row>
    <row r="31541" spans="1:1">
      <c r="A31541" t="inlineStr">
        <is>
          <t>Poblacion III</t>
        </is>
      </c>
    </row>
    <row r="31542" spans="1:1">
      <c r="A31542" t="inlineStr">
        <is>
          <t>Poblacion IV</t>
        </is>
      </c>
    </row>
    <row r="31543" spans="1:1">
      <c r="A31543" t="inlineStr">
        <is>
          <t>Poblacion V</t>
        </is>
      </c>
    </row>
    <row r="31544" spans="1:1">
      <c r="A31544" t="inlineStr">
        <is>
          <t>Poblacion VI</t>
        </is>
      </c>
    </row>
    <row r="31545" spans="1:1">
      <c r="A31545" t="inlineStr">
        <is>
          <t>Rabor</t>
        </is>
      </c>
    </row>
    <row r="31546" spans="1:1">
      <c r="A31546" t="inlineStr">
        <is>
          <t>Ramos</t>
        </is>
      </c>
    </row>
    <row r="31547" spans="1:1">
      <c r="A31547" t="inlineStr">
        <is>
          <t>Salang</t>
        </is>
      </c>
    </row>
    <row r="31548" spans="1:1">
      <c r="A31548" t="inlineStr">
        <is>
          <t>Sebaring</t>
        </is>
      </c>
    </row>
    <row r="31549" spans="1:1">
      <c r="A31549" t="inlineStr">
        <is>
          <t>Bono-bono</t>
        </is>
      </c>
    </row>
    <row r="31550" spans="1:1">
      <c r="A31550" t="inlineStr">
        <is>
          <t>Bulalacao</t>
        </is>
      </c>
    </row>
    <row r="31551" spans="1:1">
      <c r="A31551" t="inlineStr">
        <is>
          <t>Buliluyan</t>
        </is>
      </c>
    </row>
    <row r="31552" spans="1:1">
      <c r="A31552" t="inlineStr">
        <is>
          <t>Culandanum</t>
        </is>
      </c>
    </row>
    <row r="31553" spans="1:1">
      <c r="A31553" t="inlineStr">
        <is>
          <t>Igang-igang</t>
        </is>
      </c>
    </row>
    <row r="31554" spans="1:1">
      <c r="A31554" t="inlineStr">
        <is>
          <t>Inogbong</t>
        </is>
      </c>
    </row>
    <row r="31555" spans="1:1">
      <c r="A31555" t="inlineStr">
        <is>
          <t>Iwahig</t>
        </is>
      </c>
    </row>
    <row r="31556" spans="1:1">
      <c r="A31556" t="inlineStr">
        <is>
          <t>Malihud</t>
        </is>
      </c>
    </row>
    <row r="31557" spans="1:1">
      <c r="A31557" t="inlineStr">
        <is>
          <t>Malitub</t>
        </is>
      </c>
    </row>
    <row r="31558" spans="1:1">
      <c r="A31558" t="inlineStr">
        <is>
          <t>Marangas</t>
        </is>
      </c>
    </row>
    <row r="31559" spans="1:1">
      <c r="A31559" t="inlineStr">
        <is>
          <t>Ocayan</t>
        </is>
      </c>
    </row>
    <row r="31560" spans="1:1">
      <c r="A31560" t="inlineStr">
        <is>
          <t>Puring</t>
        </is>
      </c>
    </row>
    <row r="31561" spans="1:1">
      <c r="A31561" t="inlineStr">
        <is>
          <t>Rio Tuba</t>
        </is>
      </c>
    </row>
    <row r="31562" spans="1:1">
      <c r="A31562" t="inlineStr">
        <is>
          <t>Sandoval</t>
        </is>
      </c>
    </row>
    <row r="31563" spans="1:1">
      <c r="A31563" t="inlineStr">
        <is>
          <t>Sapa</t>
        </is>
      </c>
    </row>
    <row r="31564" spans="1:1">
      <c r="A31564" t="inlineStr">
        <is>
          <t>Sarong</t>
        </is>
      </c>
    </row>
    <row r="31565" spans="1:1">
      <c r="A31565" t="inlineStr">
        <is>
          <t>Sumbiling</t>
        </is>
      </c>
    </row>
    <row r="31566" spans="1:1">
      <c r="A31566" t="inlineStr">
        <is>
          <t>Tabud</t>
        </is>
      </c>
    </row>
    <row r="31567" spans="1:1">
      <c r="A31567" t="inlineStr">
        <is>
          <t>Tagnato</t>
        </is>
      </c>
    </row>
    <row r="31568" spans="1:1">
      <c r="A31568" t="inlineStr">
        <is>
          <t>Tagolango</t>
        </is>
      </c>
    </row>
    <row r="31569" spans="1:1">
      <c r="A31569" t="inlineStr">
        <is>
          <t>Taratak</t>
        </is>
      </c>
    </row>
    <row r="31570" spans="1:1">
      <c r="A31570" t="inlineStr">
        <is>
          <t>Tarusan</t>
        </is>
      </c>
    </row>
    <row r="31571" spans="1:1">
      <c r="A31571" t="inlineStr">
        <is>
          <t>Amas</t>
        </is>
      </c>
    </row>
    <row r="31572" spans="1:1">
      <c r="A31572" t="inlineStr">
        <is>
          <t>Aribungos</t>
        </is>
      </c>
    </row>
    <row r="31573" spans="1:1">
      <c r="A31573" t="inlineStr">
        <is>
          <t>Barong-barong</t>
        </is>
      </c>
    </row>
    <row r="31574" spans="1:1">
      <c r="A31574" t="inlineStr">
        <is>
          <t>Calasaguen</t>
        </is>
      </c>
    </row>
    <row r="31575" spans="1:1">
      <c r="A31575" t="inlineStr">
        <is>
          <t>Imulnod</t>
        </is>
      </c>
    </row>
    <row r="31576" spans="1:1">
      <c r="A31576" t="inlineStr">
        <is>
          <t>Ipilan</t>
        </is>
      </c>
    </row>
    <row r="31577" spans="1:1">
      <c r="A31577" t="inlineStr">
        <is>
          <t>Maasin</t>
        </is>
      </c>
    </row>
    <row r="31578" spans="1:1">
      <c r="A31578" t="inlineStr">
        <is>
          <t>Mainit</t>
        </is>
      </c>
    </row>
    <row r="31579" spans="1:1">
      <c r="A31579" t="inlineStr">
        <is>
          <t>Malis</t>
        </is>
      </c>
    </row>
    <row r="31580" spans="1:1">
      <c r="A31580" t="inlineStr">
        <is>
          <t>Mambalot</t>
        </is>
      </c>
    </row>
    <row r="31581" spans="1:1">
      <c r="A31581" t="inlineStr">
        <is>
          <t>Oring-oring</t>
        </is>
      </c>
    </row>
    <row r="31582" spans="1:1">
      <c r="A31582" t="inlineStr">
        <is>
          <t>Pangobilian</t>
        </is>
      </c>
    </row>
    <row r="31583" spans="1:1">
      <c r="A31583" t="inlineStr">
        <is>
          <t>Poblacion I</t>
        </is>
      </c>
    </row>
    <row r="31584" spans="1:1">
      <c r="A31584" t="inlineStr">
        <is>
          <t>Poblacion II</t>
        </is>
      </c>
    </row>
    <row r="31585" spans="1:1">
      <c r="A31585" t="inlineStr">
        <is>
          <t>Salogon</t>
        </is>
      </c>
    </row>
    <row r="31586" spans="1:1">
      <c r="A31586" t="inlineStr">
        <is>
          <t>Samareñana</t>
        </is>
      </c>
    </row>
    <row r="31587" spans="1:1">
      <c r="A31587" t="inlineStr">
        <is>
          <t>Saraza</t>
        </is>
      </c>
    </row>
    <row r="31588" spans="1:1">
      <c r="A31588" t="inlineStr">
        <is>
          <t>Tubtub</t>
        </is>
      </c>
    </row>
    <row r="31589" spans="1:1">
      <c r="A31589" t="inlineStr">
        <is>
          <t>Bogtong</t>
        </is>
      </c>
    </row>
    <row r="31590" spans="1:1">
      <c r="A31590" t="inlineStr">
        <is>
          <t>Buluang</t>
        </is>
      </c>
    </row>
    <row r="31591" spans="1:1">
      <c r="A31591" t="inlineStr">
        <is>
          <t>Cheey</t>
        </is>
      </c>
    </row>
    <row r="31592" spans="1:1">
      <c r="A31592" t="inlineStr">
        <is>
          <t>Concepcion</t>
        </is>
      </c>
    </row>
    <row r="31593" spans="1:1">
      <c r="A31593" t="inlineStr">
        <is>
          <t>Maglalambay</t>
        </is>
      </c>
    </row>
    <row r="31594" spans="1:1">
      <c r="A31594" t="inlineStr">
        <is>
          <t>New Busuanga</t>
        </is>
      </c>
    </row>
    <row r="31595" spans="1:1">
      <c r="A31595" t="inlineStr">
        <is>
          <t>Old Busuanga</t>
        </is>
      </c>
    </row>
    <row r="31596" spans="1:1">
      <c r="A31596" t="inlineStr">
        <is>
          <t>Panlaitan</t>
        </is>
      </c>
    </row>
    <row r="31597" spans="1:1">
      <c r="A31597" t="inlineStr">
        <is>
          <t>Quezon</t>
        </is>
      </c>
    </row>
    <row r="31598" spans="1:1">
      <c r="A31598" t="inlineStr">
        <is>
          <t>Sagrada</t>
        </is>
      </c>
    </row>
    <row r="31599" spans="1:1">
      <c r="A31599" t="inlineStr">
        <is>
          <t>Salvacion</t>
        </is>
      </c>
    </row>
    <row r="31600" spans="1:1">
      <c r="A31600" t="inlineStr">
        <is>
          <t>San Isidro</t>
        </is>
      </c>
    </row>
    <row r="31601" spans="1:1">
      <c r="A31601" t="inlineStr">
        <is>
          <t>San Rafael</t>
        </is>
      </c>
    </row>
    <row r="31602" spans="1:1">
      <c r="A31602" t="inlineStr">
        <is>
          <t>Santo Niño</t>
        </is>
      </c>
    </row>
    <row r="31603" spans="1:1">
      <c r="A31603" t="inlineStr">
        <is>
          <t>Bantayan</t>
        </is>
      </c>
    </row>
    <row r="31604" spans="1:1">
      <c r="A31604" t="inlineStr">
        <is>
          <t>Calsada</t>
        </is>
      </c>
    </row>
    <row r="31605" spans="1:1">
      <c r="A31605" t="inlineStr">
        <is>
          <t>Convento</t>
        </is>
      </c>
    </row>
    <row r="31606" spans="1:1">
      <c r="A31606" t="inlineStr">
        <is>
          <t>Lipot North</t>
        </is>
      </c>
    </row>
    <row r="31607" spans="1:1">
      <c r="A31607" t="inlineStr">
        <is>
          <t>Lipot South</t>
        </is>
      </c>
    </row>
    <row r="31608" spans="1:1">
      <c r="A31608" t="inlineStr">
        <is>
          <t>Magsaysay</t>
        </is>
      </c>
    </row>
    <row r="31609" spans="1:1">
      <c r="A31609" t="inlineStr">
        <is>
          <t>Mampio</t>
        </is>
      </c>
    </row>
    <row r="31610" spans="1:1">
      <c r="A31610" t="inlineStr">
        <is>
          <t>Nusa</t>
        </is>
      </c>
    </row>
    <row r="31611" spans="1:1">
      <c r="A31611" t="inlineStr">
        <is>
          <t>Santa Cruz</t>
        </is>
      </c>
    </row>
    <row r="31612" spans="1:1">
      <c r="A31612" t="inlineStr">
        <is>
          <t>Tacas</t>
        </is>
      </c>
    </row>
    <row r="31613" spans="1:1">
      <c r="A31613" t="inlineStr">
        <is>
          <t>Talaga</t>
        </is>
      </c>
    </row>
    <row r="31614" spans="1:1">
      <c r="A31614" t="inlineStr">
        <is>
          <t>Wahig</t>
        </is>
      </c>
    </row>
    <row r="31615" spans="1:1">
      <c r="A31615" t="inlineStr">
        <is>
          <t>Banuang Daan</t>
        </is>
      </c>
    </row>
    <row r="31616" spans="1:1">
      <c r="A31616" t="inlineStr">
        <is>
          <t>Barangay I</t>
        </is>
      </c>
    </row>
    <row r="31617" spans="1:1">
      <c r="A31617" t="inlineStr">
        <is>
          <t>Barangay II</t>
        </is>
      </c>
    </row>
    <row r="31618" spans="1:1">
      <c r="A31618" t="inlineStr">
        <is>
          <t>Barangay III</t>
        </is>
      </c>
    </row>
    <row r="31619" spans="1:1">
      <c r="A31619" t="inlineStr">
        <is>
          <t>Barangay IV</t>
        </is>
      </c>
    </row>
    <row r="31620" spans="1:1">
      <c r="A31620" t="inlineStr">
        <is>
          <t>Barangay V</t>
        </is>
      </c>
    </row>
    <row r="31621" spans="1:1">
      <c r="A31621" t="inlineStr">
        <is>
          <t>Barangay VI</t>
        </is>
      </c>
    </row>
    <row r="31622" spans="1:1">
      <c r="A31622" t="inlineStr">
        <is>
          <t>Bintuan</t>
        </is>
      </c>
    </row>
    <row r="31623" spans="1:1">
      <c r="A31623" t="inlineStr">
        <is>
          <t>Borac</t>
        </is>
      </c>
    </row>
    <row r="31624" spans="1:1">
      <c r="A31624" t="inlineStr">
        <is>
          <t>Buenavista</t>
        </is>
      </c>
    </row>
    <row r="31625" spans="1:1">
      <c r="A31625" t="inlineStr">
        <is>
          <t>Bulalacao</t>
        </is>
      </c>
    </row>
    <row r="31626" spans="1:1">
      <c r="A31626" t="inlineStr">
        <is>
          <t>Cabugao</t>
        </is>
      </c>
    </row>
    <row r="31627" spans="1:1">
      <c r="A31627" t="inlineStr">
        <is>
          <t>Decabobo</t>
        </is>
      </c>
    </row>
    <row r="31628" spans="1:1">
      <c r="A31628" t="inlineStr">
        <is>
          <t>Decalachao</t>
        </is>
      </c>
    </row>
    <row r="31629" spans="1:1">
      <c r="A31629" t="inlineStr">
        <is>
          <t>Guadalupe</t>
        </is>
      </c>
    </row>
    <row r="31630" spans="1:1">
      <c r="A31630" t="inlineStr">
        <is>
          <t>Lajala</t>
        </is>
      </c>
    </row>
    <row r="31631" spans="1:1">
      <c r="A31631" t="inlineStr">
        <is>
          <t>Malawig</t>
        </is>
      </c>
    </row>
    <row r="31632" spans="1:1">
      <c r="A31632" t="inlineStr">
        <is>
          <t>Marcilla</t>
        </is>
      </c>
    </row>
    <row r="31633" spans="1:1">
      <c r="A31633" t="inlineStr">
        <is>
          <t>San Jose</t>
        </is>
      </c>
    </row>
    <row r="31634" spans="1:1">
      <c r="A31634" t="inlineStr">
        <is>
          <t>San Nicolas</t>
        </is>
      </c>
    </row>
    <row r="31635" spans="1:1">
      <c r="A31635" t="inlineStr">
        <is>
          <t>Tagumpay</t>
        </is>
      </c>
    </row>
    <row r="31636" spans="1:1">
      <c r="A31636" t="inlineStr">
        <is>
          <t>Tara</t>
        </is>
      </c>
    </row>
    <row r="31637" spans="1:1">
      <c r="A31637" t="inlineStr">
        <is>
          <t>Turda</t>
        </is>
      </c>
    </row>
    <row r="31638" spans="1:1">
      <c r="A31638" t="inlineStr">
        <is>
          <t>Balala</t>
        </is>
      </c>
    </row>
    <row r="31639" spans="1:1">
      <c r="A31639" t="inlineStr">
        <is>
          <t>Baldat</t>
        </is>
      </c>
    </row>
    <row r="31640" spans="1:1">
      <c r="A31640" t="inlineStr">
        <is>
          <t>Binudac</t>
        </is>
      </c>
    </row>
    <row r="31641" spans="1:1">
      <c r="A31641" t="inlineStr">
        <is>
          <t>Burabod</t>
        </is>
      </c>
    </row>
    <row r="31642" spans="1:1">
      <c r="A31642" t="inlineStr">
        <is>
          <t>Carabao</t>
        </is>
      </c>
    </row>
    <row r="31643" spans="1:1">
      <c r="A31643" t="inlineStr">
        <is>
          <t>Culango</t>
        </is>
      </c>
    </row>
    <row r="31644" spans="1:1">
      <c r="A31644" t="inlineStr">
        <is>
          <t>Galoc</t>
        </is>
      </c>
    </row>
    <row r="31645" spans="1:1">
      <c r="A31645" t="inlineStr">
        <is>
          <t>Halsey</t>
        </is>
      </c>
    </row>
    <row r="31646" spans="1:1">
      <c r="A31646" t="inlineStr">
        <is>
          <t>Jardin</t>
        </is>
      </c>
    </row>
    <row r="31647" spans="1:1">
      <c r="A31647" t="inlineStr">
        <is>
          <t>Libis</t>
        </is>
      </c>
    </row>
    <row r="31648" spans="1:1">
      <c r="A31648" t="inlineStr">
        <is>
          <t>Luac</t>
        </is>
      </c>
    </row>
    <row r="31649" spans="1:1">
      <c r="A31649" t="inlineStr">
        <is>
          <t>Malaking Patag</t>
        </is>
      </c>
    </row>
    <row r="31650" spans="1:1">
      <c r="A31650" t="inlineStr">
        <is>
          <t>Osmeña</t>
        </is>
      </c>
    </row>
    <row r="31651" spans="1:1">
      <c r="A31651" t="inlineStr">
        <is>
          <t>Tiza</t>
        </is>
      </c>
    </row>
    <row r="31652" spans="1:1">
      <c r="A31652" t="inlineStr">
        <is>
          <t>Balading</t>
        </is>
      </c>
    </row>
    <row r="31653" spans="1:1">
      <c r="A31653" t="inlineStr">
        <is>
          <t>Bangcal</t>
        </is>
      </c>
    </row>
    <row r="31654" spans="1:1">
      <c r="A31654" t="inlineStr">
        <is>
          <t>Cabigsing</t>
        </is>
      </c>
    </row>
    <row r="31655" spans="1:1">
      <c r="A31655" t="inlineStr">
        <is>
          <t>Caburian</t>
        </is>
      </c>
    </row>
    <row r="31656" spans="1:1">
      <c r="A31656" t="inlineStr">
        <is>
          <t>Caponayan</t>
        </is>
      </c>
    </row>
    <row r="31657" spans="1:1">
      <c r="A31657" t="inlineStr">
        <is>
          <t>Catadman</t>
        </is>
      </c>
    </row>
    <row r="31658" spans="1:1">
      <c r="A31658" t="inlineStr">
        <is>
          <t>Funda</t>
        </is>
      </c>
    </row>
    <row r="31659" spans="1:1">
      <c r="A31659" t="inlineStr">
        <is>
          <t>Lagaoriao</t>
        </is>
      </c>
    </row>
    <row r="31660" spans="1:1">
      <c r="A31660" t="inlineStr">
        <is>
          <t>Lubid</t>
        </is>
      </c>
    </row>
    <row r="31661" spans="1:1">
      <c r="A31661" t="inlineStr">
        <is>
          <t>Lungsod</t>
        </is>
      </c>
    </row>
    <row r="31662" spans="1:1">
      <c r="A31662" t="inlineStr">
        <is>
          <t>Manamoc</t>
        </is>
      </c>
    </row>
    <row r="31663" spans="1:1">
      <c r="A31663" t="inlineStr">
        <is>
          <t>Maringian</t>
        </is>
      </c>
    </row>
    <row r="31664" spans="1:1">
      <c r="A31664" t="inlineStr">
        <is>
          <t>Pawa</t>
        </is>
      </c>
    </row>
    <row r="31665" spans="1:1">
      <c r="A31665" t="inlineStr">
        <is>
          <t>San Carlos</t>
        </is>
      </c>
    </row>
    <row r="31666" spans="1:1">
      <c r="A31666" t="inlineStr">
        <is>
          <t>Suba</t>
        </is>
      </c>
    </row>
    <row r="31667" spans="1:1">
      <c r="A31667" t="inlineStr">
        <is>
          <t>Tenga-tenga</t>
        </is>
      </c>
    </row>
    <row r="31668" spans="1:1">
      <c r="A31668" t="inlineStr">
        <is>
          <t>Tocadan</t>
        </is>
      </c>
    </row>
    <row r="31669" spans="1:1">
      <c r="A31669" t="inlineStr">
        <is>
          <t>Bunog</t>
        </is>
      </c>
    </row>
    <row r="31670" spans="1:1">
      <c r="A31670" t="inlineStr">
        <is>
          <t>Campong Ulay</t>
        </is>
      </c>
    </row>
    <row r="31671" spans="1:1">
      <c r="A31671" t="inlineStr">
        <is>
          <t>Candawaga</t>
        </is>
      </c>
    </row>
    <row r="31672" spans="1:1">
      <c r="A31672" t="inlineStr">
        <is>
          <t>Canipaan</t>
        </is>
      </c>
    </row>
    <row r="31673" spans="1:1">
      <c r="A31673" t="inlineStr">
        <is>
          <t>Culasian</t>
        </is>
      </c>
    </row>
    <row r="31674" spans="1:1">
      <c r="A31674" t="inlineStr">
        <is>
          <t>Iraan</t>
        </is>
      </c>
    </row>
    <row r="31675" spans="1:1">
      <c r="A31675" t="inlineStr">
        <is>
          <t>Latud</t>
        </is>
      </c>
    </row>
    <row r="31676" spans="1:1">
      <c r="A31676" t="inlineStr">
        <is>
          <t>Panalingaan</t>
        </is>
      </c>
    </row>
    <row r="31677" spans="1:1">
      <c r="A31677" t="inlineStr">
        <is>
          <t>Punta Baja</t>
        </is>
      </c>
    </row>
    <row r="31678" spans="1:1">
      <c r="A31678" t="inlineStr">
        <is>
          <t>Ransang</t>
        </is>
      </c>
    </row>
    <row r="31679" spans="1:1">
      <c r="A31679" t="inlineStr">
        <is>
          <t>Taburi</t>
        </is>
      </c>
    </row>
    <row r="31680" spans="1:1">
      <c r="A31680" t="inlineStr">
        <is>
          <t>Bacao</t>
        </is>
      </c>
    </row>
    <row r="31681" spans="1:1">
      <c r="A31681" t="inlineStr">
        <is>
          <t>Bohol</t>
        </is>
      </c>
    </row>
    <row r="31682" spans="1:1">
      <c r="A31682" t="inlineStr">
        <is>
          <t>Calasag</t>
        </is>
      </c>
    </row>
    <row r="31683" spans="1:1">
      <c r="A31683" t="inlineStr">
        <is>
          <t>Capayas</t>
        </is>
      </c>
    </row>
    <row r="31684" spans="1:1">
      <c r="A31684" t="inlineStr">
        <is>
          <t>Catep</t>
        </is>
      </c>
    </row>
    <row r="31685" spans="1:1">
      <c r="A31685" t="inlineStr">
        <is>
          <t>Culasian</t>
        </is>
      </c>
    </row>
    <row r="31686" spans="1:1">
      <c r="A31686" t="inlineStr">
        <is>
          <t>Danleg</t>
        </is>
      </c>
    </row>
    <row r="31687" spans="1:1">
      <c r="A31687" t="inlineStr">
        <is>
          <t>Dumaran</t>
        </is>
      </c>
    </row>
    <row r="31688" spans="1:1">
      <c r="A31688" t="inlineStr">
        <is>
          <t>Ilian</t>
        </is>
      </c>
    </row>
    <row r="31689" spans="1:1">
      <c r="A31689" t="inlineStr">
        <is>
          <t>Itangil</t>
        </is>
      </c>
    </row>
    <row r="31690" spans="1:1">
      <c r="A31690" t="inlineStr">
        <is>
          <t>Magsaysay</t>
        </is>
      </c>
    </row>
    <row r="31691" spans="1:1">
      <c r="A31691" t="inlineStr">
        <is>
          <t>San Juan</t>
        </is>
      </c>
    </row>
    <row r="31692" spans="1:1">
      <c r="A31692" t="inlineStr">
        <is>
          <t>Santa Maria</t>
        </is>
      </c>
    </row>
    <row r="31693" spans="1:1">
      <c r="A31693" t="inlineStr">
        <is>
          <t>Santa Teresita</t>
        </is>
      </c>
    </row>
    <row r="31694" spans="1:1">
      <c r="A31694" t="inlineStr">
        <is>
          <t>Santo Tomas</t>
        </is>
      </c>
    </row>
    <row r="31695" spans="1:1">
      <c r="A31695" t="inlineStr">
        <is>
          <t>Tanatanaon</t>
        </is>
      </c>
    </row>
    <row r="31696" spans="1:1">
      <c r="A31696" t="inlineStr">
        <is>
          <t>Aberawan</t>
        </is>
      </c>
    </row>
    <row r="31697" spans="1:1">
      <c r="A31697" t="inlineStr">
        <is>
          <t>Bagong Bayan</t>
        </is>
      </c>
    </row>
    <row r="31698" spans="1:1">
      <c r="A31698" t="inlineStr">
        <is>
          <t>Barotuan</t>
        </is>
      </c>
    </row>
    <row r="31699" spans="1:1">
      <c r="A31699" t="inlineStr">
        <is>
          <t>Bebeladan</t>
        </is>
      </c>
    </row>
    <row r="31700" spans="1:1">
      <c r="A31700" t="inlineStr">
        <is>
          <t>Bucana</t>
        </is>
      </c>
    </row>
    <row r="31701" spans="1:1">
      <c r="A31701" t="inlineStr">
        <is>
          <t>Buena Suerte Pob.</t>
        </is>
      </c>
    </row>
    <row r="31702" spans="1:1">
      <c r="A31702" t="inlineStr">
        <is>
          <t>Corong-corong Pob.</t>
        </is>
      </c>
    </row>
    <row r="31703" spans="1:1">
      <c r="A31703" t="inlineStr">
        <is>
          <t>Mabini</t>
        </is>
      </c>
    </row>
    <row r="31704" spans="1:1">
      <c r="A31704" t="inlineStr">
        <is>
          <t>Maligaya Pob.</t>
        </is>
      </c>
    </row>
    <row r="31705" spans="1:1">
      <c r="A31705" t="inlineStr">
        <is>
          <t>Manlag</t>
        </is>
      </c>
    </row>
    <row r="31706" spans="1:1">
      <c r="A31706" t="inlineStr">
        <is>
          <t>Masagana Pob.</t>
        </is>
      </c>
    </row>
    <row r="31707" spans="1:1">
      <c r="A31707" t="inlineStr">
        <is>
          <t>New Ibajay</t>
        </is>
      </c>
    </row>
    <row r="31708" spans="1:1">
      <c r="A31708" t="inlineStr">
        <is>
          <t>Pasadeña</t>
        </is>
      </c>
    </row>
    <row r="31709" spans="1:1">
      <c r="A31709" t="inlineStr">
        <is>
          <t>San Fernando</t>
        </is>
      </c>
    </row>
    <row r="31710" spans="1:1">
      <c r="A31710" t="inlineStr">
        <is>
          <t>Sibaltan</t>
        </is>
      </c>
    </row>
    <row r="31711" spans="1:1">
      <c r="A31711" t="inlineStr">
        <is>
          <t>Teneguiban</t>
        </is>
      </c>
    </row>
    <row r="31712" spans="1:1">
      <c r="A31712" t="inlineStr">
        <is>
          <t>Villa Libertad</t>
        </is>
      </c>
    </row>
    <row r="31713" spans="1:1">
      <c r="A31713" t="inlineStr">
        <is>
          <t>Villa Paz</t>
        </is>
      </c>
    </row>
    <row r="31714" spans="1:1">
      <c r="A31714" t="inlineStr">
        <is>
          <t>Pag-Asa</t>
        </is>
      </c>
    </row>
    <row r="31715" spans="1:1">
      <c r="A31715" t="inlineStr">
        <is>
          <t>Barangonan</t>
        </is>
      </c>
    </row>
    <row r="31716" spans="1:1">
      <c r="A31716" t="inlineStr">
        <is>
          <t>Cabunlawan</t>
        </is>
      </c>
    </row>
    <row r="31717" spans="1:1">
      <c r="A31717" t="inlineStr">
        <is>
          <t>Calibangbangan</t>
        </is>
      </c>
    </row>
    <row r="31718" spans="1:1">
      <c r="A31718" t="inlineStr">
        <is>
          <t>Decabaitot</t>
        </is>
      </c>
    </row>
    <row r="31719" spans="1:1">
      <c r="A31719" t="inlineStr">
        <is>
          <t>Maroyogroyog</t>
        </is>
      </c>
    </row>
    <row r="31720" spans="1:1">
      <c r="A31720" t="inlineStr">
        <is>
          <t>Nangalao</t>
        </is>
      </c>
    </row>
    <row r="31721" spans="1:1">
      <c r="A31721" t="inlineStr">
        <is>
          <t>New Culaylayan</t>
        </is>
      </c>
    </row>
    <row r="31722" spans="1:1">
      <c r="A31722" t="inlineStr">
        <is>
          <t>Pical</t>
        </is>
      </c>
    </row>
    <row r="31723" spans="1:1">
      <c r="A31723" t="inlineStr">
        <is>
          <t>San Miguel</t>
        </is>
      </c>
    </row>
    <row r="31724" spans="1:1">
      <c r="A31724" t="inlineStr">
        <is>
          <t>San Nicolas</t>
        </is>
      </c>
    </row>
    <row r="31725" spans="1:1">
      <c r="A31725" t="inlineStr">
        <is>
          <t>Alcoba</t>
        </is>
      </c>
    </row>
    <row r="31726" spans="1:1">
      <c r="A31726" t="inlineStr">
        <is>
          <t>Balaguen</t>
        </is>
      </c>
    </row>
    <row r="31727" spans="1:1">
      <c r="A31727" t="inlineStr">
        <is>
          <t>Canipo</t>
        </is>
      </c>
    </row>
    <row r="31728" spans="1:1">
      <c r="A31728" t="inlineStr">
        <is>
          <t>Cocoro</t>
        </is>
      </c>
    </row>
    <row r="31729" spans="1:1">
      <c r="A31729" t="inlineStr">
        <is>
          <t>Danawan</t>
        </is>
      </c>
    </row>
    <row r="31730" spans="1:1">
      <c r="A31730" t="inlineStr">
        <is>
          <t>Emilod</t>
        </is>
      </c>
    </row>
    <row r="31731" spans="1:1">
      <c r="A31731" t="inlineStr">
        <is>
          <t>Igabas</t>
        </is>
      </c>
    </row>
    <row r="31732" spans="1:1">
      <c r="A31732" t="inlineStr">
        <is>
          <t>Lacaren</t>
        </is>
      </c>
    </row>
    <row r="31733" spans="1:1">
      <c r="A31733" t="inlineStr">
        <is>
          <t>Los Angeles</t>
        </is>
      </c>
    </row>
    <row r="31734" spans="1:1">
      <c r="A31734" t="inlineStr">
        <is>
          <t>Lucbuan</t>
        </is>
      </c>
    </row>
    <row r="31735" spans="1:1">
      <c r="A31735" t="inlineStr">
        <is>
          <t>Rizal</t>
        </is>
      </c>
    </row>
    <row r="31736" spans="1:1">
      <c r="A31736" t="inlineStr">
        <is>
          <t>Antipuluan</t>
        </is>
      </c>
    </row>
    <row r="31737" spans="1:1">
      <c r="A31737" t="inlineStr">
        <is>
          <t>Aramaywan</t>
        </is>
      </c>
    </row>
    <row r="31738" spans="1:1">
      <c r="A31738" t="inlineStr">
        <is>
          <t>Bagong Sikat</t>
        </is>
      </c>
    </row>
    <row r="31739" spans="1:1">
      <c r="A31739" t="inlineStr">
        <is>
          <t>Batang-batang</t>
        </is>
      </c>
    </row>
    <row r="31740" spans="1:1">
      <c r="A31740" t="inlineStr">
        <is>
          <t>Bato-bato</t>
        </is>
      </c>
    </row>
    <row r="31741" spans="1:1">
      <c r="A31741" t="inlineStr">
        <is>
          <t>Burirao</t>
        </is>
      </c>
    </row>
    <row r="31742" spans="1:1">
      <c r="A31742" t="inlineStr">
        <is>
          <t>Caguisan</t>
        </is>
      </c>
    </row>
    <row r="31743" spans="1:1">
      <c r="A31743" t="inlineStr">
        <is>
          <t>Calategas</t>
        </is>
      </c>
    </row>
    <row r="31744" spans="1:1">
      <c r="A31744" t="inlineStr">
        <is>
          <t>Dumagueña</t>
        </is>
      </c>
    </row>
    <row r="31745" spans="1:1">
      <c r="A31745" t="inlineStr">
        <is>
          <t>Elvita</t>
        </is>
      </c>
    </row>
    <row r="31746" spans="1:1">
      <c r="A31746" t="inlineStr">
        <is>
          <t>Estrella Village</t>
        </is>
      </c>
    </row>
    <row r="31747" spans="1:1">
      <c r="A31747" t="inlineStr">
        <is>
          <t>Ipilan</t>
        </is>
      </c>
    </row>
    <row r="31748" spans="1:1">
      <c r="A31748" t="inlineStr">
        <is>
          <t>Malatgao</t>
        </is>
      </c>
    </row>
    <row r="31749" spans="1:1">
      <c r="A31749" t="inlineStr">
        <is>
          <t>Malinao</t>
        </is>
      </c>
    </row>
    <row r="31750" spans="1:1">
      <c r="A31750" t="inlineStr">
        <is>
          <t>Narra</t>
        </is>
      </c>
    </row>
    <row r="31751" spans="1:1">
      <c r="A31751" t="inlineStr">
        <is>
          <t>Panacan</t>
        </is>
      </c>
    </row>
    <row r="31752" spans="1:1">
      <c r="A31752" t="inlineStr">
        <is>
          <t>Panacan 2</t>
        </is>
      </c>
    </row>
    <row r="31753" spans="1:1">
      <c r="A31753" t="inlineStr">
        <is>
          <t>Princess Urduja</t>
        </is>
      </c>
    </row>
    <row r="31754" spans="1:1">
      <c r="A31754" t="inlineStr">
        <is>
          <t>Sandoval</t>
        </is>
      </c>
    </row>
    <row r="31755" spans="1:1">
      <c r="A31755" t="inlineStr">
        <is>
          <t>Tacras</t>
        </is>
      </c>
    </row>
    <row r="31756" spans="1:1">
      <c r="A31756" t="inlineStr">
        <is>
          <t>Taritien</t>
        </is>
      </c>
    </row>
    <row r="31757" spans="1:1">
      <c r="A31757" t="inlineStr">
        <is>
          <t>Teresa</t>
        </is>
      </c>
    </row>
    <row r="31758" spans="1:1">
      <c r="A31758" t="inlineStr">
        <is>
          <t>Tinagong Dagat</t>
        </is>
      </c>
    </row>
    <row r="31759" spans="1:1">
      <c r="A31759" t="inlineStr">
        <is>
          <t>Alfonso XIII</t>
        </is>
      </c>
    </row>
    <row r="31760" spans="1:1">
      <c r="A31760" t="inlineStr">
        <is>
          <t>Aramaywan</t>
        </is>
      </c>
    </row>
    <row r="31761" spans="1:1">
      <c r="A31761" t="inlineStr">
        <is>
          <t>Berong</t>
        </is>
      </c>
    </row>
    <row r="31762" spans="1:1">
      <c r="A31762" t="inlineStr">
        <is>
          <t>Calatagbak</t>
        </is>
      </c>
    </row>
    <row r="31763" spans="1:1">
      <c r="A31763" t="inlineStr">
        <is>
          <t>Calumpang</t>
        </is>
      </c>
    </row>
    <row r="31764" spans="1:1">
      <c r="A31764" t="inlineStr">
        <is>
          <t>Isugod</t>
        </is>
      </c>
    </row>
    <row r="31765" spans="1:1">
      <c r="A31765" t="inlineStr">
        <is>
          <t>Maasin</t>
        </is>
      </c>
    </row>
    <row r="31766" spans="1:1">
      <c r="A31766" t="inlineStr">
        <is>
          <t>Malatgao</t>
        </is>
      </c>
    </row>
    <row r="31767" spans="1:1">
      <c r="A31767" t="inlineStr">
        <is>
          <t>Panitian</t>
        </is>
      </c>
    </row>
    <row r="31768" spans="1:1">
      <c r="A31768" t="inlineStr">
        <is>
          <t>Pinaglabanan</t>
        </is>
      </c>
    </row>
    <row r="31769" spans="1:1">
      <c r="A31769" t="inlineStr">
        <is>
          <t>Quinlogan</t>
        </is>
      </c>
    </row>
    <row r="31770" spans="1:1">
      <c r="A31770" t="inlineStr">
        <is>
          <t>Sowangan</t>
        </is>
      </c>
    </row>
    <row r="31771" spans="1:1">
      <c r="A31771" t="inlineStr">
        <is>
          <t>Tabon</t>
        </is>
      </c>
    </row>
    <row r="31772" spans="1:1">
      <c r="A31772" t="inlineStr">
        <is>
          <t>Tagusao</t>
        </is>
      </c>
    </row>
    <row r="31773" spans="1:1">
      <c r="A31773" t="inlineStr">
        <is>
          <t>Abaroan</t>
        </is>
      </c>
    </row>
    <row r="31774" spans="1:1">
      <c r="A31774" t="inlineStr">
        <is>
          <t>Antonino</t>
        </is>
      </c>
    </row>
    <row r="31775" spans="1:1">
      <c r="A31775" t="inlineStr">
        <is>
          <t>Bagong Bayan</t>
        </is>
      </c>
    </row>
    <row r="31776" spans="1:1">
      <c r="A31776" t="inlineStr">
        <is>
          <t>Barangay 1</t>
        </is>
      </c>
    </row>
    <row r="31777" spans="1:1">
      <c r="A31777" t="inlineStr">
        <is>
          <t>Barangay II</t>
        </is>
      </c>
    </row>
    <row r="31778" spans="1:1">
      <c r="A31778" t="inlineStr">
        <is>
          <t>Barangay III</t>
        </is>
      </c>
    </row>
    <row r="31779" spans="1:1">
      <c r="A31779" t="inlineStr">
        <is>
          <t>Barangay IV</t>
        </is>
      </c>
    </row>
    <row r="31780" spans="1:1">
      <c r="A31780" t="inlineStr">
        <is>
          <t>Barangay V Pob.</t>
        </is>
      </c>
    </row>
    <row r="31781" spans="1:1">
      <c r="A31781" t="inlineStr">
        <is>
          <t>Barangay VI Pob.</t>
        </is>
      </c>
    </row>
    <row r="31782" spans="1:1">
      <c r="A31782" t="inlineStr">
        <is>
          <t>Caramay</t>
        </is>
      </c>
    </row>
    <row r="31783" spans="1:1">
      <c r="A31783" t="inlineStr">
        <is>
          <t>Dumarao</t>
        </is>
      </c>
    </row>
    <row r="31784" spans="1:1">
      <c r="A31784" t="inlineStr">
        <is>
          <t>Iraan</t>
        </is>
      </c>
    </row>
    <row r="31785" spans="1:1">
      <c r="A31785" t="inlineStr">
        <is>
          <t>Jolo</t>
        </is>
      </c>
    </row>
    <row r="31786" spans="1:1">
      <c r="A31786" t="inlineStr">
        <is>
          <t>Magara</t>
        </is>
      </c>
    </row>
    <row r="31787" spans="1:1">
      <c r="A31787" t="inlineStr">
        <is>
          <t>Malcampo</t>
        </is>
      </c>
    </row>
    <row r="31788" spans="1:1">
      <c r="A31788" t="inlineStr">
        <is>
          <t>Mendoza</t>
        </is>
      </c>
    </row>
    <row r="31789" spans="1:1">
      <c r="A31789" t="inlineStr">
        <is>
          <t>Narra</t>
        </is>
      </c>
    </row>
    <row r="31790" spans="1:1">
      <c r="A31790" t="inlineStr">
        <is>
          <t>New Barbacan</t>
        </is>
      </c>
    </row>
    <row r="31791" spans="1:1">
      <c r="A31791" t="inlineStr">
        <is>
          <t>New Cuyo</t>
        </is>
      </c>
    </row>
    <row r="31792" spans="1:1">
      <c r="A31792" t="inlineStr">
        <is>
          <t>Nicanor Zabala</t>
        </is>
      </c>
    </row>
    <row r="31793" spans="1:1">
      <c r="A31793" t="inlineStr">
        <is>
          <t>Rizal</t>
        </is>
      </c>
    </row>
    <row r="31794" spans="1:1">
      <c r="A31794" t="inlineStr">
        <is>
          <t>Salvacion</t>
        </is>
      </c>
    </row>
    <row r="31795" spans="1:1">
      <c r="A31795" t="inlineStr">
        <is>
          <t>San Isidro</t>
        </is>
      </c>
    </row>
    <row r="31796" spans="1:1">
      <c r="A31796" t="inlineStr">
        <is>
          <t>San Jose</t>
        </is>
      </c>
    </row>
    <row r="31797" spans="1:1">
      <c r="A31797" t="inlineStr">
        <is>
          <t>San Miguel</t>
        </is>
      </c>
    </row>
    <row r="31798" spans="1:1">
      <c r="A31798" t="inlineStr">
        <is>
          <t>San Nicolas</t>
        </is>
      </c>
    </row>
    <row r="31799" spans="1:1">
      <c r="A31799" t="inlineStr">
        <is>
          <t>Sandoval</t>
        </is>
      </c>
    </row>
    <row r="31800" spans="1:1">
      <c r="A31800" t="inlineStr">
        <is>
          <t>Tagumpay</t>
        </is>
      </c>
    </row>
    <row r="31801" spans="1:1">
      <c r="A31801" t="inlineStr">
        <is>
          <t>Taradungan</t>
        </is>
      </c>
    </row>
    <row r="31802" spans="1:1">
      <c r="A31802" t="inlineStr">
        <is>
          <t>Tinitian</t>
        </is>
      </c>
    </row>
    <row r="31803" spans="1:1">
      <c r="A31803" t="inlineStr">
        <is>
          <t>Tumarbong</t>
        </is>
      </c>
    </row>
    <row r="31804" spans="1:1">
      <c r="A31804" t="inlineStr">
        <is>
          <t>Alimanguan</t>
        </is>
      </c>
    </row>
    <row r="31805" spans="1:1">
      <c r="A31805" t="inlineStr">
        <is>
          <t>Binga</t>
        </is>
      </c>
    </row>
    <row r="31806" spans="1:1">
      <c r="A31806" t="inlineStr">
        <is>
          <t>Caruray</t>
        </is>
      </c>
    </row>
    <row r="31807" spans="1:1">
      <c r="A31807" t="inlineStr">
        <is>
          <t>Kemdeng</t>
        </is>
      </c>
    </row>
    <row r="31808" spans="1:1">
      <c r="A31808" t="inlineStr">
        <is>
          <t>New Agutaya</t>
        </is>
      </c>
    </row>
    <row r="31809" spans="1:1">
      <c r="A31809" t="inlineStr">
        <is>
          <t>New Canipo</t>
        </is>
      </c>
    </row>
    <row r="31810" spans="1:1">
      <c r="A31810" t="inlineStr">
        <is>
          <t>Poblacion</t>
        </is>
      </c>
    </row>
    <row r="31811" spans="1:1">
      <c r="A31811" t="inlineStr">
        <is>
          <t>Port Barton</t>
        </is>
      </c>
    </row>
    <row r="31812" spans="1:1">
      <c r="A31812" t="inlineStr">
        <is>
          <t>San Isidro</t>
        </is>
      </c>
    </row>
    <row r="31813" spans="1:1">
      <c r="A31813" t="inlineStr">
        <is>
          <t>Santo Niño</t>
        </is>
      </c>
    </row>
    <row r="31814" spans="1:1">
      <c r="A31814" t="inlineStr">
        <is>
          <t>Abo-abo</t>
        </is>
      </c>
    </row>
    <row r="31815" spans="1:1">
      <c r="A31815" t="inlineStr">
        <is>
          <t>Iraray</t>
        </is>
      </c>
    </row>
    <row r="31816" spans="1:1">
      <c r="A31816" t="inlineStr">
        <is>
          <t>Isumbo</t>
        </is>
      </c>
    </row>
    <row r="31817" spans="1:1">
      <c r="A31817" t="inlineStr">
        <is>
          <t>Labog</t>
        </is>
      </c>
    </row>
    <row r="31818" spans="1:1">
      <c r="A31818" t="inlineStr">
        <is>
          <t>Panitian</t>
        </is>
      </c>
    </row>
    <row r="31819" spans="1:1">
      <c r="A31819" t="inlineStr">
        <is>
          <t>Pulot Center</t>
        </is>
      </c>
    </row>
    <row r="31820" spans="1:1">
      <c r="A31820" t="inlineStr">
        <is>
          <t>Pulot Interior</t>
        </is>
      </c>
    </row>
    <row r="31821" spans="1:1">
      <c r="A31821" t="inlineStr">
        <is>
          <t>Pulot Shore</t>
        </is>
      </c>
    </row>
    <row r="31822" spans="1:1">
      <c r="A31822" t="inlineStr">
        <is>
          <t>Punang</t>
        </is>
      </c>
    </row>
    <row r="31823" spans="1:1">
      <c r="A31823" t="inlineStr">
        <is>
          <t>Abongan</t>
        </is>
      </c>
    </row>
    <row r="31824" spans="1:1">
      <c r="A31824" t="inlineStr">
        <is>
          <t>Alacalian</t>
        </is>
      </c>
    </row>
    <row r="31825" spans="1:1">
      <c r="A31825" t="inlineStr">
        <is>
          <t>Banbanan</t>
        </is>
      </c>
    </row>
    <row r="31826" spans="1:1">
      <c r="A31826" t="inlineStr">
        <is>
          <t>Bantulan</t>
        </is>
      </c>
    </row>
    <row r="31827" spans="1:1">
      <c r="A31827" t="inlineStr">
        <is>
          <t>Baras</t>
        </is>
      </c>
    </row>
    <row r="31828" spans="1:1">
      <c r="A31828" t="inlineStr">
        <is>
          <t>Batas</t>
        </is>
      </c>
    </row>
    <row r="31829" spans="1:1">
      <c r="A31829" t="inlineStr">
        <is>
          <t>Bato</t>
        </is>
      </c>
    </row>
    <row r="31830" spans="1:1">
      <c r="A31830" t="inlineStr">
        <is>
          <t>Beton</t>
        </is>
      </c>
    </row>
    <row r="31831" spans="1:1">
      <c r="A31831" t="inlineStr">
        <is>
          <t>Busy Bees</t>
        </is>
      </c>
    </row>
    <row r="31832" spans="1:1">
      <c r="A31832" t="inlineStr">
        <is>
          <t>Calawag</t>
        </is>
      </c>
    </row>
    <row r="31833" spans="1:1">
      <c r="A31833" t="inlineStr">
        <is>
          <t>Casian</t>
        </is>
      </c>
    </row>
    <row r="31834" spans="1:1">
      <c r="A31834" t="inlineStr">
        <is>
          <t>Cataban</t>
        </is>
      </c>
    </row>
    <row r="31835" spans="1:1">
      <c r="A31835" t="inlineStr">
        <is>
          <t>Debangan</t>
        </is>
      </c>
    </row>
    <row r="31836" spans="1:1">
      <c r="A31836" t="inlineStr">
        <is>
          <t>Depla</t>
        </is>
      </c>
    </row>
    <row r="31837" spans="1:1">
      <c r="A31837" t="inlineStr">
        <is>
          <t>Libertad</t>
        </is>
      </c>
    </row>
    <row r="31838" spans="1:1">
      <c r="A31838" t="inlineStr">
        <is>
          <t>Liminangcong</t>
        </is>
      </c>
    </row>
    <row r="31839" spans="1:1">
      <c r="A31839" t="inlineStr">
        <is>
          <t>Maytegued</t>
        </is>
      </c>
    </row>
    <row r="31840" spans="1:1">
      <c r="A31840" t="inlineStr">
        <is>
          <t>Minapla</t>
        </is>
      </c>
    </row>
    <row r="31841" spans="1:1">
      <c r="A31841" t="inlineStr">
        <is>
          <t>New Guinlo</t>
        </is>
      </c>
    </row>
    <row r="31842" spans="1:1">
      <c r="A31842" t="inlineStr">
        <is>
          <t>Old Guinlo</t>
        </is>
      </c>
    </row>
    <row r="31843" spans="1:1">
      <c r="A31843" t="inlineStr">
        <is>
          <t>Paglaum</t>
        </is>
      </c>
    </row>
    <row r="31844" spans="1:1">
      <c r="A31844" t="inlineStr">
        <is>
          <t>Paly</t>
        </is>
      </c>
    </row>
    <row r="31845" spans="1:1">
      <c r="A31845" t="inlineStr">
        <is>
          <t>Pamantolon</t>
        </is>
      </c>
    </row>
    <row r="31846" spans="1:1">
      <c r="A31846" t="inlineStr">
        <is>
          <t>Pancol</t>
        </is>
      </c>
    </row>
    <row r="31847" spans="1:1">
      <c r="A31847" t="inlineStr">
        <is>
          <t>Poblacion</t>
        </is>
      </c>
    </row>
    <row r="31848" spans="1:1">
      <c r="A31848" t="inlineStr">
        <is>
          <t>Pularaquen</t>
        </is>
      </c>
    </row>
    <row r="31849" spans="1:1">
      <c r="A31849" t="inlineStr">
        <is>
          <t>San Jose</t>
        </is>
      </c>
    </row>
    <row r="31850" spans="1:1">
      <c r="A31850" t="inlineStr">
        <is>
          <t>Sandoval</t>
        </is>
      </c>
    </row>
    <row r="31851" spans="1:1">
      <c r="A31851" t="inlineStr">
        <is>
          <t>Silanga</t>
        </is>
      </c>
    </row>
    <row r="31852" spans="1:1">
      <c r="A31852" t="inlineStr">
        <is>
          <t>Talog</t>
        </is>
      </c>
    </row>
    <row r="31853" spans="1:1">
      <c r="A31853" t="inlineStr">
        <is>
          <t>Tumbod</t>
        </is>
      </c>
    </row>
    <row r="31854" spans="1:1">
      <c r="A31854" t="inlineStr">
        <is>
          <t>Balucuc</t>
        </is>
      </c>
    </row>
    <row r="31855" spans="1:1">
      <c r="A31855" t="inlineStr">
        <is>
          <t>Calantipe</t>
        </is>
      </c>
    </row>
    <row r="31856" spans="1:1">
      <c r="A31856" t="inlineStr">
        <is>
          <t>Cansinala</t>
        </is>
      </c>
    </row>
    <row r="31857" spans="1:1">
      <c r="A31857" t="inlineStr">
        <is>
          <t>Capalangan</t>
        </is>
      </c>
    </row>
    <row r="31858" spans="1:1">
      <c r="A31858" t="inlineStr">
        <is>
          <t>Colgante</t>
        </is>
      </c>
    </row>
    <row r="31859" spans="1:1">
      <c r="A31859" t="inlineStr">
        <is>
          <t>Paligui</t>
        </is>
      </c>
    </row>
    <row r="31860" spans="1:1">
      <c r="A31860" t="inlineStr">
        <is>
          <t>Sampaloc</t>
        </is>
      </c>
    </row>
    <row r="31861" spans="1:1">
      <c r="A31861" t="inlineStr">
        <is>
          <t>San Juan</t>
        </is>
      </c>
    </row>
    <row r="31862" spans="1:1">
      <c r="A31862" t="inlineStr">
        <is>
          <t>San Vicente</t>
        </is>
      </c>
    </row>
    <row r="31863" spans="1:1">
      <c r="A31863" t="inlineStr">
        <is>
          <t>Sucad</t>
        </is>
      </c>
    </row>
    <row r="31864" spans="1:1">
      <c r="A31864" t="inlineStr">
        <is>
          <t>Sulipan</t>
        </is>
      </c>
    </row>
    <row r="31865" spans="1:1">
      <c r="A31865" t="inlineStr">
        <is>
          <t>Tabuyuc</t>
        </is>
      </c>
    </row>
    <row r="31866" spans="1:1">
      <c r="A31866" t="inlineStr">
        <is>
          <t>Arenas</t>
        </is>
      </c>
    </row>
    <row r="31867" spans="1:1">
      <c r="A31867" t="inlineStr">
        <is>
          <t>Baliti</t>
        </is>
      </c>
    </row>
    <row r="31868" spans="1:1">
      <c r="A31868" t="inlineStr">
        <is>
          <t>Batasan</t>
        </is>
      </c>
    </row>
    <row r="31869" spans="1:1">
      <c r="A31869" t="inlineStr">
        <is>
          <t>Buensuceso</t>
        </is>
      </c>
    </row>
    <row r="31870" spans="1:1">
      <c r="A31870" t="inlineStr">
        <is>
          <t>Candating</t>
        </is>
      </c>
    </row>
    <row r="31871" spans="1:1">
      <c r="A31871" t="inlineStr">
        <is>
          <t>Cupang</t>
        </is>
      </c>
    </row>
    <row r="31872" spans="1:1">
      <c r="A31872" t="inlineStr">
        <is>
          <t>Gatiawin</t>
        </is>
      </c>
    </row>
    <row r="31873" spans="1:1">
      <c r="A31873" t="inlineStr">
        <is>
          <t>Guemasan</t>
        </is>
      </c>
    </row>
    <row r="31874" spans="1:1">
      <c r="A31874" t="inlineStr">
        <is>
          <t>Kaledian</t>
        </is>
      </c>
    </row>
    <row r="31875" spans="1:1">
      <c r="A31875" t="inlineStr">
        <is>
          <t>La Paz</t>
        </is>
      </c>
    </row>
    <row r="31876" spans="1:1">
      <c r="A31876" t="inlineStr">
        <is>
          <t>Lacmit</t>
        </is>
      </c>
    </row>
    <row r="31877" spans="1:1">
      <c r="A31877" t="inlineStr">
        <is>
          <t>Lacquios</t>
        </is>
      </c>
    </row>
    <row r="31878" spans="1:1">
      <c r="A31878" t="inlineStr">
        <is>
          <t>Mangga-Cacutud</t>
        </is>
      </c>
    </row>
    <row r="31879" spans="1:1">
      <c r="A31879" t="inlineStr">
        <is>
          <t>Mapalad</t>
        </is>
      </c>
    </row>
    <row r="31880" spans="1:1">
      <c r="A31880" t="inlineStr">
        <is>
          <t>Matamo</t>
        </is>
      </c>
    </row>
    <row r="31881" spans="1:1">
      <c r="A31881" t="inlineStr">
        <is>
          <t>Panlinlang</t>
        </is>
      </c>
    </row>
    <row r="31882" spans="1:1">
      <c r="A31882" t="inlineStr">
        <is>
          <t>Paralaya</t>
        </is>
      </c>
    </row>
    <row r="31883" spans="1:1">
      <c r="A31883" t="inlineStr">
        <is>
          <t>Plazang Luma</t>
        </is>
      </c>
    </row>
    <row r="31884" spans="1:1">
      <c r="A31884" t="inlineStr">
        <is>
          <t>Poblacion</t>
        </is>
      </c>
    </row>
    <row r="31885" spans="1:1">
      <c r="A31885" t="inlineStr">
        <is>
          <t>San Agustin Norte</t>
        </is>
      </c>
    </row>
    <row r="31886" spans="1:1">
      <c r="A31886" t="inlineStr">
        <is>
          <t>San Agustin Sur</t>
        </is>
      </c>
    </row>
    <row r="31887" spans="1:1">
      <c r="A31887" t="inlineStr">
        <is>
          <t>San Antonio</t>
        </is>
      </c>
    </row>
    <row r="31888" spans="1:1">
      <c r="A31888" t="inlineStr">
        <is>
          <t>San Jose Mesulo</t>
        </is>
      </c>
    </row>
    <row r="31889" spans="1:1">
      <c r="A31889" t="inlineStr">
        <is>
          <t>San Juan Bano</t>
        </is>
      </c>
    </row>
    <row r="31890" spans="1:1">
      <c r="A31890" t="inlineStr">
        <is>
          <t>San Mateo</t>
        </is>
      </c>
    </row>
    <row r="31891" spans="1:1">
      <c r="A31891" t="inlineStr">
        <is>
          <t>San Nicolas</t>
        </is>
      </c>
    </row>
    <row r="31892" spans="1:1">
      <c r="A31892" t="inlineStr">
        <is>
          <t>San Roque Bitas</t>
        </is>
      </c>
    </row>
    <row r="31893" spans="1:1">
      <c r="A31893" t="inlineStr">
        <is>
          <t>Santo Niño Tabuan</t>
        </is>
      </c>
    </row>
    <row r="31894" spans="1:1">
      <c r="A31894" t="inlineStr">
        <is>
          <t>Suclayin</t>
        </is>
      </c>
    </row>
    <row r="31895" spans="1:1">
      <c r="A31895" t="inlineStr">
        <is>
          <t>Telapayong</t>
        </is>
      </c>
    </row>
    <row r="31896" spans="1:1">
      <c r="A31896" t="inlineStr">
        <is>
          <t>Balas</t>
        </is>
      </c>
    </row>
    <row r="31897" spans="1:1">
      <c r="A31897" t="inlineStr">
        <is>
          <t>Cabalantian</t>
        </is>
      </c>
    </row>
    <row r="31898" spans="1:1">
      <c r="A31898" t="inlineStr">
        <is>
          <t>Cabambangan</t>
        </is>
      </c>
    </row>
    <row r="31899" spans="1:1">
      <c r="A31899" t="inlineStr">
        <is>
          <t>Cabetican</t>
        </is>
      </c>
    </row>
    <row r="31900" spans="1:1">
      <c r="A31900" t="inlineStr">
        <is>
          <t>Calibutbut</t>
        </is>
      </c>
    </row>
    <row r="31901" spans="1:1">
      <c r="A31901" t="inlineStr">
        <is>
          <t>Concepcion</t>
        </is>
      </c>
    </row>
    <row r="31902" spans="1:1">
      <c r="A31902" t="inlineStr">
        <is>
          <t>Dolores</t>
        </is>
      </c>
    </row>
    <row r="31903" spans="1:1">
      <c r="A31903" t="inlineStr">
        <is>
          <t>Duat</t>
        </is>
      </c>
    </row>
    <row r="31904" spans="1:1">
      <c r="A31904" t="inlineStr">
        <is>
          <t>Macabacle</t>
        </is>
      </c>
    </row>
    <row r="31905" spans="1:1">
      <c r="A31905" t="inlineStr">
        <is>
          <t>Magliman</t>
        </is>
      </c>
    </row>
    <row r="31906" spans="1:1">
      <c r="A31906" t="inlineStr">
        <is>
          <t>Maliwalu</t>
        </is>
      </c>
    </row>
    <row r="31907" spans="1:1">
      <c r="A31907" t="inlineStr">
        <is>
          <t>Mesalipit</t>
        </is>
      </c>
    </row>
    <row r="31908" spans="1:1">
      <c r="A31908" t="inlineStr">
        <is>
          <t>Parulog</t>
        </is>
      </c>
    </row>
    <row r="31909" spans="1:1">
      <c r="A31909" t="inlineStr">
        <is>
          <t>Potrero</t>
        </is>
      </c>
    </row>
    <row r="31910" spans="1:1">
      <c r="A31910" t="inlineStr">
        <is>
          <t>San Antonio</t>
        </is>
      </c>
    </row>
    <row r="31911" spans="1:1">
      <c r="A31911" t="inlineStr">
        <is>
          <t>San Isidro</t>
        </is>
      </c>
    </row>
    <row r="31912" spans="1:1">
      <c r="A31912" t="inlineStr">
        <is>
          <t>San Vicente</t>
        </is>
      </c>
    </row>
    <row r="31913" spans="1:1">
      <c r="A31913" t="inlineStr">
        <is>
          <t>Santa Barbara</t>
        </is>
      </c>
    </row>
    <row r="31914" spans="1:1">
      <c r="A31914" t="inlineStr">
        <is>
          <t>Santa Ines</t>
        </is>
      </c>
    </row>
    <row r="31915" spans="1:1">
      <c r="A31915" t="inlineStr">
        <is>
          <t>Talba</t>
        </is>
      </c>
    </row>
    <row r="31916" spans="1:1">
      <c r="A31916" t="inlineStr">
        <is>
          <t>Tinajero</t>
        </is>
      </c>
    </row>
    <row r="31917" spans="1:1">
      <c r="A31917" t="inlineStr">
        <is>
          <t>Bahay Pare</t>
        </is>
      </c>
    </row>
    <row r="31918" spans="1:1">
      <c r="A31918" t="inlineStr">
        <is>
          <t>Bambang</t>
        </is>
      </c>
    </row>
    <row r="31919" spans="1:1">
      <c r="A31919" t="inlineStr">
        <is>
          <t>Barangca</t>
        </is>
      </c>
    </row>
    <row r="31920" spans="1:1">
      <c r="A31920" t="inlineStr">
        <is>
          <t>Barit</t>
        </is>
      </c>
    </row>
    <row r="31921" spans="1:1">
      <c r="A31921" t="inlineStr">
        <is>
          <t>Buas</t>
        </is>
      </c>
    </row>
    <row r="31922" spans="1:1">
      <c r="A31922" t="inlineStr">
        <is>
          <t>Cuayang Bugtong</t>
        </is>
      </c>
    </row>
    <row r="31923" spans="1:1">
      <c r="A31923" t="inlineStr">
        <is>
          <t>Dalayap</t>
        </is>
      </c>
    </row>
    <row r="31924" spans="1:1">
      <c r="A31924" t="inlineStr">
        <is>
          <t>Dulong Ilog</t>
        </is>
      </c>
    </row>
    <row r="31925" spans="1:1">
      <c r="A31925" t="inlineStr">
        <is>
          <t>Gulap</t>
        </is>
      </c>
    </row>
    <row r="31926" spans="1:1">
      <c r="A31926" t="inlineStr">
        <is>
          <t>Lanang</t>
        </is>
      </c>
    </row>
    <row r="31927" spans="1:1">
      <c r="A31927" t="inlineStr">
        <is>
          <t>Lourdes</t>
        </is>
      </c>
    </row>
    <row r="31928" spans="1:1">
      <c r="A31928" t="inlineStr">
        <is>
          <t>Magumbali</t>
        </is>
      </c>
    </row>
    <row r="31929" spans="1:1">
      <c r="A31929" t="inlineStr">
        <is>
          <t>Mandasig</t>
        </is>
      </c>
    </row>
    <row r="31930" spans="1:1">
      <c r="A31930" t="inlineStr">
        <is>
          <t>Mandili</t>
        </is>
      </c>
    </row>
    <row r="31931" spans="1:1">
      <c r="A31931" t="inlineStr">
        <is>
          <t>Mangga</t>
        </is>
      </c>
    </row>
    <row r="31932" spans="1:1">
      <c r="A31932" t="inlineStr">
        <is>
          <t>Mapaniqui</t>
        </is>
      </c>
    </row>
    <row r="31933" spans="1:1">
      <c r="A31933" t="inlineStr">
        <is>
          <t>Paligui</t>
        </is>
      </c>
    </row>
    <row r="31934" spans="1:1">
      <c r="A31934" t="inlineStr">
        <is>
          <t>Pangclara</t>
        </is>
      </c>
    </row>
    <row r="31935" spans="1:1">
      <c r="A31935" t="inlineStr">
        <is>
          <t>Pansinao</t>
        </is>
      </c>
    </row>
    <row r="31936" spans="1:1">
      <c r="A31936" t="inlineStr">
        <is>
          <t>Paralaya</t>
        </is>
      </c>
    </row>
    <row r="31937" spans="1:1">
      <c r="A31937" t="inlineStr">
        <is>
          <t>Pasig</t>
        </is>
      </c>
    </row>
    <row r="31938" spans="1:1">
      <c r="A31938" t="inlineStr">
        <is>
          <t>Pescadores</t>
        </is>
      </c>
    </row>
    <row r="31939" spans="1:1">
      <c r="A31939" t="inlineStr">
        <is>
          <t>Pulong Gubat</t>
        </is>
      </c>
    </row>
    <row r="31940" spans="1:1">
      <c r="A31940" t="inlineStr">
        <is>
          <t>Pulong Palazan</t>
        </is>
      </c>
    </row>
    <row r="31941" spans="1:1">
      <c r="A31941" t="inlineStr">
        <is>
          <t>Salapungan</t>
        </is>
      </c>
    </row>
    <row r="31942" spans="1:1">
      <c r="A31942" t="inlineStr">
        <is>
          <t>San Agustin</t>
        </is>
      </c>
    </row>
    <row r="31943" spans="1:1">
      <c r="A31943" t="inlineStr">
        <is>
          <t>Santo Rosario</t>
        </is>
      </c>
    </row>
    <row r="31944" spans="1:1">
      <c r="A31944" t="inlineStr">
        <is>
          <t>Tagulod</t>
        </is>
      </c>
    </row>
    <row r="31945" spans="1:1">
      <c r="A31945" t="inlineStr">
        <is>
          <t>Talang</t>
        </is>
      </c>
    </row>
    <row r="31946" spans="1:1">
      <c r="A31946" t="inlineStr">
        <is>
          <t>Tenejero</t>
        </is>
      </c>
    </row>
    <row r="31947" spans="1:1">
      <c r="A31947" t="inlineStr">
        <is>
          <t>Vizal San Pablo</t>
        </is>
      </c>
    </row>
    <row r="31948" spans="1:1">
      <c r="A31948" t="inlineStr">
        <is>
          <t>Vizal Santo Cristo</t>
        </is>
      </c>
    </row>
    <row r="31949" spans="1:1">
      <c r="A31949" t="inlineStr">
        <is>
          <t>Vizal Santo Niño</t>
        </is>
      </c>
    </row>
    <row r="31950" spans="1:1">
      <c r="A31950" t="inlineStr">
        <is>
          <t>Alasas</t>
        </is>
      </c>
    </row>
    <row r="31951" spans="1:1">
      <c r="A31951" t="inlineStr">
        <is>
          <t>Baliti</t>
        </is>
      </c>
    </row>
    <row r="31952" spans="1:1">
      <c r="A31952" t="inlineStr">
        <is>
          <t>Bulaon</t>
        </is>
      </c>
    </row>
    <row r="31953" spans="1:1">
      <c r="A31953" t="inlineStr">
        <is>
          <t>Calulut</t>
        </is>
      </c>
    </row>
    <row r="31954" spans="1:1">
      <c r="A31954" t="inlineStr">
        <is>
          <t>Del Carmen</t>
        </is>
      </c>
    </row>
    <row r="31955" spans="1:1">
      <c r="A31955" t="inlineStr">
        <is>
          <t>Del Pilar</t>
        </is>
      </c>
    </row>
    <row r="31956" spans="1:1">
      <c r="A31956" t="inlineStr">
        <is>
          <t>Del Rosario</t>
        </is>
      </c>
    </row>
    <row r="31957" spans="1:1">
      <c r="A31957" t="inlineStr">
        <is>
          <t>Dela Paz Norte</t>
        </is>
      </c>
    </row>
    <row r="31958" spans="1:1">
      <c r="A31958" t="inlineStr">
        <is>
          <t>Dela Paz Sur</t>
        </is>
      </c>
    </row>
    <row r="31959" spans="1:1">
      <c r="A31959" t="inlineStr">
        <is>
          <t>Dolores</t>
        </is>
      </c>
    </row>
    <row r="31960" spans="1:1">
      <c r="A31960" t="inlineStr">
        <is>
          <t>Juliana</t>
        </is>
      </c>
    </row>
    <row r="31961" spans="1:1">
      <c r="A31961" t="inlineStr">
        <is>
          <t>Lara</t>
        </is>
      </c>
    </row>
    <row r="31962" spans="1:1">
      <c r="A31962" t="inlineStr">
        <is>
          <t>Lourdes</t>
        </is>
      </c>
    </row>
    <row r="31963" spans="1:1">
      <c r="A31963" t="inlineStr">
        <is>
          <t>Magliman</t>
        </is>
      </c>
    </row>
    <row r="31964" spans="1:1">
      <c r="A31964" t="inlineStr">
        <is>
          <t>Maimpis</t>
        </is>
      </c>
    </row>
    <row r="31965" spans="1:1">
      <c r="A31965" t="inlineStr">
        <is>
          <t>Malino</t>
        </is>
      </c>
    </row>
    <row r="31966" spans="1:1">
      <c r="A31966" t="inlineStr">
        <is>
          <t>Malpitic</t>
        </is>
      </c>
    </row>
    <row r="31967" spans="1:1">
      <c r="A31967" t="inlineStr">
        <is>
          <t>Pandaras</t>
        </is>
      </c>
    </row>
    <row r="31968" spans="1:1">
      <c r="A31968" t="inlineStr">
        <is>
          <t>Panipuan</t>
        </is>
      </c>
    </row>
    <row r="31969" spans="1:1">
      <c r="A31969" t="inlineStr">
        <is>
          <t>Pulung Bulu</t>
        </is>
      </c>
    </row>
    <row r="31970" spans="1:1">
      <c r="A31970" t="inlineStr">
        <is>
          <t>Quebiauan</t>
        </is>
      </c>
    </row>
    <row r="31971" spans="1:1">
      <c r="A31971" t="inlineStr">
        <is>
          <t>Saguin</t>
        </is>
      </c>
    </row>
    <row r="31972" spans="1:1">
      <c r="A31972" t="inlineStr">
        <is>
          <t>San Agustin</t>
        </is>
      </c>
    </row>
    <row r="31973" spans="1:1">
      <c r="A31973" t="inlineStr">
        <is>
          <t>San Felipe</t>
        </is>
      </c>
    </row>
    <row r="31974" spans="1:1">
      <c r="A31974" t="inlineStr">
        <is>
          <t>San Isidro</t>
        </is>
      </c>
    </row>
    <row r="31975" spans="1:1">
      <c r="A31975" t="inlineStr">
        <is>
          <t>San Jose</t>
        </is>
      </c>
    </row>
    <row r="31976" spans="1:1">
      <c r="A31976" t="inlineStr">
        <is>
          <t>San Juan</t>
        </is>
      </c>
    </row>
    <row r="31977" spans="1:1">
      <c r="A31977" t="inlineStr">
        <is>
          <t>San Nicolas</t>
        </is>
      </c>
    </row>
    <row r="31978" spans="1:1">
      <c r="A31978" t="inlineStr">
        <is>
          <t>San Pedro</t>
        </is>
      </c>
    </row>
    <row r="31979" spans="1:1">
      <c r="A31979" t="inlineStr">
        <is>
          <t>Santa Lucia</t>
        </is>
      </c>
    </row>
    <row r="31980" spans="1:1">
      <c r="A31980" t="inlineStr">
        <is>
          <t>Santa Teresita</t>
        </is>
      </c>
    </row>
    <row r="31981" spans="1:1">
      <c r="A31981" t="inlineStr">
        <is>
          <t>Santo Niño</t>
        </is>
      </c>
    </row>
    <row r="31982" spans="1:1">
      <c r="A31982" t="inlineStr">
        <is>
          <t>Santo Rosario</t>
        </is>
      </c>
    </row>
    <row r="31983" spans="1:1">
      <c r="A31983" t="inlineStr">
        <is>
          <t>Sindalan</t>
        </is>
      </c>
    </row>
    <row r="31984" spans="1:1">
      <c r="A31984" t="inlineStr">
        <is>
          <t>Telabastagan</t>
        </is>
      </c>
    </row>
    <row r="31985" spans="1:1">
      <c r="A31985" t="inlineStr">
        <is>
          <t>Anon</t>
        </is>
      </c>
    </row>
    <row r="31986" spans="1:1">
      <c r="A31986" t="inlineStr">
        <is>
          <t>Apalit</t>
        </is>
      </c>
    </row>
    <row r="31987" spans="1:1">
      <c r="A31987" t="inlineStr">
        <is>
          <t>Basa Air Base</t>
        </is>
      </c>
    </row>
    <row r="31988" spans="1:1">
      <c r="A31988" t="inlineStr">
        <is>
          <t>Benedicto</t>
        </is>
      </c>
    </row>
    <row r="31989" spans="1:1">
      <c r="A31989" t="inlineStr">
        <is>
          <t>Bodega</t>
        </is>
      </c>
    </row>
    <row r="31990" spans="1:1">
      <c r="A31990" t="inlineStr">
        <is>
          <t>Cabangcalan</t>
        </is>
      </c>
    </row>
    <row r="31991" spans="1:1">
      <c r="A31991" t="inlineStr">
        <is>
          <t>Calantas</t>
        </is>
      </c>
    </row>
    <row r="31992" spans="1:1">
      <c r="A31992" t="inlineStr">
        <is>
          <t>Carmencita</t>
        </is>
      </c>
    </row>
    <row r="31993" spans="1:1">
      <c r="A31993" t="inlineStr">
        <is>
          <t>Consuelo</t>
        </is>
      </c>
    </row>
    <row r="31994" spans="1:1">
      <c r="A31994" t="inlineStr">
        <is>
          <t>Dampe</t>
        </is>
      </c>
    </row>
    <row r="31995" spans="1:1">
      <c r="A31995" t="inlineStr">
        <is>
          <t>Del Carmen</t>
        </is>
      </c>
    </row>
    <row r="31996" spans="1:1">
      <c r="A31996" t="inlineStr">
        <is>
          <t>Fortuna</t>
        </is>
      </c>
    </row>
    <row r="31997" spans="1:1">
      <c r="A31997" t="inlineStr">
        <is>
          <t>Gutad</t>
        </is>
      </c>
    </row>
    <row r="31998" spans="1:1">
      <c r="A31998" t="inlineStr">
        <is>
          <t>Mabical</t>
        </is>
      </c>
    </row>
    <row r="31999" spans="1:1">
      <c r="A31999" t="inlineStr">
        <is>
          <t>Maligaya</t>
        </is>
      </c>
    </row>
    <row r="32000" spans="1:1">
      <c r="A32000" t="inlineStr">
        <is>
          <t>Mawacat</t>
        </is>
      </c>
    </row>
    <row r="32001" spans="1:1">
      <c r="A32001" t="inlineStr">
        <is>
          <t>Nabuclod</t>
        </is>
      </c>
    </row>
    <row r="32002" spans="1:1">
      <c r="A32002" t="inlineStr">
        <is>
          <t>Pabanlag</t>
        </is>
      </c>
    </row>
    <row r="32003" spans="1:1">
      <c r="A32003" t="inlineStr">
        <is>
          <t>Paguiruan</t>
        </is>
      </c>
    </row>
    <row r="32004" spans="1:1">
      <c r="A32004" t="inlineStr">
        <is>
          <t>Palmayo</t>
        </is>
      </c>
    </row>
    <row r="32005" spans="1:1">
      <c r="A32005" t="inlineStr">
        <is>
          <t>Pandaguirig</t>
        </is>
      </c>
    </row>
    <row r="32006" spans="1:1">
      <c r="A32006" t="inlineStr">
        <is>
          <t>Poblacion</t>
        </is>
      </c>
    </row>
    <row r="32007" spans="1:1">
      <c r="A32007" t="inlineStr">
        <is>
          <t>San Antonio</t>
        </is>
      </c>
    </row>
    <row r="32008" spans="1:1">
      <c r="A32008" t="inlineStr">
        <is>
          <t>San Isidro</t>
        </is>
      </c>
    </row>
    <row r="32009" spans="1:1">
      <c r="A32009" t="inlineStr">
        <is>
          <t>San Jose</t>
        </is>
      </c>
    </row>
    <row r="32010" spans="1:1">
      <c r="A32010" t="inlineStr">
        <is>
          <t>San Nicolas</t>
        </is>
      </c>
    </row>
    <row r="32011" spans="1:1">
      <c r="A32011" t="inlineStr">
        <is>
          <t>San Pedro</t>
        </is>
      </c>
    </row>
    <row r="32012" spans="1:1">
      <c r="A32012" t="inlineStr">
        <is>
          <t>San Ramon</t>
        </is>
      </c>
    </row>
    <row r="32013" spans="1:1">
      <c r="A32013" t="inlineStr">
        <is>
          <t>San Roque</t>
        </is>
      </c>
    </row>
    <row r="32014" spans="1:1">
      <c r="A32014" t="inlineStr">
        <is>
          <t>Solib</t>
        </is>
      </c>
    </row>
    <row r="32015" spans="1:1">
      <c r="A32015" t="inlineStr">
        <is>
          <t>Sta. Monica</t>
        </is>
      </c>
    </row>
    <row r="32016" spans="1:1">
      <c r="A32016" t="inlineStr">
        <is>
          <t>Sto. Rosario</t>
        </is>
      </c>
    </row>
    <row r="32017" spans="1:1">
      <c r="A32017" t="inlineStr">
        <is>
          <t>Valdez</t>
        </is>
      </c>
    </row>
    <row r="32018" spans="1:1">
      <c r="A32018" t="inlineStr">
        <is>
          <t>Ascomo</t>
        </is>
      </c>
    </row>
    <row r="32019" spans="1:1">
      <c r="A32019" t="inlineStr">
        <is>
          <t>Bancal</t>
        </is>
      </c>
    </row>
    <row r="32020" spans="1:1">
      <c r="A32020" t="inlineStr">
        <is>
          <t>Jose Abad Santos</t>
        </is>
      </c>
    </row>
    <row r="32021" spans="1:1">
      <c r="A32021" t="inlineStr">
        <is>
          <t>Lambac</t>
        </is>
      </c>
    </row>
    <row r="32022" spans="1:1">
      <c r="A32022" t="inlineStr">
        <is>
          <t>Magsaysay</t>
        </is>
      </c>
    </row>
    <row r="32023" spans="1:1">
      <c r="A32023" t="inlineStr">
        <is>
          <t>Maquiapo</t>
        </is>
      </c>
    </row>
    <row r="32024" spans="1:1">
      <c r="A32024" t="inlineStr">
        <is>
          <t>Natividad</t>
        </is>
      </c>
    </row>
    <row r="32025" spans="1:1">
      <c r="A32025" t="inlineStr">
        <is>
          <t>Plaza Burgos</t>
        </is>
      </c>
    </row>
    <row r="32026" spans="1:1">
      <c r="A32026" t="inlineStr">
        <is>
          <t>Pulungmasle</t>
        </is>
      </c>
    </row>
    <row r="32027" spans="1:1">
      <c r="A32027" t="inlineStr">
        <is>
          <t>Rizal</t>
        </is>
      </c>
    </row>
    <row r="32028" spans="1:1">
      <c r="A32028" t="inlineStr">
        <is>
          <t>San Agustin</t>
        </is>
      </c>
    </row>
    <row r="32029" spans="1:1">
      <c r="A32029" t="inlineStr">
        <is>
          <t>San Antonio</t>
        </is>
      </c>
    </row>
    <row r="32030" spans="1:1">
      <c r="A32030" t="inlineStr">
        <is>
          <t>San Isidro</t>
        </is>
      </c>
    </row>
    <row r="32031" spans="1:1">
      <c r="A32031" t="inlineStr">
        <is>
          <t>San Jose</t>
        </is>
      </c>
    </row>
    <row r="32032" spans="1:1">
      <c r="A32032" t="inlineStr">
        <is>
          <t>San Juan</t>
        </is>
      </c>
    </row>
    <row r="32033" spans="1:1">
      <c r="A32033" t="inlineStr">
        <is>
          <t>San Juan Bautista</t>
        </is>
      </c>
    </row>
    <row r="32034" spans="1:1">
      <c r="A32034" t="inlineStr">
        <is>
          <t>San Juan Nepomuceno</t>
        </is>
      </c>
    </row>
    <row r="32035" spans="1:1">
      <c r="A32035" t="inlineStr">
        <is>
          <t>San Matias</t>
        </is>
      </c>
    </row>
    <row r="32036" spans="1:1">
      <c r="A32036" t="inlineStr">
        <is>
          <t>San Miguel</t>
        </is>
      </c>
    </row>
    <row r="32037" spans="1:1">
      <c r="A32037" t="inlineStr">
        <is>
          <t>San Nicolas 1st</t>
        </is>
      </c>
    </row>
    <row r="32038" spans="1:1">
      <c r="A32038" t="inlineStr">
        <is>
          <t>San Nicolas 2nd</t>
        </is>
      </c>
    </row>
    <row r="32039" spans="1:1">
      <c r="A32039" t="inlineStr">
        <is>
          <t>San Pablo</t>
        </is>
      </c>
    </row>
    <row r="32040" spans="1:1">
      <c r="A32040" t="inlineStr">
        <is>
          <t>San Pedro</t>
        </is>
      </c>
    </row>
    <row r="32041" spans="1:1">
      <c r="A32041" t="inlineStr">
        <is>
          <t>San Rafael</t>
        </is>
      </c>
    </row>
    <row r="32042" spans="1:1">
      <c r="A32042" t="inlineStr">
        <is>
          <t>San Roque</t>
        </is>
      </c>
    </row>
    <row r="32043" spans="1:1">
      <c r="A32043" t="inlineStr">
        <is>
          <t>San Vicente</t>
        </is>
      </c>
    </row>
    <row r="32044" spans="1:1">
      <c r="A32044" t="inlineStr">
        <is>
          <t>Santa Filomena</t>
        </is>
      </c>
    </row>
    <row r="32045" spans="1:1">
      <c r="A32045" t="inlineStr">
        <is>
          <t>Santa Ines</t>
        </is>
      </c>
    </row>
    <row r="32046" spans="1:1">
      <c r="A32046" t="inlineStr">
        <is>
          <t>Santa Ursula</t>
        </is>
      </c>
    </row>
    <row r="32047" spans="1:1">
      <c r="A32047" t="inlineStr">
        <is>
          <t>Santo Cristo</t>
        </is>
      </c>
    </row>
    <row r="32048" spans="1:1">
      <c r="A32048" t="inlineStr">
        <is>
          <t>Santo Niño</t>
        </is>
      </c>
    </row>
    <row r="32049" spans="1:1">
      <c r="A32049" t="inlineStr">
        <is>
          <t>Balantacan</t>
        </is>
      </c>
    </row>
    <row r="32050" spans="1:1">
      <c r="A32050" t="inlineStr">
        <is>
          <t>Bancal Pugad</t>
        </is>
      </c>
    </row>
    <row r="32051" spans="1:1">
      <c r="A32051" t="inlineStr">
        <is>
          <t>Bancal Sinubli</t>
        </is>
      </c>
    </row>
    <row r="32052" spans="1:1">
      <c r="A32052" t="inlineStr">
        <is>
          <t>Baruya</t>
        </is>
      </c>
    </row>
    <row r="32053" spans="1:1">
      <c r="A32053" t="inlineStr">
        <is>
          <t>Calangain</t>
        </is>
      </c>
    </row>
    <row r="32054" spans="1:1">
      <c r="A32054" t="inlineStr">
        <is>
          <t>Concepcion</t>
        </is>
      </c>
    </row>
    <row r="32055" spans="1:1">
      <c r="A32055" t="inlineStr">
        <is>
          <t>De La Paz</t>
        </is>
      </c>
    </row>
    <row r="32056" spans="1:1">
      <c r="A32056" t="inlineStr">
        <is>
          <t>Del Carmen</t>
        </is>
      </c>
    </row>
    <row r="32057" spans="1:1">
      <c r="A32057" t="inlineStr">
        <is>
          <t>Don Ignacio Dimson</t>
        </is>
      </c>
    </row>
    <row r="32058" spans="1:1">
      <c r="A32058" t="inlineStr">
        <is>
          <t>Lourdes</t>
        </is>
      </c>
    </row>
    <row r="32059" spans="1:1">
      <c r="A32059" t="inlineStr">
        <is>
          <t>Prado Siongco</t>
        </is>
      </c>
    </row>
    <row r="32060" spans="1:1">
      <c r="A32060" t="inlineStr">
        <is>
          <t>Remedios</t>
        </is>
      </c>
    </row>
    <row r="32061" spans="1:1">
      <c r="A32061" t="inlineStr">
        <is>
          <t>San Agustin</t>
        </is>
      </c>
    </row>
    <row r="32062" spans="1:1">
      <c r="A32062" t="inlineStr">
        <is>
          <t>San Antonio</t>
        </is>
      </c>
    </row>
    <row r="32063" spans="1:1">
      <c r="A32063" t="inlineStr">
        <is>
          <t>San Francisco</t>
        </is>
      </c>
    </row>
    <row r="32064" spans="1:1">
      <c r="A32064" t="inlineStr">
        <is>
          <t>San Isidro</t>
        </is>
      </c>
    </row>
    <row r="32065" spans="1:1">
      <c r="A32065" t="inlineStr">
        <is>
          <t>San Jose Apunan</t>
        </is>
      </c>
    </row>
    <row r="32066" spans="1:1">
      <c r="A32066" t="inlineStr">
        <is>
          <t>San Jose Gumi</t>
        </is>
      </c>
    </row>
    <row r="32067" spans="1:1">
      <c r="A32067" t="inlineStr">
        <is>
          <t>San Juan</t>
        </is>
      </c>
    </row>
    <row r="32068" spans="1:1">
      <c r="A32068" t="inlineStr">
        <is>
          <t>San Matias</t>
        </is>
      </c>
    </row>
    <row r="32069" spans="1:1">
      <c r="A32069" t="inlineStr">
        <is>
          <t>San Miguel</t>
        </is>
      </c>
    </row>
    <row r="32070" spans="1:1">
      <c r="A32070" t="inlineStr">
        <is>
          <t>San Nicolas 1st</t>
        </is>
      </c>
    </row>
    <row r="32071" spans="1:1">
      <c r="A32071" t="inlineStr">
        <is>
          <t>San Nicolas 2nd</t>
        </is>
      </c>
    </row>
    <row r="32072" spans="1:1">
      <c r="A32072" t="inlineStr">
        <is>
          <t>San Pablo 1st</t>
        </is>
      </c>
    </row>
    <row r="32073" spans="1:1">
      <c r="A32073" t="inlineStr">
        <is>
          <t>San Pablo 2nd</t>
        </is>
      </c>
    </row>
    <row r="32074" spans="1:1">
      <c r="A32074" t="inlineStr">
        <is>
          <t>San Pedro Palcarangan</t>
        </is>
      </c>
    </row>
    <row r="32075" spans="1:1">
      <c r="A32075" t="inlineStr">
        <is>
          <t>San Pedro Saug</t>
        </is>
      </c>
    </row>
    <row r="32076" spans="1:1">
      <c r="A32076" t="inlineStr">
        <is>
          <t>San Roque Arbol</t>
        </is>
      </c>
    </row>
    <row r="32077" spans="1:1">
      <c r="A32077" t="inlineStr">
        <is>
          <t>San Roque Dau</t>
        </is>
      </c>
    </row>
    <row r="32078" spans="1:1">
      <c r="A32078" t="inlineStr">
        <is>
          <t>San Vicente</t>
        </is>
      </c>
    </row>
    <row r="32079" spans="1:1">
      <c r="A32079" t="inlineStr">
        <is>
          <t>Santa Barbara</t>
        </is>
      </c>
    </row>
    <row r="32080" spans="1:1">
      <c r="A32080" t="inlineStr">
        <is>
          <t>Santa Catalina</t>
        </is>
      </c>
    </row>
    <row r="32081" spans="1:1">
      <c r="A32081" t="inlineStr">
        <is>
          <t>Santa Cruz</t>
        </is>
      </c>
    </row>
    <row r="32082" spans="1:1">
      <c r="A32082" t="inlineStr">
        <is>
          <t>Santa Lucia</t>
        </is>
      </c>
    </row>
    <row r="32083" spans="1:1">
      <c r="A32083" t="inlineStr">
        <is>
          <t>Santa Maria</t>
        </is>
      </c>
    </row>
    <row r="32084" spans="1:1">
      <c r="A32084" t="inlineStr">
        <is>
          <t>Santa Monica</t>
        </is>
      </c>
    </row>
    <row r="32085" spans="1:1">
      <c r="A32085" t="inlineStr">
        <is>
          <t>Santa Rita</t>
        </is>
      </c>
    </row>
    <row r="32086" spans="1:1">
      <c r="A32086" t="inlineStr">
        <is>
          <t>Santa Teresa 1st</t>
        </is>
      </c>
    </row>
    <row r="32087" spans="1:1">
      <c r="A32087" t="inlineStr">
        <is>
          <t>Santa Teresa 2nd</t>
        </is>
      </c>
    </row>
    <row r="32088" spans="1:1">
      <c r="A32088" t="inlineStr">
        <is>
          <t>Santiago</t>
        </is>
      </c>
    </row>
    <row r="32089" spans="1:1">
      <c r="A32089" t="inlineStr">
        <is>
          <t>Santo Cristo</t>
        </is>
      </c>
    </row>
    <row r="32090" spans="1:1">
      <c r="A32090" t="inlineStr">
        <is>
          <t>Santo Domingo</t>
        </is>
      </c>
    </row>
    <row r="32091" spans="1:1">
      <c r="A32091" t="inlineStr">
        <is>
          <t>Santo Niño</t>
        </is>
      </c>
    </row>
    <row r="32092" spans="1:1">
      <c r="A32092" t="inlineStr">
        <is>
          <t>Santo Tomas</t>
        </is>
      </c>
    </row>
    <row r="32093" spans="1:1">
      <c r="A32093" t="inlineStr">
        <is>
          <t>Atlu-Bola</t>
        </is>
      </c>
    </row>
    <row r="32094" spans="1:1">
      <c r="A32094" t="inlineStr">
        <is>
          <t>Bical</t>
        </is>
      </c>
    </row>
    <row r="32095" spans="1:1">
      <c r="A32095" t="inlineStr">
        <is>
          <t>Bundagul</t>
        </is>
      </c>
    </row>
    <row r="32096" spans="1:1">
      <c r="A32096" t="inlineStr">
        <is>
          <t>Cacutud</t>
        </is>
      </c>
    </row>
    <row r="32097" spans="1:1">
      <c r="A32097" t="inlineStr">
        <is>
          <t>Calumpang</t>
        </is>
      </c>
    </row>
    <row r="32098" spans="1:1">
      <c r="A32098" t="inlineStr">
        <is>
          <t>Camachiles</t>
        </is>
      </c>
    </row>
    <row r="32099" spans="1:1">
      <c r="A32099" t="inlineStr">
        <is>
          <t>Dapdap</t>
        </is>
      </c>
    </row>
    <row r="32100" spans="1:1">
      <c r="A32100" t="inlineStr">
        <is>
          <t>Dau</t>
        </is>
      </c>
    </row>
    <row r="32101" spans="1:1">
      <c r="A32101" t="inlineStr">
        <is>
          <t>Dolores</t>
        </is>
      </c>
    </row>
    <row r="32102" spans="1:1">
      <c r="A32102" t="inlineStr">
        <is>
          <t>Duquit</t>
        </is>
      </c>
    </row>
    <row r="32103" spans="1:1">
      <c r="A32103" t="inlineStr">
        <is>
          <t>Lakandula</t>
        </is>
      </c>
    </row>
    <row r="32104" spans="1:1">
      <c r="A32104" t="inlineStr">
        <is>
          <t>Mabiga</t>
        </is>
      </c>
    </row>
    <row r="32105" spans="1:1">
      <c r="A32105" t="inlineStr">
        <is>
          <t>Macapagal Village</t>
        </is>
      </c>
    </row>
    <row r="32106" spans="1:1">
      <c r="A32106" t="inlineStr">
        <is>
          <t>Mamatitang</t>
        </is>
      </c>
    </row>
    <row r="32107" spans="1:1">
      <c r="A32107" t="inlineStr">
        <is>
          <t>Mangalit</t>
        </is>
      </c>
    </row>
    <row r="32108" spans="1:1">
      <c r="A32108" t="inlineStr">
        <is>
          <t>Marcos Village</t>
        </is>
      </c>
    </row>
    <row r="32109" spans="1:1">
      <c r="A32109" t="inlineStr">
        <is>
          <t>Mawaque</t>
        </is>
      </c>
    </row>
    <row r="32110" spans="1:1">
      <c r="A32110" t="inlineStr">
        <is>
          <t>Paralayunan</t>
        </is>
      </c>
    </row>
    <row r="32111" spans="1:1">
      <c r="A32111" t="inlineStr">
        <is>
          <t>Poblacion</t>
        </is>
      </c>
    </row>
    <row r="32112" spans="1:1">
      <c r="A32112" t="inlineStr">
        <is>
          <t>San Francisco</t>
        </is>
      </c>
    </row>
    <row r="32113" spans="1:1">
      <c r="A32113" t="inlineStr">
        <is>
          <t>San Joaquin</t>
        </is>
      </c>
    </row>
    <row r="32114" spans="1:1">
      <c r="A32114" t="inlineStr">
        <is>
          <t>Santa Ines</t>
        </is>
      </c>
    </row>
    <row r="32115" spans="1:1">
      <c r="A32115" t="inlineStr">
        <is>
          <t>Santa Maria</t>
        </is>
      </c>
    </row>
    <row r="32116" spans="1:1">
      <c r="A32116" t="inlineStr">
        <is>
          <t>Santo Rosario</t>
        </is>
      </c>
    </row>
    <row r="32117" spans="1:1">
      <c r="A32117" t="inlineStr">
        <is>
          <t>Sapang Balen</t>
        </is>
      </c>
    </row>
    <row r="32118" spans="1:1">
      <c r="A32118" t="inlineStr">
        <is>
          <t>Sapang Biabas</t>
        </is>
      </c>
    </row>
    <row r="32119" spans="1:1">
      <c r="A32119" t="inlineStr">
        <is>
          <t>Tabun</t>
        </is>
      </c>
    </row>
    <row r="32120" spans="1:1">
      <c r="A32120" t="inlineStr">
        <is>
          <t>Batasan</t>
        </is>
      </c>
    </row>
    <row r="32121" spans="1:1">
      <c r="A32121" t="inlineStr">
        <is>
          <t>Caduang Tete</t>
        </is>
      </c>
    </row>
    <row r="32122" spans="1:1">
      <c r="A32122" t="inlineStr">
        <is>
          <t>Candelaria</t>
        </is>
      </c>
    </row>
    <row r="32123" spans="1:1">
      <c r="A32123" t="inlineStr">
        <is>
          <t>Castuli</t>
        </is>
      </c>
    </row>
    <row r="32124" spans="1:1">
      <c r="A32124" t="inlineStr">
        <is>
          <t>Consuelo</t>
        </is>
      </c>
    </row>
    <row r="32125" spans="1:1">
      <c r="A32125" t="inlineStr">
        <is>
          <t>Dalayap</t>
        </is>
      </c>
    </row>
    <row r="32126" spans="1:1">
      <c r="A32126" t="inlineStr">
        <is>
          <t>Mataguiti</t>
        </is>
      </c>
    </row>
    <row r="32127" spans="1:1">
      <c r="A32127" t="inlineStr">
        <is>
          <t>San Esteban</t>
        </is>
      </c>
    </row>
    <row r="32128" spans="1:1">
      <c r="A32128" t="inlineStr">
        <is>
          <t>San Francisco</t>
        </is>
      </c>
    </row>
    <row r="32129" spans="1:1">
      <c r="A32129" t="inlineStr">
        <is>
          <t>San Gabriel</t>
        </is>
      </c>
    </row>
    <row r="32130" spans="1:1">
      <c r="A32130" t="inlineStr">
        <is>
          <t>San Isidro</t>
        </is>
      </c>
    </row>
    <row r="32131" spans="1:1">
      <c r="A32131" t="inlineStr">
        <is>
          <t>San Jose</t>
        </is>
      </c>
    </row>
    <row r="32132" spans="1:1">
      <c r="A32132" t="inlineStr">
        <is>
          <t>San Juan</t>
        </is>
      </c>
    </row>
    <row r="32133" spans="1:1">
      <c r="A32133" t="inlineStr">
        <is>
          <t>San Rafael</t>
        </is>
      </c>
    </row>
    <row r="32134" spans="1:1">
      <c r="A32134" t="inlineStr">
        <is>
          <t>San Roque</t>
        </is>
      </c>
    </row>
    <row r="32135" spans="1:1">
      <c r="A32135" t="inlineStr">
        <is>
          <t>San Vicente</t>
        </is>
      </c>
    </row>
    <row r="32136" spans="1:1">
      <c r="A32136" t="inlineStr">
        <is>
          <t>Saplad David</t>
        </is>
      </c>
    </row>
    <row r="32137" spans="1:1">
      <c r="A32137" t="inlineStr">
        <is>
          <t>Sta. Cruz</t>
        </is>
      </c>
    </row>
    <row r="32138" spans="1:1">
      <c r="A32138" t="inlineStr">
        <is>
          <t>Sta. Lutgarda</t>
        </is>
      </c>
    </row>
    <row r="32139" spans="1:1">
      <c r="A32139" t="inlineStr">
        <is>
          <t>Sta. Maria</t>
        </is>
      </c>
    </row>
    <row r="32140" spans="1:1">
      <c r="A32140" t="inlineStr">
        <is>
          <t>Sta. Rita</t>
        </is>
      </c>
    </row>
    <row r="32141" spans="1:1">
      <c r="A32141" t="inlineStr">
        <is>
          <t>Sto. Niño</t>
        </is>
      </c>
    </row>
    <row r="32142" spans="1:1">
      <c r="A32142" t="inlineStr">
        <is>
          <t>Sto. Rosario</t>
        </is>
      </c>
    </row>
    <row r="32143" spans="1:1">
      <c r="A32143" t="inlineStr">
        <is>
          <t>Tacasan</t>
        </is>
      </c>
    </row>
    <row r="32144" spans="1:1">
      <c r="A32144" t="inlineStr">
        <is>
          <t>Telacsan</t>
        </is>
      </c>
    </row>
    <row r="32145" spans="1:1">
      <c r="A32145" t="inlineStr">
        <is>
          <t>Ayala</t>
        </is>
      </c>
    </row>
    <row r="32146" spans="1:1">
      <c r="A32146" t="inlineStr">
        <is>
          <t>Bucanan</t>
        </is>
      </c>
    </row>
    <row r="32147" spans="1:1">
      <c r="A32147" t="inlineStr">
        <is>
          <t>Camias</t>
        </is>
      </c>
    </row>
    <row r="32148" spans="1:1">
      <c r="A32148" t="inlineStr">
        <is>
          <t>Dolores</t>
        </is>
      </c>
    </row>
    <row r="32149" spans="1:1">
      <c r="A32149" t="inlineStr">
        <is>
          <t>Escaler</t>
        </is>
      </c>
    </row>
    <row r="32150" spans="1:1">
      <c r="A32150" t="inlineStr">
        <is>
          <t>La Paz</t>
        </is>
      </c>
    </row>
    <row r="32151" spans="1:1">
      <c r="A32151" t="inlineStr">
        <is>
          <t>Navaling</t>
        </is>
      </c>
    </row>
    <row r="32152" spans="1:1">
      <c r="A32152" t="inlineStr">
        <is>
          <t>San Agustin</t>
        </is>
      </c>
    </row>
    <row r="32153" spans="1:1">
      <c r="A32153" t="inlineStr">
        <is>
          <t>San Antonio</t>
        </is>
      </c>
    </row>
    <row r="32154" spans="1:1">
      <c r="A32154" t="inlineStr">
        <is>
          <t>San Franciso</t>
        </is>
      </c>
    </row>
    <row r="32155" spans="1:1">
      <c r="A32155" t="inlineStr">
        <is>
          <t>San Ildefonso</t>
        </is>
      </c>
    </row>
    <row r="32156" spans="1:1">
      <c r="A32156" t="inlineStr">
        <is>
          <t>San Isidro</t>
        </is>
      </c>
    </row>
    <row r="32157" spans="1:1">
      <c r="A32157" t="inlineStr">
        <is>
          <t>San Jose</t>
        </is>
      </c>
    </row>
    <row r="32158" spans="1:1">
      <c r="A32158" t="inlineStr">
        <is>
          <t>San Miguel</t>
        </is>
      </c>
    </row>
    <row r="32159" spans="1:1">
      <c r="A32159" t="inlineStr">
        <is>
          <t>San Nicolas 1st</t>
        </is>
      </c>
    </row>
    <row r="32160" spans="1:1">
      <c r="A32160" t="inlineStr">
        <is>
          <t>San Nicolas 2nd</t>
        </is>
      </c>
    </row>
    <row r="32161" spans="1:1">
      <c r="A32161" t="inlineStr">
        <is>
          <t>San Pablo</t>
        </is>
      </c>
    </row>
    <row r="32162" spans="1:1">
      <c r="A32162" t="inlineStr">
        <is>
          <t>San Pedro I</t>
        </is>
      </c>
    </row>
    <row r="32163" spans="1:1">
      <c r="A32163" t="inlineStr">
        <is>
          <t>San Pedro II</t>
        </is>
      </c>
    </row>
    <row r="32164" spans="1:1">
      <c r="A32164" t="inlineStr">
        <is>
          <t>San Roque</t>
        </is>
      </c>
    </row>
    <row r="32165" spans="1:1">
      <c r="A32165" t="inlineStr">
        <is>
          <t>San Vicente</t>
        </is>
      </c>
    </row>
    <row r="32166" spans="1:1">
      <c r="A32166" t="inlineStr">
        <is>
          <t>Santa Cruz</t>
        </is>
      </c>
    </row>
    <row r="32167" spans="1:1">
      <c r="A32167" t="inlineStr">
        <is>
          <t>Santa Lucia</t>
        </is>
      </c>
    </row>
    <row r="32168" spans="1:1">
      <c r="A32168" t="inlineStr">
        <is>
          <t>Santa Maria</t>
        </is>
      </c>
    </row>
    <row r="32169" spans="1:1">
      <c r="A32169" t="inlineStr">
        <is>
          <t>Santo Niño</t>
        </is>
      </c>
    </row>
    <row r="32170" spans="1:1">
      <c r="A32170" t="inlineStr">
        <is>
          <t>Santo Rosario</t>
        </is>
      </c>
    </row>
    <row r="32171" spans="1:1">
      <c r="A32171" t="inlineStr">
        <is>
          <t>Turu</t>
        </is>
      </c>
    </row>
    <row r="32172" spans="1:1">
      <c r="A32172" t="inlineStr">
        <is>
          <t>Alauli</t>
        </is>
      </c>
    </row>
    <row r="32173" spans="1:1">
      <c r="A32173" t="inlineStr">
        <is>
          <t>Bagang</t>
        </is>
      </c>
    </row>
    <row r="32174" spans="1:1">
      <c r="A32174" t="inlineStr">
        <is>
          <t>Balibago</t>
        </is>
      </c>
    </row>
    <row r="32175" spans="1:1">
      <c r="A32175" t="inlineStr">
        <is>
          <t>Bebe Anac</t>
        </is>
      </c>
    </row>
    <row r="32176" spans="1:1">
      <c r="A32176" t="inlineStr">
        <is>
          <t>Bebe Matua</t>
        </is>
      </c>
    </row>
    <row r="32177" spans="1:1">
      <c r="A32177" t="inlineStr">
        <is>
          <t>Bulacus</t>
        </is>
      </c>
    </row>
    <row r="32178" spans="1:1">
      <c r="A32178" t="inlineStr">
        <is>
          <t>Cambasi</t>
        </is>
      </c>
    </row>
    <row r="32179" spans="1:1">
      <c r="A32179" t="inlineStr">
        <is>
          <t>Malauli</t>
        </is>
      </c>
    </row>
    <row r="32180" spans="1:1">
      <c r="A32180" t="inlineStr">
        <is>
          <t>Nigui</t>
        </is>
      </c>
    </row>
    <row r="32181" spans="1:1">
      <c r="A32181" t="inlineStr">
        <is>
          <t>Palimpe</t>
        </is>
      </c>
    </row>
    <row r="32182" spans="1:1">
      <c r="A32182" t="inlineStr">
        <is>
          <t>Puti</t>
        </is>
      </c>
    </row>
    <row r="32183" spans="1:1">
      <c r="A32183" t="inlineStr">
        <is>
          <t>Sagrada</t>
        </is>
      </c>
    </row>
    <row r="32184" spans="1:1">
      <c r="A32184" t="inlineStr">
        <is>
          <t>San Agustin</t>
        </is>
      </c>
    </row>
    <row r="32185" spans="1:1">
      <c r="A32185" t="inlineStr">
        <is>
          <t>San Isidro Anac</t>
        </is>
      </c>
    </row>
    <row r="32186" spans="1:1">
      <c r="A32186" t="inlineStr">
        <is>
          <t>San Isidro Matua</t>
        </is>
      </c>
    </row>
    <row r="32187" spans="1:1">
      <c r="A32187" t="inlineStr">
        <is>
          <t>San Nicolas</t>
        </is>
      </c>
    </row>
    <row r="32188" spans="1:1">
      <c r="A32188" t="inlineStr">
        <is>
          <t>San Pedro</t>
        </is>
      </c>
    </row>
    <row r="32189" spans="1:1">
      <c r="A32189" t="inlineStr">
        <is>
          <t>Sapang Kawayan</t>
        </is>
      </c>
    </row>
    <row r="32190" spans="1:1">
      <c r="A32190" t="inlineStr">
        <is>
          <t>Sta. Cruz</t>
        </is>
      </c>
    </row>
    <row r="32191" spans="1:1">
      <c r="A32191" t="inlineStr">
        <is>
          <t>Sta. Lucia Anac</t>
        </is>
      </c>
    </row>
    <row r="32192" spans="1:1">
      <c r="A32192" t="inlineStr">
        <is>
          <t>Sta. Lucia Matua</t>
        </is>
      </c>
    </row>
    <row r="32193" spans="1:1">
      <c r="A32193" t="inlineStr">
        <is>
          <t>Sta. Lucia Paguiba</t>
        </is>
      </c>
    </row>
    <row r="32194" spans="1:1">
      <c r="A32194" t="inlineStr">
        <is>
          <t>Sta. Lucia Wakas</t>
        </is>
      </c>
    </row>
    <row r="32195" spans="1:1">
      <c r="A32195" t="inlineStr">
        <is>
          <t>Sta. Monica</t>
        </is>
      </c>
    </row>
    <row r="32196" spans="1:1">
      <c r="A32196" t="inlineStr">
        <is>
          <t>Sto. Niño</t>
        </is>
      </c>
    </row>
    <row r="32197" spans="1:1">
      <c r="A32197" t="inlineStr">
        <is>
          <t>Sua</t>
        </is>
      </c>
    </row>
    <row r="32198" spans="1:1">
      <c r="A32198" t="inlineStr">
        <is>
          <t>Acli</t>
        </is>
      </c>
    </row>
    <row r="32199" spans="1:1">
      <c r="A32199" t="inlineStr">
        <is>
          <t>Anao</t>
        </is>
      </c>
    </row>
    <row r="32200" spans="1:1">
      <c r="A32200" t="inlineStr">
        <is>
          <t>Balas</t>
        </is>
      </c>
    </row>
    <row r="32201" spans="1:1">
      <c r="A32201" t="inlineStr">
        <is>
          <t>Buenavista</t>
        </is>
      </c>
    </row>
    <row r="32202" spans="1:1">
      <c r="A32202" t="inlineStr">
        <is>
          <t>Camuning</t>
        </is>
      </c>
    </row>
    <row r="32203" spans="1:1">
      <c r="A32203" t="inlineStr">
        <is>
          <t>Cawayan</t>
        </is>
      </c>
    </row>
    <row r="32204" spans="1:1">
      <c r="A32204" t="inlineStr">
        <is>
          <t>Concepcion</t>
        </is>
      </c>
    </row>
    <row r="32205" spans="1:1">
      <c r="A32205" t="inlineStr">
        <is>
          <t>Culubasa</t>
        </is>
      </c>
    </row>
    <row r="32206" spans="1:1">
      <c r="A32206" t="inlineStr">
        <is>
          <t>Divisoria</t>
        </is>
      </c>
    </row>
    <row r="32207" spans="1:1">
      <c r="A32207" t="inlineStr">
        <is>
          <t>Dolores</t>
        </is>
      </c>
    </row>
    <row r="32208" spans="1:1">
      <c r="A32208" t="inlineStr">
        <is>
          <t>Eden</t>
        </is>
      </c>
    </row>
    <row r="32209" spans="1:1">
      <c r="A32209" t="inlineStr">
        <is>
          <t>Gandus</t>
        </is>
      </c>
    </row>
    <row r="32210" spans="1:1">
      <c r="A32210" t="inlineStr">
        <is>
          <t>Lagundi</t>
        </is>
      </c>
    </row>
    <row r="32211" spans="1:1">
      <c r="A32211" t="inlineStr">
        <is>
          <t>Laput</t>
        </is>
      </c>
    </row>
    <row r="32212" spans="1:1">
      <c r="A32212" t="inlineStr">
        <is>
          <t>Laug</t>
        </is>
      </c>
    </row>
    <row r="32213" spans="1:1">
      <c r="A32213" t="inlineStr">
        <is>
          <t>Masamat</t>
        </is>
      </c>
    </row>
    <row r="32214" spans="1:1">
      <c r="A32214" t="inlineStr">
        <is>
          <t>Masangsang</t>
        </is>
      </c>
    </row>
    <row r="32215" spans="1:1">
      <c r="A32215" t="inlineStr">
        <is>
          <t>Nueva Victoria</t>
        </is>
      </c>
    </row>
    <row r="32216" spans="1:1">
      <c r="A32216" t="inlineStr">
        <is>
          <t>Pandacaqui</t>
        </is>
      </c>
    </row>
    <row r="32217" spans="1:1">
      <c r="A32217" t="inlineStr">
        <is>
          <t>Pangatlan</t>
        </is>
      </c>
    </row>
    <row r="32218" spans="1:1">
      <c r="A32218" t="inlineStr">
        <is>
          <t>Panipuan</t>
        </is>
      </c>
    </row>
    <row r="32219" spans="1:1">
      <c r="A32219" t="inlineStr">
        <is>
          <t>Parian</t>
        </is>
      </c>
    </row>
    <row r="32220" spans="1:1">
      <c r="A32220" t="inlineStr">
        <is>
          <t>Sabanilla</t>
        </is>
      </c>
    </row>
    <row r="32221" spans="1:1">
      <c r="A32221" t="inlineStr">
        <is>
          <t>San Antonio</t>
        </is>
      </c>
    </row>
    <row r="32222" spans="1:1">
      <c r="A32222" t="inlineStr">
        <is>
          <t>San Carlos</t>
        </is>
      </c>
    </row>
    <row r="32223" spans="1:1">
      <c r="A32223" t="inlineStr">
        <is>
          <t>San Jose Malino</t>
        </is>
      </c>
    </row>
    <row r="32224" spans="1:1">
      <c r="A32224" t="inlineStr">
        <is>
          <t>San Jose Matulid</t>
        </is>
      </c>
    </row>
    <row r="32225" spans="1:1">
      <c r="A32225" t="inlineStr">
        <is>
          <t>San Juan</t>
        </is>
      </c>
    </row>
    <row r="32226" spans="1:1">
      <c r="A32226" t="inlineStr">
        <is>
          <t>San Lorenzo</t>
        </is>
      </c>
    </row>
    <row r="32227" spans="1:1">
      <c r="A32227" t="inlineStr">
        <is>
          <t>San Miguel</t>
        </is>
      </c>
    </row>
    <row r="32228" spans="1:1">
      <c r="A32228" t="inlineStr">
        <is>
          <t>San Nicolas</t>
        </is>
      </c>
    </row>
    <row r="32229" spans="1:1">
      <c r="A32229" t="inlineStr">
        <is>
          <t>San Pablo</t>
        </is>
      </c>
    </row>
    <row r="32230" spans="1:1">
      <c r="A32230" t="inlineStr">
        <is>
          <t>San Patricio</t>
        </is>
      </c>
    </row>
    <row r="32231" spans="1:1">
      <c r="A32231" t="inlineStr">
        <is>
          <t>San Rafael</t>
        </is>
      </c>
    </row>
    <row r="32232" spans="1:1">
      <c r="A32232" t="inlineStr">
        <is>
          <t>San Roque</t>
        </is>
      </c>
    </row>
    <row r="32233" spans="1:1">
      <c r="A32233" t="inlineStr">
        <is>
          <t>San Vicente</t>
        </is>
      </c>
    </row>
    <row r="32234" spans="1:1">
      <c r="A32234" t="inlineStr">
        <is>
          <t>Santa Cruz</t>
        </is>
      </c>
    </row>
    <row r="32235" spans="1:1">
      <c r="A32235" t="inlineStr">
        <is>
          <t>Santa Maria</t>
        </is>
      </c>
    </row>
    <row r="32236" spans="1:1">
      <c r="A32236" t="inlineStr">
        <is>
          <t>Santo Domingo</t>
        </is>
      </c>
    </row>
    <row r="32237" spans="1:1">
      <c r="A32237" t="inlineStr">
        <is>
          <t>Santo Rosario</t>
        </is>
      </c>
    </row>
    <row r="32238" spans="1:1">
      <c r="A32238" t="inlineStr">
        <is>
          <t>Sapang Maisac</t>
        </is>
      </c>
    </row>
    <row r="32239" spans="1:1">
      <c r="A32239" t="inlineStr">
        <is>
          <t>Suclaban</t>
        </is>
      </c>
    </row>
    <row r="32240" spans="1:1">
      <c r="A32240" t="inlineStr">
        <is>
          <t>Tangle</t>
        </is>
      </c>
    </row>
    <row r="32241" spans="1:1">
      <c r="A32241" t="inlineStr">
        <is>
          <t>Bulac</t>
        </is>
      </c>
    </row>
    <row r="32242" spans="1:1">
      <c r="A32242" t="inlineStr">
        <is>
          <t>Dawe</t>
        </is>
      </c>
    </row>
    <row r="32243" spans="1:1">
      <c r="A32243" t="inlineStr">
        <is>
          <t>Lourdes</t>
        </is>
      </c>
    </row>
    <row r="32244" spans="1:1">
      <c r="A32244" t="inlineStr">
        <is>
          <t>Maniango</t>
        </is>
      </c>
    </row>
    <row r="32245" spans="1:1">
      <c r="A32245" t="inlineStr">
        <is>
          <t>San Francisco 1st</t>
        </is>
      </c>
    </row>
    <row r="32246" spans="1:1">
      <c r="A32246" t="inlineStr">
        <is>
          <t>San Francisco 2nd</t>
        </is>
      </c>
    </row>
    <row r="32247" spans="1:1">
      <c r="A32247" t="inlineStr">
        <is>
          <t>San Isidro</t>
        </is>
      </c>
    </row>
    <row r="32248" spans="1:1">
      <c r="A32248" t="inlineStr">
        <is>
          <t>San Nicolas</t>
        </is>
      </c>
    </row>
    <row r="32249" spans="1:1">
      <c r="A32249" t="inlineStr">
        <is>
          <t>San Pedro</t>
        </is>
      </c>
    </row>
    <row r="32250" spans="1:1">
      <c r="A32250" t="inlineStr">
        <is>
          <t>Saplad</t>
        </is>
      </c>
    </row>
    <row r="32251" spans="1:1">
      <c r="A32251" t="inlineStr">
        <is>
          <t>Sta. Catalina</t>
        </is>
      </c>
    </row>
    <row r="32252" spans="1:1">
      <c r="A32252" t="inlineStr">
        <is>
          <t>Sta. Maria</t>
        </is>
      </c>
    </row>
    <row r="32253" spans="1:1">
      <c r="A32253" t="inlineStr">
        <is>
          <t>Sta. Rita</t>
        </is>
      </c>
    </row>
    <row r="32254" spans="1:1">
      <c r="A32254" t="inlineStr">
        <is>
          <t>Sto. Domingo</t>
        </is>
      </c>
    </row>
    <row r="32255" spans="1:1">
      <c r="A32255" t="inlineStr">
        <is>
          <t>Sto. Rosario</t>
        </is>
      </c>
    </row>
    <row r="32256" spans="1:1">
      <c r="A32256" t="inlineStr">
        <is>
          <t>Babo Pangulo</t>
        </is>
      </c>
    </row>
    <row r="32257" spans="1:1">
      <c r="A32257" t="inlineStr">
        <is>
          <t>Babo Sacan</t>
        </is>
      </c>
    </row>
    <row r="32258" spans="1:1">
      <c r="A32258" t="inlineStr">
        <is>
          <t>Balubad</t>
        </is>
      </c>
    </row>
    <row r="32259" spans="1:1">
      <c r="A32259" t="inlineStr">
        <is>
          <t>Calzadang Bayu</t>
        </is>
      </c>
    </row>
    <row r="32260" spans="1:1">
      <c r="A32260" t="inlineStr">
        <is>
          <t>Camias</t>
        </is>
      </c>
    </row>
    <row r="32261" spans="1:1">
      <c r="A32261" t="inlineStr">
        <is>
          <t>Cangatba</t>
        </is>
      </c>
    </row>
    <row r="32262" spans="1:1">
      <c r="A32262" t="inlineStr">
        <is>
          <t>Diaz</t>
        </is>
      </c>
    </row>
    <row r="32263" spans="1:1">
      <c r="A32263" t="inlineStr">
        <is>
          <t>Dolores</t>
        </is>
      </c>
    </row>
    <row r="32264" spans="1:1">
      <c r="A32264" t="inlineStr">
        <is>
          <t>Inararo</t>
        </is>
      </c>
    </row>
    <row r="32265" spans="1:1">
      <c r="A32265" t="inlineStr">
        <is>
          <t>Jalung</t>
        </is>
      </c>
    </row>
    <row r="32266" spans="1:1">
      <c r="A32266" t="inlineStr">
        <is>
          <t>Mancatian</t>
        </is>
      </c>
    </row>
    <row r="32267" spans="1:1">
      <c r="A32267" t="inlineStr">
        <is>
          <t>Manibaug Libutad</t>
        </is>
      </c>
    </row>
    <row r="32268" spans="1:1">
      <c r="A32268" t="inlineStr">
        <is>
          <t>Manibaug Paralaya</t>
        </is>
      </c>
    </row>
    <row r="32269" spans="1:1">
      <c r="A32269" t="inlineStr">
        <is>
          <t>Manibaug Pasig</t>
        </is>
      </c>
    </row>
    <row r="32270" spans="1:1">
      <c r="A32270" t="inlineStr">
        <is>
          <t>Manuali</t>
        </is>
      </c>
    </row>
    <row r="32271" spans="1:1">
      <c r="A32271" t="inlineStr">
        <is>
          <t>Mitla Proper</t>
        </is>
      </c>
    </row>
    <row r="32272" spans="1:1">
      <c r="A32272" t="inlineStr">
        <is>
          <t>Palat</t>
        </is>
      </c>
    </row>
    <row r="32273" spans="1:1">
      <c r="A32273" t="inlineStr">
        <is>
          <t>Pias</t>
        </is>
      </c>
    </row>
    <row r="32274" spans="1:1">
      <c r="A32274" t="inlineStr">
        <is>
          <t>Pio</t>
        </is>
      </c>
    </row>
    <row r="32275" spans="1:1">
      <c r="A32275" t="inlineStr">
        <is>
          <t>Planas</t>
        </is>
      </c>
    </row>
    <row r="32276" spans="1:1">
      <c r="A32276" t="inlineStr">
        <is>
          <t>Poblacion</t>
        </is>
      </c>
    </row>
    <row r="32277" spans="1:1">
      <c r="A32277" t="inlineStr">
        <is>
          <t>Pulung Santol</t>
        </is>
      </c>
    </row>
    <row r="32278" spans="1:1">
      <c r="A32278" t="inlineStr">
        <is>
          <t>Salu</t>
        </is>
      </c>
    </row>
    <row r="32279" spans="1:1">
      <c r="A32279" t="inlineStr">
        <is>
          <t>San Jose Mitla</t>
        </is>
      </c>
    </row>
    <row r="32280" spans="1:1">
      <c r="A32280" t="inlineStr">
        <is>
          <t>Sapang Uwak</t>
        </is>
      </c>
    </row>
    <row r="32281" spans="1:1">
      <c r="A32281" t="inlineStr">
        <is>
          <t>Sepung Bulaon</t>
        </is>
      </c>
    </row>
    <row r="32282" spans="1:1">
      <c r="A32282" t="inlineStr">
        <is>
          <t>Sinura</t>
        </is>
      </c>
    </row>
    <row r="32283" spans="1:1">
      <c r="A32283" t="inlineStr">
        <is>
          <t>Sta. Cruz</t>
        </is>
      </c>
    </row>
    <row r="32284" spans="1:1">
      <c r="A32284" t="inlineStr">
        <is>
          <t>Villa Maria</t>
        </is>
      </c>
    </row>
    <row r="32285" spans="1:1">
      <c r="A32285" t="inlineStr">
        <is>
          <t>San Agustin</t>
        </is>
      </c>
    </row>
    <row r="32286" spans="1:1">
      <c r="A32286" t="inlineStr">
        <is>
          <t>San Carlos</t>
        </is>
      </c>
    </row>
    <row r="32287" spans="1:1">
      <c r="A32287" t="inlineStr">
        <is>
          <t>San Isidro</t>
        </is>
      </c>
    </row>
    <row r="32288" spans="1:1">
      <c r="A32288" t="inlineStr">
        <is>
          <t>San Jose</t>
        </is>
      </c>
    </row>
    <row r="32289" spans="1:1">
      <c r="A32289" t="inlineStr">
        <is>
          <t>San Juan</t>
        </is>
      </c>
    </row>
    <row r="32290" spans="1:1">
      <c r="A32290" t="inlineStr">
        <is>
          <t>San Nicolas</t>
        </is>
      </c>
    </row>
    <row r="32291" spans="1:1">
      <c r="A32291" t="inlineStr">
        <is>
          <t>San Roque</t>
        </is>
      </c>
    </row>
    <row r="32292" spans="1:1">
      <c r="A32292" t="inlineStr">
        <is>
          <t>San Sebastian</t>
        </is>
      </c>
    </row>
    <row r="32293" spans="1:1">
      <c r="A32293" t="inlineStr">
        <is>
          <t>Santa Catalina</t>
        </is>
      </c>
    </row>
    <row r="32294" spans="1:1">
      <c r="A32294" t="inlineStr">
        <is>
          <t>Santa Cruz Pambilog</t>
        </is>
      </c>
    </row>
    <row r="32295" spans="1:1">
      <c r="A32295" t="inlineStr">
        <is>
          <t>Santa Cruz Poblacion</t>
        </is>
      </c>
    </row>
    <row r="32296" spans="1:1">
      <c r="A32296" t="inlineStr">
        <is>
          <t>Santa Lucia</t>
        </is>
      </c>
    </row>
    <row r="32297" spans="1:1">
      <c r="A32297" t="inlineStr">
        <is>
          <t>Santa Monica</t>
        </is>
      </c>
    </row>
    <row r="32298" spans="1:1">
      <c r="A32298" t="inlineStr">
        <is>
          <t>Santa Rita</t>
        </is>
      </c>
    </row>
    <row r="32299" spans="1:1">
      <c r="A32299" t="inlineStr">
        <is>
          <t>Santo Niño</t>
        </is>
      </c>
    </row>
    <row r="32300" spans="1:1">
      <c r="A32300" t="inlineStr">
        <is>
          <t>Santo Rosario</t>
        </is>
      </c>
    </row>
    <row r="32301" spans="1:1">
      <c r="A32301" t="inlineStr">
        <is>
          <t>Santo Tomas</t>
        </is>
      </c>
    </row>
    <row r="32302" spans="1:1">
      <c r="A32302" t="inlineStr">
        <is>
          <t>Concepcion</t>
        </is>
      </c>
    </row>
    <row r="32303" spans="1:1">
      <c r="A32303" t="inlineStr">
        <is>
          <t>De La Paz</t>
        </is>
      </c>
    </row>
    <row r="32304" spans="1:1">
      <c r="A32304" t="inlineStr">
        <is>
          <t>San Agustin</t>
        </is>
      </c>
    </row>
    <row r="32305" spans="1:1">
      <c r="A32305" t="inlineStr">
        <is>
          <t>San Isidro</t>
        </is>
      </c>
    </row>
    <row r="32306" spans="1:1">
      <c r="A32306" t="inlineStr">
        <is>
          <t>San Jose</t>
        </is>
      </c>
    </row>
    <row r="32307" spans="1:1">
      <c r="A32307" t="inlineStr">
        <is>
          <t>San Juan</t>
        </is>
      </c>
    </row>
    <row r="32308" spans="1:1">
      <c r="A32308" t="inlineStr">
        <is>
          <t>San Miguel</t>
        </is>
      </c>
    </row>
    <row r="32309" spans="1:1">
      <c r="A32309" t="inlineStr">
        <is>
          <t>San Nicolas</t>
        </is>
      </c>
    </row>
    <row r="32310" spans="1:1">
      <c r="A32310" t="inlineStr">
        <is>
          <t>San Pablo Libutad</t>
        </is>
      </c>
    </row>
    <row r="32311" spans="1:1">
      <c r="A32311" t="inlineStr">
        <is>
          <t>San Pablo Proper</t>
        </is>
      </c>
    </row>
    <row r="32312" spans="1:1">
      <c r="A32312" t="inlineStr">
        <is>
          <t>San Pedro</t>
        </is>
      </c>
    </row>
    <row r="32313" spans="1:1">
      <c r="A32313" t="inlineStr">
        <is>
          <t>Santa Cruz</t>
        </is>
      </c>
    </row>
    <row r="32314" spans="1:1">
      <c r="A32314" t="inlineStr">
        <is>
          <t>Santa Monica</t>
        </is>
      </c>
    </row>
    <row r="32315" spans="1:1">
      <c r="A32315" t="inlineStr">
        <is>
          <t>Santo Niño</t>
        </is>
      </c>
    </row>
    <row r="32316" spans="1:1">
      <c r="A32316" t="inlineStr">
        <is>
          <t>San Agustin</t>
        </is>
      </c>
    </row>
    <row r="32317" spans="1:1">
      <c r="A32317" t="inlineStr">
        <is>
          <t>San Bartolome</t>
        </is>
      </c>
    </row>
    <row r="32318" spans="1:1">
      <c r="A32318" t="inlineStr">
        <is>
          <t>San Isidro</t>
        </is>
      </c>
    </row>
    <row r="32319" spans="1:1">
      <c r="A32319" t="inlineStr">
        <is>
          <t>San Joaquin</t>
        </is>
      </c>
    </row>
    <row r="32320" spans="1:1">
      <c r="A32320" t="inlineStr">
        <is>
          <t>San Jose</t>
        </is>
      </c>
    </row>
    <row r="32321" spans="1:1">
      <c r="A32321" t="inlineStr">
        <is>
          <t>San Juan</t>
        </is>
      </c>
    </row>
    <row r="32322" spans="1:1">
      <c r="A32322" t="inlineStr">
        <is>
          <t>San Nicolas</t>
        </is>
      </c>
    </row>
    <row r="32323" spans="1:1">
      <c r="A32323" t="inlineStr">
        <is>
          <t>San Pablo</t>
        </is>
      </c>
    </row>
    <row r="32324" spans="1:1">
      <c r="A32324" t="inlineStr">
        <is>
          <t>San Pedro</t>
        </is>
      </c>
    </row>
    <row r="32325" spans="1:1">
      <c r="A32325" t="inlineStr">
        <is>
          <t>San Roque</t>
        </is>
      </c>
    </row>
    <row r="32326" spans="1:1">
      <c r="A32326" t="inlineStr">
        <is>
          <t>Santa Lucia</t>
        </is>
      </c>
    </row>
    <row r="32327" spans="1:1">
      <c r="A32327" t="inlineStr">
        <is>
          <t>Santa Maria</t>
        </is>
      </c>
    </row>
    <row r="32328" spans="1:1">
      <c r="A32328" t="inlineStr">
        <is>
          <t>Santiago</t>
        </is>
      </c>
    </row>
    <row r="32329" spans="1:1">
      <c r="A32329" t="inlineStr">
        <is>
          <t>Santo Rosario</t>
        </is>
      </c>
    </row>
    <row r="32330" spans="1:1">
      <c r="A32330" t="inlineStr">
        <is>
          <t>Becuran</t>
        </is>
      </c>
    </row>
    <row r="32331" spans="1:1">
      <c r="A32331" t="inlineStr">
        <is>
          <t>Dila-dila</t>
        </is>
      </c>
    </row>
    <row r="32332" spans="1:1">
      <c r="A32332" t="inlineStr">
        <is>
          <t>San Agustin</t>
        </is>
      </c>
    </row>
    <row r="32333" spans="1:1">
      <c r="A32333" t="inlineStr">
        <is>
          <t>San Basilio</t>
        </is>
      </c>
    </row>
    <row r="32334" spans="1:1">
      <c r="A32334" t="inlineStr">
        <is>
          <t>San Isidro</t>
        </is>
      </c>
    </row>
    <row r="32335" spans="1:1">
      <c r="A32335" t="inlineStr">
        <is>
          <t>San Jose</t>
        </is>
      </c>
    </row>
    <row r="32336" spans="1:1">
      <c r="A32336" t="inlineStr">
        <is>
          <t>San Juan</t>
        </is>
      </c>
    </row>
    <row r="32337" spans="1:1">
      <c r="A32337" t="inlineStr">
        <is>
          <t>San Matias</t>
        </is>
      </c>
    </row>
    <row r="32338" spans="1:1">
      <c r="A32338" t="inlineStr">
        <is>
          <t>San Vicente</t>
        </is>
      </c>
    </row>
    <row r="32339" spans="1:1">
      <c r="A32339" t="inlineStr">
        <is>
          <t>Santa Monica</t>
        </is>
      </c>
    </row>
    <row r="32340" spans="1:1">
      <c r="A32340" t="inlineStr">
        <is>
          <t>Batang 1st</t>
        </is>
      </c>
    </row>
    <row r="32341" spans="1:1">
      <c r="A32341" t="inlineStr">
        <is>
          <t>Batang 2nd</t>
        </is>
      </c>
    </row>
    <row r="32342" spans="1:1">
      <c r="A32342" t="inlineStr">
        <is>
          <t>Mabuanbuan</t>
        </is>
      </c>
    </row>
    <row r="32343" spans="1:1">
      <c r="A32343" t="inlineStr">
        <is>
          <t>Malusac</t>
        </is>
      </c>
    </row>
    <row r="32344" spans="1:1">
      <c r="A32344" t="inlineStr">
        <is>
          <t>San Antonio</t>
        </is>
      </c>
    </row>
    <row r="32345" spans="1:1">
      <c r="A32345" t="inlineStr">
        <is>
          <t>San Nicolas 1st</t>
        </is>
      </c>
    </row>
    <row r="32346" spans="1:1">
      <c r="A32346" t="inlineStr">
        <is>
          <t>San Nicolas 2nd</t>
        </is>
      </c>
    </row>
    <row r="32347" spans="1:1">
      <c r="A32347" t="inlineStr">
        <is>
          <t>San Pedro</t>
        </is>
      </c>
    </row>
    <row r="32348" spans="1:1">
      <c r="A32348" t="inlineStr">
        <is>
          <t>Santa Monica</t>
        </is>
      </c>
    </row>
    <row r="32349" spans="1:1">
      <c r="A32349" t="inlineStr">
        <is>
          <t>Santo Tomas</t>
        </is>
      </c>
    </row>
    <row r="32350" spans="1:1">
      <c r="A32350" t="inlineStr">
        <is>
          <t>Sebitanan</t>
        </is>
      </c>
    </row>
    <row r="32351" spans="1:1">
      <c r="A32351" t="inlineStr">
        <is>
          <t>Sta. Lucia</t>
        </is>
      </c>
    </row>
    <row r="32352" spans="1:1">
      <c r="A32352" t="inlineStr">
        <is>
          <t>Moras De La Paz</t>
        </is>
      </c>
    </row>
    <row r="32353" spans="1:1">
      <c r="A32353" t="inlineStr">
        <is>
          <t>Poblacion</t>
        </is>
      </c>
    </row>
    <row r="32354" spans="1:1">
      <c r="A32354" t="inlineStr">
        <is>
          <t>San Bartolome</t>
        </is>
      </c>
    </row>
    <row r="32355" spans="1:1">
      <c r="A32355" t="inlineStr">
        <is>
          <t>San Matias</t>
        </is>
      </c>
    </row>
    <row r="32356" spans="1:1">
      <c r="A32356" t="inlineStr">
        <is>
          <t>San Vicente</t>
        </is>
      </c>
    </row>
    <row r="32357" spans="1:1">
      <c r="A32357" t="inlineStr">
        <is>
          <t>Santo Rosario</t>
        </is>
      </c>
    </row>
    <row r="32358" spans="1:1">
      <c r="A32358" t="inlineStr">
        <is>
          <t>Sapa</t>
        </is>
      </c>
    </row>
    <row r="32359" spans="1:1">
      <c r="A32359" t="inlineStr">
        <is>
          <t>Allabon</t>
        </is>
      </c>
    </row>
    <row r="32360" spans="1:1">
      <c r="A32360" t="inlineStr">
        <is>
          <t>Aloleng</t>
        </is>
      </c>
    </row>
    <row r="32361" spans="1:1">
      <c r="A32361" t="inlineStr">
        <is>
          <t>Bangan-Oda</t>
        </is>
      </c>
    </row>
    <row r="32362" spans="1:1">
      <c r="A32362" t="inlineStr">
        <is>
          <t>Baruan</t>
        </is>
      </c>
    </row>
    <row r="32363" spans="1:1">
      <c r="A32363" t="inlineStr">
        <is>
          <t>Boboy</t>
        </is>
      </c>
    </row>
    <row r="32364" spans="1:1">
      <c r="A32364" t="inlineStr">
        <is>
          <t>Cayungnan</t>
        </is>
      </c>
    </row>
    <row r="32365" spans="1:1">
      <c r="A32365" t="inlineStr">
        <is>
          <t>Dangley</t>
        </is>
      </c>
    </row>
    <row r="32366" spans="1:1">
      <c r="A32366" t="inlineStr">
        <is>
          <t>Gayusan</t>
        </is>
      </c>
    </row>
    <row r="32367" spans="1:1">
      <c r="A32367" t="inlineStr">
        <is>
          <t>Macaboboni</t>
        </is>
      </c>
    </row>
    <row r="32368" spans="1:1">
      <c r="A32368" t="inlineStr">
        <is>
          <t>Magsaysay</t>
        </is>
      </c>
    </row>
    <row r="32369" spans="1:1">
      <c r="A32369" t="inlineStr">
        <is>
          <t>Namatucan</t>
        </is>
      </c>
    </row>
    <row r="32370" spans="1:1">
      <c r="A32370" t="inlineStr">
        <is>
          <t>Patar</t>
        </is>
      </c>
    </row>
    <row r="32371" spans="1:1">
      <c r="A32371" t="inlineStr">
        <is>
          <t>Poblacion East</t>
        </is>
      </c>
    </row>
    <row r="32372" spans="1:1">
      <c r="A32372" t="inlineStr">
        <is>
          <t>Poblacion West</t>
        </is>
      </c>
    </row>
    <row r="32373" spans="1:1">
      <c r="A32373" t="inlineStr">
        <is>
          <t>San Juan</t>
        </is>
      </c>
    </row>
    <row r="32374" spans="1:1">
      <c r="A32374" t="inlineStr">
        <is>
          <t>Tupa</t>
        </is>
      </c>
    </row>
    <row r="32375" spans="1:1">
      <c r="A32375" t="inlineStr">
        <is>
          <t>Viga</t>
        </is>
      </c>
    </row>
    <row r="32376" spans="1:1">
      <c r="A32376" t="inlineStr">
        <is>
          <t>Bayaoas</t>
        </is>
      </c>
    </row>
    <row r="32377" spans="1:1">
      <c r="A32377" t="inlineStr">
        <is>
          <t>Baybay</t>
        </is>
      </c>
    </row>
    <row r="32378" spans="1:1">
      <c r="A32378" t="inlineStr">
        <is>
          <t>Bocacliw</t>
        </is>
      </c>
    </row>
    <row r="32379" spans="1:1">
      <c r="A32379" t="inlineStr">
        <is>
          <t>Bocboc East</t>
        </is>
      </c>
    </row>
    <row r="32380" spans="1:1">
      <c r="A32380" t="inlineStr">
        <is>
          <t>Bocboc West</t>
        </is>
      </c>
    </row>
    <row r="32381" spans="1:1">
      <c r="A32381" t="inlineStr">
        <is>
          <t>Buer</t>
        </is>
      </c>
    </row>
    <row r="32382" spans="1:1">
      <c r="A32382" t="inlineStr">
        <is>
          <t>Calsib</t>
        </is>
      </c>
    </row>
    <row r="32383" spans="1:1">
      <c r="A32383" t="inlineStr">
        <is>
          <t>Laoag</t>
        </is>
      </c>
    </row>
    <row r="32384" spans="1:1">
      <c r="A32384" t="inlineStr">
        <is>
          <t>Manlocboc</t>
        </is>
      </c>
    </row>
    <row r="32385" spans="1:1">
      <c r="A32385" t="inlineStr">
        <is>
          <t>Niñoy</t>
        </is>
      </c>
    </row>
    <row r="32386" spans="1:1">
      <c r="A32386" t="inlineStr">
        <is>
          <t>Panacol</t>
        </is>
      </c>
    </row>
    <row r="32387" spans="1:1">
      <c r="A32387" t="inlineStr">
        <is>
          <t>Poblacion</t>
        </is>
      </c>
    </row>
    <row r="32388" spans="1:1">
      <c r="A32388" t="inlineStr">
        <is>
          <t>Pogomboa</t>
        </is>
      </c>
    </row>
    <row r="32389" spans="1:1">
      <c r="A32389" t="inlineStr">
        <is>
          <t>Pogonsili</t>
        </is>
      </c>
    </row>
    <row r="32390" spans="1:1">
      <c r="A32390" t="inlineStr">
        <is>
          <t>San Jose</t>
        </is>
      </c>
    </row>
    <row r="32391" spans="1:1">
      <c r="A32391" t="inlineStr">
        <is>
          <t>Tampac</t>
        </is>
      </c>
    </row>
    <row r="32392" spans="1:1">
      <c r="A32392" t="inlineStr">
        <is>
          <t>Anulid</t>
        </is>
      </c>
    </row>
    <row r="32393" spans="1:1">
      <c r="A32393" t="inlineStr">
        <is>
          <t>Atainan</t>
        </is>
      </c>
    </row>
    <row r="32394" spans="1:1">
      <c r="A32394" t="inlineStr">
        <is>
          <t>Bersamin</t>
        </is>
      </c>
    </row>
    <row r="32395" spans="1:1">
      <c r="A32395" t="inlineStr">
        <is>
          <t>Canarvacanan</t>
        </is>
      </c>
    </row>
    <row r="32396" spans="1:1">
      <c r="A32396" t="inlineStr">
        <is>
          <t>Caranglaan</t>
        </is>
      </c>
    </row>
    <row r="32397" spans="1:1">
      <c r="A32397" t="inlineStr">
        <is>
          <t>Curareng</t>
        </is>
      </c>
    </row>
    <row r="32398" spans="1:1">
      <c r="A32398" t="inlineStr">
        <is>
          <t>Gualsic</t>
        </is>
      </c>
    </row>
    <row r="32399" spans="1:1">
      <c r="A32399" t="inlineStr">
        <is>
          <t>Kisikis</t>
        </is>
      </c>
    </row>
    <row r="32400" spans="1:1">
      <c r="A32400" t="inlineStr">
        <is>
          <t>Laoac</t>
        </is>
      </c>
    </row>
    <row r="32401" spans="1:1">
      <c r="A32401" t="inlineStr">
        <is>
          <t>Macayo</t>
        </is>
      </c>
    </row>
    <row r="32402" spans="1:1">
      <c r="A32402" t="inlineStr">
        <is>
          <t>Pindangan Centro</t>
        </is>
      </c>
    </row>
    <row r="32403" spans="1:1">
      <c r="A32403" t="inlineStr">
        <is>
          <t>Pindangan East</t>
        </is>
      </c>
    </row>
    <row r="32404" spans="1:1">
      <c r="A32404" t="inlineStr">
        <is>
          <t>Pindangan West</t>
        </is>
      </c>
    </row>
    <row r="32405" spans="1:1">
      <c r="A32405" t="inlineStr">
        <is>
          <t>Poblacion East</t>
        </is>
      </c>
    </row>
    <row r="32406" spans="1:1">
      <c r="A32406" t="inlineStr">
        <is>
          <t>Poblacion West</t>
        </is>
      </c>
    </row>
    <row r="32407" spans="1:1">
      <c r="A32407" t="inlineStr">
        <is>
          <t>San Juan</t>
        </is>
      </c>
    </row>
    <row r="32408" spans="1:1">
      <c r="A32408" t="inlineStr">
        <is>
          <t>San Nicolas</t>
        </is>
      </c>
    </row>
    <row r="32409" spans="1:1">
      <c r="A32409" t="inlineStr">
        <is>
          <t>San Pedro Apartado</t>
        </is>
      </c>
    </row>
    <row r="32410" spans="1:1">
      <c r="A32410" t="inlineStr">
        <is>
          <t>San Pedro Ili</t>
        </is>
      </c>
    </row>
    <row r="32411" spans="1:1">
      <c r="A32411" t="inlineStr">
        <is>
          <t>San Vicente</t>
        </is>
      </c>
    </row>
    <row r="32412" spans="1:1">
      <c r="A32412" t="inlineStr">
        <is>
          <t>Vacante</t>
        </is>
      </c>
    </row>
    <row r="32413" spans="1:1">
      <c r="A32413" t="inlineStr">
        <is>
          <t>Awag</t>
        </is>
      </c>
    </row>
    <row r="32414" spans="1:1">
      <c r="A32414" t="inlineStr">
        <is>
          <t>Awile</t>
        </is>
      </c>
    </row>
    <row r="32415" spans="1:1">
      <c r="A32415" t="inlineStr">
        <is>
          <t>Batiarao</t>
        </is>
      </c>
    </row>
    <row r="32416" spans="1:1">
      <c r="A32416" t="inlineStr">
        <is>
          <t>Cabungan</t>
        </is>
      </c>
    </row>
    <row r="32417" spans="1:1">
      <c r="A32417" t="inlineStr">
        <is>
          <t>Carot</t>
        </is>
      </c>
    </row>
    <row r="32418" spans="1:1">
      <c r="A32418" t="inlineStr">
        <is>
          <t>Dolaoan</t>
        </is>
      </c>
    </row>
    <row r="32419" spans="1:1">
      <c r="A32419" t="inlineStr">
        <is>
          <t>Imbo</t>
        </is>
      </c>
    </row>
    <row r="32420" spans="1:1">
      <c r="A32420" t="inlineStr">
        <is>
          <t>Macaleeng</t>
        </is>
      </c>
    </row>
    <row r="32421" spans="1:1">
      <c r="A32421" t="inlineStr">
        <is>
          <t>Macandocandong</t>
        </is>
      </c>
    </row>
    <row r="32422" spans="1:1">
      <c r="A32422" t="inlineStr">
        <is>
          <t>Mal-ong</t>
        </is>
      </c>
    </row>
    <row r="32423" spans="1:1">
      <c r="A32423" t="inlineStr">
        <is>
          <t>Namagbagan</t>
        </is>
      </c>
    </row>
    <row r="32424" spans="1:1">
      <c r="A32424" t="inlineStr">
        <is>
          <t>Poblacion</t>
        </is>
      </c>
    </row>
    <row r="32425" spans="1:1">
      <c r="A32425" t="inlineStr">
        <is>
          <t>Roxas</t>
        </is>
      </c>
    </row>
    <row r="32426" spans="1:1">
      <c r="A32426" t="inlineStr">
        <is>
          <t>Sablig</t>
        </is>
      </c>
    </row>
    <row r="32427" spans="1:1">
      <c r="A32427" t="inlineStr">
        <is>
          <t>San Jose</t>
        </is>
      </c>
    </row>
    <row r="32428" spans="1:1">
      <c r="A32428" t="inlineStr">
        <is>
          <t>Siapar</t>
        </is>
      </c>
    </row>
    <row r="32429" spans="1:1">
      <c r="A32429" t="inlineStr">
        <is>
          <t>Tondol</t>
        </is>
      </c>
    </row>
    <row r="32430" spans="1:1">
      <c r="A32430" t="inlineStr">
        <is>
          <t>Toritori</t>
        </is>
      </c>
    </row>
    <row r="32431" spans="1:1">
      <c r="A32431" t="inlineStr">
        <is>
          <t>Ariston Este</t>
        </is>
      </c>
    </row>
    <row r="32432" spans="1:1">
      <c r="A32432" t="inlineStr">
        <is>
          <t>Ariston Weste</t>
        </is>
      </c>
    </row>
    <row r="32433" spans="1:1">
      <c r="A32433" t="inlineStr">
        <is>
          <t>Bantog</t>
        </is>
      </c>
    </row>
    <row r="32434" spans="1:1">
      <c r="A32434" t="inlineStr">
        <is>
          <t>Baro</t>
        </is>
      </c>
    </row>
    <row r="32435" spans="1:1">
      <c r="A32435" t="inlineStr">
        <is>
          <t>Bobonan</t>
        </is>
      </c>
    </row>
    <row r="32436" spans="1:1">
      <c r="A32436" t="inlineStr">
        <is>
          <t>Cabalitian</t>
        </is>
      </c>
    </row>
    <row r="32437" spans="1:1">
      <c r="A32437" t="inlineStr">
        <is>
          <t>Calepaan</t>
        </is>
      </c>
    </row>
    <row r="32438" spans="1:1">
      <c r="A32438" t="inlineStr">
        <is>
          <t>Carosucan Norte</t>
        </is>
      </c>
    </row>
    <row r="32439" spans="1:1">
      <c r="A32439" t="inlineStr">
        <is>
          <t>Carosucan Sur</t>
        </is>
      </c>
    </row>
    <row r="32440" spans="1:1">
      <c r="A32440" t="inlineStr">
        <is>
          <t>Coldit</t>
        </is>
      </c>
    </row>
    <row r="32441" spans="1:1">
      <c r="A32441" t="inlineStr">
        <is>
          <t>Domanpot</t>
        </is>
      </c>
    </row>
    <row r="32442" spans="1:1">
      <c r="A32442" t="inlineStr">
        <is>
          <t>Dupac</t>
        </is>
      </c>
    </row>
    <row r="32443" spans="1:1">
      <c r="A32443" t="inlineStr">
        <is>
          <t>Macalong</t>
        </is>
      </c>
    </row>
    <row r="32444" spans="1:1">
      <c r="A32444" t="inlineStr">
        <is>
          <t>Palaris</t>
        </is>
      </c>
    </row>
    <row r="32445" spans="1:1">
      <c r="A32445" t="inlineStr">
        <is>
          <t>Poblacion East</t>
        </is>
      </c>
    </row>
    <row r="32446" spans="1:1">
      <c r="A32446" t="inlineStr">
        <is>
          <t>Poblacion West</t>
        </is>
      </c>
    </row>
    <row r="32447" spans="1:1">
      <c r="A32447" t="inlineStr">
        <is>
          <t>San Vicente Este</t>
        </is>
      </c>
    </row>
    <row r="32448" spans="1:1">
      <c r="A32448" t="inlineStr">
        <is>
          <t>San Vicente Weste</t>
        </is>
      </c>
    </row>
    <row r="32449" spans="1:1">
      <c r="A32449" t="inlineStr">
        <is>
          <t>Sanchez</t>
        </is>
      </c>
    </row>
    <row r="32450" spans="1:1">
      <c r="A32450" t="inlineStr">
        <is>
          <t>Sobol</t>
        </is>
      </c>
    </row>
    <row r="32451" spans="1:1">
      <c r="A32451" t="inlineStr">
        <is>
          <t>Toboy</t>
        </is>
      </c>
    </row>
    <row r="32452" spans="1:1">
      <c r="A32452" t="inlineStr">
        <is>
          <t>Angayan Norte</t>
        </is>
      </c>
    </row>
    <row r="32453" spans="1:1">
      <c r="A32453" t="inlineStr">
        <is>
          <t>Angayan Sur</t>
        </is>
      </c>
    </row>
    <row r="32454" spans="1:1">
      <c r="A32454" t="inlineStr">
        <is>
          <t>Capulaan</t>
        </is>
      </c>
    </row>
    <row r="32455" spans="1:1">
      <c r="A32455" t="inlineStr">
        <is>
          <t>Esmeralda</t>
        </is>
      </c>
    </row>
    <row r="32456" spans="1:1">
      <c r="A32456" t="inlineStr">
        <is>
          <t>Kita-kita</t>
        </is>
      </c>
    </row>
    <row r="32457" spans="1:1">
      <c r="A32457" t="inlineStr">
        <is>
          <t>Mabini</t>
        </is>
      </c>
    </row>
    <row r="32458" spans="1:1">
      <c r="A32458" t="inlineStr">
        <is>
          <t>Mauban</t>
        </is>
      </c>
    </row>
    <row r="32459" spans="1:1">
      <c r="A32459" t="inlineStr">
        <is>
          <t>Poblacion</t>
        </is>
      </c>
    </row>
    <row r="32460" spans="1:1">
      <c r="A32460" t="inlineStr">
        <is>
          <t>Pugaro</t>
        </is>
      </c>
    </row>
    <row r="32461" spans="1:1">
      <c r="A32461" t="inlineStr">
        <is>
          <t>Rajal</t>
        </is>
      </c>
    </row>
    <row r="32462" spans="1:1">
      <c r="A32462" t="inlineStr">
        <is>
          <t>San Andres</t>
        </is>
      </c>
    </row>
    <row r="32463" spans="1:1">
      <c r="A32463" t="inlineStr">
        <is>
          <t>San Aurelio 1st</t>
        </is>
      </c>
    </row>
    <row r="32464" spans="1:1">
      <c r="A32464" t="inlineStr">
        <is>
          <t>San Aurelio 2nd</t>
        </is>
      </c>
    </row>
    <row r="32465" spans="1:1">
      <c r="A32465" t="inlineStr">
        <is>
          <t>San Aurelio 3rd</t>
        </is>
      </c>
    </row>
    <row r="32466" spans="1:1">
      <c r="A32466" t="inlineStr">
        <is>
          <t>San Joaquin</t>
        </is>
      </c>
    </row>
    <row r="32467" spans="1:1">
      <c r="A32467" t="inlineStr">
        <is>
          <t>San Julian</t>
        </is>
      </c>
    </row>
    <row r="32468" spans="1:1">
      <c r="A32468" t="inlineStr">
        <is>
          <t>San Leon</t>
        </is>
      </c>
    </row>
    <row r="32469" spans="1:1">
      <c r="A32469" t="inlineStr">
        <is>
          <t>San Marcelino</t>
        </is>
      </c>
    </row>
    <row r="32470" spans="1:1">
      <c r="A32470" t="inlineStr">
        <is>
          <t>San Miguel</t>
        </is>
      </c>
    </row>
    <row r="32471" spans="1:1">
      <c r="A32471" t="inlineStr">
        <is>
          <t>San Raymundo</t>
        </is>
      </c>
    </row>
    <row r="32472" spans="1:1">
      <c r="A32472" t="inlineStr">
        <is>
          <t>Ambabaay</t>
        </is>
      </c>
    </row>
    <row r="32473" spans="1:1">
      <c r="A32473" t="inlineStr">
        <is>
          <t>Aporao</t>
        </is>
      </c>
    </row>
    <row r="32474" spans="1:1">
      <c r="A32474" t="inlineStr">
        <is>
          <t>Arwas</t>
        </is>
      </c>
    </row>
    <row r="32475" spans="1:1">
      <c r="A32475" t="inlineStr">
        <is>
          <t>Ballag</t>
        </is>
      </c>
    </row>
    <row r="32476" spans="1:1">
      <c r="A32476" t="inlineStr">
        <is>
          <t>Banog Norte</t>
        </is>
      </c>
    </row>
    <row r="32477" spans="1:1">
      <c r="A32477" t="inlineStr">
        <is>
          <t>Banog Sur</t>
        </is>
      </c>
    </row>
    <row r="32478" spans="1:1">
      <c r="A32478" t="inlineStr">
        <is>
          <t>Calabeng</t>
        </is>
      </c>
    </row>
    <row r="32479" spans="1:1">
      <c r="A32479" t="inlineStr">
        <is>
          <t>Centro Toma</t>
        </is>
      </c>
    </row>
    <row r="32480" spans="1:1">
      <c r="A32480" t="inlineStr">
        <is>
          <t>Colayo</t>
        </is>
      </c>
    </row>
    <row r="32481" spans="1:1">
      <c r="A32481" t="inlineStr">
        <is>
          <t>Dacap Norte</t>
        </is>
      </c>
    </row>
    <row r="32482" spans="1:1">
      <c r="A32482" t="inlineStr">
        <is>
          <t>Dacap Sur</t>
        </is>
      </c>
    </row>
    <row r="32483" spans="1:1">
      <c r="A32483" t="inlineStr">
        <is>
          <t>Garrita</t>
        </is>
      </c>
    </row>
    <row r="32484" spans="1:1">
      <c r="A32484" t="inlineStr">
        <is>
          <t>Luac</t>
        </is>
      </c>
    </row>
    <row r="32485" spans="1:1">
      <c r="A32485" t="inlineStr">
        <is>
          <t>Macabit</t>
        </is>
      </c>
    </row>
    <row r="32486" spans="1:1">
      <c r="A32486" t="inlineStr">
        <is>
          <t>Masidem</t>
        </is>
      </c>
    </row>
    <row r="32487" spans="1:1">
      <c r="A32487" t="inlineStr">
        <is>
          <t>Poblacion</t>
        </is>
      </c>
    </row>
    <row r="32488" spans="1:1">
      <c r="A32488" t="inlineStr">
        <is>
          <t>Quinaoayanan</t>
        </is>
      </c>
    </row>
    <row r="32489" spans="1:1">
      <c r="A32489" t="inlineStr">
        <is>
          <t>Ranao</t>
        </is>
      </c>
    </row>
    <row r="32490" spans="1:1">
      <c r="A32490" t="inlineStr">
        <is>
          <t>Ranom Iloco</t>
        </is>
      </c>
    </row>
    <row r="32491" spans="1:1">
      <c r="A32491" t="inlineStr">
        <is>
          <t>San Jose</t>
        </is>
      </c>
    </row>
    <row r="32492" spans="1:1">
      <c r="A32492" t="inlineStr">
        <is>
          <t>San Miguel</t>
        </is>
      </c>
    </row>
    <row r="32493" spans="1:1">
      <c r="A32493" t="inlineStr">
        <is>
          <t>San Simon</t>
        </is>
      </c>
    </row>
    <row r="32494" spans="1:1">
      <c r="A32494" t="inlineStr">
        <is>
          <t>San Vicente</t>
        </is>
      </c>
    </row>
    <row r="32495" spans="1:1">
      <c r="A32495" t="inlineStr">
        <is>
          <t>Tiep</t>
        </is>
      </c>
    </row>
    <row r="32496" spans="1:1">
      <c r="A32496" t="inlineStr">
        <is>
          <t>Tipor</t>
        </is>
      </c>
    </row>
    <row r="32497" spans="1:1">
      <c r="A32497" t="inlineStr">
        <is>
          <t>Tugui Grande</t>
        </is>
      </c>
    </row>
    <row r="32498" spans="1:1">
      <c r="A32498" t="inlineStr">
        <is>
          <t>Tugui Norte</t>
        </is>
      </c>
    </row>
    <row r="32499" spans="1:1">
      <c r="A32499" t="inlineStr">
        <is>
          <t>Anambongan</t>
        </is>
      </c>
    </row>
    <row r="32500" spans="1:1">
      <c r="A32500" t="inlineStr">
        <is>
          <t>Bayoyong</t>
        </is>
      </c>
    </row>
    <row r="32501" spans="1:1">
      <c r="A32501" t="inlineStr">
        <is>
          <t>Cabeldatan</t>
        </is>
      </c>
    </row>
    <row r="32502" spans="1:1">
      <c r="A32502" t="inlineStr">
        <is>
          <t>Dumpay</t>
        </is>
      </c>
    </row>
    <row r="32503" spans="1:1">
      <c r="A32503" t="inlineStr">
        <is>
          <t>Malimpec East</t>
        </is>
      </c>
    </row>
    <row r="32504" spans="1:1">
      <c r="A32504" t="inlineStr">
        <is>
          <t>Mapolopolo</t>
        </is>
      </c>
    </row>
    <row r="32505" spans="1:1">
      <c r="A32505" t="inlineStr">
        <is>
          <t>Nalneran</t>
        </is>
      </c>
    </row>
    <row r="32506" spans="1:1">
      <c r="A32506" t="inlineStr">
        <is>
          <t>Navatat</t>
        </is>
      </c>
    </row>
    <row r="32507" spans="1:1">
      <c r="A32507" t="inlineStr">
        <is>
          <t>Obong</t>
        </is>
      </c>
    </row>
    <row r="32508" spans="1:1">
      <c r="A32508" t="inlineStr">
        <is>
          <t>Osmena Sr.</t>
        </is>
      </c>
    </row>
    <row r="32509" spans="1:1">
      <c r="A32509" t="inlineStr">
        <is>
          <t>Palma</t>
        </is>
      </c>
    </row>
    <row r="32510" spans="1:1">
      <c r="A32510" t="inlineStr">
        <is>
          <t>Patacbo</t>
        </is>
      </c>
    </row>
    <row r="32511" spans="1:1">
      <c r="A32511" t="inlineStr">
        <is>
          <t>Poblacion</t>
        </is>
      </c>
    </row>
    <row r="32512" spans="1:1">
      <c r="A32512" t="inlineStr">
        <is>
          <t>Artacho</t>
        </is>
      </c>
    </row>
    <row r="32513" spans="1:1">
      <c r="A32513" t="inlineStr">
        <is>
          <t>Baluyot</t>
        </is>
      </c>
    </row>
    <row r="32514" spans="1:1">
      <c r="A32514" t="inlineStr">
        <is>
          <t>Cabuaan</t>
        </is>
      </c>
    </row>
    <row r="32515" spans="1:1">
      <c r="A32515" t="inlineStr">
        <is>
          <t>Cacandongan</t>
        </is>
      </c>
    </row>
    <row r="32516" spans="1:1">
      <c r="A32516" t="inlineStr">
        <is>
          <t>Diaz</t>
        </is>
      </c>
    </row>
    <row r="32517" spans="1:1">
      <c r="A32517" t="inlineStr">
        <is>
          <t>Ketegan</t>
        </is>
      </c>
    </row>
    <row r="32518" spans="1:1">
      <c r="A32518" t="inlineStr">
        <is>
          <t>Nandacan</t>
        </is>
      </c>
    </row>
    <row r="32519" spans="1:1">
      <c r="A32519" t="inlineStr">
        <is>
          <t>Nibaliw Norte</t>
        </is>
      </c>
    </row>
    <row r="32520" spans="1:1">
      <c r="A32520" t="inlineStr">
        <is>
          <t>Nibaliw Sur</t>
        </is>
      </c>
    </row>
    <row r="32521" spans="1:1">
      <c r="A32521" t="inlineStr">
        <is>
          <t>Palisoc</t>
        </is>
      </c>
    </row>
    <row r="32522" spans="1:1">
      <c r="A32522" t="inlineStr">
        <is>
          <t>Poblacion East</t>
        </is>
      </c>
    </row>
    <row r="32523" spans="1:1">
      <c r="A32523" t="inlineStr">
        <is>
          <t>Poblacion West</t>
        </is>
      </c>
    </row>
    <row r="32524" spans="1:1">
      <c r="A32524" t="inlineStr">
        <is>
          <t>Pogo</t>
        </is>
      </c>
    </row>
    <row r="32525" spans="1:1">
      <c r="A32525" t="inlineStr">
        <is>
          <t>Poponto</t>
        </is>
      </c>
    </row>
    <row r="32526" spans="1:1">
      <c r="A32526" t="inlineStr">
        <is>
          <t>Primicias</t>
        </is>
      </c>
    </row>
    <row r="32527" spans="1:1">
      <c r="A32527" t="inlineStr">
        <is>
          <t>Sinabaan</t>
        </is>
      </c>
    </row>
    <row r="32528" spans="1:1">
      <c r="A32528" t="inlineStr">
        <is>
          <t>Vacante</t>
        </is>
      </c>
    </row>
    <row r="32529" spans="1:1">
      <c r="A32529" t="inlineStr">
        <is>
          <t>Villanueva</t>
        </is>
      </c>
    </row>
    <row r="32530" spans="1:1">
      <c r="A32530" t="inlineStr">
        <is>
          <t>Alinggan</t>
        </is>
      </c>
    </row>
    <row r="32531" spans="1:1">
      <c r="A32531" t="inlineStr">
        <is>
          <t>Amancosiling Norte</t>
        </is>
      </c>
    </row>
    <row r="32532" spans="1:1">
      <c r="A32532" t="inlineStr">
        <is>
          <t>Amancosiling Sur</t>
        </is>
      </c>
    </row>
    <row r="32533" spans="1:1">
      <c r="A32533" t="inlineStr">
        <is>
          <t>Amanperez</t>
        </is>
      </c>
    </row>
    <row r="32534" spans="1:1">
      <c r="A32534" t="inlineStr">
        <is>
          <t>Ambayat I</t>
        </is>
      </c>
    </row>
    <row r="32535" spans="1:1">
      <c r="A32535" t="inlineStr">
        <is>
          <t>Ambayat II</t>
        </is>
      </c>
    </row>
    <row r="32536" spans="1:1">
      <c r="A32536" t="inlineStr">
        <is>
          <t>Apalen</t>
        </is>
      </c>
    </row>
    <row r="32537" spans="1:1">
      <c r="A32537" t="inlineStr">
        <is>
          <t>Asin</t>
        </is>
      </c>
    </row>
    <row r="32538" spans="1:1">
      <c r="A32538" t="inlineStr">
        <is>
          <t>Ataynan</t>
        </is>
      </c>
    </row>
    <row r="32539" spans="1:1">
      <c r="A32539" t="inlineStr">
        <is>
          <t>Bacnono</t>
        </is>
      </c>
    </row>
    <row r="32540" spans="1:1">
      <c r="A32540" t="inlineStr">
        <is>
          <t>Balaybuaya</t>
        </is>
      </c>
    </row>
    <row r="32541" spans="1:1">
      <c r="A32541" t="inlineStr">
        <is>
          <t>Banaban</t>
        </is>
      </c>
    </row>
    <row r="32542" spans="1:1">
      <c r="A32542" t="inlineStr">
        <is>
          <t>Bani</t>
        </is>
      </c>
    </row>
    <row r="32543" spans="1:1">
      <c r="A32543" t="inlineStr">
        <is>
          <t>Batangcaoa</t>
        </is>
      </c>
    </row>
    <row r="32544" spans="1:1">
      <c r="A32544" t="inlineStr">
        <is>
          <t>Beleng</t>
        </is>
      </c>
    </row>
    <row r="32545" spans="1:1">
      <c r="A32545" t="inlineStr">
        <is>
          <t>Bical Norte</t>
        </is>
      </c>
    </row>
    <row r="32546" spans="1:1">
      <c r="A32546" t="inlineStr">
        <is>
          <t>Bical Sur</t>
        </is>
      </c>
    </row>
    <row r="32547" spans="1:1">
      <c r="A32547" t="inlineStr">
        <is>
          <t>Bongato East</t>
        </is>
      </c>
    </row>
    <row r="32548" spans="1:1">
      <c r="A32548" t="inlineStr">
        <is>
          <t>Bongato West</t>
        </is>
      </c>
    </row>
    <row r="32549" spans="1:1">
      <c r="A32549" t="inlineStr">
        <is>
          <t>Buayaen</t>
        </is>
      </c>
    </row>
    <row r="32550" spans="1:1">
      <c r="A32550" t="inlineStr">
        <is>
          <t>Buenlag 1st</t>
        </is>
      </c>
    </row>
    <row r="32551" spans="1:1">
      <c r="A32551" t="inlineStr">
        <is>
          <t>Buenlag 2nd</t>
        </is>
      </c>
    </row>
    <row r="32552" spans="1:1">
      <c r="A32552" t="inlineStr">
        <is>
          <t>Cadre Site</t>
        </is>
      </c>
    </row>
    <row r="32553" spans="1:1">
      <c r="A32553" t="inlineStr">
        <is>
          <t>Carungay</t>
        </is>
      </c>
    </row>
    <row r="32554" spans="1:1">
      <c r="A32554" t="inlineStr">
        <is>
          <t>Caturay</t>
        </is>
      </c>
    </row>
    <row r="32555" spans="1:1">
      <c r="A32555" t="inlineStr">
        <is>
          <t>Darawey</t>
        </is>
      </c>
    </row>
    <row r="32556" spans="1:1">
      <c r="A32556" t="inlineStr">
        <is>
          <t>Duera</t>
        </is>
      </c>
    </row>
    <row r="32557" spans="1:1">
      <c r="A32557" t="inlineStr">
        <is>
          <t>Dusoc</t>
        </is>
      </c>
    </row>
    <row r="32558" spans="1:1">
      <c r="A32558" t="inlineStr">
        <is>
          <t>Hermoza</t>
        </is>
      </c>
    </row>
    <row r="32559" spans="1:1">
      <c r="A32559" t="inlineStr">
        <is>
          <t>Idong</t>
        </is>
      </c>
    </row>
    <row r="32560" spans="1:1">
      <c r="A32560" t="inlineStr">
        <is>
          <t>Inanlorenza</t>
        </is>
      </c>
    </row>
    <row r="32561" spans="1:1">
      <c r="A32561" t="inlineStr">
        <is>
          <t>Inirangan</t>
        </is>
      </c>
    </row>
    <row r="32562" spans="1:1">
      <c r="A32562" t="inlineStr">
        <is>
          <t>Iton</t>
        </is>
      </c>
    </row>
    <row r="32563" spans="1:1">
      <c r="A32563" t="inlineStr">
        <is>
          <t>Langiran</t>
        </is>
      </c>
    </row>
    <row r="32564" spans="1:1">
      <c r="A32564" t="inlineStr">
        <is>
          <t>Ligue</t>
        </is>
      </c>
    </row>
    <row r="32565" spans="1:1">
      <c r="A32565" t="inlineStr">
        <is>
          <t>M. H. del Pilar</t>
        </is>
      </c>
    </row>
    <row r="32566" spans="1:1">
      <c r="A32566" t="inlineStr">
        <is>
          <t>Macayocayo</t>
        </is>
      </c>
    </row>
    <row r="32567" spans="1:1">
      <c r="A32567" t="inlineStr">
        <is>
          <t>Magsaysay</t>
        </is>
      </c>
    </row>
    <row r="32568" spans="1:1">
      <c r="A32568" t="inlineStr">
        <is>
          <t>Maigpa</t>
        </is>
      </c>
    </row>
    <row r="32569" spans="1:1">
      <c r="A32569" t="inlineStr">
        <is>
          <t>Malimpec</t>
        </is>
      </c>
    </row>
    <row r="32570" spans="1:1">
      <c r="A32570" t="inlineStr">
        <is>
          <t>Malioer</t>
        </is>
      </c>
    </row>
    <row r="32571" spans="1:1">
      <c r="A32571" t="inlineStr">
        <is>
          <t>Managos</t>
        </is>
      </c>
    </row>
    <row r="32572" spans="1:1">
      <c r="A32572" t="inlineStr">
        <is>
          <t>Manambong Norte</t>
        </is>
      </c>
    </row>
    <row r="32573" spans="1:1">
      <c r="A32573" t="inlineStr">
        <is>
          <t>Manambong Parte</t>
        </is>
      </c>
    </row>
    <row r="32574" spans="1:1">
      <c r="A32574" t="inlineStr">
        <is>
          <t>Manambong Sur</t>
        </is>
      </c>
    </row>
    <row r="32575" spans="1:1">
      <c r="A32575" t="inlineStr">
        <is>
          <t>Mangayao</t>
        </is>
      </c>
    </row>
    <row r="32576" spans="1:1">
      <c r="A32576" t="inlineStr">
        <is>
          <t>Nalsian Norte</t>
        </is>
      </c>
    </row>
    <row r="32577" spans="1:1">
      <c r="A32577" t="inlineStr">
        <is>
          <t>Nalsian Sur</t>
        </is>
      </c>
    </row>
    <row r="32578" spans="1:1">
      <c r="A32578" t="inlineStr">
        <is>
          <t>Pangdel</t>
        </is>
      </c>
    </row>
    <row r="32579" spans="1:1">
      <c r="A32579" t="inlineStr">
        <is>
          <t>Pantol</t>
        </is>
      </c>
    </row>
    <row r="32580" spans="1:1">
      <c r="A32580" t="inlineStr">
        <is>
          <t>Paragos</t>
        </is>
      </c>
    </row>
    <row r="32581" spans="1:1">
      <c r="A32581" t="inlineStr">
        <is>
          <t>Poblacion Sur</t>
        </is>
      </c>
    </row>
    <row r="32582" spans="1:1">
      <c r="A32582" t="inlineStr">
        <is>
          <t>Pugo</t>
        </is>
      </c>
    </row>
    <row r="32583" spans="1:1">
      <c r="A32583" t="inlineStr">
        <is>
          <t>Reynado</t>
        </is>
      </c>
    </row>
    <row r="32584" spans="1:1">
      <c r="A32584" t="inlineStr">
        <is>
          <t>San Gabriel 1st</t>
        </is>
      </c>
    </row>
    <row r="32585" spans="1:1">
      <c r="A32585" t="inlineStr">
        <is>
          <t>San Gabriel 2nd</t>
        </is>
      </c>
    </row>
    <row r="32586" spans="1:1">
      <c r="A32586" t="inlineStr">
        <is>
          <t>San Vicente</t>
        </is>
      </c>
    </row>
    <row r="32587" spans="1:1">
      <c r="A32587" t="inlineStr">
        <is>
          <t>Sancagulis</t>
        </is>
      </c>
    </row>
    <row r="32588" spans="1:1">
      <c r="A32588" t="inlineStr">
        <is>
          <t>Sanlibo</t>
        </is>
      </c>
    </row>
    <row r="32589" spans="1:1">
      <c r="A32589" t="inlineStr">
        <is>
          <t>Sapang</t>
        </is>
      </c>
    </row>
    <row r="32590" spans="1:1">
      <c r="A32590" t="inlineStr">
        <is>
          <t>Tamaro</t>
        </is>
      </c>
    </row>
    <row r="32591" spans="1:1">
      <c r="A32591" t="inlineStr">
        <is>
          <t>Tambac</t>
        </is>
      </c>
    </row>
    <row r="32592" spans="1:1">
      <c r="A32592" t="inlineStr">
        <is>
          <t>Tampog</t>
        </is>
      </c>
    </row>
    <row r="32593" spans="1:1">
      <c r="A32593" t="inlineStr">
        <is>
          <t>Tanolong</t>
        </is>
      </c>
    </row>
    <row r="32594" spans="1:1">
      <c r="A32594" t="inlineStr">
        <is>
          <t>Tatarac</t>
        </is>
      </c>
    </row>
    <row r="32595" spans="1:1">
      <c r="A32595" t="inlineStr">
        <is>
          <t>Telbang</t>
        </is>
      </c>
    </row>
    <row r="32596" spans="1:1">
      <c r="A32596" t="inlineStr">
        <is>
          <t>Tococ East</t>
        </is>
      </c>
    </row>
    <row r="32597" spans="1:1">
      <c r="A32597" t="inlineStr">
        <is>
          <t>Tococ West</t>
        </is>
      </c>
    </row>
    <row r="32598" spans="1:1">
      <c r="A32598" t="inlineStr">
        <is>
          <t>Warding</t>
        </is>
      </c>
    </row>
    <row r="32599" spans="1:1">
      <c r="A32599" t="inlineStr">
        <is>
          <t>Wawa</t>
        </is>
      </c>
    </row>
    <row r="32600" spans="1:1">
      <c r="A32600" t="inlineStr">
        <is>
          <t>Zone I</t>
        </is>
      </c>
    </row>
    <row r="32601" spans="1:1">
      <c r="A32601" t="inlineStr">
        <is>
          <t>Zone II</t>
        </is>
      </c>
    </row>
    <row r="32602" spans="1:1">
      <c r="A32602" t="inlineStr">
        <is>
          <t>Zone III</t>
        </is>
      </c>
    </row>
    <row r="32603" spans="1:1">
      <c r="A32603" t="inlineStr">
        <is>
          <t>Zone IV</t>
        </is>
      </c>
    </row>
    <row r="32604" spans="1:1">
      <c r="A32604" t="inlineStr">
        <is>
          <t>Zone V</t>
        </is>
      </c>
    </row>
    <row r="32605" spans="1:1">
      <c r="A32605" t="inlineStr">
        <is>
          <t>Zone VI</t>
        </is>
      </c>
    </row>
    <row r="32606" spans="1:1">
      <c r="A32606" t="inlineStr">
        <is>
          <t>Zone VII</t>
        </is>
      </c>
    </row>
    <row r="32607" spans="1:1">
      <c r="A32607" t="inlineStr">
        <is>
          <t>Balangobong</t>
        </is>
      </c>
    </row>
    <row r="32608" spans="1:1">
      <c r="A32608" t="inlineStr">
        <is>
          <t>Bued</t>
        </is>
      </c>
    </row>
    <row r="32609" spans="1:1">
      <c r="A32609" t="inlineStr">
        <is>
          <t>Bugayong</t>
        </is>
      </c>
    </row>
    <row r="32610" spans="1:1">
      <c r="A32610" t="inlineStr">
        <is>
          <t>Camangaan</t>
        </is>
      </c>
    </row>
    <row r="32611" spans="1:1">
      <c r="A32611" t="inlineStr">
        <is>
          <t>Canarvacanan</t>
        </is>
      </c>
    </row>
    <row r="32612" spans="1:1">
      <c r="A32612" t="inlineStr">
        <is>
          <t>Capas</t>
        </is>
      </c>
    </row>
    <row r="32613" spans="1:1">
      <c r="A32613" t="inlineStr">
        <is>
          <t>Cili</t>
        </is>
      </c>
    </row>
    <row r="32614" spans="1:1">
      <c r="A32614" t="inlineStr">
        <is>
          <t>Dumayat</t>
        </is>
      </c>
    </row>
    <row r="32615" spans="1:1">
      <c r="A32615" t="inlineStr">
        <is>
          <t>Linmansangan</t>
        </is>
      </c>
    </row>
    <row r="32616" spans="1:1">
      <c r="A32616" t="inlineStr">
        <is>
          <t>Mangcasuy</t>
        </is>
      </c>
    </row>
    <row r="32617" spans="1:1">
      <c r="A32617" t="inlineStr">
        <is>
          <t>Moreno</t>
        </is>
      </c>
    </row>
    <row r="32618" spans="1:1">
      <c r="A32618" t="inlineStr">
        <is>
          <t>Pasileng Norte</t>
        </is>
      </c>
    </row>
    <row r="32619" spans="1:1">
      <c r="A32619" t="inlineStr">
        <is>
          <t>Pasileng Sur</t>
        </is>
      </c>
    </row>
    <row r="32620" spans="1:1">
      <c r="A32620" t="inlineStr">
        <is>
          <t>Poblacion</t>
        </is>
      </c>
    </row>
    <row r="32621" spans="1:1">
      <c r="A32621" t="inlineStr">
        <is>
          <t>San Felipe Central</t>
        </is>
      </c>
    </row>
    <row r="32622" spans="1:1">
      <c r="A32622" t="inlineStr">
        <is>
          <t>San Felipe Sur</t>
        </is>
      </c>
    </row>
    <row r="32623" spans="1:1">
      <c r="A32623" t="inlineStr">
        <is>
          <t>San Pablo</t>
        </is>
      </c>
    </row>
    <row r="32624" spans="1:1">
      <c r="A32624" t="inlineStr">
        <is>
          <t>Santiago</t>
        </is>
      </c>
    </row>
    <row r="32625" spans="1:1">
      <c r="A32625" t="inlineStr">
        <is>
          <t>Sta. Catalina</t>
        </is>
      </c>
    </row>
    <row r="32626" spans="1:1">
      <c r="A32626" t="inlineStr">
        <is>
          <t>Sta. Maria Norte</t>
        </is>
      </c>
    </row>
    <row r="32627" spans="1:1">
      <c r="A32627" t="inlineStr">
        <is>
          <t>Sto. Niño</t>
        </is>
      </c>
    </row>
    <row r="32628" spans="1:1">
      <c r="A32628" t="inlineStr">
        <is>
          <t>Sumabnit</t>
        </is>
      </c>
    </row>
    <row r="32629" spans="1:1">
      <c r="A32629" t="inlineStr">
        <is>
          <t>Tabuyoc</t>
        </is>
      </c>
    </row>
    <row r="32630" spans="1:1">
      <c r="A32630" t="inlineStr">
        <is>
          <t>Vacante</t>
        </is>
      </c>
    </row>
    <row r="32631" spans="1:1">
      <c r="A32631" t="inlineStr">
        <is>
          <t>Amancoro</t>
        </is>
      </c>
    </row>
    <row r="32632" spans="1:1">
      <c r="A32632" t="inlineStr">
        <is>
          <t>Balagan</t>
        </is>
      </c>
    </row>
    <row r="32633" spans="1:1">
      <c r="A32633" t="inlineStr">
        <is>
          <t>Balogo</t>
        </is>
      </c>
    </row>
    <row r="32634" spans="1:1">
      <c r="A32634" t="inlineStr">
        <is>
          <t>Basing</t>
        </is>
      </c>
    </row>
    <row r="32635" spans="1:1">
      <c r="A32635" t="inlineStr">
        <is>
          <t>Baybay Lopez</t>
        </is>
      </c>
    </row>
    <row r="32636" spans="1:1">
      <c r="A32636" t="inlineStr">
        <is>
          <t>Baybay Polong</t>
        </is>
      </c>
    </row>
    <row r="32637" spans="1:1">
      <c r="A32637" t="inlineStr">
        <is>
          <t>Biec</t>
        </is>
      </c>
    </row>
    <row r="32638" spans="1:1">
      <c r="A32638" t="inlineStr">
        <is>
          <t>Buenlag</t>
        </is>
      </c>
    </row>
    <row r="32639" spans="1:1">
      <c r="A32639" t="inlineStr">
        <is>
          <t>Calit</t>
        </is>
      </c>
    </row>
    <row r="32640" spans="1:1">
      <c r="A32640" t="inlineStr">
        <is>
          <t>Caloocan Dupo</t>
        </is>
      </c>
    </row>
    <row r="32641" spans="1:1">
      <c r="A32641" t="inlineStr">
        <is>
          <t>Caloocan Norte</t>
        </is>
      </c>
    </row>
    <row r="32642" spans="1:1">
      <c r="A32642" t="inlineStr">
        <is>
          <t>Caloocan Sur</t>
        </is>
      </c>
    </row>
    <row r="32643" spans="1:1">
      <c r="A32643" t="inlineStr">
        <is>
          <t>Camaley</t>
        </is>
      </c>
    </row>
    <row r="32644" spans="1:1">
      <c r="A32644" t="inlineStr">
        <is>
          <t>Canaoalan</t>
        </is>
      </c>
    </row>
    <row r="32645" spans="1:1">
      <c r="A32645" t="inlineStr">
        <is>
          <t>Dulag</t>
        </is>
      </c>
    </row>
    <row r="32646" spans="1:1">
      <c r="A32646" t="inlineStr">
        <is>
          <t>Gayaman</t>
        </is>
      </c>
    </row>
    <row r="32647" spans="1:1">
      <c r="A32647" t="inlineStr">
        <is>
          <t>Linoc</t>
        </is>
      </c>
    </row>
    <row r="32648" spans="1:1">
      <c r="A32648" t="inlineStr">
        <is>
          <t>Lomboy</t>
        </is>
      </c>
    </row>
    <row r="32649" spans="1:1">
      <c r="A32649" t="inlineStr">
        <is>
          <t>Malindong</t>
        </is>
      </c>
    </row>
    <row r="32650" spans="1:1">
      <c r="A32650" t="inlineStr">
        <is>
          <t>Manat</t>
        </is>
      </c>
    </row>
    <row r="32651" spans="1:1">
      <c r="A32651" t="inlineStr">
        <is>
          <t>Nagpalangan</t>
        </is>
      </c>
    </row>
    <row r="32652" spans="1:1">
      <c r="A32652" t="inlineStr">
        <is>
          <t>Naguilayan</t>
        </is>
      </c>
    </row>
    <row r="32653" spans="1:1">
      <c r="A32653" t="inlineStr">
        <is>
          <t>Pallas</t>
        </is>
      </c>
    </row>
    <row r="32654" spans="1:1">
      <c r="A32654" t="inlineStr">
        <is>
          <t>Papagueyan</t>
        </is>
      </c>
    </row>
    <row r="32655" spans="1:1">
      <c r="A32655" t="inlineStr">
        <is>
          <t>Parayao</t>
        </is>
      </c>
    </row>
    <row r="32656" spans="1:1">
      <c r="A32656" t="inlineStr">
        <is>
          <t>Poblacion</t>
        </is>
      </c>
    </row>
    <row r="32657" spans="1:1">
      <c r="A32657" t="inlineStr">
        <is>
          <t>Pototan</t>
        </is>
      </c>
    </row>
    <row r="32658" spans="1:1">
      <c r="A32658" t="inlineStr">
        <is>
          <t>Sabangan</t>
        </is>
      </c>
    </row>
    <row r="32659" spans="1:1">
      <c r="A32659" t="inlineStr">
        <is>
          <t>Salapingao</t>
        </is>
      </c>
    </row>
    <row r="32660" spans="1:1">
      <c r="A32660" t="inlineStr">
        <is>
          <t>San Isidro Norte</t>
        </is>
      </c>
    </row>
    <row r="32661" spans="1:1">
      <c r="A32661" t="inlineStr">
        <is>
          <t>San Isidro Sur</t>
        </is>
      </c>
    </row>
    <row r="32662" spans="1:1">
      <c r="A32662" t="inlineStr">
        <is>
          <t>Santa Rosa</t>
        </is>
      </c>
    </row>
    <row r="32663" spans="1:1">
      <c r="A32663" t="inlineStr">
        <is>
          <t>Tombor</t>
        </is>
      </c>
    </row>
    <row r="32664" spans="1:1">
      <c r="A32664" t="inlineStr">
        <is>
          <t>Arnedo</t>
        </is>
      </c>
    </row>
    <row r="32665" spans="1:1">
      <c r="A32665" t="inlineStr">
        <is>
          <t>Balingasay</t>
        </is>
      </c>
    </row>
    <row r="32666" spans="1:1">
      <c r="A32666" t="inlineStr">
        <is>
          <t>Binabalian</t>
        </is>
      </c>
    </row>
    <row r="32667" spans="1:1">
      <c r="A32667" t="inlineStr">
        <is>
          <t>Cabuyao</t>
        </is>
      </c>
    </row>
    <row r="32668" spans="1:1">
      <c r="A32668" t="inlineStr">
        <is>
          <t>Catuday</t>
        </is>
      </c>
    </row>
    <row r="32669" spans="1:1">
      <c r="A32669" t="inlineStr">
        <is>
          <t>Catungi</t>
        </is>
      </c>
    </row>
    <row r="32670" spans="1:1">
      <c r="A32670" t="inlineStr">
        <is>
          <t>Concordia</t>
        </is>
      </c>
    </row>
    <row r="32671" spans="1:1">
      <c r="A32671" t="inlineStr">
        <is>
          <t>Culang</t>
        </is>
      </c>
    </row>
    <row r="32672" spans="1:1">
      <c r="A32672" t="inlineStr">
        <is>
          <t>Dewey</t>
        </is>
      </c>
    </row>
    <row r="32673" spans="1:1">
      <c r="A32673" t="inlineStr">
        <is>
          <t>Estanza</t>
        </is>
      </c>
    </row>
    <row r="32674" spans="1:1">
      <c r="A32674" t="inlineStr">
        <is>
          <t>Germinal</t>
        </is>
      </c>
    </row>
    <row r="32675" spans="1:1">
      <c r="A32675" t="inlineStr">
        <is>
          <t>Goyoden</t>
        </is>
      </c>
    </row>
    <row r="32676" spans="1:1">
      <c r="A32676" t="inlineStr">
        <is>
          <t>Ilogmalino</t>
        </is>
      </c>
    </row>
    <row r="32677" spans="1:1">
      <c r="A32677" t="inlineStr">
        <is>
          <t>Lambes</t>
        </is>
      </c>
    </row>
    <row r="32678" spans="1:1">
      <c r="A32678" t="inlineStr">
        <is>
          <t>Liwa-liwa</t>
        </is>
      </c>
    </row>
    <row r="32679" spans="1:1">
      <c r="A32679" t="inlineStr">
        <is>
          <t>Lucero</t>
        </is>
      </c>
    </row>
    <row r="32680" spans="1:1">
      <c r="A32680" t="inlineStr">
        <is>
          <t>Luciente 1.0</t>
        </is>
      </c>
    </row>
    <row r="32681" spans="1:1">
      <c r="A32681" t="inlineStr">
        <is>
          <t>Luciente 2.0</t>
        </is>
      </c>
    </row>
    <row r="32682" spans="1:1">
      <c r="A32682" t="inlineStr">
        <is>
          <t>Luna</t>
        </is>
      </c>
    </row>
    <row r="32683" spans="1:1">
      <c r="A32683" t="inlineStr">
        <is>
          <t>Patar</t>
        </is>
      </c>
    </row>
    <row r="32684" spans="1:1">
      <c r="A32684" t="inlineStr">
        <is>
          <t>Pilar</t>
        </is>
      </c>
    </row>
    <row r="32685" spans="1:1">
      <c r="A32685" t="inlineStr">
        <is>
          <t>Salud</t>
        </is>
      </c>
    </row>
    <row r="32686" spans="1:1">
      <c r="A32686" t="inlineStr">
        <is>
          <t>Samang Norte</t>
        </is>
      </c>
    </row>
    <row r="32687" spans="1:1">
      <c r="A32687" t="inlineStr">
        <is>
          <t>Samang Sur</t>
        </is>
      </c>
    </row>
    <row r="32688" spans="1:1">
      <c r="A32688" t="inlineStr">
        <is>
          <t>Sampaloc</t>
        </is>
      </c>
    </row>
    <row r="32689" spans="1:1">
      <c r="A32689" t="inlineStr">
        <is>
          <t>San Roque</t>
        </is>
      </c>
    </row>
    <row r="32690" spans="1:1">
      <c r="A32690" t="inlineStr">
        <is>
          <t>Tara</t>
        </is>
      </c>
    </row>
    <row r="32691" spans="1:1">
      <c r="A32691" t="inlineStr">
        <is>
          <t>Tupa</t>
        </is>
      </c>
    </row>
    <row r="32692" spans="1:1">
      <c r="A32692" t="inlineStr">
        <is>
          <t>Victory</t>
        </is>
      </c>
    </row>
    <row r="32693" spans="1:1">
      <c r="A32693" t="inlineStr">
        <is>
          <t>Zaragoza</t>
        </is>
      </c>
    </row>
    <row r="32694" spans="1:1">
      <c r="A32694" t="inlineStr">
        <is>
          <t>Angarian</t>
        </is>
      </c>
    </row>
    <row r="32695" spans="1:1">
      <c r="A32695" t="inlineStr">
        <is>
          <t>Asinan</t>
        </is>
      </c>
    </row>
    <row r="32696" spans="1:1">
      <c r="A32696" t="inlineStr">
        <is>
          <t>Bacabac</t>
        </is>
      </c>
    </row>
    <row r="32697" spans="1:1">
      <c r="A32697" t="inlineStr">
        <is>
          <t>Banaga</t>
        </is>
      </c>
    </row>
    <row r="32698" spans="1:1">
      <c r="A32698" t="inlineStr">
        <is>
          <t>Bolaoen</t>
        </is>
      </c>
    </row>
    <row r="32699" spans="1:1">
      <c r="A32699" t="inlineStr">
        <is>
          <t>Buenlag</t>
        </is>
      </c>
    </row>
    <row r="32700" spans="1:1">
      <c r="A32700" t="inlineStr">
        <is>
          <t>Cabayaoasan</t>
        </is>
      </c>
    </row>
    <row r="32701" spans="1:1">
      <c r="A32701" t="inlineStr">
        <is>
          <t>Cayanga</t>
        </is>
      </c>
    </row>
    <row r="32702" spans="1:1">
      <c r="A32702" t="inlineStr">
        <is>
          <t>Gueset</t>
        </is>
      </c>
    </row>
    <row r="32703" spans="1:1">
      <c r="A32703" t="inlineStr">
        <is>
          <t>Hacienda</t>
        </is>
      </c>
    </row>
    <row r="32704" spans="1:1">
      <c r="A32704" t="inlineStr">
        <is>
          <t>Laguit Centro</t>
        </is>
      </c>
    </row>
    <row r="32705" spans="1:1">
      <c r="A32705" t="inlineStr">
        <is>
          <t>Laguit Padilla</t>
        </is>
      </c>
    </row>
    <row r="32706" spans="1:1">
      <c r="A32706" t="inlineStr">
        <is>
          <t>Magtaking</t>
        </is>
      </c>
    </row>
    <row r="32707" spans="1:1">
      <c r="A32707" t="inlineStr">
        <is>
          <t>Pangascasan</t>
        </is>
      </c>
    </row>
    <row r="32708" spans="1:1">
      <c r="A32708" t="inlineStr">
        <is>
          <t>Pantal</t>
        </is>
      </c>
    </row>
    <row r="32709" spans="1:1">
      <c r="A32709" t="inlineStr">
        <is>
          <t>Poblacion</t>
        </is>
      </c>
    </row>
    <row r="32710" spans="1:1">
      <c r="A32710" t="inlineStr">
        <is>
          <t>Polong</t>
        </is>
      </c>
    </row>
    <row r="32711" spans="1:1">
      <c r="A32711" t="inlineStr">
        <is>
          <t>Portic</t>
        </is>
      </c>
    </row>
    <row r="32712" spans="1:1">
      <c r="A32712" t="inlineStr">
        <is>
          <t>Salasa</t>
        </is>
      </c>
    </row>
    <row r="32713" spans="1:1">
      <c r="A32713" t="inlineStr">
        <is>
          <t>Salomague Norte</t>
        </is>
      </c>
    </row>
    <row r="32714" spans="1:1">
      <c r="A32714" t="inlineStr">
        <is>
          <t>Salomague Sur</t>
        </is>
      </c>
    </row>
    <row r="32715" spans="1:1">
      <c r="A32715" t="inlineStr">
        <is>
          <t>Samat</t>
        </is>
      </c>
    </row>
    <row r="32716" spans="1:1">
      <c r="A32716" t="inlineStr">
        <is>
          <t>San Francisco</t>
        </is>
      </c>
    </row>
    <row r="32717" spans="1:1">
      <c r="A32717" t="inlineStr">
        <is>
          <t>Umanday</t>
        </is>
      </c>
    </row>
    <row r="32718" spans="1:1">
      <c r="A32718" t="inlineStr">
        <is>
          <t>Anapao</t>
        </is>
      </c>
    </row>
    <row r="32719" spans="1:1">
      <c r="A32719" t="inlineStr">
        <is>
          <t>Cacayasen</t>
        </is>
      </c>
    </row>
    <row r="32720" spans="1:1">
      <c r="A32720" t="inlineStr">
        <is>
          <t>Concordia</t>
        </is>
      </c>
    </row>
    <row r="32721" spans="1:1">
      <c r="A32721" t="inlineStr">
        <is>
          <t>Don Matias</t>
        </is>
      </c>
    </row>
    <row r="32722" spans="1:1">
      <c r="A32722" t="inlineStr">
        <is>
          <t>Ilio-ilio</t>
        </is>
      </c>
    </row>
    <row r="32723" spans="1:1">
      <c r="A32723" t="inlineStr">
        <is>
          <t>Papallasen</t>
        </is>
      </c>
    </row>
    <row r="32724" spans="1:1">
      <c r="A32724" t="inlineStr">
        <is>
          <t>Poblacion</t>
        </is>
      </c>
    </row>
    <row r="32725" spans="1:1">
      <c r="A32725" t="inlineStr">
        <is>
          <t>Pogoruac</t>
        </is>
      </c>
    </row>
    <row r="32726" spans="1:1">
      <c r="A32726" t="inlineStr">
        <is>
          <t>San Miguel</t>
        </is>
      </c>
    </row>
    <row r="32727" spans="1:1">
      <c r="A32727" t="inlineStr">
        <is>
          <t>San Pascual</t>
        </is>
      </c>
    </row>
    <row r="32728" spans="1:1">
      <c r="A32728" t="inlineStr">
        <is>
          <t>San Vicente</t>
        </is>
      </c>
    </row>
    <row r="32729" spans="1:1">
      <c r="A32729" t="inlineStr">
        <is>
          <t>Sapa Grande</t>
        </is>
      </c>
    </row>
    <row r="32730" spans="1:1">
      <c r="A32730" t="inlineStr">
        <is>
          <t>Sapa Pequeña</t>
        </is>
      </c>
    </row>
    <row r="32731" spans="1:1">
      <c r="A32731" t="inlineStr">
        <is>
          <t>Tambacan</t>
        </is>
      </c>
    </row>
    <row r="32732" spans="1:1">
      <c r="A32732" t="inlineStr">
        <is>
          <t>Ambonao</t>
        </is>
      </c>
    </row>
    <row r="32733" spans="1:1">
      <c r="A32733" t="inlineStr">
        <is>
          <t>Ambuetel</t>
        </is>
      </c>
    </row>
    <row r="32734" spans="1:1">
      <c r="A32734" t="inlineStr">
        <is>
          <t>Banaoang</t>
        </is>
      </c>
    </row>
    <row r="32735" spans="1:1">
      <c r="A32735" t="inlineStr">
        <is>
          <t>Bued</t>
        </is>
      </c>
    </row>
    <row r="32736" spans="1:1">
      <c r="A32736" t="inlineStr">
        <is>
          <t>Buenlag</t>
        </is>
      </c>
    </row>
    <row r="32737" spans="1:1">
      <c r="A32737" t="inlineStr">
        <is>
          <t>Cabilocaan</t>
        </is>
      </c>
    </row>
    <row r="32738" spans="1:1">
      <c r="A32738" t="inlineStr">
        <is>
          <t>Dinalaoan</t>
        </is>
      </c>
    </row>
    <row r="32739" spans="1:1">
      <c r="A32739" t="inlineStr">
        <is>
          <t>Doyong</t>
        </is>
      </c>
    </row>
    <row r="32740" spans="1:1">
      <c r="A32740" t="inlineStr">
        <is>
          <t>Gabon</t>
        </is>
      </c>
    </row>
    <row r="32741" spans="1:1">
      <c r="A32741" t="inlineStr">
        <is>
          <t>Lasip</t>
        </is>
      </c>
    </row>
    <row r="32742" spans="1:1">
      <c r="A32742" t="inlineStr">
        <is>
          <t>Longos</t>
        </is>
      </c>
    </row>
    <row r="32743" spans="1:1">
      <c r="A32743" t="inlineStr">
        <is>
          <t>Lumbang</t>
        </is>
      </c>
    </row>
    <row r="32744" spans="1:1">
      <c r="A32744" t="inlineStr">
        <is>
          <t>Macabito</t>
        </is>
      </c>
    </row>
    <row r="32745" spans="1:1">
      <c r="A32745" t="inlineStr">
        <is>
          <t>Malabago</t>
        </is>
      </c>
    </row>
    <row r="32746" spans="1:1">
      <c r="A32746" t="inlineStr">
        <is>
          <t>Mancup</t>
        </is>
      </c>
    </row>
    <row r="32747" spans="1:1">
      <c r="A32747" t="inlineStr">
        <is>
          <t>Nagsaing</t>
        </is>
      </c>
    </row>
    <row r="32748" spans="1:1">
      <c r="A32748" t="inlineStr">
        <is>
          <t>Nalsian</t>
        </is>
      </c>
    </row>
    <row r="32749" spans="1:1">
      <c r="A32749" t="inlineStr">
        <is>
          <t>Poblacion East</t>
        </is>
      </c>
    </row>
    <row r="32750" spans="1:1">
      <c r="A32750" t="inlineStr">
        <is>
          <t>Poblacion West</t>
        </is>
      </c>
    </row>
    <row r="32751" spans="1:1">
      <c r="A32751" t="inlineStr">
        <is>
          <t>Quesban</t>
        </is>
      </c>
    </row>
    <row r="32752" spans="1:1">
      <c r="A32752" t="inlineStr">
        <is>
          <t>San Miguel</t>
        </is>
      </c>
    </row>
    <row r="32753" spans="1:1">
      <c r="A32753" t="inlineStr">
        <is>
          <t>San Vicente</t>
        </is>
      </c>
    </row>
    <row r="32754" spans="1:1">
      <c r="A32754" t="inlineStr">
        <is>
          <t>Songkoy</t>
        </is>
      </c>
    </row>
    <row r="32755" spans="1:1">
      <c r="A32755" t="inlineStr">
        <is>
          <t>Talibaew</t>
        </is>
      </c>
    </row>
    <row r="32756" spans="1:1">
      <c r="A32756" t="inlineStr">
        <is>
          <t>Alos</t>
        </is>
      </c>
    </row>
    <row r="32757" spans="1:1">
      <c r="A32757" t="inlineStr">
        <is>
          <t>Amandiego</t>
        </is>
      </c>
    </row>
    <row r="32758" spans="1:1">
      <c r="A32758" t="inlineStr">
        <is>
          <t>Amangbangan</t>
        </is>
      </c>
    </row>
    <row r="32759" spans="1:1">
      <c r="A32759" t="inlineStr">
        <is>
          <t>Balangobong</t>
        </is>
      </c>
    </row>
    <row r="32760" spans="1:1">
      <c r="A32760" t="inlineStr">
        <is>
          <t>Balayang</t>
        </is>
      </c>
    </row>
    <row r="32761" spans="1:1">
      <c r="A32761" t="inlineStr">
        <is>
          <t>Baleyadaan</t>
        </is>
      </c>
    </row>
    <row r="32762" spans="1:1">
      <c r="A32762" t="inlineStr">
        <is>
          <t>Bisocol</t>
        </is>
      </c>
    </row>
    <row r="32763" spans="1:1">
      <c r="A32763" t="inlineStr">
        <is>
          <t>Bolaney</t>
        </is>
      </c>
    </row>
    <row r="32764" spans="1:1">
      <c r="A32764" t="inlineStr">
        <is>
          <t>Bued</t>
        </is>
      </c>
    </row>
    <row r="32765" spans="1:1">
      <c r="A32765" t="inlineStr">
        <is>
          <t>Cabatuan</t>
        </is>
      </c>
    </row>
    <row r="32766" spans="1:1">
      <c r="A32766" t="inlineStr">
        <is>
          <t>Cayucay</t>
        </is>
      </c>
    </row>
    <row r="32767" spans="1:1">
      <c r="A32767" t="inlineStr">
        <is>
          <t>Dulacac</t>
        </is>
      </c>
    </row>
    <row r="32768" spans="1:1">
      <c r="A32768" t="inlineStr">
        <is>
          <t>Inerangan</t>
        </is>
      </c>
    </row>
    <row r="32769" spans="1:1">
      <c r="A32769" t="inlineStr">
        <is>
          <t>Landoc</t>
        </is>
      </c>
    </row>
    <row r="32770" spans="1:1">
      <c r="A32770" t="inlineStr">
        <is>
          <t>Linmansangan</t>
        </is>
      </c>
    </row>
    <row r="32771" spans="1:1">
      <c r="A32771" t="inlineStr">
        <is>
          <t>Lucap</t>
        </is>
      </c>
    </row>
    <row r="32772" spans="1:1">
      <c r="A32772" t="inlineStr">
        <is>
          <t>Maawi</t>
        </is>
      </c>
    </row>
    <row r="32773" spans="1:1">
      <c r="A32773" t="inlineStr">
        <is>
          <t>Macatiw</t>
        </is>
      </c>
    </row>
    <row r="32774" spans="1:1">
      <c r="A32774" t="inlineStr">
        <is>
          <t>Magsaysay</t>
        </is>
      </c>
    </row>
    <row r="32775" spans="1:1">
      <c r="A32775" t="inlineStr">
        <is>
          <t>Mona</t>
        </is>
      </c>
    </row>
    <row r="32776" spans="1:1">
      <c r="A32776" t="inlineStr">
        <is>
          <t>Palamis</t>
        </is>
      </c>
    </row>
    <row r="32777" spans="1:1">
      <c r="A32777" t="inlineStr">
        <is>
          <t>Pandan</t>
        </is>
      </c>
    </row>
    <row r="32778" spans="1:1">
      <c r="A32778" t="inlineStr">
        <is>
          <t>Pangapisan</t>
        </is>
      </c>
    </row>
    <row r="32779" spans="1:1">
      <c r="A32779" t="inlineStr">
        <is>
          <t>Poblacion</t>
        </is>
      </c>
    </row>
    <row r="32780" spans="1:1">
      <c r="A32780" t="inlineStr">
        <is>
          <t>Pocalpocal</t>
        </is>
      </c>
    </row>
    <row r="32781" spans="1:1">
      <c r="A32781" t="inlineStr">
        <is>
          <t>Pogo</t>
        </is>
      </c>
    </row>
    <row r="32782" spans="1:1">
      <c r="A32782" t="inlineStr">
        <is>
          <t>Polo</t>
        </is>
      </c>
    </row>
    <row r="32783" spans="1:1">
      <c r="A32783" t="inlineStr">
        <is>
          <t>Quibuar</t>
        </is>
      </c>
    </row>
    <row r="32784" spans="1:1">
      <c r="A32784" t="inlineStr">
        <is>
          <t>Sabangan</t>
        </is>
      </c>
    </row>
    <row r="32785" spans="1:1">
      <c r="A32785" t="inlineStr">
        <is>
          <t>San Antonio</t>
        </is>
      </c>
    </row>
    <row r="32786" spans="1:1">
      <c r="A32786" t="inlineStr">
        <is>
          <t>San Jose</t>
        </is>
      </c>
    </row>
    <row r="32787" spans="1:1">
      <c r="A32787" t="inlineStr">
        <is>
          <t>San Roque</t>
        </is>
      </c>
    </row>
    <row r="32788" spans="1:1">
      <c r="A32788" t="inlineStr">
        <is>
          <t>San Vicente</t>
        </is>
      </c>
    </row>
    <row r="32789" spans="1:1">
      <c r="A32789" t="inlineStr">
        <is>
          <t>Santa Maria</t>
        </is>
      </c>
    </row>
    <row r="32790" spans="1:1">
      <c r="A32790" t="inlineStr">
        <is>
          <t>Tanaytay</t>
        </is>
      </c>
    </row>
    <row r="32791" spans="1:1">
      <c r="A32791" t="inlineStr">
        <is>
          <t>Tangcarang</t>
        </is>
      </c>
    </row>
    <row r="32792" spans="1:1">
      <c r="A32792" t="inlineStr">
        <is>
          <t>Tawintawin</t>
        </is>
      </c>
    </row>
    <row r="32793" spans="1:1">
      <c r="A32793" t="inlineStr">
        <is>
          <t>Telbang</t>
        </is>
      </c>
    </row>
    <row r="32794" spans="1:1">
      <c r="A32794" t="inlineStr">
        <is>
          <t>Victoria</t>
        </is>
      </c>
    </row>
    <row r="32795" spans="1:1">
      <c r="A32795" t="inlineStr">
        <is>
          <t>Bacayao Norte</t>
        </is>
      </c>
    </row>
    <row r="32796" spans="1:1">
      <c r="A32796" t="inlineStr">
        <is>
          <t>Bacayao Sur</t>
        </is>
      </c>
    </row>
    <row r="32797" spans="1:1">
      <c r="A32797" t="inlineStr">
        <is>
          <t>Barangay I</t>
        </is>
      </c>
    </row>
    <row r="32798" spans="1:1">
      <c r="A32798" t="inlineStr">
        <is>
          <t>Barangay II</t>
        </is>
      </c>
    </row>
    <row r="32799" spans="1:1">
      <c r="A32799" t="inlineStr">
        <is>
          <t>Barangay IV</t>
        </is>
      </c>
    </row>
    <row r="32800" spans="1:1">
      <c r="A32800" t="inlineStr">
        <is>
          <t>Bolosan</t>
        </is>
      </c>
    </row>
    <row r="32801" spans="1:1">
      <c r="A32801" t="inlineStr">
        <is>
          <t>Bonuan Binloc</t>
        </is>
      </c>
    </row>
    <row r="32802" spans="1:1">
      <c r="A32802" t="inlineStr">
        <is>
          <t>Bonuan Boquig</t>
        </is>
      </c>
    </row>
    <row r="32803" spans="1:1">
      <c r="A32803" t="inlineStr">
        <is>
          <t>Bonuan Gueset</t>
        </is>
      </c>
    </row>
    <row r="32804" spans="1:1">
      <c r="A32804" t="inlineStr">
        <is>
          <t>Calmay</t>
        </is>
      </c>
    </row>
    <row r="32805" spans="1:1">
      <c r="A32805" t="inlineStr">
        <is>
          <t>Carael</t>
        </is>
      </c>
    </row>
    <row r="32806" spans="1:1">
      <c r="A32806" t="inlineStr">
        <is>
          <t>Caranglaan</t>
        </is>
      </c>
    </row>
    <row r="32807" spans="1:1">
      <c r="A32807" t="inlineStr">
        <is>
          <t>Herrero</t>
        </is>
      </c>
    </row>
    <row r="32808" spans="1:1">
      <c r="A32808" t="inlineStr">
        <is>
          <t>Lasip Chico</t>
        </is>
      </c>
    </row>
    <row r="32809" spans="1:1">
      <c r="A32809" t="inlineStr">
        <is>
          <t>Lasip Grande</t>
        </is>
      </c>
    </row>
    <row r="32810" spans="1:1">
      <c r="A32810" t="inlineStr">
        <is>
          <t>Lomboy</t>
        </is>
      </c>
    </row>
    <row r="32811" spans="1:1">
      <c r="A32811" t="inlineStr">
        <is>
          <t>Lucao</t>
        </is>
      </c>
    </row>
    <row r="32812" spans="1:1">
      <c r="A32812" t="inlineStr">
        <is>
          <t>Malued</t>
        </is>
      </c>
    </row>
    <row r="32813" spans="1:1">
      <c r="A32813" t="inlineStr">
        <is>
          <t>Mamalingling</t>
        </is>
      </c>
    </row>
    <row r="32814" spans="1:1">
      <c r="A32814" t="inlineStr">
        <is>
          <t>Mangin</t>
        </is>
      </c>
    </row>
    <row r="32815" spans="1:1">
      <c r="A32815" t="inlineStr">
        <is>
          <t>Mayombo</t>
        </is>
      </c>
    </row>
    <row r="32816" spans="1:1">
      <c r="A32816" t="inlineStr">
        <is>
          <t>Pantal</t>
        </is>
      </c>
    </row>
    <row r="32817" spans="1:1">
      <c r="A32817" t="inlineStr">
        <is>
          <t>Poblacion Oeste</t>
        </is>
      </c>
    </row>
    <row r="32818" spans="1:1">
      <c r="A32818" t="inlineStr">
        <is>
          <t>Pogo Chico</t>
        </is>
      </c>
    </row>
    <row r="32819" spans="1:1">
      <c r="A32819" t="inlineStr">
        <is>
          <t>Pogo Grande</t>
        </is>
      </c>
    </row>
    <row r="32820" spans="1:1">
      <c r="A32820" t="inlineStr">
        <is>
          <t>Pugaro Suit</t>
        </is>
      </c>
    </row>
    <row r="32821" spans="1:1">
      <c r="A32821" t="inlineStr">
        <is>
          <t>Salapingao</t>
        </is>
      </c>
    </row>
    <row r="32822" spans="1:1">
      <c r="A32822" t="inlineStr">
        <is>
          <t>Salisay</t>
        </is>
      </c>
    </row>
    <row r="32823" spans="1:1">
      <c r="A32823" t="inlineStr">
        <is>
          <t>Tambac</t>
        </is>
      </c>
    </row>
    <row r="32824" spans="1:1">
      <c r="A32824" t="inlineStr">
        <is>
          <t>Tapuac</t>
        </is>
      </c>
    </row>
    <row r="32825" spans="1:1">
      <c r="A32825" t="inlineStr">
        <is>
          <t>Tebeng</t>
        </is>
      </c>
    </row>
    <row r="32826" spans="1:1">
      <c r="A32826" t="inlineStr">
        <is>
          <t>Abanon</t>
        </is>
      </c>
    </row>
    <row r="32827" spans="1:1">
      <c r="A32827" t="inlineStr">
        <is>
          <t>Agdao</t>
        </is>
      </c>
    </row>
    <row r="32828" spans="1:1">
      <c r="A32828" t="inlineStr">
        <is>
          <t>Anando</t>
        </is>
      </c>
    </row>
    <row r="32829" spans="1:1">
      <c r="A32829" t="inlineStr">
        <is>
          <t>Ano</t>
        </is>
      </c>
    </row>
    <row r="32830" spans="1:1">
      <c r="A32830" t="inlineStr">
        <is>
          <t>Antipangol</t>
        </is>
      </c>
    </row>
    <row r="32831" spans="1:1">
      <c r="A32831" t="inlineStr">
        <is>
          <t>Aponit</t>
        </is>
      </c>
    </row>
    <row r="32832" spans="1:1">
      <c r="A32832" t="inlineStr">
        <is>
          <t>Bacnar</t>
        </is>
      </c>
    </row>
    <row r="32833" spans="1:1">
      <c r="A32833" t="inlineStr">
        <is>
          <t>Balaya</t>
        </is>
      </c>
    </row>
    <row r="32834" spans="1:1">
      <c r="A32834" t="inlineStr">
        <is>
          <t>Balayong</t>
        </is>
      </c>
    </row>
    <row r="32835" spans="1:1">
      <c r="A32835" t="inlineStr">
        <is>
          <t>Baldog</t>
        </is>
      </c>
    </row>
    <row r="32836" spans="1:1">
      <c r="A32836" t="inlineStr">
        <is>
          <t>Balite Sur</t>
        </is>
      </c>
    </row>
    <row r="32837" spans="1:1">
      <c r="A32837" t="inlineStr">
        <is>
          <t>Balococ</t>
        </is>
      </c>
    </row>
    <row r="32838" spans="1:1">
      <c r="A32838" t="inlineStr">
        <is>
          <t>Bani</t>
        </is>
      </c>
    </row>
    <row r="32839" spans="1:1">
      <c r="A32839" t="inlineStr">
        <is>
          <t>Bega</t>
        </is>
      </c>
    </row>
    <row r="32840" spans="1:1">
      <c r="A32840" t="inlineStr">
        <is>
          <t>Bocboc</t>
        </is>
      </c>
    </row>
    <row r="32841" spans="1:1">
      <c r="A32841" t="inlineStr">
        <is>
          <t>Bogaoan</t>
        </is>
      </c>
    </row>
    <row r="32842" spans="1:1">
      <c r="A32842" t="inlineStr">
        <is>
          <t>Bolingit</t>
        </is>
      </c>
    </row>
    <row r="32843" spans="1:1">
      <c r="A32843" t="inlineStr">
        <is>
          <t>Bolosan</t>
        </is>
      </c>
    </row>
    <row r="32844" spans="1:1">
      <c r="A32844" t="inlineStr">
        <is>
          <t>Bonifacio</t>
        </is>
      </c>
    </row>
    <row r="32845" spans="1:1">
      <c r="A32845" t="inlineStr">
        <is>
          <t>Buenglat</t>
        </is>
      </c>
    </row>
    <row r="32846" spans="1:1">
      <c r="A32846" t="inlineStr">
        <is>
          <t>Bugallon-Posadas Street</t>
        </is>
      </c>
    </row>
    <row r="32847" spans="1:1">
      <c r="A32847" t="inlineStr">
        <is>
          <t>Burgos Padlan</t>
        </is>
      </c>
    </row>
    <row r="32848" spans="1:1">
      <c r="A32848" t="inlineStr">
        <is>
          <t>Cacaritan</t>
        </is>
      </c>
    </row>
    <row r="32849" spans="1:1">
      <c r="A32849" t="inlineStr">
        <is>
          <t>Caingal</t>
        </is>
      </c>
    </row>
    <row r="32850" spans="1:1">
      <c r="A32850" t="inlineStr">
        <is>
          <t>Calobaoan</t>
        </is>
      </c>
    </row>
    <row r="32851" spans="1:1">
      <c r="A32851" t="inlineStr">
        <is>
          <t>Calomboyan</t>
        </is>
      </c>
    </row>
    <row r="32852" spans="1:1">
      <c r="A32852" t="inlineStr">
        <is>
          <t>Caoayan-Kiling</t>
        </is>
      </c>
    </row>
    <row r="32853" spans="1:1">
      <c r="A32853" t="inlineStr">
        <is>
          <t>Capataan</t>
        </is>
      </c>
    </row>
    <row r="32854" spans="1:1">
      <c r="A32854" t="inlineStr">
        <is>
          <t>Cobol</t>
        </is>
      </c>
    </row>
    <row r="32855" spans="1:1">
      <c r="A32855" t="inlineStr">
        <is>
          <t>Coliling</t>
        </is>
      </c>
    </row>
    <row r="32856" spans="1:1">
      <c r="A32856" t="inlineStr">
        <is>
          <t>Cruz</t>
        </is>
      </c>
    </row>
    <row r="32857" spans="1:1">
      <c r="A32857" t="inlineStr">
        <is>
          <t>Doyong</t>
        </is>
      </c>
    </row>
    <row r="32858" spans="1:1">
      <c r="A32858" t="inlineStr">
        <is>
          <t>Gamata</t>
        </is>
      </c>
    </row>
    <row r="32859" spans="1:1">
      <c r="A32859" t="inlineStr">
        <is>
          <t>Guelew</t>
        </is>
      </c>
    </row>
    <row r="32860" spans="1:1">
      <c r="A32860" t="inlineStr">
        <is>
          <t>Ilang</t>
        </is>
      </c>
    </row>
    <row r="32861" spans="1:1">
      <c r="A32861" t="inlineStr">
        <is>
          <t>Inerangan</t>
        </is>
      </c>
    </row>
    <row r="32862" spans="1:1">
      <c r="A32862" t="inlineStr">
        <is>
          <t>Isla</t>
        </is>
      </c>
    </row>
    <row r="32863" spans="1:1">
      <c r="A32863" t="inlineStr">
        <is>
          <t>Libas</t>
        </is>
      </c>
    </row>
    <row r="32864" spans="1:1">
      <c r="A32864" t="inlineStr">
        <is>
          <t>Lilimasan</t>
        </is>
      </c>
    </row>
    <row r="32865" spans="1:1">
      <c r="A32865" t="inlineStr">
        <is>
          <t>Longos</t>
        </is>
      </c>
    </row>
    <row r="32866" spans="1:1">
      <c r="A32866" t="inlineStr">
        <is>
          <t>Lucban</t>
        </is>
      </c>
    </row>
    <row r="32867" spans="1:1">
      <c r="A32867" t="inlineStr">
        <is>
          <t>M. Soriano</t>
        </is>
      </c>
    </row>
    <row r="32868" spans="1:1">
      <c r="A32868" t="inlineStr">
        <is>
          <t>Mabalbalino</t>
        </is>
      </c>
    </row>
    <row r="32869" spans="1:1">
      <c r="A32869" t="inlineStr">
        <is>
          <t>Mabini</t>
        </is>
      </c>
    </row>
    <row r="32870" spans="1:1">
      <c r="A32870" t="inlineStr">
        <is>
          <t>Magtaking</t>
        </is>
      </c>
    </row>
    <row r="32871" spans="1:1">
      <c r="A32871" t="inlineStr">
        <is>
          <t>Malacañang</t>
        </is>
      </c>
    </row>
    <row r="32872" spans="1:1">
      <c r="A32872" t="inlineStr">
        <is>
          <t>Maliwara</t>
        </is>
      </c>
    </row>
    <row r="32873" spans="1:1">
      <c r="A32873" t="inlineStr">
        <is>
          <t>Mamarlao</t>
        </is>
      </c>
    </row>
    <row r="32874" spans="1:1">
      <c r="A32874" t="inlineStr">
        <is>
          <t>Manzon</t>
        </is>
      </c>
    </row>
    <row r="32875" spans="1:1">
      <c r="A32875" t="inlineStr">
        <is>
          <t>Matagdem</t>
        </is>
      </c>
    </row>
    <row r="32876" spans="1:1">
      <c r="A32876" t="inlineStr">
        <is>
          <t>Mestizo Norte</t>
        </is>
      </c>
    </row>
    <row r="32877" spans="1:1">
      <c r="A32877" t="inlineStr">
        <is>
          <t>Naguilayan</t>
        </is>
      </c>
    </row>
    <row r="32878" spans="1:1">
      <c r="A32878" t="inlineStr">
        <is>
          <t>Nilentap</t>
        </is>
      </c>
    </row>
    <row r="32879" spans="1:1">
      <c r="A32879" t="inlineStr">
        <is>
          <t>Padilla-Gomez</t>
        </is>
      </c>
    </row>
    <row r="32880" spans="1:1">
      <c r="A32880" t="inlineStr">
        <is>
          <t>Pagal</t>
        </is>
      </c>
    </row>
    <row r="32881" spans="1:1">
      <c r="A32881" t="inlineStr">
        <is>
          <t>Paitan-Panoypoy</t>
        </is>
      </c>
    </row>
    <row r="32882" spans="1:1">
      <c r="A32882" t="inlineStr">
        <is>
          <t>Palaming</t>
        </is>
      </c>
    </row>
    <row r="32883" spans="1:1">
      <c r="A32883" t="inlineStr">
        <is>
          <t>Palaris</t>
        </is>
      </c>
    </row>
    <row r="32884" spans="1:1">
      <c r="A32884" t="inlineStr">
        <is>
          <t>Palospos</t>
        </is>
      </c>
    </row>
    <row r="32885" spans="1:1">
      <c r="A32885" t="inlineStr">
        <is>
          <t>Pangalangan</t>
        </is>
      </c>
    </row>
    <row r="32886" spans="1:1">
      <c r="A32886" t="inlineStr">
        <is>
          <t>Pangoloan</t>
        </is>
      </c>
    </row>
    <row r="32887" spans="1:1">
      <c r="A32887" t="inlineStr">
        <is>
          <t>Pangpang</t>
        </is>
      </c>
    </row>
    <row r="32888" spans="1:1">
      <c r="A32888" t="inlineStr">
        <is>
          <t>Parayao</t>
        </is>
      </c>
    </row>
    <row r="32889" spans="1:1">
      <c r="A32889" t="inlineStr">
        <is>
          <t>Payapa</t>
        </is>
      </c>
    </row>
    <row r="32890" spans="1:1">
      <c r="A32890" t="inlineStr">
        <is>
          <t>Payar</t>
        </is>
      </c>
    </row>
    <row r="32891" spans="1:1">
      <c r="A32891" t="inlineStr">
        <is>
          <t>Perez Boulevard</t>
        </is>
      </c>
    </row>
    <row r="32892" spans="1:1">
      <c r="A32892" t="inlineStr">
        <is>
          <t>PNR Station Site</t>
        </is>
      </c>
    </row>
    <row r="32893" spans="1:1">
      <c r="A32893" t="inlineStr">
        <is>
          <t>Polo</t>
        </is>
      </c>
    </row>
    <row r="32894" spans="1:1">
      <c r="A32894" t="inlineStr">
        <is>
          <t>Quezon Boulevard</t>
        </is>
      </c>
    </row>
    <row r="32895" spans="1:1">
      <c r="A32895" t="inlineStr">
        <is>
          <t>Quintong</t>
        </is>
      </c>
    </row>
    <row r="32896" spans="1:1">
      <c r="A32896" t="inlineStr">
        <is>
          <t>Rizal</t>
        </is>
      </c>
    </row>
    <row r="32897" spans="1:1">
      <c r="A32897" t="inlineStr">
        <is>
          <t>Roxas Boulevard</t>
        </is>
      </c>
    </row>
    <row r="32898" spans="1:1">
      <c r="A32898" t="inlineStr">
        <is>
          <t>Salinap</t>
        </is>
      </c>
    </row>
    <row r="32899" spans="1:1">
      <c r="A32899" t="inlineStr">
        <is>
          <t>San Juan</t>
        </is>
      </c>
    </row>
    <row r="32900" spans="1:1">
      <c r="A32900" t="inlineStr">
        <is>
          <t>San Pedro-Taloy</t>
        </is>
      </c>
    </row>
    <row r="32901" spans="1:1">
      <c r="A32901" t="inlineStr">
        <is>
          <t>Sapinit</t>
        </is>
      </c>
    </row>
    <row r="32902" spans="1:1">
      <c r="A32902" t="inlineStr">
        <is>
          <t>Supo</t>
        </is>
      </c>
    </row>
    <row r="32903" spans="1:1">
      <c r="A32903" t="inlineStr">
        <is>
          <t>Talang</t>
        </is>
      </c>
    </row>
    <row r="32904" spans="1:1">
      <c r="A32904" t="inlineStr">
        <is>
          <t>Tamayo</t>
        </is>
      </c>
    </row>
    <row r="32905" spans="1:1">
      <c r="A32905" t="inlineStr">
        <is>
          <t>Tandang Sora</t>
        </is>
      </c>
    </row>
    <row r="32906" spans="1:1">
      <c r="A32906" t="inlineStr">
        <is>
          <t>Tandoc</t>
        </is>
      </c>
    </row>
    <row r="32907" spans="1:1">
      <c r="A32907" t="inlineStr">
        <is>
          <t>Tarece</t>
        </is>
      </c>
    </row>
    <row r="32908" spans="1:1">
      <c r="A32908" t="inlineStr">
        <is>
          <t>Tarectec</t>
        </is>
      </c>
    </row>
    <row r="32909" spans="1:1">
      <c r="A32909" t="inlineStr">
        <is>
          <t>Tayambani</t>
        </is>
      </c>
    </row>
    <row r="32910" spans="1:1">
      <c r="A32910" t="inlineStr">
        <is>
          <t>Tebag</t>
        </is>
      </c>
    </row>
    <row r="32911" spans="1:1">
      <c r="A32911" t="inlineStr">
        <is>
          <t>Turac</t>
        </is>
      </c>
    </row>
    <row r="32912" spans="1:1">
      <c r="A32912" t="inlineStr">
        <is>
          <t>Anonas</t>
        </is>
      </c>
    </row>
    <row r="32913" spans="1:1">
      <c r="A32913" t="inlineStr">
        <is>
          <t>Bactad East</t>
        </is>
      </c>
    </row>
    <row r="32914" spans="1:1">
      <c r="A32914" t="inlineStr">
        <is>
          <t>Bayaoas</t>
        </is>
      </c>
    </row>
    <row r="32915" spans="1:1">
      <c r="A32915" t="inlineStr">
        <is>
          <t>Bolaoen</t>
        </is>
      </c>
    </row>
    <row r="32916" spans="1:1">
      <c r="A32916" t="inlineStr">
        <is>
          <t>Cabaruan</t>
        </is>
      </c>
    </row>
    <row r="32917" spans="1:1">
      <c r="A32917" t="inlineStr">
        <is>
          <t>Cabuloan</t>
        </is>
      </c>
    </row>
    <row r="32918" spans="1:1">
      <c r="A32918" t="inlineStr">
        <is>
          <t>Camanang</t>
        </is>
      </c>
    </row>
    <row r="32919" spans="1:1">
      <c r="A32919" t="inlineStr">
        <is>
          <t>Camantiles</t>
        </is>
      </c>
    </row>
    <row r="32920" spans="1:1">
      <c r="A32920" t="inlineStr">
        <is>
          <t>Casantaan</t>
        </is>
      </c>
    </row>
    <row r="32921" spans="1:1">
      <c r="A32921" t="inlineStr">
        <is>
          <t>Catablan</t>
        </is>
      </c>
    </row>
    <row r="32922" spans="1:1">
      <c r="A32922" t="inlineStr">
        <is>
          <t>Cayambanan</t>
        </is>
      </c>
    </row>
    <row r="32923" spans="1:1">
      <c r="A32923" t="inlineStr">
        <is>
          <t>Consolacion</t>
        </is>
      </c>
    </row>
    <row r="32924" spans="1:1">
      <c r="A32924" t="inlineStr">
        <is>
          <t>Dilan Paurido</t>
        </is>
      </c>
    </row>
    <row r="32925" spans="1:1">
      <c r="A32925" t="inlineStr">
        <is>
          <t>Dr. Pedro T. Orata</t>
        </is>
      </c>
    </row>
    <row r="32926" spans="1:1">
      <c r="A32926" t="inlineStr">
        <is>
          <t>Labit Proper</t>
        </is>
      </c>
    </row>
    <row r="32927" spans="1:1">
      <c r="A32927" t="inlineStr">
        <is>
          <t>Labit West</t>
        </is>
      </c>
    </row>
    <row r="32928" spans="1:1">
      <c r="A32928" t="inlineStr">
        <is>
          <t>Mabanogbog</t>
        </is>
      </c>
    </row>
    <row r="32929" spans="1:1">
      <c r="A32929" t="inlineStr">
        <is>
          <t>Macalong</t>
        </is>
      </c>
    </row>
    <row r="32930" spans="1:1">
      <c r="A32930" t="inlineStr">
        <is>
          <t>Nancalobasaan</t>
        </is>
      </c>
    </row>
    <row r="32931" spans="1:1">
      <c r="A32931" t="inlineStr">
        <is>
          <t>Nancamaliran East</t>
        </is>
      </c>
    </row>
    <row r="32932" spans="1:1">
      <c r="A32932" t="inlineStr">
        <is>
          <t>Nancamaliran West</t>
        </is>
      </c>
    </row>
    <row r="32933" spans="1:1">
      <c r="A32933" t="inlineStr">
        <is>
          <t>Nancayasan</t>
        </is>
      </c>
    </row>
    <row r="32934" spans="1:1">
      <c r="A32934" t="inlineStr">
        <is>
          <t>Oltama</t>
        </is>
      </c>
    </row>
    <row r="32935" spans="1:1">
      <c r="A32935" t="inlineStr">
        <is>
          <t>Palina East</t>
        </is>
      </c>
    </row>
    <row r="32936" spans="1:1">
      <c r="A32936" t="inlineStr">
        <is>
          <t>Palina West</t>
        </is>
      </c>
    </row>
    <row r="32937" spans="1:1">
      <c r="A32937" t="inlineStr">
        <is>
          <t>Pinmaludpod</t>
        </is>
      </c>
    </row>
    <row r="32938" spans="1:1">
      <c r="A32938" t="inlineStr">
        <is>
          <t>Poblacion</t>
        </is>
      </c>
    </row>
    <row r="32939" spans="1:1">
      <c r="A32939" t="inlineStr">
        <is>
          <t>San Jose</t>
        </is>
      </c>
    </row>
    <row r="32940" spans="1:1">
      <c r="A32940" t="inlineStr">
        <is>
          <t>San Vicente</t>
        </is>
      </c>
    </row>
    <row r="32941" spans="1:1">
      <c r="A32941" t="inlineStr">
        <is>
          <t>Santa Lucia</t>
        </is>
      </c>
    </row>
    <row r="32942" spans="1:1">
      <c r="A32942" t="inlineStr">
        <is>
          <t>Santo Domingo</t>
        </is>
      </c>
    </row>
    <row r="32943" spans="1:1">
      <c r="A32943" t="inlineStr">
        <is>
          <t>Sugcong</t>
        </is>
      </c>
    </row>
    <row r="32944" spans="1:1">
      <c r="A32944" t="inlineStr">
        <is>
          <t>Tipuso</t>
        </is>
      </c>
    </row>
    <row r="32945" spans="1:1">
      <c r="A32945" t="inlineStr">
        <is>
          <t>Tulong</t>
        </is>
      </c>
    </row>
    <row r="32946" spans="1:1">
      <c r="A32946" t="inlineStr">
        <is>
          <t>Alilao</t>
        </is>
      </c>
    </row>
    <row r="32947" spans="1:1">
      <c r="A32947" t="inlineStr">
        <is>
          <t>Amalbalan</t>
        </is>
      </c>
    </row>
    <row r="32948" spans="1:1">
      <c r="A32948" t="inlineStr">
        <is>
          <t>Bobonot</t>
        </is>
      </c>
    </row>
    <row r="32949" spans="1:1">
      <c r="A32949" t="inlineStr">
        <is>
          <t>Eguia</t>
        </is>
      </c>
    </row>
    <row r="32950" spans="1:1">
      <c r="A32950" t="inlineStr">
        <is>
          <t>Gais-Guipe</t>
        </is>
      </c>
    </row>
    <row r="32951" spans="1:1">
      <c r="A32951" t="inlineStr">
        <is>
          <t>Hermosa</t>
        </is>
      </c>
    </row>
    <row r="32952" spans="1:1">
      <c r="A32952" t="inlineStr">
        <is>
          <t>Macalang</t>
        </is>
      </c>
    </row>
    <row r="32953" spans="1:1">
      <c r="A32953" t="inlineStr">
        <is>
          <t>Magsaysay</t>
        </is>
      </c>
    </row>
    <row r="32954" spans="1:1">
      <c r="A32954" t="inlineStr">
        <is>
          <t>Malacapas</t>
        </is>
      </c>
    </row>
    <row r="32955" spans="1:1">
      <c r="A32955" t="inlineStr">
        <is>
          <t>Malimpin</t>
        </is>
      </c>
    </row>
    <row r="32956" spans="1:1">
      <c r="A32956" t="inlineStr">
        <is>
          <t>Osmeña</t>
        </is>
      </c>
    </row>
    <row r="32957" spans="1:1">
      <c r="A32957" t="inlineStr">
        <is>
          <t>Petal</t>
        </is>
      </c>
    </row>
    <row r="32958" spans="1:1">
      <c r="A32958" t="inlineStr">
        <is>
          <t>Poblacion</t>
        </is>
      </c>
    </row>
    <row r="32959" spans="1:1">
      <c r="A32959" t="inlineStr">
        <is>
          <t>San Vicente</t>
        </is>
      </c>
    </row>
    <row r="32960" spans="1:1">
      <c r="A32960" t="inlineStr">
        <is>
          <t>Tambac</t>
        </is>
      </c>
    </row>
    <row r="32961" spans="1:1">
      <c r="A32961" t="inlineStr">
        <is>
          <t>Tambobong</t>
        </is>
      </c>
    </row>
    <row r="32962" spans="1:1">
      <c r="A32962" t="inlineStr">
        <is>
          <t>Uli</t>
        </is>
      </c>
    </row>
    <row r="32963" spans="1:1">
      <c r="A32963" t="inlineStr">
        <is>
          <t>Viga</t>
        </is>
      </c>
    </row>
    <row r="32964" spans="1:1">
      <c r="A32964" t="inlineStr">
        <is>
          <t>Babuyan</t>
        </is>
      </c>
    </row>
    <row r="32965" spans="1:1">
      <c r="A32965" t="inlineStr">
        <is>
          <t>Bamban</t>
        </is>
      </c>
    </row>
    <row r="32966" spans="1:1">
      <c r="A32966" t="inlineStr">
        <is>
          <t>Batang</t>
        </is>
      </c>
    </row>
    <row r="32967" spans="1:1">
      <c r="A32967" t="inlineStr">
        <is>
          <t>Bayambang</t>
        </is>
      </c>
    </row>
    <row r="32968" spans="1:1">
      <c r="A32968" t="inlineStr">
        <is>
          <t>Cato</t>
        </is>
      </c>
    </row>
    <row r="32969" spans="1:1">
      <c r="A32969" t="inlineStr">
        <is>
          <t>Doliman</t>
        </is>
      </c>
    </row>
    <row r="32970" spans="1:1">
      <c r="A32970" t="inlineStr">
        <is>
          <t>Fatima</t>
        </is>
      </c>
    </row>
    <row r="32971" spans="1:1">
      <c r="A32971" t="inlineStr">
        <is>
          <t>Maya</t>
        </is>
      </c>
    </row>
    <row r="32972" spans="1:1">
      <c r="A32972" t="inlineStr">
        <is>
          <t>Nangalisan</t>
        </is>
      </c>
    </row>
    <row r="32973" spans="1:1">
      <c r="A32973" t="inlineStr">
        <is>
          <t>Nayom</t>
        </is>
      </c>
    </row>
    <row r="32974" spans="1:1">
      <c r="A32974" t="inlineStr">
        <is>
          <t>Pita</t>
        </is>
      </c>
    </row>
    <row r="32975" spans="1:1">
      <c r="A32975" t="inlineStr">
        <is>
          <t>Poblacion</t>
        </is>
      </c>
    </row>
    <row r="32976" spans="1:1">
      <c r="A32976" t="inlineStr">
        <is>
          <t>Potol</t>
        </is>
      </c>
    </row>
    <row r="32977" spans="1:1">
      <c r="A32977" t="inlineStr">
        <is>
          <t>Bolo</t>
        </is>
      </c>
    </row>
    <row r="32978" spans="1:1">
      <c r="A32978" t="inlineStr">
        <is>
          <t>Bongalon</t>
        </is>
      </c>
    </row>
    <row r="32979" spans="1:1">
      <c r="A32979" t="inlineStr">
        <is>
          <t>Dulig</t>
        </is>
      </c>
    </row>
    <row r="32980" spans="1:1">
      <c r="A32980" t="inlineStr">
        <is>
          <t>Laois</t>
        </is>
      </c>
    </row>
    <row r="32981" spans="1:1">
      <c r="A32981" t="inlineStr">
        <is>
          <t>Magsaysay</t>
        </is>
      </c>
    </row>
    <row r="32982" spans="1:1">
      <c r="A32982" t="inlineStr">
        <is>
          <t>Poblacion</t>
        </is>
      </c>
    </row>
    <row r="32983" spans="1:1">
      <c r="A32983" t="inlineStr">
        <is>
          <t>San Gonzalo</t>
        </is>
      </c>
    </row>
    <row r="32984" spans="1:1">
      <c r="A32984" t="inlineStr">
        <is>
          <t>San Jose</t>
        </is>
      </c>
    </row>
    <row r="32985" spans="1:1">
      <c r="A32985" t="inlineStr">
        <is>
          <t>Tobuan</t>
        </is>
      </c>
    </row>
    <row r="32986" spans="1:1">
      <c r="A32986" t="inlineStr">
        <is>
          <t>Uyong</t>
        </is>
      </c>
    </row>
    <row r="32987" spans="1:1">
      <c r="A32987" t="inlineStr">
        <is>
          <t>Anis</t>
        </is>
      </c>
    </row>
    <row r="32988" spans="1:1">
      <c r="A32988" t="inlineStr">
        <is>
          <t>Balligi</t>
        </is>
      </c>
    </row>
    <row r="32989" spans="1:1">
      <c r="A32989" t="inlineStr">
        <is>
          <t>Banuar</t>
        </is>
      </c>
    </row>
    <row r="32990" spans="1:1">
      <c r="A32990" t="inlineStr">
        <is>
          <t>Botigue</t>
        </is>
      </c>
    </row>
    <row r="32991" spans="1:1">
      <c r="A32991" t="inlineStr">
        <is>
          <t>Caaringayan</t>
        </is>
      </c>
    </row>
    <row r="32992" spans="1:1">
      <c r="A32992" t="inlineStr">
        <is>
          <t>Cabilaoan West</t>
        </is>
      </c>
    </row>
    <row r="32993" spans="1:1">
      <c r="A32993" t="inlineStr">
        <is>
          <t>Cabulalaan</t>
        </is>
      </c>
    </row>
    <row r="32994" spans="1:1">
      <c r="A32994" t="inlineStr">
        <is>
          <t>Calaoagan</t>
        </is>
      </c>
    </row>
    <row r="32995" spans="1:1">
      <c r="A32995" t="inlineStr">
        <is>
          <t>Calmay</t>
        </is>
      </c>
    </row>
    <row r="32996" spans="1:1">
      <c r="A32996" t="inlineStr">
        <is>
          <t>Casampagaan</t>
        </is>
      </c>
    </row>
    <row r="32997" spans="1:1">
      <c r="A32997" t="inlineStr">
        <is>
          <t>Casanestebanan</t>
        </is>
      </c>
    </row>
    <row r="32998" spans="1:1">
      <c r="A32998" t="inlineStr">
        <is>
          <t>Casantiagoan</t>
        </is>
      </c>
    </row>
    <row r="32999" spans="1:1">
      <c r="A32999" t="inlineStr">
        <is>
          <t>Domingo Alarcio</t>
        </is>
      </c>
    </row>
    <row r="33000" spans="1:1">
      <c r="A33000" t="inlineStr">
        <is>
          <t>Inmanduyan</t>
        </is>
      </c>
    </row>
    <row r="33001" spans="1:1">
      <c r="A33001" t="inlineStr">
        <is>
          <t>Lebueg</t>
        </is>
      </c>
    </row>
    <row r="33002" spans="1:1">
      <c r="A33002" t="inlineStr">
        <is>
          <t>Maraboc</t>
        </is>
      </c>
    </row>
    <row r="33003" spans="1:1">
      <c r="A33003" t="inlineStr">
        <is>
          <t>Nanbagatan</t>
        </is>
      </c>
    </row>
    <row r="33004" spans="1:1">
      <c r="A33004" t="inlineStr">
        <is>
          <t>Panaga</t>
        </is>
      </c>
    </row>
    <row r="33005" spans="1:1">
      <c r="A33005" t="inlineStr">
        <is>
          <t>Poblacion</t>
        </is>
      </c>
    </row>
    <row r="33006" spans="1:1">
      <c r="A33006" t="inlineStr">
        <is>
          <t>Talogtog</t>
        </is>
      </c>
    </row>
    <row r="33007" spans="1:1">
      <c r="A33007" t="inlineStr">
        <is>
          <t>Turko</t>
        </is>
      </c>
    </row>
    <row r="33008" spans="1:1">
      <c r="A33008" t="inlineStr">
        <is>
          <t>Yatyat</t>
        </is>
      </c>
    </row>
    <row r="33009" spans="1:1">
      <c r="A33009" t="inlineStr">
        <is>
          <t>Aliwekwek</t>
        </is>
      </c>
    </row>
    <row r="33010" spans="1:1">
      <c r="A33010" t="inlineStr">
        <is>
          <t>Baay</t>
        </is>
      </c>
    </row>
    <row r="33011" spans="1:1">
      <c r="A33011" t="inlineStr">
        <is>
          <t>Balangobong</t>
        </is>
      </c>
    </row>
    <row r="33012" spans="1:1">
      <c r="A33012" t="inlineStr">
        <is>
          <t>Balococ</t>
        </is>
      </c>
    </row>
    <row r="33013" spans="1:1">
      <c r="A33013" t="inlineStr">
        <is>
          <t>Bantayan</t>
        </is>
      </c>
    </row>
    <row r="33014" spans="1:1">
      <c r="A33014" t="inlineStr">
        <is>
          <t>Basing</t>
        </is>
      </c>
    </row>
    <row r="33015" spans="1:1">
      <c r="A33015" t="inlineStr">
        <is>
          <t>Capandanan</t>
        </is>
      </c>
    </row>
    <row r="33016" spans="1:1">
      <c r="A33016" t="inlineStr">
        <is>
          <t>Domalandan Center</t>
        </is>
      </c>
    </row>
    <row r="33017" spans="1:1">
      <c r="A33017" t="inlineStr">
        <is>
          <t>Domalandan East</t>
        </is>
      </c>
    </row>
    <row r="33018" spans="1:1">
      <c r="A33018" t="inlineStr">
        <is>
          <t>Domalandan West</t>
        </is>
      </c>
    </row>
    <row r="33019" spans="1:1">
      <c r="A33019" t="inlineStr">
        <is>
          <t>Dorongan</t>
        </is>
      </c>
    </row>
    <row r="33020" spans="1:1">
      <c r="A33020" t="inlineStr">
        <is>
          <t>Dulag</t>
        </is>
      </c>
    </row>
    <row r="33021" spans="1:1">
      <c r="A33021" t="inlineStr">
        <is>
          <t>Estanza</t>
        </is>
      </c>
    </row>
    <row r="33022" spans="1:1">
      <c r="A33022" t="inlineStr">
        <is>
          <t>Lasip</t>
        </is>
      </c>
    </row>
    <row r="33023" spans="1:1">
      <c r="A33023" t="inlineStr">
        <is>
          <t>Libsong East</t>
        </is>
      </c>
    </row>
    <row r="33024" spans="1:1">
      <c r="A33024" t="inlineStr">
        <is>
          <t>Libsong West</t>
        </is>
      </c>
    </row>
    <row r="33025" spans="1:1">
      <c r="A33025" t="inlineStr">
        <is>
          <t>Malawa</t>
        </is>
      </c>
    </row>
    <row r="33026" spans="1:1">
      <c r="A33026" t="inlineStr">
        <is>
          <t>Malimpuec</t>
        </is>
      </c>
    </row>
    <row r="33027" spans="1:1">
      <c r="A33027" t="inlineStr">
        <is>
          <t>Maniboc</t>
        </is>
      </c>
    </row>
    <row r="33028" spans="1:1">
      <c r="A33028" t="inlineStr">
        <is>
          <t>Matalava</t>
        </is>
      </c>
    </row>
    <row r="33029" spans="1:1">
      <c r="A33029" t="inlineStr">
        <is>
          <t>Naguelguel</t>
        </is>
      </c>
    </row>
    <row r="33030" spans="1:1">
      <c r="A33030" t="inlineStr">
        <is>
          <t>Namolan</t>
        </is>
      </c>
    </row>
    <row r="33031" spans="1:1">
      <c r="A33031" t="inlineStr">
        <is>
          <t>Pangapisan North</t>
        </is>
      </c>
    </row>
    <row r="33032" spans="1:1">
      <c r="A33032" t="inlineStr">
        <is>
          <t>Pangapisan Sur</t>
        </is>
      </c>
    </row>
    <row r="33033" spans="1:1">
      <c r="A33033" t="inlineStr">
        <is>
          <t>Poblacion</t>
        </is>
      </c>
    </row>
    <row r="33034" spans="1:1">
      <c r="A33034" t="inlineStr">
        <is>
          <t>Quibaol</t>
        </is>
      </c>
    </row>
    <row r="33035" spans="1:1">
      <c r="A33035" t="inlineStr">
        <is>
          <t>Rosario</t>
        </is>
      </c>
    </row>
    <row r="33036" spans="1:1">
      <c r="A33036" t="inlineStr">
        <is>
          <t>Sabangan</t>
        </is>
      </c>
    </row>
    <row r="33037" spans="1:1">
      <c r="A33037" t="inlineStr">
        <is>
          <t>Talogtog</t>
        </is>
      </c>
    </row>
    <row r="33038" spans="1:1">
      <c r="A33038" t="inlineStr">
        <is>
          <t>Tonton</t>
        </is>
      </c>
    </row>
    <row r="33039" spans="1:1">
      <c r="A33039" t="inlineStr">
        <is>
          <t>Tumbar</t>
        </is>
      </c>
    </row>
    <row r="33040" spans="1:1">
      <c r="A33040" t="inlineStr">
        <is>
          <t>Wawa</t>
        </is>
      </c>
    </row>
    <row r="33041" spans="1:1">
      <c r="A33041" t="inlineStr">
        <is>
          <t>Bacnit</t>
        </is>
      </c>
    </row>
    <row r="33042" spans="1:1">
      <c r="A33042" t="inlineStr">
        <is>
          <t>Barlo</t>
        </is>
      </c>
    </row>
    <row r="33043" spans="1:1">
      <c r="A33043" t="inlineStr">
        <is>
          <t>Caabiangaan</t>
        </is>
      </c>
    </row>
    <row r="33044" spans="1:1">
      <c r="A33044" t="inlineStr">
        <is>
          <t>Cabanaetan</t>
        </is>
      </c>
    </row>
    <row r="33045" spans="1:1">
      <c r="A33045" t="inlineStr">
        <is>
          <t>Cabinuangan</t>
        </is>
      </c>
    </row>
    <row r="33046" spans="1:1">
      <c r="A33046" t="inlineStr">
        <is>
          <t>Calzada</t>
        </is>
      </c>
    </row>
    <row r="33047" spans="1:1">
      <c r="A33047" t="inlineStr">
        <is>
          <t>Caranglaan</t>
        </is>
      </c>
    </row>
    <row r="33048" spans="1:1">
      <c r="A33048" t="inlineStr">
        <is>
          <t>De Guzman</t>
        </is>
      </c>
    </row>
    <row r="33049" spans="1:1">
      <c r="A33049" t="inlineStr">
        <is>
          <t>Luna</t>
        </is>
      </c>
    </row>
    <row r="33050" spans="1:1">
      <c r="A33050" t="inlineStr">
        <is>
          <t>Magalong</t>
        </is>
      </c>
    </row>
    <row r="33051" spans="1:1">
      <c r="A33051" t="inlineStr">
        <is>
          <t>Nibaliw</t>
        </is>
      </c>
    </row>
    <row r="33052" spans="1:1">
      <c r="A33052" t="inlineStr">
        <is>
          <t>Patar</t>
        </is>
      </c>
    </row>
    <row r="33053" spans="1:1">
      <c r="A33053" t="inlineStr">
        <is>
          <t>Poblacion</t>
        </is>
      </c>
    </row>
    <row r="33054" spans="1:1">
      <c r="A33054" t="inlineStr">
        <is>
          <t>San Pedro</t>
        </is>
      </c>
    </row>
    <row r="33055" spans="1:1">
      <c r="A33055" t="inlineStr">
        <is>
          <t>Tagudin</t>
        </is>
      </c>
    </row>
    <row r="33056" spans="1:1">
      <c r="A33056" t="inlineStr">
        <is>
          <t>Villacorta</t>
        </is>
      </c>
    </row>
    <row r="33057" spans="1:1">
      <c r="A33057" t="inlineStr">
        <is>
          <t>Abonagan</t>
        </is>
      </c>
    </row>
    <row r="33058" spans="1:1">
      <c r="A33058" t="inlineStr">
        <is>
          <t>Agdao</t>
        </is>
      </c>
    </row>
    <row r="33059" spans="1:1">
      <c r="A33059" t="inlineStr">
        <is>
          <t>Alacan</t>
        </is>
      </c>
    </row>
    <row r="33060" spans="1:1">
      <c r="A33060" t="inlineStr">
        <is>
          <t>Aliaga</t>
        </is>
      </c>
    </row>
    <row r="33061" spans="1:1">
      <c r="A33061" t="inlineStr">
        <is>
          <t>Amacalan</t>
        </is>
      </c>
    </row>
    <row r="33062" spans="1:1">
      <c r="A33062" t="inlineStr">
        <is>
          <t>Anolid</t>
        </is>
      </c>
    </row>
    <row r="33063" spans="1:1">
      <c r="A33063" t="inlineStr">
        <is>
          <t>Apaya</t>
        </is>
      </c>
    </row>
    <row r="33064" spans="1:1">
      <c r="A33064" t="inlineStr">
        <is>
          <t>Asin Este</t>
        </is>
      </c>
    </row>
    <row r="33065" spans="1:1">
      <c r="A33065" t="inlineStr">
        <is>
          <t>Asin Weste</t>
        </is>
      </c>
    </row>
    <row r="33066" spans="1:1">
      <c r="A33066" t="inlineStr">
        <is>
          <t>Bacundao Este</t>
        </is>
      </c>
    </row>
    <row r="33067" spans="1:1">
      <c r="A33067" t="inlineStr">
        <is>
          <t>Bacundao Weste</t>
        </is>
      </c>
    </row>
    <row r="33068" spans="1:1">
      <c r="A33068" t="inlineStr">
        <is>
          <t>Bakitiw</t>
        </is>
      </c>
    </row>
    <row r="33069" spans="1:1">
      <c r="A33069" t="inlineStr">
        <is>
          <t>Balite</t>
        </is>
      </c>
    </row>
    <row r="33070" spans="1:1">
      <c r="A33070" t="inlineStr">
        <is>
          <t>Banawang</t>
        </is>
      </c>
    </row>
    <row r="33071" spans="1:1">
      <c r="A33071" t="inlineStr">
        <is>
          <t>Barang</t>
        </is>
      </c>
    </row>
    <row r="33072" spans="1:1">
      <c r="A33072" t="inlineStr">
        <is>
          <t>Bawer</t>
        </is>
      </c>
    </row>
    <row r="33073" spans="1:1">
      <c r="A33073" t="inlineStr">
        <is>
          <t>Binalay</t>
        </is>
      </c>
    </row>
    <row r="33074" spans="1:1">
      <c r="A33074" t="inlineStr">
        <is>
          <t>Bobon</t>
        </is>
      </c>
    </row>
    <row r="33075" spans="1:1">
      <c r="A33075" t="inlineStr">
        <is>
          <t>Bolaoit</t>
        </is>
      </c>
    </row>
    <row r="33076" spans="1:1">
      <c r="A33076" t="inlineStr">
        <is>
          <t>Bongar</t>
        </is>
      </c>
    </row>
    <row r="33077" spans="1:1">
      <c r="A33077" t="inlineStr">
        <is>
          <t>Butao</t>
        </is>
      </c>
    </row>
    <row r="33078" spans="1:1">
      <c r="A33078" t="inlineStr">
        <is>
          <t>Cabatling</t>
        </is>
      </c>
    </row>
    <row r="33079" spans="1:1">
      <c r="A33079" t="inlineStr">
        <is>
          <t>Cabueldatan</t>
        </is>
      </c>
    </row>
    <row r="33080" spans="1:1">
      <c r="A33080" t="inlineStr">
        <is>
          <t>Calbueg</t>
        </is>
      </c>
    </row>
    <row r="33081" spans="1:1">
      <c r="A33081" t="inlineStr">
        <is>
          <t>Canan Norte</t>
        </is>
      </c>
    </row>
    <row r="33082" spans="1:1">
      <c r="A33082" t="inlineStr">
        <is>
          <t>Canan Sur</t>
        </is>
      </c>
    </row>
    <row r="33083" spans="1:1">
      <c r="A33083" t="inlineStr">
        <is>
          <t>Cawayan Bogtong</t>
        </is>
      </c>
    </row>
    <row r="33084" spans="1:1">
      <c r="A33084" t="inlineStr">
        <is>
          <t>Don Pedro</t>
        </is>
      </c>
    </row>
    <row r="33085" spans="1:1">
      <c r="A33085" t="inlineStr">
        <is>
          <t>Gatang</t>
        </is>
      </c>
    </row>
    <row r="33086" spans="1:1">
      <c r="A33086" t="inlineStr">
        <is>
          <t>Goliman</t>
        </is>
      </c>
    </row>
    <row r="33087" spans="1:1">
      <c r="A33087" t="inlineStr">
        <is>
          <t>Gomez</t>
        </is>
      </c>
    </row>
    <row r="33088" spans="1:1">
      <c r="A33088" t="inlineStr">
        <is>
          <t>Guilig</t>
        </is>
      </c>
    </row>
    <row r="33089" spans="1:1">
      <c r="A33089" t="inlineStr">
        <is>
          <t>Ican</t>
        </is>
      </c>
    </row>
    <row r="33090" spans="1:1">
      <c r="A33090" t="inlineStr">
        <is>
          <t>Ingalagala</t>
        </is>
      </c>
    </row>
    <row r="33091" spans="1:1">
      <c r="A33091" t="inlineStr">
        <is>
          <t>Lareg-lareg</t>
        </is>
      </c>
    </row>
    <row r="33092" spans="1:1">
      <c r="A33092" t="inlineStr">
        <is>
          <t>Lasip</t>
        </is>
      </c>
    </row>
    <row r="33093" spans="1:1">
      <c r="A33093" t="inlineStr">
        <is>
          <t>Lepa</t>
        </is>
      </c>
    </row>
    <row r="33094" spans="1:1">
      <c r="A33094" t="inlineStr">
        <is>
          <t>Loqueb Este</t>
        </is>
      </c>
    </row>
    <row r="33095" spans="1:1">
      <c r="A33095" t="inlineStr">
        <is>
          <t>Loqueb Norte</t>
        </is>
      </c>
    </row>
    <row r="33096" spans="1:1">
      <c r="A33096" t="inlineStr">
        <is>
          <t>Loqueb Sur</t>
        </is>
      </c>
    </row>
    <row r="33097" spans="1:1">
      <c r="A33097" t="inlineStr">
        <is>
          <t>Lunec</t>
        </is>
      </c>
    </row>
    <row r="33098" spans="1:1">
      <c r="A33098" t="inlineStr">
        <is>
          <t>Mabulitec</t>
        </is>
      </c>
    </row>
    <row r="33099" spans="1:1">
      <c r="A33099" t="inlineStr">
        <is>
          <t>Malimpec</t>
        </is>
      </c>
    </row>
    <row r="33100" spans="1:1">
      <c r="A33100" t="inlineStr">
        <is>
          <t>Manggan-Dampay</t>
        </is>
      </c>
    </row>
    <row r="33101" spans="1:1">
      <c r="A33101" t="inlineStr">
        <is>
          <t>Nalsian Norte</t>
        </is>
      </c>
    </row>
    <row r="33102" spans="1:1">
      <c r="A33102" t="inlineStr">
        <is>
          <t>Nalsian Sur</t>
        </is>
      </c>
    </row>
    <row r="33103" spans="1:1">
      <c r="A33103" t="inlineStr">
        <is>
          <t>Nancapian</t>
        </is>
      </c>
    </row>
    <row r="33104" spans="1:1">
      <c r="A33104" t="inlineStr">
        <is>
          <t>Nansangaan</t>
        </is>
      </c>
    </row>
    <row r="33105" spans="1:1">
      <c r="A33105" t="inlineStr">
        <is>
          <t>Olea</t>
        </is>
      </c>
    </row>
    <row r="33106" spans="1:1">
      <c r="A33106" t="inlineStr">
        <is>
          <t>Pacuan</t>
        </is>
      </c>
    </row>
    <row r="33107" spans="1:1">
      <c r="A33107" t="inlineStr">
        <is>
          <t>Palapar Norte</t>
        </is>
      </c>
    </row>
    <row r="33108" spans="1:1">
      <c r="A33108" t="inlineStr">
        <is>
          <t>Palapar Sur</t>
        </is>
      </c>
    </row>
    <row r="33109" spans="1:1">
      <c r="A33109" t="inlineStr">
        <is>
          <t>Palong</t>
        </is>
      </c>
    </row>
    <row r="33110" spans="1:1">
      <c r="A33110" t="inlineStr">
        <is>
          <t>Pamaranum</t>
        </is>
      </c>
    </row>
    <row r="33111" spans="1:1">
      <c r="A33111" t="inlineStr">
        <is>
          <t>Pasima</t>
        </is>
      </c>
    </row>
    <row r="33112" spans="1:1">
      <c r="A33112" t="inlineStr">
        <is>
          <t>Payar</t>
        </is>
      </c>
    </row>
    <row r="33113" spans="1:1">
      <c r="A33113" t="inlineStr">
        <is>
          <t>Poblacion</t>
        </is>
      </c>
    </row>
    <row r="33114" spans="1:1">
      <c r="A33114" t="inlineStr">
        <is>
          <t>Polong Norte</t>
        </is>
      </c>
    </row>
    <row r="33115" spans="1:1">
      <c r="A33115" t="inlineStr">
        <is>
          <t>Polong Sur</t>
        </is>
      </c>
    </row>
    <row r="33116" spans="1:1">
      <c r="A33116" t="inlineStr">
        <is>
          <t>Potiocan</t>
        </is>
      </c>
    </row>
    <row r="33117" spans="1:1">
      <c r="A33117" t="inlineStr">
        <is>
          <t>San Julian</t>
        </is>
      </c>
    </row>
    <row r="33118" spans="1:1">
      <c r="A33118" t="inlineStr">
        <is>
          <t>Tabo-Sili</t>
        </is>
      </c>
    </row>
    <row r="33119" spans="1:1">
      <c r="A33119" t="inlineStr">
        <is>
          <t>Talospatang</t>
        </is>
      </c>
    </row>
    <row r="33120" spans="1:1">
      <c r="A33120" t="inlineStr">
        <is>
          <t>Taloy</t>
        </is>
      </c>
    </row>
    <row r="33121" spans="1:1">
      <c r="A33121" t="inlineStr">
        <is>
          <t>Taloyan</t>
        </is>
      </c>
    </row>
    <row r="33122" spans="1:1">
      <c r="A33122" t="inlineStr">
        <is>
          <t>Tambac</t>
        </is>
      </c>
    </row>
    <row r="33123" spans="1:1">
      <c r="A33123" t="inlineStr">
        <is>
          <t>Tobor</t>
        </is>
      </c>
    </row>
    <row r="33124" spans="1:1">
      <c r="A33124" t="inlineStr">
        <is>
          <t>Tolonguat</t>
        </is>
      </c>
    </row>
    <row r="33125" spans="1:1">
      <c r="A33125" t="inlineStr">
        <is>
          <t>Tomling</t>
        </is>
      </c>
    </row>
    <row r="33126" spans="1:1">
      <c r="A33126" t="inlineStr">
        <is>
          <t>Umando</t>
        </is>
      </c>
    </row>
    <row r="33127" spans="1:1">
      <c r="A33127" t="inlineStr">
        <is>
          <t>Viado</t>
        </is>
      </c>
    </row>
    <row r="33128" spans="1:1">
      <c r="A33128" t="inlineStr">
        <is>
          <t>Waig</t>
        </is>
      </c>
    </row>
    <row r="33129" spans="1:1">
      <c r="A33129" t="inlineStr">
        <is>
          <t>Warey</t>
        </is>
      </c>
    </row>
    <row r="33130" spans="1:1">
      <c r="A33130" t="inlineStr">
        <is>
          <t>Babasit</t>
        </is>
      </c>
    </row>
    <row r="33131" spans="1:1">
      <c r="A33131" t="inlineStr">
        <is>
          <t>Baguinay</t>
        </is>
      </c>
    </row>
    <row r="33132" spans="1:1">
      <c r="A33132" t="inlineStr">
        <is>
          <t>Baritao</t>
        </is>
      </c>
    </row>
    <row r="33133" spans="1:1">
      <c r="A33133" t="inlineStr">
        <is>
          <t>Bisal</t>
        </is>
      </c>
    </row>
    <row r="33134" spans="1:1">
      <c r="A33134" t="inlineStr">
        <is>
          <t>Bucao</t>
        </is>
      </c>
    </row>
    <row r="33135" spans="1:1">
      <c r="A33135" t="inlineStr">
        <is>
          <t>Cabanbanan</t>
        </is>
      </c>
    </row>
    <row r="33136" spans="1:1">
      <c r="A33136" t="inlineStr">
        <is>
          <t>Calaocan</t>
        </is>
      </c>
    </row>
    <row r="33137" spans="1:1">
      <c r="A33137" t="inlineStr">
        <is>
          <t>Inamotan</t>
        </is>
      </c>
    </row>
    <row r="33138" spans="1:1">
      <c r="A33138" t="inlineStr">
        <is>
          <t>Lelemaan</t>
        </is>
      </c>
    </row>
    <row r="33139" spans="1:1">
      <c r="A33139" t="inlineStr">
        <is>
          <t>Licsi</t>
        </is>
      </c>
    </row>
    <row r="33140" spans="1:1">
      <c r="A33140" t="inlineStr">
        <is>
          <t>Lipit Norte</t>
        </is>
      </c>
    </row>
    <row r="33141" spans="1:1">
      <c r="A33141" t="inlineStr">
        <is>
          <t>Lipit Sur</t>
        </is>
      </c>
    </row>
    <row r="33142" spans="1:1">
      <c r="A33142" t="inlineStr">
        <is>
          <t>Matolong</t>
        </is>
      </c>
    </row>
    <row r="33143" spans="1:1">
      <c r="A33143" t="inlineStr">
        <is>
          <t>Mermer</t>
        </is>
      </c>
    </row>
    <row r="33144" spans="1:1">
      <c r="A33144" t="inlineStr">
        <is>
          <t>Nalsian</t>
        </is>
      </c>
    </row>
    <row r="33145" spans="1:1">
      <c r="A33145" t="inlineStr">
        <is>
          <t>Oraan East</t>
        </is>
      </c>
    </row>
    <row r="33146" spans="1:1">
      <c r="A33146" t="inlineStr">
        <is>
          <t>Oraan West</t>
        </is>
      </c>
    </row>
    <row r="33147" spans="1:1">
      <c r="A33147" t="inlineStr">
        <is>
          <t>Pantal</t>
        </is>
      </c>
    </row>
    <row r="33148" spans="1:1">
      <c r="A33148" t="inlineStr">
        <is>
          <t>Pao</t>
        </is>
      </c>
    </row>
    <row r="33149" spans="1:1">
      <c r="A33149" t="inlineStr">
        <is>
          <t>Parian</t>
        </is>
      </c>
    </row>
    <row r="33150" spans="1:1">
      <c r="A33150" t="inlineStr">
        <is>
          <t>Poblacion</t>
        </is>
      </c>
    </row>
    <row r="33151" spans="1:1">
      <c r="A33151" t="inlineStr">
        <is>
          <t>Pugaro</t>
        </is>
      </c>
    </row>
    <row r="33152" spans="1:1">
      <c r="A33152" t="inlineStr">
        <is>
          <t>San Ramon</t>
        </is>
      </c>
    </row>
    <row r="33153" spans="1:1">
      <c r="A33153" t="inlineStr">
        <is>
          <t>Santa Ines</t>
        </is>
      </c>
    </row>
    <row r="33154" spans="1:1">
      <c r="A33154" t="inlineStr">
        <is>
          <t>Sapang</t>
        </is>
      </c>
    </row>
    <row r="33155" spans="1:1">
      <c r="A33155" t="inlineStr">
        <is>
          <t>Tebuel</t>
        </is>
      </c>
    </row>
    <row r="33156" spans="1:1">
      <c r="A33156" t="inlineStr">
        <is>
          <t>Alitaya</t>
        </is>
      </c>
    </row>
    <row r="33157" spans="1:1">
      <c r="A33157" t="inlineStr">
        <is>
          <t>Amansabina</t>
        </is>
      </c>
    </row>
    <row r="33158" spans="1:1">
      <c r="A33158" t="inlineStr">
        <is>
          <t>Anolid</t>
        </is>
      </c>
    </row>
    <row r="33159" spans="1:1">
      <c r="A33159" t="inlineStr">
        <is>
          <t>Banaoang</t>
        </is>
      </c>
    </row>
    <row r="33160" spans="1:1">
      <c r="A33160" t="inlineStr">
        <is>
          <t>Bantayan</t>
        </is>
      </c>
    </row>
    <row r="33161" spans="1:1">
      <c r="A33161" t="inlineStr">
        <is>
          <t>Bari</t>
        </is>
      </c>
    </row>
    <row r="33162" spans="1:1">
      <c r="A33162" t="inlineStr">
        <is>
          <t>Bateng</t>
        </is>
      </c>
    </row>
    <row r="33163" spans="1:1">
      <c r="A33163" t="inlineStr">
        <is>
          <t>Buenlag</t>
        </is>
      </c>
    </row>
    <row r="33164" spans="1:1">
      <c r="A33164" t="inlineStr">
        <is>
          <t>David</t>
        </is>
      </c>
    </row>
    <row r="33165" spans="1:1">
      <c r="A33165" t="inlineStr">
        <is>
          <t>Embarcadero</t>
        </is>
      </c>
    </row>
    <row r="33166" spans="1:1">
      <c r="A33166" t="inlineStr">
        <is>
          <t>Gueguesangen</t>
        </is>
      </c>
    </row>
    <row r="33167" spans="1:1">
      <c r="A33167" t="inlineStr">
        <is>
          <t>Guesang</t>
        </is>
      </c>
    </row>
    <row r="33168" spans="1:1">
      <c r="A33168" t="inlineStr">
        <is>
          <t>Guiguilonen</t>
        </is>
      </c>
    </row>
    <row r="33169" spans="1:1">
      <c r="A33169" t="inlineStr">
        <is>
          <t>Guilig</t>
        </is>
      </c>
    </row>
    <row r="33170" spans="1:1">
      <c r="A33170" t="inlineStr">
        <is>
          <t>Inlambo</t>
        </is>
      </c>
    </row>
    <row r="33171" spans="1:1">
      <c r="A33171" t="inlineStr">
        <is>
          <t>Lanas</t>
        </is>
      </c>
    </row>
    <row r="33172" spans="1:1">
      <c r="A33172" t="inlineStr">
        <is>
          <t>Landas</t>
        </is>
      </c>
    </row>
    <row r="33173" spans="1:1">
      <c r="A33173" t="inlineStr">
        <is>
          <t>Maasin</t>
        </is>
      </c>
    </row>
    <row r="33174" spans="1:1">
      <c r="A33174" t="inlineStr">
        <is>
          <t>Macayug</t>
        </is>
      </c>
    </row>
    <row r="33175" spans="1:1">
      <c r="A33175" t="inlineStr">
        <is>
          <t>Malabago</t>
        </is>
      </c>
    </row>
    <row r="33176" spans="1:1">
      <c r="A33176" t="inlineStr">
        <is>
          <t>Navaluan</t>
        </is>
      </c>
    </row>
    <row r="33177" spans="1:1">
      <c r="A33177" t="inlineStr">
        <is>
          <t>Nibaliw</t>
        </is>
      </c>
    </row>
    <row r="33178" spans="1:1">
      <c r="A33178" t="inlineStr">
        <is>
          <t>Osiem</t>
        </is>
      </c>
    </row>
    <row r="33179" spans="1:1">
      <c r="A33179" t="inlineStr">
        <is>
          <t>Palua</t>
        </is>
      </c>
    </row>
    <row r="33180" spans="1:1">
      <c r="A33180" t="inlineStr">
        <is>
          <t>Poblacion</t>
        </is>
      </c>
    </row>
    <row r="33181" spans="1:1">
      <c r="A33181" t="inlineStr">
        <is>
          <t>Pogo</t>
        </is>
      </c>
    </row>
    <row r="33182" spans="1:1">
      <c r="A33182" t="inlineStr">
        <is>
          <t>Salaan</t>
        </is>
      </c>
    </row>
    <row r="33183" spans="1:1">
      <c r="A33183" t="inlineStr">
        <is>
          <t>Salay</t>
        </is>
      </c>
    </row>
    <row r="33184" spans="1:1">
      <c r="A33184" t="inlineStr">
        <is>
          <t>Talogtog</t>
        </is>
      </c>
    </row>
    <row r="33185" spans="1:1">
      <c r="A33185" t="inlineStr">
        <is>
          <t>Tebag</t>
        </is>
      </c>
    </row>
    <row r="33186" spans="1:1">
      <c r="A33186" t="inlineStr">
        <is>
          <t>Andangin</t>
        </is>
      </c>
    </row>
    <row r="33187" spans="1:1">
      <c r="A33187" t="inlineStr">
        <is>
          <t>Arellano Street</t>
        </is>
      </c>
    </row>
    <row r="33188" spans="1:1">
      <c r="A33188" t="inlineStr">
        <is>
          <t>Bantay</t>
        </is>
      </c>
    </row>
    <row r="33189" spans="1:1">
      <c r="A33189" t="inlineStr">
        <is>
          <t>Bantocaling</t>
        </is>
      </c>
    </row>
    <row r="33190" spans="1:1">
      <c r="A33190" t="inlineStr">
        <is>
          <t>Baracbac</t>
        </is>
      </c>
    </row>
    <row r="33191" spans="1:1">
      <c r="A33191" t="inlineStr">
        <is>
          <t>Bogtong Bolo</t>
        </is>
      </c>
    </row>
    <row r="33192" spans="1:1">
      <c r="A33192" t="inlineStr">
        <is>
          <t>Bogtong Bunao</t>
        </is>
      </c>
    </row>
    <row r="33193" spans="1:1">
      <c r="A33193" t="inlineStr">
        <is>
          <t>Bogtong Centro</t>
        </is>
      </c>
    </row>
    <row r="33194" spans="1:1">
      <c r="A33194" t="inlineStr">
        <is>
          <t>Bogtong Niog</t>
        </is>
      </c>
    </row>
    <row r="33195" spans="1:1">
      <c r="A33195" t="inlineStr">
        <is>
          <t>Bogtong Silag</t>
        </is>
      </c>
    </row>
    <row r="33196" spans="1:1">
      <c r="A33196" t="inlineStr">
        <is>
          <t>Buaya</t>
        </is>
      </c>
    </row>
    <row r="33197" spans="1:1">
      <c r="A33197" t="inlineStr">
        <is>
          <t>Buenlag</t>
        </is>
      </c>
    </row>
    <row r="33198" spans="1:1">
      <c r="A33198" t="inlineStr">
        <is>
          <t>Bueno</t>
        </is>
      </c>
    </row>
    <row r="33199" spans="1:1">
      <c r="A33199" t="inlineStr">
        <is>
          <t>Bunagan</t>
        </is>
      </c>
    </row>
    <row r="33200" spans="1:1">
      <c r="A33200" t="inlineStr">
        <is>
          <t>Bunlalacao</t>
        </is>
      </c>
    </row>
    <row r="33201" spans="1:1">
      <c r="A33201" t="inlineStr">
        <is>
          <t>Burgos Street</t>
        </is>
      </c>
    </row>
    <row r="33202" spans="1:1">
      <c r="A33202" t="inlineStr">
        <is>
          <t>Cabaluyan 1st</t>
        </is>
      </c>
    </row>
    <row r="33203" spans="1:1">
      <c r="A33203" t="inlineStr">
        <is>
          <t>Cabaluyan 2nd</t>
        </is>
      </c>
    </row>
    <row r="33204" spans="1:1">
      <c r="A33204" t="inlineStr">
        <is>
          <t>Cabarabuan</t>
        </is>
      </c>
    </row>
    <row r="33205" spans="1:1">
      <c r="A33205" t="inlineStr">
        <is>
          <t>Cabaruan</t>
        </is>
      </c>
    </row>
    <row r="33206" spans="1:1">
      <c r="A33206" t="inlineStr">
        <is>
          <t>Cabayaoasan</t>
        </is>
      </c>
    </row>
    <row r="33207" spans="1:1">
      <c r="A33207" t="inlineStr">
        <is>
          <t>Cabayugan</t>
        </is>
      </c>
    </row>
    <row r="33208" spans="1:1">
      <c r="A33208" t="inlineStr">
        <is>
          <t>Cacaoiten</t>
        </is>
      </c>
    </row>
    <row r="33209" spans="1:1">
      <c r="A33209" t="inlineStr">
        <is>
          <t>Calomboyan Norte</t>
        </is>
      </c>
    </row>
    <row r="33210" spans="1:1">
      <c r="A33210" t="inlineStr">
        <is>
          <t>Calomboyan Sur</t>
        </is>
      </c>
    </row>
    <row r="33211" spans="1:1">
      <c r="A33211" t="inlineStr">
        <is>
          <t>Calvo</t>
        </is>
      </c>
    </row>
    <row r="33212" spans="1:1">
      <c r="A33212" t="inlineStr">
        <is>
          <t>Casilagan</t>
        </is>
      </c>
    </row>
    <row r="33213" spans="1:1">
      <c r="A33213" t="inlineStr">
        <is>
          <t>Catarataraan</t>
        </is>
      </c>
    </row>
    <row r="33214" spans="1:1">
      <c r="A33214" t="inlineStr">
        <is>
          <t>Caturay Norte</t>
        </is>
      </c>
    </row>
    <row r="33215" spans="1:1">
      <c r="A33215" t="inlineStr">
        <is>
          <t>Caturay Sur</t>
        </is>
      </c>
    </row>
    <row r="33216" spans="1:1">
      <c r="A33216" t="inlineStr">
        <is>
          <t>Caviernesan</t>
        </is>
      </c>
    </row>
    <row r="33217" spans="1:1">
      <c r="A33217" t="inlineStr">
        <is>
          <t>Dorongan Ketaket</t>
        </is>
      </c>
    </row>
    <row r="33218" spans="1:1">
      <c r="A33218" t="inlineStr">
        <is>
          <t>Dorongan Linmansangan</t>
        </is>
      </c>
    </row>
    <row r="33219" spans="1:1">
      <c r="A33219" t="inlineStr">
        <is>
          <t>Dorongan Punta</t>
        </is>
      </c>
    </row>
    <row r="33220" spans="1:1">
      <c r="A33220" t="inlineStr">
        <is>
          <t>Dorongan Sawat</t>
        </is>
      </c>
    </row>
    <row r="33221" spans="1:1">
      <c r="A33221" t="inlineStr">
        <is>
          <t>Dorongan Valerio</t>
        </is>
      </c>
    </row>
    <row r="33222" spans="1:1">
      <c r="A33222" t="inlineStr">
        <is>
          <t>General Luna</t>
        </is>
      </c>
    </row>
    <row r="33223" spans="1:1">
      <c r="A33223" t="inlineStr">
        <is>
          <t>Historia</t>
        </is>
      </c>
    </row>
    <row r="33224" spans="1:1">
      <c r="A33224" t="inlineStr">
        <is>
          <t>Lawak Langka</t>
        </is>
      </c>
    </row>
    <row r="33225" spans="1:1">
      <c r="A33225" t="inlineStr">
        <is>
          <t>Linmansangan</t>
        </is>
      </c>
    </row>
    <row r="33226" spans="1:1">
      <c r="A33226" t="inlineStr">
        <is>
          <t>Lopez</t>
        </is>
      </c>
    </row>
    <row r="33227" spans="1:1">
      <c r="A33227" t="inlineStr">
        <is>
          <t>Mabini</t>
        </is>
      </c>
    </row>
    <row r="33228" spans="1:1">
      <c r="A33228" t="inlineStr">
        <is>
          <t>Macarang</t>
        </is>
      </c>
    </row>
    <row r="33229" spans="1:1">
      <c r="A33229" t="inlineStr">
        <is>
          <t>Malabobo</t>
        </is>
      </c>
    </row>
    <row r="33230" spans="1:1">
      <c r="A33230" t="inlineStr">
        <is>
          <t>Malibong</t>
        </is>
      </c>
    </row>
    <row r="33231" spans="1:1">
      <c r="A33231" t="inlineStr">
        <is>
          <t>Malunec</t>
        </is>
      </c>
    </row>
    <row r="33232" spans="1:1">
      <c r="A33232" t="inlineStr">
        <is>
          <t>Maravilla</t>
        </is>
      </c>
    </row>
    <row r="33233" spans="1:1">
      <c r="A33233" t="inlineStr">
        <is>
          <t>Maravilla-Arellano Ext.</t>
        </is>
      </c>
    </row>
    <row r="33234" spans="1:1">
      <c r="A33234" t="inlineStr">
        <is>
          <t>Muelang</t>
        </is>
      </c>
    </row>
    <row r="33235" spans="1:1">
      <c r="A33235" t="inlineStr">
        <is>
          <t>Naguilayan East</t>
        </is>
      </c>
    </row>
    <row r="33236" spans="1:1">
      <c r="A33236" t="inlineStr">
        <is>
          <t>Naguilayan West</t>
        </is>
      </c>
    </row>
    <row r="33237" spans="1:1">
      <c r="A33237" t="inlineStr">
        <is>
          <t>Nancasalan</t>
        </is>
      </c>
    </row>
    <row r="33238" spans="1:1">
      <c r="A33238" t="inlineStr">
        <is>
          <t>Niog-Cabison-Bulaney</t>
        </is>
      </c>
    </row>
    <row r="33239" spans="1:1">
      <c r="A33239" t="inlineStr">
        <is>
          <t>Olegario-Caoile</t>
        </is>
      </c>
    </row>
    <row r="33240" spans="1:1">
      <c r="A33240" t="inlineStr">
        <is>
          <t>Olo Cacamposan</t>
        </is>
      </c>
    </row>
    <row r="33241" spans="1:1">
      <c r="A33241" t="inlineStr">
        <is>
          <t>Olo Cafabrosan</t>
        </is>
      </c>
    </row>
    <row r="33242" spans="1:1">
      <c r="A33242" t="inlineStr">
        <is>
          <t>Olo Cagarlitan</t>
        </is>
      </c>
    </row>
    <row r="33243" spans="1:1">
      <c r="A33243" t="inlineStr">
        <is>
          <t>Osmeña</t>
        </is>
      </c>
    </row>
    <row r="33244" spans="1:1">
      <c r="A33244" t="inlineStr">
        <is>
          <t>Pacalat</t>
        </is>
      </c>
    </row>
    <row r="33245" spans="1:1">
      <c r="A33245" t="inlineStr">
        <is>
          <t>Pampano</t>
        </is>
      </c>
    </row>
    <row r="33246" spans="1:1">
      <c r="A33246" t="inlineStr">
        <is>
          <t>Parian</t>
        </is>
      </c>
    </row>
    <row r="33247" spans="1:1">
      <c r="A33247" t="inlineStr">
        <is>
          <t>Paul</t>
        </is>
      </c>
    </row>
    <row r="33248" spans="1:1">
      <c r="A33248" t="inlineStr">
        <is>
          <t>Peania Pedania</t>
        </is>
      </c>
    </row>
    <row r="33249" spans="1:1">
      <c r="A33249" t="inlineStr">
        <is>
          <t>Pogon-Aniat</t>
        </is>
      </c>
    </row>
    <row r="33250" spans="1:1">
      <c r="A33250" t="inlineStr">
        <is>
          <t>Pogon-Lomboy</t>
        </is>
      </c>
    </row>
    <row r="33251" spans="1:1">
      <c r="A33251" t="inlineStr">
        <is>
          <t>Ponglo-Baleg</t>
        </is>
      </c>
    </row>
    <row r="33252" spans="1:1">
      <c r="A33252" t="inlineStr">
        <is>
          <t>Ponglo-Muelag</t>
        </is>
      </c>
    </row>
    <row r="33253" spans="1:1">
      <c r="A33253" t="inlineStr">
        <is>
          <t>Quetegan</t>
        </is>
      </c>
    </row>
    <row r="33254" spans="1:1">
      <c r="A33254" t="inlineStr">
        <is>
          <t>Quezon</t>
        </is>
      </c>
    </row>
    <row r="33255" spans="1:1">
      <c r="A33255" t="inlineStr">
        <is>
          <t>Salavante</t>
        </is>
      </c>
    </row>
    <row r="33256" spans="1:1">
      <c r="A33256" t="inlineStr">
        <is>
          <t>Sapang</t>
        </is>
      </c>
    </row>
    <row r="33257" spans="1:1">
      <c r="A33257" t="inlineStr">
        <is>
          <t>Sonson Ongkit</t>
        </is>
      </c>
    </row>
    <row r="33258" spans="1:1">
      <c r="A33258" t="inlineStr">
        <is>
          <t>Suaco</t>
        </is>
      </c>
    </row>
    <row r="33259" spans="1:1">
      <c r="A33259" t="inlineStr">
        <is>
          <t>Tagac</t>
        </is>
      </c>
    </row>
    <row r="33260" spans="1:1">
      <c r="A33260" t="inlineStr">
        <is>
          <t>Takipan</t>
        </is>
      </c>
    </row>
    <row r="33261" spans="1:1">
      <c r="A33261" t="inlineStr">
        <is>
          <t>Talogtog</t>
        </is>
      </c>
    </row>
    <row r="33262" spans="1:1">
      <c r="A33262" t="inlineStr">
        <is>
          <t>Tococ Barikir</t>
        </is>
      </c>
    </row>
    <row r="33263" spans="1:1">
      <c r="A33263" t="inlineStr">
        <is>
          <t>Torre 1st</t>
        </is>
      </c>
    </row>
    <row r="33264" spans="1:1">
      <c r="A33264" t="inlineStr">
        <is>
          <t>Torre 2nd</t>
        </is>
      </c>
    </row>
    <row r="33265" spans="1:1">
      <c r="A33265" t="inlineStr">
        <is>
          <t>Torres Bugallon</t>
        </is>
      </c>
    </row>
    <row r="33266" spans="1:1">
      <c r="A33266" t="inlineStr">
        <is>
          <t>Umangan</t>
        </is>
      </c>
    </row>
    <row r="33267" spans="1:1">
      <c r="A33267" t="inlineStr">
        <is>
          <t>Zamora</t>
        </is>
      </c>
    </row>
    <row r="33268" spans="1:1">
      <c r="A33268" t="inlineStr">
        <is>
          <t>Amanoaoac</t>
        </is>
      </c>
    </row>
    <row r="33269" spans="1:1">
      <c r="A33269" t="inlineStr">
        <is>
          <t>Apaya</t>
        </is>
      </c>
    </row>
    <row r="33270" spans="1:1">
      <c r="A33270" t="inlineStr">
        <is>
          <t>Aserda</t>
        </is>
      </c>
    </row>
    <row r="33271" spans="1:1">
      <c r="A33271" t="inlineStr">
        <is>
          <t>Baloling</t>
        </is>
      </c>
    </row>
    <row r="33272" spans="1:1">
      <c r="A33272" t="inlineStr">
        <is>
          <t>Coral</t>
        </is>
      </c>
    </row>
    <row r="33273" spans="1:1">
      <c r="A33273" t="inlineStr">
        <is>
          <t>Golden</t>
        </is>
      </c>
    </row>
    <row r="33274" spans="1:1">
      <c r="A33274" t="inlineStr">
        <is>
          <t>Jimenez</t>
        </is>
      </c>
    </row>
    <row r="33275" spans="1:1">
      <c r="A33275" t="inlineStr">
        <is>
          <t>Lambayan</t>
        </is>
      </c>
    </row>
    <row r="33276" spans="1:1">
      <c r="A33276" t="inlineStr">
        <is>
          <t>Luyan</t>
        </is>
      </c>
    </row>
    <row r="33277" spans="1:1">
      <c r="A33277" t="inlineStr">
        <is>
          <t>Nilombot</t>
        </is>
      </c>
    </row>
    <row r="33278" spans="1:1">
      <c r="A33278" t="inlineStr">
        <is>
          <t>Pias</t>
        </is>
      </c>
    </row>
    <row r="33279" spans="1:1">
      <c r="A33279" t="inlineStr">
        <is>
          <t>Poblacion</t>
        </is>
      </c>
    </row>
    <row r="33280" spans="1:1">
      <c r="A33280" t="inlineStr">
        <is>
          <t>Primicias</t>
        </is>
      </c>
    </row>
    <row r="33281" spans="1:1">
      <c r="A33281" t="inlineStr">
        <is>
          <t>Santa Maria</t>
        </is>
      </c>
    </row>
    <row r="33282" spans="1:1">
      <c r="A33282" t="inlineStr">
        <is>
          <t>Torres</t>
        </is>
      </c>
    </row>
    <row r="33283" spans="1:1">
      <c r="A33283" t="inlineStr">
        <is>
          <t>Barangobong</t>
        </is>
      </c>
    </row>
    <row r="33284" spans="1:1">
      <c r="A33284" t="inlineStr">
        <is>
          <t>Batchelor East</t>
        </is>
      </c>
    </row>
    <row r="33285" spans="1:1">
      <c r="A33285" t="inlineStr">
        <is>
          <t>Batchelor West</t>
        </is>
      </c>
    </row>
    <row r="33286" spans="1:1">
      <c r="A33286" t="inlineStr">
        <is>
          <t>Burgos</t>
        </is>
      </c>
    </row>
    <row r="33287" spans="1:1">
      <c r="A33287" t="inlineStr">
        <is>
          <t>Cacandungan</t>
        </is>
      </c>
    </row>
    <row r="33288" spans="1:1">
      <c r="A33288" t="inlineStr">
        <is>
          <t>Calapugan</t>
        </is>
      </c>
    </row>
    <row r="33289" spans="1:1">
      <c r="A33289" t="inlineStr">
        <is>
          <t>Canarem</t>
        </is>
      </c>
    </row>
    <row r="33290" spans="1:1">
      <c r="A33290" t="inlineStr">
        <is>
          <t>Luna</t>
        </is>
      </c>
    </row>
    <row r="33291" spans="1:1">
      <c r="A33291" t="inlineStr">
        <is>
          <t>Poblacion East</t>
        </is>
      </c>
    </row>
    <row r="33292" spans="1:1">
      <c r="A33292" t="inlineStr">
        <is>
          <t>Poblacion West</t>
        </is>
      </c>
    </row>
    <row r="33293" spans="1:1">
      <c r="A33293" t="inlineStr">
        <is>
          <t>Rizal</t>
        </is>
      </c>
    </row>
    <row r="33294" spans="1:1">
      <c r="A33294" t="inlineStr">
        <is>
          <t>Salud</t>
        </is>
      </c>
    </row>
    <row r="33295" spans="1:1">
      <c r="A33295" t="inlineStr">
        <is>
          <t>San Eugenio</t>
        </is>
      </c>
    </row>
    <row r="33296" spans="1:1">
      <c r="A33296" t="inlineStr">
        <is>
          <t>San Macario Norte</t>
        </is>
      </c>
    </row>
    <row r="33297" spans="1:1">
      <c r="A33297" t="inlineStr">
        <is>
          <t>San Macario Sur</t>
        </is>
      </c>
    </row>
    <row r="33298" spans="1:1">
      <c r="A33298" t="inlineStr">
        <is>
          <t>San Maximo</t>
        </is>
      </c>
    </row>
    <row r="33299" spans="1:1">
      <c r="A33299" t="inlineStr">
        <is>
          <t>San Miguel</t>
        </is>
      </c>
    </row>
    <row r="33300" spans="1:1">
      <c r="A33300" t="inlineStr">
        <is>
          <t>Silag</t>
        </is>
      </c>
    </row>
    <row r="33301" spans="1:1">
      <c r="A33301" t="inlineStr">
        <is>
          <t>Alipangpang</t>
        </is>
      </c>
    </row>
    <row r="33302" spans="1:1">
      <c r="A33302" t="inlineStr">
        <is>
          <t>Amagbagan</t>
        </is>
      </c>
    </row>
    <row r="33303" spans="1:1">
      <c r="A33303" t="inlineStr">
        <is>
          <t>Balacag</t>
        </is>
      </c>
    </row>
    <row r="33304" spans="1:1">
      <c r="A33304" t="inlineStr">
        <is>
          <t>Banding</t>
        </is>
      </c>
    </row>
    <row r="33305" spans="1:1">
      <c r="A33305" t="inlineStr">
        <is>
          <t>Bantugan</t>
        </is>
      </c>
    </row>
    <row r="33306" spans="1:1">
      <c r="A33306" t="inlineStr">
        <is>
          <t>Batakil</t>
        </is>
      </c>
    </row>
    <row r="33307" spans="1:1">
      <c r="A33307" t="inlineStr">
        <is>
          <t>Bobonan</t>
        </is>
      </c>
    </row>
    <row r="33308" spans="1:1">
      <c r="A33308" t="inlineStr">
        <is>
          <t>Buneg</t>
        </is>
      </c>
    </row>
    <row r="33309" spans="1:1">
      <c r="A33309" t="inlineStr">
        <is>
          <t>Cablong</t>
        </is>
      </c>
    </row>
    <row r="33310" spans="1:1">
      <c r="A33310" t="inlineStr">
        <is>
          <t>Casanfernandoan</t>
        </is>
      </c>
    </row>
    <row r="33311" spans="1:1">
      <c r="A33311" t="inlineStr">
        <is>
          <t>Castaño</t>
        </is>
      </c>
    </row>
    <row r="33312" spans="1:1">
      <c r="A33312" t="inlineStr">
        <is>
          <t>Dilan</t>
        </is>
      </c>
    </row>
    <row r="33313" spans="1:1">
      <c r="A33313" t="inlineStr">
        <is>
          <t>Don Benito</t>
        </is>
      </c>
    </row>
    <row r="33314" spans="1:1">
      <c r="A33314" t="inlineStr">
        <is>
          <t>Haway</t>
        </is>
      </c>
    </row>
    <row r="33315" spans="1:1">
      <c r="A33315" t="inlineStr">
        <is>
          <t>Imbalbalatong</t>
        </is>
      </c>
    </row>
    <row r="33316" spans="1:1">
      <c r="A33316" t="inlineStr">
        <is>
          <t>Inoman</t>
        </is>
      </c>
    </row>
    <row r="33317" spans="1:1">
      <c r="A33317" t="inlineStr">
        <is>
          <t>Laoac</t>
        </is>
      </c>
    </row>
    <row r="33318" spans="1:1">
      <c r="A33318" t="inlineStr">
        <is>
          <t>Maambal</t>
        </is>
      </c>
    </row>
    <row r="33319" spans="1:1">
      <c r="A33319" t="inlineStr">
        <is>
          <t>Malasin</t>
        </is>
      </c>
    </row>
    <row r="33320" spans="1:1">
      <c r="A33320" t="inlineStr">
        <is>
          <t>Malokiat</t>
        </is>
      </c>
    </row>
    <row r="33321" spans="1:1">
      <c r="A33321" t="inlineStr">
        <is>
          <t>Manaol</t>
        </is>
      </c>
    </row>
    <row r="33322" spans="1:1">
      <c r="A33322" t="inlineStr">
        <is>
          <t>Nama</t>
        </is>
      </c>
    </row>
    <row r="33323" spans="1:1">
      <c r="A33323" t="inlineStr">
        <is>
          <t>Nantangalan</t>
        </is>
      </c>
    </row>
    <row r="33324" spans="1:1">
      <c r="A33324" t="inlineStr">
        <is>
          <t>Palacpalac</t>
        </is>
      </c>
    </row>
    <row r="33325" spans="1:1">
      <c r="A33325" t="inlineStr">
        <is>
          <t>Palguyod</t>
        </is>
      </c>
    </row>
    <row r="33326" spans="1:1">
      <c r="A33326" t="inlineStr">
        <is>
          <t>Poblacion I</t>
        </is>
      </c>
    </row>
    <row r="33327" spans="1:1">
      <c r="A33327" t="inlineStr">
        <is>
          <t>Poblacion II</t>
        </is>
      </c>
    </row>
    <row r="33328" spans="1:1">
      <c r="A33328" t="inlineStr">
        <is>
          <t>Poblacion III</t>
        </is>
      </c>
    </row>
    <row r="33329" spans="1:1">
      <c r="A33329" t="inlineStr">
        <is>
          <t>Poblacion IV</t>
        </is>
      </c>
    </row>
    <row r="33330" spans="1:1">
      <c r="A33330" t="inlineStr">
        <is>
          <t>Rosario</t>
        </is>
      </c>
    </row>
    <row r="33331" spans="1:1">
      <c r="A33331" t="inlineStr">
        <is>
          <t>Sugcong</t>
        </is>
      </c>
    </row>
    <row r="33332" spans="1:1">
      <c r="A33332" t="inlineStr">
        <is>
          <t>Talogtog</t>
        </is>
      </c>
    </row>
    <row r="33333" spans="1:1">
      <c r="A33333" t="inlineStr">
        <is>
          <t>Tulnac</t>
        </is>
      </c>
    </row>
    <row r="33334" spans="1:1">
      <c r="A33334" t="inlineStr">
        <is>
          <t>Villegas</t>
        </is>
      </c>
    </row>
    <row r="33335" spans="1:1">
      <c r="A33335" t="inlineStr">
        <is>
          <t>Acop</t>
        </is>
      </c>
    </row>
    <row r="33336" spans="1:1">
      <c r="A33336" t="inlineStr">
        <is>
          <t>Bakit-Bakit</t>
        </is>
      </c>
    </row>
    <row r="33337" spans="1:1">
      <c r="A33337" t="inlineStr">
        <is>
          <t>Balingcanaway</t>
        </is>
      </c>
    </row>
    <row r="33338" spans="1:1">
      <c r="A33338" t="inlineStr">
        <is>
          <t>Cabalaoangan Norte</t>
        </is>
      </c>
    </row>
    <row r="33339" spans="1:1">
      <c r="A33339" t="inlineStr">
        <is>
          <t>Cabalaoangan Sur</t>
        </is>
      </c>
    </row>
    <row r="33340" spans="1:1">
      <c r="A33340" t="inlineStr">
        <is>
          <t>Calanutan</t>
        </is>
      </c>
    </row>
    <row r="33341" spans="1:1">
      <c r="A33341" t="inlineStr">
        <is>
          <t>Camangaan</t>
        </is>
      </c>
    </row>
    <row r="33342" spans="1:1">
      <c r="A33342" t="inlineStr">
        <is>
          <t>Capitan Tomas</t>
        </is>
      </c>
    </row>
    <row r="33343" spans="1:1">
      <c r="A33343" t="inlineStr">
        <is>
          <t>Carmay East</t>
        </is>
      </c>
    </row>
    <row r="33344" spans="1:1">
      <c r="A33344" t="inlineStr">
        <is>
          <t>Carmay West</t>
        </is>
      </c>
    </row>
    <row r="33345" spans="1:1">
      <c r="A33345" t="inlineStr">
        <is>
          <t>Carmen East</t>
        </is>
      </c>
    </row>
    <row r="33346" spans="1:1">
      <c r="A33346" t="inlineStr">
        <is>
          <t>Carmen West</t>
        </is>
      </c>
    </row>
    <row r="33347" spans="1:1">
      <c r="A33347" t="inlineStr">
        <is>
          <t>Casanicolasan</t>
        </is>
      </c>
    </row>
    <row r="33348" spans="1:1">
      <c r="A33348" t="inlineStr">
        <is>
          <t>Coliling</t>
        </is>
      </c>
    </row>
    <row r="33349" spans="1:1">
      <c r="A33349" t="inlineStr">
        <is>
          <t>Don Antonio Village</t>
        </is>
      </c>
    </row>
    <row r="33350" spans="1:1">
      <c r="A33350" t="inlineStr">
        <is>
          <t>Guiling</t>
        </is>
      </c>
    </row>
    <row r="33351" spans="1:1">
      <c r="A33351" t="inlineStr">
        <is>
          <t>Palakipak</t>
        </is>
      </c>
    </row>
    <row r="33352" spans="1:1">
      <c r="A33352" t="inlineStr">
        <is>
          <t>Pangaoan</t>
        </is>
      </c>
    </row>
    <row r="33353" spans="1:1">
      <c r="A33353" t="inlineStr">
        <is>
          <t>Rabago</t>
        </is>
      </c>
    </row>
    <row r="33354" spans="1:1">
      <c r="A33354" t="inlineStr">
        <is>
          <t>Rizal</t>
        </is>
      </c>
    </row>
    <row r="33355" spans="1:1">
      <c r="A33355" t="inlineStr">
        <is>
          <t>Salvacion</t>
        </is>
      </c>
    </row>
    <row r="33356" spans="1:1">
      <c r="A33356" t="inlineStr">
        <is>
          <t>San Angel</t>
        </is>
      </c>
    </row>
    <row r="33357" spans="1:1">
      <c r="A33357" t="inlineStr">
        <is>
          <t>San Antonio</t>
        </is>
      </c>
    </row>
    <row r="33358" spans="1:1">
      <c r="A33358" t="inlineStr">
        <is>
          <t>San Bartolome</t>
        </is>
      </c>
    </row>
    <row r="33359" spans="1:1">
      <c r="A33359" t="inlineStr">
        <is>
          <t>San Isidro</t>
        </is>
      </c>
    </row>
    <row r="33360" spans="1:1">
      <c r="A33360" t="inlineStr">
        <is>
          <t>San Luis</t>
        </is>
      </c>
    </row>
    <row r="33361" spans="1:1">
      <c r="A33361" t="inlineStr">
        <is>
          <t>San Pedro East</t>
        </is>
      </c>
    </row>
    <row r="33362" spans="1:1">
      <c r="A33362" t="inlineStr">
        <is>
          <t>San Pedro West</t>
        </is>
      </c>
    </row>
    <row r="33363" spans="1:1">
      <c r="A33363" t="inlineStr">
        <is>
          <t>San Vicente</t>
        </is>
      </c>
    </row>
    <row r="33364" spans="1:1">
      <c r="A33364" t="inlineStr">
        <is>
          <t>Station District</t>
        </is>
      </c>
    </row>
    <row r="33365" spans="1:1">
      <c r="A33365" t="inlineStr">
        <is>
          <t>Tomana East</t>
        </is>
      </c>
    </row>
    <row r="33366" spans="1:1">
      <c r="A33366" t="inlineStr">
        <is>
          <t>Tomana West</t>
        </is>
      </c>
    </row>
    <row r="33367" spans="1:1">
      <c r="A33367" t="inlineStr">
        <is>
          <t>Zone I</t>
        </is>
      </c>
    </row>
    <row r="33368" spans="1:1">
      <c r="A33368" t="inlineStr">
        <is>
          <t>Zone II</t>
        </is>
      </c>
    </row>
    <row r="33369" spans="1:1">
      <c r="A33369" t="inlineStr">
        <is>
          <t>Zone III</t>
        </is>
      </c>
    </row>
    <row r="33370" spans="1:1">
      <c r="A33370" t="inlineStr">
        <is>
          <t>Zone IV</t>
        </is>
      </c>
    </row>
    <row r="33371" spans="1:1">
      <c r="A33371" t="inlineStr">
        <is>
          <t>Zone V</t>
        </is>
      </c>
    </row>
    <row r="33372" spans="1:1">
      <c r="A33372" t="inlineStr">
        <is>
          <t>Alacan</t>
        </is>
      </c>
    </row>
    <row r="33373" spans="1:1">
      <c r="A33373" t="inlineStr">
        <is>
          <t>Ambalangan-Dalin</t>
        </is>
      </c>
    </row>
    <row r="33374" spans="1:1">
      <c r="A33374" t="inlineStr">
        <is>
          <t>Angio</t>
        </is>
      </c>
    </row>
    <row r="33375" spans="1:1">
      <c r="A33375" t="inlineStr">
        <is>
          <t>Anonang</t>
        </is>
      </c>
    </row>
    <row r="33376" spans="1:1">
      <c r="A33376" t="inlineStr">
        <is>
          <t>Aramal</t>
        </is>
      </c>
    </row>
    <row r="33377" spans="1:1">
      <c r="A33377" t="inlineStr">
        <is>
          <t>Bigbiga</t>
        </is>
      </c>
    </row>
    <row r="33378" spans="1:1">
      <c r="A33378" t="inlineStr">
        <is>
          <t>Binday</t>
        </is>
      </c>
    </row>
    <row r="33379" spans="1:1">
      <c r="A33379" t="inlineStr">
        <is>
          <t>Bolaoen</t>
        </is>
      </c>
    </row>
    <row r="33380" spans="1:1">
      <c r="A33380" t="inlineStr">
        <is>
          <t>Bolasi</t>
        </is>
      </c>
    </row>
    <row r="33381" spans="1:1">
      <c r="A33381" t="inlineStr">
        <is>
          <t>Cabaruan</t>
        </is>
      </c>
    </row>
    <row r="33382" spans="1:1">
      <c r="A33382" t="inlineStr">
        <is>
          <t>Cayanga</t>
        </is>
      </c>
    </row>
    <row r="33383" spans="1:1">
      <c r="A33383" t="inlineStr">
        <is>
          <t>Colisao</t>
        </is>
      </c>
    </row>
    <row r="33384" spans="1:1">
      <c r="A33384" t="inlineStr">
        <is>
          <t>Gumot</t>
        </is>
      </c>
    </row>
    <row r="33385" spans="1:1">
      <c r="A33385" t="inlineStr">
        <is>
          <t>Inmalog</t>
        </is>
      </c>
    </row>
    <row r="33386" spans="1:1">
      <c r="A33386" t="inlineStr">
        <is>
          <t>Inmalog Norte</t>
        </is>
      </c>
    </row>
    <row r="33387" spans="1:1">
      <c r="A33387" t="inlineStr">
        <is>
          <t>Lekep-Butao</t>
        </is>
      </c>
    </row>
    <row r="33388" spans="1:1">
      <c r="A33388" t="inlineStr">
        <is>
          <t>Lipit-Tomeeng</t>
        </is>
      </c>
    </row>
    <row r="33389" spans="1:1">
      <c r="A33389" t="inlineStr">
        <is>
          <t>Longos</t>
        </is>
      </c>
    </row>
    <row r="33390" spans="1:1">
      <c r="A33390" t="inlineStr">
        <is>
          <t>Longos Proper</t>
        </is>
      </c>
    </row>
    <row r="33391" spans="1:1">
      <c r="A33391" t="inlineStr">
        <is>
          <t>Longos-Amangonan-Parac-Parac Fabrica</t>
        </is>
      </c>
    </row>
    <row r="33392" spans="1:1">
      <c r="A33392" t="inlineStr">
        <is>
          <t>Mabilao</t>
        </is>
      </c>
    </row>
    <row r="33393" spans="1:1">
      <c r="A33393" t="inlineStr">
        <is>
          <t>Nibaliw Central</t>
        </is>
      </c>
    </row>
    <row r="33394" spans="1:1">
      <c r="A33394" t="inlineStr">
        <is>
          <t>Nibaliw East</t>
        </is>
      </c>
    </row>
    <row r="33395" spans="1:1">
      <c r="A33395" t="inlineStr">
        <is>
          <t>Nibaliw Magliba</t>
        </is>
      </c>
    </row>
    <row r="33396" spans="1:1">
      <c r="A33396" t="inlineStr">
        <is>
          <t>Nibaliw Narvarte</t>
        </is>
      </c>
    </row>
    <row r="33397" spans="1:1">
      <c r="A33397" t="inlineStr">
        <is>
          <t>Nibaliw Vidal</t>
        </is>
      </c>
    </row>
    <row r="33398" spans="1:1">
      <c r="A33398" t="inlineStr">
        <is>
          <t>Palapad</t>
        </is>
      </c>
    </row>
    <row r="33399" spans="1:1">
      <c r="A33399" t="inlineStr">
        <is>
          <t>Poblacion</t>
        </is>
      </c>
    </row>
    <row r="33400" spans="1:1">
      <c r="A33400" t="inlineStr">
        <is>
          <t>Rabon</t>
        </is>
      </c>
    </row>
    <row r="33401" spans="1:1">
      <c r="A33401" t="inlineStr">
        <is>
          <t>Sagud-Bahley</t>
        </is>
      </c>
    </row>
    <row r="33402" spans="1:1">
      <c r="A33402" t="inlineStr">
        <is>
          <t>Sobol</t>
        </is>
      </c>
    </row>
    <row r="33403" spans="1:1">
      <c r="A33403" t="inlineStr">
        <is>
          <t>Tempra-Guilig</t>
        </is>
      </c>
    </row>
    <row r="33404" spans="1:1">
      <c r="A33404" t="inlineStr">
        <is>
          <t>Tiblong</t>
        </is>
      </c>
    </row>
    <row r="33405" spans="1:1">
      <c r="A33405" t="inlineStr">
        <is>
          <t>Tocok</t>
        </is>
      </c>
    </row>
    <row r="33406" spans="1:1">
      <c r="A33406" t="inlineStr">
        <is>
          <t>Awai</t>
        </is>
      </c>
    </row>
    <row r="33407" spans="1:1">
      <c r="A33407" t="inlineStr">
        <is>
          <t>Bagong Pag-asa</t>
        </is>
      </c>
    </row>
    <row r="33408" spans="1:1">
      <c r="A33408" t="inlineStr">
        <is>
          <t>Bolo</t>
        </is>
      </c>
    </row>
    <row r="33409" spans="1:1">
      <c r="A33409" t="inlineStr">
        <is>
          <t>Capaoay</t>
        </is>
      </c>
    </row>
    <row r="33410" spans="1:1">
      <c r="A33410" t="inlineStr">
        <is>
          <t>Casibong</t>
        </is>
      </c>
    </row>
    <row r="33411" spans="1:1">
      <c r="A33411" t="inlineStr">
        <is>
          <t>Guibel</t>
        </is>
      </c>
    </row>
    <row r="33412" spans="1:1">
      <c r="A33412" t="inlineStr">
        <is>
          <t>Imelda</t>
        </is>
      </c>
    </row>
    <row r="33413" spans="1:1">
      <c r="A33413" t="inlineStr">
        <is>
          <t>Labney</t>
        </is>
      </c>
    </row>
    <row r="33414" spans="1:1">
      <c r="A33414" t="inlineStr">
        <is>
          <t>Lobong</t>
        </is>
      </c>
    </row>
    <row r="33415" spans="1:1">
      <c r="A33415" t="inlineStr">
        <is>
          <t>Macayug</t>
        </is>
      </c>
    </row>
    <row r="33416" spans="1:1">
      <c r="A33416" t="inlineStr">
        <is>
          <t>Magsaysay</t>
        </is>
      </c>
    </row>
    <row r="33417" spans="1:1">
      <c r="A33417" t="inlineStr">
        <is>
          <t>San Guillermo</t>
        </is>
      </c>
    </row>
    <row r="33418" spans="1:1">
      <c r="A33418" t="inlineStr">
        <is>
          <t>San Jose</t>
        </is>
      </c>
    </row>
    <row r="33419" spans="1:1">
      <c r="A33419" t="inlineStr">
        <is>
          <t>San Juan</t>
        </is>
      </c>
    </row>
    <row r="33420" spans="1:1">
      <c r="A33420" t="inlineStr">
        <is>
          <t>San Roque</t>
        </is>
      </c>
    </row>
    <row r="33421" spans="1:1">
      <c r="A33421" t="inlineStr">
        <is>
          <t>San Vicente</t>
        </is>
      </c>
    </row>
    <row r="33422" spans="1:1">
      <c r="A33422" t="inlineStr">
        <is>
          <t>Santa Cruz</t>
        </is>
      </c>
    </row>
    <row r="33423" spans="1:1">
      <c r="A33423" t="inlineStr">
        <is>
          <t>Santa Maria</t>
        </is>
      </c>
    </row>
    <row r="33424" spans="1:1">
      <c r="A33424" t="inlineStr">
        <is>
          <t>Santo Tomas</t>
        </is>
      </c>
    </row>
    <row r="33425" spans="1:1">
      <c r="A33425" t="inlineStr">
        <is>
          <t>Cabacaraan</t>
        </is>
      </c>
    </row>
    <row r="33426" spans="1:1">
      <c r="A33426" t="inlineStr">
        <is>
          <t>Cabaritan</t>
        </is>
      </c>
    </row>
    <row r="33427" spans="1:1">
      <c r="A33427" t="inlineStr">
        <is>
          <t>Flores</t>
        </is>
      </c>
    </row>
    <row r="33428" spans="1:1">
      <c r="A33428" t="inlineStr">
        <is>
          <t>Guiset Norte</t>
        </is>
      </c>
    </row>
    <row r="33429" spans="1:1">
      <c r="A33429" t="inlineStr">
        <is>
          <t>Guiset Sur</t>
        </is>
      </c>
    </row>
    <row r="33430" spans="1:1">
      <c r="A33430" t="inlineStr">
        <is>
          <t>Lapalo</t>
        </is>
      </c>
    </row>
    <row r="33431" spans="1:1">
      <c r="A33431" t="inlineStr">
        <is>
          <t>Nagsaag</t>
        </is>
      </c>
    </row>
    <row r="33432" spans="1:1">
      <c r="A33432" t="inlineStr">
        <is>
          <t>Narra</t>
        </is>
      </c>
    </row>
    <row r="33433" spans="1:1">
      <c r="A33433" t="inlineStr">
        <is>
          <t>San Antonio-Arzadon</t>
        </is>
      </c>
    </row>
    <row r="33434" spans="1:1">
      <c r="A33434" t="inlineStr">
        <is>
          <t>San Bonifacio</t>
        </is>
      </c>
    </row>
    <row r="33435" spans="1:1">
      <c r="A33435" t="inlineStr">
        <is>
          <t>San Juan</t>
        </is>
      </c>
    </row>
    <row r="33436" spans="1:1">
      <c r="A33436" t="inlineStr">
        <is>
          <t>San Roque</t>
        </is>
      </c>
    </row>
    <row r="33437" spans="1:1">
      <c r="A33437" t="inlineStr">
        <is>
          <t>San Vicente</t>
        </is>
      </c>
    </row>
    <row r="33438" spans="1:1">
      <c r="A33438" t="inlineStr">
        <is>
          <t>Sto. Domingo</t>
        </is>
      </c>
    </row>
    <row r="33439" spans="1:1">
      <c r="A33439" t="inlineStr">
        <is>
          <t>Bensican</t>
        </is>
      </c>
    </row>
    <row r="33440" spans="1:1">
      <c r="A33440" t="inlineStr">
        <is>
          <t>Cabitnongan</t>
        </is>
      </c>
    </row>
    <row r="33441" spans="1:1">
      <c r="A33441" t="inlineStr">
        <is>
          <t>Cabuloan</t>
        </is>
      </c>
    </row>
    <row r="33442" spans="1:1">
      <c r="A33442" t="inlineStr">
        <is>
          <t>Cacabugaoan</t>
        </is>
      </c>
    </row>
    <row r="33443" spans="1:1">
      <c r="A33443" t="inlineStr">
        <is>
          <t>Calanutian</t>
        </is>
      </c>
    </row>
    <row r="33444" spans="1:1">
      <c r="A33444" t="inlineStr">
        <is>
          <t>Calaocan</t>
        </is>
      </c>
    </row>
    <row r="33445" spans="1:1">
      <c r="A33445" t="inlineStr">
        <is>
          <t>Camangaan</t>
        </is>
      </c>
    </row>
    <row r="33446" spans="1:1">
      <c r="A33446" t="inlineStr">
        <is>
          <t>Camindoroan</t>
        </is>
      </c>
    </row>
    <row r="33447" spans="1:1">
      <c r="A33447" t="inlineStr">
        <is>
          <t>Casaratan</t>
        </is>
      </c>
    </row>
    <row r="33448" spans="1:1">
      <c r="A33448" t="inlineStr">
        <is>
          <t>Dalumpinas</t>
        </is>
      </c>
    </row>
    <row r="33449" spans="1:1">
      <c r="A33449" t="inlineStr">
        <is>
          <t>Fianza</t>
        </is>
      </c>
    </row>
    <row r="33450" spans="1:1">
      <c r="A33450" t="inlineStr">
        <is>
          <t>Lungao</t>
        </is>
      </c>
    </row>
    <row r="33451" spans="1:1">
      <c r="A33451" t="inlineStr">
        <is>
          <t>Malico</t>
        </is>
      </c>
    </row>
    <row r="33452" spans="1:1">
      <c r="A33452" t="inlineStr">
        <is>
          <t>Malilion</t>
        </is>
      </c>
    </row>
    <row r="33453" spans="1:1">
      <c r="A33453" t="inlineStr">
        <is>
          <t>Nagkaysa</t>
        </is>
      </c>
    </row>
    <row r="33454" spans="1:1">
      <c r="A33454" t="inlineStr">
        <is>
          <t>Nining</t>
        </is>
      </c>
    </row>
    <row r="33455" spans="1:1">
      <c r="A33455" t="inlineStr">
        <is>
          <t>Poblacion East</t>
        </is>
      </c>
    </row>
    <row r="33456" spans="1:1">
      <c r="A33456" t="inlineStr">
        <is>
          <t>Poblacion West</t>
        </is>
      </c>
    </row>
    <row r="33457" spans="1:1">
      <c r="A33457" t="inlineStr">
        <is>
          <t>Salingcob</t>
        </is>
      </c>
    </row>
    <row r="33458" spans="1:1">
      <c r="A33458" t="inlineStr">
        <is>
          <t>Salpad</t>
        </is>
      </c>
    </row>
    <row r="33459" spans="1:1">
      <c r="A33459" t="inlineStr">
        <is>
          <t>San Felipe East</t>
        </is>
      </c>
    </row>
    <row r="33460" spans="1:1">
      <c r="A33460" t="inlineStr">
        <is>
          <t>San Felipe West</t>
        </is>
      </c>
    </row>
    <row r="33461" spans="1:1">
      <c r="A33461" t="inlineStr">
        <is>
          <t>San Isidro</t>
        </is>
      </c>
    </row>
    <row r="33462" spans="1:1">
      <c r="A33462" t="inlineStr">
        <is>
          <t>San Jose</t>
        </is>
      </c>
    </row>
    <row r="33463" spans="1:1">
      <c r="A33463" t="inlineStr">
        <is>
          <t>San Rafael Centro</t>
        </is>
      </c>
    </row>
    <row r="33464" spans="1:1">
      <c r="A33464" t="inlineStr">
        <is>
          <t>San Rafael East</t>
        </is>
      </c>
    </row>
    <row r="33465" spans="1:1">
      <c r="A33465" t="inlineStr">
        <is>
          <t>San Rafael West</t>
        </is>
      </c>
    </row>
    <row r="33466" spans="1:1">
      <c r="A33466" t="inlineStr">
        <is>
          <t>San Roque</t>
        </is>
      </c>
    </row>
    <row r="33467" spans="1:1">
      <c r="A33467" t="inlineStr">
        <is>
          <t>Santa Maria East</t>
        </is>
      </c>
    </row>
    <row r="33468" spans="1:1">
      <c r="A33468" t="inlineStr">
        <is>
          <t>Santa Maria West</t>
        </is>
      </c>
    </row>
    <row r="33469" spans="1:1">
      <c r="A33469" t="inlineStr">
        <is>
          <t>Santo Tomas</t>
        </is>
      </c>
    </row>
    <row r="33470" spans="1:1">
      <c r="A33470" t="inlineStr">
        <is>
          <t>Siblot</t>
        </is>
      </c>
    </row>
    <row r="33471" spans="1:1">
      <c r="A33471" t="inlineStr">
        <is>
          <t>Sobol</t>
        </is>
      </c>
    </row>
    <row r="33472" spans="1:1">
      <c r="A33472" t="inlineStr">
        <is>
          <t>Alac</t>
        </is>
      </c>
    </row>
    <row r="33473" spans="1:1">
      <c r="A33473" t="inlineStr">
        <is>
          <t>Baligayan</t>
        </is>
      </c>
    </row>
    <row r="33474" spans="1:1">
      <c r="A33474" t="inlineStr">
        <is>
          <t>Bantog</t>
        </is>
      </c>
    </row>
    <row r="33475" spans="1:1">
      <c r="A33475" t="inlineStr">
        <is>
          <t>Bolintaguen</t>
        </is>
      </c>
    </row>
    <row r="33476" spans="1:1">
      <c r="A33476" t="inlineStr">
        <is>
          <t>Cabalaoangan</t>
        </is>
      </c>
    </row>
    <row r="33477" spans="1:1">
      <c r="A33477" t="inlineStr">
        <is>
          <t>Cabangaran</t>
        </is>
      </c>
    </row>
    <row r="33478" spans="1:1">
      <c r="A33478" t="inlineStr">
        <is>
          <t>Calomboyan</t>
        </is>
      </c>
    </row>
    <row r="33479" spans="1:1">
      <c r="A33479" t="inlineStr">
        <is>
          <t>Carayacan</t>
        </is>
      </c>
    </row>
    <row r="33480" spans="1:1">
      <c r="A33480" t="inlineStr">
        <is>
          <t>Casantamarian</t>
        </is>
      </c>
    </row>
    <row r="33481" spans="1:1">
      <c r="A33481" t="inlineStr">
        <is>
          <t>Gonzalo</t>
        </is>
      </c>
    </row>
    <row r="33482" spans="1:1">
      <c r="A33482" t="inlineStr">
        <is>
          <t>Labuan</t>
        </is>
      </c>
    </row>
    <row r="33483" spans="1:1">
      <c r="A33483" t="inlineStr">
        <is>
          <t>Lagasit</t>
        </is>
      </c>
    </row>
    <row r="33484" spans="1:1">
      <c r="A33484" t="inlineStr">
        <is>
          <t>Lumayao</t>
        </is>
      </c>
    </row>
    <row r="33485" spans="1:1">
      <c r="A33485" t="inlineStr">
        <is>
          <t>Mabini</t>
        </is>
      </c>
    </row>
    <row r="33486" spans="1:1">
      <c r="A33486" t="inlineStr">
        <is>
          <t>Mantacdang</t>
        </is>
      </c>
    </row>
    <row r="33487" spans="1:1">
      <c r="A33487" t="inlineStr">
        <is>
          <t>Nangapugan</t>
        </is>
      </c>
    </row>
    <row r="33488" spans="1:1">
      <c r="A33488" t="inlineStr">
        <is>
          <t>Poblacion Zone I</t>
        </is>
      </c>
    </row>
    <row r="33489" spans="1:1">
      <c r="A33489" t="inlineStr">
        <is>
          <t>Poblacion Zone II</t>
        </is>
      </c>
    </row>
    <row r="33490" spans="1:1">
      <c r="A33490" t="inlineStr">
        <is>
          <t>Poblacion Zone III</t>
        </is>
      </c>
    </row>
    <row r="33491" spans="1:1">
      <c r="A33491" t="inlineStr">
        <is>
          <t>San Pedro</t>
        </is>
      </c>
    </row>
    <row r="33492" spans="1:1">
      <c r="A33492" t="inlineStr">
        <is>
          <t>Ungib</t>
        </is>
      </c>
    </row>
    <row r="33493" spans="1:1">
      <c r="A33493" t="inlineStr">
        <is>
          <t>Alibago</t>
        </is>
      </c>
    </row>
    <row r="33494" spans="1:1">
      <c r="A33494" t="inlineStr">
        <is>
          <t>Balingueo</t>
        </is>
      </c>
    </row>
    <row r="33495" spans="1:1">
      <c r="A33495" t="inlineStr">
        <is>
          <t>Banaoang</t>
        </is>
      </c>
    </row>
    <row r="33496" spans="1:1">
      <c r="A33496" t="inlineStr">
        <is>
          <t>Banzal</t>
        </is>
      </c>
    </row>
    <row r="33497" spans="1:1">
      <c r="A33497" t="inlineStr">
        <is>
          <t>Botao</t>
        </is>
      </c>
    </row>
    <row r="33498" spans="1:1">
      <c r="A33498" t="inlineStr">
        <is>
          <t>Cablong</t>
        </is>
      </c>
    </row>
    <row r="33499" spans="1:1">
      <c r="A33499" t="inlineStr">
        <is>
          <t>Carusocan</t>
        </is>
      </c>
    </row>
    <row r="33500" spans="1:1">
      <c r="A33500" t="inlineStr">
        <is>
          <t>Dalongue</t>
        </is>
      </c>
    </row>
    <row r="33501" spans="1:1">
      <c r="A33501" t="inlineStr">
        <is>
          <t>Erfe</t>
        </is>
      </c>
    </row>
    <row r="33502" spans="1:1">
      <c r="A33502" t="inlineStr">
        <is>
          <t>Gueguesangen</t>
        </is>
      </c>
    </row>
    <row r="33503" spans="1:1">
      <c r="A33503" t="inlineStr">
        <is>
          <t>Leet</t>
        </is>
      </c>
    </row>
    <row r="33504" spans="1:1">
      <c r="A33504" t="inlineStr">
        <is>
          <t>Malanay</t>
        </is>
      </c>
    </row>
    <row r="33505" spans="1:1">
      <c r="A33505" t="inlineStr">
        <is>
          <t>Maningding</t>
        </is>
      </c>
    </row>
    <row r="33506" spans="1:1">
      <c r="A33506" t="inlineStr">
        <is>
          <t>Maronong</t>
        </is>
      </c>
    </row>
    <row r="33507" spans="1:1">
      <c r="A33507" t="inlineStr">
        <is>
          <t>Maticmatic</t>
        </is>
      </c>
    </row>
    <row r="33508" spans="1:1">
      <c r="A33508" t="inlineStr">
        <is>
          <t>Minien East</t>
        </is>
      </c>
    </row>
    <row r="33509" spans="1:1">
      <c r="A33509" t="inlineStr">
        <is>
          <t>Minien West</t>
        </is>
      </c>
    </row>
    <row r="33510" spans="1:1">
      <c r="A33510" t="inlineStr">
        <is>
          <t>Nilombot</t>
        </is>
      </c>
    </row>
    <row r="33511" spans="1:1">
      <c r="A33511" t="inlineStr">
        <is>
          <t>Patayac</t>
        </is>
      </c>
    </row>
    <row r="33512" spans="1:1">
      <c r="A33512" t="inlineStr">
        <is>
          <t>Payas</t>
        </is>
      </c>
    </row>
    <row r="33513" spans="1:1">
      <c r="A33513" t="inlineStr">
        <is>
          <t>Poblacion Norte</t>
        </is>
      </c>
    </row>
    <row r="33514" spans="1:1">
      <c r="A33514" t="inlineStr">
        <is>
          <t>Poblacion Sur</t>
        </is>
      </c>
    </row>
    <row r="33515" spans="1:1">
      <c r="A33515" t="inlineStr">
        <is>
          <t>Primicias</t>
        </is>
      </c>
    </row>
    <row r="33516" spans="1:1">
      <c r="A33516" t="inlineStr">
        <is>
          <t>Sapang</t>
        </is>
      </c>
    </row>
    <row r="33517" spans="1:1">
      <c r="A33517" t="inlineStr">
        <is>
          <t>Sonquil</t>
        </is>
      </c>
    </row>
    <row r="33518" spans="1:1">
      <c r="A33518" t="inlineStr">
        <is>
          <t>Tebag East</t>
        </is>
      </c>
    </row>
    <row r="33519" spans="1:1">
      <c r="A33519" t="inlineStr">
        <is>
          <t>Tebag West</t>
        </is>
      </c>
    </row>
    <row r="33520" spans="1:1">
      <c r="A33520" t="inlineStr">
        <is>
          <t>Tuliao</t>
        </is>
      </c>
    </row>
    <row r="33521" spans="1:1">
      <c r="A33521" t="inlineStr">
        <is>
          <t>Ventinilla</t>
        </is>
      </c>
    </row>
    <row r="33522" spans="1:1">
      <c r="A33522" t="inlineStr">
        <is>
          <t>Bal-loy</t>
        </is>
      </c>
    </row>
    <row r="33523" spans="1:1">
      <c r="A33523" t="inlineStr">
        <is>
          <t>Bantog</t>
        </is>
      </c>
    </row>
    <row r="33524" spans="1:1">
      <c r="A33524" t="inlineStr">
        <is>
          <t>Caboluan</t>
        </is>
      </c>
    </row>
    <row r="33525" spans="1:1">
      <c r="A33525" t="inlineStr">
        <is>
          <t>Cal-litang</t>
        </is>
      </c>
    </row>
    <row r="33526" spans="1:1">
      <c r="A33526" t="inlineStr">
        <is>
          <t>Capandanan</t>
        </is>
      </c>
    </row>
    <row r="33527" spans="1:1">
      <c r="A33527" t="inlineStr">
        <is>
          <t>Cauplasan</t>
        </is>
      </c>
    </row>
    <row r="33528" spans="1:1">
      <c r="A33528" t="inlineStr">
        <is>
          <t>Dalayap</t>
        </is>
      </c>
    </row>
    <row r="33529" spans="1:1">
      <c r="A33529" t="inlineStr">
        <is>
          <t>Libsong</t>
        </is>
      </c>
    </row>
    <row r="33530" spans="1:1">
      <c r="A33530" t="inlineStr">
        <is>
          <t>Namagbagan</t>
        </is>
      </c>
    </row>
    <row r="33531" spans="1:1">
      <c r="A33531" t="inlineStr">
        <is>
          <t>Paitan</t>
        </is>
      </c>
    </row>
    <row r="33532" spans="1:1">
      <c r="A33532" t="inlineStr">
        <is>
          <t>Pataquid</t>
        </is>
      </c>
    </row>
    <row r="33533" spans="1:1">
      <c r="A33533" t="inlineStr">
        <is>
          <t>Pilar</t>
        </is>
      </c>
    </row>
    <row r="33534" spans="1:1">
      <c r="A33534" t="inlineStr">
        <is>
          <t>Poblacion East</t>
        </is>
      </c>
    </row>
    <row r="33535" spans="1:1">
      <c r="A33535" t="inlineStr">
        <is>
          <t>Poblacion West</t>
        </is>
      </c>
    </row>
    <row r="33536" spans="1:1">
      <c r="A33536" t="inlineStr">
        <is>
          <t>Pugot</t>
        </is>
      </c>
    </row>
    <row r="33537" spans="1:1">
      <c r="A33537" t="inlineStr">
        <is>
          <t>Samon</t>
        </is>
      </c>
    </row>
    <row r="33538" spans="1:1">
      <c r="A33538" t="inlineStr">
        <is>
          <t>San Alejandro</t>
        </is>
      </c>
    </row>
    <row r="33539" spans="1:1">
      <c r="A33539" t="inlineStr">
        <is>
          <t>San Mariano</t>
        </is>
      </c>
    </row>
    <row r="33540" spans="1:1">
      <c r="A33540" t="inlineStr">
        <is>
          <t>San Pablo</t>
        </is>
      </c>
    </row>
    <row r="33541" spans="1:1">
      <c r="A33541" t="inlineStr">
        <is>
          <t>San Patricio</t>
        </is>
      </c>
    </row>
    <row r="33542" spans="1:1">
      <c r="A33542" t="inlineStr">
        <is>
          <t>San Vicente</t>
        </is>
      </c>
    </row>
    <row r="33543" spans="1:1">
      <c r="A33543" t="inlineStr">
        <is>
          <t>Santa Cruz</t>
        </is>
      </c>
    </row>
    <row r="33544" spans="1:1">
      <c r="A33544" t="inlineStr">
        <is>
          <t>Sta. Rosa</t>
        </is>
      </c>
    </row>
    <row r="33545" spans="1:1">
      <c r="A33545" t="inlineStr">
        <is>
          <t>La Luna</t>
        </is>
      </c>
    </row>
    <row r="33546" spans="1:1">
      <c r="A33546" t="inlineStr">
        <is>
          <t>Poblacion East</t>
        </is>
      </c>
    </row>
    <row r="33547" spans="1:1">
      <c r="A33547" t="inlineStr">
        <is>
          <t>Poblacion West</t>
        </is>
      </c>
    </row>
    <row r="33548" spans="1:1">
      <c r="A33548" t="inlineStr">
        <is>
          <t>Salvacion</t>
        </is>
      </c>
    </row>
    <row r="33549" spans="1:1">
      <c r="A33549" t="inlineStr">
        <is>
          <t>San Agustin</t>
        </is>
      </c>
    </row>
    <row r="33550" spans="1:1">
      <c r="A33550" t="inlineStr">
        <is>
          <t>San Antonio</t>
        </is>
      </c>
    </row>
    <row r="33551" spans="1:1">
      <c r="A33551" t="inlineStr">
        <is>
          <t>San Jose</t>
        </is>
      </c>
    </row>
    <row r="33552" spans="1:1">
      <c r="A33552" t="inlineStr">
        <is>
          <t>San Marcos</t>
        </is>
      </c>
    </row>
    <row r="33553" spans="1:1">
      <c r="A33553" t="inlineStr">
        <is>
          <t>Santo Domingo</t>
        </is>
      </c>
    </row>
    <row r="33554" spans="1:1">
      <c r="A33554" t="inlineStr">
        <is>
          <t>Santo Niño</t>
        </is>
      </c>
    </row>
    <row r="33555" spans="1:1">
      <c r="A33555" t="inlineStr">
        <is>
          <t>Agat</t>
        </is>
      </c>
    </row>
    <row r="33556" spans="1:1">
      <c r="A33556" t="inlineStr">
        <is>
          <t>Alibeng</t>
        </is>
      </c>
    </row>
    <row r="33557" spans="1:1">
      <c r="A33557" t="inlineStr">
        <is>
          <t>Amagbagan</t>
        </is>
      </c>
    </row>
    <row r="33558" spans="1:1">
      <c r="A33558" t="inlineStr">
        <is>
          <t>Artacho</t>
        </is>
      </c>
    </row>
    <row r="33559" spans="1:1">
      <c r="A33559" t="inlineStr">
        <is>
          <t>Asan Norte</t>
        </is>
      </c>
    </row>
    <row r="33560" spans="1:1">
      <c r="A33560" t="inlineStr">
        <is>
          <t>Asan Sur</t>
        </is>
      </c>
    </row>
    <row r="33561" spans="1:1">
      <c r="A33561" t="inlineStr">
        <is>
          <t>Bantay Insik</t>
        </is>
      </c>
    </row>
    <row r="33562" spans="1:1">
      <c r="A33562" t="inlineStr">
        <is>
          <t>Bila</t>
        </is>
      </c>
    </row>
    <row r="33563" spans="1:1">
      <c r="A33563" t="inlineStr">
        <is>
          <t>Binmeckeg</t>
        </is>
      </c>
    </row>
    <row r="33564" spans="1:1">
      <c r="A33564" t="inlineStr">
        <is>
          <t>Bulaoen East</t>
        </is>
      </c>
    </row>
    <row r="33565" spans="1:1">
      <c r="A33565" t="inlineStr">
        <is>
          <t>Bulaoen West</t>
        </is>
      </c>
    </row>
    <row r="33566" spans="1:1">
      <c r="A33566" t="inlineStr">
        <is>
          <t>Cabaritan</t>
        </is>
      </c>
    </row>
    <row r="33567" spans="1:1">
      <c r="A33567" t="inlineStr">
        <is>
          <t>Calunetan</t>
        </is>
      </c>
    </row>
    <row r="33568" spans="1:1">
      <c r="A33568" t="inlineStr">
        <is>
          <t>Camangaan</t>
        </is>
      </c>
    </row>
    <row r="33569" spans="1:1">
      <c r="A33569" t="inlineStr">
        <is>
          <t>Cauringan</t>
        </is>
      </c>
    </row>
    <row r="33570" spans="1:1">
      <c r="A33570" t="inlineStr">
        <is>
          <t>Dungon</t>
        </is>
      </c>
    </row>
    <row r="33571" spans="1:1">
      <c r="A33571" t="inlineStr">
        <is>
          <t>Esperanza</t>
        </is>
      </c>
    </row>
    <row r="33572" spans="1:1">
      <c r="A33572" t="inlineStr">
        <is>
          <t>Inmalog</t>
        </is>
      </c>
    </row>
    <row r="33573" spans="1:1">
      <c r="A33573" t="inlineStr">
        <is>
          <t>Killo</t>
        </is>
      </c>
    </row>
    <row r="33574" spans="1:1">
      <c r="A33574" t="inlineStr">
        <is>
          <t>Labayug</t>
        </is>
      </c>
    </row>
    <row r="33575" spans="1:1">
      <c r="A33575" t="inlineStr">
        <is>
          <t>Paldit</t>
        </is>
      </c>
    </row>
    <row r="33576" spans="1:1">
      <c r="A33576" t="inlineStr">
        <is>
          <t>Pindangan</t>
        </is>
      </c>
    </row>
    <row r="33577" spans="1:1">
      <c r="A33577" t="inlineStr">
        <is>
          <t>Pinmilapil</t>
        </is>
      </c>
    </row>
    <row r="33578" spans="1:1">
      <c r="A33578" t="inlineStr">
        <is>
          <t>Poblacion Central</t>
        </is>
      </c>
    </row>
    <row r="33579" spans="1:1">
      <c r="A33579" t="inlineStr">
        <is>
          <t>Poblacion Norte</t>
        </is>
      </c>
    </row>
    <row r="33580" spans="1:1">
      <c r="A33580" t="inlineStr">
        <is>
          <t>Poblacion Sur</t>
        </is>
      </c>
    </row>
    <row r="33581" spans="1:1">
      <c r="A33581" t="inlineStr">
        <is>
          <t>Sagunto</t>
        </is>
      </c>
    </row>
    <row r="33582" spans="1:1">
      <c r="A33582" t="inlineStr">
        <is>
          <t>Tara-tara</t>
        </is>
      </c>
    </row>
    <row r="33583" spans="1:1">
      <c r="A33583" t="inlineStr">
        <is>
          <t>Baquioen</t>
        </is>
      </c>
    </row>
    <row r="33584" spans="1:1">
      <c r="A33584" t="inlineStr">
        <is>
          <t>Baybay Norte</t>
        </is>
      </c>
    </row>
    <row r="33585" spans="1:1">
      <c r="A33585" t="inlineStr">
        <is>
          <t>Baybay Sur</t>
        </is>
      </c>
    </row>
    <row r="33586" spans="1:1">
      <c r="A33586" t="inlineStr">
        <is>
          <t>Bolaoen</t>
        </is>
      </c>
    </row>
    <row r="33587" spans="1:1">
      <c r="A33587" t="inlineStr">
        <is>
          <t>Cabalitian</t>
        </is>
      </c>
    </row>
    <row r="33588" spans="1:1">
      <c r="A33588" t="inlineStr">
        <is>
          <t>Calumbuyan</t>
        </is>
      </c>
    </row>
    <row r="33589" spans="1:1">
      <c r="A33589" t="inlineStr">
        <is>
          <t>Camagsingalan</t>
        </is>
      </c>
    </row>
    <row r="33590" spans="1:1">
      <c r="A33590" t="inlineStr">
        <is>
          <t>Caoayan</t>
        </is>
      </c>
    </row>
    <row r="33591" spans="1:1">
      <c r="A33591" t="inlineStr">
        <is>
          <t>Capantolan</t>
        </is>
      </c>
    </row>
    <row r="33592" spans="1:1">
      <c r="A33592" t="inlineStr">
        <is>
          <t>Macaycayawan</t>
        </is>
      </c>
    </row>
    <row r="33593" spans="1:1">
      <c r="A33593" t="inlineStr">
        <is>
          <t>Paitan East</t>
        </is>
      </c>
    </row>
    <row r="33594" spans="1:1">
      <c r="A33594" t="inlineStr">
        <is>
          <t>Paitan West</t>
        </is>
      </c>
    </row>
    <row r="33595" spans="1:1">
      <c r="A33595" t="inlineStr">
        <is>
          <t>Pangascasan</t>
        </is>
      </c>
    </row>
    <row r="33596" spans="1:1">
      <c r="A33596" t="inlineStr">
        <is>
          <t>Poblacion</t>
        </is>
      </c>
    </row>
    <row r="33597" spans="1:1">
      <c r="A33597" t="inlineStr">
        <is>
          <t>Santo Domingo</t>
        </is>
      </c>
    </row>
    <row r="33598" spans="1:1">
      <c r="A33598" t="inlineStr">
        <is>
          <t>Seselangen</t>
        </is>
      </c>
    </row>
    <row r="33599" spans="1:1">
      <c r="A33599" t="inlineStr">
        <is>
          <t>Sioasio East</t>
        </is>
      </c>
    </row>
    <row r="33600" spans="1:1">
      <c r="A33600" t="inlineStr">
        <is>
          <t>Sioasio West</t>
        </is>
      </c>
    </row>
    <row r="33601" spans="1:1">
      <c r="A33601" t="inlineStr">
        <is>
          <t>Victoria</t>
        </is>
      </c>
    </row>
    <row r="33602" spans="1:1">
      <c r="A33602" t="inlineStr">
        <is>
          <t>Agno</t>
        </is>
      </c>
    </row>
    <row r="33603" spans="1:1">
      <c r="A33603" t="inlineStr">
        <is>
          <t>Amistad</t>
        </is>
      </c>
    </row>
    <row r="33604" spans="1:1">
      <c r="A33604" t="inlineStr">
        <is>
          <t>Barangay A</t>
        </is>
      </c>
    </row>
    <row r="33605" spans="1:1">
      <c r="A33605" t="inlineStr">
        <is>
          <t>Barangay B</t>
        </is>
      </c>
    </row>
    <row r="33606" spans="1:1">
      <c r="A33606" t="inlineStr">
        <is>
          <t>Barangay C</t>
        </is>
      </c>
    </row>
    <row r="33607" spans="1:1">
      <c r="A33607" t="inlineStr">
        <is>
          <t>Barangay D</t>
        </is>
      </c>
    </row>
    <row r="33608" spans="1:1">
      <c r="A33608" t="inlineStr">
        <is>
          <t>Barangobong</t>
        </is>
      </c>
    </row>
    <row r="33609" spans="1:1">
      <c r="A33609" t="inlineStr">
        <is>
          <t>C. Lichauco</t>
        </is>
      </c>
    </row>
    <row r="33610" spans="1:1">
      <c r="A33610" t="inlineStr">
        <is>
          <t>Carriedo</t>
        </is>
      </c>
    </row>
    <row r="33611" spans="1:1">
      <c r="A33611" t="inlineStr">
        <is>
          <t>Evangelista</t>
        </is>
      </c>
    </row>
    <row r="33612" spans="1:1">
      <c r="A33612" t="inlineStr">
        <is>
          <t>Guzon</t>
        </is>
      </c>
    </row>
    <row r="33613" spans="1:1">
      <c r="A33613" t="inlineStr">
        <is>
          <t>Lawak</t>
        </is>
      </c>
    </row>
    <row r="33614" spans="1:1">
      <c r="A33614" t="inlineStr">
        <is>
          <t>Legaspi</t>
        </is>
      </c>
    </row>
    <row r="33615" spans="1:1">
      <c r="A33615" t="inlineStr">
        <is>
          <t>Libertad</t>
        </is>
      </c>
    </row>
    <row r="33616" spans="1:1">
      <c r="A33616" t="inlineStr">
        <is>
          <t>Magallanes</t>
        </is>
      </c>
    </row>
    <row r="33617" spans="1:1">
      <c r="A33617" t="inlineStr">
        <is>
          <t>Panganiban</t>
        </is>
      </c>
    </row>
    <row r="33618" spans="1:1">
      <c r="A33618" t="inlineStr">
        <is>
          <t>Saleng</t>
        </is>
      </c>
    </row>
    <row r="33619" spans="1:1">
      <c r="A33619" t="inlineStr">
        <is>
          <t>Santo Domingo</t>
        </is>
      </c>
    </row>
    <row r="33620" spans="1:1">
      <c r="A33620" t="inlineStr">
        <is>
          <t>Toketec</t>
        </is>
      </c>
    </row>
    <row r="33621" spans="1:1">
      <c r="A33621" t="inlineStr">
        <is>
          <t>Trenchera</t>
        </is>
      </c>
    </row>
    <row r="33622" spans="1:1">
      <c r="A33622" t="inlineStr">
        <is>
          <t>Zamora</t>
        </is>
      </c>
    </row>
    <row r="33623" spans="1:1">
      <c r="A33623" t="inlineStr">
        <is>
          <t>Abot Molina</t>
        </is>
      </c>
    </row>
    <row r="33624" spans="1:1">
      <c r="A33624" t="inlineStr">
        <is>
          <t>Alo-o</t>
        </is>
      </c>
    </row>
    <row r="33625" spans="1:1">
      <c r="A33625" t="inlineStr">
        <is>
          <t>Amaronan</t>
        </is>
      </c>
    </row>
    <row r="33626" spans="1:1">
      <c r="A33626" t="inlineStr">
        <is>
          <t>Annam</t>
        </is>
      </c>
    </row>
    <row r="33627" spans="1:1">
      <c r="A33627" t="inlineStr">
        <is>
          <t>Bantug</t>
        </is>
      </c>
    </row>
    <row r="33628" spans="1:1">
      <c r="A33628" t="inlineStr">
        <is>
          <t>Baracbac</t>
        </is>
      </c>
    </row>
    <row r="33629" spans="1:1">
      <c r="A33629" t="inlineStr">
        <is>
          <t>Barat</t>
        </is>
      </c>
    </row>
    <row r="33630" spans="1:1">
      <c r="A33630" t="inlineStr">
        <is>
          <t>Buenavista</t>
        </is>
      </c>
    </row>
    <row r="33631" spans="1:1">
      <c r="A33631" t="inlineStr">
        <is>
          <t>Cabalitian</t>
        </is>
      </c>
    </row>
    <row r="33632" spans="1:1">
      <c r="A33632" t="inlineStr">
        <is>
          <t>Cabangaran</t>
        </is>
      </c>
    </row>
    <row r="33633" spans="1:1">
      <c r="A33633" t="inlineStr">
        <is>
          <t>Cabaruan</t>
        </is>
      </c>
    </row>
    <row r="33634" spans="1:1">
      <c r="A33634" t="inlineStr">
        <is>
          <t>Cabatuan</t>
        </is>
      </c>
    </row>
    <row r="33635" spans="1:1">
      <c r="A33635" t="inlineStr">
        <is>
          <t>Cadiz</t>
        </is>
      </c>
    </row>
    <row r="33636" spans="1:1">
      <c r="A33636" t="inlineStr">
        <is>
          <t>Calitlitan</t>
        </is>
      </c>
    </row>
    <row r="33637" spans="1:1">
      <c r="A33637" t="inlineStr">
        <is>
          <t>Capas</t>
        </is>
      </c>
    </row>
    <row r="33638" spans="1:1">
      <c r="A33638" t="inlineStr">
        <is>
          <t>Carayungan Sur</t>
        </is>
      </c>
    </row>
    <row r="33639" spans="1:1">
      <c r="A33639" t="inlineStr">
        <is>
          <t>Carosalesan</t>
        </is>
      </c>
    </row>
    <row r="33640" spans="1:1">
      <c r="A33640" t="inlineStr">
        <is>
          <t>Casilan</t>
        </is>
      </c>
    </row>
    <row r="33641" spans="1:1">
      <c r="A33641" t="inlineStr">
        <is>
          <t>Caurdanetaan</t>
        </is>
      </c>
    </row>
    <row r="33642" spans="1:1">
      <c r="A33642" t="inlineStr">
        <is>
          <t>Concepcion</t>
        </is>
      </c>
    </row>
    <row r="33643" spans="1:1">
      <c r="A33643" t="inlineStr">
        <is>
          <t>Decreto</t>
        </is>
      </c>
    </row>
    <row r="33644" spans="1:1">
      <c r="A33644" t="inlineStr">
        <is>
          <t>Del Rosario</t>
        </is>
      </c>
    </row>
    <row r="33645" spans="1:1">
      <c r="A33645" t="inlineStr">
        <is>
          <t>Diaz</t>
        </is>
      </c>
    </row>
    <row r="33646" spans="1:1">
      <c r="A33646" t="inlineStr">
        <is>
          <t>Diket</t>
        </is>
      </c>
    </row>
    <row r="33647" spans="1:1">
      <c r="A33647" t="inlineStr">
        <is>
          <t>Don Justo Abalos</t>
        </is>
      </c>
    </row>
    <row r="33648" spans="1:1">
      <c r="A33648" t="inlineStr">
        <is>
          <t>Don Montano</t>
        </is>
      </c>
    </row>
    <row r="33649" spans="1:1">
      <c r="A33649" t="inlineStr">
        <is>
          <t>Esperanza</t>
        </is>
      </c>
    </row>
    <row r="33650" spans="1:1">
      <c r="A33650" t="inlineStr">
        <is>
          <t>Evangelista</t>
        </is>
      </c>
    </row>
    <row r="33651" spans="1:1">
      <c r="A33651" t="inlineStr">
        <is>
          <t>Flores</t>
        </is>
      </c>
    </row>
    <row r="33652" spans="1:1">
      <c r="A33652" t="inlineStr">
        <is>
          <t>Fulgosino</t>
        </is>
      </c>
    </row>
    <row r="33653" spans="1:1">
      <c r="A33653" t="inlineStr">
        <is>
          <t>Gonzales</t>
        </is>
      </c>
    </row>
    <row r="33654" spans="1:1">
      <c r="A33654" t="inlineStr">
        <is>
          <t>La Paz</t>
        </is>
      </c>
    </row>
    <row r="33655" spans="1:1">
      <c r="A33655" t="inlineStr">
        <is>
          <t>Labuan</t>
        </is>
      </c>
    </row>
    <row r="33656" spans="1:1">
      <c r="A33656" t="inlineStr">
        <is>
          <t>Lauren</t>
        </is>
      </c>
    </row>
    <row r="33657" spans="1:1">
      <c r="A33657" t="inlineStr">
        <is>
          <t>Lubong</t>
        </is>
      </c>
    </row>
    <row r="33658" spans="1:1">
      <c r="A33658" t="inlineStr">
        <is>
          <t>Luna Este</t>
        </is>
      </c>
    </row>
    <row r="33659" spans="1:1">
      <c r="A33659" t="inlineStr">
        <is>
          <t>Luna Weste</t>
        </is>
      </c>
    </row>
    <row r="33660" spans="1:1">
      <c r="A33660" t="inlineStr">
        <is>
          <t>Mantacdang</t>
        </is>
      </c>
    </row>
    <row r="33661" spans="1:1">
      <c r="A33661" t="inlineStr">
        <is>
          <t>Maseil-seil</t>
        </is>
      </c>
    </row>
    <row r="33662" spans="1:1">
      <c r="A33662" t="inlineStr">
        <is>
          <t>Nampalcan</t>
        </is>
      </c>
    </row>
    <row r="33663" spans="1:1">
      <c r="A33663" t="inlineStr">
        <is>
          <t>Nancalabasaan</t>
        </is>
      </c>
    </row>
    <row r="33664" spans="1:1">
      <c r="A33664" t="inlineStr">
        <is>
          <t>Pangangaan</t>
        </is>
      </c>
    </row>
    <row r="33665" spans="1:1">
      <c r="A33665" t="inlineStr">
        <is>
          <t>Papallasen</t>
        </is>
      </c>
    </row>
    <row r="33666" spans="1:1">
      <c r="A33666" t="inlineStr">
        <is>
          <t>Pemienta</t>
        </is>
      </c>
    </row>
    <row r="33667" spans="1:1">
      <c r="A33667" t="inlineStr">
        <is>
          <t>Poblacion East</t>
        </is>
      </c>
    </row>
    <row r="33668" spans="1:1">
      <c r="A33668" t="inlineStr">
        <is>
          <t>Poblacion West</t>
        </is>
      </c>
    </row>
    <row r="33669" spans="1:1">
      <c r="A33669" t="inlineStr">
        <is>
          <t>Prado</t>
        </is>
      </c>
    </row>
    <row r="33670" spans="1:1">
      <c r="A33670" t="inlineStr">
        <is>
          <t>Resurreccion</t>
        </is>
      </c>
    </row>
    <row r="33671" spans="1:1">
      <c r="A33671" t="inlineStr">
        <is>
          <t>Ricos</t>
        </is>
      </c>
    </row>
    <row r="33672" spans="1:1">
      <c r="A33672" t="inlineStr">
        <is>
          <t>San Andres</t>
        </is>
      </c>
    </row>
    <row r="33673" spans="1:1">
      <c r="A33673" t="inlineStr">
        <is>
          <t>San Juan</t>
        </is>
      </c>
    </row>
    <row r="33674" spans="1:1">
      <c r="A33674" t="inlineStr">
        <is>
          <t>San Leon</t>
        </is>
      </c>
    </row>
    <row r="33675" spans="1:1">
      <c r="A33675" t="inlineStr">
        <is>
          <t>San Pablo</t>
        </is>
      </c>
    </row>
    <row r="33676" spans="1:1">
      <c r="A33676" t="inlineStr">
        <is>
          <t>San Vicente</t>
        </is>
      </c>
    </row>
    <row r="33677" spans="1:1">
      <c r="A33677" t="inlineStr">
        <is>
          <t>Santa Maria</t>
        </is>
      </c>
    </row>
    <row r="33678" spans="1:1">
      <c r="A33678" t="inlineStr">
        <is>
          <t>Santa Rosa</t>
        </is>
      </c>
    </row>
    <row r="33679" spans="1:1">
      <c r="A33679" t="inlineStr">
        <is>
          <t>Sinabaan</t>
        </is>
      </c>
    </row>
    <row r="33680" spans="1:1">
      <c r="A33680" t="inlineStr">
        <is>
          <t>Tanggal Sawang</t>
        </is>
      </c>
    </row>
    <row r="33681" spans="1:1">
      <c r="A33681" t="inlineStr">
        <is>
          <t>Angatel</t>
        </is>
      </c>
    </row>
    <row r="33682" spans="1:1">
      <c r="A33682" t="inlineStr">
        <is>
          <t>Balangay</t>
        </is>
      </c>
    </row>
    <row r="33683" spans="1:1">
      <c r="A33683" t="inlineStr">
        <is>
          <t>Batancaoa</t>
        </is>
      </c>
    </row>
    <row r="33684" spans="1:1">
      <c r="A33684" t="inlineStr">
        <is>
          <t>Baug</t>
        </is>
      </c>
    </row>
    <row r="33685" spans="1:1">
      <c r="A33685" t="inlineStr">
        <is>
          <t>Bayaoas</t>
        </is>
      </c>
    </row>
    <row r="33686" spans="1:1">
      <c r="A33686" t="inlineStr">
        <is>
          <t>Bituag</t>
        </is>
      </c>
    </row>
    <row r="33687" spans="1:1">
      <c r="A33687" t="inlineStr">
        <is>
          <t>Camambugan</t>
        </is>
      </c>
    </row>
    <row r="33688" spans="1:1">
      <c r="A33688" t="inlineStr">
        <is>
          <t>Dalanguiring</t>
        </is>
      </c>
    </row>
    <row r="33689" spans="1:1">
      <c r="A33689" t="inlineStr">
        <is>
          <t>Duplac</t>
        </is>
      </c>
    </row>
    <row r="33690" spans="1:1">
      <c r="A33690" t="inlineStr">
        <is>
          <t>Galarin</t>
        </is>
      </c>
    </row>
    <row r="33691" spans="1:1">
      <c r="A33691" t="inlineStr">
        <is>
          <t>Gueteb</t>
        </is>
      </c>
    </row>
    <row r="33692" spans="1:1">
      <c r="A33692" t="inlineStr">
        <is>
          <t>Malaca</t>
        </is>
      </c>
    </row>
    <row r="33693" spans="1:1">
      <c r="A33693" t="inlineStr">
        <is>
          <t>Malayo</t>
        </is>
      </c>
    </row>
    <row r="33694" spans="1:1">
      <c r="A33694" t="inlineStr">
        <is>
          <t>Malibong</t>
        </is>
      </c>
    </row>
    <row r="33695" spans="1:1">
      <c r="A33695" t="inlineStr">
        <is>
          <t>Pasibi East</t>
        </is>
      </c>
    </row>
    <row r="33696" spans="1:1">
      <c r="A33696" t="inlineStr">
        <is>
          <t>Pasibi West</t>
        </is>
      </c>
    </row>
    <row r="33697" spans="1:1">
      <c r="A33697" t="inlineStr">
        <is>
          <t>Pisuac</t>
        </is>
      </c>
    </row>
    <row r="33698" spans="1:1">
      <c r="A33698" t="inlineStr">
        <is>
          <t>Poblacion</t>
        </is>
      </c>
    </row>
    <row r="33699" spans="1:1">
      <c r="A33699" t="inlineStr">
        <is>
          <t>Real</t>
        </is>
      </c>
    </row>
    <row r="33700" spans="1:1">
      <c r="A33700" t="inlineStr">
        <is>
          <t>Salavante</t>
        </is>
      </c>
    </row>
    <row r="33701" spans="1:1">
      <c r="A33701" t="inlineStr">
        <is>
          <t>Sawat</t>
        </is>
      </c>
    </row>
    <row r="33702" spans="1:1">
      <c r="A33702" t="inlineStr">
        <is>
          <t>Amamperez</t>
        </is>
      </c>
    </row>
    <row r="33703" spans="1:1">
      <c r="A33703" t="inlineStr">
        <is>
          <t>Bacag</t>
        </is>
      </c>
    </row>
    <row r="33704" spans="1:1">
      <c r="A33704" t="inlineStr">
        <is>
          <t>Barangobong</t>
        </is>
      </c>
    </row>
    <row r="33705" spans="1:1">
      <c r="A33705" t="inlineStr">
        <is>
          <t>Barraca</t>
        </is>
      </c>
    </row>
    <row r="33706" spans="1:1">
      <c r="A33706" t="inlineStr">
        <is>
          <t>Capulaan</t>
        </is>
      </c>
    </row>
    <row r="33707" spans="1:1">
      <c r="A33707" t="inlineStr">
        <is>
          <t>Caramutan</t>
        </is>
      </c>
    </row>
    <row r="33708" spans="1:1">
      <c r="A33708" t="inlineStr">
        <is>
          <t>La Paz</t>
        </is>
      </c>
    </row>
    <row r="33709" spans="1:1">
      <c r="A33709" t="inlineStr">
        <is>
          <t>Labit</t>
        </is>
      </c>
    </row>
    <row r="33710" spans="1:1">
      <c r="A33710" t="inlineStr">
        <is>
          <t>Lipay</t>
        </is>
      </c>
    </row>
    <row r="33711" spans="1:1">
      <c r="A33711" t="inlineStr">
        <is>
          <t>Lomboy</t>
        </is>
      </c>
    </row>
    <row r="33712" spans="1:1">
      <c r="A33712" t="inlineStr">
        <is>
          <t>Piaz</t>
        </is>
      </c>
    </row>
    <row r="33713" spans="1:1">
      <c r="A33713" t="inlineStr">
        <is>
          <t>Puelay</t>
        </is>
      </c>
    </row>
    <row r="33714" spans="1:1">
      <c r="A33714" t="inlineStr">
        <is>
          <t>San Blas</t>
        </is>
      </c>
    </row>
    <row r="33715" spans="1:1">
      <c r="A33715" t="inlineStr">
        <is>
          <t>San Nicolas</t>
        </is>
      </c>
    </row>
    <row r="33716" spans="1:1">
      <c r="A33716" t="inlineStr">
        <is>
          <t>Tombod</t>
        </is>
      </c>
    </row>
    <row r="33717" spans="1:1">
      <c r="A33717" t="inlineStr">
        <is>
          <t>Unzad</t>
        </is>
      </c>
    </row>
    <row r="33718" spans="1:1">
      <c r="A33718" t="inlineStr">
        <is>
          <t>Zone I</t>
        </is>
      </c>
    </row>
    <row r="33719" spans="1:1">
      <c r="A33719" t="inlineStr">
        <is>
          <t>Zone II</t>
        </is>
      </c>
    </row>
    <row r="33720" spans="1:1">
      <c r="A33720" t="inlineStr">
        <is>
          <t>Zone III</t>
        </is>
      </c>
    </row>
    <row r="33721" spans="1:1">
      <c r="A33721" t="inlineStr">
        <is>
          <t>Zone IV</t>
        </is>
      </c>
    </row>
    <row r="33722" spans="1:1">
      <c r="A33722" t="inlineStr">
        <is>
          <t>Zone V</t>
        </is>
      </c>
    </row>
    <row r="33723" spans="1:1">
      <c r="A33723" t="inlineStr">
        <is>
          <t>Binagbag</t>
        </is>
      </c>
    </row>
    <row r="33724" spans="1:1">
      <c r="A33724" t="inlineStr">
        <is>
          <t>Dayap</t>
        </is>
      </c>
    </row>
    <row r="33725" spans="1:1">
      <c r="A33725" t="inlineStr">
        <is>
          <t>Ibabang Kinagunan</t>
        </is>
      </c>
    </row>
    <row r="33726" spans="1:1">
      <c r="A33726" t="inlineStr">
        <is>
          <t>Ilayang Kinagunan</t>
        </is>
      </c>
    </row>
    <row r="33727" spans="1:1">
      <c r="A33727" t="inlineStr">
        <is>
          <t>Kanlurang Calutan</t>
        </is>
      </c>
    </row>
    <row r="33728" spans="1:1">
      <c r="A33728" t="inlineStr">
        <is>
          <t>Kanlurang Maligaya</t>
        </is>
      </c>
    </row>
    <row r="33729" spans="1:1">
      <c r="A33729" t="inlineStr">
        <is>
          <t>Poblacion I</t>
        </is>
      </c>
    </row>
    <row r="33730" spans="1:1">
      <c r="A33730" t="inlineStr">
        <is>
          <t>Poblacion II</t>
        </is>
      </c>
    </row>
    <row r="33731" spans="1:1">
      <c r="A33731" t="inlineStr">
        <is>
          <t>Salvacion</t>
        </is>
      </c>
    </row>
    <row r="33732" spans="1:1">
      <c r="A33732" t="inlineStr">
        <is>
          <t>Silangang Calutan</t>
        </is>
      </c>
    </row>
    <row r="33733" spans="1:1">
      <c r="A33733" t="inlineStr">
        <is>
          <t>Silangang Maligaya</t>
        </is>
      </c>
    </row>
    <row r="33734" spans="1:1">
      <c r="A33734" t="inlineStr">
        <is>
          <t>Sildora</t>
        </is>
      </c>
    </row>
    <row r="33735" spans="1:1">
      <c r="A33735" t="inlineStr">
        <is>
          <t>Angeles</t>
        </is>
      </c>
    </row>
    <row r="33736" spans="1:1">
      <c r="A33736" t="inlineStr">
        <is>
          <t>Bacong</t>
        </is>
      </c>
    </row>
    <row r="33737" spans="1:1">
      <c r="A33737" t="inlineStr">
        <is>
          <t>Balungay</t>
        </is>
      </c>
    </row>
    <row r="33738" spans="1:1">
      <c r="A33738" t="inlineStr">
        <is>
          <t>Barangay 1</t>
        </is>
      </c>
    </row>
    <row r="33739" spans="1:1">
      <c r="A33739" t="inlineStr">
        <is>
          <t>Barangay 2</t>
        </is>
      </c>
    </row>
    <row r="33740" spans="1:1">
      <c r="A33740" t="inlineStr">
        <is>
          <t>Barangay 3</t>
        </is>
      </c>
    </row>
    <row r="33741" spans="1:1">
      <c r="A33741" t="inlineStr">
        <is>
          <t>Barangay 4</t>
        </is>
      </c>
    </row>
    <row r="33742" spans="1:1">
      <c r="A33742" t="inlineStr">
        <is>
          <t>Barangay 5</t>
        </is>
      </c>
    </row>
    <row r="33743" spans="1:1">
      <c r="A33743" t="inlineStr">
        <is>
          <t>Buenavista</t>
        </is>
      </c>
    </row>
    <row r="33744" spans="1:1">
      <c r="A33744" t="inlineStr">
        <is>
          <t>Caglate</t>
        </is>
      </c>
    </row>
    <row r="33745" spans="1:1">
      <c r="A33745" t="inlineStr">
        <is>
          <t>Camagong</t>
        </is>
      </c>
    </row>
    <row r="33746" spans="1:1">
      <c r="A33746" t="inlineStr">
        <is>
          <t>Gordon</t>
        </is>
      </c>
    </row>
    <row r="33747" spans="1:1">
      <c r="A33747" t="inlineStr">
        <is>
          <t>Pambilan Norte</t>
        </is>
      </c>
    </row>
    <row r="33748" spans="1:1">
      <c r="A33748" t="inlineStr">
        <is>
          <t>Pambilan Sur</t>
        </is>
      </c>
    </row>
    <row r="33749" spans="1:1">
      <c r="A33749" t="inlineStr">
        <is>
          <t>Villa Esperanza</t>
        </is>
      </c>
    </row>
    <row r="33750" spans="1:1">
      <c r="A33750" t="inlineStr">
        <is>
          <t>Villa Jesus Este</t>
        </is>
      </c>
    </row>
    <row r="33751" spans="1:1">
      <c r="A33751" t="inlineStr">
        <is>
          <t>Villa Jesus Weste</t>
        </is>
      </c>
    </row>
    <row r="33752" spans="1:1">
      <c r="A33752" t="inlineStr">
        <is>
          <t>Villa Norte</t>
        </is>
      </c>
    </row>
    <row r="33753" spans="1:1">
      <c r="A33753" t="inlineStr">
        <is>
          <t>Villa Victoria</t>
        </is>
      </c>
    </row>
    <row r="33754" spans="1:1">
      <c r="A33754" t="inlineStr">
        <is>
          <t>Angeles</t>
        </is>
      </c>
    </row>
    <row r="33755" spans="1:1">
      <c r="A33755" t="inlineStr">
        <is>
          <t>Balubad</t>
        </is>
      </c>
    </row>
    <row r="33756" spans="1:1">
      <c r="A33756" t="inlineStr">
        <is>
          <t>Balugohin</t>
        </is>
      </c>
    </row>
    <row r="33757" spans="1:1">
      <c r="A33757" t="inlineStr">
        <is>
          <t>Barangay Zone 1</t>
        </is>
      </c>
    </row>
    <row r="33758" spans="1:1">
      <c r="A33758" t="inlineStr">
        <is>
          <t>Barangay Zone 2</t>
        </is>
      </c>
    </row>
    <row r="33759" spans="1:1">
      <c r="A33759" t="inlineStr">
        <is>
          <t>Barangay Zone 3</t>
        </is>
      </c>
    </row>
    <row r="33760" spans="1:1">
      <c r="A33760" t="inlineStr">
        <is>
          <t>Barangay Zone 4</t>
        </is>
      </c>
    </row>
    <row r="33761" spans="1:1">
      <c r="A33761" t="inlineStr">
        <is>
          <t>Buhangin</t>
        </is>
      </c>
    </row>
    <row r="33762" spans="1:1">
      <c r="A33762" t="inlineStr">
        <is>
          <t>Caridad Ibaba</t>
        </is>
      </c>
    </row>
    <row r="33763" spans="1:1">
      <c r="A33763" t="inlineStr">
        <is>
          <t>Caridad Ilaya</t>
        </is>
      </c>
    </row>
    <row r="33764" spans="1:1">
      <c r="A33764" t="inlineStr">
        <is>
          <t>Habingan</t>
        </is>
      </c>
    </row>
    <row r="33765" spans="1:1">
      <c r="A33765" t="inlineStr">
        <is>
          <t>Inaclagan</t>
        </is>
      </c>
    </row>
    <row r="33766" spans="1:1">
      <c r="A33766" t="inlineStr">
        <is>
          <t>Inalig</t>
        </is>
      </c>
    </row>
    <row r="33767" spans="1:1">
      <c r="A33767" t="inlineStr">
        <is>
          <t>Kilait</t>
        </is>
      </c>
    </row>
    <row r="33768" spans="1:1">
      <c r="A33768" t="inlineStr">
        <is>
          <t>Kulawit</t>
        </is>
      </c>
    </row>
    <row r="33769" spans="1:1">
      <c r="A33769" t="inlineStr">
        <is>
          <t>Lakip</t>
        </is>
      </c>
    </row>
    <row r="33770" spans="1:1">
      <c r="A33770" t="inlineStr">
        <is>
          <t>Lubi</t>
        </is>
      </c>
    </row>
    <row r="33771" spans="1:1">
      <c r="A33771" t="inlineStr">
        <is>
          <t>Lumutan</t>
        </is>
      </c>
    </row>
    <row r="33772" spans="1:1">
      <c r="A33772" t="inlineStr">
        <is>
          <t>Magsaysay</t>
        </is>
      </c>
    </row>
    <row r="33773" spans="1:1">
      <c r="A33773" t="inlineStr">
        <is>
          <t>Malinao Ibaba</t>
        </is>
      </c>
    </row>
    <row r="33774" spans="1:1">
      <c r="A33774" t="inlineStr">
        <is>
          <t>Malinao Ilaya</t>
        </is>
      </c>
    </row>
    <row r="33775" spans="1:1">
      <c r="A33775" t="inlineStr">
        <is>
          <t>Malusak</t>
        </is>
      </c>
    </row>
    <row r="33776" spans="1:1">
      <c r="A33776" t="inlineStr">
        <is>
          <t>Manggalayan Bundok</t>
        </is>
      </c>
    </row>
    <row r="33777" spans="1:1">
      <c r="A33777" t="inlineStr">
        <is>
          <t>Manggalayan Labak</t>
        </is>
      </c>
    </row>
    <row r="33778" spans="1:1">
      <c r="A33778" t="inlineStr">
        <is>
          <t>Matanag</t>
        </is>
      </c>
    </row>
    <row r="33779" spans="1:1">
      <c r="A33779" t="inlineStr">
        <is>
          <t>Montes Balaon</t>
        </is>
      </c>
    </row>
    <row r="33780" spans="1:1">
      <c r="A33780" t="inlineStr">
        <is>
          <t>Montes Kallagan</t>
        </is>
      </c>
    </row>
    <row r="33781" spans="1:1">
      <c r="A33781" t="inlineStr">
        <is>
          <t>Ponon</t>
        </is>
      </c>
    </row>
    <row r="33782" spans="1:1">
      <c r="A33782" t="inlineStr">
        <is>
          <t>Rizal</t>
        </is>
      </c>
    </row>
    <row r="33783" spans="1:1">
      <c r="A33783" t="inlineStr">
        <is>
          <t>San Andres Bundok</t>
        </is>
      </c>
    </row>
    <row r="33784" spans="1:1">
      <c r="A33784" t="inlineStr">
        <is>
          <t>San Andres Labak</t>
        </is>
      </c>
    </row>
    <row r="33785" spans="1:1">
      <c r="A33785" t="inlineStr">
        <is>
          <t>San Isidro</t>
        </is>
      </c>
    </row>
    <row r="33786" spans="1:1">
      <c r="A33786" t="inlineStr">
        <is>
          <t>San Jose Balatok</t>
        </is>
      </c>
    </row>
    <row r="33787" spans="1:1">
      <c r="A33787" t="inlineStr">
        <is>
          <t>San Rafael</t>
        </is>
      </c>
    </row>
    <row r="33788" spans="1:1">
      <c r="A33788" t="inlineStr">
        <is>
          <t>Santa Catalina</t>
        </is>
      </c>
    </row>
    <row r="33789" spans="1:1">
      <c r="A33789" t="inlineStr">
        <is>
          <t>Sapaan</t>
        </is>
      </c>
    </row>
    <row r="33790" spans="1:1">
      <c r="A33790" t="inlineStr">
        <is>
          <t>Sokol</t>
        </is>
      </c>
    </row>
    <row r="33791" spans="1:1">
      <c r="A33791" t="inlineStr">
        <is>
          <t>Tagbakin</t>
        </is>
      </c>
    </row>
    <row r="33792" spans="1:1">
      <c r="A33792" t="inlineStr">
        <is>
          <t>Talaba</t>
        </is>
      </c>
    </row>
    <row r="33793" spans="1:1">
      <c r="A33793" t="inlineStr">
        <is>
          <t>Tinandog</t>
        </is>
      </c>
    </row>
    <row r="33794" spans="1:1">
      <c r="A33794" t="inlineStr">
        <is>
          <t>Villa Ibaba</t>
        </is>
      </c>
    </row>
    <row r="33795" spans="1:1">
      <c r="A33795" t="inlineStr">
        <is>
          <t>Villa Ilaya</t>
        </is>
      </c>
    </row>
    <row r="33796" spans="1:1">
      <c r="A33796" t="inlineStr">
        <is>
          <t>Bagong Silang</t>
        </is>
      </c>
    </row>
    <row r="33797" spans="1:1">
      <c r="A33797" t="inlineStr">
        <is>
          <t>Batabat Norte</t>
        </is>
      </c>
    </row>
    <row r="33798" spans="1:1">
      <c r="A33798" t="inlineStr">
        <is>
          <t>Batabat Sur</t>
        </is>
      </c>
    </row>
    <row r="33799" spans="1:1">
      <c r="A33799" t="inlineStr">
        <is>
          <t>Buenavista</t>
        </is>
      </c>
    </row>
    <row r="33800" spans="1:1">
      <c r="A33800" t="inlineStr">
        <is>
          <t>Bukal</t>
        </is>
      </c>
    </row>
    <row r="33801" spans="1:1">
      <c r="A33801" t="inlineStr">
        <is>
          <t>Bulo</t>
        </is>
      </c>
    </row>
    <row r="33802" spans="1:1">
      <c r="A33802" t="inlineStr">
        <is>
          <t>Cabong</t>
        </is>
      </c>
    </row>
    <row r="33803" spans="1:1">
      <c r="A33803" t="inlineStr">
        <is>
          <t>Cadlit</t>
        </is>
      </c>
    </row>
    <row r="33804" spans="1:1">
      <c r="A33804" t="inlineStr">
        <is>
          <t>Catulin</t>
        </is>
      </c>
    </row>
    <row r="33805" spans="1:1">
      <c r="A33805" t="inlineStr">
        <is>
          <t>Cawa</t>
        </is>
      </c>
    </row>
    <row r="33806" spans="1:1">
      <c r="A33806" t="inlineStr">
        <is>
          <t>De La Paz</t>
        </is>
      </c>
    </row>
    <row r="33807" spans="1:1">
      <c r="A33807" t="inlineStr">
        <is>
          <t>Del Rosario</t>
        </is>
      </c>
    </row>
    <row r="33808" spans="1:1">
      <c r="A33808" t="inlineStr">
        <is>
          <t>Hagonghong</t>
        </is>
      </c>
    </row>
    <row r="33809" spans="1:1">
      <c r="A33809" t="inlineStr">
        <is>
          <t>Ibabang Wasay</t>
        </is>
      </c>
    </row>
    <row r="33810" spans="1:1">
      <c r="A33810" t="inlineStr">
        <is>
          <t>Ilayang Wasay</t>
        </is>
      </c>
    </row>
    <row r="33811" spans="1:1">
      <c r="A33811" t="inlineStr">
        <is>
          <t>Lilukin</t>
        </is>
      </c>
    </row>
    <row r="33812" spans="1:1">
      <c r="A33812" t="inlineStr">
        <is>
          <t>Mabini</t>
        </is>
      </c>
    </row>
    <row r="33813" spans="1:1">
      <c r="A33813" t="inlineStr">
        <is>
          <t>Mabutag</t>
        </is>
      </c>
    </row>
    <row r="33814" spans="1:1">
      <c r="A33814" t="inlineStr">
        <is>
          <t>Magallanes</t>
        </is>
      </c>
    </row>
    <row r="33815" spans="1:1">
      <c r="A33815" t="inlineStr">
        <is>
          <t>Maligaya</t>
        </is>
      </c>
    </row>
    <row r="33816" spans="1:1">
      <c r="A33816" t="inlineStr">
        <is>
          <t>Manlana</t>
        </is>
      </c>
    </row>
    <row r="33817" spans="1:1">
      <c r="A33817" t="inlineStr">
        <is>
          <t>Masaya</t>
        </is>
      </c>
    </row>
    <row r="33818" spans="1:1">
      <c r="A33818" t="inlineStr">
        <is>
          <t>Poblacion</t>
        </is>
      </c>
    </row>
    <row r="33819" spans="1:1">
      <c r="A33819" t="inlineStr">
        <is>
          <t>Rizal</t>
        </is>
      </c>
    </row>
    <row r="33820" spans="1:1">
      <c r="A33820" t="inlineStr">
        <is>
          <t>Sabang Pinamasagan</t>
        </is>
      </c>
    </row>
    <row r="33821" spans="1:1">
      <c r="A33821" t="inlineStr">
        <is>
          <t>Sabang Piris</t>
        </is>
      </c>
    </row>
    <row r="33822" spans="1:1">
      <c r="A33822" t="inlineStr">
        <is>
          <t>San Diego</t>
        </is>
      </c>
    </row>
    <row r="33823" spans="1:1">
      <c r="A33823" t="inlineStr">
        <is>
          <t>San Isidro Ibaba</t>
        </is>
      </c>
    </row>
    <row r="33824" spans="1:1">
      <c r="A33824" t="inlineStr">
        <is>
          <t>San Isidro Ilaya</t>
        </is>
      </c>
    </row>
    <row r="33825" spans="1:1">
      <c r="A33825" t="inlineStr">
        <is>
          <t>San Pablo</t>
        </is>
      </c>
    </row>
    <row r="33826" spans="1:1">
      <c r="A33826" t="inlineStr">
        <is>
          <t>San Pedro</t>
        </is>
      </c>
    </row>
    <row r="33827" spans="1:1">
      <c r="A33827" t="inlineStr">
        <is>
          <t>San Vicente</t>
        </is>
      </c>
    </row>
    <row r="33828" spans="1:1">
      <c r="A33828" t="inlineStr">
        <is>
          <t>Siain</t>
        </is>
      </c>
    </row>
    <row r="33829" spans="1:1">
      <c r="A33829" t="inlineStr">
        <is>
          <t>Villa Aurora</t>
        </is>
      </c>
    </row>
    <row r="33830" spans="1:1">
      <c r="A33830" t="inlineStr">
        <is>
          <t>Villa Batabat</t>
        </is>
      </c>
    </row>
    <row r="33831" spans="1:1">
      <c r="A33831" t="inlineStr">
        <is>
          <t>Villa Magsaysay</t>
        </is>
      </c>
    </row>
    <row r="33832" spans="1:1">
      <c r="A33832" t="inlineStr">
        <is>
          <t>Villa Veronica</t>
        </is>
      </c>
    </row>
    <row r="33833" spans="1:1">
      <c r="A33833" t="inlineStr">
        <is>
          <t>Aluyon</t>
        </is>
      </c>
    </row>
    <row r="33834" spans="1:1">
      <c r="A33834" t="inlineStr">
        <is>
          <t>Amot</t>
        </is>
      </c>
    </row>
    <row r="33835" spans="1:1">
      <c r="A33835" t="inlineStr">
        <is>
          <t>Anibawan</t>
        </is>
      </c>
    </row>
    <row r="33836" spans="1:1">
      <c r="A33836" t="inlineStr">
        <is>
          <t>Bonifacio</t>
        </is>
      </c>
    </row>
    <row r="33837" spans="1:1">
      <c r="A33837" t="inlineStr">
        <is>
          <t>Cabugao</t>
        </is>
      </c>
    </row>
    <row r="33838" spans="1:1">
      <c r="A33838" t="inlineStr">
        <is>
          <t>Cabungalunan</t>
        </is>
      </c>
    </row>
    <row r="33839" spans="1:1">
      <c r="A33839" t="inlineStr">
        <is>
          <t>Calutcot</t>
        </is>
      </c>
    </row>
    <row r="33840" spans="1:1">
      <c r="A33840" t="inlineStr">
        <is>
          <t>Caniwan</t>
        </is>
      </c>
    </row>
    <row r="33841" spans="1:1">
      <c r="A33841" t="inlineStr">
        <is>
          <t>Carlagan</t>
        </is>
      </c>
    </row>
    <row r="33842" spans="1:1">
      <c r="A33842" t="inlineStr">
        <is>
          <t>Mabini</t>
        </is>
      </c>
    </row>
    <row r="33843" spans="1:1">
      <c r="A33843" t="inlineStr">
        <is>
          <t>Palasan</t>
        </is>
      </c>
    </row>
    <row r="33844" spans="1:1">
      <c r="A33844" t="inlineStr">
        <is>
          <t>Poblacion</t>
        </is>
      </c>
    </row>
    <row r="33845" spans="1:1">
      <c r="A33845" t="inlineStr">
        <is>
          <t>San Rafael</t>
        </is>
      </c>
    </row>
    <row r="33846" spans="1:1">
      <c r="A33846" t="inlineStr">
        <is>
          <t>Agoho</t>
        </is>
      </c>
    </row>
    <row r="33847" spans="1:1">
      <c r="A33847" t="inlineStr">
        <is>
          <t>Anahawan</t>
        </is>
      </c>
    </row>
    <row r="33848" spans="1:1">
      <c r="A33848" t="inlineStr">
        <is>
          <t>Anas</t>
        </is>
      </c>
    </row>
    <row r="33849" spans="1:1">
      <c r="A33849" t="inlineStr">
        <is>
          <t>Apad Lutao</t>
        </is>
      </c>
    </row>
    <row r="33850" spans="1:1">
      <c r="A33850" t="inlineStr">
        <is>
          <t>Apad Quezon</t>
        </is>
      </c>
    </row>
    <row r="33851" spans="1:1">
      <c r="A33851" t="inlineStr">
        <is>
          <t>Apad Taisan</t>
        </is>
      </c>
    </row>
    <row r="33852" spans="1:1">
      <c r="A33852" t="inlineStr">
        <is>
          <t>Atulayan</t>
        </is>
      </c>
    </row>
    <row r="33853" spans="1:1">
      <c r="A33853" t="inlineStr">
        <is>
          <t>Baclaran</t>
        </is>
      </c>
    </row>
    <row r="33854" spans="1:1">
      <c r="A33854" t="inlineStr">
        <is>
          <t>Bagong Silang</t>
        </is>
      </c>
    </row>
    <row r="33855" spans="1:1">
      <c r="A33855" t="inlineStr">
        <is>
          <t>Balibago</t>
        </is>
      </c>
    </row>
    <row r="33856" spans="1:1">
      <c r="A33856" t="inlineStr">
        <is>
          <t>Bangkuruhan</t>
        </is>
      </c>
    </row>
    <row r="33857" spans="1:1">
      <c r="A33857" t="inlineStr">
        <is>
          <t>Bantolinao</t>
        </is>
      </c>
    </row>
    <row r="33858" spans="1:1">
      <c r="A33858" t="inlineStr">
        <is>
          <t>Barangay I</t>
        </is>
      </c>
    </row>
    <row r="33859" spans="1:1">
      <c r="A33859" t="inlineStr">
        <is>
          <t>Barangay II</t>
        </is>
      </c>
    </row>
    <row r="33860" spans="1:1">
      <c r="A33860" t="inlineStr">
        <is>
          <t>Barangay III</t>
        </is>
      </c>
    </row>
    <row r="33861" spans="1:1">
      <c r="A33861" t="inlineStr">
        <is>
          <t>Barangay IV</t>
        </is>
      </c>
    </row>
    <row r="33862" spans="1:1">
      <c r="A33862" t="inlineStr">
        <is>
          <t>Barangay V</t>
        </is>
      </c>
    </row>
    <row r="33863" spans="1:1">
      <c r="A33863" t="inlineStr">
        <is>
          <t>Bigaan</t>
        </is>
      </c>
    </row>
    <row r="33864" spans="1:1">
      <c r="A33864" t="inlineStr">
        <is>
          <t>Binutas</t>
        </is>
      </c>
    </row>
    <row r="33865" spans="1:1">
      <c r="A33865" t="inlineStr">
        <is>
          <t>Biyan</t>
        </is>
      </c>
    </row>
    <row r="33866" spans="1:1">
      <c r="A33866" t="inlineStr">
        <is>
          <t>Bukal</t>
        </is>
      </c>
    </row>
    <row r="33867" spans="1:1">
      <c r="A33867" t="inlineStr">
        <is>
          <t>Buli</t>
        </is>
      </c>
    </row>
    <row r="33868" spans="1:1">
      <c r="A33868" t="inlineStr">
        <is>
          <t>Dapdap</t>
        </is>
      </c>
    </row>
    <row r="33869" spans="1:1">
      <c r="A33869" t="inlineStr">
        <is>
          <t>Dominlog</t>
        </is>
      </c>
    </row>
    <row r="33870" spans="1:1">
      <c r="A33870" t="inlineStr">
        <is>
          <t>Doña Aurora</t>
        </is>
      </c>
    </row>
    <row r="33871" spans="1:1">
      <c r="A33871" t="inlineStr">
        <is>
          <t>Guinosayan</t>
        </is>
      </c>
    </row>
    <row r="33872" spans="1:1">
      <c r="A33872" t="inlineStr">
        <is>
          <t>Ipil</t>
        </is>
      </c>
    </row>
    <row r="33873" spans="1:1">
      <c r="A33873" t="inlineStr">
        <is>
          <t>Kalibo</t>
        </is>
      </c>
    </row>
    <row r="33874" spans="1:1">
      <c r="A33874" t="inlineStr">
        <is>
          <t>Kapaluhan</t>
        </is>
      </c>
    </row>
    <row r="33875" spans="1:1">
      <c r="A33875" t="inlineStr">
        <is>
          <t>Katangtang</t>
        </is>
      </c>
    </row>
    <row r="33876" spans="1:1">
      <c r="A33876" t="inlineStr">
        <is>
          <t>Kigtan</t>
        </is>
      </c>
    </row>
    <row r="33877" spans="1:1">
      <c r="A33877" t="inlineStr">
        <is>
          <t>Kinalin Ibaba</t>
        </is>
      </c>
    </row>
    <row r="33878" spans="1:1">
      <c r="A33878" t="inlineStr">
        <is>
          <t>Kinalin Ilaya</t>
        </is>
      </c>
    </row>
    <row r="33879" spans="1:1">
      <c r="A33879" t="inlineStr">
        <is>
          <t>Kinamaligan</t>
        </is>
      </c>
    </row>
    <row r="33880" spans="1:1">
      <c r="A33880" t="inlineStr">
        <is>
          <t>Kumaludkud</t>
        </is>
      </c>
    </row>
    <row r="33881" spans="1:1">
      <c r="A33881" t="inlineStr">
        <is>
          <t>Kunalum</t>
        </is>
      </c>
    </row>
    <row r="33882" spans="1:1">
      <c r="A33882" t="inlineStr">
        <is>
          <t>Kuyaoyao</t>
        </is>
      </c>
    </row>
    <row r="33883" spans="1:1">
      <c r="A33883" t="inlineStr">
        <is>
          <t>Lagay</t>
        </is>
      </c>
    </row>
    <row r="33884" spans="1:1">
      <c r="A33884" t="inlineStr">
        <is>
          <t>Lainglaingan</t>
        </is>
      </c>
    </row>
    <row r="33885" spans="1:1">
      <c r="A33885" t="inlineStr">
        <is>
          <t>Lungib</t>
        </is>
      </c>
    </row>
    <row r="33886" spans="1:1">
      <c r="A33886" t="inlineStr">
        <is>
          <t>Mabini</t>
        </is>
      </c>
    </row>
    <row r="33887" spans="1:1">
      <c r="A33887" t="inlineStr">
        <is>
          <t>Madlangdungan</t>
        </is>
      </c>
    </row>
    <row r="33888" spans="1:1">
      <c r="A33888" t="inlineStr">
        <is>
          <t>Maglipad</t>
        </is>
      </c>
    </row>
    <row r="33889" spans="1:1">
      <c r="A33889" t="inlineStr">
        <is>
          <t>Maligaya</t>
        </is>
      </c>
    </row>
    <row r="33890" spans="1:1">
      <c r="A33890" t="inlineStr">
        <is>
          <t>Mambaling</t>
        </is>
      </c>
    </row>
    <row r="33891" spans="1:1">
      <c r="A33891" t="inlineStr">
        <is>
          <t>Manhulugin</t>
        </is>
      </c>
    </row>
    <row r="33892" spans="1:1">
      <c r="A33892" t="inlineStr">
        <is>
          <t>Marilag</t>
        </is>
      </c>
    </row>
    <row r="33893" spans="1:1">
      <c r="A33893" t="inlineStr">
        <is>
          <t>Mulay</t>
        </is>
      </c>
    </row>
    <row r="33894" spans="1:1">
      <c r="A33894" t="inlineStr">
        <is>
          <t>Pandanan</t>
        </is>
      </c>
    </row>
    <row r="33895" spans="1:1">
      <c r="A33895" t="inlineStr">
        <is>
          <t>Pansol</t>
        </is>
      </c>
    </row>
    <row r="33896" spans="1:1">
      <c r="A33896" t="inlineStr">
        <is>
          <t>Patihan</t>
        </is>
      </c>
    </row>
    <row r="33897" spans="1:1">
      <c r="A33897" t="inlineStr">
        <is>
          <t>Pinagbayanan</t>
        </is>
      </c>
    </row>
    <row r="33898" spans="1:1">
      <c r="A33898" t="inlineStr">
        <is>
          <t>Pinagkamaligan</t>
        </is>
      </c>
    </row>
    <row r="33899" spans="1:1">
      <c r="A33899" t="inlineStr">
        <is>
          <t>Pinagsakayan</t>
        </is>
      </c>
    </row>
    <row r="33900" spans="1:1">
      <c r="A33900" t="inlineStr">
        <is>
          <t>Pinagtalleran</t>
        </is>
      </c>
    </row>
    <row r="33901" spans="1:1">
      <c r="A33901" t="inlineStr">
        <is>
          <t>Rizal Ibaba</t>
        </is>
      </c>
    </row>
    <row r="33902" spans="1:1">
      <c r="A33902" t="inlineStr">
        <is>
          <t>Rizal Ilaya</t>
        </is>
      </c>
    </row>
    <row r="33903" spans="1:1">
      <c r="A33903" t="inlineStr">
        <is>
          <t>Sabang I</t>
        </is>
      </c>
    </row>
    <row r="33904" spans="1:1">
      <c r="A33904" t="inlineStr">
        <is>
          <t>Sabang II</t>
        </is>
      </c>
    </row>
    <row r="33905" spans="1:1">
      <c r="A33905" t="inlineStr">
        <is>
          <t>Salvacion</t>
        </is>
      </c>
    </row>
    <row r="33906" spans="1:1">
      <c r="A33906" t="inlineStr">
        <is>
          <t>San Quintin</t>
        </is>
      </c>
    </row>
    <row r="33907" spans="1:1">
      <c r="A33907" t="inlineStr">
        <is>
          <t>San Roque Ibaba</t>
        </is>
      </c>
    </row>
    <row r="33908" spans="1:1">
      <c r="A33908" t="inlineStr">
        <is>
          <t>San Roque Ilaya</t>
        </is>
      </c>
    </row>
    <row r="33909" spans="1:1">
      <c r="A33909" t="inlineStr">
        <is>
          <t>Santa Cecilia</t>
        </is>
      </c>
    </row>
    <row r="33910" spans="1:1">
      <c r="A33910" t="inlineStr">
        <is>
          <t>Santa Maria</t>
        </is>
      </c>
    </row>
    <row r="33911" spans="1:1">
      <c r="A33911" t="inlineStr">
        <is>
          <t>Santa Milagrosa</t>
        </is>
      </c>
    </row>
    <row r="33912" spans="1:1">
      <c r="A33912" t="inlineStr">
        <is>
          <t>Santa Rosa</t>
        </is>
      </c>
    </row>
    <row r="33913" spans="1:1">
      <c r="A33913" t="inlineStr">
        <is>
          <t>Santo Angel</t>
        </is>
      </c>
    </row>
    <row r="33914" spans="1:1">
      <c r="A33914" t="inlineStr">
        <is>
          <t>Santo Domingo</t>
        </is>
      </c>
    </row>
    <row r="33915" spans="1:1">
      <c r="A33915" t="inlineStr">
        <is>
          <t>Sinag</t>
        </is>
      </c>
    </row>
    <row r="33916" spans="1:1">
      <c r="A33916" t="inlineStr">
        <is>
          <t>Sumilang</t>
        </is>
      </c>
    </row>
    <row r="33917" spans="1:1">
      <c r="A33917" t="inlineStr">
        <is>
          <t>Sumulong</t>
        </is>
      </c>
    </row>
    <row r="33918" spans="1:1">
      <c r="A33918" t="inlineStr">
        <is>
          <t>Tabansak</t>
        </is>
      </c>
    </row>
    <row r="33919" spans="1:1">
      <c r="A33919" t="inlineStr">
        <is>
          <t>Talingting</t>
        </is>
      </c>
    </row>
    <row r="33920" spans="1:1">
      <c r="A33920" t="inlineStr">
        <is>
          <t>Tamis</t>
        </is>
      </c>
    </row>
    <row r="33921" spans="1:1">
      <c r="A33921" t="inlineStr">
        <is>
          <t>Tikiwan</t>
        </is>
      </c>
    </row>
    <row r="33922" spans="1:1">
      <c r="A33922" t="inlineStr">
        <is>
          <t>Tiniguiban</t>
        </is>
      </c>
    </row>
    <row r="33923" spans="1:1">
      <c r="A33923" t="inlineStr">
        <is>
          <t>Villa Magsino</t>
        </is>
      </c>
    </row>
    <row r="33924" spans="1:1">
      <c r="A33924" t="inlineStr">
        <is>
          <t>Villa San Isidro</t>
        </is>
      </c>
    </row>
    <row r="33925" spans="1:1">
      <c r="A33925" t="inlineStr">
        <is>
          <t>Viñas</t>
        </is>
      </c>
    </row>
    <row r="33926" spans="1:1">
      <c r="A33926" t="inlineStr">
        <is>
          <t>Yaganak</t>
        </is>
      </c>
    </row>
    <row r="33927" spans="1:1">
      <c r="A33927" t="inlineStr">
        <is>
          <t>Buenavista East</t>
        </is>
      </c>
    </row>
    <row r="33928" spans="1:1">
      <c r="A33928" t="inlineStr">
        <is>
          <t>Buenavista West</t>
        </is>
      </c>
    </row>
    <row r="33929" spans="1:1">
      <c r="A33929" t="inlineStr">
        <is>
          <t>Bukal Norte</t>
        </is>
      </c>
    </row>
    <row r="33930" spans="1:1">
      <c r="A33930" t="inlineStr">
        <is>
          <t>Bukal Sur</t>
        </is>
      </c>
    </row>
    <row r="33931" spans="1:1">
      <c r="A33931" t="inlineStr">
        <is>
          <t>Kinatihan I</t>
        </is>
      </c>
    </row>
    <row r="33932" spans="1:1">
      <c r="A33932" t="inlineStr">
        <is>
          <t>Kinatihan II</t>
        </is>
      </c>
    </row>
    <row r="33933" spans="1:1">
      <c r="A33933" t="inlineStr">
        <is>
          <t>Malabanban Norte</t>
        </is>
      </c>
    </row>
    <row r="33934" spans="1:1">
      <c r="A33934" t="inlineStr">
        <is>
          <t>Malabanban Sur</t>
        </is>
      </c>
    </row>
    <row r="33935" spans="1:1">
      <c r="A33935" t="inlineStr">
        <is>
          <t>Mangilag Norte</t>
        </is>
      </c>
    </row>
    <row r="33936" spans="1:1">
      <c r="A33936" t="inlineStr">
        <is>
          <t>Mangilag Sur</t>
        </is>
      </c>
    </row>
    <row r="33937" spans="1:1">
      <c r="A33937" t="inlineStr">
        <is>
          <t>Masalukot I</t>
        </is>
      </c>
    </row>
    <row r="33938" spans="1:1">
      <c r="A33938" t="inlineStr">
        <is>
          <t>Masalukot II</t>
        </is>
      </c>
    </row>
    <row r="33939" spans="1:1">
      <c r="A33939" t="inlineStr">
        <is>
          <t>Masalukot III</t>
        </is>
      </c>
    </row>
    <row r="33940" spans="1:1">
      <c r="A33940" t="inlineStr">
        <is>
          <t>Masalukot IV</t>
        </is>
      </c>
    </row>
    <row r="33941" spans="1:1">
      <c r="A33941" t="inlineStr">
        <is>
          <t>Masalukot V</t>
        </is>
      </c>
    </row>
    <row r="33942" spans="1:1">
      <c r="A33942" t="inlineStr">
        <is>
          <t>Masin Norte</t>
        </is>
      </c>
    </row>
    <row r="33943" spans="1:1">
      <c r="A33943" t="inlineStr">
        <is>
          <t>Masin Sur</t>
        </is>
      </c>
    </row>
    <row r="33944" spans="1:1">
      <c r="A33944" t="inlineStr">
        <is>
          <t>Mayabobo</t>
        </is>
      </c>
    </row>
    <row r="33945" spans="1:1">
      <c r="A33945" t="inlineStr">
        <is>
          <t>Pahinga Norte</t>
        </is>
      </c>
    </row>
    <row r="33946" spans="1:1">
      <c r="A33946" t="inlineStr">
        <is>
          <t>Pahinga Sur</t>
        </is>
      </c>
    </row>
    <row r="33947" spans="1:1">
      <c r="A33947" t="inlineStr">
        <is>
          <t>Poblacion</t>
        </is>
      </c>
    </row>
    <row r="33948" spans="1:1">
      <c r="A33948" t="inlineStr">
        <is>
          <t>San Andres</t>
        </is>
      </c>
    </row>
    <row r="33949" spans="1:1">
      <c r="A33949" t="inlineStr">
        <is>
          <t>San Isidro</t>
        </is>
      </c>
    </row>
    <row r="33950" spans="1:1">
      <c r="A33950" t="inlineStr">
        <is>
          <t>Santa Catalina Norte</t>
        </is>
      </c>
    </row>
    <row r="33951" spans="1:1">
      <c r="A33951" t="inlineStr">
        <is>
          <t>Santa Catalina Sur</t>
        </is>
      </c>
    </row>
    <row r="33952" spans="1:1">
      <c r="A33952" t="inlineStr">
        <is>
          <t>Ajos</t>
        </is>
      </c>
    </row>
    <row r="33953" spans="1:1">
      <c r="A33953" t="inlineStr">
        <is>
          <t>Anusan</t>
        </is>
      </c>
    </row>
    <row r="33954" spans="1:1">
      <c r="A33954" t="inlineStr">
        <is>
          <t>Barangay 1</t>
        </is>
      </c>
    </row>
    <row r="33955" spans="1:1">
      <c r="A33955" t="inlineStr">
        <is>
          <t>Barangay 10</t>
        </is>
      </c>
    </row>
    <row r="33956" spans="1:1">
      <c r="A33956" t="inlineStr">
        <is>
          <t>Barangay 2</t>
        </is>
      </c>
    </row>
    <row r="33957" spans="1:1">
      <c r="A33957" t="inlineStr">
        <is>
          <t>Barangay 3</t>
        </is>
      </c>
    </row>
    <row r="33958" spans="1:1">
      <c r="A33958" t="inlineStr">
        <is>
          <t>Barangay 4</t>
        </is>
      </c>
    </row>
    <row r="33959" spans="1:1">
      <c r="A33959" t="inlineStr">
        <is>
          <t>Barangay 5</t>
        </is>
      </c>
    </row>
    <row r="33960" spans="1:1">
      <c r="A33960" t="inlineStr">
        <is>
          <t>Barangay 6</t>
        </is>
      </c>
    </row>
    <row r="33961" spans="1:1">
      <c r="A33961" t="inlineStr">
        <is>
          <t>Barangay 7</t>
        </is>
      </c>
    </row>
    <row r="33962" spans="1:1">
      <c r="A33962" t="inlineStr">
        <is>
          <t>Barangay 8</t>
        </is>
      </c>
    </row>
    <row r="33963" spans="1:1">
      <c r="A33963" t="inlineStr">
        <is>
          <t>Barangay 9</t>
        </is>
      </c>
    </row>
    <row r="33964" spans="1:1">
      <c r="A33964" t="inlineStr">
        <is>
          <t>Bolo</t>
        </is>
      </c>
    </row>
    <row r="33965" spans="1:1">
      <c r="A33965" t="inlineStr">
        <is>
          <t>Bulagsong</t>
        </is>
      </c>
    </row>
    <row r="33966" spans="1:1">
      <c r="A33966" t="inlineStr">
        <is>
          <t>Camandiison</t>
        </is>
      </c>
    </row>
    <row r="33967" spans="1:1">
      <c r="A33967" t="inlineStr">
        <is>
          <t>Canculajao</t>
        </is>
      </c>
    </row>
    <row r="33968" spans="1:1">
      <c r="A33968" t="inlineStr">
        <is>
          <t>Catumbo</t>
        </is>
      </c>
    </row>
    <row r="33969" spans="1:1">
      <c r="A33969" t="inlineStr">
        <is>
          <t>Cawayanin Ibaba</t>
        </is>
      </c>
    </row>
    <row r="33970" spans="1:1">
      <c r="A33970" t="inlineStr">
        <is>
          <t>Cawayanin Ilaya</t>
        </is>
      </c>
    </row>
    <row r="33971" spans="1:1">
      <c r="A33971" t="inlineStr">
        <is>
          <t>Cutcutan</t>
        </is>
      </c>
    </row>
    <row r="33972" spans="1:1">
      <c r="A33972" t="inlineStr">
        <is>
          <t>Dahican</t>
        </is>
      </c>
    </row>
    <row r="33973" spans="1:1">
      <c r="A33973" t="inlineStr">
        <is>
          <t>Doongan Ibaba</t>
        </is>
      </c>
    </row>
    <row r="33974" spans="1:1">
      <c r="A33974" t="inlineStr">
        <is>
          <t>Doongan Ilaya</t>
        </is>
      </c>
    </row>
    <row r="33975" spans="1:1">
      <c r="A33975" t="inlineStr">
        <is>
          <t>Gatasan</t>
        </is>
      </c>
    </row>
    <row r="33976" spans="1:1">
      <c r="A33976" t="inlineStr">
        <is>
          <t>Macpac</t>
        </is>
      </c>
    </row>
    <row r="33977" spans="1:1">
      <c r="A33977" t="inlineStr">
        <is>
          <t>Madulao</t>
        </is>
      </c>
    </row>
    <row r="33978" spans="1:1">
      <c r="A33978" t="inlineStr">
        <is>
          <t>Matandang Sabang Kanluran</t>
        </is>
      </c>
    </row>
    <row r="33979" spans="1:1">
      <c r="A33979" t="inlineStr">
        <is>
          <t>Matandang Sabang Silangan</t>
        </is>
      </c>
    </row>
    <row r="33980" spans="1:1">
      <c r="A33980" t="inlineStr">
        <is>
          <t>Milagrosa</t>
        </is>
      </c>
    </row>
    <row r="33981" spans="1:1">
      <c r="A33981" t="inlineStr">
        <is>
          <t>Navitas</t>
        </is>
      </c>
    </row>
    <row r="33982" spans="1:1">
      <c r="A33982" t="inlineStr">
        <is>
          <t>Pacabit</t>
        </is>
      </c>
    </row>
    <row r="33983" spans="1:1">
      <c r="A33983" t="inlineStr">
        <is>
          <t>San Antonio Magkupa</t>
        </is>
      </c>
    </row>
    <row r="33984" spans="1:1">
      <c r="A33984" t="inlineStr">
        <is>
          <t>San Antonio Pala</t>
        </is>
      </c>
    </row>
    <row r="33985" spans="1:1">
      <c r="A33985" t="inlineStr">
        <is>
          <t>San Isidro</t>
        </is>
      </c>
    </row>
    <row r="33986" spans="1:1">
      <c r="A33986" t="inlineStr">
        <is>
          <t>San Jose</t>
        </is>
      </c>
    </row>
    <row r="33987" spans="1:1">
      <c r="A33987" t="inlineStr">
        <is>
          <t>San Pablo</t>
        </is>
      </c>
    </row>
    <row r="33988" spans="1:1">
      <c r="A33988" t="inlineStr">
        <is>
          <t>San Roque</t>
        </is>
      </c>
    </row>
    <row r="33989" spans="1:1">
      <c r="A33989" t="inlineStr">
        <is>
          <t>San Vicente Kanluran</t>
        </is>
      </c>
    </row>
    <row r="33990" spans="1:1">
      <c r="A33990" t="inlineStr">
        <is>
          <t>San Vicente Silangan</t>
        </is>
      </c>
    </row>
    <row r="33991" spans="1:1">
      <c r="A33991" t="inlineStr">
        <is>
          <t>Santa Maria</t>
        </is>
      </c>
    </row>
    <row r="33992" spans="1:1">
      <c r="A33992" t="inlineStr">
        <is>
          <t>Tagabas Ibaba</t>
        </is>
      </c>
    </row>
    <row r="33993" spans="1:1">
      <c r="A33993" t="inlineStr">
        <is>
          <t>Tagabas Ilaya</t>
        </is>
      </c>
    </row>
    <row r="33994" spans="1:1">
      <c r="A33994" t="inlineStr">
        <is>
          <t>Tagbacan Ibaba</t>
        </is>
      </c>
    </row>
    <row r="33995" spans="1:1">
      <c r="A33995" t="inlineStr">
        <is>
          <t>Tagbacan Ilaya</t>
        </is>
      </c>
    </row>
    <row r="33996" spans="1:1">
      <c r="A33996" t="inlineStr">
        <is>
          <t>Tagbacan Silangan</t>
        </is>
      </c>
    </row>
    <row r="33997" spans="1:1">
      <c r="A33997" t="inlineStr">
        <is>
          <t>Tuhian</t>
        </is>
      </c>
    </row>
    <row r="33998" spans="1:1">
      <c r="A33998" t="inlineStr">
        <is>
          <t>Alitao</t>
        </is>
      </c>
    </row>
    <row r="33999" spans="1:1">
      <c r="A33999" t="inlineStr">
        <is>
          <t>Alsam Ibaba</t>
        </is>
      </c>
    </row>
    <row r="34000" spans="1:1">
      <c r="A34000" t="inlineStr">
        <is>
          <t>Alsam Ilaya</t>
        </is>
      </c>
    </row>
    <row r="34001" spans="1:1">
      <c r="A34001" t="inlineStr">
        <is>
          <t>Alupay</t>
        </is>
      </c>
    </row>
    <row r="34002" spans="1:1">
      <c r="A34002" t="inlineStr">
        <is>
          <t>Angeles Zone I</t>
        </is>
      </c>
    </row>
    <row r="34003" spans="1:1">
      <c r="A34003" t="inlineStr">
        <is>
          <t>Angeles Zone II</t>
        </is>
      </c>
    </row>
    <row r="34004" spans="1:1">
      <c r="A34004" t="inlineStr">
        <is>
          <t>Angeles Zone III</t>
        </is>
      </c>
    </row>
    <row r="34005" spans="1:1">
      <c r="A34005" t="inlineStr">
        <is>
          <t>Angeles Zone IV</t>
        </is>
      </c>
    </row>
    <row r="34006" spans="1:1">
      <c r="A34006" t="inlineStr">
        <is>
          <t>Angustias Zone I</t>
        </is>
      </c>
    </row>
    <row r="34007" spans="1:1">
      <c r="A34007" t="inlineStr">
        <is>
          <t>Angustias Zone II</t>
        </is>
      </c>
    </row>
    <row r="34008" spans="1:1">
      <c r="A34008" t="inlineStr">
        <is>
          <t>Angustias Zone III</t>
        </is>
      </c>
    </row>
    <row r="34009" spans="1:1">
      <c r="A34009" t="inlineStr">
        <is>
          <t>Angustias Zone IV</t>
        </is>
      </c>
    </row>
    <row r="34010" spans="1:1">
      <c r="A34010" t="inlineStr">
        <is>
          <t>Anos</t>
        </is>
      </c>
    </row>
    <row r="34011" spans="1:1">
      <c r="A34011" t="inlineStr">
        <is>
          <t>Ayaas</t>
        </is>
      </c>
    </row>
    <row r="34012" spans="1:1">
      <c r="A34012" t="inlineStr">
        <is>
          <t>Baguio</t>
        </is>
      </c>
    </row>
    <row r="34013" spans="1:1">
      <c r="A34013" t="inlineStr">
        <is>
          <t>Banilad</t>
        </is>
      </c>
    </row>
    <row r="34014" spans="1:1">
      <c r="A34014" t="inlineStr">
        <is>
          <t>Bukal Ibaba</t>
        </is>
      </c>
    </row>
    <row r="34015" spans="1:1">
      <c r="A34015" t="inlineStr">
        <is>
          <t>Bukal Ilaya</t>
        </is>
      </c>
    </row>
    <row r="34016" spans="1:1">
      <c r="A34016" t="inlineStr">
        <is>
          <t>Calantas</t>
        </is>
      </c>
    </row>
    <row r="34017" spans="1:1">
      <c r="A34017" t="inlineStr">
        <is>
          <t>Calumpang</t>
        </is>
      </c>
    </row>
    <row r="34018" spans="1:1">
      <c r="A34018" t="inlineStr">
        <is>
          <t>Camaysa</t>
        </is>
      </c>
    </row>
    <row r="34019" spans="1:1">
      <c r="A34019" t="inlineStr">
        <is>
          <t>Dapdap</t>
        </is>
      </c>
    </row>
    <row r="34020" spans="1:1">
      <c r="A34020" t="inlineStr">
        <is>
          <t>Domoit Kanluran</t>
        </is>
      </c>
    </row>
    <row r="34021" spans="1:1">
      <c r="A34021" t="inlineStr">
        <is>
          <t>Domoit Silangan</t>
        </is>
      </c>
    </row>
    <row r="34022" spans="1:1">
      <c r="A34022" t="inlineStr">
        <is>
          <t>Gibanga</t>
        </is>
      </c>
    </row>
    <row r="34023" spans="1:1">
      <c r="A34023" t="inlineStr">
        <is>
          <t>Ibas</t>
        </is>
      </c>
    </row>
    <row r="34024" spans="1:1">
      <c r="A34024" t="inlineStr">
        <is>
          <t>Ilasan Ibaba</t>
        </is>
      </c>
    </row>
    <row r="34025" spans="1:1">
      <c r="A34025" t="inlineStr">
        <is>
          <t>Ilasan Ilaya</t>
        </is>
      </c>
    </row>
    <row r="34026" spans="1:1">
      <c r="A34026" t="inlineStr">
        <is>
          <t>Ipilan</t>
        </is>
      </c>
    </row>
    <row r="34027" spans="1:1">
      <c r="A34027" t="inlineStr">
        <is>
          <t>Isabang</t>
        </is>
      </c>
    </row>
    <row r="34028" spans="1:1">
      <c r="A34028" t="inlineStr">
        <is>
          <t>Katigan Kanluran</t>
        </is>
      </c>
    </row>
    <row r="34029" spans="1:1">
      <c r="A34029" t="inlineStr">
        <is>
          <t>Katigan Silangan</t>
        </is>
      </c>
    </row>
    <row r="34030" spans="1:1">
      <c r="A34030" t="inlineStr">
        <is>
          <t>Lakawan</t>
        </is>
      </c>
    </row>
    <row r="34031" spans="1:1">
      <c r="A34031" t="inlineStr">
        <is>
          <t>Lalo</t>
        </is>
      </c>
    </row>
    <row r="34032" spans="1:1">
      <c r="A34032" t="inlineStr">
        <is>
          <t>Lawigue</t>
        </is>
      </c>
    </row>
    <row r="34033" spans="1:1">
      <c r="A34033" t="inlineStr">
        <is>
          <t>Lita</t>
        </is>
      </c>
    </row>
    <row r="34034" spans="1:1">
      <c r="A34034" t="inlineStr">
        <is>
          <t>Malaoa</t>
        </is>
      </c>
    </row>
    <row r="34035" spans="1:1">
      <c r="A34035" t="inlineStr">
        <is>
          <t>Masin</t>
        </is>
      </c>
    </row>
    <row r="34036" spans="1:1">
      <c r="A34036" t="inlineStr">
        <is>
          <t>Mate</t>
        </is>
      </c>
    </row>
    <row r="34037" spans="1:1">
      <c r="A34037" t="inlineStr">
        <is>
          <t>Mateuna</t>
        </is>
      </c>
    </row>
    <row r="34038" spans="1:1">
      <c r="A34038" t="inlineStr">
        <is>
          <t>Mayowe</t>
        </is>
      </c>
    </row>
    <row r="34039" spans="1:1">
      <c r="A34039" t="inlineStr">
        <is>
          <t>Nangka Ibaba</t>
        </is>
      </c>
    </row>
    <row r="34040" spans="1:1">
      <c r="A34040" t="inlineStr">
        <is>
          <t>Nangka Ilaya</t>
        </is>
      </c>
    </row>
    <row r="34041" spans="1:1">
      <c r="A34041" t="inlineStr">
        <is>
          <t>Opias</t>
        </is>
      </c>
    </row>
    <row r="34042" spans="1:1">
      <c r="A34042" t="inlineStr">
        <is>
          <t>Palale Ibaba</t>
        </is>
      </c>
    </row>
    <row r="34043" spans="1:1">
      <c r="A34043" t="inlineStr">
        <is>
          <t>Palale Ilaya</t>
        </is>
      </c>
    </row>
    <row r="34044" spans="1:1">
      <c r="A34044" t="inlineStr">
        <is>
          <t>Palale Kanluran</t>
        </is>
      </c>
    </row>
    <row r="34045" spans="1:1">
      <c r="A34045" t="inlineStr">
        <is>
          <t>Palale Silangan</t>
        </is>
      </c>
    </row>
    <row r="34046" spans="1:1">
      <c r="A34046" t="inlineStr">
        <is>
          <t>Pandakaki</t>
        </is>
      </c>
    </row>
    <row r="34047" spans="1:1">
      <c r="A34047" t="inlineStr">
        <is>
          <t>Pook</t>
        </is>
      </c>
    </row>
    <row r="34048" spans="1:1">
      <c r="A34048" t="inlineStr">
        <is>
          <t>Potol</t>
        </is>
      </c>
    </row>
    <row r="34049" spans="1:1">
      <c r="A34049" t="inlineStr">
        <is>
          <t>San Diego Zone I</t>
        </is>
      </c>
    </row>
    <row r="34050" spans="1:1">
      <c r="A34050" t="inlineStr">
        <is>
          <t>San Diego Zone II</t>
        </is>
      </c>
    </row>
    <row r="34051" spans="1:1">
      <c r="A34051" t="inlineStr">
        <is>
          <t>San Diego Zone III</t>
        </is>
      </c>
    </row>
    <row r="34052" spans="1:1">
      <c r="A34052" t="inlineStr">
        <is>
          <t>San Diego Zone IV</t>
        </is>
      </c>
    </row>
    <row r="34053" spans="1:1">
      <c r="A34053" t="inlineStr">
        <is>
          <t>San Isidro Zone I</t>
        </is>
      </c>
    </row>
    <row r="34054" spans="1:1">
      <c r="A34054" t="inlineStr">
        <is>
          <t>San Isidro Zone II</t>
        </is>
      </c>
    </row>
    <row r="34055" spans="1:1">
      <c r="A34055" t="inlineStr">
        <is>
          <t>San Isidro Zone III</t>
        </is>
      </c>
    </row>
    <row r="34056" spans="1:1">
      <c r="A34056" t="inlineStr">
        <is>
          <t>San Isidro Zone IV</t>
        </is>
      </c>
    </row>
    <row r="34057" spans="1:1">
      <c r="A34057" t="inlineStr">
        <is>
          <t>San Roque Zone I</t>
        </is>
      </c>
    </row>
    <row r="34058" spans="1:1">
      <c r="A34058" t="inlineStr">
        <is>
          <t>San Roque Zone II</t>
        </is>
      </c>
    </row>
    <row r="34059" spans="1:1">
      <c r="A34059" t="inlineStr">
        <is>
          <t>Talolong</t>
        </is>
      </c>
    </row>
    <row r="34060" spans="1:1">
      <c r="A34060" t="inlineStr">
        <is>
          <t>Tamlong</t>
        </is>
      </c>
    </row>
    <row r="34061" spans="1:1">
      <c r="A34061" t="inlineStr">
        <is>
          <t>Tongko</t>
        </is>
      </c>
    </row>
    <row r="34062" spans="1:1">
      <c r="A34062" t="inlineStr">
        <is>
          <t>Valencia</t>
        </is>
      </c>
    </row>
    <row r="34063" spans="1:1">
      <c r="A34063" t="inlineStr">
        <is>
          <t>Wakas</t>
        </is>
      </c>
    </row>
    <row r="34064" spans="1:1">
      <c r="A34064" t="inlineStr">
        <is>
          <t>Antonino</t>
        </is>
      </c>
    </row>
    <row r="34065" spans="1:1">
      <c r="A34065" t="inlineStr">
        <is>
          <t>Bagong Anyo</t>
        </is>
      </c>
    </row>
    <row r="34066" spans="1:1">
      <c r="A34066" t="inlineStr">
        <is>
          <t>Bayanihan</t>
        </is>
      </c>
    </row>
    <row r="34067" spans="1:1">
      <c r="A34067" t="inlineStr">
        <is>
          <t>Bulakin I</t>
        </is>
      </c>
    </row>
    <row r="34068" spans="1:1">
      <c r="A34068" t="inlineStr">
        <is>
          <t>Bulakin II</t>
        </is>
      </c>
    </row>
    <row r="34069" spans="1:1">
      <c r="A34069" t="inlineStr">
        <is>
          <t>Bungoy</t>
        </is>
      </c>
    </row>
    <row r="34070" spans="1:1">
      <c r="A34070" t="inlineStr">
        <is>
          <t>Cabatang</t>
        </is>
      </c>
    </row>
    <row r="34071" spans="1:1">
      <c r="A34071" t="inlineStr">
        <is>
          <t>Dagatan</t>
        </is>
      </c>
    </row>
    <row r="34072" spans="1:1">
      <c r="A34072" t="inlineStr">
        <is>
          <t>Kinabuhayan</t>
        </is>
      </c>
    </row>
    <row r="34073" spans="1:1">
      <c r="A34073" t="inlineStr">
        <is>
          <t>Maligaya</t>
        </is>
      </c>
    </row>
    <row r="34074" spans="1:1">
      <c r="A34074" t="inlineStr">
        <is>
          <t>Manggahan</t>
        </is>
      </c>
    </row>
    <row r="34075" spans="1:1">
      <c r="A34075" t="inlineStr">
        <is>
          <t>Pinagdanlayan</t>
        </is>
      </c>
    </row>
    <row r="34076" spans="1:1">
      <c r="A34076" t="inlineStr">
        <is>
          <t>Putol</t>
        </is>
      </c>
    </row>
    <row r="34077" spans="1:1">
      <c r="A34077" t="inlineStr">
        <is>
          <t>San Mateo</t>
        </is>
      </c>
    </row>
    <row r="34078" spans="1:1">
      <c r="A34078" t="inlineStr">
        <is>
          <t>Santa Lucia</t>
        </is>
      </c>
    </row>
    <row r="34079" spans="1:1">
      <c r="A34079" t="inlineStr">
        <is>
          <t>Silanganan</t>
        </is>
      </c>
    </row>
    <row r="34080" spans="1:1">
      <c r="A34080" t="inlineStr">
        <is>
          <t>Bacong Ibaba</t>
        </is>
      </c>
    </row>
    <row r="34081" spans="1:1">
      <c r="A34081" t="inlineStr">
        <is>
          <t>Bacong Ilaya</t>
        </is>
      </c>
    </row>
    <row r="34082" spans="1:1">
      <c r="A34082" t="inlineStr">
        <is>
          <t>Barangay 1</t>
        </is>
      </c>
    </row>
    <row r="34083" spans="1:1">
      <c r="A34083" t="inlineStr">
        <is>
          <t>Barangay 2</t>
        </is>
      </c>
    </row>
    <row r="34084" spans="1:1">
      <c r="A34084" t="inlineStr">
        <is>
          <t>Barangay 3</t>
        </is>
      </c>
    </row>
    <row r="34085" spans="1:1">
      <c r="A34085" t="inlineStr">
        <is>
          <t>Barangay 4</t>
        </is>
      </c>
    </row>
    <row r="34086" spans="1:1">
      <c r="A34086" t="inlineStr">
        <is>
          <t>Barangay 5</t>
        </is>
      </c>
    </row>
    <row r="34087" spans="1:1">
      <c r="A34087" t="inlineStr">
        <is>
          <t>Barangay 6</t>
        </is>
      </c>
    </row>
    <row r="34088" spans="1:1">
      <c r="A34088" t="inlineStr">
        <is>
          <t>Barangay 7</t>
        </is>
      </c>
    </row>
    <row r="34089" spans="1:1">
      <c r="A34089" t="inlineStr">
        <is>
          <t>Barangay 8</t>
        </is>
      </c>
    </row>
    <row r="34090" spans="1:1">
      <c r="A34090" t="inlineStr">
        <is>
          <t>Barangay 9</t>
        </is>
      </c>
    </row>
    <row r="34091" spans="1:1">
      <c r="A34091" t="inlineStr">
        <is>
          <t>Lavides</t>
        </is>
      </c>
    </row>
    <row r="34092" spans="1:1">
      <c r="A34092" t="inlineStr">
        <is>
          <t>Magsaysay</t>
        </is>
      </c>
    </row>
    <row r="34093" spans="1:1">
      <c r="A34093" t="inlineStr">
        <is>
          <t>Malaya</t>
        </is>
      </c>
    </row>
    <row r="34094" spans="1:1">
      <c r="A34094" t="inlineStr">
        <is>
          <t>Nieva</t>
        </is>
      </c>
    </row>
    <row r="34095" spans="1:1">
      <c r="A34095" t="inlineStr">
        <is>
          <t>Recto</t>
        </is>
      </c>
    </row>
    <row r="34096" spans="1:1">
      <c r="A34096" t="inlineStr">
        <is>
          <t>San Ignacio Ibaba</t>
        </is>
      </c>
    </row>
    <row r="34097" spans="1:1">
      <c r="A34097" t="inlineStr">
        <is>
          <t>San Ignacio Ilaya</t>
        </is>
      </c>
    </row>
    <row r="34098" spans="1:1">
      <c r="A34098" t="inlineStr">
        <is>
          <t>San Isidro Ibaba</t>
        </is>
      </c>
    </row>
    <row r="34099" spans="1:1">
      <c r="A34099" t="inlineStr">
        <is>
          <t>San Isidro Ilaya</t>
        </is>
      </c>
    </row>
    <row r="34100" spans="1:1">
      <c r="A34100" t="inlineStr">
        <is>
          <t>San Jose</t>
        </is>
      </c>
    </row>
    <row r="34101" spans="1:1">
      <c r="A34101" t="inlineStr">
        <is>
          <t>San Nicolas</t>
        </is>
      </c>
    </row>
    <row r="34102" spans="1:1">
      <c r="A34102" t="inlineStr">
        <is>
          <t>San Vicente</t>
        </is>
      </c>
    </row>
    <row r="34103" spans="1:1">
      <c r="A34103" t="inlineStr">
        <is>
          <t>Santa Maria Ibaba</t>
        </is>
      </c>
    </row>
    <row r="34104" spans="1:1">
      <c r="A34104" t="inlineStr">
        <is>
          <t>Santa Maria Ilaya</t>
        </is>
      </c>
    </row>
    <row r="34105" spans="1:1">
      <c r="A34105" t="inlineStr">
        <is>
          <t>Sumilang</t>
        </is>
      </c>
    </row>
    <row r="34106" spans="1:1">
      <c r="A34106" t="inlineStr">
        <is>
          <t>Villarica</t>
        </is>
      </c>
    </row>
    <row r="34107" spans="1:1">
      <c r="A34107" t="inlineStr">
        <is>
          <t>Anoling</t>
        </is>
      </c>
    </row>
    <row r="34108" spans="1:1">
      <c r="A34108" t="inlineStr">
        <is>
          <t>Banglos</t>
        </is>
      </c>
    </row>
    <row r="34109" spans="1:1">
      <c r="A34109" t="inlineStr">
        <is>
          <t>Batangan</t>
        </is>
      </c>
    </row>
    <row r="34110" spans="1:1">
      <c r="A34110" t="inlineStr">
        <is>
          <t>Canaway</t>
        </is>
      </c>
    </row>
    <row r="34111" spans="1:1">
      <c r="A34111" t="inlineStr">
        <is>
          <t>Catablingan</t>
        </is>
      </c>
    </row>
    <row r="34112" spans="1:1">
      <c r="A34112" t="inlineStr">
        <is>
          <t>Lumutan</t>
        </is>
      </c>
    </row>
    <row r="34113" spans="1:1">
      <c r="A34113" t="inlineStr">
        <is>
          <t>Magsikap</t>
        </is>
      </c>
    </row>
    <row r="34114" spans="1:1">
      <c r="A34114" t="inlineStr">
        <is>
          <t>Mahabang Lalim</t>
        </is>
      </c>
    </row>
    <row r="34115" spans="1:1">
      <c r="A34115" t="inlineStr">
        <is>
          <t>Maigang</t>
        </is>
      </c>
    </row>
    <row r="34116" spans="1:1">
      <c r="A34116" t="inlineStr">
        <is>
          <t>Maligaya</t>
        </is>
      </c>
    </row>
    <row r="34117" spans="1:1">
      <c r="A34117" t="inlineStr">
        <is>
          <t>Minahan Norte</t>
        </is>
      </c>
    </row>
    <row r="34118" spans="1:1">
      <c r="A34118" t="inlineStr">
        <is>
          <t>Minahan Sur</t>
        </is>
      </c>
    </row>
    <row r="34119" spans="1:1">
      <c r="A34119" t="inlineStr">
        <is>
          <t>Pagsangahan</t>
        </is>
      </c>
    </row>
    <row r="34120" spans="1:1">
      <c r="A34120" t="inlineStr">
        <is>
          <t>Pamplona</t>
        </is>
      </c>
    </row>
    <row r="34121" spans="1:1">
      <c r="A34121" t="inlineStr">
        <is>
          <t>Pisa</t>
        </is>
      </c>
    </row>
    <row r="34122" spans="1:1">
      <c r="A34122" t="inlineStr">
        <is>
          <t>Poblacion</t>
        </is>
      </c>
    </row>
    <row r="34123" spans="1:1">
      <c r="A34123" t="inlineStr">
        <is>
          <t>Sablang</t>
        </is>
      </c>
    </row>
    <row r="34124" spans="1:1">
      <c r="A34124" t="inlineStr">
        <is>
          <t>San Marcelino</t>
        </is>
      </c>
    </row>
    <row r="34125" spans="1:1">
      <c r="A34125" t="inlineStr">
        <is>
          <t>Umiray</t>
        </is>
      </c>
    </row>
    <row r="34126" spans="1:1">
      <c r="A34126" t="inlineStr">
        <is>
          <t>A. Mabini</t>
        </is>
      </c>
    </row>
    <row r="34127" spans="1:1">
      <c r="A34127" t="inlineStr">
        <is>
          <t>Aloneros</t>
        </is>
      </c>
    </row>
    <row r="34128" spans="1:1">
      <c r="A34128" t="inlineStr">
        <is>
          <t>Arbismen</t>
        </is>
      </c>
    </row>
    <row r="34129" spans="1:1">
      <c r="A34129" t="inlineStr">
        <is>
          <t>Bagong Silang</t>
        </is>
      </c>
    </row>
    <row r="34130" spans="1:1">
      <c r="A34130" t="inlineStr">
        <is>
          <t>Balinarin</t>
        </is>
      </c>
    </row>
    <row r="34131" spans="1:1">
      <c r="A34131" t="inlineStr">
        <is>
          <t>Bukal Maligaya</t>
        </is>
      </c>
    </row>
    <row r="34132" spans="1:1">
      <c r="A34132" t="inlineStr">
        <is>
          <t>Cabibihan</t>
        </is>
      </c>
    </row>
    <row r="34133" spans="1:1">
      <c r="A34133" t="inlineStr">
        <is>
          <t>Cabong Norte</t>
        </is>
      </c>
    </row>
    <row r="34134" spans="1:1">
      <c r="A34134" t="inlineStr">
        <is>
          <t>Cabong Sur</t>
        </is>
      </c>
    </row>
    <row r="34135" spans="1:1">
      <c r="A34135" t="inlineStr">
        <is>
          <t>Calimpak</t>
        </is>
      </c>
    </row>
    <row r="34136" spans="1:1">
      <c r="A34136" t="inlineStr">
        <is>
          <t>Capuluan Central</t>
        </is>
      </c>
    </row>
    <row r="34137" spans="1:1">
      <c r="A34137" t="inlineStr">
        <is>
          <t>Capuluan Tulon</t>
        </is>
      </c>
    </row>
    <row r="34138" spans="1:1">
      <c r="A34138" t="inlineStr">
        <is>
          <t>Dancalan Caimawan</t>
        </is>
      </c>
    </row>
    <row r="34139" spans="1:1">
      <c r="A34139" t="inlineStr">
        <is>
          <t>Dancalan Central</t>
        </is>
      </c>
    </row>
    <row r="34140" spans="1:1">
      <c r="A34140" t="inlineStr">
        <is>
          <t>Danlagan Batis</t>
        </is>
      </c>
    </row>
    <row r="34141" spans="1:1">
      <c r="A34141" t="inlineStr">
        <is>
          <t>Danlagan Cabayao</t>
        </is>
      </c>
    </row>
    <row r="34142" spans="1:1">
      <c r="A34142" t="inlineStr">
        <is>
          <t>Danlagan Central</t>
        </is>
      </c>
    </row>
    <row r="34143" spans="1:1">
      <c r="A34143" t="inlineStr">
        <is>
          <t>Danlagan Reserva</t>
        </is>
      </c>
    </row>
    <row r="34144" spans="1:1">
      <c r="A34144" t="inlineStr">
        <is>
          <t>Del Rosario</t>
        </is>
      </c>
    </row>
    <row r="34145" spans="1:1">
      <c r="A34145" t="inlineStr">
        <is>
          <t>Dungawan Central</t>
        </is>
      </c>
    </row>
    <row r="34146" spans="1:1">
      <c r="A34146" t="inlineStr">
        <is>
          <t>Dungawan Paalyunan</t>
        </is>
      </c>
    </row>
    <row r="34147" spans="1:1">
      <c r="A34147" t="inlineStr">
        <is>
          <t>Dungawan Pantay</t>
        </is>
      </c>
    </row>
    <row r="34148" spans="1:1">
      <c r="A34148" t="inlineStr">
        <is>
          <t>Ermita</t>
        </is>
      </c>
    </row>
    <row r="34149" spans="1:1">
      <c r="A34149" t="inlineStr">
        <is>
          <t>Gapas</t>
        </is>
      </c>
    </row>
    <row r="34150" spans="1:1">
      <c r="A34150" t="inlineStr">
        <is>
          <t>Himbubulo Este</t>
        </is>
      </c>
    </row>
    <row r="34151" spans="1:1">
      <c r="A34151" t="inlineStr">
        <is>
          <t>Himbubulo Weste</t>
        </is>
      </c>
    </row>
    <row r="34152" spans="1:1">
      <c r="A34152" t="inlineStr">
        <is>
          <t>Hinabaan</t>
        </is>
      </c>
    </row>
    <row r="34153" spans="1:1">
      <c r="A34153" t="inlineStr">
        <is>
          <t>Ligpit Bantayan</t>
        </is>
      </c>
    </row>
    <row r="34154" spans="1:1">
      <c r="A34154" t="inlineStr">
        <is>
          <t>Lubigan</t>
        </is>
      </c>
    </row>
    <row r="34155" spans="1:1">
      <c r="A34155" t="inlineStr">
        <is>
          <t>Magallanes</t>
        </is>
      </c>
    </row>
    <row r="34156" spans="1:1">
      <c r="A34156" t="inlineStr">
        <is>
          <t>Magsaysay</t>
        </is>
      </c>
    </row>
    <row r="34157" spans="1:1">
      <c r="A34157" t="inlineStr">
        <is>
          <t>Manggagawa</t>
        </is>
      </c>
    </row>
    <row r="34158" spans="1:1">
      <c r="A34158" t="inlineStr">
        <is>
          <t>Manggalang</t>
        </is>
      </c>
    </row>
    <row r="34159" spans="1:1">
      <c r="A34159" t="inlineStr">
        <is>
          <t>Manlayo</t>
        </is>
      </c>
    </row>
    <row r="34160" spans="1:1">
      <c r="A34160" t="inlineStr">
        <is>
          <t>Poblacion</t>
        </is>
      </c>
    </row>
    <row r="34161" spans="1:1">
      <c r="A34161" t="inlineStr">
        <is>
          <t>Salakan</t>
        </is>
      </c>
    </row>
    <row r="34162" spans="1:1">
      <c r="A34162" t="inlineStr">
        <is>
          <t>San Antonio</t>
        </is>
      </c>
    </row>
    <row r="34163" spans="1:1">
      <c r="A34163" t="inlineStr">
        <is>
          <t>San Isidro</t>
        </is>
      </c>
    </row>
    <row r="34164" spans="1:1">
      <c r="A34164" t="inlineStr">
        <is>
          <t>San Jose</t>
        </is>
      </c>
    </row>
    <row r="34165" spans="1:1">
      <c r="A34165" t="inlineStr">
        <is>
          <t>San Lorenzo</t>
        </is>
      </c>
    </row>
    <row r="34166" spans="1:1">
      <c r="A34166" t="inlineStr">
        <is>
          <t>San Luis I</t>
        </is>
      </c>
    </row>
    <row r="34167" spans="1:1">
      <c r="A34167" t="inlineStr">
        <is>
          <t>San Luis II</t>
        </is>
      </c>
    </row>
    <row r="34168" spans="1:1">
      <c r="A34168" t="inlineStr">
        <is>
          <t>San Miguel</t>
        </is>
      </c>
    </row>
    <row r="34169" spans="1:1">
      <c r="A34169" t="inlineStr">
        <is>
          <t>San Pedro I</t>
        </is>
      </c>
    </row>
    <row r="34170" spans="1:1">
      <c r="A34170" t="inlineStr">
        <is>
          <t>San Pedro II</t>
        </is>
      </c>
    </row>
    <row r="34171" spans="1:1">
      <c r="A34171" t="inlineStr">
        <is>
          <t>San Roque</t>
        </is>
      </c>
    </row>
    <row r="34172" spans="1:1">
      <c r="A34172" t="inlineStr">
        <is>
          <t>Santa Cruz</t>
        </is>
      </c>
    </row>
    <row r="34173" spans="1:1">
      <c r="A34173" t="inlineStr">
        <is>
          <t>Santa Maria</t>
        </is>
      </c>
    </row>
    <row r="34174" spans="1:1">
      <c r="A34174" t="inlineStr">
        <is>
          <t>Santa Teresita</t>
        </is>
      </c>
    </row>
    <row r="34175" spans="1:1">
      <c r="A34175" t="inlineStr">
        <is>
          <t>Sintones</t>
        </is>
      </c>
    </row>
    <row r="34176" spans="1:1">
      <c r="A34176" t="inlineStr">
        <is>
          <t>Sisi</t>
        </is>
      </c>
    </row>
    <row r="34177" spans="1:1">
      <c r="A34177" t="inlineStr">
        <is>
          <t>Tikay</t>
        </is>
      </c>
    </row>
    <row r="34178" spans="1:1">
      <c r="A34178" t="inlineStr">
        <is>
          <t>Triumpo</t>
        </is>
      </c>
    </row>
    <row r="34179" spans="1:1">
      <c r="A34179" t="inlineStr">
        <is>
          <t>Villa Hiwasayan</t>
        </is>
      </c>
    </row>
    <row r="34180" spans="1:1">
      <c r="A34180" t="inlineStr">
        <is>
          <t>Adia Bitaog</t>
        </is>
      </c>
    </row>
    <row r="34181" spans="1:1">
      <c r="A34181" t="inlineStr">
        <is>
          <t>Anonangin</t>
        </is>
      </c>
    </row>
    <row r="34182" spans="1:1">
      <c r="A34182" t="inlineStr">
        <is>
          <t>Bagong Buhay</t>
        </is>
      </c>
    </row>
    <row r="34183" spans="1:1">
      <c r="A34183" t="inlineStr">
        <is>
          <t>Bamban</t>
        </is>
      </c>
    </row>
    <row r="34184" spans="1:1">
      <c r="A34184" t="inlineStr">
        <is>
          <t>Bantad</t>
        </is>
      </c>
    </row>
    <row r="34185" spans="1:1">
      <c r="A34185" t="inlineStr">
        <is>
          <t>Batong Dalig</t>
        </is>
      </c>
    </row>
    <row r="34186" spans="1:1">
      <c r="A34186" t="inlineStr">
        <is>
          <t>Biga</t>
        </is>
      </c>
    </row>
    <row r="34187" spans="1:1">
      <c r="A34187" t="inlineStr">
        <is>
          <t>Binambang</t>
        </is>
      </c>
    </row>
    <row r="34188" spans="1:1">
      <c r="A34188" t="inlineStr">
        <is>
          <t>Buensuceso</t>
        </is>
      </c>
    </row>
    <row r="34189" spans="1:1">
      <c r="A34189" t="inlineStr">
        <is>
          <t>Bungahan</t>
        </is>
      </c>
    </row>
    <row r="34190" spans="1:1">
      <c r="A34190" t="inlineStr">
        <is>
          <t>Butaguin</t>
        </is>
      </c>
    </row>
    <row r="34191" spans="1:1">
      <c r="A34191" t="inlineStr">
        <is>
          <t>Calumangin</t>
        </is>
      </c>
    </row>
    <row r="34192" spans="1:1">
      <c r="A34192" t="inlineStr">
        <is>
          <t>Camohaguin</t>
        </is>
      </c>
    </row>
    <row r="34193" spans="1:1">
      <c r="A34193" t="inlineStr">
        <is>
          <t>Casasahan Ibaba</t>
        </is>
      </c>
    </row>
    <row r="34194" spans="1:1">
      <c r="A34194" t="inlineStr">
        <is>
          <t>Casasahan Ilaya</t>
        </is>
      </c>
    </row>
    <row r="34195" spans="1:1">
      <c r="A34195" t="inlineStr">
        <is>
          <t>Cawayan</t>
        </is>
      </c>
    </row>
    <row r="34196" spans="1:1">
      <c r="A34196" t="inlineStr">
        <is>
          <t>Gayagayaan</t>
        </is>
      </c>
    </row>
    <row r="34197" spans="1:1">
      <c r="A34197" t="inlineStr">
        <is>
          <t>Gitnang Barrio</t>
        </is>
      </c>
    </row>
    <row r="34198" spans="1:1">
      <c r="A34198" t="inlineStr">
        <is>
          <t>Hagakhakin</t>
        </is>
      </c>
    </row>
    <row r="34199" spans="1:1">
      <c r="A34199" t="inlineStr">
        <is>
          <t>Hardinan</t>
        </is>
      </c>
    </row>
    <row r="34200" spans="1:1">
      <c r="A34200" t="inlineStr">
        <is>
          <t>Inaclagan</t>
        </is>
      </c>
    </row>
    <row r="34201" spans="1:1">
      <c r="A34201" t="inlineStr">
        <is>
          <t>Inagbuhan Ilaya</t>
        </is>
      </c>
    </row>
    <row r="34202" spans="1:1">
      <c r="A34202" t="inlineStr">
        <is>
          <t>Labnig</t>
        </is>
      </c>
    </row>
    <row r="34203" spans="1:1">
      <c r="A34203" t="inlineStr">
        <is>
          <t>Laguna</t>
        </is>
      </c>
    </row>
    <row r="34204" spans="1:1">
      <c r="A34204" t="inlineStr">
        <is>
          <t>Lagyo</t>
        </is>
      </c>
    </row>
    <row r="34205" spans="1:1">
      <c r="A34205" t="inlineStr">
        <is>
          <t>Mabini</t>
        </is>
      </c>
    </row>
    <row r="34206" spans="1:1">
      <c r="A34206" t="inlineStr">
        <is>
          <t>Mabunga</t>
        </is>
      </c>
    </row>
    <row r="34207" spans="1:1">
      <c r="A34207" t="inlineStr">
        <is>
          <t>Malabtog</t>
        </is>
      </c>
    </row>
    <row r="34208" spans="1:1">
      <c r="A34208" t="inlineStr">
        <is>
          <t>Manlayaan</t>
        </is>
      </c>
    </row>
    <row r="34209" spans="1:1">
      <c r="A34209" t="inlineStr">
        <is>
          <t>Marcelo H. Del Pilar</t>
        </is>
      </c>
    </row>
    <row r="34210" spans="1:1">
      <c r="A34210" t="inlineStr">
        <is>
          <t>Mataas Na Bundok</t>
        </is>
      </c>
    </row>
    <row r="34211" spans="1:1">
      <c r="A34211" t="inlineStr">
        <is>
          <t>Maunlad</t>
        </is>
      </c>
    </row>
    <row r="34212" spans="1:1">
      <c r="A34212" t="inlineStr">
        <is>
          <t>Pagsabangan</t>
        </is>
      </c>
    </row>
    <row r="34213" spans="1:1">
      <c r="A34213" t="inlineStr">
        <is>
          <t>Panikihan</t>
        </is>
      </c>
    </row>
    <row r="34214" spans="1:1">
      <c r="A34214" t="inlineStr">
        <is>
          <t>Peñafrancia</t>
        </is>
      </c>
    </row>
    <row r="34215" spans="1:1">
      <c r="A34215" t="inlineStr">
        <is>
          <t>Pipisik</t>
        </is>
      </c>
    </row>
    <row r="34216" spans="1:1">
      <c r="A34216" t="inlineStr">
        <is>
          <t>Progreso</t>
        </is>
      </c>
    </row>
    <row r="34217" spans="1:1">
      <c r="A34217" t="inlineStr">
        <is>
          <t>Rizal</t>
        </is>
      </c>
    </row>
    <row r="34218" spans="1:1">
      <c r="A34218" t="inlineStr">
        <is>
          <t>Rosario</t>
        </is>
      </c>
    </row>
    <row r="34219" spans="1:1">
      <c r="A34219" t="inlineStr">
        <is>
          <t>San Agustin</t>
        </is>
      </c>
    </row>
    <row r="34220" spans="1:1">
      <c r="A34220" t="inlineStr">
        <is>
          <t>San Diego</t>
        </is>
      </c>
    </row>
    <row r="34221" spans="1:1">
      <c r="A34221" t="inlineStr">
        <is>
          <t>San Diego Poblacion</t>
        </is>
      </c>
    </row>
    <row r="34222" spans="1:1">
      <c r="A34222" t="inlineStr">
        <is>
          <t>San Isidro Kanluran</t>
        </is>
      </c>
    </row>
    <row r="34223" spans="1:1">
      <c r="A34223" t="inlineStr">
        <is>
          <t>San Isidro Silangan</t>
        </is>
      </c>
    </row>
    <row r="34224" spans="1:1">
      <c r="A34224" t="inlineStr">
        <is>
          <t>San Juan De Jesus</t>
        </is>
      </c>
    </row>
    <row r="34225" spans="1:1">
      <c r="A34225" t="inlineStr">
        <is>
          <t>San Vicente</t>
        </is>
      </c>
    </row>
    <row r="34226" spans="1:1">
      <c r="A34226" t="inlineStr">
        <is>
          <t>Sastre</t>
        </is>
      </c>
    </row>
    <row r="34227" spans="1:1">
      <c r="A34227" t="inlineStr">
        <is>
          <t>Tabing Dagat</t>
        </is>
      </c>
    </row>
    <row r="34228" spans="1:1">
      <c r="A34228" t="inlineStr">
        <is>
          <t>Tumayan</t>
        </is>
      </c>
    </row>
    <row r="34229" spans="1:1">
      <c r="A34229" t="inlineStr">
        <is>
          <t>Villa Arcaya</t>
        </is>
      </c>
    </row>
    <row r="34230" spans="1:1">
      <c r="A34230" t="inlineStr">
        <is>
          <t>Villa Bota</t>
        </is>
      </c>
    </row>
    <row r="34231" spans="1:1">
      <c r="A34231" t="inlineStr">
        <is>
          <t>Villa Fuerte</t>
        </is>
      </c>
    </row>
    <row r="34232" spans="1:1">
      <c r="A34232" t="inlineStr">
        <is>
          <t>Villa M. Principe</t>
        </is>
      </c>
    </row>
    <row r="34233" spans="1:1">
      <c r="A34233" t="inlineStr">
        <is>
          <t>Villa Mendoza</t>
        </is>
      </c>
    </row>
    <row r="34234" spans="1:1">
      <c r="A34234" t="inlineStr">
        <is>
          <t>Villa Nava</t>
        </is>
      </c>
    </row>
    <row r="34235" spans="1:1">
      <c r="A34235" t="inlineStr">
        <is>
          <t>Villa Padua</t>
        </is>
      </c>
    </row>
    <row r="34236" spans="1:1">
      <c r="A34236" t="inlineStr">
        <is>
          <t>Villa Perez</t>
        </is>
      </c>
    </row>
    <row r="34237" spans="1:1">
      <c r="A34237" t="inlineStr">
        <is>
          <t>Villa Tañada</t>
        </is>
      </c>
    </row>
    <row r="34238" spans="1:1">
      <c r="A34238" t="inlineStr">
        <is>
          <t>Villa Victoria</t>
        </is>
      </c>
    </row>
    <row r="34239" spans="1:1">
      <c r="A34239" t="inlineStr">
        <is>
          <t>Abiawin</t>
        </is>
      </c>
    </row>
    <row r="34240" spans="1:1">
      <c r="A34240" t="inlineStr">
        <is>
          <t>Agos-agos</t>
        </is>
      </c>
    </row>
    <row r="34241" spans="1:1">
      <c r="A34241" t="inlineStr">
        <is>
          <t>Alitas</t>
        </is>
      </c>
    </row>
    <row r="34242" spans="1:1">
      <c r="A34242" t="inlineStr">
        <is>
          <t>Amolongin</t>
        </is>
      </c>
    </row>
    <row r="34243" spans="1:1">
      <c r="A34243" t="inlineStr">
        <is>
          <t>Anibong</t>
        </is>
      </c>
    </row>
    <row r="34244" spans="1:1">
      <c r="A34244" t="inlineStr">
        <is>
          <t>Antikin</t>
        </is>
      </c>
    </row>
    <row r="34245" spans="1:1">
      <c r="A34245" t="inlineStr">
        <is>
          <t>Bacong</t>
        </is>
      </c>
    </row>
    <row r="34246" spans="1:1">
      <c r="A34246" t="inlineStr">
        <is>
          <t>Balobo</t>
        </is>
      </c>
    </row>
    <row r="34247" spans="1:1">
      <c r="A34247" t="inlineStr">
        <is>
          <t>Bantilan</t>
        </is>
      </c>
    </row>
    <row r="34248" spans="1:1">
      <c r="A34248" t="inlineStr">
        <is>
          <t>Banugao</t>
        </is>
      </c>
    </row>
    <row r="34249" spans="1:1">
      <c r="A34249" t="inlineStr">
        <is>
          <t>Batican</t>
        </is>
      </c>
    </row>
    <row r="34250" spans="1:1">
      <c r="A34250" t="inlineStr">
        <is>
          <t>Binonoan</t>
        </is>
      </c>
    </row>
    <row r="34251" spans="1:1">
      <c r="A34251" t="inlineStr">
        <is>
          <t>Binulasan</t>
        </is>
      </c>
    </row>
    <row r="34252" spans="1:1">
      <c r="A34252" t="inlineStr">
        <is>
          <t>Boboin</t>
        </is>
      </c>
    </row>
    <row r="34253" spans="1:1">
      <c r="A34253" t="inlineStr">
        <is>
          <t>Catambungan</t>
        </is>
      </c>
    </row>
    <row r="34254" spans="1:1">
      <c r="A34254" t="inlineStr">
        <is>
          <t>Cawaynin</t>
        </is>
      </c>
    </row>
    <row r="34255" spans="1:1">
      <c r="A34255" t="inlineStr">
        <is>
          <t>Comon</t>
        </is>
      </c>
    </row>
    <row r="34256" spans="1:1">
      <c r="A34256" t="inlineStr">
        <is>
          <t>Dinahican</t>
        </is>
      </c>
    </row>
    <row r="34257" spans="1:1">
      <c r="A34257" t="inlineStr">
        <is>
          <t>Gumian</t>
        </is>
      </c>
    </row>
    <row r="34258" spans="1:1">
      <c r="A34258" t="inlineStr">
        <is>
          <t>Ilog</t>
        </is>
      </c>
    </row>
    <row r="34259" spans="1:1">
      <c r="A34259" t="inlineStr">
        <is>
          <t>Ingas</t>
        </is>
      </c>
    </row>
    <row r="34260" spans="1:1">
      <c r="A34260" t="inlineStr">
        <is>
          <t>Langgas</t>
        </is>
      </c>
    </row>
    <row r="34261" spans="1:1">
      <c r="A34261" t="inlineStr">
        <is>
          <t>Libjo</t>
        </is>
      </c>
    </row>
    <row r="34262" spans="1:1">
      <c r="A34262" t="inlineStr">
        <is>
          <t>Lual</t>
        </is>
      </c>
    </row>
    <row r="34263" spans="1:1">
      <c r="A34263" t="inlineStr">
        <is>
          <t>Magsaysay</t>
        </is>
      </c>
    </row>
    <row r="34264" spans="1:1">
      <c r="A34264" t="inlineStr">
        <is>
          <t>Maypulot</t>
        </is>
      </c>
    </row>
    <row r="34265" spans="1:1">
      <c r="A34265" t="inlineStr">
        <is>
          <t>Miswa</t>
        </is>
      </c>
    </row>
    <row r="34266" spans="1:1">
      <c r="A34266" t="inlineStr">
        <is>
          <t>Pilaway</t>
        </is>
      </c>
    </row>
    <row r="34267" spans="1:1">
      <c r="A34267" t="inlineStr">
        <is>
          <t>Pinaglapatan</t>
        </is>
      </c>
    </row>
    <row r="34268" spans="1:1">
      <c r="A34268" t="inlineStr">
        <is>
          <t>Poblacion 1</t>
        </is>
      </c>
    </row>
    <row r="34269" spans="1:1">
      <c r="A34269" t="inlineStr">
        <is>
          <t>Poblacion 38</t>
        </is>
      </c>
    </row>
    <row r="34270" spans="1:1">
      <c r="A34270" t="inlineStr">
        <is>
          <t>Poblacion 39</t>
        </is>
      </c>
    </row>
    <row r="34271" spans="1:1">
      <c r="A34271" t="inlineStr">
        <is>
          <t>Pulo</t>
        </is>
      </c>
    </row>
    <row r="34272" spans="1:1">
      <c r="A34272" t="inlineStr">
        <is>
          <t>Silangan</t>
        </is>
      </c>
    </row>
    <row r="34273" spans="1:1">
      <c r="A34273" t="inlineStr">
        <is>
          <t>Tongohin</t>
        </is>
      </c>
    </row>
    <row r="34274" spans="1:1">
      <c r="A34274" t="inlineStr">
        <is>
          <t>Tudturan</t>
        </is>
      </c>
    </row>
    <row r="34275" spans="1:1">
      <c r="A34275" t="inlineStr">
        <is>
          <t>Apad</t>
        </is>
      </c>
    </row>
    <row r="34276" spans="1:1">
      <c r="A34276" t="inlineStr">
        <is>
          <t>Bukal</t>
        </is>
      </c>
    </row>
    <row r="34277" spans="1:1">
      <c r="A34277" t="inlineStr">
        <is>
          <t>Casuguran</t>
        </is>
      </c>
    </row>
    <row r="34278" spans="1:1">
      <c r="A34278" t="inlineStr">
        <is>
          <t>Gango</t>
        </is>
      </c>
    </row>
    <row r="34279" spans="1:1">
      <c r="A34279" t="inlineStr">
        <is>
          <t>Talisoy</t>
        </is>
      </c>
    </row>
    <row r="34280" spans="1:1">
      <c r="A34280" t="inlineStr">
        <is>
          <t>Bacungan</t>
        </is>
      </c>
    </row>
    <row r="34281" spans="1:1">
      <c r="A34281" t="inlineStr">
        <is>
          <t>Bagacay</t>
        </is>
      </c>
    </row>
    <row r="34282" spans="1:1">
      <c r="A34282" t="inlineStr">
        <is>
          <t>Banabahin Ibaba</t>
        </is>
      </c>
    </row>
    <row r="34283" spans="1:1">
      <c r="A34283" t="inlineStr">
        <is>
          <t>Banabahin Ilaya</t>
        </is>
      </c>
    </row>
    <row r="34284" spans="1:1">
      <c r="A34284" t="inlineStr">
        <is>
          <t>Bayabas</t>
        </is>
      </c>
    </row>
    <row r="34285" spans="1:1">
      <c r="A34285" t="inlineStr">
        <is>
          <t>Bebito</t>
        </is>
      </c>
    </row>
    <row r="34286" spans="1:1">
      <c r="A34286" t="inlineStr">
        <is>
          <t>Bigajo</t>
        </is>
      </c>
    </row>
    <row r="34287" spans="1:1">
      <c r="A34287" t="inlineStr">
        <is>
          <t>Binahian A</t>
        </is>
      </c>
    </row>
    <row r="34288" spans="1:1">
      <c r="A34288" t="inlineStr">
        <is>
          <t>Binahian B</t>
        </is>
      </c>
    </row>
    <row r="34289" spans="1:1">
      <c r="A34289" t="inlineStr">
        <is>
          <t>Binahian C</t>
        </is>
      </c>
    </row>
    <row r="34290" spans="1:1">
      <c r="A34290" t="inlineStr">
        <is>
          <t>Bocboc</t>
        </is>
      </c>
    </row>
    <row r="34291" spans="1:1">
      <c r="A34291" t="inlineStr">
        <is>
          <t>Buenavista</t>
        </is>
      </c>
    </row>
    <row r="34292" spans="1:1">
      <c r="A34292" t="inlineStr">
        <is>
          <t>Burgos</t>
        </is>
      </c>
    </row>
    <row r="34293" spans="1:1">
      <c r="A34293" t="inlineStr">
        <is>
          <t>Buyacanin</t>
        </is>
      </c>
    </row>
    <row r="34294" spans="1:1">
      <c r="A34294" t="inlineStr">
        <is>
          <t>Cagacag</t>
        </is>
      </c>
    </row>
    <row r="34295" spans="1:1">
      <c r="A34295" t="inlineStr">
        <is>
          <t>Calantipayan</t>
        </is>
      </c>
    </row>
    <row r="34296" spans="1:1">
      <c r="A34296" t="inlineStr">
        <is>
          <t>Canda Ibaba</t>
        </is>
      </c>
    </row>
    <row r="34297" spans="1:1">
      <c r="A34297" t="inlineStr">
        <is>
          <t>Canda Ilaya</t>
        </is>
      </c>
    </row>
    <row r="34298" spans="1:1">
      <c r="A34298" t="inlineStr">
        <is>
          <t>Cawayan</t>
        </is>
      </c>
    </row>
    <row r="34299" spans="1:1">
      <c r="A34299" t="inlineStr">
        <is>
          <t>Cawayanin</t>
        </is>
      </c>
    </row>
    <row r="34300" spans="1:1">
      <c r="A34300" t="inlineStr">
        <is>
          <t>Cogorin Ibaba</t>
        </is>
      </c>
    </row>
    <row r="34301" spans="1:1">
      <c r="A34301" t="inlineStr">
        <is>
          <t>Cogorin Ilaya</t>
        </is>
      </c>
    </row>
    <row r="34302" spans="1:1">
      <c r="A34302" t="inlineStr">
        <is>
          <t>Concepcion</t>
        </is>
      </c>
    </row>
    <row r="34303" spans="1:1">
      <c r="A34303" t="inlineStr">
        <is>
          <t>Danlagan</t>
        </is>
      </c>
    </row>
    <row r="34304" spans="1:1">
      <c r="A34304" t="inlineStr">
        <is>
          <t>De La Paz</t>
        </is>
      </c>
    </row>
    <row r="34305" spans="1:1">
      <c r="A34305" t="inlineStr">
        <is>
          <t>Del Pilar</t>
        </is>
      </c>
    </row>
    <row r="34306" spans="1:1">
      <c r="A34306" t="inlineStr">
        <is>
          <t>Del Rosario</t>
        </is>
      </c>
    </row>
    <row r="34307" spans="1:1">
      <c r="A34307" t="inlineStr">
        <is>
          <t>Esperanza Ibaba</t>
        </is>
      </c>
    </row>
    <row r="34308" spans="1:1">
      <c r="A34308" t="inlineStr">
        <is>
          <t>Esperanza Ilaya</t>
        </is>
      </c>
    </row>
    <row r="34309" spans="1:1">
      <c r="A34309" t="inlineStr">
        <is>
          <t>Gomez</t>
        </is>
      </c>
    </row>
    <row r="34310" spans="1:1">
      <c r="A34310" t="inlineStr">
        <is>
          <t>Guihay</t>
        </is>
      </c>
    </row>
    <row r="34311" spans="1:1">
      <c r="A34311" t="inlineStr">
        <is>
          <t>Guinuangan</t>
        </is>
      </c>
    </row>
    <row r="34312" spans="1:1">
      <c r="A34312" t="inlineStr">
        <is>
          <t>Guites</t>
        </is>
      </c>
    </row>
    <row r="34313" spans="1:1">
      <c r="A34313" t="inlineStr">
        <is>
          <t>Hondagua</t>
        </is>
      </c>
    </row>
    <row r="34314" spans="1:1">
      <c r="A34314" t="inlineStr">
        <is>
          <t>Ilayang Ilog A</t>
        </is>
      </c>
    </row>
    <row r="34315" spans="1:1">
      <c r="A34315" t="inlineStr">
        <is>
          <t>Ilayang Ilog B</t>
        </is>
      </c>
    </row>
    <row r="34316" spans="1:1">
      <c r="A34316" t="inlineStr">
        <is>
          <t>Inalusan</t>
        </is>
      </c>
    </row>
    <row r="34317" spans="1:1">
      <c r="A34317" t="inlineStr">
        <is>
          <t>Jongo</t>
        </is>
      </c>
    </row>
    <row r="34318" spans="1:1">
      <c r="A34318" t="inlineStr">
        <is>
          <t>Lalaguna</t>
        </is>
      </c>
    </row>
    <row r="34319" spans="1:1">
      <c r="A34319" t="inlineStr">
        <is>
          <t>Lourdes</t>
        </is>
      </c>
    </row>
    <row r="34320" spans="1:1">
      <c r="A34320" t="inlineStr">
        <is>
          <t>Mabanban</t>
        </is>
      </c>
    </row>
    <row r="34321" spans="1:1">
      <c r="A34321" t="inlineStr">
        <is>
          <t>Mabini</t>
        </is>
      </c>
    </row>
    <row r="34322" spans="1:1">
      <c r="A34322" t="inlineStr">
        <is>
          <t>Magallanes</t>
        </is>
      </c>
    </row>
    <row r="34323" spans="1:1">
      <c r="A34323" t="inlineStr">
        <is>
          <t>Magsaysay</t>
        </is>
      </c>
    </row>
    <row r="34324" spans="1:1">
      <c r="A34324" t="inlineStr">
        <is>
          <t>Maguilayan</t>
        </is>
      </c>
    </row>
    <row r="34325" spans="1:1">
      <c r="A34325" t="inlineStr">
        <is>
          <t>Mahayod-Hayod</t>
        </is>
      </c>
    </row>
    <row r="34326" spans="1:1">
      <c r="A34326" t="inlineStr">
        <is>
          <t>Mal-ay</t>
        </is>
      </c>
    </row>
    <row r="34327" spans="1:1">
      <c r="A34327" t="inlineStr">
        <is>
          <t>Mandoog</t>
        </is>
      </c>
    </row>
    <row r="34328" spans="1:1">
      <c r="A34328" t="inlineStr">
        <is>
          <t>Manguisian</t>
        </is>
      </c>
    </row>
    <row r="34329" spans="1:1">
      <c r="A34329" t="inlineStr">
        <is>
          <t>Matinik</t>
        </is>
      </c>
    </row>
    <row r="34330" spans="1:1">
      <c r="A34330" t="inlineStr">
        <is>
          <t>Monteclaro</t>
        </is>
      </c>
    </row>
    <row r="34331" spans="1:1">
      <c r="A34331" t="inlineStr">
        <is>
          <t>Pamampangin</t>
        </is>
      </c>
    </row>
    <row r="34332" spans="1:1">
      <c r="A34332" t="inlineStr">
        <is>
          <t>Pansol</t>
        </is>
      </c>
    </row>
    <row r="34333" spans="1:1">
      <c r="A34333" t="inlineStr">
        <is>
          <t>Peñafrancia</t>
        </is>
      </c>
    </row>
    <row r="34334" spans="1:1">
      <c r="A34334" t="inlineStr">
        <is>
          <t>Pisipis</t>
        </is>
      </c>
    </row>
    <row r="34335" spans="1:1">
      <c r="A34335" t="inlineStr">
        <is>
          <t>Rizal (Poblacion)</t>
        </is>
      </c>
    </row>
    <row r="34336" spans="1:1">
      <c r="A34336" t="inlineStr">
        <is>
          <t>Rizal (Rural)</t>
        </is>
      </c>
    </row>
    <row r="34337" spans="1:1">
      <c r="A34337" t="inlineStr">
        <is>
          <t>Roma</t>
        </is>
      </c>
    </row>
    <row r="34338" spans="1:1">
      <c r="A34338" t="inlineStr">
        <is>
          <t>Rosario</t>
        </is>
      </c>
    </row>
    <row r="34339" spans="1:1">
      <c r="A34339" t="inlineStr">
        <is>
          <t>Samat</t>
        </is>
      </c>
    </row>
    <row r="34340" spans="1:1">
      <c r="A34340" t="inlineStr">
        <is>
          <t>San Andres</t>
        </is>
      </c>
    </row>
    <row r="34341" spans="1:1">
      <c r="A34341" t="inlineStr">
        <is>
          <t>San Antonio</t>
        </is>
      </c>
    </row>
    <row r="34342" spans="1:1">
      <c r="A34342" t="inlineStr">
        <is>
          <t>San Francisco A</t>
        </is>
      </c>
    </row>
    <row r="34343" spans="1:1">
      <c r="A34343" t="inlineStr">
        <is>
          <t>San Francisco B</t>
        </is>
      </c>
    </row>
    <row r="34344" spans="1:1">
      <c r="A34344" t="inlineStr">
        <is>
          <t>San Isidro</t>
        </is>
      </c>
    </row>
    <row r="34345" spans="1:1">
      <c r="A34345" t="inlineStr">
        <is>
          <t>San Jose</t>
        </is>
      </c>
    </row>
    <row r="34346" spans="1:1">
      <c r="A34346" t="inlineStr">
        <is>
          <t>San Miguel</t>
        </is>
      </c>
    </row>
    <row r="34347" spans="1:1">
      <c r="A34347" t="inlineStr">
        <is>
          <t>San Pedro</t>
        </is>
      </c>
    </row>
    <row r="34348" spans="1:1">
      <c r="A34348" t="inlineStr">
        <is>
          <t>San Rafael</t>
        </is>
      </c>
    </row>
    <row r="34349" spans="1:1">
      <c r="A34349" t="inlineStr">
        <is>
          <t>San Roque</t>
        </is>
      </c>
    </row>
    <row r="34350" spans="1:1">
      <c r="A34350" t="inlineStr">
        <is>
          <t>Santa Catalina</t>
        </is>
      </c>
    </row>
    <row r="34351" spans="1:1">
      <c r="A34351" t="inlineStr">
        <is>
          <t>Santa Elena</t>
        </is>
      </c>
    </row>
    <row r="34352" spans="1:1">
      <c r="A34352" t="inlineStr">
        <is>
          <t>Santa Jacobe</t>
        </is>
      </c>
    </row>
    <row r="34353" spans="1:1">
      <c r="A34353" t="inlineStr">
        <is>
          <t>Santa Lucia</t>
        </is>
      </c>
    </row>
    <row r="34354" spans="1:1">
      <c r="A34354" t="inlineStr">
        <is>
          <t>Santa Maria</t>
        </is>
      </c>
    </row>
    <row r="34355" spans="1:1">
      <c r="A34355" t="inlineStr">
        <is>
          <t>Santa Rosa</t>
        </is>
      </c>
    </row>
    <row r="34356" spans="1:1">
      <c r="A34356" t="inlineStr">
        <is>
          <t>Santa Teresa</t>
        </is>
      </c>
    </row>
    <row r="34357" spans="1:1">
      <c r="A34357" t="inlineStr">
        <is>
          <t>Santo Niño Ibaba</t>
        </is>
      </c>
    </row>
    <row r="34358" spans="1:1">
      <c r="A34358" t="inlineStr">
        <is>
          <t>Santo Niño Ilaya</t>
        </is>
      </c>
    </row>
    <row r="34359" spans="1:1">
      <c r="A34359" t="inlineStr">
        <is>
          <t>Silang</t>
        </is>
      </c>
    </row>
    <row r="34360" spans="1:1">
      <c r="A34360" t="inlineStr">
        <is>
          <t>Sugod</t>
        </is>
      </c>
    </row>
    <row r="34361" spans="1:1">
      <c r="A34361" t="inlineStr">
        <is>
          <t>Sumalang</t>
        </is>
      </c>
    </row>
    <row r="34362" spans="1:1">
      <c r="A34362" t="inlineStr">
        <is>
          <t>Talolong</t>
        </is>
      </c>
    </row>
    <row r="34363" spans="1:1">
      <c r="A34363" t="inlineStr">
        <is>
          <t>Tan-ag Ibaba</t>
        </is>
      </c>
    </row>
    <row r="34364" spans="1:1">
      <c r="A34364" t="inlineStr">
        <is>
          <t>Tan-ag Ilaya</t>
        </is>
      </c>
    </row>
    <row r="34365" spans="1:1">
      <c r="A34365" t="inlineStr">
        <is>
          <t>Tocalin</t>
        </is>
      </c>
    </row>
    <row r="34366" spans="1:1">
      <c r="A34366" t="inlineStr">
        <is>
          <t>Vegaflor</t>
        </is>
      </c>
    </row>
    <row r="34367" spans="1:1">
      <c r="A34367" t="inlineStr">
        <is>
          <t>Vergaña</t>
        </is>
      </c>
    </row>
    <row r="34368" spans="1:1">
      <c r="A34368" t="inlineStr">
        <is>
          <t>Veronica</t>
        </is>
      </c>
    </row>
    <row r="34369" spans="1:1">
      <c r="A34369" t="inlineStr">
        <is>
          <t>Villa Aurora</t>
        </is>
      </c>
    </row>
    <row r="34370" spans="1:1">
      <c r="A34370" t="inlineStr">
        <is>
          <t>Villa Espina</t>
        </is>
      </c>
    </row>
    <row r="34371" spans="1:1">
      <c r="A34371" t="inlineStr">
        <is>
          <t>Villa Geda</t>
        </is>
      </c>
    </row>
    <row r="34372" spans="1:1">
      <c r="A34372" t="inlineStr">
        <is>
          <t>Villa Hermosa</t>
        </is>
      </c>
    </row>
    <row r="34373" spans="1:1">
      <c r="A34373" t="inlineStr">
        <is>
          <t>Villamonte</t>
        </is>
      </c>
    </row>
    <row r="34374" spans="1:1">
      <c r="A34374" t="inlineStr">
        <is>
          <t>Villanacaob</t>
        </is>
      </c>
    </row>
    <row r="34375" spans="1:1">
      <c r="A34375" t="inlineStr">
        <is>
          <t>Abang</t>
        </is>
      </c>
    </row>
    <row r="34376" spans="1:1">
      <c r="A34376" t="inlineStr">
        <is>
          <t>Aliliw</t>
        </is>
      </c>
    </row>
    <row r="34377" spans="1:1">
      <c r="A34377" t="inlineStr">
        <is>
          <t>Atulinao</t>
        </is>
      </c>
    </row>
    <row r="34378" spans="1:1">
      <c r="A34378" t="inlineStr">
        <is>
          <t>Ayuti</t>
        </is>
      </c>
    </row>
    <row r="34379" spans="1:1">
      <c r="A34379" t="inlineStr">
        <is>
          <t>Barangay 1</t>
        </is>
      </c>
    </row>
    <row r="34380" spans="1:1">
      <c r="A34380" t="inlineStr">
        <is>
          <t>Barangay 10</t>
        </is>
      </c>
    </row>
    <row r="34381" spans="1:1">
      <c r="A34381" t="inlineStr">
        <is>
          <t>Barangay 2</t>
        </is>
      </c>
    </row>
    <row r="34382" spans="1:1">
      <c r="A34382" t="inlineStr">
        <is>
          <t>Barangay 3</t>
        </is>
      </c>
    </row>
    <row r="34383" spans="1:1">
      <c r="A34383" t="inlineStr">
        <is>
          <t>Barangay 4</t>
        </is>
      </c>
    </row>
    <row r="34384" spans="1:1">
      <c r="A34384" t="inlineStr">
        <is>
          <t>Barangay 5</t>
        </is>
      </c>
    </row>
    <row r="34385" spans="1:1">
      <c r="A34385" t="inlineStr">
        <is>
          <t>Barangay 6</t>
        </is>
      </c>
    </row>
    <row r="34386" spans="1:1">
      <c r="A34386" t="inlineStr">
        <is>
          <t>Barangay 7</t>
        </is>
      </c>
    </row>
    <row r="34387" spans="1:1">
      <c r="A34387" t="inlineStr">
        <is>
          <t>Barangay 8</t>
        </is>
      </c>
    </row>
    <row r="34388" spans="1:1">
      <c r="A34388" t="inlineStr">
        <is>
          <t>Barangay 9</t>
        </is>
      </c>
    </row>
    <row r="34389" spans="1:1">
      <c r="A34389" t="inlineStr">
        <is>
          <t>Igang</t>
        </is>
      </c>
    </row>
    <row r="34390" spans="1:1">
      <c r="A34390" t="inlineStr">
        <is>
          <t>Kabatete</t>
        </is>
      </c>
    </row>
    <row r="34391" spans="1:1">
      <c r="A34391" t="inlineStr">
        <is>
          <t>Kakawit</t>
        </is>
      </c>
    </row>
    <row r="34392" spans="1:1">
      <c r="A34392" t="inlineStr">
        <is>
          <t>Kalangay</t>
        </is>
      </c>
    </row>
    <row r="34393" spans="1:1">
      <c r="A34393" t="inlineStr">
        <is>
          <t>Kalyaat</t>
        </is>
      </c>
    </row>
    <row r="34394" spans="1:1">
      <c r="A34394" t="inlineStr">
        <is>
          <t>Kilib</t>
        </is>
      </c>
    </row>
    <row r="34395" spans="1:1">
      <c r="A34395" t="inlineStr">
        <is>
          <t>Kulapi</t>
        </is>
      </c>
    </row>
    <row r="34396" spans="1:1">
      <c r="A34396" t="inlineStr">
        <is>
          <t>Mahabang Parang</t>
        </is>
      </c>
    </row>
    <row r="34397" spans="1:1">
      <c r="A34397" t="inlineStr">
        <is>
          <t>Malupak</t>
        </is>
      </c>
    </row>
    <row r="34398" spans="1:1">
      <c r="A34398" t="inlineStr">
        <is>
          <t>Manasa</t>
        </is>
      </c>
    </row>
    <row r="34399" spans="1:1">
      <c r="A34399" t="inlineStr">
        <is>
          <t>May-It</t>
        </is>
      </c>
    </row>
    <row r="34400" spans="1:1">
      <c r="A34400" t="inlineStr">
        <is>
          <t>Nagsinamo</t>
        </is>
      </c>
    </row>
    <row r="34401" spans="1:1">
      <c r="A34401" t="inlineStr">
        <is>
          <t>Nalunao</t>
        </is>
      </c>
    </row>
    <row r="34402" spans="1:1">
      <c r="A34402" t="inlineStr">
        <is>
          <t>Palola</t>
        </is>
      </c>
    </row>
    <row r="34403" spans="1:1">
      <c r="A34403" t="inlineStr">
        <is>
          <t>Piis</t>
        </is>
      </c>
    </row>
    <row r="34404" spans="1:1">
      <c r="A34404" t="inlineStr">
        <is>
          <t>Samil</t>
        </is>
      </c>
    </row>
    <row r="34405" spans="1:1">
      <c r="A34405" t="inlineStr">
        <is>
          <t>Tiawe</t>
        </is>
      </c>
    </row>
    <row r="34406" spans="1:1">
      <c r="A34406" t="inlineStr">
        <is>
          <t>Tinamnan</t>
        </is>
      </c>
    </row>
    <row r="34407" spans="1:1">
      <c r="A34407" t="inlineStr">
        <is>
          <t>Amontay</t>
        </is>
      </c>
    </row>
    <row r="34408" spans="1:1">
      <c r="A34408" t="inlineStr">
        <is>
          <t>Anos</t>
        </is>
      </c>
    </row>
    <row r="34409" spans="1:1">
      <c r="A34409" t="inlineStr">
        <is>
          <t>Buyao</t>
        </is>
      </c>
    </row>
    <row r="34410" spans="1:1">
      <c r="A34410" t="inlineStr">
        <is>
          <t>Calantas</t>
        </is>
      </c>
    </row>
    <row r="34411" spans="1:1">
      <c r="A34411" t="inlineStr">
        <is>
          <t>Candangal</t>
        </is>
      </c>
    </row>
    <row r="34412" spans="1:1">
      <c r="A34412" t="inlineStr">
        <is>
          <t>Castillo</t>
        </is>
      </c>
    </row>
    <row r="34413" spans="1:1">
      <c r="A34413" t="inlineStr">
        <is>
          <t>Damayan</t>
        </is>
      </c>
    </row>
    <row r="34414" spans="1:1">
      <c r="A34414" t="inlineStr">
        <is>
          <t>Lahing</t>
        </is>
      </c>
    </row>
    <row r="34415" spans="1:1">
      <c r="A34415" t="inlineStr">
        <is>
          <t>Luctob</t>
        </is>
      </c>
    </row>
    <row r="34416" spans="1:1">
      <c r="A34416" t="inlineStr">
        <is>
          <t>Mabini Ibaba</t>
        </is>
      </c>
    </row>
    <row r="34417" spans="1:1">
      <c r="A34417" t="inlineStr">
        <is>
          <t>Mabini Ilaya</t>
        </is>
      </c>
    </row>
    <row r="34418" spans="1:1">
      <c r="A34418" t="inlineStr">
        <is>
          <t>Malabahay</t>
        </is>
      </c>
    </row>
    <row r="34419" spans="1:1">
      <c r="A34419" t="inlineStr">
        <is>
          <t>Mambog</t>
        </is>
      </c>
    </row>
    <row r="34420" spans="1:1">
      <c r="A34420" t="inlineStr">
        <is>
          <t>Masipag</t>
        </is>
      </c>
    </row>
    <row r="34421" spans="1:1">
      <c r="A34421" t="inlineStr">
        <is>
          <t>Olongtao Ibaba</t>
        </is>
      </c>
    </row>
    <row r="34422" spans="1:1">
      <c r="A34422" t="inlineStr">
        <is>
          <t>Olongtao Ilaya</t>
        </is>
      </c>
    </row>
    <row r="34423" spans="1:1">
      <c r="A34423" t="inlineStr">
        <is>
          <t>Padre Herrera</t>
        </is>
      </c>
    </row>
    <row r="34424" spans="1:1">
      <c r="A34424" t="inlineStr">
        <is>
          <t>Pag-Asa</t>
        </is>
      </c>
    </row>
    <row r="34425" spans="1:1">
      <c r="A34425" t="inlineStr">
        <is>
          <t>Pajarillo</t>
        </is>
      </c>
    </row>
    <row r="34426" spans="1:1">
      <c r="A34426" t="inlineStr">
        <is>
          <t>Pinagbayanan</t>
        </is>
      </c>
    </row>
    <row r="34427" spans="1:1">
      <c r="A34427" t="inlineStr">
        <is>
          <t>Rizal</t>
        </is>
      </c>
    </row>
    <row r="34428" spans="1:1">
      <c r="A34428" t="inlineStr">
        <is>
          <t>Rodriquez</t>
        </is>
      </c>
    </row>
    <row r="34429" spans="1:1">
      <c r="A34429" t="inlineStr">
        <is>
          <t>San Isidro</t>
        </is>
      </c>
    </row>
    <row r="34430" spans="1:1">
      <c r="A34430" t="inlineStr">
        <is>
          <t>San Jose</t>
        </is>
      </c>
    </row>
    <row r="34431" spans="1:1">
      <c r="A34431" t="inlineStr">
        <is>
          <t>San Nicolas</t>
        </is>
      </c>
    </row>
    <row r="34432" spans="1:1">
      <c r="A34432" t="inlineStr">
        <is>
          <t>San Vicente</t>
        </is>
      </c>
    </row>
    <row r="34433" spans="1:1">
      <c r="A34433" t="inlineStr">
        <is>
          <t>Taguin</t>
        </is>
      </c>
    </row>
    <row r="34434" spans="1:1">
      <c r="A34434" t="inlineStr">
        <is>
          <t>Tubigan Ibaba</t>
        </is>
      </c>
    </row>
    <row r="34435" spans="1:1">
      <c r="A34435" t="inlineStr">
        <is>
          <t>Tubigan Ilaya</t>
        </is>
      </c>
    </row>
    <row r="34436" spans="1:1">
      <c r="A34436" t="inlineStr">
        <is>
          <t>Vista Hermosa</t>
        </is>
      </c>
    </row>
    <row r="34437" spans="1:1">
      <c r="A34437" t="inlineStr">
        <is>
          <t>Abo-abo</t>
        </is>
      </c>
    </row>
    <row r="34438" spans="1:1">
      <c r="A34438" t="inlineStr">
        <is>
          <t>Alitap</t>
        </is>
      </c>
    </row>
    <row r="34439" spans="1:1">
      <c r="A34439" t="inlineStr">
        <is>
          <t>Baao</t>
        </is>
      </c>
    </row>
    <row r="34440" spans="1:1">
      <c r="A34440" t="inlineStr">
        <is>
          <t>Bagong Bayan</t>
        </is>
      </c>
    </row>
    <row r="34441" spans="1:1">
      <c r="A34441" t="inlineStr">
        <is>
          <t>Balaybalay</t>
        </is>
      </c>
    </row>
    <row r="34442" spans="1:1">
      <c r="A34442" t="inlineStr">
        <is>
          <t>Bato</t>
        </is>
      </c>
    </row>
    <row r="34443" spans="1:1">
      <c r="A34443" t="inlineStr">
        <is>
          <t>Cagbalete I</t>
        </is>
      </c>
    </row>
    <row r="34444" spans="1:1">
      <c r="A34444" t="inlineStr">
        <is>
          <t>Cagbalete II</t>
        </is>
      </c>
    </row>
    <row r="34445" spans="1:1">
      <c r="A34445" t="inlineStr">
        <is>
          <t>Cagsiay I</t>
        </is>
      </c>
    </row>
    <row r="34446" spans="1:1">
      <c r="A34446" t="inlineStr">
        <is>
          <t>Cagsiay II</t>
        </is>
      </c>
    </row>
    <row r="34447" spans="1:1">
      <c r="A34447" t="inlineStr">
        <is>
          <t>Cagsiay III</t>
        </is>
      </c>
    </row>
    <row r="34448" spans="1:1">
      <c r="A34448" t="inlineStr">
        <is>
          <t>Concepcion</t>
        </is>
      </c>
    </row>
    <row r="34449" spans="1:1">
      <c r="A34449" t="inlineStr">
        <is>
          <t>Daungan</t>
        </is>
      </c>
    </row>
    <row r="34450" spans="1:1">
      <c r="A34450" t="inlineStr">
        <is>
          <t>Liwayway</t>
        </is>
      </c>
    </row>
    <row r="34451" spans="1:1">
      <c r="A34451" t="inlineStr">
        <is>
          <t>Lual</t>
        </is>
      </c>
    </row>
    <row r="34452" spans="1:1">
      <c r="A34452" t="inlineStr">
        <is>
          <t>Lual Rural</t>
        </is>
      </c>
    </row>
    <row r="34453" spans="1:1">
      <c r="A34453" t="inlineStr">
        <is>
          <t>Lucutan</t>
        </is>
      </c>
    </row>
    <row r="34454" spans="1:1">
      <c r="A34454" t="inlineStr">
        <is>
          <t>Luya-luya</t>
        </is>
      </c>
    </row>
    <row r="34455" spans="1:1">
      <c r="A34455" t="inlineStr">
        <is>
          <t>Mabato</t>
        </is>
      </c>
    </row>
    <row r="34456" spans="1:1">
      <c r="A34456" t="inlineStr">
        <is>
          <t>Macasin</t>
        </is>
      </c>
    </row>
    <row r="34457" spans="1:1">
      <c r="A34457" t="inlineStr">
        <is>
          <t>Polo</t>
        </is>
      </c>
    </row>
    <row r="34458" spans="1:1">
      <c r="A34458" t="inlineStr">
        <is>
          <t>Remedios I</t>
        </is>
      </c>
    </row>
    <row r="34459" spans="1:1">
      <c r="A34459" t="inlineStr">
        <is>
          <t>Remedios II</t>
        </is>
      </c>
    </row>
    <row r="34460" spans="1:1">
      <c r="A34460" t="inlineStr">
        <is>
          <t>Rizaliana</t>
        </is>
      </c>
    </row>
    <row r="34461" spans="1:1">
      <c r="A34461" t="inlineStr">
        <is>
          <t>Rosario</t>
        </is>
      </c>
    </row>
    <row r="34462" spans="1:1">
      <c r="A34462" t="inlineStr">
        <is>
          <t>Sadsaran</t>
        </is>
      </c>
    </row>
    <row r="34463" spans="1:1">
      <c r="A34463" t="inlineStr">
        <is>
          <t>San Gabriel</t>
        </is>
      </c>
    </row>
    <row r="34464" spans="1:1">
      <c r="A34464" t="inlineStr">
        <is>
          <t>San Isidro</t>
        </is>
      </c>
    </row>
    <row r="34465" spans="1:1">
      <c r="A34465" t="inlineStr">
        <is>
          <t>San Jose</t>
        </is>
      </c>
    </row>
    <row r="34466" spans="1:1">
      <c r="A34466" t="inlineStr">
        <is>
          <t>San Lorenzo</t>
        </is>
      </c>
    </row>
    <row r="34467" spans="1:1">
      <c r="A34467" t="inlineStr">
        <is>
          <t>San Miguel</t>
        </is>
      </c>
    </row>
    <row r="34468" spans="1:1">
      <c r="A34468" t="inlineStr">
        <is>
          <t>San Rafael</t>
        </is>
      </c>
    </row>
    <row r="34469" spans="1:1">
      <c r="A34469" t="inlineStr">
        <is>
          <t>San Roque</t>
        </is>
      </c>
    </row>
    <row r="34470" spans="1:1">
      <c r="A34470" t="inlineStr">
        <is>
          <t>San Vicente</t>
        </is>
      </c>
    </row>
    <row r="34471" spans="1:1">
      <c r="A34471" t="inlineStr">
        <is>
          <t>Santa Lucia</t>
        </is>
      </c>
    </row>
    <row r="34472" spans="1:1">
      <c r="A34472" t="inlineStr">
        <is>
          <t>Santo Angel</t>
        </is>
      </c>
    </row>
    <row r="34473" spans="1:1">
      <c r="A34473" t="inlineStr">
        <is>
          <t>Santo Niño</t>
        </is>
      </c>
    </row>
    <row r="34474" spans="1:1">
      <c r="A34474" t="inlineStr">
        <is>
          <t>Santol</t>
        </is>
      </c>
    </row>
    <row r="34475" spans="1:1">
      <c r="A34475" t="inlineStr">
        <is>
          <t>Soledad</t>
        </is>
      </c>
    </row>
    <row r="34476" spans="1:1">
      <c r="A34476" t="inlineStr">
        <is>
          <t>Tapucan</t>
        </is>
      </c>
    </row>
    <row r="34477" spans="1:1">
      <c r="A34477" t="inlineStr">
        <is>
          <t>Ajos</t>
        </is>
      </c>
    </row>
    <row r="34478" spans="1:1">
      <c r="A34478" t="inlineStr">
        <is>
          <t>Amuguis</t>
        </is>
      </c>
    </row>
    <row r="34479" spans="1:1">
      <c r="A34479" t="inlineStr">
        <is>
          <t>Anonang</t>
        </is>
      </c>
    </row>
    <row r="34480" spans="1:1">
      <c r="A34480" t="inlineStr">
        <is>
          <t>Bagong Silang</t>
        </is>
      </c>
    </row>
    <row r="34481" spans="1:1">
      <c r="A34481" t="inlineStr">
        <is>
          <t>Bagupaye</t>
        </is>
      </c>
    </row>
    <row r="34482" spans="1:1">
      <c r="A34482" t="inlineStr">
        <is>
          <t>Barangay 1</t>
        </is>
      </c>
    </row>
    <row r="34483" spans="1:1">
      <c r="A34483" t="inlineStr">
        <is>
          <t>Barangay 2</t>
        </is>
      </c>
    </row>
    <row r="34484" spans="1:1">
      <c r="A34484" t="inlineStr">
        <is>
          <t>Barangay 3</t>
        </is>
      </c>
    </row>
    <row r="34485" spans="1:1">
      <c r="A34485" t="inlineStr">
        <is>
          <t>Barangay 4</t>
        </is>
      </c>
    </row>
    <row r="34486" spans="1:1">
      <c r="A34486" t="inlineStr">
        <is>
          <t>Bolo</t>
        </is>
      </c>
    </row>
    <row r="34487" spans="1:1">
      <c r="A34487" t="inlineStr">
        <is>
          <t>Buenavista</t>
        </is>
      </c>
    </row>
    <row r="34488" spans="1:1">
      <c r="A34488" t="inlineStr">
        <is>
          <t>Burgos</t>
        </is>
      </c>
    </row>
    <row r="34489" spans="1:1">
      <c r="A34489" t="inlineStr">
        <is>
          <t>Butanyog</t>
        </is>
      </c>
    </row>
    <row r="34490" spans="1:1">
      <c r="A34490" t="inlineStr">
        <is>
          <t>Canuyep</t>
        </is>
      </c>
    </row>
    <row r="34491" spans="1:1">
      <c r="A34491" t="inlineStr">
        <is>
          <t>F. Nanadiego</t>
        </is>
      </c>
    </row>
    <row r="34492" spans="1:1">
      <c r="A34492" t="inlineStr">
        <is>
          <t>Ibabang Cambuga</t>
        </is>
      </c>
    </row>
    <row r="34493" spans="1:1">
      <c r="A34493" t="inlineStr">
        <is>
          <t>Ibabang Yuni</t>
        </is>
      </c>
    </row>
    <row r="34494" spans="1:1">
      <c r="A34494" t="inlineStr">
        <is>
          <t>Ilayang Cambuga</t>
        </is>
      </c>
    </row>
    <row r="34495" spans="1:1">
      <c r="A34495" t="inlineStr">
        <is>
          <t>Ilayang Yuni</t>
        </is>
      </c>
    </row>
    <row r="34496" spans="1:1">
      <c r="A34496" t="inlineStr">
        <is>
          <t>Latangan</t>
        </is>
      </c>
    </row>
    <row r="34497" spans="1:1">
      <c r="A34497" t="inlineStr">
        <is>
          <t>Magsaysay</t>
        </is>
      </c>
    </row>
    <row r="34498" spans="1:1">
      <c r="A34498" t="inlineStr">
        <is>
          <t>Matataja</t>
        </is>
      </c>
    </row>
    <row r="34499" spans="1:1">
      <c r="A34499" t="inlineStr">
        <is>
          <t>Pakiing</t>
        </is>
      </c>
    </row>
    <row r="34500" spans="1:1">
      <c r="A34500" t="inlineStr">
        <is>
          <t>Patabog</t>
        </is>
      </c>
    </row>
    <row r="34501" spans="1:1">
      <c r="A34501" t="inlineStr">
        <is>
          <t>Sagongon</t>
        </is>
      </c>
    </row>
    <row r="34502" spans="1:1">
      <c r="A34502" t="inlineStr">
        <is>
          <t>San Isidro</t>
        </is>
      </c>
    </row>
    <row r="34503" spans="1:1">
      <c r="A34503" t="inlineStr">
        <is>
          <t>San Pedro</t>
        </is>
      </c>
    </row>
    <row r="34504" spans="1:1">
      <c r="A34504" t="inlineStr">
        <is>
          <t>Santa Rosa</t>
        </is>
      </c>
    </row>
    <row r="34505" spans="1:1">
      <c r="A34505" t="inlineStr">
        <is>
          <t>Basiao</t>
        </is>
      </c>
    </row>
    <row r="34506" spans="1:1">
      <c r="A34506" t="inlineStr">
        <is>
          <t>Burgos</t>
        </is>
      </c>
    </row>
    <row r="34507" spans="1:1">
      <c r="A34507" t="inlineStr">
        <is>
          <t>Cabuyao Norte</t>
        </is>
      </c>
    </row>
    <row r="34508" spans="1:1">
      <c r="A34508" t="inlineStr">
        <is>
          <t>Cabuyao Sur</t>
        </is>
      </c>
    </row>
    <row r="34509" spans="1:1">
      <c r="A34509" t="inlineStr">
        <is>
          <t>Campo</t>
        </is>
      </c>
    </row>
    <row r="34510" spans="1:1">
      <c r="A34510" t="inlineStr">
        <is>
          <t>Danlagan</t>
        </is>
      </c>
    </row>
    <row r="34511" spans="1:1">
      <c r="A34511" t="inlineStr">
        <is>
          <t>Duhat</t>
        </is>
      </c>
    </row>
    <row r="34512" spans="1:1">
      <c r="A34512" t="inlineStr">
        <is>
          <t>Hinguiwin</t>
        </is>
      </c>
    </row>
    <row r="34513" spans="1:1">
      <c r="A34513" t="inlineStr">
        <is>
          <t>Kinagunan Ibaba</t>
        </is>
      </c>
    </row>
    <row r="34514" spans="1:1">
      <c r="A34514" t="inlineStr">
        <is>
          <t>Kinagunan Ilaya</t>
        </is>
      </c>
    </row>
    <row r="34515" spans="1:1">
      <c r="A34515" t="inlineStr">
        <is>
          <t>Lipata</t>
        </is>
      </c>
    </row>
    <row r="34516" spans="1:1">
      <c r="A34516" t="inlineStr">
        <is>
          <t>Marao</t>
        </is>
      </c>
    </row>
    <row r="34517" spans="1:1">
      <c r="A34517" t="inlineStr">
        <is>
          <t>Marquez</t>
        </is>
      </c>
    </row>
    <row r="34518" spans="1:1">
      <c r="A34518" t="inlineStr">
        <is>
          <t>Punta</t>
        </is>
      </c>
    </row>
    <row r="34519" spans="1:1">
      <c r="A34519" t="inlineStr">
        <is>
          <t>Rizal</t>
        </is>
      </c>
    </row>
    <row r="34520" spans="1:1">
      <c r="A34520" t="inlineStr">
        <is>
          <t>San Isidro</t>
        </is>
      </c>
    </row>
    <row r="34521" spans="1:1">
      <c r="A34521" t="inlineStr">
        <is>
          <t>San Vicente</t>
        </is>
      </c>
    </row>
    <row r="34522" spans="1:1">
      <c r="A34522" t="inlineStr">
        <is>
          <t>Sipa</t>
        </is>
      </c>
    </row>
    <row r="34523" spans="1:1">
      <c r="A34523" t="inlineStr">
        <is>
          <t>Tulay Buhangin</t>
        </is>
      </c>
    </row>
    <row r="34524" spans="1:1">
      <c r="A34524" t="inlineStr">
        <is>
          <t>Villapaz</t>
        </is>
      </c>
    </row>
    <row r="34525" spans="1:1">
      <c r="A34525" t="inlineStr">
        <is>
          <t>Walay</t>
        </is>
      </c>
    </row>
    <row r="34526" spans="1:1">
      <c r="A34526" t="inlineStr">
        <is>
          <t>Yawe</t>
        </is>
      </c>
    </row>
    <row r="34527" spans="1:1">
      <c r="A34527" t="inlineStr">
        <is>
          <t>Alupaye</t>
        </is>
      </c>
    </row>
    <row r="34528" spans="1:1">
      <c r="A34528" t="inlineStr">
        <is>
          <t>Antipolo</t>
        </is>
      </c>
    </row>
    <row r="34529" spans="1:1">
      <c r="A34529" t="inlineStr">
        <is>
          <t>Añato</t>
        </is>
      </c>
    </row>
    <row r="34530" spans="1:1">
      <c r="A34530" t="inlineStr">
        <is>
          <t>Bantigue</t>
        </is>
      </c>
    </row>
    <row r="34531" spans="1:1">
      <c r="A34531" t="inlineStr">
        <is>
          <t>Barangay 1 Castillo</t>
        </is>
      </c>
    </row>
    <row r="34532" spans="1:1">
      <c r="A34532" t="inlineStr">
        <is>
          <t>Barangay 2 Daungan</t>
        </is>
      </c>
    </row>
    <row r="34533" spans="1:1">
      <c r="A34533" t="inlineStr">
        <is>
          <t>Barangay 3 Del Carmen</t>
        </is>
      </c>
    </row>
    <row r="34534" spans="1:1">
      <c r="A34534" t="inlineStr">
        <is>
          <t>Barangay 4 Parang</t>
        </is>
      </c>
    </row>
    <row r="34535" spans="1:1">
      <c r="A34535" t="inlineStr">
        <is>
          <t>Barangay 5 Santa Catalina</t>
        </is>
      </c>
    </row>
    <row r="34536" spans="1:1">
      <c r="A34536" t="inlineStr">
        <is>
          <t>Barangay 6 Tambak</t>
        </is>
      </c>
    </row>
    <row r="34537" spans="1:1">
      <c r="A34537" t="inlineStr">
        <is>
          <t>Bigo</t>
        </is>
      </c>
    </row>
    <row r="34538" spans="1:1">
      <c r="A34538" t="inlineStr">
        <is>
          <t>Binahaan</t>
        </is>
      </c>
    </row>
    <row r="34539" spans="1:1">
      <c r="A34539" t="inlineStr">
        <is>
          <t>Bukal</t>
        </is>
      </c>
    </row>
    <row r="34540" spans="1:1">
      <c r="A34540" t="inlineStr">
        <is>
          <t>Ibabang Bagumbungan</t>
        </is>
      </c>
    </row>
    <row r="34541" spans="1:1">
      <c r="A34541" t="inlineStr">
        <is>
          <t>Ibabang Palsabangon</t>
        </is>
      </c>
    </row>
    <row r="34542" spans="1:1">
      <c r="A34542" t="inlineStr">
        <is>
          <t>Ibabang Polo</t>
        </is>
      </c>
    </row>
    <row r="34543" spans="1:1">
      <c r="A34543" t="inlineStr">
        <is>
          <t>Ikirin</t>
        </is>
      </c>
    </row>
    <row r="34544" spans="1:1">
      <c r="A34544" t="inlineStr">
        <is>
          <t>Ilayang Bagumbungan</t>
        </is>
      </c>
    </row>
    <row r="34545" spans="1:1">
      <c r="A34545" t="inlineStr">
        <is>
          <t>Ilayang Palsabangon</t>
        </is>
      </c>
    </row>
    <row r="34546" spans="1:1">
      <c r="A34546" t="inlineStr">
        <is>
          <t>Ilayang Polo</t>
        </is>
      </c>
    </row>
    <row r="34547" spans="1:1">
      <c r="A34547" t="inlineStr">
        <is>
          <t>Kanluran Malicboy</t>
        </is>
      </c>
    </row>
    <row r="34548" spans="1:1">
      <c r="A34548" t="inlineStr">
        <is>
          <t>Mapagong</t>
        </is>
      </c>
    </row>
    <row r="34549" spans="1:1">
      <c r="A34549" t="inlineStr">
        <is>
          <t>Mayhay</t>
        </is>
      </c>
    </row>
    <row r="34550" spans="1:1">
      <c r="A34550" t="inlineStr">
        <is>
          <t>Pinagbayanan</t>
        </is>
      </c>
    </row>
    <row r="34551" spans="1:1">
      <c r="A34551" t="inlineStr">
        <is>
          <t>Silangan Malicboy</t>
        </is>
      </c>
    </row>
    <row r="34552" spans="1:1">
      <c r="A34552" t="inlineStr">
        <is>
          <t>Talipan</t>
        </is>
      </c>
    </row>
    <row r="34553" spans="1:1">
      <c r="A34553" t="inlineStr">
        <is>
          <t>Tukalan</t>
        </is>
      </c>
    </row>
    <row r="34554" spans="1:1">
      <c r="A34554" t="inlineStr">
        <is>
          <t>Balungay</t>
        </is>
      </c>
    </row>
    <row r="34555" spans="1:1">
      <c r="A34555" t="inlineStr">
        <is>
          <t>Bato</t>
        </is>
      </c>
    </row>
    <row r="34556" spans="1:1">
      <c r="A34556" t="inlineStr">
        <is>
          <t>Bonbon</t>
        </is>
      </c>
    </row>
    <row r="34557" spans="1:1">
      <c r="A34557" t="inlineStr">
        <is>
          <t>Calasumanga</t>
        </is>
      </c>
    </row>
    <row r="34558" spans="1:1">
      <c r="A34558" t="inlineStr">
        <is>
          <t>Kinalagti</t>
        </is>
      </c>
    </row>
    <row r="34559" spans="1:1">
      <c r="A34559" t="inlineStr">
        <is>
          <t>Libo</t>
        </is>
      </c>
    </row>
    <row r="34560" spans="1:1">
      <c r="A34560" t="inlineStr">
        <is>
          <t>Lipata</t>
        </is>
      </c>
    </row>
    <row r="34561" spans="1:1">
      <c r="A34561" t="inlineStr">
        <is>
          <t>Matangkap</t>
        </is>
      </c>
    </row>
    <row r="34562" spans="1:1">
      <c r="A34562" t="inlineStr">
        <is>
          <t>Milawid</t>
        </is>
      </c>
    </row>
    <row r="34563" spans="1:1">
      <c r="A34563" t="inlineStr">
        <is>
          <t>Pagitan</t>
        </is>
      </c>
    </row>
    <row r="34564" spans="1:1">
      <c r="A34564" t="inlineStr">
        <is>
          <t>Pandan</t>
        </is>
      </c>
    </row>
    <row r="34565" spans="1:1">
      <c r="A34565" t="inlineStr">
        <is>
          <t>Rizal</t>
        </is>
      </c>
    </row>
    <row r="34566" spans="1:1">
      <c r="A34566" t="inlineStr">
        <is>
          <t>San Juan</t>
        </is>
      </c>
    </row>
    <row r="34567" spans="1:1">
      <c r="A34567" t="inlineStr">
        <is>
          <t>Amaga</t>
        </is>
      </c>
    </row>
    <row r="34568" spans="1:1">
      <c r="A34568" t="inlineStr">
        <is>
          <t>Busdak</t>
        </is>
      </c>
    </row>
    <row r="34569" spans="1:1">
      <c r="A34569" t="inlineStr">
        <is>
          <t>Kilogan</t>
        </is>
      </c>
    </row>
    <row r="34570" spans="1:1">
      <c r="A34570" t="inlineStr">
        <is>
          <t>Luod</t>
        </is>
      </c>
    </row>
    <row r="34571" spans="1:1">
      <c r="A34571" t="inlineStr">
        <is>
          <t>Patnanungan Norte</t>
        </is>
      </c>
    </row>
    <row r="34572" spans="1:1">
      <c r="A34572" t="inlineStr">
        <is>
          <t>Patnanungan Sur</t>
        </is>
      </c>
    </row>
    <row r="34573" spans="1:1">
      <c r="A34573" t="inlineStr">
        <is>
          <t>Bagong Pag-Asa Pob.</t>
        </is>
      </c>
    </row>
    <row r="34574" spans="1:1">
      <c r="A34574" t="inlineStr">
        <is>
          <t>Bagong Silang Pob.</t>
        </is>
      </c>
    </row>
    <row r="34575" spans="1:1">
      <c r="A34575" t="inlineStr">
        <is>
          <t>Maabot</t>
        </is>
      </c>
    </row>
    <row r="34576" spans="1:1">
      <c r="A34576" t="inlineStr">
        <is>
          <t>Mainit Norte</t>
        </is>
      </c>
    </row>
    <row r="34577" spans="1:1">
      <c r="A34577" t="inlineStr">
        <is>
          <t>Mainit Sur</t>
        </is>
      </c>
    </row>
    <row r="34578" spans="1:1">
      <c r="A34578" t="inlineStr">
        <is>
          <t>Mapagmahal Pob.</t>
        </is>
      </c>
    </row>
    <row r="34579" spans="1:1">
      <c r="A34579" t="inlineStr">
        <is>
          <t>Pagkakaisa Pob.</t>
        </is>
      </c>
    </row>
    <row r="34580" spans="1:1">
      <c r="A34580" t="inlineStr">
        <is>
          <t>Pambuhan</t>
        </is>
      </c>
    </row>
    <row r="34581" spans="1:1">
      <c r="A34581" t="inlineStr">
        <is>
          <t>Pinagtubigan Este</t>
        </is>
      </c>
    </row>
    <row r="34582" spans="1:1">
      <c r="A34582" t="inlineStr">
        <is>
          <t>Pinagtubigan Weste</t>
        </is>
      </c>
    </row>
    <row r="34583" spans="1:1">
      <c r="A34583" t="inlineStr">
        <is>
          <t>Rizal</t>
        </is>
      </c>
    </row>
    <row r="34584" spans="1:1">
      <c r="A34584" t="inlineStr">
        <is>
          <t>Sangirin</t>
        </is>
      </c>
    </row>
    <row r="34585" spans="1:1">
      <c r="A34585" t="inlineStr">
        <is>
          <t>Villamanzano Norte</t>
        </is>
      </c>
    </row>
    <row r="34586" spans="1:1">
      <c r="A34586" t="inlineStr">
        <is>
          <t>Villamanzano Sur</t>
        </is>
      </c>
    </row>
    <row r="34587" spans="1:1">
      <c r="A34587" t="inlineStr">
        <is>
          <t>Amontay</t>
        </is>
      </c>
    </row>
    <row r="34588" spans="1:1">
      <c r="A34588" t="inlineStr">
        <is>
          <t>Biga</t>
        </is>
      </c>
    </row>
    <row r="34589" spans="1:1">
      <c r="A34589" t="inlineStr">
        <is>
          <t>Bilucao</t>
        </is>
      </c>
    </row>
    <row r="34590" spans="1:1">
      <c r="A34590" t="inlineStr">
        <is>
          <t>Cabulihan</t>
        </is>
      </c>
    </row>
    <row r="34591" spans="1:1">
      <c r="A34591" t="inlineStr">
        <is>
          <t>Castillo</t>
        </is>
      </c>
    </row>
    <row r="34592" spans="1:1">
      <c r="A34592" t="inlineStr">
        <is>
          <t>Cawayanin</t>
        </is>
      </c>
    </row>
    <row r="34593" spans="1:1">
      <c r="A34593" t="inlineStr">
        <is>
          <t>Cometa</t>
        </is>
      </c>
    </row>
    <row r="34594" spans="1:1">
      <c r="A34594" t="inlineStr">
        <is>
          <t>Dalampasigan</t>
        </is>
      </c>
    </row>
    <row r="34595" spans="1:1">
      <c r="A34595" t="inlineStr">
        <is>
          <t>Dulong Bayan</t>
        </is>
      </c>
    </row>
    <row r="34596" spans="1:1">
      <c r="A34596" t="inlineStr">
        <is>
          <t>Gangahin</t>
        </is>
      </c>
    </row>
    <row r="34597" spans="1:1">
      <c r="A34597" t="inlineStr">
        <is>
          <t>Ibabang Burgos</t>
        </is>
      </c>
    </row>
    <row r="34598" spans="1:1">
      <c r="A34598" t="inlineStr">
        <is>
          <t>Ibabang Pacatin</t>
        </is>
      </c>
    </row>
    <row r="34599" spans="1:1">
      <c r="A34599" t="inlineStr">
        <is>
          <t>Ibabang Piña</t>
        </is>
      </c>
    </row>
    <row r="34600" spans="1:1">
      <c r="A34600" t="inlineStr">
        <is>
          <t>Ibabang Soliyao</t>
        </is>
      </c>
    </row>
    <row r="34601" spans="1:1">
      <c r="A34601" t="inlineStr">
        <is>
          <t>Ilayang Burgos</t>
        </is>
      </c>
    </row>
    <row r="34602" spans="1:1">
      <c r="A34602" t="inlineStr">
        <is>
          <t>Ilayang Pacatin</t>
        </is>
      </c>
    </row>
    <row r="34603" spans="1:1">
      <c r="A34603" t="inlineStr">
        <is>
          <t>Ilayang Piña</t>
        </is>
      </c>
    </row>
    <row r="34604" spans="1:1">
      <c r="A34604" t="inlineStr">
        <is>
          <t>Ilayang Soliyao</t>
        </is>
      </c>
    </row>
    <row r="34605" spans="1:1">
      <c r="A34605" t="inlineStr">
        <is>
          <t>Maaliw</t>
        </is>
      </c>
    </row>
    <row r="34606" spans="1:1">
      <c r="A34606" t="inlineStr">
        <is>
          <t>Manggahan</t>
        </is>
      </c>
    </row>
    <row r="34607" spans="1:1">
      <c r="A34607" t="inlineStr">
        <is>
          <t>Masaya</t>
        </is>
      </c>
    </row>
    <row r="34608" spans="1:1">
      <c r="A34608" t="inlineStr">
        <is>
          <t>Mayubok</t>
        </is>
      </c>
    </row>
    <row r="34609" spans="1:1">
      <c r="A34609" t="inlineStr">
        <is>
          <t>Nag-Cruz</t>
        </is>
      </c>
    </row>
    <row r="34610" spans="1:1">
      <c r="A34610" t="inlineStr">
        <is>
          <t>Osmeña</t>
        </is>
      </c>
    </row>
    <row r="34611" spans="1:1">
      <c r="A34611" t="inlineStr">
        <is>
          <t>Pag-Asa</t>
        </is>
      </c>
    </row>
    <row r="34612" spans="1:1">
      <c r="A34612" t="inlineStr">
        <is>
          <t>Pamilihan</t>
        </is>
      </c>
    </row>
    <row r="34613" spans="1:1">
      <c r="A34613" t="inlineStr">
        <is>
          <t>Payte</t>
        </is>
      </c>
    </row>
    <row r="34614" spans="1:1">
      <c r="A34614" t="inlineStr">
        <is>
          <t>Pinagbayanan</t>
        </is>
      </c>
    </row>
    <row r="34615" spans="1:1">
      <c r="A34615" t="inlineStr">
        <is>
          <t>Poctol</t>
        </is>
      </c>
    </row>
    <row r="34616" spans="1:1">
      <c r="A34616" t="inlineStr">
        <is>
          <t>Quezon</t>
        </is>
      </c>
    </row>
    <row r="34617" spans="1:1">
      <c r="A34617" t="inlineStr">
        <is>
          <t>Quinagasan</t>
        </is>
      </c>
    </row>
    <row r="34618" spans="1:1">
      <c r="A34618" t="inlineStr">
        <is>
          <t>Rizalino</t>
        </is>
      </c>
    </row>
    <row r="34619" spans="1:1">
      <c r="A34619" t="inlineStr">
        <is>
          <t>Saguinsinan</t>
        </is>
      </c>
    </row>
    <row r="34620" spans="1:1">
      <c r="A34620" t="inlineStr">
        <is>
          <t>Sampaloc</t>
        </is>
      </c>
    </row>
    <row r="34621" spans="1:1">
      <c r="A34621" t="inlineStr">
        <is>
          <t>San Roque</t>
        </is>
      </c>
    </row>
    <row r="34622" spans="1:1">
      <c r="A34622" t="inlineStr">
        <is>
          <t>Sisirin</t>
        </is>
      </c>
    </row>
    <row r="34623" spans="1:1">
      <c r="A34623" t="inlineStr">
        <is>
          <t>Sumag Este</t>
        </is>
      </c>
    </row>
    <row r="34624" spans="1:1">
      <c r="A34624" t="inlineStr">
        <is>
          <t>Sumag Norte</t>
        </is>
      </c>
    </row>
    <row r="34625" spans="1:1">
      <c r="A34625" t="inlineStr">
        <is>
          <t>Sumag Weste</t>
        </is>
      </c>
    </row>
    <row r="34626" spans="1:1">
      <c r="A34626" t="inlineStr">
        <is>
          <t>Central</t>
        </is>
      </c>
    </row>
    <row r="34627" spans="1:1">
      <c r="A34627" t="inlineStr">
        <is>
          <t>Concepcion</t>
        </is>
      </c>
    </row>
    <row r="34628" spans="1:1">
      <c r="A34628" t="inlineStr">
        <is>
          <t>Duhat</t>
        </is>
      </c>
    </row>
    <row r="34629" spans="1:1">
      <c r="A34629" t="inlineStr">
        <is>
          <t>Ilaya</t>
        </is>
      </c>
    </row>
    <row r="34630" spans="1:1">
      <c r="A34630" t="inlineStr">
        <is>
          <t>Ilosong</t>
        </is>
      </c>
    </row>
    <row r="34631" spans="1:1">
      <c r="A34631" t="inlineStr">
        <is>
          <t>M. L. Tumagay Pob.</t>
        </is>
      </c>
    </row>
    <row r="34632" spans="1:1">
      <c r="A34632" t="inlineStr">
        <is>
          <t>Paang Bundok</t>
        </is>
      </c>
    </row>
    <row r="34633" spans="1:1">
      <c r="A34633" t="inlineStr">
        <is>
          <t>Pampaaralan</t>
        </is>
      </c>
    </row>
    <row r="34634" spans="1:1">
      <c r="A34634" t="inlineStr">
        <is>
          <t>Tanauan</t>
        </is>
      </c>
    </row>
    <row r="34635" spans="1:1">
      <c r="A34635" t="inlineStr">
        <is>
          <t>Anawan</t>
        </is>
      </c>
    </row>
    <row r="34636" spans="1:1">
      <c r="A34636" t="inlineStr">
        <is>
          <t>Atulayan</t>
        </is>
      </c>
    </row>
    <row r="34637" spans="1:1">
      <c r="A34637" t="inlineStr">
        <is>
          <t>Balesin</t>
        </is>
      </c>
    </row>
    <row r="34638" spans="1:1">
      <c r="A34638" t="inlineStr">
        <is>
          <t>Bañadero</t>
        </is>
      </c>
    </row>
    <row r="34639" spans="1:1">
      <c r="A34639" t="inlineStr">
        <is>
          <t>Binibitinan</t>
        </is>
      </c>
    </row>
    <row r="34640" spans="1:1">
      <c r="A34640" t="inlineStr">
        <is>
          <t>Bislian</t>
        </is>
      </c>
    </row>
    <row r="34641" spans="1:1">
      <c r="A34641" t="inlineStr">
        <is>
          <t>Bucao</t>
        </is>
      </c>
    </row>
    <row r="34642" spans="1:1">
      <c r="A34642" t="inlineStr">
        <is>
          <t>Canicanian</t>
        </is>
      </c>
    </row>
    <row r="34643" spans="1:1">
      <c r="A34643" t="inlineStr">
        <is>
          <t>Kalubakis</t>
        </is>
      </c>
    </row>
    <row r="34644" spans="1:1">
      <c r="A34644" t="inlineStr">
        <is>
          <t>Languyin</t>
        </is>
      </c>
    </row>
    <row r="34645" spans="1:1">
      <c r="A34645" t="inlineStr">
        <is>
          <t>Libjo</t>
        </is>
      </c>
    </row>
    <row r="34646" spans="1:1">
      <c r="A34646" t="inlineStr">
        <is>
          <t>Pamatdan</t>
        </is>
      </c>
    </row>
    <row r="34647" spans="1:1">
      <c r="A34647" t="inlineStr">
        <is>
          <t>Pilion</t>
        </is>
      </c>
    </row>
    <row r="34648" spans="1:1">
      <c r="A34648" t="inlineStr">
        <is>
          <t>Pinaglubayan</t>
        </is>
      </c>
    </row>
    <row r="34649" spans="1:1">
      <c r="A34649" t="inlineStr">
        <is>
          <t>Poblacion</t>
        </is>
      </c>
    </row>
    <row r="34650" spans="1:1">
      <c r="A34650" t="inlineStr">
        <is>
          <t>Sabang</t>
        </is>
      </c>
    </row>
    <row r="34651" spans="1:1">
      <c r="A34651" t="inlineStr">
        <is>
          <t>Salipsip</t>
        </is>
      </c>
    </row>
    <row r="34652" spans="1:1">
      <c r="A34652" t="inlineStr">
        <is>
          <t>Sibulan</t>
        </is>
      </c>
    </row>
    <row r="34653" spans="1:1">
      <c r="A34653" t="inlineStr">
        <is>
          <t>Taluong</t>
        </is>
      </c>
    </row>
    <row r="34654" spans="1:1">
      <c r="A34654" t="inlineStr">
        <is>
          <t>Tamulaya-Anitong</t>
        </is>
      </c>
    </row>
    <row r="34655" spans="1:1">
      <c r="A34655" t="inlineStr">
        <is>
          <t>Apad</t>
        </is>
      </c>
    </row>
    <row r="34656" spans="1:1">
      <c r="A34656" t="inlineStr">
        <is>
          <t>Argosino</t>
        </is>
      </c>
    </row>
    <row r="34657" spans="1:1">
      <c r="A34657" t="inlineStr">
        <is>
          <t>Barangay I</t>
        </is>
      </c>
    </row>
    <row r="34658" spans="1:1">
      <c r="A34658" t="inlineStr">
        <is>
          <t>Barangay II</t>
        </is>
      </c>
    </row>
    <row r="34659" spans="1:1">
      <c r="A34659" t="inlineStr">
        <is>
          <t>Barangay III</t>
        </is>
      </c>
    </row>
    <row r="34660" spans="1:1">
      <c r="A34660" t="inlineStr">
        <is>
          <t>Barangay IV</t>
        </is>
      </c>
    </row>
    <row r="34661" spans="1:1">
      <c r="A34661" t="inlineStr">
        <is>
          <t>Barangay V</t>
        </is>
      </c>
    </row>
    <row r="34662" spans="1:1">
      <c r="A34662" t="inlineStr">
        <is>
          <t>Barangay VI</t>
        </is>
      </c>
    </row>
    <row r="34663" spans="1:1">
      <c r="A34663" t="inlineStr">
        <is>
          <t>Cagbalogo</t>
        </is>
      </c>
    </row>
    <row r="34664" spans="1:1">
      <c r="A34664" t="inlineStr">
        <is>
          <t>Caridad</t>
        </is>
      </c>
    </row>
    <row r="34665" spans="1:1">
      <c r="A34665" t="inlineStr">
        <is>
          <t>Cometa</t>
        </is>
      </c>
    </row>
    <row r="34666" spans="1:1">
      <c r="A34666" t="inlineStr">
        <is>
          <t>Del Pilar</t>
        </is>
      </c>
    </row>
    <row r="34667" spans="1:1">
      <c r="A34667" t="inlineStr">
        <is>
          <t>Guinhawa</t>
        </is>
      </c>
    </row>
    <row r="34668" spans="1:1">
      <c r="A34668" t="inlineStr">
        <is>
          <t>Gumubat</t>
        </is>
      </c>
    </row>
    <row r="34669" spans="1:1">
      <c r="A34669" t="inlineStr">
        <is>
          <t>Magsino</t>
        </is>
      </c>
    </row>
    <row r="34670" spans="1:1">
      <c r="A34670" t="inlineStr">
        <is>
          <t>Mascariña</t>
        </is>
      </c>
    </row>
    <row r="34671" spans="1:1">
      <c r="A34671" t="inlineStr">
        <is>
          <t>Montaña</t>
        </is>
      </c>
    </row>
    <row r="34672" spans="1:1">
      <c r="A34672" t="inlineStr">
        <is>
          <t>Sabang</t>
        </is>
      </c>
    </row>
    <row r="34673" spans="1:1">
      <c r="A34673" t="inlineStr">
        <is>
          <t>Silangan</t>
        </is>
      </c>
    </row>
    <row r="34674" spans="1:1">
      <c r="A34674" t="inlineStr">
        <is>
          <t>Tagkawa</t>
        </is>
      </c>
    </row>
    <row r="34675" spans="1:1">
      <c r="A34675" t="inlineStr">
        <is>
          <t>Villa Belen</t>
        </is>
      </c>
    </row>
    <row r="34676" spans="1:1">
      <c r="A34676" t="inlineStr">
        <is>
          <t>Villa Francia</t>
        </is>
      </c>
    </row>
    <row r="34677" spans="1:1">
      <c r="A34677" t="inlineStr">
        <is>
          <t>Villa Gomez</t>
        </is>
      </c>
    </row>
    <row r="34678" spans="1:1">
      <c r="A34678" t="inlineStr">
        <is>
          <t>Villa Mercedes</t>
        </is>
      </c>
    </row>
    <row r="34679" spans="1:1">
      <c r="A34679" t="inlineStr">
        <is>
          <t>Bagong Silang</t>
        </is>
      </c>
    </row>
    <row r="34680" spans="1:1">
      <c r="A34680" t="inlineStr">
        <is>
          <t>Capalong</t>
        </is>
      </c>
    </row>
    <row r="34681" spans="1:1">
      <c r="A34681" t="inlineStr">
        <is>
          <t>Cawayan</t>
        </is>
      </c>
    </row>
    <row r="34682" spans="1:1">
      <c r="A34682" t="inlineStr">
        <is>
          <t>Kiloloran</t>
        </is>
      </c>
    </row>
    <row r="34683" spans="1:1">
      <c r="A34683" t="inlineStr">
        <is>
          <t>Llavac</t>
        </is>
      </c>
    </row>
    <row r="34684" spans="1:1">
      <c r="A34684" t="inlineStr">
        <is>
          <t>Lubayat</t>
        </is>
      </c>
    </row>
    <row r="34685" spans="1:1">
      <c r="A34685" t="inlineStr">
        <is>
          <t>Malapad</t>
        </is>
      </c>
    </row>
    <row r="34686" spans="1:1">
      <c r="A34686" t="inlineStr">
        <is>
          <t>Maragondon</t>
        </is>
      </c>
    </row>
    <row r="34687" spans="1:1">
      <c r="A34687" t="inlineStr">
        <is>
          <t>Masikap</t>
        </is>
      </c>
    </row>
    <row r="34688" spans="1:1">
      <c r="A34688" t="inlineStr">
        <is>
          <t>Maunlad</t>
        </is>
      </c>
    </row>
    <row r="34689" spans="1:1">
      <c r="A34689" t="inlineStr">
        <is>
          <t>Pandan</t>
        </is>
      </c>
    </row>
    <row r="34690" spans="1:1">
      <c r="A34690" t="inlineStr">
        <is>
          <t>Poblacion 61</t>
        </is>
      </c>
    </row>
    <row r="34691" spans="1:1">
      <c r="A34691" t="inlineStr">
        <is>
          <t>Poblacion I</t>
        </is>
      </c>
    </row>
    <row r="34692" spans="1:1">
      <c r="A34692" t="inlineStr">
        <is>
          <t>Tagumpay</t>
        </is>
      </c>
    </row>
    <row r="34693" spans="1:1">
      <c r="A34693" t="inlineStr">
        <is>
          <t>Tanauan</t>
        </is>
      </c>
    </row>
    <row r="34694" spans="1:1">
      <c r="A34694" t="inlineStr">
        <is>
          <t>Tignoan</t>
        </is>
      </c>
    </row>
    <row r="34695" spans="1:1">
      <c r="A34695" t="inlineStr">
        <is>
          <t>Ungos</t>
        </is>
      </c>
    </row>
    <row r="34696" spans="1:1">
      <c r="A34696" t="inlineStr">
        <is>
          <t>Alupay</t>
        </is>
      </c>
    </row>
    <row r="34697" spans="1:1">
      <c r="A34697" t="inlineStr">
        <is>
          <t>Apasan</t>
        </is>
      </c>
    </row>
    <row r="34698" spans="1:1">
      <c r="A34698" t="inlineStr">
        <is>
          <t>Banot</t>
        </is>
      </c>
    </row>
    <row r="34699" spans="1:1">
      <c r="A34699" t="inlineStr">
        <is>
          <t>Bataan</t>
        </is>
      </c>
    </row>
    <row r="34700" spans="1:1">
      <c r="A34700" t="inlineStr">
        <is>
          <t>Bayongon</t>
        </is>
      </c>
    </row>
    <row r="34701" spans="1:1">
      <c r="A34701" t="inlineStr">
        <is>
          <t>Bilucao</t>
        </is>
      </c>
    </row>
    <row r="34702" spans="1:1">
      <c r="A34702" t="inlineStr">
        <is>
          <t>Caldong</t>
        </is>
      </c>
    </row>
    <row r="34703" spans="1:1">
      <c r="A34703" t="inlineStr">
        <is>
          <t>Ibabang Owain</t>
        </is>
      </c>
    </row>
    <row r="34704" spans="1:1">
      <c r="A34704" t="inlineStr">
        <is>
          <t>Ilayang Owain</t>
        </is>
      </c>
    </row>
    <row r="34705" spans="1:1">
      <c r="A34705" t="inlineStr">
        <is>
          <t>Mamala</t>
        </is>
      </c>
    </row>
    <row r="34706" spans="1:1">
      <c r="A34706" t="inlineStr">
        <is>
          <t>San Bueno</t>
        </is>
      </c>
    </row>
    <row r="34707" spans="1:1">
      <c r="A34707" t="inlineStr">
        <is>
          <t>San Isidro</t>
        </is>
      </c>
    </row>
    <row r="34708" spans="1:1">
      <c r="A34708" t="inlineStr">
        <is>
          <t>San Roque</t>
        </is>
      </c>
    </row>
    <row r="34709" spans="1:1">
      <c r="A34709" t="inlineStr">
        <is>
          <t>Taquico</t>
        </is>
      </c>
    </row>
    <row r="34710" spans="1:1">
      <c r="A34710" t="inlineStr">
        <is>
          <t>Alibihaban</t>
        </is>
      </c>
    </row>
    <row r="34711" spans="1:1">
      <c r="A34711" t="inlineStr">
        <is>
          <t>Camflora</t>
        </is>
      </c>
    </row>
    <row r="34712" spans="1:1">
      <c r="A34712" t="inlineStr">
        <is>
          <t>Mangero</t>
        </is>
      </c>
    </row>
    <row r="34713" spans="1:1">
      <c r="A34713" t="inlineStr">
        <is>
          <t>Pansoy</t>
        </is>
      </c>
    </row>
    <row r="34714" spans="1:1">
      <c r="A34714" t="inlineStr">
        <is>
          <t>Poblacion</t>
        </is>
      </c>
    </row>
    <row r="34715" spans="1:1">
      <c r="A34715" t="inlineStr">
        <is>
          <t>Tala</t>
        </is>
      </c>
    </row>
    <row r="34716" spans="1:1">
      <c r="A34716" t="inlineStr">
        <is>
          <t>Talisay</t>
        </is>
      </c>
    </row>
    <row r="34717" spans="1:1">
      <c r="A34717" t="inlineStr">
        <is>
          <t>Arawan</t>
        </is>
      </c>
    </row>
    <row r="34718" spans="1:1">
      <c r="A34718" t="inlineStr">
        <is>
          <t>Bagong Niing</t>
        </is>
      </c>
    </row>
    <row r="34719" spans="1:1">
      <c r="A34719" t="inlineStr">
        <is>
          <t>Balat Atis</t>
        </is>
      </c>
    </row>
    <row r="34720" spans="1:1">
      <c r="A34720" t="inlineStr">
        <is>
          <t>Briones</t>
        </is>
      </c>
    </row>
    <row r="34721" spans="1:1">
      <c r="A34721" t="inlineStr">
        <is>
          <t>Bulihan</t>
        </is>
      </c>
    </row>
    <row r="34722" spans="1:1">
      <c r="A34722" t="inlineStr">
        <is>
          <t>Buliran</t>
        </is>
      </c>
    </row>
    <row r="34723" spans="1:1">
      <c r="A34723" t="inlineStr">
        <is>
          <t>Callejon</t>
        </is>
      </c>
    </row>
    <row r="34724" spans="1:1">
      <c r="A34724" t="inlineStr">
        <is>
          <t>Corazon</t>
        </is>
      </c>
    </row>
    <row r="34725" spans="1:1">
      <c r="A34725" t="inlineStr">
        <is>
          <t>Loob</t>
        </is>
      </c>
    </row>
    <row r="34726" spans="1:1">
      <c r="A34726" t="inlineStr">
        <is>
          <t>Magsaysay</t>
        </is>
      </c>
    </row>
    <row r="34727" spans="1:1">
      <c r="A34727" t="inlineStr">
        <is>
          <t>Manuel del Valle, Sr.</t>
        </is>
      </c>
    </row>
    <row r="34728" spans="1:1">
      <c r="A34728" t="inlineStr">
        <is>
          <t>Matipunso</t>
        </is>
      </c>
    </row>
    <row r="34729" spans="1:1">
      <c r="A34729" t="inlineStr">
        <is>
          <t>Niing</t>
        </is>
      </c>
    </row>
    <row r="34730" spans="1:1">
      <c r="A34730" t="inlineStr">
        <is>
          <t>Poblacion</t>
        </is>
      </c>
    </row>
    <row r="34731" spans="1:1">
      <c r="A34731" t="inlineStr">
        <is>
          <t>Pulo</t>
        </is>
      </c>
    </row>
    <row r="34732" spans="1:1">
      <c r="A34732" t="inlineStr">
        <is>
          <t>Pury</t>
        </is>
      </c>
    </row>
    <row r="34733" spans="1:1">
      <c r="A34733" t="inlineStr">
        <is>
          <t>Sampaga</t>
        </is>
      </c>
    </row>
    <row r="34734" spans="1:1">
      <c r="A34734" t="inlineStr">
        <is>
          <t>Sampaguita</t>
        </is>
      </c>
    </row>
    <row r="34735" spans="1:1">
      <c r="A34735" t="inlineStr">
        <is>
          <t>San Jose</t>
        </is>
      </c>
    </row>
    <row r="34736" spans="1:1">
      <c r="A34736" t="inlineStr">
        <is>
          <t>Sinturisan</t>
        </is>
      </c>
    </row>
    <row r="34737" spans="1:1">
      <c r="A34737" t="inlineStr">
        <is>
          <t>Butanguiad</t>
        </is>
      </c>
    </row>
    <row r="34738" spans="1:1">
      <c r="A34738" t="inlineStr">
        <is>
          <t>Casay</t>
        </is>
      </c>
    </row>
    <row r="34739" spans="1:1">
      <c r="A34739" t="inlineStr">
        <is>
          <t>Cawayan I</t>
        </is>
      </c>
    </row>
    <row r="34740" spans="1:1">
      <c r="A34740" t="inlineStr">
        <is>
          <t>Cawayan II</t>
        </is>
      </c>
    </row>
    <row r="34741" spans="1:1">
      <c r="A34741" t="inlineStr">
        <is>
          <t>Don Juan Vercelos</t>
        </is>
      </c>
    </row>
    <row r="34742" spans="1:1">
      <c r="A34742" t="inlineStr">
        <is>
          <t>Huyon-Uyon</t>
        </is>
      </c>
    </row>
    <row r="34743" spans="1:1">
      <c r="A34743" t="inlineStr">
        <is>
          <t>Ibabang Tayuman</t>
        </is>
      </c>
    </row>
    <row r="34744" spans="1:1">
      <c r="A34744" t="inlineStr">
        <is>
          <t>Ilayang Tayuman</t>
        </is>
      </c>
    </row>
    <row r="34745" spans="1:1">
      <c r="A34745" t="inlineStr">
        <is>
          <t>Inabuan</t>
        </is>
      </c>
    </row>
    <row r="34746" spans="1:1">
      <c r="A34746" t="inlineStr">
        <is>
          <t>Mabuñga</t>
        </is>
      </c>
    </row>
    <row r="34747" spans="1:1">
      <c r="A34747" t="inlineStr">
        <is>
          <t>Nasalaan</t>
        </is>
      </c>
    </row>
    <row r="34748" spans="1:1">
      <c r="A34748" t="inlineStr">
        <is>
          <t>Pagsangahan</t>
        </is>
      </c>
    </row>
    <row r="34749" spans="1:1">
      <c r="A34749" t="inlineStr">
        <is>
          <t>Poblacion</t>
        </is>
      </c>
    </row>
    <row r="34750" spans="1:1">
      <c r="A34750" t="inlineStr">
        <is>
          <t>Pugon</t>
        </is>
      </c>
    </row>
    <row r="34751" spans="1:1">
      <c r="A34751" t="inlineStr">
        <is>
          <t>Santo Niño</t>
        </is>
      </c>
    </row>
    <row r="34752" spans="1:1">
      <c r="A34752" t="inlineStr">
        <is>
          <t>Silongin</t>
        </is>
      </c>
    </row>
    <row r="34753" spans="1:1">
      <c r="A34753" t="inlineStr">
        <is>
          <t>Abuyon</t>
        </is>
      </c>
    </row>
    <row r="34754" spans="1:1">
      <c r="A34754" t="inlineStr">
        <is>
          <t>Andres Bonifacio</t>
        </is>
      </c>
    </row>
    <row r="34755" spans="1:1">
      <c r="A34755" t="inlineStr">
        <is>
          <t>Bani</t>
        </is>
      </c>
    </row>
    <row r="34756" spans="1:1">
      <c r="A34756" t="inlineStr">
        <is>
          <t>Bayanihan</t>
        </is>
      </c>
    </row>
    <row r="34757" spans="1:1">
      <c r="A34757" t="inlineStr">
        <is>
          <t>Binay</t>
        </is>
      </c>
    </row>
    <row r="34758" spans="1:1">
      <c r="A34758" t="inlineStr">
        <is>
          <t>Buenavista</t>
        </is>
      </c>
    </row>
    <row r="34759" spans="1:1">
      <c r="A34759" t="inlineStr">
        <is>
          <t>Busokbusokan</t>
        </is>
      </c>
    </row>
    <row r="34760" spans="1:1">
      <c r="A34760" t="inlineStr">
        <is>
          <t>Calwit</t>
        </is>
      </c>
    </row>
    <row r="34761" spans="1:1">
      <c r="A34761" t="inlineStr">
        <is>
          <t>Guinhalinan</t>
        </is>
      </c>
    </row>
    <row r="34762" spans="1:1">
      <c r="A34762" t="inlineStr">
        <is>
          <t>Lacdayan</t>
        </is>
      </c>
    </row>
    <row r="34763" spans="1:1">
      <c r="A34763" t="inlineStr">
        <is>
          <t>Maguiting</t>
        </is>
      </c>
    </row>
    <row r="34764" spans="1:1">
      <c r="A34764" t="inlineStr">
        <is>
          <t>Maligaya</t>
        </is>
      </c>
    </row>
    <row r="34765" spans="1:1">
      <c r="A34765" t="inlineStr">
        <is>
          <t>Manlampong</t>
        </is>
      </c>
    </row>
    <row r="34766" spans="1:1">
      <c r="A34766" t="inlineStr">
        <is>
          <t>Pagdadamayan</t>
        </is>
      </c>
    </row>
    <row r="34767" spans="1:1">
      <c r="A34767" t="inlineStr">
        <is>
          <t>Pagkakaisa</t>
        </is>
      </c>
    </row>
    <row r="34768" spans="1:1">
      <c r="A34768" t="inlineStr">
        <is>
          <t>Punta</t>
        </is>
      </c>
    </row>
    <row r="34769" spans="1:1">
      <c r="A34769" t="inlineStr">
        <is>
          <t>Rizal</t>
        </is>
      </c>
    </row>
    <row r="34770" spans="1:1">
      <c r="A34770" t="inlineStr">
        <is>
          <t>San Isidro</t>
        </is>
      </c>
    </row>
    <row r="34771" spans="1:1">
      <c r="A34771" t="inlineStr">
        <is>
          <t>San Juan</t>
        </is>
      </c>
    </row>
    <row r="34772" spans="1:1">
      <c r="A34772" t="inlineStr">
        <is>
          <t>San Vicente</t>
        </is>
      </c>
    </row>
    <row r="34773" spans="1:1">
      <c r="A34773" t="inlineStr">
        <is>
          <t>Vigo Central</t>
        </is>
      </c>
    </row>
    <row r="34774" spans="1:1">
      <c r="A34774" t="inlineStr">
        <is>
          <t>Villa Aurin</t>
        </is>
      </c>
    </row>
    <row r="34775" spans="1:1">
      <c r="A34775" t="inlineStr">
        <is>
          <t>Villa Reyes</t>
        </is>
      </c>
    </row>
    <row r="34776" spans="1:1">
      <c r="A34776" t="inlineStr">
        <is>
          <t>White Cliff</t>
        </is>
      </c>
    </row>
    <row r="34777" spans="1:1">
      <c r="A34777" t="inlineStr">
        <is>
          <t>Antipolo</t>
        </is>
      </c>
    </row>
    <row r="34778" spans="1:1">
      <c r="A34778" t="inlineStr">
        <is>
          <t>Balubal</t>
        </is>
      </c>
    </row>
    <row r="34779" spans="1:1">
      <c r="A34779" t="inlineStr">
        <is>
          <t>Barangay 1</t>
        </is>
      </c>
    </row>
    <row r="34780" spans="1:1">
      <c r="A34780" t="inlineStr">
        <is>
          <t>Barangay 2</t>
        </is>
      </c>
    </row>
    <row r="34781" spans="1:1">
      <c r="A34781" t="inlineStr">
        <is>
          <t>Barangay 3</t>
        </is>
      </c>
    </row>
    <row r="34782" spans="1:1">
      <c r="A34782" t="inlineStr">
        <is>
          <t>Barangay 4</t>
        </is>
      </c>
    </row>
    <row r="34783" spans="1:1">
      <c r="A34783" t="inlineStr">
        <is>
          <t>Barangay 5</t>
        </is>
      </c>
    </row>
    <row r="34784" spans="1:1">
      <c r="A34784" t="inlineStr">
        <is>
          <t>Barangay 6</t>
        </is>
      </c>
    </row>
    <row r="34785" spans="1:1">
      <c r="A34785" t="inlineStr">
        <is>
          <t>Bignay 1</t>
        </is>
      </c>
    </row>
    <row r="34786" spans="1:1">
      <c r="A34786" t="inlineStr">
        <is>
          <t>Bignay 2</t>
        </is>
      </c>
    </row>
    <row r="34787" spans="1:1">
      <c r="A34787" t="inlineStr">
        <is>
          <t>Bucal</t>
        </is>
      </c>
    </row>
    <row r="34788" spans="1:1">
      <c r="A34788" t="inlineStr">
        <is>
          <t>Canda</t>
        </is>
      </c>
    </row>
    <row r="34789" spans="1:1">
      <c r="A34789" t="inlineStr">
        <is>
          <t>Castañas</t>
        </is>
      </c>
    </row>
    <row r="34790" spans="1:1">
      <c r="A34790" t="inlineStr">
        <is>
          <t>Concepcion 1</t>
        </is>
      </c>
    </row>
    <row r="34791" spans="1:1">
      <c r="A34791" t="inlineStr">
        <is>
          <t>Concepcion Banahaw</t>
        </is>
      </c>
    </row>
    <row r="34792" spans="1:1">
      <c r="A34792" t="inlineStr">
        <is>
          <t>Concepcion Palasan</t>
        </is>
      </c>
    </row>
    <row r="34793" spans="1:1">
      <c r="A34793" t="inlineStr">
        <is>
          <t>Concepcion Pinagbakuran</t>
        </is>
      </c>
    </row>
    <row r="34794" spans="1:1">
      <c r="A34794" t="inlineStr">
        <is>
          <t>Gibanga</t>
        </is>
      </c>
    </row>
    <row r="34795" spans="1:1">
      <c r="A34795" t="inlineStr">
        <is>
          <t>Guisguis San Roque</t>
        </is>
      </c>
    </row>
    <row r="34796" spans="1:1">
      <c r="A34796" t="inlineStr">
        <is>
          <t>Guisguis Talon</t>
        </is>
      </c>
    </row>
    <row r="34797" spans="1:1">
      <c r="A34797" t="inlineStr">
        <is>
          <t>Janagdong 1</t>
        </is>
      </c>
    </row>
    <row r="34798" spans="1:1">
      <c r="A34798" t="inlineStr">
        <is>
          <t>Janagdong 2</t>
        </is>
      </c>
    </row>
    <row r="34799" spans="1:1">
      <c r="A34799" t="inlineStr">
        <is>
          <t>Limbon</t>
        </is>
      </c>
    </row>
    <row r="34800" spans="1:1">
      <c r="A34800" t="inlineStr">
        <is>
          <t>Lutucan 1</t>
        </is>
      </c>
    </row>
    <row r="34801" spans="1:1">
      <c r="A34801" t="inlineStr">
        <is>
          <t>Lutucan Bata</t>
        </is>
      </c>
    </row>
    <row r="34802" spans="1:1">
      <c r="A34802" t="inlineStr">
        <is>
          <t>Lutucan Malabag</t>
        </is>
      </c>
    </row>
    <row r="34803" spans="1:1">
      <c r="A34803" t="inlineStr">
        <is>
          <t>Mamala I</t>
        </is>
      </c>
    </row>
    <row r="34804" spans="1:1">
      <c r="A34804" t="inlineStr">
        <is>
          <t>Mamala II</t>
        </is>
      </c>
    </row>
    <row r="34805" spans="1:1">
      <c r="A34805" t="inlineStr">
        <is>
          <t>Manggalang 1</t>
        </is>
      </c>
    </row>
    <row r="34806" spans="1:1">
      <c r="A34806" t="inlineStr">
        <is>
          <t>Manggalang Tulo-tulo</t>
        </is>
      </c>
    </row>
    <row r="34807" spans="1:1">
      <c r="A34807" t="inlineStr">
        <is>
          <t>Manggalang-Bantilan</t>
        </is>
      </c>
    </row>
    <row r="34808" spans="1:1">
      <c r="A34808" t="inlineStr">
        <is>
          <t>Manggalang-Kiling</t>
        </is>
      </c>
    </row>
    <row r="34809" spans="1:1">
      <c r="A34809" t="inlineStr">
        <is>
          <t>Montecillo</t>
        </is>
      </c>
    </row>
    <row r="34810" spans="1:1">
      <c r="A34810" t="inlineStr">
        <is>
          <t>Morong</t>
        </is>
      </c>
    </row>
    <row r="34811" spans="1:1">
      <c r="A34811" t="inlineStr">
        <is>
          <t>Pili</t>
        </is>
      </c>
    </row>
    <row r="34812" spans="1:1">
      <c r="A34812" t="inlineStr">
        <is>
          <t>Sampaloc 1</t>
        </is>
      </c>
    </row>
    <row r="34813" spans="1:1">
      <c r="A34813" t="inlineStr">
        <is>
          <t>Sampaloc 2</t>
        </is>
      </c>
    </row>
    <row r="34814" spans="1:1">
      <c r="A34814" t="inlineStr">
        <is>
          <t>Sampaloc Bogon</t>
        </is>
      </c>
    </row>
    <row r="34815" spans="1:1">
      <c r="A34815" t="inlineStr">
        <is>
          <t>Sampaloc Santo Cristo</t>
        </is>
      </c>
    </row>
    <row r="34816" spans="1:1">
      <c r="A34816" t="inlineStr">
        <is>
          <t>Talaan Aplaya</t>
        </is>
      </c>
    </row>
    <row r="34817" spans="1:1">
      <c r="A34817" t="inlineStr">
        <is>
          <t>Talaanpantoc</t>
        </is>
      </c>
    </row>
    <row r="34818" spans="1:1">
      <c r="A34818" t="inlineStr">
        <is>
          <t>Tumbaga 1</t>
        </is>
      </c>
    </row>
    <row r="34819" spans="1:1">
      <c r="A34819" t="inlineStr">
        <is>
          <t>Tumbaga 2</t>
        </is>
      </c>
    </row>
    <row r="34820" spans="1:1">
      <c r="A34820" t="inlineStr">
        <is>
          <t>Aldavoc</t>
        </is>
      </c>
    </row>
    <row r="34821" spans="1:1">
      <c r="A34821" t="inlineStr">
        <is>
          <t>Aliji</t>
        </is>
      </c>
    </row>
    <row r="34822" spans="1:1">
      <c r="A34822" t="inlineStr">
        <is>
          <t>Bagong Silang</t>
        </is>
      </c>
    </row>
    <row r="34823" spans="1:1">
      <c r="A34823" t="inlineStr">
        <is>
          <t>Bamban</t>
        </is>
      </c>
    </row>
    <row r="34824" spans="1:1">
      <c r="A34824" t="inlineStr">
        <is>
          <t>Bosigon</t>
        </is>
      </c>
    </row>
    <row r="34825" spans="1:1">
      <c r="A34825" t="inlineStr">
        <is>
          <t>Bukal</t>
        </is>
      </c>
    </row>
    <row r="34826" spans="1:1">
      <c r="A34826" t="inlineStr">
        <is>
          <t>Cabibihan</t>
        </is>
      </c>
    </row>
    <row r="34827" spans="1:1">
      <c r="A34827" t="inlineStr">
        <is>
          <t>Cabugwang</t>
        </is>
      </c>
    </row>
    <row r="34828" spans="1:1">
      <c r="A34828" t="inlineStr">
        <is>
          <t>Cagascas</t>
        </is>
      </c>
    </row>
    <row r="34829" spans="1:1">
      <c r="A34829" t="inlineStr">
        <is>
          <t>Candalapdap</t>
        </is>
      </c>
    </row>
    <row r="34830" spans="1:1">
      <c r="A34830" t="inlineStr">
        <is>
          <t>Casispalan</t>
        </is>
      </c>
    </row>
    <row r="34831" spans="1:1">
      <c r="A34831" t="inlineStr">
        <is>
          <t>Colong-colong</t>
        </is>
      </c>
    </row>
    <row r="34832" spans="1:1">
      <c r="A34832" t="inlineStr">
        <is>
          <t>Del Rosario</t>
        </is>
      </c>
    </row>
    <row r="34833" spans="1:1">
      <c r="A34833" t="inlineStr">
        <is>
          <t>Katimo</t>
        </is>
      </c>
    </row>
    <row r="34834" spans="1:1">
      <c r="A34834" t="inlineStr">
        <is>
          <t>Kinatakutan</t>
        </is>
      </c>
    </row>
    <row r="34835" spans="1:1">
      <c r="A34835" t="inlineStr">
        <is>
          <t>Landing</t>
        </is>
      </c>
    </row>
    <row r="34836" spans="1:1">
      <c r="A34836" t="inlineStr">
        <is>
          <t>Laurel</t>
        </is>
      </c>
    </row>
    <row r="34837" spans="1:1">
      <c r="A34837" t="inlineStr">
        <is>
          <t>Magsaysay</t>
        </is>
      </c>
    </row>
    <row r="34838" spans="1:1">
      <c r="A34838" t="inlineStr">
        <is>
          <t>Maguibuay</t>
        </is>
      </c>
    </row>
    <row r="34839" spans="1:1">
      <c r="A34839" t="inlineStr">
        <is>
          <t>Mahinta</t>
        </is>
      </c>
    </row>
    <row r="34840" spans="1:1">
      <c r="A34840" t="inlineStr">
        <is>
          <t>Malbog</t>
        </is>
      </c>
    </row>
    <row r="34841" spans="1:1">
      <c r="A34841" t="inlineStr">
        <is>
          <t>Manato Central</t>
        </is>
      </c>
    </row>
    <row r="34842" spans="1:1">
      <c r="A34842" t="inlineStr">
        <is>
          <t>Manato Station</t>
        </is>
      </c>
    </row>
    <row r="34843" spans="1:1">
      <c r="A34843" t="inlineStr">
        <is>
          <t>Mangayao</t>
        </is>
      </c>
    </row>
    <row r="34844" spans="1:1">
      <c r="A34844" t="inlineStr">
        <is>
          <t>Mansilay</t>
        </is>
      </c>
    </row>
    <row r="34845" spans="1:1">
      <c r="A34845" t="inlineStr">
        <is>
          <t>Mapulot</t>
        </is>
      </c>
    </row>
    <row r="34846" spans="1:1">
      <c r="A34846" t="inlineStr">
        <is>
          <t>Munting Parang</t>
        </is>
      </c>
    </row>
    <row r="34847" spans="1:1">
      <c r="A34847" t="inlineStr">
        <is>
          <t>Payapa</t>
        </is>
      </c>
    </row>
    <row r="34848" spans="1:1">
      <c r="A34848" t="inlineStr">
        <is>
          <t>Poblacion</t>
        </is>
      </c>
    </row>
    <row r="34849" spans="1:1">
      <c r="A34849" t="inlineStr">
        <is>
          <t>Rizal</t>
        </is>
      </c>
    </row>
    <row r="34850" spans="1:1">
      <c r="A34850" t="inlineStr">
        <is>
          <t>Sabang</t>
        </is>
      </c>
    </row>
    <row r="34851" spans="1:1">
      <c r="A34851" t="inlineStr">
        <is>
          <t>San Diego</t>
        </is>
      </c>
    </row>
    <row r="34852" spans="1:1">
      <c r="A34852" t="inlineStr">
        <is>
          <t>San Francisco</t>
        </is>
      </c>
    </row>
    <row r="34853" spans="1:1">
      <c r="A34853" t="inlineStr">
        <is>
          <t>San Isidro</t>
        </is>
      </c>
    </row>
    <row r="34854" spans="1:1">
      <c r="A34854" t="inlineStr">
        <is>
          <t>San Roque</t>
        </is>
      </c>
    </row>
    <row r="34855" spans="1:1">
      <c r="A34855" t="inlineStr">
        <is>
          <t>San Vicente</t>
        </is>
      </c>
    </row>
    <row r="34856" spans="1:1">
      <c r="A34856" t="inlineStr">
        <is>
          <t>Santa Cecilia</t>
        </is>
      </c>
    </row>
    <row r="34857" spans="1:1">
      <c r="A34857" t="inlineStr">
        <is>
          <t>Santa Monica</t>
        </is>
      </c>
    </row>
    <row r="34858" spans="1:1">
      <c r="A34858" t="inlineStr">
        <is>
          <t>Santo Niño I</t>
        </is>
      </c>
    </row>
    <row r="34859" spans="1:1">
      <c r="A34859" t="inlineStr">
        <is>
          <t>Santo Niño II</t>
        </is>
      </c>
    </row>
    <row r="34860" spans="1:1">
      <c r="A34860" t="inlineStr">
        <is>
          <t>Santo Tomas</t>
        </is>
      </c>
    </row>
    <row r="34861" spans="1:1">
      <c r="A34861" t="inlineStr">
        <is>
          <t>Seguiwan</t>
        </is>
      </c>
    </row>
    <row r="34862" spans="1:1">
      <c r="A34862" t="inlineStr">
        <is>
          <t>Tabason</t>
        </is>
      </c>
    </row>
    <row r="34863" spans="1:1">
      <c r="A34863" t="inlineStr">
        <is>
          <t>Tunton</t>
        </is>
      </c>
    </row>
    <row r="34864" spans="1:1">
      <c r="A34864" t="inlineStr">
        <is>
          <t>Victoria</t>
        </is>
      </c>
    </row>
    <row r="34865" spans="1:1">
      <c r="A34865" t="inlineStr">
        <is>
          <t>Anastacia</t>
        </is>
      </c>
    </row>
    <row r="34866" spans="1:1">
      <c r="A34866" t="inlineStr">
        <is>
          <t>Aquino</t>
        </is>
      </c>
    </row>
    <row r="34867" spans="1:1">
      <c r="A34867" t="inlineStr">
        <is>
          <t>Ayusan I</t>
        </is>
      </c>
    </row>
    <row r="34868" spans="1:1">
      <c r="A34868" t="inlineStr">
        <is>
          <t>Ayusan II</t>
        </is>
      </c>
    </row>
    <row r="34869" spans="1:1">
      <c r="A34869" t="inlineStr">
        <is>
          <t>Barangay I</t>
        </is>
      </c>
    </row>
    <row r="34870" spans="1:1">
      <c r="A34870" t="inlineStr">
        <is>
          <t>Barangay II</t>
        </is>
      </c>
    </row>
    <row r="34871" spans="1:1">
      <c r="A34871" t="inlineStr">
        <is>
          <t>Barangay III</t>
        </is>
      </c>
    </row>
    <row r="34872" spans="1:1">
      <c r="A34872" t="inlineStr">
        <is>
          <t>Barangay IV</t>
        </is>
      </c>
    </row>
    <row r="34873" spans="1:1">
      <c r="A34873" t="inlineStr">
        <is>
          <t>Behia</t>
        </is>
      </c>
    </row>
    <row r="34874" spans="1:1">
      <c r="A34874" t="inlineStr">
        <is>
          <t>Bukal</t>
        </is>
      </c>
    </row>
    <row r="34875" spans="1:1">
      <c r="A34875" t="inlineStr">
        <is>
          <t>Bula</t>
        </is>
      </c>
    </row>
    <row r="34876" spans="1:1">
      <c r="A34876" t="inlineStr">
        <is>
          <t>Bulakin</t>
        </is>
      </c>
    </row>
    <row r="34877" spans="1:1">
      <c r="A34877" t="inlineStr">
        <is>
          <t>Cabatang</t>
        </is>
      </c>
    </row>
    <row r="34878" spans="1:1">
      <c r="A34878" t="inlineStr">
        <is>
          <t>Cabay</t>
        </is>
      </c>
    </row>
    <row r="34879" spans="1:1">
      <c r="A34879" t="inlineStr">
        <is>
          <t>Del Rosario</t>
        </is>
      </c>
    </row>
    <row r="34880" spans="1:1">
      <c r="A34880" t="inlineStr">
        <is>
          <t>Lagalag</t>
        </is>
      </c>
    </row>
    <row r="34881" spans="1:1">
      <c r="A34881" t="inlineStr">
        <is>
          <t>Lalig</t>
        </is>
      </c>
    </row>
    <row r="34882" spans="1:1">
      <c r="A34882" t="inlineStr">
        <is>
          <t>Lumingon</t>
        </is>
      </c>
    </row>
    <row r="34883" spans="1:1">
      <c r="A34883" t="inlineStr">
        <is>
          <t>Lusacan</t>
        </is>
      </c>
    </row>
    <row r="34884" spans="1:1">
      <c r="A34884" t="inlineStr">
        <is>
          <t>Paiisa</t>
        </is>
      </c>
    </row>
    <row r="34885" spans="1:1">
      <c r="A34885" t="inlineStr">
        <is>
          <t>Palagaran</t>
        </is>
      </c>
    </row>
    <row r="34886" spans="1:1">
      <c r="A34886" t="inlineStr">
        <is>
          <t>Quipot</t>
        </is>
      </c>
    </row>
    <row r="34887" spans="1:1">
      <c r="A34887" t="inlineStr">
        <is>
          <t>San Agustin</t>
        </is>
      </c>
    </row>
    <row r="34888" spans="1:1">
      <c r="A34888" t="inlineStr">
        <is>
          <t>San Francisco</t>
        </is>
      </c>
    </row>
    <row r="34889" spans="1:1">
      <c r="A34889" t="inlineStr">
        <is>
          <t>San Isidro</t>
        </is>
      </c>
    </row>
    <row r="34890" spans="1:1">
      <c r="A34890" t="inlineStr">
        <is>
          <t>San Jose</t>
        </is>
      </c>
    </row>
    <row r="34891" spans="1:1">
      <c r="A34891" t="inlineStr">
        <is>
          <t>San Juan</t>
        </is>
      </c>
    </row>
    <row r="34892" spans="1:1">
      <c r="A34892" t="inlineStr">
        <is>
          <t>San Pedro</t>
        </is>
      </c>
    </row>
    <row r="34893" spans="1:1">
      <c r="A34893" t="inlineStr">
        <is>
          <t>Tagbakin</t>
        </is>
      </c>
    </row>
    <row r="34894" spans="1:1">
      <c r="A34894" t="inlineStr">
        <is>
          <t>Talisay</t>
        </is>
      </c>
    </row>
    <row r="34895" spans="1:1">
      <c r="A34895" t="inlineStr">
        <is>
          <t>Tamisian</t>
        </is>
      </c>
    </row>
    <row r="34896" spans="1:1">
      <c r="A34896" t="inlineStr">
        <is>
          <t>Almacen</t>
        </is>
      </c>
    </row>
    <row r="34897" spans="1:1">
      <c r="A34897" t="inlineStr">
        <is>
          <t>Balagtas</t>
        </is>
      </c>
    </row>
    <row r="34898" spans="1:1">
      <c r="A34898" t="inlineStr">
        <is>
          <t>Balanacan</t>
        </is>
      </c>
    </row>
    <row r="34899" spans="1:1">
      <c r="A34899" t="inlineStr">
        <is>
          <t>Bonifacio</t>
        </is>
      </c>
    </row>
    <row r="34900" spans="1:1">
      <c r="A34900" t="inlineStr">
        <is>
          <t>Bulo Ibaba</t>
        </is>
      </c>
    </row>
    <row r="34901" spans="1:1">
      <c r="A34901" t="inlineStr">
        <is>
          <t>Bulo Ilaya</t>
        </is>
      </c>
    </row>
    <row r="34902" spans="1:1">
      <c r="A34902" t="inlineStr">
        <is>
          <t>Burgos</t>
        </is>
      </c>
    </row>
    <row r="34903" spans="1:1">
      <c r="A34903" t="inlineStr">
        <is>
          <t>Cabulihan Ibaba</t>
        </is>
      </c>
    </row>
    <row r="34904" spans="1:1">
      <c r="A34904" t="inlineStr">
        <is>
          <t>Cabulihan Ilaya</t>
        </is>
      </c>
    </row>
    <row r="34905" spans="1:1">
      <c r="A34905" t="inlineStr">
        <is>
          <t>Caigdal</t>
        </is>
      </c>
    </row>
    <row r="34906" spans="1:1">
      <c r="A34906" t="inlineStr">
        <is>
          <t>F. De Jesus</t>
        </is>
      </c>
    </row>
    <row r="34907" spans="1:1">
      <c r="A34907" t="inlineStr">
        <is>
          <t>General Luna</t>
        </is>
      </c>
    </row>
    <row r="34908" spans="1:1">
      <c r="A34908" t="inlineStr">
        <is>
          <t>Kalilayan Ibaba</t>
        </is>
      </c>
    </row>
    <row r="34909" spans="1:1">
      <c r="A34909" t="inlineStr">
        <is>
          <t>Kalilayan Ilaya</t>
        </is>
      </c>
    </row>
    <row r="34910" spans="1:1">
      <c r="A34910" t="inlineStr">
        <is>
          <t>Mabini</t>
        </is>
      </c>
    </row>
    <row r="34911" spans="1:1">
      <c r="A34911" t="inlineStr">
        <is>
          <t>Mairok Ibaba</t>
        </is>
      </c>
    </row>
    <row r="34912" spans="1:1">
      <c r="A34912" t="inlineStr">
        <is>
          <t>Mairok Ilaya</t>
        </is>
      </c>
    </row>
    <row r="34913" spans="1:1">
      <c r="A34913" t="inlineStr">
        <is>
          <t>Malvar</t>
        </is>
      </c>
    </row>
    <row r="34914" spans="1:1">
      <c r="A34914" t="inlineStr">
        <is>
          <t>Maputat</t>
        </is>
      </c>
    </row>
    <row r="34915" spans="1:1">
      <c r="A34915" t="inlineStr">
        <is>
          <t>Muliguin</t>
        </is>
      </c>
    </row>
    <row r="34916" spans="1:1">
      <c r="A34916" t="inlineStr">
        <is>
          <t>Pagaguasan</t>
        </is>
      </c>
    </row>
    <row r="34917" spans="1:1">
      <c r="A34917" t="inlineStr">
        <is>
          <t>Panaon Ibaba</t>
        </is>
      </c>
    </row>
    <row r="34918" spans="1:1">
      <c r="A34918" t="inlineStr">
        <is>
          <t>Panaon Ilaya</t>
        </is>
      </c>
    </row>
    <row r="34919" spans="1:1">
      <c r="A34919" t="inlineStr">
        <is>
          <t>Plaridel</t>
        </is>
      </c>
    </row>
    <row r="34920" spans="1:1">
      <c r="A34920" t="inlineStr">
        <is>
          <t>Poctol</t>
        </is>
      </c>
    </row>
    <row r="34921" spans="1:1">
      <c r="A34921" t="inlineStr">
        <is>
          <t>Punta</t>
        </is>
      </c>
    </row>
    <row r="34922" spans="1:1">
      <c r="A34922" t="inlineStr">
        <is>
          <t>R. Lapu-lapu</t>
        </is>
      </c>
    </row>
    <row r="34923" spans="1:1">
      <c r="A34923" t="inlineStr">
        <is>
          <t>R. Magsaysay</t>
        </is>
      </c>
    </row>
    <row r="34924" spans="1:1">
      <c r="A34924" t="inlineStr">
        <is>
          <t>Raja Soliman</t>
        </is>
      </c>
    </row>
    <row r="34925" spans="1:1">
      <c r="A34925" t="inlineStr">
        <is>
          <t>Rizal Ibaba</t>
        </is>
      </c>
    </row>
    <row r="34926" spans="1:1">
      <c r="A34926" t="inlineStr">
        <is>
          <t>Rizal Ilaya</t>
        </is>
      </c>
    </row>
    <row r="34927" spans="1:1">
      <c r="A34927" t="inlineStr">
        <is>
          <t>San Roque</t>
        </is>
      </c>
    </row>
    <row r="34928" spans="1:1">
      <c r="A34928" t="inlineStr">
        <is>
          <t>Socorro</t>
        </is>
      </c>
    </row>
    <row r="34929" spans="1:1">
      <c r="A34929" t="inlineStr">
        <is>
          <t>Tagumpay</t>
        </is>
      </c>
    </row>
    <row r="34930" spans="1:1">
      <c r="A34930" t="inlineStr">
        <is>
          <t>Tubas</t>
        </is>
      </c>
    </row>
    <row r="34931" spans="1:1">
      <c r="A34931" t="inlineStr">
        <is>
          <t>Tubigan</t>
        </is>
      </c>
    </row>
    <row r="34932" spans="1:1">
      <c r="A34932" t="inlineStr">
        <is>
          <t>Alicia</t>
        </is>
      </c>
    </row>
    <row r="34933" spans="1:1">
      <c r="A34933" t="inlineStr">
        <is>
          <t>Cabugao</t>
        </is>
      </c>
    </row>
    <row r="34934" spans="1:1">
      <c r="A34934" t="inlineStr">
        <is>
          <t>Dagupan</t>
        </is>
      </c>
    </row>
    <row r="34935" spans="1:1">
      <c r="A34935" t="inlineStr">
        <is>
          <t>Diodol</t>
        </is>
      </c>
    </row>
    <row r="34936" spans="1:1">
      <c r="A34936" t="inlineStr">
        <is>
          <t>Dumabel</t>
        </is>
      </c>
    </row>
    <row r="34937" spans="1:1">
      <c r="A34937" t="inlineStr">
        <is>
          <t>Dungo</t>
        </is>
      </c>
    </row>
    <row r="34938" spans="1:1">
      <c r="A34938" t="inlineStr">
        <is>
          <t>Guinalbin</t>
        </is>
      </c>
    </row>
    <row r="34939" spans="1:1">
      <c r="A34939" t="inlineStr">
        <is>
          <t>Ligaya</t>
        </is>
      </c>
    </row>
    <row r="34940" spans="1:1">
      <c r="A34940" t="inlineStr">
        <is>
          <t>Nagabgaban</t>
        </is>
      </c>
    </row>
    <row r="34941" spans="1:1">
      <c r="A34941" t="inlineStr">
        <is>
          <t>Palacian</t>
        </is>
      </c>
    </row>
    <row r="34942" spans="1:1">
      <c r="A34942" t="inlineStr">
        <is>
          <t>Pinaripad Norte</t>
        </is>
      </c>
    </row>
    <row r="34943" spans="1:1">
      <c r="A34943" t="inlineStr">
        <is>
          <t>Pinaripad Sur</t>
        </is>
      </c>
    </row>
    <row r="34944" spans="1:1">
      <c r="A34944" t="inlineStr">
        <is>
          <t>Progreso</t>
        </is>
      </c>
    </row>
    <row r="34945" spans="1:1">
      <c r="A34945" t="inlineStr">
        <is>
          <t>Ramos</t>
        </is>
      </c>
    </row>
    <row r="34946" spans="1:1">
      <c r="A34946" t="inlineStr">
        <is>
          <t>Rang-ayan</t>
        </is>
      </c>
    </row>
    <row r="34947" spans="1:1">
      <c r="A34947" t="inlineStr">
        <is>
          <t>San Antonio</t>
        </is>
      </c>
    </row>
    <row r="34948" spans="1:1">
      <c r="A34948" t="inlineStr">
        <is>
          <t>San Benigno</t>
        </is>
      </c>
    </row>
    <row r="34949" spans="1:1">
      <c r="A34949" t="inlineStr">
        <is>
          <t>San Francisco</t>
        </is>
      </c>
    </row>
    <row r="34950" spans="1:1">
      <c r="A34950" t="inlineStr">
        <is>
          <t>San Leonardo</t>
        </is>
      </c>
    </row>
    <row r="34951" spans="1:1">
      <c r="A34951" t="inlineStr">
        <is>
          <t>San Manuel</t>
        </is>
      </c>
    </row>
    <row r="34952" spans="1:1">
      <c r="A34952" t="inlineStr">
        <is>
          <t>San Ramon</t>
        </is>
      </c>
    </row>
    <row r="34953" spans="1:1">
      <c r="A34953" t="inlineStr">
        <is>
          <t>Victoria</t>
        </is>
      </c>
    </row>
    <row r="34954" spans="1:1">
      <c r="A34954" t="inlineStr">
        <is>
          <t>Villa Pagaduan</t>
        </is>
      </c>
    </row>
    <row r="34955" spans="1:1">
      <c r="A34955" t="inlineStr">
        <is>
          <t>Villa Santiago</t>
        </is>
      </c>
    </row>
    <row r="34956" spans="1:1">
      <c r="A34956" t="inlineStr">
        <is>
          <t>Villa Ventura</t>
        </is>
      </c>
    </row>
    <row r="34957" spans="1:1">
      <c r="A34957" t="inlineStr">
        <is>
          <t>Banuar</t>
        </is>
      </c>
    </row>
    <row r="34958" spans="1:1">
      <c r="A34958" t="inlineStr">
        <is>
          <t>Burgos</t>
        </is>
      </c>
    </row>
    <row r="34959" spans="1:1">
      <c r="A34959" t="inlineStr">
        <is>
          <t>Calaocan</t>
        </is>
      </c>
    </row>
    <row r="34960" spans="1:1">
      <c r="A34960" t="inlineStr">
        <is>
          <t>Del Pilar</t>
        </is>
      </c>
    </row>
    <row r="34961" spans="1:1">
      <c r="A34961" t="inlineStr">
        <is>
          <t>Dibibi</t>
        </is>
      </c>
    </row>
    <row r="34962" spans="1:1">
      <c r="A34962" t="inlineStr">
        <is>
          <t>Dingasan</t>
        </is>
      </c>
    </row>
    <row r="34963" spans="1:1">
      <c r="A34963" t="inlineStr">
        <is>
          <t>Eden</t>
        </is>
      </c>
    </row>
    <row r="34964" spans="1:1">
      <c r="A34964" t="inlineStr">
        <is>
          <t>Gomez</t>
        </is>
      </c>
    </row>
    <row r="34965" spans="1:1">
      <c r="A34965" t="inlineStr">
        <is>
          <t>Gundaway</t>
        </is>
      </c>
    </row>
    <row r="34966" spans="1:1">
      <c r="A34966" t="inlineStr">
        <is>
          <t>Mangandingay</t>
        </is>
      </c>
    </row>
    <row r="34967" spans="1:1">
      <c r="A34967" t="inlineStr">
        <is>
          <t>San Marcos</t>
        </is>
      </c>
    </row>
    <row r="34968" spans="1:1">
      <c r="A34968" t="inlineStr">
        <is>
          <t>Santo Domingo</t>
        </is>
      </c>
    </row>
    <row r="34969" spans="1:1">
      <c r="A34969" t="inlineStr">
        <is>
          <t>Tucod</t>
        </is>
      </c>
    </row>
    <row r="34970" spans="1:1">
      <c r="A34970" t="inlineStr">
        <is>
          <t>Villa Peña</t>
        </is>
      </c>
    </row>
    <row r="34971" spans="1:1">
      <c r="A34971" t="inlineStr">
        <is>
          <t>Villamor</t>
        </is>
      </c>
    </row>
    <row r="34972" spans="1:1">
      <c r="A34972" t="inlineStr">
        <is>
          <t>Villarose</t>
        </is>
      </c>
    </row>
    <row r="34973" spans="1:1">
      <c r="A34973" t="inlineStr">
        <is>
          <t>Zamora</t>
        </is>
      </c>
    </row>
    <row r="34974" spans="1:1">
      <c r="A34974" t="inlineStr">
        <is>
          <t>Aklan Village</t>
        </is>
      </c>
    </row>
    <row r="34975" spans="1:1">
      <c r="A34975" t="inlineStr">
        <is>
          <t>Andres Bonifacio</t>
        </is>
      </c>
    </row>
    <row r="34976" spans="1:1">
      <c r="A34976" t="inlineStr">
        <is>
          <t>Aurora East</t>
        </is>
      </c>
    </row>
    <row r="34977" spans="1:1">
      <c r="A34977" t="inlineStr">
        <is>
          <t>Aurora West</t>
        </is>
      </c>
    </row>
    <row r="34978" spans="1:1">
      <c r="A34978" t="inlineStr">
        <is>
          <t>Baguio Village</t>
        </is>
      </c>
    </row>
    <row r="34979" spans="1:1">
      <c r="A34979" t="inlineStr">
        <is>
          <t>Balagbag</t>
        </is>
      </c>
    </row>
    <row r="34980" spans="1:1">
      <c r="A34980" t="inlineStr">
        <is>
          <t>Bannawag</t>
        </is>
      </c>
    </row>
    <row r="34981" spans="1:1">
      <c r="A34981" t="inlineStr">
        <is>
          <t>Cajel</t>
        </is>
      </c>
    </row>
    <row r="34982" spans="1:1">
      <c r="A34982" t="inlineStr">
        <is>
          <t>Campamento</t>
        </is>
      </c>
    </row>
    <row r="34983" spans="1:1">
      <c r="A34983" t="inlineStr">
        <is>
          <t>Diego Silang</t>
        </is>
      </c>
    </row>
    <row r="34984" spans="1:1">
      <c r="A34984" t="inlineStr">
        <is>
          <t>Don Faustino Pagaduan</t>
        </is>
      </c>
    </row>
    <row r="34985" spans="1:1">
      <c r="A34985" t="inlineStr">
        <is>
          <t>Don Mariano Perez, Sr.</t>
        </is>
      </c>
    </row>
    <row r="34986" spans="1:1">
      <c r="A34986" t="inlineStr">
        <is>
          <t>Doña Imelda</t>
        </is>
      </c>
    </row>
    <row r="34987" spans="1:1">
      <c r="A34987" t="inlineStr">
        <is>
          <t>Dumanisi</t>
        </is>
      </c>
    </row>
    <row r="34988" spans="1:1">
      <c r="A34988" t="inlineStr">
        <is>
          <t>Gabriela Silang</t>
        </is>
      </c>
    </row>
    <row r="34989" spans="1:1">
      <c r="A34989" t="inlineStr">
        <is>
          <t>Gregorio Pimentel</t>
        </is>
      </c>
    </row>
    <row r="34990" spans="1:1">
      <c r="A34990" t="inlineStr">
        <is>
          <t>Gulac</t>
        </is>
      </c>
    </row>
    <row r="34991" spans="1:1">
      <c r="A34991" t="inlineStr">
        <is>
          <t>Guribang</t>
        </is>
      </c>
    </row>
    <row r="34992" spans="1:1">
      <c r="A34992" t="inlineStr">
        <is>
          <t>Ifugao Village</t>
        </is>
      </c>
    </row>
    <row r="34993" spans="1:1">
      <c r="A34993" t="inlineStr">
        <is>
          <t>Isidro Paredes</t>
        </is>
      </c>
    </row>
    <row r="34994" spans="1:1">
      <c r="A34994" t="inlineStr">
        <is>
          <t>Liwayway</t>
        </is>
      </c>
    </row>
    <row r="34995" spans="1:1">
      <c r="A34995" t="inlineStr">
        <is>
          <t>Luttuad</t>
        </is>
      </c>
    </row>
    <row r="34996" spans="1:1">
      <c r="A34996" t="inlineStr">
        <is>
          <t>Magsaysay</t>
        </is>
      </c>
    </row>
    <row r="34997" spans="1:1">
      <c r="A34997" t="inlineStr">
        <is>
          <t>Makate</t>
        </is>
      </c>
    </row>
    <row r="34998" spans="1:1">
      <c r="A34998" t="inlineStr">
        <is>
          <t>Maria Clara</t>
        </is>
      </c>
    </row>
    <row r="34999" spans="1:1">
      <c r="A34999" t="inlineStr">
        <is>
          <t>Rafael Palma</t>
        </is>
      </c>
    </row>
    <row r="35000" spans="1:1">
      <c r="A35000" t="inlineStr">
        <is>
          <t>Ricarte Norte</t>
        </is>
      </c>
    </row>
    <row r="35001" spans="1:1">
      <c r="A35001" t="inlineStr">
        <is>
          <t>Ricarte Sur</t>
        </is>
      </c>
    </row>
    <row r="35002" spans="1:1">
      <c r="A35002" t="inlineStr">
        <is>
          <t>Rizal</t>
        </is>
      </c>
    </row>
    <row r="35003" spans="1:1">
      <c r="A35003" t="inlineStr">
        <is>
          <t>San Antonio</t>
        </is>
      </c>
    </row>
    <row r="35004" spans="1:1">
      <c r="A35004" t="inlineStr">
        <is>
          <t>San Isidro</t>
        </is>
      </c>
    </row>
    <row r="35005" spans="1:1">
      <c r="A35005" t="inlineStr">
        <is>
          <t>San Pascual</t>
        </is>
      </c>
    </row>
    <row r="35006" spans="1:1">
      <c r="A35006" t="inlineStr">
        <is>
          <t>Villa Pascua</t>
        </is>
      </c>
    </row>
    <row r="35007" spans="1:1">
      <c r="A35007" t="inlineStr">
        <is>
          <t>Abbag</t>
        </is>
      </c>
    </row>
    <row r="35008" spans="1:1">
      <c r="A35008" t="inlineStr">
        <is>
          <t>Balligui</t>
        </is>
      </c>
    </row>
    <row r="35009" spans="1:1">
      <c r="A35009" t="inlineStr">
        <is>
          <t>Buenavista</t>
        </is>
      </c>
    </row>
    <row r="35010" spans="1:1">
      <c r="A35010" t="inlineStr">
        <is>
          <t>Cabaruan</t>
        </is>
      </c>
    </row>
    <row r="35011" spans="1:1">
      <c r="A35011" t="inlineStr">
        <is>
          <t>Cabua-an</t>
        </is>
      </c>
    </row>
    <row r="35012" spans="1:1">
      <c r="A35012" t="inlineStr">
        <is>
          <t>Cofcaville</t>
        </is>
      </c>
    </row>
    <row r="35013" spans="1:1">
      <c r="A35013" t="inlineStr">
        <is>
          <t>Diduyon</t>
        </is>
      </c>
    </row>
    <row r="35014" spans="1:1">
      <c r="A35014" t="inlineStr">
        <is>
          <t>Dipintin</t>
        </is>
      </c>
    </row>
    <row r="35015" spans="1:1">
      <c r="A35015" t="inlineStr">
        <is>
          <t>Divisoria Norte</t>
        </is>
      </c>
    </row>
    <row r="35016" spans="1:1">
      <c r="A35016" t="inlineStr">
        <is>
          <t>Divisoria Sur</t>
        </is>
      </c>
    </row>
    <row r="35017" spans="1:1">
      <c r="A35017" t="inlineStr">
        <is>
          <t>Dumabato Norte</t>
        </is>
      </c>
    </row>
    <row r="35018" spans="1:1">
      <c r="A35018" t="inlineStr">
        <is>
          <t>Dumabato Sur</t>
        </is>
      </c>
    </row>
    <row r="35019" spans="1:1">
      <c r="A35019" t="inlineStr">
        <is>
          <t>Jose Ancheta</t>
        </is>
      </c>
    </row>
    <row r="35020" spans="1:1">
      <c r="A35020" t="inlineStr">
        <is>
          <t>Lusod</t>
        </is>
      </c>
    </row>
    <row r="35021" spans="1:1">
      <c r="A35021" t="inlineStr">
        <is>
          <t>Manglad</t>
        </is>
      </c>
    </row>
    <row r="35022" spans="1:1">
      <c r="A35022" t="inlineStr">
        <is>
          <t>Pedlisan</t>
        </is>
      </c>
    </row>
    <row r="35023" spans="1:1">
      <c r="A35023" t="inlineStr">
        <is>
          <t>Poblacion Norte</t>
        </is>
      </c>
    </row>
    <row r="35024" spans="1:1">
      <c r="A35024" t="inlineStr">
        <is>
          <t>Poblacion Sur</t>
        </is>
      </c>
    </row>
    <row r="35025" spans="1:1">
      <c r="A35025" t="inlineStr">
        <is>
          <t>San Bernabe</t>
        </is>
      </c>
    </row>
    <row r="35026" spans="1:1">
      <c r="A35026" t="inlineStr">
        <is>
          <t>San Dionisio I</t>
        </is>
      </c>
    </row>
    <row r="35027" spans="1:1">
      <c r="A35027" t="inlineStr">
        <is>
          <t>San Martin</t>
        </is>
      </c>
    </row>
    <row r="35028" spans="1:1">
      <c r="A35028" t="inlineStr">
        <is>
          <t>San Pedro</t>
        </is>
      </c>
    </row>
    <row r="35029" spans="1:1">
      <c r="A35029" t="inlineStr">
        <is>
          <t>San Salvador</t>
        </is>
      </c>
    </row>
    <row r="35030" spans="1:1">
      <c r="A35030" t="inlineStr">
        <is>
          <t>Santa Maria</t>
        </is>
      </c>
    </row>
    <row r="35031" spans="1:1">
      <c r="A35031" t="inlineStr">
        <is>
          <t>Santo Niño</t>
        </is>
      </c>
    </row>
    <row r="35032" spans="1:1">
      <c r="A35032" t="inlineStr">
        <is>
          <t>Santo Tomas</t>
        </is>
      </c>
    </row>
    <row r="35033" spans="1:1">
      <c r="A35033" t="inlineStr">
        <is>
          <t>Villa Agullana</t>
        </is>
      </c>
    </row>
    <row r="35034" spans="1:1">
      <c r="A35034" t="inlineStr">
        <is>
          <t>Villa Gracia</t>
        </is>
      </c>
    </row>
    <row r="35035" spans="1:1">
      <c r="A35035" t="inlineStr">
        <is>
          <t>Villa Hermosa Norte</t>
        </is>
      </c>
    </row>
    <row r="35036" spans="1:1">
      <c r="A35036" t="inlineStr">
        <is>
          <t>Villa Hermosa Sur</t>
        </is>
      </c>
    </row>
    <row r="35037" spans="1:1">
      <c r="A35037" t="inlineStr">
        <is>
          <t>Villa Jose V Ylanan</t>
        </is>
      </c>
    </row>
    <row r="35038" spans="1:1">
      <c r="A35038" t="inlineStr">
        <is>
          <t>Ysmael</t>
        </is>
      </c>
    </row>
    <row r="35039" spans="1:1">
      <c r="A35039" t="inlineStr">
        <is>
          <t>Anak</t>
        </is>
      </c>
    </row>
    <row r="35040" spans="1:1">
      <c r="A35040" t="inlineStr">
        <is>
          <t>Asaklat</t>
        </is>
      </c>
    </row>
    <row r="35041" spans="1:1">
      <c r="A35041" t="inlineStr">
        <is>
          <t>Dipantan</t>
        </is>
      </c>
    </row>
    <row r="35042" spans="1:1">
      <c r="A35042" t="inlineStr">
        <is>
          <t>Dissimungal</t>
        </is>
      </c>
    </row>
    <row r="35043" spans="1:1">
      <c r="A35043" t="inlineStr">
        <is>
          <t>Guino</t>
        </is>
      </c>
    </row>
    <row r="35044" spans="1:1">
      <c r="A35044" t="inlineStr">
        <is>
          <t>La Conwap</t>
        </is>
      </c>
    </row>
    <row r="35045" spans="1:1">
      <c r="A35045" t="inlineStr">
        <is>
          <t>Landingan</t>
        </is>
      </c>
    </row>
    <row r="35046" spans="1:1">
      <c r="A35046" t="inlineStr">
        <is>
          <t>Mataddi</t>
        </is>
      </c>
    </row>
    <row r="35047" spans="1:1">
      <c r="A35047" t="inlineStr">
        <is>
          <t>Matmad</t>
        </is>
      </c>
    </row>
    <row r="35048" spans="1:1">
      <c r="A35048" t="inlineStr">
        <is>
          <t>Old Gumiad</t>
        </is>
      </c>
    </row>
    <row r="35049" spans="1:1">
      <c r="A35049" t="inlineStr">
        <is>
          <t>Ponggo</t>
        </is>
      </c>
    </row>
    <row r="35050" spans="1:1">
      <c r="A35050" t="inlineStr">
        <is>
          <t>San Dionisio II</t>
        </is>
      </c>
    </row>
    <row r="35051" spans="1:1">
      <c r="A35051" t="inlineStr">
        <is>
          <t>San Pugo</t>
        </is>
      </c>
    </row>
    <row r="35052" spans="1:1">
      <c r="A35052" t="inlineStr">
        <is>
          <t>San Ramos</t>
        </is>
      </c>
    </row>
    <row r="35053" spans="1:1">
      <c r="A35053" t="inlineStr">
        <is>
          <t>Sangbay</t>
        </is>
      </c>
    </row>
    <row r="35054" spans="1:1">
      <c r="A35054" t="inlineStr">
        <is>
          <t>Wasid</t>
        </is>
      </c>
    </row>
    <row r="35055" spans="1:1">
      <c r="A35055" t="inlineStr">
        <is>
          <t>Cardenas</t>
        </is>
      </c>
    </row>
    <row r="35056" spans="1:1">
      <c r="A35056" t="inlineStr">
        <is>
          <t>Dibul</t>
        </is>
      </c>
    </row>
    <row r="35057" spans="1:1">
      <c r="A35057" t="inlineStr">
        <is>
          <t>Gamis</t>
        </is>
      </c>
    </row>
    <row r="35058" spans="1:1">
      <c r="A35058" t="inlineStr">
        <is>
          <t>La Paz</t>
        </is>
      </c>
    </row>
    <row r="35059" spans="1:1">
      <c r="A35059" t="inlineStr">
        <is>
          <t>Magsaysay</t>
        </is>
      </c>
    </row>
    <row r="35060" spans="1:1">
      <c r="A35060" t="inlineStr">
        <is>
          <t>Rizal</t>
        </is>
      </c>
    </row>
    <row r="35061" spans="1:1">
      <c r="A35061" t="inlineStr">
        <is>
          <t>Salvacion</t>
        </is>
      </c>
    </row>
    <row r="35062" spans="1:1">
      <c r="A35062" t="inlineStr">
        <is>
          <t>Santo Tomas</t>
        </is>
      </c>
    </row>
    <row r="35063" spans="1:1">
      <c r="A35063" t="inlineStr">
        <is>
          <t>Tres Reyes</t>
        </is>
      </c>
    </row>
    <row r="35064" spans="1:1">
      <c r="A35064" t="inlineStr">
        <is>
          <t>Bagumbayan</t>
        </is>
      </c>
    </row>
    <row r="35065" spans="1:1">
      <c r="A35065" t="inlineStr">
        <is>
          <t>Kalayaan</t>
        </is>
      </c>
    </row>
    <row r="35066" spans="1:1">
      <c r="A35066" t="inlineStr">
        <is>
          <t>Mahabang Parang</t>
        </is>
      </c>
    </row>
    <row r="35067" spans="1:1">
      <c r="A35067" t="inlineStr">
        <is>
          <t>Poblacion Ibaba</t>
        </is>
      </c>
    </row>
    <row r="35068" spans="1:1">
      <c r="A35068" t="inlineStr">
        <is>
          <t>Poblacion Itaas</t>
        </is>
      </c>
    </row>
    <row r="35069" spans="1:1">
      <c r="A35069" t="inlineStr">
        <is>
          <t>San Isidro</t>
        </is>
      </c>
    </row>
    <row r="35070" spans="1:1">
      <c r="A35070" t="inlineStr">
        <is>
          <t>San Pedro</t>
        </is>
      </c>
    </row>
    <row r="35071" spans="1:1">
      <c r="A35071" t="inlineStr">
        <is>
          <t>San Roque</t>
        </is>
      </c>
    </row>
    <row r="35072" spans="1:1">
      <c r="A35072" t="inlineStr">
        <is>
          <t>San Vicente</t>
        </is>
      </c>
    </row>
    <row r="35073" spans="1:1">
      <c r="A35073" t="inlineStr">
        <is>
          <t>Santo Niño</t>
        </is>
      </c>
    </row>
    <row r="35074" spans="1:1">
      <c r="A35074" t="inlineStr">
        <is>
          <t>Concepcion</t>
        </is>
      </c>
    </row>
    <row r="35075" spans="1:1">
      <c r="A35075" t="inlineStr">
        <is>
          <t>Evangelista</t>
        </is>
      </c>
    </row>
    <row r="35076" spans="1:1">
      <c r="A35076" t="inlineStr">
        <is>
          <t>Mabini</t>
        </is>
      </c>
    </row>
    <row r="35077" spans="1:1">
      <c r="A35077" t="inlineStr">
        <is>
          <t>Pinugay</t>
        </is>
      </c>
    </row>
    <row r="35078" spans="1:1">
      <c r="A35078" t="inlineStr">
        <is>
          <t>Rizal</t>
        </is>
      </c>
    </row>
    <row r="35079" spans="1:1">
      <c r="A35079" t="inlineStr">
        <is>
          <t>San Jose</t>
        </is>
      </c>
    </row>
    <row r="35080" spans="1:1">
      <c r="A35080" t="inlineStr">
        <is>
          <t>San Juan</t>
        </is>
      </c>
    </row>
    <row r="35081" spans="1:1">
      <c r="A35081" t="inlineStr">
        <is>
          <t>San Miguel</t>
        </is>
      </c>
    </row>
    <row r="35082" spans="1:1">
      <c r="A35082" t="inlineStr">
        <is>
          <t>San Salvador</t>
        </is>
      </c>
    </row>
    <row r="35083" spans="1:1">
      <c r="A35083" t="inlineStr">
        <is>
          <t>Santiago</t>
        </is>
      </c>
    </row>
    <row r="35084" spans="1:1">
      <c r="A35084" t="inlineStr">
        <is>
          <t>Bangad</t>
        </is>
      </c>
    </row>
    <row r="35085" spans="1:1">
      <c r="A35085" t="inlineStr">
        <is>
          <t>Batingan</t>
        </is>
      </c>
    </row>
    <row r="35086" spans="1:1">
      <c r="A35086" t="inlineStr">
        <is>
          <t>Bilibiran</t>
        </is>
      </c>
    </row>
    <row r="35087" spans="1:1">
      <c r="A35087" t="inlineStr">
        <is>
          <t>Binitagan</t>
        </is>
      </c>
    </row>
    <row r="35088" spans="1:1">
      <c r="A35088" t="inlineStr">
        <is>
          <t>Bombong</t>
        </is>
      </c>
    </row>
    <row r="35089" spans="1:1">
      <c r="A35089" t="inlineStr">
        <is>
          <t>Buhangin</t>
        </is>
      </c>
    </row>
    <row r="35090" spans="1:1">
      <c r="A35090" t="inlineStr">
        <is>
          <t>Calumpang</t>
        </is>
      </c>
    </row>
    <row r="35091" spans="1:1">
      <c r="A35091" t="inlineStr">
        <is>
          <t>Ginoong Sanay</t>
        </is>
      </c>
    </row>
    <row r="35092" spans="1:1">
      <c r="A35092" t="inlineStr">
        <is>
          <t>Gulod</t>
        </is>
      </c>
    </row>
    <row r="35093" spans="1:1">
      <c r="A35093" t="inlineStr">
        <is>
          <t>Habagatan</t>
        </is>
      </c>
    </row>
    <row r="35094" spans="1:1">
      <c r="A35094" t="inlineStr">
        <is>
          <t>Ithan</t>
        </is>
      </c>
    </row>
    <row r="35095" spans="1:1">
      <c r="A35095" t="inlineStr">
        <is>
          <t>Janosa</t>
        </is>
      </c>
    </row>
    <row r="35096" spans="1:1">
      <c r="A35096" t="inlineStr">
        <is>
          <t>Kalawaan</t>
        </is>
      </c>
    </row>
    <row r="35097" spans="1:1">
      <c r="A35097" t="inlineStr">
        <is>
          <t>Kalinawan</t>
        </is>
      </c>
    </row>
    <row r="35098" spans="1:1">
      <c r="A35098" t="inlineStr">
        <is>
          <t>Kasile</t>
        </is>
      </c>
    </row>
    <row r="35099" spans="1:1">
      <c r="A35099" t="inlineStr">
        <is>
          <t>Kaytome</t>
        </is>
      </c>
    </row>
    <row r="35100" spans="1:1">
      <c r="A35100" t="inlineStr">
        <is>
          <t>Kinaboogan</t>
        </is>
      </c>
    </row>
    <row r="35101" spans="1:1">
      <c r="A35101" t="inlineStr">
        <is>
          <t>Kinagatan</t>
        </is>
      </c>
    </row>
    <row r="35102" spans="1:1">
      <c r="A35102" t="inlineStr">
        <is>
          <t>Layunan</t>
        </is>
      </c>
    </row>
    <row r="35103" spans="1:1">
      <c r="A35103" t="inlineStr">
        <is>
          <t>Libid</t>
        </is>
      </c>
    </row>
    <row r="35104" spans="1:1">
      <c r="A35104" t="inlineStr">
        <is>
          <t>Libis</t>
        </is>
      </c>
    </row>
    <row r="35105" spans="1:1">
      <c r="A35105" t="inlineStr">
        <is>
          <t>Limbon-limbon</t>
        </is>
      </c>
    </row>
    <row r="35106" spans="1:1">
      <c r="A35106" t="inlineStr">
        <is>
          <t>Lunsad</t>
        </is>
      </c>
    </row>
    <row r="35107" spans="1:1">
      <c r="A35107" t="inlineStr">
        <is>
          <t>Macamot</t>
        </is>
      </c>
    </row>
    <row r="35108" spans="1:1">
      <c r="A35108" t="inlineStr">
        <is>
          <t>Mahabang Parang</t>
        </is>
      </c>
    </row>
    <row r="35109" spans="1:1">
      <c r="A35109" t="inlineStr">
        <is>
          <t>Malakaban</t>
        </is>
      </c>
    </row>
    <row r="35110" spans="1:1">
      <c r="A35110" t="inlineStr">
        <is>
          <t>Mambog</t>
        </is>
      </c>
    </row>
    <row r="35111" spans="1:1">
      <c r="A35111" t="inlineStr">
        <is>
          <t>Pag-Asa</t>
        </is>
      </c>
    </row>
    <row r="35112" spans="1:1">
      <c r="A35112" t="inlineStr">
        <is>
          <t>Palangoy</t>
        </is>
      </c>
    </row>
    <row r="35113" spans="1:1">
      <c r="A35113" t="inlineStr">
        <is>
          <t>Pantok</t>
        </is>
      </c>
    </row>
    <row r="35114" spans="1:1">
      <c r="A35114" t="inlineStr">
        <is>
          <t>Pila Pila</t>
        </is>
      </c>
    </row>
    <row r="35115" spans="1:1">
      <c r="A35115" t="inlineStr">
        <is>
          <t>Pinagdilawan</t>
        </is>
      </c>
    </row>
    <row r="35116" spans="1:1">
      <c r="A35116" t="inlineStr">
        <is>
          <t>Pipindan</t>
        </is>
      </c>
    </row>
    <row r="35117" spans="1:1">
      <c r="A35117" t="inlineStr">
        <is>
          <t>Rayap</t>
        </is>
      </c>
    </row>
    <row r="35118" spans="1:1">
      <c r="A35118" t="inlineStr">
        <is>
          <t>San Carlos</t>
        </is>
      </c>
    </row>
    <row r="35119" spans="1:1">
      <c r="A35119" t="inlineStr">
        <is>
          <t>Sapang</t>
        </is>
      </c>
    </row>
    <row r="35120" spans="1:1">
      <c r="A35120" t="inlineStr">
        <is>
          <t>Tabon</t>
        </is>
      </c>
    </row>
    <row r="35121" spans="1:1">
      <c r="A35121" t="inlineStr">
        <is>
          <t>Tagpos</t>
        </is>
      </c>
    </row>
    <row r="35122" spans="1:1">
      <c r="A35122" t="inlineStr">
        <is>
          <t>Tatala</t>
        </is>
      </c>
    </row>
    <row r="35123" spans="1:1">
      <c r="A35123" t="inlineStr">
        <is>
          <t>Tayuman</t>
        </is>
      </c>
    </row>
    <row r="35124" spans="1:1">
      <c r="A35124" t="inlineStr">
        <is>
          <t>San Andres</t>
        </is>
      </c>
    </row>
    <row r="35125" spans="1:1">
      <c r="A35125" t="inlineStr">
        <is>
          <t>San Isidro</t>
        </is>
      </c>
    </row>
    <row r="35126" spans="1:1">
      <c r="A35126" t="inlineStr">
        <is>
          <t>San Juan</t>
        </is>
      </c>
    </row>
    <row r="35127" spans="1:1">
      <c r="A35127" t="inlineStr">
        <is>
          <t>San Roque</t>
        </is>
      </c>
    </row>
    <row r="35128" spans="1:1">
      <c r="A35128" t="inlineStr">
        <is>
          <t>Santa Rosa</t>
        </is>
      </c>
    </row>
    <row r="35129" spans="1:1">
      <c r="A35129" t="inlineStr">
        <is>
          <t>Santo Domingo</t>
        </is>
      </c>
    </row>
    <row r="35130" spans="1:1">
      <c r="A35130" t="inlineStr">
        <is>
          <t>Santo Niño</t>
        </is>
      </c>
    </row>
    <row r="35131" spans="1:1">
      <c r="A35131" t="inlineStr">
        <is>
          <t>Balibago</t>
        </is>
      </c>
    </row>
    <row r="35132" spans="1:1">
      <c r="A35132" t="inlineStr">
        <is>
          <t>Boor</t>
        </is>
      </c>
    </row>
    <row r="35133" spans="1:1">
      <c r="A35133" t="inlineStr">
        <is>
          <t>Calahan</t>
        </is>
      </c>
    </row>
    <row r="35134" spans="1:1">
      <c r="A35134" t="inlineStr">
        <is>
          <t>Dalig</t>
        </is>
      </c>
    </row>
    <row r="35135" spans="1:1">
      <c r="A35135" t="inlineStr">
        <is>
          <t>Del Remedio</t>
        </is>
      </c>
    </row>
    <row r="35136" spans="1:1">
      <c r="A35136" t="inlineStr">
        <is>
          <t>Iglesia</t>
        </is>
      </c>
    </row>
    <row r="35137" spans="1:1">
      <c r="A35137" t="inlineStr">
        <is>
          <t>Lambac</t>
        </is>
      </c>
    </row>
    <row r="35138" spans="1:1">
      <c r="A35138" t="inlineStr">
        <is>
          <t>Looc</t>
        </is>
      </c>
    </row>
    <row r="35139" spans="1:1">
      <c r="A35139" t="inlineStr">
        <is>
          <t>Malanggam-Calubacan</t>
        </is>
      </c>
    </row>
    <row r="35140" spans="1:1">
      <c r="A35140" t="inlineStr">
        <is>
          <t>Nagsulo</t>
        </is>
      </c>
    </row>
    <row r="35141" spans="1:1">
      <c r="A35141" t="inlineStr">
        <is>
          <t>Navotas</t>
        </is>
      </c>
    </row>
    <row r="35142" spans="1:1">
      <c r="A35142" t="inlineStr">
        <is>
          <t>Patunhay</t>
        </is>
      </c>
    </row>
    <row r="35143" spans="1:1">
      <c r="A35143" t="inlineStr">
        <is>
          <t>Real</t>
        </is>
      </c>
    </row>
    <row r="35144" spans="1:1">
      <c r="A35144" t="inlineStr">
        <is>
          <t>Sampad</t>
        </is>
      </c>
    </row>
    <row r="35145" spans="1:1">
      <c r="A35145" t="inlineStr">
        <is>
          <t>San Roque</t>
        </is>
      </c>
    </row>
    <row r="35146" spans="1:1">
      <c r="A35146" t="inlineStr">
        <is>
          <t>Subay</t>
        </is>
      </c>
    </row>
    <row r="35147" spans="1:1">
      <c r="A35147" t="inlineStr">
        <is>
          <t>Ticulio</t>
        </is>
      </c>
    </row>
    <row r="35148" spans="1:1">
      <c r="A35148" t="inlineStr">
        <is>
          <t>Tuna</t>
        </is>
      </c>
    </row>
    <row r="35149" spans="1:1">
      <c r="A35149" t="inlineStr">
        <is>
          <t>Bagong Nayon</t>
        </is>
      </c>
    </row>
    <row r="35150" spans="1:1">
      <c r="A35150" t="inlineStr">
        <is>
          <t>Beverly Hills</t>
        </is>
      </c>
    </row>
    <row r="35151" spans="1:1">
      <c r="A35151" t="inlineStr">
        <is>
          <t>Calawis</t>
        </is>
      </c>
    </row>
    <row r="35152" spans="1:1">
      <c r="A35152" t="inlineStr">
        <is>
          <t>Cupang</t>
        </is>
      </c>
    </row>
    <row r="35153" spans="1:1">
      <c r="A35153" t="inlineStr">
        <is>
          <t>Dalig</t>
        </is>
      </c>
    </row>
    <row r="35154" spans="1:1">
      <c r="A35154" t="inlineStr">
        <is>
          <t>Dela Paz</t>
        </is>
      </c>
    </row>
    <row r="35155" spans="1:1">
      <c r="A35155" t="inlineStr">
        <is>
          <t>Inarawan</t>
        </is>
      </c>
    </row>
    <row r="35156" spans="1:1">
      <c r="A35156" t="inlineStr">
        <is>
          <t>Mambugan</t>
        </is>
      </c>
    </row>
    <row r="35157" spans="1:1">
      <c r="A35157" t="inlineStr">
        <is>
          <t>Mayamot</t>
        </is>
      </c>
    </row>
    <row r="35158" spans="1:1">
      <c r="A35158" t="inlineStr">
        <is>
          <t>Muntingdilaw</t>
        </is>
      </c>
    </row>
    <row r="35159" spans="1:1">
      <c r="A35159" t="inlineStr">
        <is>
          <t>San Isidro</t>
        </is>
      </c>
    </row>
    <row r="35160" spans="1:1">
      <c r="A35160" t="inlineStr">
        <is>
          <t>San Jose</t>
        </is>
      </c>
    </row>
    <row r="35161" spans="1:1">
      <c r="A35161" t="inlineStr">
        <is>
          <t>San Juan</t>
        </is>
      </c>
    </row>
    <row r="35162" spans="1:1">
      <c r="A35162" t="inlineStr">
        <is>
          <t>San Luis</t>
        </is>
      </c>
    </row>
    <row r="35163" spans="1:1">
      <c r="A35163" t="inlineStr">
        <is>
          <t>San Roque</t>
        </is>
      </c>
    </row>
    <row r="35164" spans="1:1">
      <c r="A35164" t="inlineStr">
        <is>
          <t>Santa Cruz</t>
        </is>
      </c>
    </row>
    <row r="35165" spans="1:1">
      <c r="A35165" t="inlineStr">
        <is>
          <t>Bagumbong</t>
        </is>
      </c>
    </row>
    <row r="35166" spans="1:1">
      <c r="A35166" t="inlineStr">
        <is>
          <t>Bayugo</t>
        </is>
      </c>
    </row>
    <row r="35167" spans="1:1">
      <c r="A35167" t="inlineStr">
        <is>
          <t>Lubo</t>
        </is>
      </c>
    </row>
    <row r="35168" spans="1:1">
      <c r="A35168" t="inlineStr">
        <is>
          <t>Paalaman</t>
        </is>
      </c>
    </row>
    <row r="35169" spans="1:1">
      <c r="A35169" t="inlineStr">
        <is>
          <t>Pagkalinawan</t>
        </is>
      </c>
    </row>
    <row r="35170" spans="1:1">
      <c r="A35170" t="inlineStr">
        <is>
          <t>Palaypalay</t>
        </is>
      </c>
    </row>
    <row r="35171" spans="1:1">
      <c r="A35171" t="inlineStr">
        <is>
          <t>Punta</t>
        </is>
      </c>
    </row>
    <row r="35172" spans="1:1">
      <c r="A35172" t="inlineStr">
        <is>
          <t>Second District</t>
        </is>
      </c>
    </row>
    <row r="35173" spans="1:1">
      <c r="A35173" t="inlineStr">
        <is>
          <t>Sipsipin</t>
        </is>
      </c>
    </row>
    <row r="35174" spans="1:1">
      <c r="A35174" t="inlineStr">
        <is>
          <t>Special District</t>
        </is>
      </c>
    </row>
    <row r="35175" spans="1:1">
      <c r="A35175" t="inlineStr">
        <is>
          <t>Third District</t>
        </is>
      </c>
    </row>
    <row r="35176" spans="1:1">
      <c r="A35176" t="inlineStr">
        <is>
          <t>Bombongan</t>
        </is>
      </c>
    </row>
    <row r="35177" spans="1:1">
      <c r="A35177" t="inlineStr">
        <is>
          <t>Can-Cal-Lan</t>
        </is>
      </c>
    </row>
    <row r="35178" spans="1:1">
      <c r="A35178" t="inlineStr">
        <is>
          <t>Lagundi</t>
        </is>
      </c>
    </row>
    <row r="35179" spans="1:1">
      <c r="A35179" t="inlineStr">
        <is>
          <t>Maybancal</t>
        </is>
      </c>
    </row>
    <row r="35180" spans="1:1">
      <c r="A35180" t="inlineStr">
        <is>
          <t>San Guillermo</t>
        </is>
      </c>
    </row>
    <row r="35181" spans="1:1">
      <c r="A35181" t="inlineStr">
        <is>
          <t>San Jose</t>
        </is>
      </c>
    </row>
    <row r="35182" spans="1:1">
      <c r="A35182" t="inlineStr">
        <is>
          <t>San Juan</t>
        </is>
      </c>
    </row>
    <row r="35183" spans="1:1">
      <c r="A35183" t="inlineStr">
        <is>
          <t>San Pedro</t>
        </is>
      </c>
    </row>
    <row r="35184" spans="1:1">
      <c r="A35184" t="inlineStr">
        <is>
          <t>Bagumbayan</t>
        </is>
      </c>
    </row>
    <row r="35185" spans="1:1">
      <c r="A35185" t="inlineStr">
        <is>
          <t>Halayhayin</t>
        </is>
      </c>
    </row>
    <row r="35186" spans="1:1">
      <c r="A35186" t="inlineStr">
        <is>
          <t>Hulo</t>
        </is>
      </c>
    </row>
    <row r="35187" spans="1:1">
      <c r="A35187" t="inlineStr">
        <is>
          <t>Imatong</t>
        </is>
      </c>
    </row>
    <row r="35188" spans="1:1">
      <c r="A35188" t="inlineStr">
        <is>
          <t>Malaya</t>
        </is>
      </c>
    </row>
    <row r="35189" spans="1:1">
      <c r="A35189" t="inlineStr">
        <is>
          <t>Niogan</t>
        </is>
      </c>
    </row>
    <row r="35190" spans="1:1">
      <c r="A35190" t="inlineStr">
        <is>
          <t>Quisao</t>
        </is>
      </c>
    </row>
    <row r="35191" spans="1:1">
      <c r="A35191" t="inlineStr">
        <is>
          <t>Takungan</t>
        </is>
      </c>
    </row>
    <row r="35192" spans="1:1">
      <c r="A35192" t="inlineStr">
        <is>
          <t>Wawa</t>
        </is>
      </c>
    </row>
    <row r="35193" spans="1:1">
      <c r="A35193" t="inlineStr">
        <is>
          <t>Balite</t>
        </is>
      </c>
    </row>
    <row r="35194" spans="1:1">
      <c r="A35194" t="inlineStr">
        <is>
          <t>Burgos</t>
        </is>
      </c>
    </row>
    <row r="35195" spans="1:1">
      <c r="A35195" t="inlineStr">
        <is>
          <t>Geronimo</t>
        </is>
      </c>
    </row>
    <row r="35196" spans="1:1">
      <c r="A35196" t="inlineStr">
        <is>
          <t>Macabud</t>
        </is>
      </c>
    </row>
    <row r="35197" spans="1:1">
      <c r="A35197" t="inlineStr">
        <is>
          <t>Manggahan</t>
        </is>
      </c>
    </row>
    <row r="35198" spans="1:1">
      <c r="A35198" t="inlineStr">
        <is>
          <t>Mascap</t>
        </is>
      </c>
    </row>
    <row r="35199" spans="1:1">
      <c r="A35199" t="inlineStr">
        <is>
          <t>Puray</t>
        </is>
      </c>
    </row>
    <row r="35200" spans="1:1">
      <c r="A35200" t="inlineStr">
        <is>
          <t>Rosario</t>
        </is>
      </c>
    </row>
    <row r="35201" spans="1:1">
      <c r="A35201" t="inlineStr">
        <is>
          <t>San Isidro</t>
        </is>
      </c>
    </row>
    <row r="35202" spans="1:1">
      <c r="A35202" t="inlineStr">
        <is>
          <t>San Jose</t>
        </is>
      </c>
    </row>
    <row r="35203" spans="1:1">
      <c r="A35203" t="inlineStr">
        <is>
          <t>San Rafael</t>
        </is>
      </c>
    </row>
    <row r="35204" spans="1:1">
      <c r="A35204" t="inlineStr">
        <is>
          <t>Ampid I</t>
        </is>
      </c>
    </row>
    <row r="35205" spans="1:1">
      <c r="A35205" t="inlineStr">
        <is>
          <t>Ampid II</t>
        </is>
      </c>
    </row>
    <row r="35206" spans="1:1">
      <c r="A35206" t="inlineStr">
        <is>
          <t>Banaba</t>
        </is>
      </c>
    </row>
    <row r="35207" spans="1:1">
      <c r="A35207" t="inlineStr">
        <is>
          <t>Dulong Bayan 1</t>
        </is>
      </c>
    </row>
    <row r="35208" spans="1:1">
      <c r="A35208" t="inlineStr">
        <is>
          <t>Dulong Bayan 2</t>
        </is>
      </c>
    </row>
    <row r="35209" spans="1:1">
      <c r="A35209" t="inlineStr">
        <is>
          <t>Guinayang</t>
        </is>
      </c>
    </row>
    <row r="35210" spans="1:1">
      <c r="A35210" t="inlineStr">
        <is>
          <t>Guitnang Bayan I</t>
        </is>
      </c>
    </row>
    <row r="35211" spans="1:1">
      <c r="A35211" t="inlineStr">
        <is>
          <t>Guitnang Bayan II</t>
        </is>
      </c>
    </row>
    <row r="35212" spans="1:1">
      <c r="A35212" t="inlineStr">
        <is>
          <t>Gulod Malaya</t>
        </is>
      </c>
    </row>
    <row r="35213" spans="1:1">
      <c r="A35213" t="inlineStr">
        <is>
          <t>Malanday</t>
        </is>
      </c>
    </row>
    <row r="35214" spans="1:1">
      <c r="A35214" t="inlineStr">
        <is>
          <t>Maly</t>
        </is>
      </c>
    </row>
    <row r="35215" spans="1:1">
      <c r="A35215" t="inlineStr">
        <is>
          <t>Pintong Bocawe</t>
        </is>
      </c>
    </row>
    <row r="35216" spans="1:1">
      <c r="A35216" t="inlineStr">
        <is>
          <t>Santa Ana</t>
        </is>
      </c>
    </row>
    <row r="35217" spans="1:1">
      <c r="A35217" t="inlineStr">
        <is>
          <t>Santo Niño</t>
        </is>
      </c>
    </row>
    <row r="35218" spans="1:1">
      <c r="A35218" t="inlineStr">
        <is>
          <t>Silangan</t>
        </is>
      </c>
    </row>
    <row r="35219" spans="1:1">
      <c r="A35219" t="inlineStr">
        <is>
          <t>Cayabu</t>
        </is>
      </c>
    </row>
    <row r="35220" spans="1:1">
      <c r="A35220" t="inlineStr">
        <is>
          <t>Cuyambay</t>
        </is>
      </c>
    </row>
    <row r="35221" spans="1:1">
      <c r="A35221" t="inlineStr">
        <is>
          <t>Daraitan</t>
        </is>
      </c>
    </row>
    <row r="35222" spans="1:1">
      <c r="A35222" t="inlineStr">
        <is>
          <t>Katipunan-Bayan</t>
        </is>
      </c>
    </row>
    <row r="35223" spans="1:1">
      <c r="A35223" t="inlineStr">
        <is>
          <t>Kaybuto</t>
        </is>
      </c>
    </row>
    <row r="35224" spans="1:1">
      <c r="A35224" t="inlineStr">
        <is>
          <t>Laiban</t>
        </is>
      </c>
    </row>
    <row r="35225" spans="1:1">
      <c r="A35225" t="inlineStr">
        <is>
          <t>Madilay-dilay</t>
        </is>
      </c>
    </row>
    <row r="35226" spans="1:1">
      <c r="A35226" t="inlineStr">
        <is>
          <t>Mag-Ampon</t>
        </is>
      </c>
    </row>
    <row r="35227" spans="1:1">
      <c r="A35227" t="inlineStr">
        <is>
          <t>Mamuyao</t>
        </is>
      </c>
    </row>
    <row r="35228" spans="1:1">
      <c r="A35228" t="inlineStr">
        <is>
          <t>Pinagkamaligan</t>
        </is>
      </c>
    </row>
    <row r="35229" spans="1:1">
      <c r="A35229" t="inlineStr">
        <is>
          <t>Plaza Aldea</t>
        </is>
      </c>
    </row>
    <row r="35230" spans="1:1">
      <c r="A35230" t="inlineStr">
        <is>
          <t>Sampaloc</t>
        </is>
      </c>
    </row>
    <row r="35231" spans="1:1">
      <c r="A35231" t="inlineStr">
        <is>
          <t>San Andres</t>
        </is>
      </c>
    </row>
    <row r="35232" spans="1:1">
      <c r="A35232" t="inlineStr">
        <is>
          <t>San Isidro</t>
        </is>
      </c>
    </row>
    <row r="35233" spans="1:1">
      <c r="A35233" t="inlineStr">
        <is>
          <t>Santa Inez</t>
        </is>
      </c>
    </row>
    <row r="35234" spans="1:1">
      <c r="A35234" t="inlineStr">
        <is>
          <t>Santo Niño</t>
        </is>
      </c>
    </row>
    <row r="35235" spans="1:1">
      <c r="A35235" t="inlineStr">
        <is>
          <t>Tabing Ilog</t>
        </is>
      </c>
    </row>
    <row r="35236" spans="1:1">
      <c r="A35236" t="inlineStr">
        <is>
          <t>Tandang Kutyo</t>
        </is>
      </c>
    </row>
    <row r="35237" spans="1:1">
      <c r="A35237" t="inlineStr">
        <is>
          <t>Tinucan</t>
        </is>
      </c>
    </row>
    <row r="35238" spans="1:1">
      <c r="A35238" t="inlineStr">
        <is>
          <t>Wawa</t>
        </is>
      </c>
    </row>
    <row r="35239" spans="1:1">
      <c r="A35239" t="inlineStr">
        <is>
          <t>Dolores</t>
        </is>
      </c>
    </row>
    <row r="35240" spans="1:1">
      <c r="A35240" t="inlineStr">
        <is>
          <t>Muzon</t>
        </is>
      </c>
    </row>
    <row r="35241" spans="1:1">
      <c r="A35241" t="inlineStr">
        <is>
          <t>San Isidro</t>
        </is>
      </c>
    </row>
    <row r="35242" spans="1:1">
      <c r="A35242" t="inlineStr">
        <is>
          <t>San Juan</t>
        </is>
      </c>
    </row>
    <row r="35243" spans="1:1">
      <c r="A35243" t="inlineStr">
        <is>
          <t>Santa Ana</t>
        </is>
      </c>
    </row>
    <row r="35244" spans="1:1">
      <c r="A35244" t="inlineStr">
        <is>
          <t>Bagumbayan</t>
        </is>
      </c>
    </row>
    <row r="35245" spans="1:1">
      <c r="A35245" t="inlineStr">
        <is>
          <t>Calumpang Santo Cristo</t>
        </is>
      </c>
    </row>
    <row r="35246" spans="1:1">
      <c r="A35246" t="inlineStr">
        <is>
          <t>Dalig</t>
        </is>
      </c>
    </row>
    <row r="35247" spans="1:1">
      <c r="A35247" t="inlineStr">
        <is>
          <t>Dulumbayan</t>
        </is>
      </c>
    </row>
    <row r="35248" spans="1:1">
      <c r="A35248" t="inlineStr">
        <is>
          <t>May-Iba</t>
        </is>
      </c>
    </row>
    <row r="35249" spans="1:1">
      <c r="A35249" t="inlineStr">
        <is>
          <t>Poblacion</t>
        </is>
      </c>
    </row>
    <row r="35250" spans="1:1">
      <c r="A35250" t="inlineStr">
        <is>
          <t>Prinza</t>
        </is>
      </c>
    </row>
    <row r="35251" spans="1:1">
      <c r="A35251" t="inlineStr">
        <is>
          <t>San Gabriel</t>
        </is>
      </c>
    </row>
    <row r="35252" spans="1:1">
      <c r="A35252" t="inlineStr">
        <is>
          <t>San Roque</t>
        </is>
      </c>
    </row>
    <row r="35253" spans="1:1">
      <c r="A35253" t="inlineStr">
        <is>
          <t>Bagsik</t>
        </is>
      </c>
    </row>
    <row r="35254" spans="1:1">
      <c r="A35254" t="inlineStr">
        <is>
          <t>Bonlao</t>
        </is>
      </c>
    </row>
    <row r="35255" spans="1:1">
      <c r="A35255" t="inlineStr">
        <is>
          <t>Calagonsao</t>
        </is>
      </c>
    </row>
    <row r="35256" spans="1:1">
      <c r="A35256" t="inlineStr">
        <is>
          <t>Camili</t>
        </is>
      </c>
    </row>
    <row r="35257" spans="1:1">
      <c r="A35257" t="inlineStr">
        <is>
          <t>Comod-om</t>
        </is>
      </c>
    </row>
    <row r="35258" spans="1:1">
      <c r="A35258" t="inlineStr">
        <is>
          <t>Gui-ob</t>
        </is>
      </c>
    </row>
    <row r="35259" spans="1:1">
      <c r="A35259" t="inlineStr">
        <is>
          <t>Lawan</t>
        </is>
      </c>
    </row>
    <row r="35260" spans="1:1">
      <c r="A35260" t="inlineStr">
        <is>
          <t>Madalag</t>
        </is>
      </c>
    </row>
    <row r="35261" spans="1:1">
      <c r="A35261" t="inlineStr">
        <is>
          <t>Poblacion</t>
        </is>
      </c>
    </row>
    <row r="35262" spans="1:1">
      <c r="A35262" t="inlineStr">
        <is>
          <t>San Isidro</t>
        </is>
      </c>
    </row>
    <row r="35263" spans="1:1">
      <c r="A35263" t="inlineStr">
        <is>
          <t>San Roque</t>
        </is>
      </c>
    </row>
    <row r="35264" spans="1:1">
      <c r="A35264" t="inlineStr">
        <is>
          <t>Tugdan</t>
        </is>
      </c>
    </row>
    <row r="35265" spans="1:1">
      <c r="A35265" t="inlineStr">
        <is>
          <t>Balogo</t>
        </is>
      </c>
    </row>
    <row r="35266" spans="1:1">
      <c r="A35266" t="inlineStr">
        <is>
          <t>Banice</t>
        </is>
      </c>
    </row>
    <row r="35267" spans="1:1">
      <c r="A35267" t="inlineStr">
        <is>
          <t>Hambi-an</t>
        </is>
      </c>
    </row>
    <row r="35268" spans="1:1">
      <c r="A35268" t="inlineStr">
        <is>
          <t>Lagang</t>
        </is>
      </c>
    </row>
    <row r="35269" spans="1:1">
      <c r="A35269" t="inlineStr">
        <is>
          <t>Libtong</t>
        </is>
      </c>
    </row>
    <row r="35270" spans="1:1">
      <c r="A35270" t="inlineStr">
        <is>
          <t>Mainit</t>
        </is>
      </c>
    </row>
    <row r="35271" spans="1:1">
      <c r="A35271" t="inlineStr">
        <is>
          <t>Nabalay</t>
        </is>
      </c>
    </row>
    <row r="35272" spans="1:1">
      <c r="A35272" t="inlineStr">
        <is>
          <t>Nasunogan</t>
        </is>
      </c>
    </row>
    <row r="35273" spans="1:1">
      <c r="A35273" t="inlineStr">
        <is>
          <t>Poblacion</t>
        </is>
      </c>
    </row>
    <row r="35274" spans="1:1">
      <c r="A35274" t="inlineStr">
        <is>
          <t>Sibay</t>
        </is>
      </c>
    </row>
    <row r="35275" spans="1:1">
      <c r="A35275" t="inlineStr">
        <is>
          <t>Tan-Ag</t>
        </is>
      </c>
    </row>
    <row r="35276" spans="1:1">
      <c r="A35276" t="inlineStr">
        <is>
          <t>Toctoc</t>
        </is>
      </c>
    </row>
    <row r="35277" spans="1:1">
      <c r="A35277" t="inlineStr">
        <is>
          <t>Togbongan</t>
        </is>
      </c>
    </row>
    <row r="35278" spans="1:1">
      <c r="A35278" t="inlineStr">
        <is>
          <t>Togong</t>
        </is>
      </c>
    </row>
    <row r="35279" spans="1:1">
      <c r="A35279" t="inlineStr">
        <is>
          <t>Tumalum</t>
        </is>
      </c>
    </row>
    <row r="35280" spans="1:1">
      <c r="A35280" t="inlineStr">
        <is>
          <t>Tungonan</t>
        </is>
      </c>
    </row>
    <row r="35281" spans="1:1">
      <c r="A35281" t="inlineStr">
        <is>
          <t>Yabawon</t>
        </is>
      </c>
    </row>
    <row r="35282" spans="1:1">
      <c r="A35282" t="inlineStr">
        <is>
          <t>Alibagon</t>
        </is>
      </c>
    </row>
    <row r="35283" spans="1:1">
      <c r="A35283" t="inlineStr">
        <is>
          <t>Cambajao</t>
        </is>
      </c>
    </row>
    <row r="35284" spans="1:1">
      <c r="A35284" t="inlineStr">
        <is>
          <t>Cambalo</t>
        </is>
      </c>
    </row>
    <row r="35285" spans="1:1">
      <c r="A35285" t="inlineStr">
        <is>
          <t>Cambijang</t>
        </is>
      </c>
    </row>
    <row r="35286" spans="1:1">
      <c r="A35286" t="inlineStr">
        <is>
          <t>Cantagda</t>
        </is>
      </c>
    </row>
    <row r="35287" spans="1:1">
      <c r="A35287" t="inlineStr">
        <is>
          <t>Danao</t>
        </is>
      </c>
    </row>
    <row r="35288" spans="1:1">
      <c r="A35288" t="inlineStr">
        <is>
          <t>Gutivan</t>
        </is>
      </c>
    </row>
    <row r="35289" spans="1:1">
      <c r="A35289" t="inlineStr">
        <is>
          <t>Lico</t>
        </is>
      </c>
    </row>
    <row r="35290" spans="1:1">
      <c r="A35290" t="inlineStr">
        <is>
          <t>Lumbang Este</t>
        </is>
      </c>
    </row>
    <row r="35291" spans="1:1">
      <c r="A35291" t="inlineStr">
        <is>
          <t>Lumbang Weste</t>
        </is>
      </c>
    </row>
    <row r="35292" spans="1:1">
      <c r="A35292" t="inlineStr">
        <is>
          <t>Marigondon</t>
        </is>
      </c>
    </row>
    <row r="35293" spans="1:1">
      <c r="A35293" t="inlineStr">
        <is>
          <t>Poblacion</t>
        </is>
      </c>
    </row>
    <row r="35294" spans="1:1">
      <c r="A35294" t="inlineStr">
        <is>
          <t>Sugod</t>
        </is>
      </c>
    </row>
    <row r="35295" spans="1:1">
      <c r="A35295" t="inlineStr">
        <is>
          <t>Taguilos</t>
        </is>
      </c>
    </row>
    <row r="35296" spans="1:1">
      <c r="A35296" t="inlineStr">
        <is>
          <t>Balogo</t>
        </is>
      </c>
    </row>
    <row r="35297" spans="1:1">
      <c r="A35297" t="inlineStr">
        <is>
          <t>Linao</t>
        </is>
      </c>
    </row>
    <row r="35298" spans="1:1">
      <c r="A35298" t="inlineStr">
        <is>
          <t>Pagsangahan</t>
        </is>
      </c>
    </row>
    <row r="35299" spans="1:1">
      <c r="A35299" t="inlineStr">
        <is>
          <t>Pangulo</t>
        </is>
      </c>
    </row>
    <row r="35300" spans="1:1">
      <c r="A35300" t="inlineStr">
        <is>
          <t>Poblacion</t>
        </is>
      </c>
    </row>
    <row r="35301" spans="1:1">
      <c r="A35301" t="inlineStr">
        <is>
          <t>San Roque</t>
        </is>
      </c>
    </row>
    <row r="35302" spans="1:1">
      <c r="A35302" t="inlineStr">
        <is>
          <t>Talisay</t>
        </is>
      </c>
    </row>
    <row r="35303" spans="1:1">
      <c r="A35303" t="inlineStr">
        <is>
          <t>Bachawan</t>
        </is>
      </c>
    </row>
    <row r="35304" spans="1:1">
      <c r="A35304" t="inlineStr">
        <is>
          <t>Calabasahan</t>
        </is>
      </c>
    </row>
    <row r="35305" spans="1:1">
      <c r="A35305" t="inlineStr">
        <is>
          <t>Dalajican</t>
        </is>
      </c>
    </row>
    <row r="35306" spans="1:1">
      <c r="A35306" t="inlineStr">
        <is>
          <t>Masadya</t>
        </is>
      </c>
    </row>
    <row r="35307" spans="1:1">
      <c r="A35307" t="inlineStr">
        <is>
          <t>Masudsud</t>
        </is>
      </c>
    </row>
    <row r="35308" spans="1:1">
      <c r="A35308" t="inlineStr">
        <is>
          <t>Poblacion</t>
        </is>
      </c>
    </row>
    <row r="35309" spans="1:1">
      <c r="A35309" t="inlineStr">
        <is>
          <t>Sampong</t>
        </is>
      </c>
    </row>
    <row r="35310" spans="1:1">
      <c r="A35310" t="inlineStr">
        <is>
          <t>San Pedro</t>
        </is>
      </c>
    </row>
    <row r="35311" spans="1:1">
      <c r="A35311" t="inlineStr">
        <is>
          <t>San Vicente</t>
        </is>
      </c>
    </row>
    <row r="35312" spans="1:1">
      <c r="A35312" t="inlineStr">
        <is>
          <t>Alegria</t>
        </is>
      </c>
    </row>
    <row r="35313" spans="1:1">
      <c r="A35313" t="inlineStr">
        <is>
          <t>Ambulong</t>
        </is>
      </c>
    </row>
    <row r="35314" spans="1:1">
      <c r="A35314" t="inlineStr">
        <is>
          <t>Colongcolong</t>
        </is>
      </c>
    </row>
    <row r="35315" spans="1:1">
      <c r="A35315" t="inlineStr">
        <is>
          <t>Gobon</t>
        </is>
      </c>
    </row>
    <row r="35316" spans="1:1">
      <c r="A35316" t="inlineStr">
        <is>
          <t>Guintiguiban</t>
        </is>
      </c>
    </row>
    <row r="35317" spans="1:1">
      <c r="A35317" t="inlineStr">
        <is>
          <t>Ilijan</t>
        </is>
      </c>
    </row>
    <row r="35318" spans="1:1">
      <c r="A35318" t="inlineStr">
        <is>
          <t>Labnig</t>
        </is>
      </c>
    </row>
    <row r="35319" spans="1:1">
      <c r="A35319" t="inlineStr">
        <is>
          <t>Mabini</t>
        </is>
      </c>
    </row>
    <row r="35320" spans="1:1">
      <c r="A35320" t="inlineStr">
        <is>
          <t>Mahaba</t>
        </is>
      </c>
    </row>
    <row r="35321" spans="1:1">
      <c r="A35321" t="inlineStr">
        <is>
          <t>Mangansag</t>
        </is>
      </c>
    </row>
    <row r="35322" spans="1:1">
      <c r="A35322" t="inlineStr">
        <is>
          <t>Poblacion</t>
        </is>
      </c>
    </row>
    <row r="35323" spans="1:1">
      <c r="A35323" t="inlineStr">
        <is>
          <t>San Agustin</t>
        </is>
      </c>
    </row>
    <row r="35324" spans="1:1">
      <c r="A35324" t="inlineStr">
        <is>
          <t>San Roque</t>
        </is>
      </c>
    </row>
    <row r="35325" spans="1:1">
      <c r="A35325" t="inlineStr">
        <is>
          <t>San Vicente</t>
        </is>
      </c>
    </row>
    <row r="35326" spans="1:1">
      <c r="A35326" t="inlineStr">
        <is>
          <t>Tacasan</t>
        </is>
      </c>
    </row>
    <row r="35327" spans="1:1">
      <c r="A35327" t="inlineStr">
        <is>
          <t>Agnonoc</t>
        </is>
      </c>
    </row>
    <row r="35328" spans="1:1">
      <c r="A35328" t="inlineStr">
        <is>
          <t>Bunsoran</t>
        </is>
      </c>
    </row>
    <row r="35329" spans="1:1">
      <c r="A35329" t="inlineStr">
        <is>
          <t>Claro M. Recto</t>
        </is>
      </c>
    </row>
    <row r="35330" spans="1:1">
      <c r="A35330" t="inlineStr">
        <is>
          <t>Hinaguman</t>
        </is>
      </c>
    </row>
    <row r="35331" spans="1:1">
      <c r="A35331" t="inlineStr">
        <is>
          <t>Poblacion</t>
        </is>
      </c>
    </row>
    <row r="35332" spans="1:1">
      <c r="A35332" t="inlineStr">
        <is>
          <t>Tubigon</t>
        </is>
      </c>
    </row>
    <row r="35333" spans="1:1">
      <c r="A35333" t="inlineStr">
        <is>
          <t>Agojo</t>
        </is>
      </c>
    </row>
    <row r="35334" spans="1:1">
      <c r="A35334" t="inlineStr">
        <is>
          <t>Balatucan</t>
        </is>
      </c>
    </row>
    <row r="35335" spans="1:1">
      <c r="A35335" t="inlineStr">
        <is>
          <t>Buenavista</t>
        </is>
      </c>
    </row>
    <row r="35336" spans="1:1">
      <c r="A35336" t="inlineStr">
        <is>
          <t>Camandag</t>
        </is>
      </c>
    </row>
    <row r="35337" spans="1:1">
      <c r="A35337" t="inlineStr">
        <is>
          <t>Guinhayaan</t>
        </is>
      </c>
    </row>
    <row r="35338" spans="1:1">
      <c r="A35338" t="inlineStr">
        <is>
          <t>Limon Norte</t>
        </is>
      </c>
    </row>
    <row r="35339" spans="1:1">
      <c r="A35339" t="inlineStr">
        <is>
          <t>Limon Sur</t>
        </is>
      </c>
    </row>
    <row r="35340" spans="1:1">
      <c r="A35340" t="inlineStr">
        <is>
          <t>Manhac</t>
        </is>
      </c>
    </row>
    <row r="35341" spans="1:1">
      <c r="A35341" t="inlineStr">
        <is>
          <t>Pili</t>
        </is>
      </c>
    </row>
    <row r="35342" spans="1:1">
      <c r="A35342" t="inlineStr">
        <is>
          <t>Poblacion</t>
        </is>
      </c>
    </row>
    <row r="35343" spans="1:1">
      <c r="A35343" t="inlineStr">
        <is>
          <t>Punta</t>
        </is>
      </c>
    </row>
    <row r="35344" spans="1:1">
      <c r="A35344" t="inlineStr">
        <is>
          <t>Tuguis</t>
        </is>
      </c>
    </row>
    <row r="35345" spans="1:1">
      <c r="A35345" t="inlineStr">
        <is>
          <t>Agsao</t>
        </is>
      </c>
    </row>
    <row r="35346" spans="1:1">
      <c r="A35346" t="inlineStr">
        <is>
          <t>Agutay</t>
        </is>
      </c>
    </row>
    <row r="35347" spans="1:1">
      <c r="A35347" t="inlineStr">
        <is>
          <t>Ambulong</t>
        </is>
      </c>
    </row>
    <row r="35348" spans="1:1">
      <c r="A35348" t="inlineStr">
        <is>
          <t>Dulangan</t>
        </is>
      </c>
    </row>
    <row r="35349" spans="1:1">
      <c r="A35349" t="inlineStr">
        <is>
          <t>Ipil</t>
        </is>
      </c>
    </row>
    <row r="35350" spans="1:1">
      <c r="A35350" t="inlineStr">
        <is>
          <t>Jao-asan</t>
        </is>
      </c>
    </row>
    <row r="35351" spans="1:1">
      <c r="A35351" t="inlineStr">
        <is>
          <t>Poblacion</t>
        </is>
      </c>
    </row>
    <row r="35352" spans="1:1">
      <c r="A35352" t="inlineStr">
        <is>
          <t>Silum</t>
        </is>
      </c>
    </row>
    <row r="35353" spans="1:1">
      <c r="A35353" t="inlineStr">
        <is>
          <t>Tampayan</t>
        </is>
      </c>
    </row>
    <row r="35354" spans="1:1">
      <c r="A35354" t="inlineStr">
        <is>
          <t>Amatong</t>
        </is>
      </c>
    </row>
    <row r="35355" spans="1:1">
      <c r="A35355" t="inlineStr">
        <is>
          <t>Anahao</t>
        </is>
      </c>
    </row>
    <row r="35356" spans="1:1">
      <c r="A35356" t="inlineStr">
        <is>
          <t>Bangon</t>
        </is>
      </c>
    </row>
    <row r="35357" spans="1:1">
      <c r="A35357" t="inlineStr">
        <is>
          <t>Batiano</t>
        </is>
      </c>
    </row>
    <row r="35358" spans="1:1">
      <c r="A35358" t="inlineStr">
        <is>
          <t>Budiong</t>
        </is>
      </c>
    </row>
    <row r="35359" spans="1:1">
      <c r="A35359" t="inlineStr">
        <is>
          <t>Canduyong</t>
        </is>
      </c>
    </row>
    <row r="35360" spans="1:1">
      <c r="A35360" t="inlineStr">
        <is>
          <t>Dapawan</t>
        </is>
      </c>
    </row>
    <row r="35361" spans="1:1">
      <c r="A35361" t="inlineStr">
        <is>
          <t>Gabawan</t>
        </is>
      </c>
    </row>
    <row r="35362" spans="1:1">
      <c r="A35362" t="inlineStr">
        <is>
          <t>Libertad</t>
        </is>
      </c>
    </row>
    <row r="35363" spans="1:1">
      <c r="A35363" t="inlineStr">
        <is>
          <t>Ligaya</t>
        </is>
      </c>
    </row>
    <row r="35364" spans="1:1">
      <c r="A35364" t="inlineStr">
        <is>
          <t>Liwanag</t>
        </is>
      </c>
    </row>
    <row r="35365" spans="1:1">
      <c r="A35365" t="inlineStr">
        <is>
          <t>Liwayway</t>
        </is>
      </c>
    </row>
    <row r="35366" spans="1:1">
      <c r="A35366" t="inlineStr">
        <is>
          <t>Malilico</t>
        </is>
      </c>
    </row>
    <row r="35367" spans="1:1">
      <c r="A35367" t="inlineStr">
        <is>
          <t>Mayha</t>
        </is>
      </c>
    </row>
    <row r="35368" spans="1:1">
      <c r="A35368" t="inlineStr">
        <is>
          <t>Panique</t>
        </is>
      </c>
    </row>
    <row r="35369" spans="1:1">
      <c r="A35369" t="inlineStr">
        <is>
          <t>Pato-o</t>
        </is>
      </c>
    </row>
    <row r="35370" spans="1:1">
      <c r="A35370" t="inlineStr">
        <is>
          <t>Poctoy</t>
        </is>
      </c>
    </row>
    <row r="35371" spans="1:1">
      <c r="A35371" t="inlineStr">
        <is>
          <t>Progreso Este</t>
        </is>
      </c>
    </row>
    <row r="35372" spans="1:1">
      <c r="A35372" t="inlineStr">
        <is>
          <t>Progreso Weste</t>
        </is>
      </c>
    </row>
    <row r="35373" spans="1:1">
      <c r="A35373" t="inlineStr">
        <is>
          <t>Rizal</t>
        </is>
      </c>
    </row>
    <row r="35374" spans="1:1">
      <c r="A35374" t="inlineStr">
        <is>
          <t>Tabing Dagat</t>
        </is>
      </c>
    </row>
    <row r="35375" spans="1:1">
      <c r="A35375" t="inlineStr">
        <is>
          <t>Tabobo-an</t>
        </is>
      </c>
    </row>
    <row r="35376" spans="1:1">
      <c r="A35376" t="inlineStr">
        <is>
          <t>Tuburan</t>
        </is>
      </c>
    </row>
    <row r="35377" spans="1:1">
      <c r="A35377" t="inlineStr">
        <is>
          <t>Tulay</t>
        </is>
      </c>
    </row>
    <row r="35378" spans="1:1">
      <c r="A35378" t="inlineStr">
        <is>
          <t>Tumingad</t>
        </is>
      </c>
    </row>
    <row r="35379" spans="1:1">
      <c r="A35379" t="inlineStr">
        <is>
          <t>Agbaluto</t>
        </is>
      </c>
    </row>
    <row r="35380" spans="1:1">
      <c r="A35380" t="inlineStr">
        <is>
          <t>Agbudia</t>
        </is>
      </c>
    </row>
    <row r="35381" spans="1:1">
      <c r="A35381" t="inlineStr">
        <is>
          <t>Agnaga</t>
        </is>
      </c>
    </row>
    <row r="35382" spans="1:1">
      <c r="A35382" t="inlineStr">
        <is>
          <t>Agnay</t>
        </is>
      </c>
    </row>
    <row r="35383" spans="1:1">
      <c r="A35383" t="inlineStr">
        <is>
          <t>Agnipa</t>
        </is>
      </c>
    </row>
    <row r="35384" spans="1:1">
      <c r="A35384" t="inlineStr">
        <is>
          <t>Agpanabat</t>
        </is>
      </c>
    </row>
    <row r="35385" spans="1:1">
      <c r="A35385" t="inlineStr">
        <is>
          <t>Agtongo</t>
        </is>
      </c>
    </row>
    <row r="35386" spans="1:1">
      <c r="A35386" t="inlineStr">
        <is>
          <t>Alad</t>
        </is>
      </c>
    </row>
    <row r="35387" spans="1:1">
      <c r="A35387" t="inlineStr">
        <is>
          <t>Bagacay</t>
        </is>
      </c>
    </row>
    <row r="35388" spans="1:1">
      <c r="A35388" t="inlineStr">
        <is>
          <t>Barangay I</t>
        </is>
      </c>
    </row>
    <row r="35389" spans="1:1">
      <c r="A35389" t="inlineStr">
        <is>
          <t>Barangay II</t>
        </is>
      </c>
    </row>
    <row r="35390" spans="1:1">
      <c r="A35390" t="inlineStr">
        <is>
          <t>Barangay III</t>
        </is>
      </c>
    </row>
    <row r="35391" spans="1:1">
      <c r="A35391" t="inlineStr">
        <is>
          <t>Barangay IV</t>
        </is>
      </c>
    </row>
    <row r="35392" spans="1:1">
      <c r="A35392" t="inlineStr">
        <is>
          <t>Cajimos</t>
        </is>
      </c>
    </row>
    <row r="35393" spans="1:1">
      <c r="A35393" t="inlineStr">
        <is>
          <t>Calabogo</t>
        </is>
      </c>
    </row>
    <row r="35394" spans="1:1">
      <c r="A35394" t="inlineStr">
        <is>
          <t>Capaclan</t>
        </is>
      </c>
    </row>
    <row r="35395" spans="1:1">
      <c r="A35395" t="inlineStr">
        <is>
          <t>Cobrador</t>
        </is>
      </c>
    </row>
    <row r="35396" spans="1:1">
      <c r="A35396" t="inlineStr">
        <is>
          <t>Ginablan</t>
        </is>
      </c>
    </row>
    <row r="35397" spans="1:1">
      <c r="A35397" t="inlineStr">
        <is>
          <t>Guimpingan</t>
        </is>
      </c>
    </row>
    <row r="35398" spans="1:1">
      <c r="A35398" t="inlineStr">
        <is>
          <t>Ilauran</t>
        </is>
      </c>
    </row>
    <row r="35399" spans="1:1">
      <c r="A35399" t="inlineStr">
        <is>
          <t>Lamao</t>
        </is>
      </c>
    </row>
    <row r="35400" spans="1:1">
      <c r="A35400" t="inlineStr">
        <is>
          <t>Li-o</t>
        </is>
      </c>
    </row>
    <row r="35401" spans="1:1">
      <c r="A35401" t="inlineStr">
        <is>
          <t>Logbon</t>
        </is>
      </c>
    </row>
    <row r="35402" spans="1:1">
      <c r="A35402" t="inlineStr">
        <is>
          <t>Lonos</t>
        </is>
      </c>
    </row>
    <row r="35403" spans="1:1">
      <c r="A35403" t="inlineStr">
        <is>
          <t>Lunas</t>
        </is>
      </c>
    </row>
    <row r="35404" spans="1:1">
      <c r="A35404" t="inlineStr">
        <is>
          <t>Macalas</t>
        </is>
      </c>
    </row>
    <row r="35405" spans="1:1">
      <c r="A35405" t="inlineStr">
        <is>
          <t>Mapula</t>
        </is>
      </c>
    </row>
    <row r="35406" spans="1:1">
      <c r="A35406" t="inlineStr">
        <is>
          <t>Palje</t>
        </is>
      </c>
    </row>
    <row r="35407" spans="1:1">
      <c r="A35407" t="inlineStr">
        <is>
          <t>Sablayan</t>
        </is>
      </c>
    </row>
    <row r="35408" spans="1:1">
      <c r="A35408" t="inlineStr">
        <is>
          <t>Sawang</t>
        </is>
      </c>
    </row>
    <row r="35409" spans="1:1">
      <c r="A35409" t="inlineStr">
        <is>
          <t>Tambac</t>
        </is>
      </c>
    </row>
    <row r="35410" spans="1:1">
      <c r="A35410" t="inlineStr">
        <is>
          <t>Bachawan</t>
        </is>
      </c>
    </row>
    <row r="35411" spans="1:1">
      <c r="A35411" t="inlineStr">
        <is>
          <t>Binonga-an</t>
        </is>
      </c>
    </row>
    <row r="35412" spans="1:1">
      <c r="A35412" t="inlineStr">
        <is>
          <t>Buli</t>
        </is>
      </c>
    </row>
    <row r="35413" spans="1:1">
      <c r="A35413" t="inlineStr">
        <is>
          <t>Cabolutan</t>
        </is>
      </c>
    </row>
    <row r="35414" spans="1:1">
      <c r="A35414" t="inlineStr">
        <is>
          <t>Cagbo-aya</t>
        </is>
      </c>
    </row>
    <row r="35415" spans="1:1">
      <c r="A35415" t="inlineStr">
        <is>
          <t>Camantaya</t>
        </is>
      </c>
    </row>
    <row r="35416" spans="1:1">
      <c r="A35416" t="inlineStr">
        <is>
          <t>Carmen</t>
        </is>
      </c>
    </row>
    <row r="35417" spans="1:1">
      <c r="A35417" t="inlineStr">
        <is>
          <t>Cawayan</t>
        </is>
      </c>
    </row>
    <row r="35418" spans="1:1">
      <c r="A35418" t="inlineStr">
        <is>
          <t>Doña Juana</t>
        </is>
      </c>
    </row>
    <row r="35419" spans="1:1">
      <c r="A35419" t="inlineStr">
        <is>
          <t>Dubduban</t>
        </is>
      </c>
    </row>
    <row r="35420" spans="1:1">
      <c r="A35420" t="inlineStr">
        <is>
          <t>Hinugusan</t>
        </is>
      </c>
    </row>
    <row r="35421" spans="1:1">
      <c r="A35421" t="inlineStr">
        <is>
          <t>Lusong</t>
        </is>
      </c>
    </row>
    <row r="35422" spans="1:1">
      <c r="A35422" t="inlineStr">
        <is>
          <t>Mahabang Baybay</t>
        </is>
      </c>
    </row>
    <row r="35423" spans="1:1">
      <c r="A35423" t="inlineStr">
        <is>
          <t>Poblacion</t>
        </is>
      </c>
    </row>
    <row r="35424" spans="1:1">
      <c r="A35424" t="inlineStr">
        <is>
          <t>Sugod</t>
        </is>
      </c>
    </row>
    <row r="35425" spans="1:1">
      <c r="A35425" t="inlineStr">
        <is>
          <t>Agpudlos</t>
        </is>
      </c>
    </row>
    <row r="35426" spans="1:1">
      <c r="A35426" t="inlineStr">
        <is>
          <t>Calunacon</t>
        </is>
      </c>
    </row>
    <row r="35427" spans="1:1">
      <c r="A35427" t="inlineStr">
        <is>
          <t>Doña Trinidad</t>
        </is>
      </c>
    </row>
    <row r="35428" spans="1:1">
      <c r="A35428" t="inlineStr">
        <is>
          <t>Juncarlo</t>
        </is>
      </c>
    </row>
    <row r="35429" spans="1:1">
      <c r="A35429" t="inlineStr">
        <is>
          <t>Linawan</t>
        </is>
      </c>
    </row>
    <row r="35430" spans="1:1">
      <c r="A35430" t="inlineStr">
        <is>
          <t>Mabini</t>
        </is>
      </c>
    </row>
    <row r="35431" spans="1:1">
      <c r="A35431" t="inlineStr">
        <is>
          <t>Marigondon Norte</t>
        </is>
      </c>
    </row>
    <row r="35432" spans="1:1">
      <c r="A35432" t="inlineStr">
        <is>
          <t>Marigondon Sur</t>
        </is>
      </c>
    </row>
    <row r="35433" spans="1:1">
      <c r="A35433" t="inlineStr">
        <is>
          <t>Matutuna</t>
        </is>
      </c>
    </row>
    <row r="35434" spans="1:1">
      <c r="A35434" t="inlineStr">
        <is>
          <t>Pag-Alad</t>
        </is>
      </c>
    </row>
    <row r="35435" spans="1:1">
      <c r="A35435" t="inlineStr">
        <is>
          <t>Poblacion</t>
        </is>
      </c>
    </row>
    <row r="35436" spans="1:1">
      <c r="A35436" t="inlineStr">
        <is>
          <t>Tan-Agan</t>
        </is>
      </c>
    </row>
    <row r="35437" spans="1:1">
      <c r="A35437" t="inlineStr">
        <is>
          <t>Victoria</t>
        </is>
      </c>
    </row>
    <row r="35438" spans="1:1">
      <c r="A35438" t="inlineStr">
        <is>
          <t>Agtiwa</t>
        </is>
      </c>
    </row>
    <row r="35439" spans="1:1">
      <c r="A35439" t="inlineStr">
        <is>
          <t>Azarga</t>
        </is>
      </c>
    </row>
    <row r="35440" spans="1:1">
      <c r="A35440" t="inlineStr">
        <is>
          <t>Campalingo</t>
        </is>
      </c>
    </row>
    <row r="35441" spans="1:1">
      <c r="A35441" t="inlineStr">
        <is>
          <t>Canjalon</t>
        </is>
      </c>
    </row>
    <row r="35442" spans="1:1">
      <c r="A35442" t="inlineStr">
        <is>
          <t>España</t>
        </is>
      </c>
    </row>
    <row r="35443" spans="1:1">
      <c r="A35443" t="inlineStr">
        <is>
          <t>Mabini</t>
        </is>
      </c>
    </row>
    <row r="35444" spans="1:1">
      <c r="A35444" t="inlineStr">
        <is>
          <t>Mabulo</t>
        </is>
      </c>
    </row>
    <row r="35445" spans="1:1">
      <c r="A35445" t="inlineStr">
        <is>
          <t>Otod</t>
        </is>
      </c>
    </row>
    <row r="35446" spans="1:1">
      <c r="A35446" t="inlineStr">
        <is>
          <t>Panangcalan</t>
        </is>
      </c>
    </row>
    <row r="35447" spans="1:1">
      <c r="A35447" t="inlineStr">
        <is>
          <t>Pili</t>
        </is>
      </c>
    </row>
    <row r="35448" spans="1:1">
      <c r="A35448" t="inlineStr">
        <is>
          <t>Poblacion</t>
        </is>
      </c>
    </row>
    <row r="35449" spans="1:1">
      <c r="A35449" t="inlineStr">
        <is>
          <t>Taclobo</t>
        </is>
      </c>
    </row>
    <row r="35450" spans="1:1">
      <c r="A35450" t="inlineStr">
        <is>
          <t>Busay</t>
        </is>
      </c>
    </row>
    <row r="35451" spans="1:1">
      <c r="A35451" t="inlineStr">
        <is>
          <t>Combot</t>
        </is>
      </c>
    </row>
    <row r="35452" spans="1:1">
      <c r="A35452" t="inlineStr">
        <is>
          <t>Lanas</t>
        </is>
      </c>
    </row>
    <row r="35453" spans="1:1">
      <c r="A35453" t="inlineStr">
        <is>
          <t>Pinamihagan</t>
        </is>
      </c>
    </row>
    <row r="35454" spans="1:1">
      <c r="A35454" t="inlineStr">
        <is>
          <t>Poblacion</t>
        </is>
      </c>
    </row>
    <row r="35455" spans="1:1">
      <c r="A35455" t="inlineStr">
        <is>
          <t>Agmanic</t>
        </is>
      </c>
    </row>
    <row r="35456" spans="1:1">
      <c r="A35456" t="inlineStr">
        <is>
          <t>Canyayo</t>
        </is>
      </c>
    </row>
    <row r="35457" spans="1:1">
      <c r="A35457" t="inlineStr">
        <is>
          <t>Danao Norte</t>
        </is>
      </c>
    </row>
    <row r="35458" spans="1:1">
      <c r="A35458" t="inlineStr">
        <is>
          <t>Danao Sur</t>
        </is>
      </c>
    </row>
    <row r="35459" spans="1:1">
      <c r="A35459" t="inlineStr">
        <is>
          <t>Guinbirayan</t>
        </is>
      </c>
    </row>
    <row r="35460" spans="1:1">
      <c r="A35460" t="inlineStr">
        <is>
          <t>Guintigbasan</t>
        </is>
      </c>
    </row>
    <row r="35461" spans="1:1">
      <c r="A35461" t="inlineStr">
        <is>
          <t>Magsaysay</t>
        </is>
      </c>
    </row>
    <row r="35462" spans="1:1">
      <c r="A35462" t="inlineStr">
        <is>
          <t>Mat-i</t>
        </is>
      </c>
    </row>
    <row r="35463" spans="1:1">
      <c r="A35463" t="inlineStr">
        <is>
          <t>Pandan</t>
        </is>
      </c>
    </row>
    <row r="35464" spans="1:1">
      <c r="A35464" t="inlineStr">
        <is>
          <t>Poblacion</t>
        </is>
      </c>
    </row>
    <row r="35465" spans="1:1">
      <c r="A35465" t="inlineStr">
        <is>
          <t>Tabugon</t>
        </is>
      </c>
    </row>
    <row r="35466" spans="1:1">
      <c r="A35466" t="inlineStr">
        <is>
          <t>Bonga</t>
        </is>
      </c>
    </row>
    <row r="35467" spans="1:1">
      <c r="A35467" t="inlineStr">
        <is>
          <t>Concepcion Norte</t>
        </is>
      </c>
    </row>
    <row r="35468" spans="1:1">
      <c r="A35468" t="inlineStr">
        <is>
          <t>Concepcion Sur</t>
        </is>
      </c>
    </row>
    <row r="35469" spans="1:1">
      <c r="A35469" t="inlineStr">
        <is>
          <t>Paroyhog</t>
        </is>
      </c>
    </row>
    <row r="35470" spans="1:1">
      <c r="A35470" t="inlineStr">
        <is>
          <t>San Isidro</t>
        </is>
      </c>
    </row>
    <row r="35471" spans="1:1">
      <c r="A35471" t="inlineStr">
        <is>
          <t>Santo Niño</t>
        </is>
      </c>
    </row>
    <row r="35472" spans="1:1">
      <c r="A35472" t="inlineStr">
        <is>
          <t>Bacjao</t>
        </is>
      </c>
    </row>
    <row r="35473" spans="1:1">
      <c r="A35473" t="inlineStr">
        <is>
          <t>Biasong I</t>
        </is>
      </c>
    </row>
    <row r="35474" spans="1:1">
      <c r="A35474" t="inlineStr">
        <is>
          <t>Biasong II</t>
        </is>
      </c>
    </row>
    <row r="35475" spans="1:1">
      <c r="A35475" t="inlineStr">
        <is>
          <t>Costa Rica</t>
        </is>
      </c>
    </row>
    <row r="35476" spans="1:1">
      <c r="A35476" t="inlineStr">
        <is>
          <t>Costa Rica II</t>
        </is>
      </c>
    </row>
    <row r="35477" spans="1:1">
      <c r="A35477" t="inlineStr">
        <is>
          <t>Guin-ansan</t>
        </is>
      </c>
    </row>
    <row r="35478" spans="1:1">
      <c r="A35478" t="inlineStr">
        <is>
          <t>Imelda</t>
        </is>
      </c>
    </row>
    <row r="35479" spans="1:1">
      <c r="A35479" t="inlineStr">
        <is>
          <t>Kerikite</t>
        </is>
      </c>
    </row>
    <row r="35480" spans="1:1">
      <c r="A35480" t="inlineStr">
        <is>
          <t>Lunang I</t>
        </is>
      </c>
    </row>
    <row r="35481" spans="1:1">
      <c r="A35481" t="inlineStr">
        <is>
          <t>Lunang II</t>
        </is>
      </c>
    </row>
    <row r="35482" spans="1:1">
      <c r="A35482" t="inlineStr">
        <is>
          <t>Mabuhay</t>
        </is>
      </c>
    </row>
    <row r="35483" spans="1:1">
      <c r="A35483" t="inlineStr">
        <is>
          <t>Magsaysay</t>
        </is>
      </c>
    </row>
    <row r="35484" spans="1:1">
      <c r="A35484" t="inlineStr">
        <is>
          <t>Malobago</t>
        </is>
      </c>
    </row>
    <row r="35485" spans="1:1">
      <c r="A35485" t="inlineStr">
        <is>
          <t>Marasbaras</t>
        </is>
      </c>
    </row>
    <row r="35486" spans="1:1">
      <c r="A35486" t="inlineStr">
        <is>
          <t>Panjobjoban I</t>
        </is>
      </c>
    </row>
    <row r="35487" spans="1:1">
      <c r="A35487" t="inlineStr">
        <is>
          <t>Panjobjoban II</t>
        </is>
      </c>
    </row>
    <row r="35488" spans="1:1">
      <c r="A35488" t="inlineStr">
        <is>
          <t>Poblacion</t>
        </is>
      </c>
    </row>
    <row r="35489" spans="1:1">
      <c r="A35489" t="inlineStr">
        <is>
          <t>Roño</t>
        </is>
      </c>
    </row>
    <row r="35490" spans="1:1">
      <c r="A35490" t="inlineStr">
        <is>
          <t>San Isidro</t>
        </is>
      </c>
    </row>
    <row r="35491" spans="1:1">
      <c r="A35491" t="inlineStr">
        <is>
          <t>San Jose</t>
        </is>
      </c>
    </row>
    <row r="35492" spans="1:1">
      <c r="A35492" t="inlineStr">
        <is>
          <t>Talahid</t>
        </is>
      </c>
    </row>
    <row r="35493" spans="1:1">
      <c r="A35493" t="inlineStr">
        <is>
          <t>Tonga-tonga</t>
        </is>
      </c>
    </row>
    <row r="35494" spans="1:1">
      <c r="A35494" t="inlineStr">
        <is>
          <t>Veloso</t>
        </is>
      </c>
    </row>
    <row r="35495" spans="1:1">
      <c r="A35495" t="inlineStr">
        <is>
          <t>Amandayehan</t>
        </is>
      </c>
    </row>
    <row r="35496" spans="1:1">
      <c r="A35496" t="inlineStr">
        <is>
          <t>Anglit</t>
        </is>
      </c>
    </row>
    <row r="35497" spans="1:1">
      <c r="A35497" t="inlineStr">
        <is>
          <t>Bacubac</t>
        </is>
      </c>
    </row>
    <row r="35498" spans="1:1">
      <c r="A35498" t="inlineStr">
        <is>
          <t>Balante</t>
        </is>
      </c>
    </row>
    <row r="35499" spans="1:1">
      <c r="A35499" t="inlineStr">
        <is>
          <t>Baloog</t>
        </is>
      </c>
    </row>
    <row r="35500" spans="1:1">
      <c r="A35500" t="inlineStr">
        <is>
          <t>Basiao</t>
        </is>
      </c>
    </row>
    <row r="35501" spans="1:1">
      <c r="A35501" t="inlineStr">
        <is>
          <t>Baybay</t>
        </is>
      </c>
    </row>
    <row r="35502" spans="1:1">
      <c r="A35502" t="inlineStr">
        <is>
          <t>Binongtu-an</t>
        </is>
      </c>
    </row>
    <row r="35503" spans="1:1">
      <c r="A35503" t="inlineStr">
        <is>
          <t>Buenavista</t>
        </is>
      </c>
    </row>
    <row r="35504" spans="1:1">
      <c r="A35504" t="inlineStr">
        <is>
          <t>Bulao</t>
        </is>
      </c>
    </row>
    <row r="35505" spans="1:1">
      <c r="A35505" t="inlineStr">
        <is>
          <t>Burgos</t>
        </is>
      </c>
    </row>
    <row r="35506" spans="1:1">
      <c r="A35506" t="inlineStr">
        <is>
          <t>Buscada</t>
        </is>
      </c>
    </row>
    <row r="35507" spans="1:1">
      <c r="A35507" t="inlineStr">
        <is>
          <t>Cambayan</t>
        </is>
      </c>
    </row>
    <row r="35508" spans="1:1">
      <c r="A35508" t="inlineStr">
        <is>
          <t>Can-abay</t>
        </is>
      </c>
    </row>
    <row r="35509" spans="1:1">
      <c r="A35509" t="inlineStr">
        <is>
          <t>Cancaiyas</t>
        </is>
      </c>
    </row>
    <row r="35510" spans="1:1">
      <c r="A35510" t="inlineStr">
        <is>
          <t>Canmanila</t>
        </is>
      </c>
    </row>
    <row r="35511" spans="1:1">
      <c r="A35511" t="inlineStr">
        <is>
          <t>Catadman</t>
        </is>
      </c>
    </row>
    <row r="35512" spans="1:1">
      <c r="A35512" t="inlineStr">
        <is>
          <t>Cogon</t>
        </is>
      </c>
    </row>
    <row r="35513" spans="1:1">
      <c r="A35513" t="inlineStr">
        <is>
          <t>Del Pilar</t>
        </is>
      </c>
    </row>
    <row r="35514" spans="1:1">
      <c r="A35514" t="inlineStr">
        <is>
          <t>Dolongan</t>
        </is>
      </c>
    </row>
    <row r="35515" spans="1:1">
      <c r="A35515" t="inlineStr">
        <is>
          <t>Guintigui-an</t>
        </is>
      </c>
    </row>
    <row r="35516" spans="1:1">
      <c r="A35516" t="inlineStr">
        <is>
          <t>Guirang</t>
        </is>
      </c>
    </row>
    <row r="35517" spans="1:1">
      <c r="A35517" t="inlineStr">
        <is>
          <t>Iba</t>
        </is>
      </c>
    </row>
    <row r="35518" spans="1:1">
      <c r="A35518" t="inlineStr">
        <is>
          <t>Inuntan</t>
        </is>
      </c>
    </row>
    <row r="35519" spans="1:1">
      <c r="A35519" t="inlineStr">
        <is>
          <t>Lawa-an</t>
        </is>
      </c>
    </row>
    <row r="35520" spans="1:1">
      <c r="A35520" t="inlineStr">
        <is>
          <t>Loog</t>
        </is>
      </c>
    </row>
    <row r="35521" spans="1:1">
      <c r="A35521" t="inlineStr">
        <is>
          <t>Loyo</t>
        </is>
      </c>
    </row>
    <row r="35522" spans="1:1">
      <c r="A35522" t="inlineStr">
        <is>
          <t>Mabini</t>
        </is>
      </c>
    </row>
    <row r="35523" spans="1:1">
      <c r="A35523" t="inlineStr">
        <is>
          <t>Magallanes</t>
        </is>
      </c>
    </row>
    <row r="35524" spans="1:1">
      <c r="A35524" t="inlineStr">
        <is>
          <t>Manlilinab</t>
        </is>
      </c>
    </row>
    <row r="35525" spans="1:1">
      <c r="A35525" t="inlineStr">
        <is>
          <t>May-it</t>
        </is>
      </c>
    </row>
    <row r="35526" spans="1:1">
      <c r="A35526" t="inlineStr">
        <is>
          <t>Mercado</t>
        </is>
      </c>
    </row>
    <row r="35527" spans="1:1">
      <c r="A35527" t="inlineStr">
        <is>
          <t>Mongabong</t>
        </is>
      </c>
    </row>
    <row r="35528" spans="1:1">
      <c r="A35528" t="inlineStr">
        <is>
          <t>New San Agustin</t>
        </is>
      </c>
    </row>
    <row r="35529" spans="1:1">
      <c r="A35529" t="inlineStr">
        <is>
          <t>Nouvelas Occidental</t>
        </is>
      </c>
    </row>
    <row r="35530" spans="1:1">
      <c r="A35530" t="inlineStr">
        <is>
          <t>Old San Agustin</t>
        </is>
      </c>
    </row>
    <row r="35531" spans="1:1">
      <c r="A35531" t="inlineStr">
        <is>
          <t>Palaypay</t>
        </is>
      </c>
    </row>
    <row r="35532" spans="1:1">
      <c r="A35532" t="inlineStr">
        <is>
          <t>Panugmonon</t>
        </is>
      </c>
    </row>
    <row r="35533" spans="1:1">
      <c r="A35533" t="inlineStr">
        <is>
          <t>Pelit</t>
        </is>
      </c>
    </row>
    <row r="35534" spans="1:1">
      <c r="A35534" t="inlineStr">
        <is>
          <t>Roxas</t>
        </is>
      </c>
    </row>
    <row r="35535" spans="1:1">
      <c r="A35535" t="inlineStr">
        <is>
          <t>Salvacion</t>
        </is>
      </c>
    </row>
    <row r="35536" spans="1:1">
      <c r="A35536" t="inlineStr">
        <is>
          <t>San Antonio</t>
        </is>
      </c>
    </row>
    <row r="35537" spans="1:1">
      <c r="A35537" t="inlineStr">
        <is>
          <t>San Fernando</t>
        </is>
      </c>
    </row>
    <row r="35538" spans="1:1">
      <c r="A35538" t="inlineStr">
        <is>
          <t>Sawa</t>
        </is>
      </c>
    </row>
    <row r="35539" spans="1:1">
      <c r="A35539" t="inlineStr">
        <is>
          <t>Serum</t>
        </is>
      </c>
    </row>
    <row r="35540" spans="1:1">
      <c r="A35540" t="inlineStr">
        <is>
          <t>Sugca</t>
        </is>
      </c>
    </row>
    <row r="35541" spans="1:1">
      <c r="A35541" t="inlineStr">
        <is>
          <t>Sugponon</t>
        </is>
      </c>
    </row>
    <row r="35542" spans="1:1">
      <c r="A35542" t="inlineStr">
        <is>
          <t>Sulod</t>
        </is>
      </c>
    </row>
    <row r="35543" spans="1:1">
      <c r="A35543" t="inlineStr">
        <is>
          <t>Tinaogan</t>
        </is>
      </c>
    </row>
    <row r="35544" spans="1:1">
      <c r="A35544" t="inlineStr">
        <is>
          <t>Tingib</t>
        </is>
      </c>
    </row>
    <row r="35545" spans="1:1">
      <c r="A35545" t="inlineStr">
        <is>
          <t>Villa Aurora</t>
        </is>
      </c>
    </row>
    <row r="35546" spans="1:1">
      <c r="A35546" t="inlineStr">
        <is>
          <t>Antol</t>
        </is>
      </c>
    </row>
    <row r="35547" spans="1:1">
      <c r="A35547" t="inlineStr">
        <is>
          <t>Bacyaran</t>
        </is>
      </c>
    </row>
    <row r="35548" spans="1:1">
      <c r="A35548" t="inlineStr">
        <is>
          <t>Barangay 1</t>
        </is>
      </c>
    </row>
    <row r="35549" spans="1:1">
      <c r="A35549" t="inlineStr">
        <is>
          <t>Barangay 2</t>
        </is>
      </c>
    </row>
    <row r="35550" spans="1:1">
      <c r="A35550" t="inlineStr">
        <is>
          <t>Barangay 3</t>
        </is>
      </c>
    </row>
    <row r="35551" spans="1:1">
      <c r="A35551" t="inlineStr">
        <is>
          <t>Barangay 4</t>
        </is>
      </c>
    </row>
    <row r="35552" spans="1:1">
      <c r="A35552" t="inlineStr">
        <is>
          <t>Barangay 5</t>
        </is>
      </c>
    </row>
    <row r="35553" spans="1:1">
      <c r="A35553" t="inlineStr">
        <is>
          <t>Barangay 6</t>
        </is>
      </c>
    </row>
    <row r="35554" spans="1:1">
      <c r="A35554" t="inlineStr">
        <is>
          <t>Barangay 7</t>
        </is>
      </c>
    </row>
    <row r="35555" spans="1:1">
      <c r="A35555" t="inlineStr">
        <is>
          <t>Barobaybay</t>
        </is>
      </c>
    </row>
    <row r="35556" spans="1:1">
      <c r="A35556" t="inlineStr">
        <is>
          <t>Beri</t>
        </is>
      </c>
    </row>
    <row r="35557" spans="1:1">
      <c r="A35557" t="inlineStr">
        <is>
          <t>Binanggaran</t>
        </is>
      </c>
    </row>
    <row r="35558" spans="1:1">
      <c r="A35558" t="inlineStr">
        <is>
          <t>Borong</t>
        </is>
      </c>
    </row>
    <row r="35559" spans="1:1">
      <c r="A35559" t="inlineStr">
        <is>
          <t>Bulao</t>
        </is>
      </c>
    </row>
    <row r="35560" spans="1:1">
      <c r="A35560" t="inlineStr">
        <is>
          <t>Buluan</t>
        </is>
      </c>
    </row>
    <row r="35561" spans="1:1">
      <c r="A35561" t="inlineStr">
        <is>
          <t>Caamlongan</t>
        </is>
      </c>
    </row>
    <row r="35562" spans="1:1">
      <c r="A35562" t="inlineStr">
        <is>
          <t>Calayaan</t>
        </is>
      </c>
    </row>
    <row r="35563" spans="1:1">
      <c r="A35563" t="inlineStr">
        <is>
          <t>Calingonan</t>
        </is>
      </c>
    </row>
    <row r="35564" spans="1:1">
      <c r="A35564" t="inlineStr">
        <is>
          <t>Canbagtic</t>
        </is>
      </c>
    </row>
    <row r="35565" spans="1:1">
      <c r="A35565" t="inlineStr">
        <is>
          <t>Canticum</t>
        </is>
      </c>
    </row>
    <row r="35566" spans="1:1">
      <c r="A35566" t="inlineStr">
        <is>
          <t>Daligan</t>
        </is>
      </c>
    </row>
    <row r="35567" spans="1:1">
      <c r="A35567" t="inlineStr">
        <is>
          <t>Guinbanga</t>
        </is>
      </c>
    </row>
    <row r="35568" spans="1:1">
      <c r="A35568" t="inlineStr">
        <is>
          <t>Hindang</t>
        </is>
      </c>
    </row>
    <row r="35569" spans="1:1">
      <c r="A35569" t="inlineStr">
        <is>
          <t>Hubasan</t>
        </is>
      </c>
    </row>
    <row r="35570" spans="1:1">
      <c r="A35570" t="inlineStr">
        <is>
          <t>Literon</t>
        </is>
      </c>
    </row>
    <row r="35571" spans="1:1">
      <c r="A35571" t="inlineStr">
        <is>
          <t>Lubang</t>
        </is>
      </c>
    </row>
    <row r="35572" spans="1:1">
      <c r="A35572" t="inlineStr">
        <is>
          <t>Macaalan</t>
        </is>
      </c>
    </row>
    <row r="35573" spans="1:1">
      <c r="A35573" t="inlineStr">
        <is>
          <t>Mahangcao</t>
        </is>
      </c>
    </row>
    <row r="35574" spans="1:1">
      <c r="A35574" t="inlineStr">
        <is>
          <t>Malabal</t>
        </is>
      </c>
    </row>
    <row r="35575" spans="1:1">
      <c r="A35575" t="inlineStr">
        <is>
          <t>Minata</t>
        </is>
      </c>
    </row>
    <row r="35576" spans="1:1">
      <c r="A35576" t="inlineStr">
        <is>
          <t>Otoc</t>
        </is>
      </c>
    </row>
    <row r="35577" spans="1:1">
      <c r="A35577" t="inlineStr">
        <is>
          <t>Panayuran</t>
        </is>
      </c>
    </row>
    <row r="35578" spans="1:1">
      <c r="A35578" t="inlineStr">
        <is>
          <t>Pasigay</t>
        </is>
      </c>
    </row>
    <row r="35579" spans="1:1">
      <c r="A35579" t="inlineStr">
        <is>
          <t>Patong</t>
        </is>
      </c>
    </row>
    <row r="35580" spans="1:1">
      <c r="A35580" t="inlineStr">
        <is>
          <t>Polangi</t>
        </is>
      </c>
    </row>
    <row r="35581" spans="1:1">
      <c r="A35581" t="inlineStr">
        <is>
          <t>Rawis</t>
        </is>
      </c>
    </row>
    <row r="35582" spans="1:1">
      <c r="A35582" t="inlineStr">
        <is>
          <t>San Ignacio</t>
        </is>
      </c>
    </row>
    <row r="35583" spans="1:1">
      <c r="A35583" t="inlineStr">
        <is>
          <t>San Mauricio</t>
        </is>
      </c>
    </row>
    <row r="35584" spans="1:1">
      <c r="A35584" t="inlineStr">
        <is>
          <t>Sinalangtan</t>
        </is>
      </c>
    </row>
    <row r="35585" spans="1:1">
      <c r="A35585" t="inlineStr">
        <is>
          <t>Timbangan</t>
        </is>
      </c>
    </row>
    <row r="35586" spans="1:1">
      <c r="A35586" t="inlineStr">
        <is>
          <t>Tinago</t>
        </is>
      </c>
    </row>
    <row r="35587" spans="1:1">
      <c r="A35587" t="inlineStr">
        <is>
          <t>Acedillo</t>
        </is>
      </c>
    </row>
    <row r="35588" spans="1:1">
      <c r="A35588" t="inlineStr">
        <is>
          <t>Aguit-itan</t>
        </is>
      </c>
    </row>
    <row r="35589" spans="1:1">
      <c r="A35589" t="inlineStr">
        <is>
          <t>Alibaba</t>
        </is>
      </c>
    </row>
    <row r="35590" spans="1:1">
      <c r="A35590" t="inlineStr">
        <is>
          <t>Amampacang</t>
        </is>
      </c>
    </row>
    <row r="35591" spans="1:1">
      <c r="A35591" t="inlineStr">
        <is>
          <t>Anislag</t>
        </is>
      </c>
    </row>
    <row r="35592" spans="1:1">
      <c r="A35592" t="inlineStr">
        <is>
          <t>Awang East</t>
        </is>
      </c>
    </row>
    <row r="35593" spans="1:1">
      <c r="A35593" t="inlineStr">
        <is>
          <t>Awang West</t>
        </is>
      </c>
    </row>
    <row r="35594" spans="1:1">
      <c r="A35594" t="inlineStr">
        <is>
          <t>Ba-ay</t>
        </is>
      </c>
    </row>
    <row r="35595" spans="1:1">
      <c r="A35595" t="inlineStr">
        <is>
          <t>Bagacay</t>
        </is>
      </c>
    </row>
    <row r="35596" spans="1:1">
      <c r="A35596" t="inlineStr">
        <is>
          <t>Bagong Lipunan</t>
        </is>
      </c>
    </row>
    <row r="35597" spans="1:1">
      <c r="A35597" t="inlineStr">
        <is>
          <t>Baja</t>
        </is>
      </c>
    </row>
    <row r="35598" spans="1:1">
      <c r="A35598" t="inlineStr">
        <is>
          <t>Balud</t>
        </is>
      </c>
    </row>
    <row r="35599" spans="1:1">
      <c r="A35599" t="inlineStr">
        <is>
          <t>Bante</t>
        </is>
      </c>
    </row>
    <row r="35600" spans="1:1">
      <c r="A35600" t="inlineStr">
        <is>
          <t>Bantian</t>
        </is>
      </c>
    </row>
    <row r="35601" spans="1:1">
      <c r="A35601" t="inlineStr">
        <is>
          <t>Basud</t>
        </is>
      </c>
    </row>
    <row r="35602" spans="1:1">
      <c r="A35602" t="inlineStr">
        <is>
          <t>Bayo</t>
        </is>
      </c>
    </row>
    <row r="35603" spans="1:1">
      <c r="A35603" t="inlineStr">
        <is>
          <t>Begaho</t>
        </is>
      </c>
    </row>
    <row r="35604" spans="1:1">
      <c r="A35604" t="inlineStr">
        <is>
          <t>Binaliw</t>
        </is>
      </c>
    </row>
    <row r="35605" spans="1:1">
      <c r="A35605" t="inlineStr">
        <is>
          <t>Bontay</t>
        </is>
      </c>
    </row>
    <row r="35606" spans="1:1">
      <c r="A35606" t="inlineStr">
        <is>
          <t>Buenavista</t>
        </is>
      </c>
    </row>
    <row r="35607" spans="1:1">
      <c r="A35607" t="inlineStr">
        <is>
          <t>Bugtong</t>
        </is>
      </c>
    </row>
    <row r="35608" spans="1:1">
      <c r="A35608" t="inlineStr">
        <is>
          <t>Cabacungan</t>
        </is>
      </c>
    </row>
    <row r="35609" spans="1:1">
      <c r="A35609" t="inlineStr">
        <is>
          <t>Cabatuan</t>
        </is>
      </c>
    </row>
    <row r="35610" spans="1:1">
      <c r="A35610" t="inlineStr">
        <is>
          <t>Cabicahan</t>
        </is>
      </c>
    </row>
    <row r="35611" spans="1:1">
      <c r="A35611" t="inlineStr">
        <is>
          <t>Cabugawan</t>
        </is>
      </c>
    </row>
    <row r="35612" spans="1:1">
      <c r="A35612" t="inlineStr">
        <is>
          <t>Cacaransan</t>
        </is>
      </c>
    </row>
    <row r="35613" spans="1:1">
      <c r="A35613" t="inlineStr">
        <is>
          <t>Cag-anahaw</t>
        </is>
      </c>
    </row>
    <row r="35614" spans="1:1">
      <c r="A35614" t="inlineStr">
        <is>
          <t>Cag-anibong</t>
        </is>
      </c>
    </row>
    <row r="35615" spans="1:1">
      <c r="A35615" t="inlineStr">
        <is>
          <t>Cag-olango</t>
        </is>
      </c>
    </row>
    <row r="35616" spans="1:1">
      <c r="A35616" t="inlineStr">
        <is>
          <t>Cagbanayacao</t>
        </is>
      </c>
    </row>
    <row r="35617" spans="1:1">
      <c r="A35617" t="inlineStr">
        <is>
          <t>Cagbayang</t>
        </is>
      </c>
    </row>
    <row r="35618" spans="1:1">
      <c r="A35618" t="inlineStr">
        <is>
          <t>Cagbilwang</t>
        </is>
      </c>
    </row>
    <row r="35619" spans="1:1">
      <c r="A35619" t="inlineStr">
        <is>
          <t>Cagboborac</t>
        </is>
      </c>
    </row>
    <row r="35620" spans="1:1">
      <c r="A35620" t="inlineStr">
        <is>
          <t>Caglanipao Sur</t>
        </is>
      </c>
    </row>
    <row r="35621" spans="1:1">
      <c r="A35621" t="inlineStr">
        <is>
          <t>Cagmanipis Norte</t>
        </is>
      </c>
    </row>
    <row r="35622" spans="1:1">
      <c r="A35622" t="inlineStr">
        <is>
          <t>Cagmanipis Sur</t>
        </is>
      </c>
    </row>
    <row r="35623" spans="1:1">
      <c r="A35623" t="inlineStr">
        <is>
          <t>Cagnipa</t>
        </is>
      </c>
    </row>
    <row r="35624" spans="1:1">
      <c r="A35624" t="inlineStr">
        <is>
          <t>Cagsalaosao</t>
        </is>
      </c>
    </row>
    <row r="35625" spans="1:1">
      <c r="A35625" t="inlineStr">
        <is>
          <t>Cahumpan</t>
        </is>
      </c>
    </row>
    <row r="35626" spans="1:1">
      <c r="A35626" t="inlineStr">
        <is>
          <t>Calocnayan</t>
        </is>
      </c>
    </row>
    <row r="35627" spans="1:1">
      <c r="A35627" t="inlineStr">
        <is>
          <t>Cangomaod</t>
        </is>
      </c>
    </row>
    <row r="35628" spans="1:1">
      <c r="A35628" t="inlineStr">
        <is>
          <t>Canhumadac</t>
        </is>
      </c>
    </row>
    <row r="35629" spans="1:1">
      <c r="A35629" t="inlineStr">
        <is>
          <t>Capacuhan</t>
        </is>
      </c>
    </row>
    <row r="35630" spans="1:1">
      <c r="A35630" t="inlineStr">
        <is>
          <t>Capoocan</t>
        </is>
      </c>
    </row>
    <row r="35631" spans="1:1">
      <c r="A35631" t="inlineStr">
        <is>
          <t>Carayman</t>
        </is>
      </c>
    </row>
    <row r="35632" spans="1:1">
      <c r="A35632" t="inlineStr">
        <is>
          <t>Carmen</t>
        </is>
      </c>
    </row>
    <row r="35633" spans="1:1">
      <c r="A35633" t="inlineStr">
        <is>
          <t>Catabunan</t>
        </is>
      </c>
    </row>
    <row r="35634" spans="1:1">
      <c r="A35634" t="inlineStr">
        <is>
          <t>Caybago</t>
        </is>
      </c>
    </row>
    <row r="35635" spans="1:1">
      <c r="A35635" t="inlineStr">
        <is>
          <t>Central</t>
        </is>
      </c>
    </row>
    <row r="35636" spans="1:1">
      <c r="A35636" t="inlineStr">
        <is>
          <t>Cogon</t>
        </is>
      </c>
    </row>
    <row r="35637" spans="1:1">
      <c r="A35637" t="inlineStr">
        <is>
          <t>Dagum</t>
        </is>
      </c>
    </row>
    <row r="35638" spans="1:1">
      <c r="A35638" t="inlineStr">
        <is>
          <t>Danao I</t>
        </is>
      </c>
    </row>
    <row r="35639" spans="1:1">
      <c r="A35639" t="inlineStr">
        <is>
          <t>Danao II</t>
        </is>
      </c>
    </row>
    <row r="35640" spans="1:1">
      <c r="A35640" t="inlineStr">
        <is>
          <t>Dawo</t>
        </is>
      </c>
    </row>
    <row r="35641" spans="1:1">
      <c r="A35641" t="inlineStr">
        <is>
          <t>De Victoria</t>
        </is>
      </c>
    </row>
    <row r="35642" spans="1:1">
      <c r="A35642" t="inlineStr">
        <is>
          <t>Dinabongan</t>
        </is>
      </c>
    </row>
    <row r="35643" spans="1:1">
      <c r="A35643" t="inlineStr">
        <is>
          <t>Dinagan</t>
        </is>
      </c>
    </row>
    <row r="35644" spans="1:1">
      <c r="A35644" t="inlineStr">
        <is>
          <t>Dinawacan</t>
        </is>
      </c>
    </row>
    <row r="35645" spans="1:1">
      <c r="A35645" t="inlineStr">
        <is>
          <t>Esperanza</t>
        </is>
      </c>
    </row>
    <row r="35646" spans="1:1">
      <c r="A35646" t="inlineStr">
        <is>
          <t>Gabay</t>
        </is>
      </c>
    </row>
    <row r="35647" spans="1:1">
      <c r="A35647" t="inlineStr">
        <is>
          <t>Gadgaran</t>
        </is>
      </c>
    </row>
    <row r="35648" spans="1:1">
      <c r="A35648" t="inlineStr">
        <is>
          <t>Gasdo</t>
        </is>
      </c>
    </row>
    <row r="35649" spans="1:1">
      <c r="A35649" t="inlineStr">
        <is>
          <t>Geragaan</t>
        </is>
      </c>
    </row>
    <row r="35650" spans="1:1">
      <c r="A35650" t="inlineStr">
        <is>
          <t>Guin-on</t>
        </is>
      </c>
    </row>
    <row r="35651" spans="1:1">
      <c r="A35651" t="inlineStr">
        <is>
          <t>Guinbaoyan Norte</t>
        </is>
      </c>
    </row>
    <row r="35652" spans="1:1">
      <c r="A35652" t="inlineStr">
        <is>
          <t>Guinbaoyan Sur</t>
        </is>
      </c>
    </row>
    <row r="35653" spans="1:1">
      <c r="A35653" t="inlineStr">
        <is>
          <t>Hamorawon</t>
        </is>
      </c>
    </row>
    <row r="35654" spans="1:1">
      <c r="A35654" t="inlineStr">
        <is>
          <t>Helino</t>
        </is>
      </c>
    </row>
    <row r="35655" spans="1:1">
      <c r="A35655" t="inlineStr">
        <is>
          <t>Hibabngan</t>
        </is>
      </c>
    </row>
    <row r="35656" spans="1:1">
      <c r="A35656" t="inlineStr">
        <is>
          <t>Hibatang</t>
        </is>
      </c>
    </row>
    <row r="35657" spans="1:1">
      <c r="A35657" t="inlineStr">
        <is>
          <t>Higasaan</t>
        </is>
      </c>
    </row>
    <row r="35658" spans="1:1">
      <c r="A35658" t="inlineStr">
        <is>
          <t>Himalandrog</t>
        </is>
      </c>
    </row>
    <row r="35659" spans="1:1">
      <c r="A35659" t="inlineStr">
        <is>
          <t>Hugon Rosales</t>
        </is>
      </c>
    </row>
    <row r="35660" spans="1:1">
      <c r="A35660" t="inlineStr">
        <is>
          <t>Jacinto</t>
        </is>
      </c>
    </row>
    <row r="35661" spans="1:1">
      <c r="A35661" t="inlineStr">
        <is>
          <t>Jimautan</t>
        </is>
      </c>
    </row>
    <row r="35662" spans="1:1">
      <c r="A35662" t="inlineStr">
        <is>
          <t>Jose A. Roño</t>
        </is>
      </c>
    </row>
    <row r="35663" spans="1:1">
      <c r="A35663" t="inlineStr">
        <is>
          <t>Kalilihan</t>
        </is>
      </c>
    </row>
    <row r="35664" spans="1:1">
      <c r="A35664" t="inlineStr">
        <is>
          <t>Kilikili</t>
        </is>
      </c>
    </row>
    <row r="35665" spans="1:1">
      <c r="A35665" t="inlineStr">
        <is>
          <t>La Paz</t>
        </is>
      </c>
    </row>
    <row r="35666" spans="1:1">
      <c r="A35666" t="inlineStr">
        <is>
          <t>Langoyon</t>
        </is>
      </c>
    </row>
    <row r="35667" spans="1:1">
      <c r="A35667" t="inlineStr">
        <is>
          <t>Lapaan</t>
        </is>
      </c>
    </row>
    <row r="35668" spans="1:1">
      <c r="A35668" t="inlineStr">
        <is>
          <t>Libertad</t>
        </is>
      </c>
    </row>
    <row r="35669" spans="1:1">
      <c r="A35669" t="inlineStr">
        <is>
          <t>Limarayon</t>
        </is>
      </c>
    </row>
    <row r="35670" spans="1:1">
      <c r="A35670" t="inlineStr">
        <is>
          <t>Longsob</t>
        </is>
      </c>
    </row>
    <row r="35671" spans="1:1">
      <c r="A35671" t="inlineStr">
        <is>
          <t>Lonoy</t>
        </is>
      </c>
    </row>
    <row r="35672" spans="1:1">
      <c r="A35672" t="inlineStr">
        <is>
          <t>Looc</t>
        </is>
      </c>
    </row>
    <row r="35673" spans="1:1">
      <c r="A35673" t="inlineStr">
        <is>
          <t>Mabini I</t>
        </is>
      </c>
    </row>
    <row r="35674" spans="1:1">
      <c r="A35674" t="inlineStr">
        <is>
          <t>Mabini II</t>
        </is>
      </c>
    </row>
    <row r="35675" spans="1:1">
      <c r="A35675" t="inlineStr">
        <is>
          <t>Macatingog</t>
        </is>
      </c>
    </row>
    <row r="35676" spans="1:1">
      <c r="A35676" t="inlineStr">
        <is>
          <t>Mag-ubay</t>
        </is>
      </c>
    </row>
    <row r="35677" spans="1:1">
      <c r="A35677" t="inlineStr">
        <is>
          <t>Malaga</t>
        </is>
      </c>
    </row>
    <row r="35678" spans="1:1">
      <c r="A35678" t="inlineStr">
        <is>
          <t>Malajog</t>
        </is>
      </c>
    </row>
    <row r="35679" spans="1:1">
      <c r="A35679" t="inlineStr">
        <is>
          <t>Malayog</t>
        </is>
      </c>
    </row>
    <row r="35680" spans="1:1">
      <c r="A35680" t="inlineStr">
        <is>
          <t>Malopalo</t>
        </is>
      </c>
    </row>
    <row r="35681" spans="1:1">
      <c r="A35681" t="inlineStr">
        <is>
          <t>Mancol</t>
        </is>
      </c>
    </row>
    <row r="35682" spans="1:1">
      <c r="A35682" t="inlineStr">
        <is>
          <t>Manguino-o</t>
        </is>
      </c>
    </row>
    <row r="35683" spans="1:1">
      <c r="A35683" t="inlineStr">
        <is>
          <t>Mantaong</t>
        </is>
      </c>
    </row>
    <row r="35684" spans="1:1">
      <c r="A35684" t="inlineStr">
        <is>
          <t>Manuel Barral, Sr.</t>
        </is>
      </c>
    </row>
    <row r="35685" spans="1:1">
      <c r="A35685" t="inlineStr">
        <is>
          <t>Marcatubig</t>
        </is>
      </c>
    </row>
    <row r="35686" spans="1:1">
      <c r="A35686" t="inlineStr">
        <is>
          <t>Matobato</t>
        </is>
      </c>
    </row>
    <row r="35687" spans="1:1">
      <c r="A35687" t="inlineStr">
        <is>
          <t>Mawacat</t>
        </is>
      </c>
    </row>
    <row r="35688" spans="1:1">
      <c r="A35688" t="inlineStr">
        <is>
          <t>Maybog</t>
        </is>
      </c>
    </row>
    <row r="35689" spans="1:1">
      <c r="A35689" t="inlineStr">
        <is>
          <t>Maysalong</t>
        </is>
      </c>
    </row>
    <row r="35690" spans="1:1">
      <c r="A35690" t="inlineStr">
        <is>
          <t>Migara</t>
        </is>
      </c>
    </row>
    <row r="35691" spans="1:1">
      <c r="A35691" t="inlineStr">
        <is>
          <t>Nabang</t>
        </is>
      </c>
    </row>
    <row r="35692" spans="1:1">
      <c r="A35692" t="inlineStr">
        <is>
          <t>Nag-uma</t>
        </is>
      </c>
    </row>
    <row r="35693" spans="1:1">
      <c r="A35693" t="inlineStr">
        <is>
          <t>Naga</t>
        </is>
      </c>
    </row>
    <row r="35694" spans="1:1">
      <c r="A35694" t="inlineStr">
        <is>
          <t>Navarro</t>
        </is>
      </c>
    </row>
    <row r="35695" spans="1:1">
      <c r="A35695" t="inlineStr">
        <is>
          <t>Nijaga</t>
        </is>
      </c>
    </row>
    <row r="35696" spans="1:1">
      <c r="A35696" t="inlineStr">
        <is>
          <t>Oboob</t>
        </is>
      </c>
    </row>
    <row r="35697" spans="1:1">
      <c r="A35697" t="inlineStr">
        <is>
          <t>Obrero</t>
        </is>
      </c>
    </row>
    <row r="35698" spans="1:1">
      <c r="A35698" t="inlineStr">
        <is>
          <t>Olera</t>
        </is>
      </c>
    </row>
    <row r="35699" spans="1:1">
      <c r="A35699" t="inlineStr">
        <is>
          <t>Oquendo</t>
        </is>
      </c>
    </row>
    <row r="35700" spans="1:1">
      <c r="A35700" t="inlineStr">
        <is>
          <t>Osmeña</t>
        </is>
      </c>
    </row>
    <row r="35701" spans="1:1">
      <c r="A35701" t="inlineStr">
        <is>
          <t>Pagbalican</t>
        </is>
      </c>
    </row>
    <row r="35702" spans="1:1">
      <c r="A35702" t="inlineStr">
        <is>
          <t>Palanas</t>
        </is>
      </c>
    </row>
    <row r="35703" spans="1:1">
      <c r="A35703" t="inlineStr">
        <is>
          <t>Palanogan</t>
        </is>
      </c>
    </row>
    <row r="35704" spans="1:1">
      <c r="A35704" t="inlineStr">
        <is>
          <t>Panlayahan</t>
        </is>
      </c>
    </row>
    <row r="35705" spans="1:1">
      <c r="A35705" t="inlineStr">
        <is>
          <t>Panonongon</t>
        </is>
      </c>
    </row>
    <row r="35706" spans="1:1">
      <c r="A35706" t="inlineStr">
        <is>
          <t>Panoypoy</t>
        </is>
      </c>
    </row>
    <row r="35707" spans="1:1">
      <c r="A35707" t="inlineStr">
        <is>
          <t>Patong</t>
        </is>
      </c>
    </row>
    <row r="35708" spans="1:1">
      <c r="A35708" t="inlineStr">
        <is>
          <t>Payahan</t>
        </is>
      </c>
    </row>
    <row r="35709" spans="1:1">
      <c r="A35709" t="inlineStr">
        <is>
          <t>Peña</t>
        </is>
      </c>
    </row>
    <row r="35710" spans="1:1">
      <c r="A35710" t="inlineStr">
        <is>
          <t>Pilar</t>
        </is>
      </c>
    </row>
    <row r="35711" spans="1:1">
      <c r="A35711" t="inlineStr">
        <is>
          <t>Pinamorotan</t>
        </is>
      </c>
    </row>
    <row r="35712" spans="1:1">
      <c r="A35712" t="inlineStr">
        <is>
          <t>Quezon</t>
        </is>
      </c>
    </row>
    <row r="35713" spans="1:1">
      <c r="A35713" t="inlineStr">
        <is>
          <t>Rawis</t>
        </is>
      </c>
    </row>
    <row r="35714" spans="1:1">
      <c r="A35714" t="inlineStr">
        <is>
          <t>Rizal I</t>
        </is>
      </c>
    </row>
    <row r="35715" spans="1:1">
      <c r="A35715" t="inlineStr">
        <is>
          <t>Rizal II</t>
        </is>
      </c>
    </row>
    <row r="35716" spans="1:1">
      <c r="A35716" t="inlineStr">
        <is>
          <t>Roxas I</t>
        </is>
      </c>
    </row>
    <row r="35717" spans="1:1">
      <c r="A35717" t="inlineStr">
        <is>
          <t>Roxas II</t>
        </is>
      </c>
    </row>
    <row r="35718" spans="1:1">
      <c r="A35718" t="inlineStr">
        <is>
          <t>Saljag</t>
        </is>
      </c>
    </row>
    <row r="35719" spans="1:1">
      <c r="A35719" t="inlineStr">
        <is>
          <t>Salvacion</t>
        </is>
      </c>
    </row>
    <row r="35720" spans="1:1">
      <c r="A35720" t="inlineStr">
        <is>
          <t>San Antonio</t>
        </is>
      </c>
    </row>
    <row r="35721" spans="1:1">
      <c r="A35721" t="inlineStr">
        <is>
          <t>San Isidro</t>
        </is>
      </c>
    </row>
    <row r="35722" spans="1:1">
      <c r="A35722" t="inlineStr">
        <is>
          <t>San Joaquin</t>
        </is>
      </c>
    </row>
    <row r="35723" spans="1:1">
      <c r="A35723" t="inlineStr">
        <is>
          <t>San Jose</t>
        </is>
      </c>
    </row>
    <row r="35724" spans="1:1">
      <c r="A35724" t="inlineStr">
        <is>
          <t>San Policarpo</t>
        </is>
      </c>
    </row>
    <row r="35725" spans="1:1">
      <c r="A35725" t="inlineStr">
        <is>
          <t>San Rufino</t>
        </is>
      </c>
    </row>
    <row r="35726" spans="1:1">
      <c r="A35726" t="inlineStr">
        <is>
          <t>Saputan</t>
        </is>
      </c>
    </row>
    <row r="35727" spans="1:1">
      <c r="A35727" t="inlineStr">
        <is>
          <t>Sigo</t>
        </is>
      </c>
    </row>
    <row r="35728" spans="1:1">
      <c r="A35728" t="inlineStr">
        <is>
          <t>Sinantan</t>
        </is>
      </c>
    </row>
    <row r="35729" spans="1:1">
      <c r="A35729" t="inlineStr">
        <is>
          <t>Sinidman Occidental</t>
        </is>
      </c>
    </row>
    <row r="35730" spans="1:1">
      <c r="A35730" t="inlineStr">
        <is>
          <t>Sinidman Oriental</t>
        </is>
      </c>
    </row>
    <row r="35731" spans="1:1">
      <c r="A35731" t="inlineStr">
        <is>
          <t>Tabawan</t>
        </is>
      </c>
    </row>
    <row r="35732" spans="1:1">
      <c r="A35732" t="inlineStr">
        <is>
          <t>Talahiban</t>
        </is>
      </c>
    </row>
    <row r="35733" spans="1:1">
      <c r="A35733" t="inlineStr">
        <is>
          <t>Tanval</t>
        </is>
      </c>
    </row>
    <row r="35734" spans="1:1">
      <c r="A35734" t="inlineStr">
        <is>
          <t>Tapae</t>
        </is>
      </c>
    </row>
    <row r="35735" spans="1:1">
      <c r="A35735" t="inlineStr">
        <is>
          <t>Tarabucan</t>
        </is>
      </c>
    </row>
    <row r="35736" spans="1:1">
      <c r="A35736" t="inlineStr">
        <is>
          <t>Tigbe</t>
        </is>
      </c>
    </row>
    <row r="35737" spans="1:1">
      <c r="A35737" t="inlineStr">
        <is>
          <t>Tinambacan Norte</t>
        </is>
      </c>
    </row>
    <row r="35738" spans="1:1">
      <c r="A35738" t="inlineStr">
        <is>
          <t>Tinambacan Sur</t>
        </is>
      </c>
    </row>
    <row r="35739" spans="1:1">
      <c r="A35739" t="inlineStr">
        <is>
          <t>Tinaplacan</t>
        </is>
      </c>
    </row>
    <row r="35740" spans="1:1">
      <c r="A35740" t="inlineStr">
        <is>
          <t>Tomaliguez</t>
        </is>
      </c>
    </row>
    <row r="35741" spans="1:1">
      <c r="A35741" t="inlineStr">
        <is>
          <t>Trinidad</t>
        </is>
      </c>
    </row>
    <row r="35742" spans="1:1">
      <c r="A35742" t="inlineStr">
        <is>
          <t>Victory</t>
        </is>
      </c>
    </row>
    <row r="35743" spans="1:1">
      <c r="A35743" t="inlineStr">
        <is>
          <t>Villahermosa</t>
        </is>
      </c>
    </row>
    <row r="35744" spans="1:1">
      <c r="A35744" t="inlineStr">
        <is>
          <t>Albalate</t>
        </is>
      </c>
    </row>
    <row r="35745" spans="1:1">
      <c r="A35745" t="inlineStr">
        <is>
          <t>Bagongon</t>
        </is>
      </c>
    </row>
    <row r="35746" spans="1:1">
      <c r="A35746" t="inlineStr">
        <is>
          <t>Bangon</t>
        </is>
      </c>
    </row>
    <row r="35747" spans="1:1">
      <c r="A35747" t="inlineStr">
        <is>
          <t>Basiao</t>
        </is>
      </c>
    </row>
    <row r="35748" spans="1:1">
      <c r="A35748" t="inlineStr">
        <is>
          <t>Buluan</t>
        </is>
      </c>
    </row>
    <row r="35749" spans="1:1">
      <c r="A35749" t="inlineStr">
        <is>
          <t>Bunuanan</t>
        </is>
      </c>
    </row>
    <row r="35750" spans="1:1">
      <c r="A35750" t="inlineStr">
        <is>
          <t>Cabugawan</t>
        </is>
      </c>
    </row>
    <row r="35751" spans="1:1">
      <c r="A35751" t="inlineStr">
        <is>
          <t>Cagudalo</t>
        </is>
      </c>
    </row>
    <row r="35752" spans="1:1">
      <c r="A35752" t="inlineStr">
        <is>
          <t>Cagusipan</t>
        </is>
      </c>
    </row>
    <row r="35753" spans="1:1">
      <c r="A35753" t="inlineStr">
        <is>
          <t>Cagutian</t>
        </is>
      </c>
    </row>
    <row r="35754" spans="1:1">
      <c r="A35754" t="inlineStr">
        <is>
          <t>Cagutsan</t>
        </is>
      </c>
    </row>
    <row r="35755" spans="1:1">
      <c r="A35755" t="inlineStr">
        <is>
          <t>Canhawan Gote</t>
        </is>
      </c>
    </row>
    <row r="35756" spans="1:1">
      <c r="A35756" t="inlineStr">
        <is>
          <t>Canlapwas</t>
        </is>
      </c>
    </row>
    <row r="35757" spans="1:1">
      <c r="A35757" t="inlineStr">
        <is>
          <t>Cawayan</t>
        </is>
      </c>
    </row>
    <row r="35758" spans="1:1">
      <c r="A35758" t="inlineStr">
        <is>
          <t>Cinco</t>
        </is>
      </c>
    </row>
    <row r="35759" spans="1:1">
      <c r="A35759" t="inlineStr">
        <is>
          <t>Darahuway Daco</t>
        </is>
      </c>
    </row>
    <row r="35760" spans="1:1">
      <c r="A35760" t="inlineStr">
        <is>
          <t>Darahuway Gote</t>
        </is>
      </c>
    </row>
    <row r="35761" spans="1:1">
      <c r="A35761" t="inlineStr">
        <is>
          <t>Estaka</t>
        </is>
      </c>
    </row>
    <row r="35762" spans="1:1">
      <c r="A35762" t="inlineStr">
        <is>
          <t>Guindaponan</t>
        </is>
      </c>
    </row>
    <row r="35763" spans="1:1">
      <c r="A35763" t="inlineStr">
        <is>
          <t>Guinsorongan</t>
        </is>
      </c>
    </row>
    <row r="35764" spans="1:1">
      <c r="A35764" t="inlineStr">
        <is>
          <t>Ibol</t>
        </is>
      </c>
    </row>
    <row r="35765" spans="1:1">
      <c r="A35765" t="inlineStr">
        <is>
          <t>Iguid</t>
        </is>
      </c>
    </row>
    <row r="35766" spans="1:1">
      <c r="A35766" t="inlineStr">
        <is>
          <t>Lagundi</t>
        </is>
      </c>
    </row>
    <row r="35767" spans="1:1">
      <c r="A35767" t="inlineStr">
        <is>
          <t>Libas</t>
        </is>
      </c>
    </row>
    <row r="35768" spans="1:1">
      <c r="A35768" t="inlineStr">
        <is>
          <t>Lobo</t>
        </is>
      </c>
    </row>
    <row r="35769" spans="1:1">
      <c r="A35769" t="inlineStr">
        <is>
          <t>Manguehay</t>
        </is>
      </c>
    </row>
    <row r="35770" spans="1:1">
      <c r="A35770" t="inlineStr">
        <is>
          <t>Maulong</t>
        </is>
      </c>
    </row>
    <row r="35771" spans="1:1">
      <c r="A35771" t="inlineStr">
        <is>
          <t>Mercedes</t>
        </is>
      </c>
    </row>
    <row r="35772" spans="1:1">
      <c r="A35772" t="inlineStr">
        <is>
          <t>Mombon</t>
        </is>
      </c>
    </row>
    <row r="35773" spans="1:1">
      <c r="A35773" t="inlineStr">
        <is>
          <t>Muñoz</t>
        </is>
      </c>
    </row>
    <row r="35774" spans="1:1">
      <c r="A35774" t="inlineStr">
        <is>
          <t>New Mahayag</t>
        </is>
      </c>
    </row>
    <row r="35775" spans="1:1">
      <c r="A35775" t="inlineStr">
        <is>
          <t>Old Mahayag</t>
        </is>
      </c>
    </row>
    <row r="35776" spans="1:1">
      <c r="A35776" t="inlineStr">
        <is>
          <t>Palanyogon</t>
        </is>
      </c>
    </row>
    <row r="35777" spans="1:1">
      <c r="A35777" t="inlineStr">
        <is>
          <t>Pangdan</t>
        </is>
      </c>
    </row>
    <row r="35778" spans="1:1">
      <c r="A35778" t="inlineStr">
        <is>
          <t>Payao</t>
        </is>
      </c>
    </row>
    <row r="35779" spans="1:1">
      <c r="A35779" t="inlineStr">
        <is>
          <t>Poblacion 1</t>
        </is>
      </c>
    </row>
    <row r="35780" spans="1:1">
      <c r="A35780" t="inlineStr">
        <is>
          <t>Poblacion 10</t>
        </is>
      </c>
    </row>
    <row r="35781" spans="1:1">
      <c r="A35781" t="inlineStr">
        <is>
          <t>Poblacion 11</t>
        </is>
      </c>
    </row>
    <row r="35782" spans="1:1">
      <c r="A35782" t="inlineStr">
        <is>
          <t>Poblacion 12</t>
        </is>
      </c>
    </row>
    <row r="35783" spans="1:1">
      <c r="A35783" t="inlineStr">
        <is>
          <t>Poblacion 13</t>
        </is>
      </c>
    </row>
    <row r="35784" spans="1:1">
      <c r="A35784" t="inlineStr">
        <is>
          <t>Poblacion 2</t>
        </is>
      </c>
    </row>
    <row r="35785" spans="1:1">
      <c r="A35785" t="inlineStr">
        <is>
          <t>Poblacion 3</t>
        </is>
      </c>
    </row>
    <row r="35786" spans="1:1">
      <c r="A35786" t="inlineStr">
        <is>
          <t>Poblacion 4</t>
        </is>
      </c>
    </row>
    <row r="35787" spans="1:1">
      <c r="A35787" t="inlineStr">
        <is>
          <t>Poblacion 5</t>
        </is>
      </c>
    </row>
    <row r="35788" spans="1:1">
      <c r="A35788" t="inlineStr">
        <is>
          <t>Poblacion 6</t>
        </is>
      </c>
    </row>
    <row r="35789" spans="1:1">
      <c r="A35789" t="inlineStr">
        <is>
          <t>Poblacion 7</t>
        </is>
      </c>
    </row>
    <row r="35790" spans="1:1">
      <c r="A35790" t="inlineStr">
        <is>
          <t>Poblacion 8</t>
        </is>
      </c>
    </row>
    <row r="35791" spans="1:1">
      <c r="A35791" t="inlineStr">
        <is>
          <t>Poblacion 9</t>
        </is>
      </c>
    </row>
    <row r="35792" spans="1:1">
      <c r="A35792" t="inlineStr">
        <is>
          <t>Pupua</t>
        </is>
      </c>
    </row>
    <row r="35793" spans="1:1">
      <c r="A35793" t="inlineStr">
        <is>
          <t>Rama</t>
        </is>
      </c>
    </row>
    <row r="35794" spans="1:1">
      <c r="A35794" t="inlineStr">
        <is>
          <t>San Andres</t>
        </is>
      </c>
    </row>
    <row r="35795" spans="1:1">
      <c r="A35795" t="inlineStr">
        <is>
          <t>San Pablo</t>
        </is>
      </c>
    </row>
    <row r="35796" spans="1:1">
      <c r="A35796" t="inlineStr">
        <is>
          <t>San Roque</t>
        </is>
      </c>
    </row>
    <row r="35797" spans="1:1">
      <c r="A35797" t="inlineStr">
        <is>
          <t>San Vicente</t>
        </is>
      </c>
    </row>
    <row r="35798" spans="1:1">
      <c r="A35798" t="inlineStr">
        <is>
          <t>Silanga</t>
        </is>
      </c>
    </row>
    <row r="35799" spans="1:1">
      <c r="A35799" t="inlineStr">
        <is>
          <t>Socorro</t>
        </is>
      </c>
    </row>
    <row r="35800" spans="1:1">
      <c r="A35800" t="inlineStr">
        <is>
          <t>Totoringon</t>
        </is>
      </c>
    </row>
    <row r="35801" spans="1:1">
      <c r="A35801" t="inlineStr">
        <is>
          <t>Arawane</t>
        </is>
      </c>
    </row>
    <row r="35802" spans="1:1">
      <c r="A35802" t="inlineStr">
        <is>
          <t>Astorga</t>
        </is>
      </c>
    </row>
    <row r="35803" spans="1:1">
      <c r="A35803" t="inlineStr">
        <is>
          <t>Bachao</t>
        </is>
      </c>
    </row>
    <row r="35804" spans="1:1">
      <c r="A35804" t="inlineStr">
        <is>
          <t>Baclayan</t>
        </is>
      </c>
    </row>
    <row r="35805" spans="1:1">
      <c r="A35805" t="inlineStr">
        <is>
          <t>Bagacay</t>
        </is>
      </c>
    </row>
    <row r="35806" spans="1:1">
      <c r="A35806" t="inlineStr">
        <is>
          <t>Bayog</t>
        </is>
      </c>
    </row>
    <row r="35807" spans="1:1">
      <c r="A35807" t="inlineStr">
        <is>
          <t>Betaug</t>
        </is>
      </c>
    </row>
    <row r="35808" spans="1:1">
      <c r="A35808" t="inlineStr">
        <is>
          <t>Birawan</t>
        </is>
      </c>
    </row>
    <row r="35809" spans="1:1">
      <c r="A35809" t="inlineStr">
        <is>
          <t>Bono-anon</t>
        </is>
      </c>
    </row>
    <row r="35810" spans="1:1">
      <c r="A35810" t="inlineStr">
        <is>
          <t>Buenavista</t>
        </is>
      </c>
    </row>
    <row r="35811" spans="1:1">
      <c r="A35811" t="inlineStr">
        <is>
          <t>Burgos</t>
        </is>
      </c>
    </row>
    <row r="35812" spans="1:1">
      <c r="A35812" t="inlineStr">
        <is>
          <t>Cabac</t>
        </is>
      </c>
    </row>
    <row r="35813" spans="1:1">
      <c r="A35813" t="inlineStr">
        <is>
          <t>Cabil-isan</t>
        </is>
      </c>
    </row>
    <row r="35814" spans="1:1">
      <c r="A35814" t="inlineStr">
        <is>
          <t>Cabiton-an</t>
        </is>
      </c>
    </row>
    <row r="35815" spans="1:1">
      <c r="A35815" t="inlineStr">
        <is>
          <t>Cabugao</t>
        </is>
      </c>
    </row>
    <row r="35816" spans="1:1">
      <c r="A35816" t="inlineStr">
        <is>
          <t>Cagboboto</t>
        </is>
      </c>
    </row>
    <row r="35817" spans="1:1">
      <c r="A35817" t="inlineStr">
        <is>
          <t>Calawan-an</t>
        </is>
      </c>
    </row>
    <row r="35818" spans="1:1">
      <c r="A35818" t="inlineStr">
        <is>
          <t>Cambuhay</t>
        </is>
      </c>
    </row>
    <row r="35819" spans="1:1">
      <c r="A35819" t="inlineStr">
        <is>
          <t>Campelipa</t>
        </is>
      </c>
    </row>
    <row r="35820" spans="1:1">
      <c r="A35820" t="inlineStr">
        <is>
          <t>Candugue</t>
        </is>
      </c>
    </row>
    <row r="35821" spans="1:1">
      <c r="A35821" t="inlineStr">
        <is>
          <t>Canloloy</t>
        </is>
      </c>
    </row>
    <row r="35822" spans="1:1">
      <c r="A35822" t="inlineStr">
        <is>
          <t>Cansaganay</t>
        </is>
      </c>
    </row>
    <row r="35823" spans="1:1">
      <c r="A35823" t="inlineStr">
        <is>
          <t>Casab-ahan</t>
        </is>
      </c>
    </row>
    <row r="35824" spans="1:1">
      <c r="A35824" t="inlineStr">
        <is>
          <t>Guindapunan</t>
        </is>
      </c>
    </row>
    <row r="35825" spans="1:1">
      <c r="A35825" t="inlineStr">
        <is>
          <t>Guintampilan</t>
        </is>
      </c>
    </row>
    <row r="35826" spans="1:1">
      <c r="A35826" t="inlineStr">
        <is>
          <t>Iquiran</t>
        </is>
      </c>
    </row>
    <row r="35827" spans="1:1">
      <c r="A35827" t="inlineStr">
        <is>
          <t>Jacopon</t>
        </is>
      </c>
    </row>
    <row r="35828" spans="1:1">
      <c r="A35828" t="inlineStr">
        <is>
          <t>Losa</t>
        </is>
      </c>
    </row>
    <row r="35829" spans="1:1">
      <c r="A35829" t="inlineStr">
        <is>
          <t>Lucob-lucob</t>
        </is>
      </c>
    </row>
    <row r="35830" spans="1:1">
      <c r="A35830" t="inlineStr">
        <is>
          <t>Mabini</t>
        </is>
      </c>
    </row>
    <row r="35831" spans="1:1">
      <c r="A35831" t="inlineStr">
        <is>
          <t>Macalpe</t>
        </is>
      </c>
    </row>
    <row r="35832" spans="1:1">
      <c r="A35832" t="inlineStr">
        <is>
          <t>Mandoyucan</t>
        </is>
      </c>
    </row>
    <row r="35833" spans="1:1">
      <c r="A35833" t="inlineStr">
        <is>
          <t>Marupangdan</t>
        </is>
      </c>
    </row>
    <row r="35834" spans="1:1">
      <c r="A35834" t="inlineStr">
        <is>
          <t>Mayabay</t>
        </is>
      </c>
    </row>
    <row r="35835" spans="1:1">
      <c r="A35835" t="inlineStr">
        <is>
          <t>Mongolbongol</t>
        </is>
      </c>
    </row>
    <row r="35836" spans="1:1">
      <c r="A35836" t="inlineStr">
        <is>
          <t>Nipa</t>
        </is>
      </c>
    </row>
    <row r="35837" spans="1:1">
      <c r="A35837" t="inlineStr">
        <is>
          <t>Parasan</t>
        </is>
      </c>
    </row>
    <row r="35838" spans="1:1">
      <c r="A35838" t="inlineStr">
        <is>
          <t>Poblacion 1</t>
        </is>
      </c>
    </row>
    <row r="35839" spans="1:1">
      <c r="A35839" t="inlineStr">
        <is>
          <t>Poblacion 2</t>
        </is>
      </c>
    </row>
    <row r="35840" spans="1:1">
      <c r="A35840" t="inlineStr">
        <is>
          <t>Poblacion 3</t>
        </is>
      </c>
    </row>
    <row r="35841" spans="1:1">
      <c r="A35841" t="inlineStr">
        <is>
          <t>Pondang</t>
        </is>
      </c>
    </row>
    <row r="35842" spans="1:1">
      <c r="A35842" t="inlineStr">
        <is>
          <t>Poso</t>
        </is>
      </c>
    </row>
    <row r="35843" spans="1:1">
      <c r="A35843" t="inlineStr">
        <is>
          <t>Real</t>
        </is>
      </c>
    </row>
    <row r="35844" spans="1:1">
      <c r="A35844" t="inlineStr">
        <is>
          <t>Rizal</t>
        </is>
      </c>
    </row>
    <row r="35845" spans="1:1">
      <c r="A35845" t="inlineStr">
        <is>
          <t>San Antonio</t>
        </is>
      </c>
    </row>
    <row r="35846" spans="1:1">
      <c r="A35846" t="inlineStr">
        <is>
          <t>San Jose</t>
        </is>
      </c>
    </row>
    <row r="35847" spans="1:1">
      <c r="A35847" t="inlineStr">
        <is>
          <t>San Miguel</t>
        </is>
      </c>
    </row>
    <row r="35848" spans="1:1">
      <c r="A35848" t="inlineStr">
        <is>
          <t>San Roque</t>
        </is>
      </c>
    </row>
    <row r="35849" spans="1:1">
      <c r="A35849" t="inlineStr">
        <is>
          <t>San Vicente</t>
        </is>
      </c>
    </row>
    <row r="35850" spans="1:1">
      <c r="A35850" t="inlineStr">
        <is>
          <t>Saugan</t>
        </is>
      </c>
    </row>
    <row r="35851" spans="1:1">
      <c r="A35851" t="inlineStr">
        <is>
          <t>So-ong</t>
        </is>
      </c>
    </row>
    <row r="35852" spans="1:1">
      <c r="A35852" t="inlineStr">
        <is>
          <t>Sua</t>
        </is>
      </c>
    </row>
    <row r="35853" spans="1:1">
      <c r="A35853" t="inlineStr">
        <is>
          <t>Sugod</t>
        </is>
      </c>
    </row>
    <row r="35854" spans="1:1">
      <c r="A35854" t="inlineStr">
        <is>
          <t>Talisay</t>
        </is>
      </c>
    </row>
    <row r="35855" spans="1:1">
      <c r="A35855" t="inlineStr">
        <is>
          <t>Tugas</t>
        </is>
      </c>
    </row>
    <row r="35856" spans="1:1">
      <c r="A35856" t="inlineStr">
        <is>
          <t>Ubo</t>
        </is>
      </c>
    </row>
    <row r="35857" spans="1:1">
      <c r="A35857" t="inlineStr">
        <is>
          <t>Valles-Bello</t>
        </is>
      </c>
    </row>
    <row r="35858" spans="1:1">
      <c r="A35858" t="inlineStr">
        <is>
          <t>Yangta</t>
        </is>
      </c>
    </row>
    <row r="35859" spans="1:1">
      <c r="A35859" t="inlineStr">
        <is>
          <t>Adela Heights</t>
        </is>
      </c>
    </row>
    <row r="35860" spans="1:1">
      <c r="A35860" t="inlineStr">
        <is>
          <t>Arong</t>
        </is>
      </c>
    </row>
    <row r="35861" spans="1:1">
      <c r="A35861" t="inlineStr">
        <is>
          <t>Balocawe</t>
        </is>
      </c>
    </row>
    <row r="35862" spans="1:1">
      <c r="A35862" t="inlineStr">
        <is>
          <t>Bangahon</t>
        </is>
      </c>
    </row>
    <row r="35863" spans="1:1">
      <c r="A35863" t="inlineStr">
        <is>
          <t>Beslig</t>
        </is>
      </c>
    </row>
    <row r="35864" spans="1:1">
      <c r="A35864" t="inlineStr">
        <is>
          <t>Buao</t>
        </is>
      </c>
    </row>
    <row r="35865" spans="1:1">
      <c r="A35865" t="inlineStr">
        <is>
          <t>Bunyagan</t>
        </is>
      </c>
    </row>
    <row r="35866" spans="1:1">
      <c r="A35866" t="inlineStr">
        <is>
          <t>Burabod I</t>
        </is>
      </c>
    </row>
    <row r="35867" spans="1:1">
      <c r="A35867" t="inlineStr">
        <is>
          <t>Burabod II</t>
        </is>
      </c>
    </row>
    <row r="35868" spans="1:1">
      <c r="A35868" t="inlineStr">
        <is>
          <t>Calirocan</t>
        </is>
      </c>
    </row>
    <row r="35869" spans="1:1">
      <c r="A35869" t="inlineStr">
        <is>
          <t>Canhumawid</t>
        </is>
      </c>
    </row>
    <row r="35870" spans="1:1">
      <c r="A35870" t="inlineStr">
        <is>
          <t>Caparangasan</t>
        </is>
      </c>
    </row>
    <row r="35871" spans="1:1">
      <c r="A35871" t="inlineStr">
        <is>
          <t>Caranas</t>
        </is>
      </c>
    </row>
    <row r="35872" spans="1:1">
      <c r="A35872" t="inlineStr">
        <is>
          <t>Carmona</t>
        </is>
      </c>
    </row>
    <row r="35873" spans="1:1">
      <c r="A35873" t="inlineStr">
        <is>
          <t>Casab-ahan</t>
        </is>
      </c>
    </row>
    <row r="35874" spans="1:1">
      <c r="A35874" t="inlineStr">
        <is>
          <t>Casandig</t>
        </is>
      </c>
    </row>
    <row r="35875" spans="1:1">
      <c r="A35875" t="inlineStr">
        <is>
          <t>Catorse De Agosto</t>
        </is>
      </c>
    </row>
    <row r="35876" spans="1:1">
      <c r="A35876" t="inlineStr">
        <is>
          <t>Caugbusan</t>
        </is>
      </c>
    </row>
    <row r="35877" spans="1:1">
      <c r="A35877" t="inlineStr">
        <is>
          <t>Concepcion</t>
        </is>
      </c>
    </row>
    <row r="35878" spans="1:1">
      <c r="A35878" t="inlineStr">
        <is>
          <t>Diaz</t>
        </is>
      </c>
    </row>
    <row r="35879" spans="1:1">
      <c r="A35879" t="inlineStr">
        <is>
          <t>Dumalo-ong</t>
        </is>
      </c>
    </row>
    <row r="35880" spans="1:1">
      <c r="A35880" t="inlineStr">
        <is>
          <t>Elcano</t>
        </is>
      </c>
    </row>
    <row r="35881" spans="1:1">
      <c r="A35881" t="inlineStr">
        <is>
          <t>Gerali</t>
        </is>
      </c>
    </row>
    <row r="35882" spans="1:1">
      <c r="A35882" t="inlineStr">
        <is>
          <t>Gereganan</t>
        </is>
      </c>
    </row>
    <row r="35883" spans="1:1">
      <c r="A35883" t="inlineStr">
        <is>
          <t>Giaboc</t>
        </is>
      </c>
    </row>
    <row r="35884" spans="1:1">
      <c r="A35884" t="inlineStr">
        <is>
          <t>Hampton</t>
        </is>
      </c>
    </row>
    <row r="35885" spans="1:1">
      <c r="A35885" t="inlineStr">
        <is>
          <t>Hetebac</t>
        </is>
      </c>
    </row>
    <row r="35886" spans="1:1">
      <c r="A35886" t="inlineStr">
        <is>
          <t>Himamaloto</t>
        </is>
      </c>
    </row>
    <row r="35887" spans="1:1">
      <c r="A35887" t="inlineStr">
        <is>
          <t>Hinayagan</t>
        </is>
      </c>
    </row>
    <row r="35888" spans="1:1">
      <c r="A35888" t="inlineStr">
        <is>
          <t>Hinugacan</t>
        </is>
      </c>
    </row>
    <row r="35889" spans="1:1">
      <c r="A35889" t="inlineStr">
        <is>
          <t>Hiparayan</t>
        </is>
      </c>
    </row>
    <row r="35890" spans="1:1">
      <c r="A35890" t="inlineStr">
        <is>
          <t>Jasminez</t>
        </is>
      </c>
    </row>
    <row r="35891" spans="1:1">
      <c r="A35891" t="inlineStr">
        <is>
          <t>Lungib</t>
        </is>
      </c>
    </row>
    <row r="35892" spans="1:1">
      <c r="A35892" t="inlineStr">
        <is>
          <t>Mabuhay</t>
        </is>
      </c>
    </row>
    <row r="35893" spans="1:1">
      <c r="A35893" t="inlineStr">
        <is>
          <t>Macugo</t>
        </is>
      </c>
    </row>
    <row r="35894" spans="1:1">
      <c r="A35894" t="inlineStr">
        <is>
          <t>Malayog</t>
        </is>
      </c>
    </row>
    <row r="35895" spans="1:1">
      <c r="A35895" t="inlineStr">
        <is>
          <t>Marcos</t>
        </is>
      </c>
    </row>
    <row r="35896" spans="1:1">
      <c r="A35896" t="inlineStr">
        <is>
          <t>Minda</t>
        </is>
      </c>
    </row>
    <row r="35897" spans="1:1">
      <c r="A35897" t="inlineStr">
        <is>
          <t>Nacube</t>
        </is>
      </c>
    </row>
    <row r="35898" spans="1:1">
      <c r="A35898" t="inlineStr">
        <is>
          <t>Nalihugan</t>
        </is>
      </c>
    </row>
    <row r="35899" spans="1:1">
      <c r="A35899" t="inlineStr">
        <is>
          <t>Napalisan</t>
        </is>
      </c>
    </row>
    <row r="35900" spans="1:1">
      <c r="A35900" t="inlineStr">
        <is>
          <t>Natimonan</t>
        </is>
      </c>
    </row>
    <row r="35901" spans="1:1">
      <c r="A35901" t="inlineStr">
        <is>
          <t>Ngoso</t>
        </is>
      </c>
    </row>
    <row r="35902" spans="1:1">
      <c r="A35902" t="inlineStr">
        <is>
          <t>Palambrag</t>
        </is>
      </c>
    </row>
    <row r="35903" spans="1:1">
      <c r="A35903" t="inlineStr">
        <is>
          <t>Palanas</t>
        </is>
      </c>
    </row>
    <row r="35904" spans="1:1">
      <c r="A35904" t="inlineStr">
        <is>
          <t>Pizarro</t>
        </is>
      </c>
    </row>
    <row r="35905" spans="1:1">
      <c r="A35905" t="inlineStr">
        <is>
          <t>Piñaplata</t>
        </is>
      </c>
    </row>
    <row r="35906" spans="1:1">
      <c r="A35906" t="inlineStr">
        <is>
          <t>Pologon</t>
        </is>
      </c>
    </row>
    <row r="35907" spans="1:1">
      <c r="A35907" t="inlineStr">
        <is>
          <t>Purog</t>
        </is>
      </c>
    </row>
    <row r="35908" spans="1:1">
      <c r="A35908" t="inlineStr">
        <is>
          <t>Rawis</t>
        </is>
      </c>
    </row>
    <row r="35909" spans="1:1">
      <c r="A35909" t="inlineStr">
        <is>
          <t>Rizal</t>
        </is>
      </c>
    </row>
    <row r="35910" spans="1:1">
      <c r="A35910" t="inlineStr">
        <is>
          <t>Samoyao</t>
        </is>
      </c>
    </row>
    <row r="35911" spans="1:1">
      <c r="A35911" t="inlineStr">
        <is>
          <t>San Agustin</t>
        </is>
      </c>
    </row>
    <row r="35912" spans="1:1">
      <c r="A35912" t="inlineStr">
        <is>
          <t>San Antonio</t>
        </is>
      </c>
    </row>
    <row r="35913" spans="1:1">
      <c r="A35913" t="inlineStr">
        <is>
          <t>San Enrique</t>
        </is>
      </c>
    </row>
    <row r="35914" spans="1:1">
      <c r="A35914" t="inlineStr">
        <is>
          <t>San Francisco</t>
        </is>
      </c>
    </row>
    <row r="35915" spans="1:1">
      <c r="A35915" t="inlineStr">
        <is>
          <t>San Isidro</t>
        </is>
      </c>
    </row>
    <row r="35916" spans="1:1">
      <c r="A35916" t="inlineStr">
        <is>
          <t>San Jose</t>
        </is>
      </c>
    </row>
    <row r="35917" spans="1:1">
      <c r="A35917" t="inlineStr">
        <is>
          <t>San Miguel</t>
        </is>
      </c>
    </row>
    <row r="35918" spans="1:1">
      <c r="A35918" t="inlineStr">
        <is>
          <t>San Pelayo</t>
        </is>
      </c>
    </row>
    <row r="35919" spans="1:1">
      <c r="A35919" t="inlineStr">
        <is>
          <t>San Ramon</t>
        </is>
      </c>
    </row>
    <row r="35920" spans="1:1">
      <c r="A35920" t="inlineStr">
        <is>
          <t>Santa Elena</t>
        </is>
      </c>
    </row>
    <row r="35921" spans="1:1">
      <c r="A35921" t="inlineStr">
        <is>
          <t>Santo Niño</t>
        </is>
      </c>
    </row>
    <row r="35922" spans="1:1">
      <c r="A35922" t="inlineStr">
        <is>
          <t>Senibaran</t>
        </is>
      </c>
    </row>
    <row r="35923" spans="1:1">
      <c r="A35923" t="inlineStr">
        <is>
          <t>Sidmon</t>
        </is>
      </c>
    </row>
    <row r="35924" spans="1:1">
      <c r="A35924" t="inlineStr">
        <is>
          <t>Tagnao</t>
        </is>
      </c>
    </row>
    <row r="35925" spans="1:1">
      <c r="A35925" t="inlineStr">
        <is>
          <t>Tambongan</t>
        </is>
      </c>
    </row>
    <row r="35926" spans="1:1">
      <c r="A35926" t="inlineStr">
        <is>
          <t>Tawiran</t>
        </is>
      </c>
    </row>
    <row r="35927" spans="1:1">
      <c r="A35927" t="inlineStr">
        <is>
          <t>Tigbawon</t>
        </is>
      </c>
    </row>
    <row r="35928" spans="1:1">
      <c r="A35928" t="inlineStr">
        <is>
          <t>Bagacay</t>
        </is>
      </c>
    </row>
    <row r="35929" spans="1:1">
      <c r="A35929" t="inlineStr">
        <is>
          <t>Binobucalan</t>
        </is>
      </c>
    </row>
    <row r="35930" spans="1:1">
      <c r="A35930" t="inlineStr">
        <is>
          <t>Bucalan</t>
        </is>
      </c>
    </row>
    <row r="35931" spans="1:1">
      <c r="A35931" t="inlineStr">
        <is>
          <t>Cabalagnan</t>
        </is>
      </c>
    </row>
    <row r="35932" spans="1:1">
      <c r="A35932" t="inlineStr">
        <is>
          <t>Cabang</t>
        </is>
      </c>
    </row>
    <row r="35933" spans="1:1">
      <c r="A35933" t="inlineStr">
        <is>
          <t>Canano</t>
        </is>
      </c>
    </row>
    <row r="35934" spans="1:1">
      <c r="A35934" t="inlineStr">
        <is>
          <t>Concord</t>
        </is>
      </c>
    </row>
    <row r="35935" spans="1:1">
      <c r="A35935" t="inlineStr">
        <is>
          <t>Consolabao</t>
        </is>
      </c>
    </row>
    <row r="35936" spans="1:1">
      <c r="A35936" t="inlineStr">
        <is>
          <t>Dalosdoson</t>
        </is>
      </c>
    </row>
    <row r="35937" spans="1:1">
      <c r="A35937" t="inlineStr">
        <is>
          <t>Fatima</t>
        </is>
      </c>
    </row>
    <row r="35938" spans="1:1">
      <c r="A35938" t="inlineStr">
        <is>
          <t>Lim-ao</t>
        </is>
      </c>
    </row>
    <row r="35939" spans="1:1">
      <c r="A35939" t="inlineStr">
        <is>
          <t>Malihao</t>
        </is>
      </c>
    </row>
    <row r="35940" spans="1:1">
      <c r="A35940" t="inlineStr">
        <is>
          <t>Mugdo</t>
        </is>
      </c>
    </row>
    <row r="35941" spans="1:1">
      <c r="A35941" t="inlineStr">
        <is>
          <t>Osmeña</t>
        </is>
      </c>
    </row>
    <row r="35942" spans="1:1">
      <c r="A35942" t="inlineStr">
        <is>
          <t>Poblacion 1</t>
        </is>
      </c>
    </row>
    <row r="35943" spans="1:1">
      <c r="A35943" t="inlineStr">
        <is>
          <t>Poblacion 2</t>
        </is>
      </c>
    </row>
    <row r="35944" spans="1:1">
      <c r="A35944" t="inlineStr">
        <is>
          <t>Rawis</t>
        </is>
      </c>
    </row>
    <row r="35945" spans="1:1">
      <c r="A35945" t="inlineStr">
        <is>
          <t>San Jose</t>
        </is>
      </c>
    </row>
    <row r="35946" spans="1:1">
      <c r="A35946" t="inlineStr">
        <is>
          <t>San Rafael</t>
        </is>
      </c>
    </row>
    <row r="35947" spans="1:1">
      <c r="A35947" t="inlineStr">
        <is>
          <t>Tabay</t>
        </is>
      </c>
    </row>
    <row r="35948" spans="1:1">
      <c r="A35948" t="inlineStr">
        <is>
          <t>Yabon</t>
        </is>
      </c>
    </row>
    <row r="35949" spans="1:1">
      <c r="A35949" t="inlineStr">
        <is>
          <t>Barangay No. 1</t>
        </is>
      </c>
    </row>
    <row r="35950" spans="1:1">
      <c r="A35950" t="inlineStr">
        <is>
          <t>Barangay No. 2</t>
        </is>
      </c>
    </row>
    <row r="35951" spans="1:1">
      <c r="A35951" t="inlineStr">
        <is>
          <t>Barangay No. 3</t>
        </is>
      </c>
    </row>
    <row r="35952" spans="1:1">
      <c r="A35952" t="inlineStr">
        <is>
          <t>Barangay No. 4</t>
        </is>
      </c>
    </row>
    <row r="35953" spans="1:1">
      <c r="A35953" t="inlineStr">
        <is>
          <t>Barangay No. 5</t>
        </is>
      </c>
    </row>
    <row r="35954" spans="1:1">
      <c r="A35954" t="inlineStr">
        <is>
          <t>Barangay No. 6</t>
        </is>
      </c>
    </row>
    <row r="35955" spans="1:1">
      <c r="A35955" t="inlineStr">
        <is>
          <t>Barangay No. 7</t>
        </is>
      </c>
    </row>
    <row r="35956" spans="1:1">
      <c r="A35956" t="inlineStr">
        <is>
          <t>Barangay No. 8</t>
        </is>
      </c>
    </row>
    <row r="35957" spans="1:1">
      <c r="A35957" t="inlineStr">
        <is>
          <t>Bawang</t>
        </is>
      </c>
    </row>
    <row r="35958" spans="1:1">
      <c r="A35958" t="inlineStr">
        <is>
          <t>Bugho</t>
        </is>
      </c>
    </row>
    <row r="35959" spans="1:1">
      <c r="A35959" t="inlineStr">
        <is>
          <t>Camarobo-an</t>
        </is>
      </c>
    </row>
    <row r="35960" spans="1:1">
      <c r="A35960" t="inlineStr">
        <is>
          <t>Candayao</t>
        </is>
      </c>
    </row>
    <row r="35961" spans="1:1">
      <c r="A35961" t="inlineStr">
        <is>
          <t>Cantongtong</t>
        </is>
      </c>
    </row>
    <row r="35962" spans="1:1">
      <c r="A35962" t="inlineStr">
        <is>
          <t>Casapa</t>
        </is>
      </c>
    </row>
    <row r="35963" spans="1:1">
      <c r="A35963" t="inlineStr">
        <is>
          <t>Catalina</t>
        </is>
      </c>
    </row>
    <row r="35964" spans="1:1">
      <c r="A35964" t="inlineStr">
        <is>
          <t>Cristina</t>
        </is>
      </c>
    </row>
    <row r="35965" spans="1:1">
      <c r="A35965" t="inlineStr">
        <is>
          <t>Dogongan</t>
        </is>
      </c>
    </row>
    <row r="35966" spans="1:1">
      <c r="A35966" t="inlineStr">
        <is>
          <t>Garcia</t>
        </is>
      </c>
    </row>
    <row r="35967" spans="1:1">
      <c r="A35967" t="inlineStr">
        <is>
          <t>Hinaga</t>
        </is>
      </c>
    </row>
    <row r="35968" spans="1:1">
      <c r="A35968" t="inlineStr">
        <is>
          <t>Jia-an</t>
        </is>
      </c>
    </row>
    <row r="35969" spans="1:1">
      <c r="A35969" t="inlineStr">
        <is>
          <t>Jidanao</t>
        </is>
      </c>
    </row>
    <row r="35970" spans="1:1">
      <c r="A35970" t="inlineStr">
        <is>
          <t>Lulugayan</t>
        </is>
      </c>
    </row>
    <row r="35971" spans="1:1">
      <c r="A35971" t="inlineStr">
        <is>
          <t>Macabetas</t>
        </is>
      </c>
    </row>
    <row r="35972" spans="1:1">
      <c r="A35972" t="inlineStr">
        <is>
          <t>Malino</t>
        </is>
      </c>
    </row>
    <row r="35973" spans="1:1">
      <c r="A35973" t="inlineStr">
        <is>
          <t>Malobago</t>
        </is>
      </c>
    </row>
    <row r="35974" spans="1:1">
      <c r="A35974" t="inlineStr">
        <is>
          <t>Mercedes</t>
        </is>
      </c>
    </row>
    <row r="35975" spans="1:1">
      <c r="A35975" t="inlineStr">
        <is>
          <t>Nagbac</t>
        </is>
      </c>
    </row>
    <row r="35976" spans="1:1">
      <c r="A35976" t="inlineStr">
        <is>
          <t>Parina</t>
        </is>
      </c>
    </row>
    <row r="35977" spans="1:1">
      <c r="A35977" t="inlineStr">
        <is>
          <t>Salvacion</t>
        </is>
      </c>
    </row>
    <row r="35978" spans="1:1">
      <c r="A35978" t="inlineStr">
        <is>
          <t>San Andres</t>
        </is>
      </c>
    </row>
    <row r="35979" spans="1:1">
      <c r="A35979" t="inlineStr">
        <is>
          <t>San Fernando</t>
        </is>
      </c>
    </row>
    <row r="35980" spans="1:1">
      <c r="A35980" t="inlineStr">
        <is>
          <t>San Miguel</t>
        </is>
      </c>
    </row>
    <row r="35981" spans="1:1">
      <c r="A35981" t="inlineStr">
        <is>
          <t>Tagbayaon</t>
        </is>
      </c>
    </row>
    <row r="35982" spans="1:1">
      <c r="A35982" t="inlineStr">
        <is>
          <t>Victory</t>
        </is>
      </c>
    </row>
    <row r="35983" spans="1:1">
      <c r="A35983" t="inlineStr">
        <is>
          <t>Amambucale</t>
        </is>
      </c>
    </row>
    <row r="35984" spans="1:1">
      <c r="A35984" t="inlineStr">
        <is>
          <t>Amantillo</t>
        </is>
      </c>
    </row>
    <row r="35985" spans="1:1">
      <c r="A35985" t="inlineStr">
        <is>
          <t>Binukyahan</t>
        </is>
      </c>
    </row>
    <row r="35986" spans="1:1">
      <c r="A35986" t="inlineStr">
        <is>
          <t>Caluwayan</t>
        </is>
      </c>
    </row>
    <row r="35987" spans="1:1">
      <c r="A35987" t="inlineStr">
        <is>
          <t>Canyoyo</t>
        </is>
      </c>
    </row>
    <row r="35988" spans="1:1">
      <c r="A35988" t="inlineStr">
        <is>
          <t>Catato Pob.</t>
        </is>
      </c>
    </row>
    <row r="35989" spans="1:1">
      <c r="A35989" t="inlineStr">
        <is>
          <t>Ferreras</t>
        </is>
      </c>
    </row>
    <row r="35990" spans="1:1">
      <c r="A35990" t="inlineStr">
        <is>
          <t>Legaspi</t>
        </is>
      </c>
    </row>
    <row r="35991" spans="1:1">
      <c r="A35991" t="inlineStr">
        <is>
          <t>Lipata</t>
        </is>
      </c>
    </row>
    <row r="35992" spans="1:1">
      <c r="A35992" t="inlineStr">
        <is>
          <t>Logero</t>
        </is>
      </c>
    </row>
    <row r="35993" spans="1:1">
      <c r="A35993" t="inlineStr">
        <is>
          <t>Mabuhay</t>
        </is>
      </c>
    </row>
    <row r="35994" spans="1:1">
      <c r="A35994" t="inlineStr">
        <is>
          <t>Malobago</t>
        </is>
      </c>
    </row>
    <row r="35995" spans="1:1">
      <c r="A35995" t="inlineStr">
        <is>
          <t>Odoc</t>
        </is>
      </c>
    </row>
    <row r="35996" spans="1:1">
      <c r="A35996" t="inlineStr">
        <is>
          <t>Osmeña</t>
        </is>
      </c>
    </row>
    <row r="35997" spans="1:1">
      <c r="A35997" t="inlineStr">
        <is>
          <t>Panan-awan</t>
        </is>
      </c>
    </row>
    <row r="35998" spans="1:1">
      <c r="A35998" t="inlineStr">
        <is>
          <t>Pinalanga</t>
        </is>
      </c>
    </row>
    <row r="35999" spans="1:1">
      <c r="A35999" t="inlineStr">
        <is>
          <t>Pinamitinan</t>
        </is>
      </c>
    </row>
    <row r="36000" spans="1:1">
      <c r="A36000" t="inlineStr">
        <is>
          <t>Roño</t>
        </is>
      </c>
    </row>
    <row r="36001" spans="1:1">
      <c r="A36001" t="inlineStr">
        <is>
          <t>San Roque</t>
        </is>
      </c>
    </row>
    <row r="36002" spans="1:1">
      <c r="A36002" t="inlineStr">
        <is>
          <t>Santa Rita</t>
        </is>
      </c>
    </row>
    <row r="36003" spans="1:1">
      <c r="A36003" t="inlineStr">
        <is>
          <t>Santo Niño Pob.</t>
        </is>
      </c>
    </row>
    <row r="36004" spans="1:1">
      <c r="A36004" t="inlineStr">
        <is>
          <t>Tagalag</t>
        </is>
      </c>
    </row>
    <row r="36005" spans="1:1">
      <c r="A36005" t="inlineStr">
        <is>
          <t>Tinabanan</t>
        </is>
      </c>
    </row>
    <row r="36006" spans="1:1">
      <c r="A36006" t="inlineStr">
        <is>
          <t>Veloso</t>
        </is>
      </c>
    </row>
    <row r="36007" spans="1:1">
      <c r="A36007" t="inlineStr">
        <is>
          <t>Angyap</t>
        </is>
      </c>
    </row>
    <row r="36008" spans="1:1">
      <c r="A36008" t="inlineStr">
        <is>
          <t>Bag-otan</t>
        </is>
      </c>
    </row>
    <row r="36009" spans="1:1">
      <c r="A36009" t="inlineStr">
        <is>
          <t>Barruz</t>
        </is>
      </c>
    </row>
    <row r="36010" spans="1:1">
      <c r="A36010" t="inlineStr">
        <is>
          <t>Camonoan</t>
        </is>
      </c>
    </row>
    <row r="36011" spans="1:1">
      <c r="A36011" t="inlineStr">
        <is>
          <t>Carolina</t>
        </is>
      </c>
    </row>
    <row r="36012" spans="1:1">
      <c r="A36012" t="inlineStr">
        <is>
          <t>Deit</t>
        </is>
      </c>
    </row>
    <row r="36013" spans="1:1">
      <c r="A36013" t="inlineStr">
        <is>
          <t>Del Rosario</t>
        </is>
      </c>
    </row>
    <row r="36014" spans="1:1">
      <c r="A36014" t="inlineStr">
        <is>
          <t>Inubod</t>
        </is>
      </c>
    </row>
    <row r="36015" spans="1:1">
      <c r="A36015" t="inlineStr">
        <is>
          <t>Libertad</t>
        </is>
      </c>
    </row>
    <row r="36016" spans="1:1">
      <c r="A36016" t="inlineStr">
        <is>
          <t>Ligaya</t>
        </is>
      </c>
    </row>
    <row r="36017" spans="1:1">
      <c r="A36017" t="inlineStr">
        <is>
          <t>Mabuligon Pob.</t>
        </is>
      </c>
    </row>
    <row r="36018" spans="1:1">
      <c r="A36018" t="inlineStr">
        <is>
          <t>Maduroto Pob.</t>
        </is>
      </c>
    </row>
    <row r="36019" spans="1:1">
      <c r="A36019" t="inlineStr">
        <is>
          <t>Mahanud</t>
        </is>
      </c>
    </row>
    <row r="36020" spans="1:1">
      <c r="A36020" t="inlineStr">
        <is>
          <t>Mahayag</t>
        </is>
      </c>
    </row>
    <row r="36021" spans="1:1">
      <c r="A36021" t="inlineStr">
        <is>
          <t>Nagpapacao</t>
        </is>
      </c>
    </row>
    <row r="36022" spans="1:1">
      <c r="A36022" t="inlineStr">
        <is>
          <t>Rizal</t>
        </is>
      </c>
    </row>
    <row r="36023" spans="1:1">
      <c r="A36023" t="inlineStr">
        <is>
          <t>Salvacion</t>
        </is>
      </c>
    </row>
    <row r="36024" spans="1:1">
      <c r="A36024" t="inlineStr">
        <is>
          <t>San Isidro</t>
        </is>
      </c>
    </row>
    <row r="36025" spans="1:1">
      <c r="A36025" t="inlineStr">
        <is>
          <t>San Roque</t>
        </is>
      </c>
    </row>
    <row r="36026" spans="1:1">
      <c r="A36026" t="inlineStr">
        <is>
          <t>Santa Cruz</t>
        </is>
      </c>
    </row>
    <row r="36027" spans="1:1">
      <c r="A36027" t="inlineStr">
        <is>
          <t>Angyap</t>
        </is>
      </c>
    </row>
    <row r="36028" spans="1:1">
      <c r="A36028" t="inlineStr">
        <is>
          <t>Barayong</t>
        </is>
      </c>
    </row>
    <row r="36029" spans="1:1">
      <c r="A36029" t="inlineStr">
        <is>
          <t>Bayog</t>
        </is>
      </c>
    </row>
    <row r="36030" spans="1:1">
      <c r="A36030" t="inlineStr">
        <is>
          <t>Beri</t>
        </is>
      </c>
    </row>
    <row r="36031" spans="1:1">
      <c r="A36031" t="inlineStr">
        <is>
          <t>Bonga</t>
        </is>
      </c>
    </row>
    <row r="36032" spans="1:1">
      <c r="A36032" t="inlineStr">
        <is>
          <t>Calantawan</t>
        </is>
      </c>
    </row>
    <row r="36033" spans="1:1">
      <c r="A36033" t="inlineStr">
        <is>
          <t>Calapi</t>
        </is>
      </c>
    </row>
    <row r="36034" spans="1:1">
      <c r="A36034" t="inlineStr">
        <is>
          <t>Caluyahan</t>
        </is>
      </c>
    </row>
    <row r="36035" spans="1:1">
      <c r="A36035" t="inlineStr">
        <is>
          <t>Canatuan</t>
        </is>
      </c>
    </row>
    <row r="36036" spans="1:1">
      <c r="A36036" t="inlineStr">
        <is>
          <t>Candomacol</t>
        </is>
      </c>
    </row>
    <row r="36037" spans="1:1">
      <c r="A36037" t="inlineStr">
        <is>
          <t>Canvais</t>
        </is>
      </c>
    </row>
    <row r="36038" spans="1:1">
      <c r="A36038" t="inlineStr">
        <is>
          <t>Capaysagan</t>
        </is>
      </c>
    </row>
    <row r="36039" spans="1:1">
      <c r="A36039" t="inlineStr">
        <is>
          <t>Caranas</t>
        </is>
      </c>
    </row>
    <row r="36040" spans="1:1">
      <c r="A36040" t="inlineStr">
        <is>
          <t>Caulayanan</t>
        </is>
      </c>
    </row>
    <row r="36041" spans="1:1">
      <c r="A36041" t="inlineStr">
        <is>
          <t>Hinica-an</t>
        </is>
      </c>
    </row>
    <row r="36042" spans="1:1">
      <c r="A36042" t="inlineStr">
        <is>
          <t>Inalad</t>
        </is>
      </c>
    </row>
    <row r="36043" spans="1:1">
      <c r="A36043" t="inlineStr">
        <is>
          <t>Linonoban</t>
        </is>
      </c>
    </row>
    <row r="36044" spans="1:1">
      <c r="A36044" t="inlineStr">
        <is>
          <t>Malobago</t>
        </is>
      </c>
    </row>
    <row r="36045" spans="1:1">
      <c r="A36045" t="inlineStr">
        <is>
          <t>Malonoy</t>
        </is>
      </c>
    </row>
    <row r="36046" spans="1:1">
      <c r="A36046" t="inlineStr">
        <is>
          <t>Mararangsi</t>
        </is>
      </c>
    </row>
    <row r="36047" spans="1:1">
      <c r="A36047" t="inlineStr">
        <is>
          <t>Maypange</t>
        </is>
      </c>
    </row>
    <row r="36048" spans="1:1">
      <c r="A36048" t="inlineStr">
        <is>
          <t>New Minarog</t>
        </is>
      </c>
    </row>
    <row r="36049" spans="1:1">
      <c r="A36049" t="inlineStr">
        <is>
          <t>Oyandic</t>
        </is>
      </c>
    </row>
    <row r="36050" spans="1:1">
      <c r="A36050" t="inlineStr">
        <is>
          <t>Pamamasan</t>
        </is>
      </c>
    </row>
    <row r="36051" spans="1:1">
      <c r="A36051" t="inlineStr">
        <is>
          <t>Poblacion I</t>
        </is>
      </c>
    </row>
    <row r="36052" spans="1:1">
      <c r="A36052" t="inlineStr">
        <is>
          <t>Poblacion I-A</t>
        </is>
      </c>
    </row>
    <row r="36053" spans="1:1">
      <c r="A36053" t="inlineStr">
        <is>
          <t>Pusongan</t>
        </is>
      </c>
    </row>
    <row r="36054" spans="1:1">
      <c r="A36054" t="inlineStr">
        <is>
          <t>San Andres</t>
        </is>
      </c>
    </row>
    <row r="36055" spans="1:1">
      <c r="A36055" t="inlineStr">
        <is>
          <t>Santo Niño</t>
        </is>
      </c>
    </row>
    <row r="36056" spans="1:1">
      <c r="A36056" t="inlineStr">
        <is>
          <t>Sarao</t>
        </is>
      </c>
    </row>
    <row r="36057" spans="1:1">
      <c r="A36057" t="inlineStr">
        <is>
          <t>Bangon</t>
        </is>
      </c>
    </row>
    <row r="36058" spans="1:1">
      <c r="A36058" t="inlineStr">
        <is>
          <t>Buenos Aires</t>
        </is>
      </c>
    </row>
    <row r="36059" spans="1:1">
      <c r="A36059" t="inlineStr">
        <is>
          <t>Calanyugan</t>
        </is>
      </c>
    </row>
    <row r="36060" spans="1:1">
      <c r="A36060" t="inlineStr">
        <is>
          <t>Caloloma</t>
        </is>
      </c>
    </row>
    <row r="36061" spans="1:1">
      <c r="A36061" t="inlineStr">
        <is>
          <t>Cambaye</t>
        </is>
      </c>
    </row>
    <row r="36062" spans="1:1">
      <c r="A36062" t="inlineStr">
        <is>
          <t>Canlapwas</t>
        </is>
      </c>
    </row>
    <row r="36063" spans="1:1">
      <c r="A36063" t="inlineStr">
        <is>
          <t>Libertad</t>
        </is>
      </c>
    </row>
    <row r="36064" spans="1:1">
      <c r="A36064" t="inlineStr">
        <is>
          <t>Pañge</t>
        </is>
      </c>
    </row>
    <row r="36065" spans="1:1">
      <c r="A36065" t="inlineStr">
        <is>
          <t>San Luis</t>
        </is>
      </c>
    </row>
    <row r="36066" spans="1:1">
      <c r="A36066" t="inlineStr">
        <is>
          <t>Santo Niño</t>
        </is>
      </c>
    </row>
    <row r="36067" spans="1:1">
      <c r="A36067" t="inlineStr">
        <is>
          <t>Viejo</t>
        </is>
      </c>
    </row>
    <row r="36068" spans="1:1">
      <c r="A36068" t="inlineStr">
        <is>
          <t>Villahermosa Occidental</t>
        </is>
      </c>
    </row>
    <row r="36069" spans="1:1">
      <c r="A36069" t="inlineStr">
        <is>
          <t>Villahermosa Oriental</t>
        </is>
      </c>
    </row>
    <row r="36070" spans="1:1">
      <c r="A36070" t="inlineStr">
        <is>
          <t>Anagasi</t>
        </is>
      </c>
    </row>
    <row r="36071" spans="1:1">
      <c r="A36071" t="inlineStr">
        <is>
          <t>Apolonia</t>
        </is>
      </c>
    </row>
    <row r="36072" spans="1:1">
      <c r="A36072" t="inlineStr">
        <is>
          <t>Bagsa</t>
        </is>
      </c>
    </row>
    <row r="36073" spans="1:1">
      <c r="A36073" t="inlineStr">
        <is>
          <t>Balbagan</t>
        </is>
      </c>
    </row>
    <row r="36074" spans="1:1">
      <c r="A36074" t="inlineStr">
        <is>
          <t>Bato</t>
        </is>
      </c>
    </row>
    <row r="36075" spans="1:1">
      <c r="A36075" t="inlineStr">
        <is>
          <t>Buray</t>
        </is>
      </c>
    </row>
    <row r="36076" spans="1:1">
      <c r="A36076" t="inlineStr">
        <is>
          <t>Cantaguic</t>
        </is>
      </c>
    </row>
    <row r="36077" spans="1:1">
      <c r="A36077" t="inlineStr">
        <is>
          <t>Cantao-an</t>
        </is>
      </c>
    </row>
    <row r="36078" spans="1:1">
      <c r="A36078" t="inlineStr">
        <is>
          <t>Cantato</t>
        </is>
      </c>
    </row>
    <row r="36079" spans="1:1">
      <c r="A36079" t="inlineStr">
        <is>
          <t>Casandig I</t>
        </is>
      </c>
    </row>
    <row r="36080" spans="1:1">
      <c r="A36080" t="inlineStr">
        <is>
          <t>Casandig II</t>
        </is>
      </c>
    </row>
    <row r="36081" spans="1:1">
      <c r="A36081" t="inlineStr">
        <is>
          <t>Cawayan</t>
        </is>
      </c>
    </row>
    <row r="36082" spans="1:1">
      <c r="A36082" t="inlineStr">
        <is>
          <t>Concepcion</t>
        </is>
      </c>
    </row>
    <row r="36083" spans="1:1">
      <c r="A36083" t="inlineStr">
        <is>
          <t>Jose Roño</t>
        </is>
      </c>
    </row>
    <row r="36084" spans="1:1">
      <c r="A36084" t="inlineStr">
        <is>
          <t>Lawaan I</t>
        </is>
      </c>
    </row>
    <row r="36085" spans="1:1">
      <c r="A36085" t="inlineStr">
        <is>
          <t>Lawaan II</t>
        </is>
      </c>
    </row>
    <row r="36086" spans="1:1">
      <c r="A36086" t="inlineStr">
        <is>
          <t>Lipata</t>
        </is>
      </c>
    </row>
    <row r="36087" spans="1:1">
      <c r="A36087" t="inlineStr">
        <is>
          <t>Lokilokon</t>
        </is>
      </c>
    </row>
    <row r="36088" spans="1:1">
      <c r="A36088" t="inlineStr">
        <is>
          <t>Mangcal</t>
        </is>
      </c>
    </row>
    <row r="36089" spans="1:1">
      <c r="A36089" t="inlineStr">
        <is>
          <t>Maylobe</t>
        </is>
      </c>
    </row>
    <row r="36090" spans="1:1">
      <c r="A36090" t="inlineStr">
        <is>
          <t>Minarog</t>
        </is>
      </c>
    </row>
    <row r="36091" spans="1:1">
      <c r="A36091" t="inlineStr">
        <is>
          <t>Nawi</t>
        </is>
      </c>
    </row>
    <row r="36092" spans="1:1">
      <c r="A36092" t="inlineStr">
        <is>
          <t>Pabanog</t>
        </is>
      </c>
    </row>
    <row r="36093" spans="1:1">
      <c r="A36093" t="inlineStr">
        <is>
          <t>Paco</t>
        </is>
      </c>
    </row>
    <row r="36094" spans="1:1">
      <c r="A36094" t="inlineStr">
        <is>
          <t>Pagsa-ogan</t>
        </is>
      </c>
    </row>
    <row r="36095" spans="1:1">
      <c r="A36095" t="inlineStr">
        <is>
          <t>Pagsanjan</t>
        </is>
      </c>
    </row>
    <row r="36096" spans="1:1">
      <c r="A36096" t="inlineStr">
        <is>
          <t>Patag</t>
        </is>
      </c>
    </row>
    <row r="36097" spans="1:1">
      <c r="A36097" t="inlineStr">
        <is>
          <t>Pequit</t>
        </is>
      </c>
    </row>
    <row r="36098" spans="1:1">
      <c r="A36098" t="inlineStr">
        <is>
          <t>Poblacion 1</t>
        </is>
      </c>
    </row>
    <row r="36099" spans="1:1">
      <c r="A36099" t="inlineStr">
        <is>
          <t>Poblacion 2</t>
        </is>
      </c>
    </row>
    <row r="36100" spans="1:1">
      <c r="A36100" t="inlineStr">
        <is>
          <t>Poblacion 3</t>
        </is>
      </c>
    </row>
    <row r="36101" spans="1:1">
      <c r="A36101" t="inlineStr">
        <is>
          <t>Poblacion 4</t>
        </is>
      </c>
    </row>
    <row r="36102" spans="1:1">
      <c r="A36102" t="inlineStr">
        <is>
          <t>Poblacion 5</t>
        </is>
      </c>
    </row>
    <row r="36103" spans="1:1">
      <c r="A36103" t="inlineStr">
        <is>
          <t>Poblacion 6</t>
        </is>
      </c>
    </row>
    <row r="36104" spans="1:1">
      <c r="A36104" t="inlineStr">
        <is>
          <t>Salay</t>
        </is>
      </c>
    </row>
    <row r="36105" spans="1:1">
      <c r="A36105" t="inlineStr">
        <is>
          <t>San Isidro</t>
        </is>
      </c>
    </row>
    <row r="36106" spans="1:1">
      <c r="A36106" t="inlineStr">
        <is>
          <t>Santo Niño</t>
        </is>
      </c>
    </row>
    <row r="36107" spans="1:1">
      <c r="A36107" t="inlineStr">
        <is>
          <t>Sulopan</t>
        </is>
      </c>
    </row>
    <row r="36108" spans="1:1">
      <c r="A36108" t="inlineStr">
        <is>
          <t>Tabucan</t>
        </is>
      </c>
    </row>
    <row r="36109" spans="1:1">
      <c r="A36109" t="inlineStr">
        <is>
          <t>Tapul</t>
        </is>
      </c>
    </row>
    <row r="36110" spans="1:1">
      <c r="A36110" t="inlineStr">
        <is>
          <t>Tenani</t>
        </is>
      </c>
    </row>
    <row r="36111" spans="1:1">
      <c r="A36111" t="inlineStr">
        <is>
          <t>Tigbawon</t>
        </is>
      </c>
    </row>
    <row r="36112" spans="1:1">
      <c r="A36112" t="inlineStr">
        <is>
          <t>Tula</t>
        </is>
      </c>
    </row>
    <row r="36113" spans="1:1">
      <c r="A36113" t="inlineStr">
        <is>
          <t>Tutubigan</t>
        </is>
      </c>
    </row>
    <row r="36114" spans="1:1">
      <c r="A36114" t="inlineStr">
        <is>
          <t>Bangon</t>
        </is>
      </c>
    </row>
    <row r="36115" spans="1:1">
      <c r="A36115" t="inlineStr">
        <is>
          <t>Barangay I</t>
        </is>
      </c>
    </row>
    <row r="36116" spans="1:1">
      <c r="A36116" t="inlineStr">
        <is>
          <t>Barangay II</t>
        </is>
      </c>
    </row>
    <row r="36117" spans="1:1">
      <c r="A36117" t="inlineStr">
        <is>
          <t>Botoc</t>
        </is>
      </c>
    </row>
    <row r="36118" spans="1:1">
      <c r="A36118" t="inlineStr">
        <is>
          <t>Bugho</t>
        </is>
      </c>
    </row>
    <row r="36119" spans="1:1">
      <c r="A36119" t="inlineStr">
        <is>
          <t>Calampong</t>
        </is>
      </c>
    </row>
    <row r="36120" spans="1:1">
      <c r="A36120" t="inlineStr">
        <is>
          <t>Canlobo</t>
        </is>
      </c>
    </row>
    <row r="36121" spans="1:1">
      <c r="A36121" t="inlineStr">
        <is>
          <t>Catigawan</t>
        </is>
      </c>
    </row>
    <row r="36122" spans="1:1">
      <c r="A36122" t="inlineStr">
        <is>
          <t>Dolores</t>
        </is>
      </c>
    </row>
    <row r="36123" spans="1:1">
      <c r="A36123" t="inlineStr">
        <is>
          <t>Lale</t>
        </is>
      </c>
    </row>
    <row r="36124" spans="1:1">
      <c r="A36124" t="inlineStr">
        <is>
          <t>Lawaan</t>
        </is>
      </c>
    </row>
    <row r="36125" spans="1:1">
      <c r="A36125" t="inlineStr">
        <is>
          <t>Laygayon</t>
        </is>
      </c>
    </row>
    <row r="36126" spans="1:1">
      <c r="A36126" t="inlineStr">
        <is>
          <t>Layo</t>
        </is>
      </c>
    </row>
    <row r="36127" spans="1:1">
      <c r="A36127" t="inlineStr">
        <is>
          <t>Loctob</t>
        </is>
      </c>
    </row>
    <row r="36128" spans="1:1">
      <c r="A36128" t="inlineStr">
        <is>
          <t>Madalunot</t>
        </is>
      </c>
    </row>
    <row r="36129" spans="1:1">
      <c r="A36129" t="inlineStr">
        <is>
          <t>Magdawat</t>
        </is>
      </c>
    </row>
    <row r="36130" spans="1:1">
      <c r="A36130" t="inlineStr">
        <is>
          <t>Mambog</t>
        </is>
      </c>
    </row>
    <row r="36131" spans="1:1">
      <c r="A36131" t="inlineStr">
        <is>
          <t>Manaing</t>
        </is>
      </c>
    </row>
    <row r="36132" spans="1:1">
      <c r="A36132" t="inlineStr">
        <is>
          <t>Nabong</t>
        </is>
      </c>
    </row>
    <row r="36133" spans="1:1">
      <c r="A36133" t="inlineStr">
        <is>
          <t>Obayan</t>
        </is>
      </c>
    </row>
    <row r="36134" spans="1:1">
      <c r="A36134" t="inlineStr">
        <is>
          <t>Pahug</t>
        </is>
      </c>
    </row>
    <row r="36135" spans="1:1">
      <c r="A36135" t="inlineStr">
        <is>
          <t>Parasanon</t>
        </is>
      </c>
    </row>
    <row r="36136" spans="1:1">
      <c r="A36136" t="inlineStr">
        <is>
          <t>Pelaon</t>
        </is>
      </c>
    </row>
    <row r="36137" spans="1:1">
      <c r="A36137" t="inlineStr">
        <is>
          <t>San Isidro</t>
        </is>
      </c>
    </row>
    <row r="36138" spans="1:1">
      <c r="A36138" t="inlineStr">
        <is>
          <t>Anquiana</t>
        </is>
      </c>
    </row>
    <row r="36139" spans="1:1">
      <c r="A36139" t="inlineStr">
        <is>
          <t>Aurora</t>
        </is>
      </c>
    </row>
    <row r="36140" spans="1:1">
      <c r="A36140" t="inlineStr">
        <is>
          <t>Bay-ang</t>
        </is>
      </c>
    </row>
    <row r="36141" spans="1:1">
      <c r="A36141" t="inlineStr">
        <is>
          <t>Blanca Aurora</t>
        </is>
      </c>
    </row>
    <row r="36142" spans="1:1">
      <c r="A36142" t="inlineStr">
        <is>
          <t>Buenavista I</t>
        </is>
      </c>
    </row>
    <row r="36143" spans="1:1">
      <c r="A36143" t="inlineStr">
        <is>
          <t>Buenavista II</t>
        </is>
      </c>
    </row>
    <row r="36144" spans="1:1">
      <c r="A36144" t="inlineStr">
        <is>
          <t>Bulao</t>
        </is>
      </c>
    </row>
    <row r="36145" spans="1:1">
      <c r="A36145" t="inlineStr">
        <is>
          <t>Bungliw</t>
        </is>
      </c>
    </row>
    <row r="36146" spans="1:1">
      <c r="A36146" t="inlineStr">
        <is>
          <t>Cabugao</t>
        </is>
      </c>
    </row>
    <row r="36147" spans="1:1">
      <c r="A36147" t="inlineStr">
        <is>
          <t>Cag-olo-olo</t>
        </is>
      </c>
    </row>
    <row r="36148" spans="1:1">
      <c r="A36148" t="inlineStr">
        <is>
          <t>Calundan</t>
        </is>
      </c>
    </row>
    <row r="36149" spans="1:1">
      <c r="A36149" t="inlineStr">
        <is>
          <t>Cantaguic</t>
        </is>
      </c>
    </row>
    <row r="36150" spans="1:1">
      <c r="A36150" t="inlineStr">
        <is>
          <t>Canyaki</t>
        </is>
      </c>
    </row>
    <row r="36151" spans="1:1">
      <c r="A36151" t="inlineStr">
        <is>
          <t>Cogtoto-og</t>
        </is>
      </c>
    </row>
    <row r="36152" spans="1:1">
      <c r="A36152" t="inlineStr">
        <is>
          <t>Erenas</t>
        </is>
      </c>
    </row>
    <row r="36153" spans="1:1">
      <c r="A36153" t="inlineStr">
        <is>
          <t>Gayondato</t>
        </is>
      </c>
    </row>
    <row r="36154" spans="1:1">
      <c r="A36154" t="inlineStr">
        <is>
          <t>Guadalupe</t>
        </is>
      </c>
    </row>
    <row r="36155" spans="1:1">
      <c r="A36155" t="inlineStr">
        <is>
          <t>Guindapunan</t>
        </is>
      </c>
    </row>
    <row r="36156" spans="1:1">
      <c r="A36156" t="inlineStr">
        <is>
          <t>Hernandez</t>
        </is>
      </c>
    </row>
    <row r="36157" spans="1:1">
      <c r="A36157" t="inlineStr">
        <is>
          <t>Himay</t>
        </is>
      </c>
    </row>
    <row r="36158" spans="1:1">
      <c r="A36158" t="inlineStr">
        <is>
          <t>Janipon</t>
        </is>
      </c>
    </row>
    <row r="36159" spans="1:1">
      <c r="A36159" t="inlineStr">
        <is>
          <t>La Paz</t>
        </is>
      </c>
    </row>
    <row r="36160" spans="1:1">
      <c r="A36160" t="inlineStr">
        <is>
          <t>Libertad</t>
        </is>
      </c>
    </row>
    <row r="36161" spans="1:1">
      <c r="A36161" t="inlineStr">
        <is>
          <t>Lincoro</t>
        </is>
      </c>
    </row>
    <row r="36162" spans="1:1">
      <c r="A36162" t="inlineStr">
        <is>
          <t>Mabuhay</t>
        </is>
      </c>
    </row>
    <row r="36163" spans="1:1">
      <c r="A36163" t="inlineStr">
        <is>
          <t>Mancol</t>
        </is>
      </c>
    </row>
    <row r="36164" spans="1:1">
      <c r="A36164" t="inlineStr">
        <is>
          <t>Matalud</t>
        </is>
      </c>
    </row>
    <row r="36165" spans="1:1">
      <c r="A36165" t="inlineStr">
        <is>
          <t>Mobo-ob</t>
        </is>
      </c>
    </row>
    <row r="36166" spans="1:1">
      <c r="A36166" t="inlineStr">
        <is>
          <t>Mombon</t>
        </is>
      </c>
    </row>
    <row r="36167" spans="1:1">
      <c r="A36167" t="inlineStr">
        <is>
          <t>Puhagan</t>
        </is>
      </c>
    </row>
    <row r="36168" spans="1:1">
      <c r="A36168" t="inlineStr">
        <is>
          <t>Quezon</t>
        </is>
      </c>
    </row>
    <row r="36169" spans="1:1">
      <c r="A36169" t="inlineStr">
        <is>
          <t>Ranera</t>
        </is>
      </c>
    </row>
    <row r="36170" spans="1:1">
      <c r="A36170" t="inlineStr">
        <is>
          <t>Rawis</t>
        </is>
      </c>
    </row>
    <row r="36171" spans="1:1">
      <c r="A36171" t="inlineStr">
        <is>
          <t>Rosalim</t>
        </is>
      </c>
    </row>
    <row r="36172" spans="1:1">
      <c r="A36172" t="inlineStr">
        <is>
          <t>San Isidro</t>
        </is>
      </c>
    </row>
    <row r="36173" spans="1:1">
      <c r="A36173" t="inlineStr">
        <is>
          <t>San Jorge I</t>
        </is>
      </c>
    </row>
    <row r="36174" spans="1:1">
      <c r="A36174" t="inlineStr">
        <is>
          <t>San Jorge II</t>
        </is>
      </c>
    </row>
    <row r="36175" spans="1:1">
      <c r="A36175" t="inlineStr">
        <is>
          <t>San Juan</t>
        </is>
      </c>
    </row>
    <row r="36176" spans="1:1">
      <c r="A36176" t="inlineStr">
        <is>
          <t>Sapinit</t>
        </is>
      </c>
    </row>
    <row r="36177" spans="1:1">
      <c r="A36177" t="inlineStr">
        <is>
          <t>Sinit-an</t>
        </is>
      </c>
    </row>
    <row r="36178" spans="1:1">
      <c r="A36178" t="inlineStr">
        <is>
          <t>Tomogbong</t>
        </is>
      </c>
    </row>
    <row r="36179" spans="1:1">
      <c r="A36179" t="inlineStr">
        <is>
          <t>Aguingayan</t>
        </is>
      </c>
    </row>
    <row r="36180" spans="1:1">
      <c r="A36180" t="inlineStr">
        <is>
          <t>Babaclayon</t>
        </is>
      </c>
    </row>
    <row r="36181" spans="1:1">
      <c r="A36181" t="inlineStr">
        <is>
          <t>Barangay 1</t>
        </is>
      </c>
    </row>
    <row r="36182" spans="1:1">
      <c r="A36182" t="inlineStr">
        <is>
          <t>Barangay 2</t>
        </is>
      </c>
    </row>
    <row r="36183" spans="1:1">
      <c r="A36183" t="inlineStr">
        <is>
          <t>Barangay 3</t>
        </is>
      </c>
    </row>
    <row r="36184" spans="1:1">
      <c r="A36184" t="inlineStr">
        <is>
          <t>Barangay 4</t>
        </is>
      </c>
    </row>
    <row r="36185" spans="1:1">
      <c r="A36185" t="inlineStr">
        <is>
          <t>Can-aponte</t>
        </is>
      </c>
    </row>
    <row r="36186" spans="1:1">
      <c r="A36186" t="inlineStr">
        <is>
          <t>Cataydongan</t>
        </is>
      </c>
    </row>
    <row r="36187" spans="1:1">
      <c r="A36187" t="inlineStr">
        <is>
          <t>Gusa</t>
        </is>
      </c>
    </row>
    <row r="36188" spans="1:1">
      <c r="A36188" t="inlineStr">
        <is>
          <t>Hagbay</t>
        </is>
      </c>
    </row>
    <row r="36189" spans="1:1">
      <c r="A36189" t="inlineStr">
        <is>
          <t>Hibaca-an</t>
        </is>
      </c>
    </row>
    <row r="36190" spans="1:1">
      <c r="A36190" t="inlineStr">
        <is>
          <t>Hiduroma</t>
        </is>
      </c>
    </row>
    <row r="36191" spans="1:1">
      <c r="A36191" t="inlineStr">
        <is>
          <t>Hilumot</t>
        </is>
      </c>
    </row>
    <row r="36192" spans="1:1">
      <c r="A36192" t="inlineStr">
        <is>
          <t>San Nicolas</t>
        </is>
      </c>
    </row>
    <row r="36193" spans="1:1">
      <c r="A36193" t="inlineStr">
        <is>
          <t>Balogo</t>
        </is>
      </c>
    </row>
    <row r="36194" spans="1:1">
      <c r="A36194" t="inlineStr">
        <is>
          <t>Bontod</t>
        </is>
      </c>
    </row>
    <row r="36195" spans="1:1">
      <c r="A36195" t="inlineStr">
        <is>
          <t>Cabaywa</t>
        </is>
      </c>
    </row>
    <row r="36196" spans="1:1">
      <c r="A36196" t="inlineStr">
        <is>
          <t>Camanhagay</t>
        </is>
      </c>
    </row>
    <row r="36197" spans="1:1">
      <c r="A36197" t="inlineStr">
        <is>
          <t>Campiyak</t>
        </is>
      </c>
    </row>
    <row r="36198" spans="1:1">
      <c r="A36198" t="inlineStr">
        <is>
          <t>Canduyucan</t>
        </is>
      </c>
    </row>
    <row r="36199" spans="1:1">
      <c r="A36199" t="inlineStr">
        <is>
          <t>Dolores</t>
        </is>
      </c>
    </row>
    <row r="36200" spans="1:1">
      <c r="A36200" t="inlineStr">
        <is>
          <t>Hita-asan I</t>
        </is>
      </c>
    </row>
    <row r="36201" spans="1:1">
      <c r="A36201" t="inlineStr">
        <is>
          <t>Hita-asan II</t>
        </is>
      </c>
    </row>
    <row r="36202" spans="1:1">
      <c r="A36202" t="inlineStr">
        <is>
          <t>Inobongan</t>
        </is>
      </c>
    </row>
    <row r="36203" spans="1:1">
      <c r="A36203" t="inlineStr">
        <is>
          <t>Poblacion Barangay 1</t>
        </is>
      </c>
    </row>
    <row r="36204" spans="1:1">
      <c r="A36204" t="inlineStr">
        <is>
          <t>Poblacion Barangay 2</t>
        </is>
      </c>
    </row>
    <row r="36205" spans="1:1">
      <c r="A36205" t="inlineStr">
        <is>
          <t>Poblacion Barangay 3</t>
        </is>
      </c>
    </row>
    <row r="36206" spans="1:1">
      <c r="A36206" t="inlineStr">
        <is>
          <t>Poblacion Barangay 4</t>
        </is>
      </c>
    </row>
    <row r="36207" spans="1:1">
      <c r="A36207" t="inlineStr">
        <is>
          <t>Agrupacion</t>
        </is>
      </c>
    </row>
    <row r="36208" spans="1:1">
      <c r="A36208" t="inlineStr">
        <is>
          <t>Arapison</t>
        </is>
      </c>
    </row>
    <row r="36209" spans="1:1">
      <c r="A36209" t="inlineStr">
        <is>
          <t>Avelino</t>
        </is>
      </c>
    </row>
    <row r="36210" spans="1:1">
      <c r="A36210" t="inlineStr">
        <is>
          <t>Bahay</t>
        </is>
      </c>
    </row>
    <row r="36211" spans="1:1">
      <c r="A36211" t="inlineStr">
        <is>
          <t>Balud</t>
        </is>
      </c>
    </row>
    <row r="36212" spans="1:1">
      <c r="A36212" t="inlineStr">
        <is>
          <t>Bana-ao</t>
        </is>
      </c>
    </row>
    <row r="36213" spans="1:1">
      <c r="A36213" t="inlineStr">
        <is>
          <t>Burabod</t>
        </is>
      </c>
    </row>
    <row r="36214" spans="1:1">
      <c r="A36214" t="inlineStr">
        <is>
          <t>Cagsumji</t>
        </is>
      </c>
    </row>
    <row r="36215" spans="1:1">
      <c r="A36215" t="inlineStr">
        <is>
          <t>Campeig</t>
        </is>
      </c>
    </row>
    <row r="36216" spans="1:1">
      <c r="A36216" t="inlineStr">
        <is>
          <t>Camperito</t>
        </is>
      </c>
    </row>
    <row r="36217" spans="1:1">
      <c r="A36217" t="inlineStr">
        <is>
          <t>Can-ipulan</t>
        </is>
      </c>
    </row>
    <row r="36218" spans="1:1">
      <c r="A36218" t="inlineStr">
        <is>
          <t>Canmoros</t>
        </is>
      </c>
    </row>
    <row r="36219" spans="1:1">
      <c r="A36219" t="inlineStr">
        <is>
          <t>Cautod</t>
        </is>
      </c>
    </row>
    <row r="36220" spans="1:1">
      <c r="A36220" t="inlineStr">
        <is>
          <t>Cinco</t>
        </is>
      </c>
    </row>
    <row r="36221" spans="1:1">
      <c r="A36221" t="inlineStr">
        <is>
          <t>Curry</t>
        </is>
      </c>
    </row>
    <row r="36222" spans="1:1">
      <c r="A36222" t="inlineStr">
        <is>
          <t>Gajo</t>
        </is>
      </c>
    </row>
    <row r="36223" spans="1:1">
      <c r="A36223" t="inlineStr">
        <is>
          <t>Hindang</t>
        </is>
      </c>
    </row>
    <row r="36224" spans="1:1">
      <c r="A36224" t="inlineStr">
        <is>
          <t>Ilo</t>
        </is>
      </c>
    </row>
    <row r="36225" spans="1:1">
      <c r="A36225" t="inlineStr">
        <is>
          <t>Imelda</t>
        </is>
      </c>
    </row>
    <row r="36226" spans="1:1">
      <c r="A36226" t="inlineStr">
        <is>
          <t>Inoraguiao</t>
        </is>
      </c>
    </row>
    <row r="36227" spans="1:1">
      <c r="A36227" t="inlineStr">
        <is>
          <t>Jolacao</t>
        </is>
      </c>
    </row>
    <row r="36228" spans="1:1">
      <c r="A36228" t="inlineStr">
        <is>
          <t>Lambao</t>
        </is>
      </c>
    </row>
    <row r="36229" spans="1:1">
      <c r="A36229" t="inlineStr">
        <is>
          <t>Mabuhay</t>
        </is>
      </c>
    </row>
    <row r="36230" spans="1:1">
      <c r="A36230" t="inlineStr">
        <is>
          <t>Mahayag</t>
        </is>
      </c>
    </row>
    <row r="36231" spans="1:1">
      <c r="A36231" t="inlineStr">
        <is>
          <t>Matayonas</t>
        </is>
      </c>
    </row>
    <row r="36232" spans="1:1">
      <c r="A36232" t="inlineStr">
        <is>
          <t>Monbon</t>
        </is>
      </c>
    </row>
    <row r="36233" spans="1:1">
      <c r="A36233" t="inlineStr">
        <is>
          <t>Nabulo</t>
        </is>
      </c>
    </row>
    <row r="36234" spans="1:1">
      <c r="A36234" t="inlineStr">
        <is>
          <t>Napuro</t>
        </is>
      </c>
    </row>
    <row r="36235" spans="1:1">
      <c r="A36235" t="inlineStr">
        <is>
          <t>Napuro II</t>
        </is>
      </c>
    </row>
    <row r="36236" spans="1:1">
      <c r="A36236" t="inlineStr">
        <is>
          <t>Palale</t>
        </is>
      </c>
    </row>
    <row r="36237" spans="1:1">
      <c r="A36237" t="inlineStr">
        <is>
          <t>Panabatan</t>
        </is>
      </c>
    </row>
    <row r="36238" spans="1:1">
      <c r="A36238" t="inlineStr">
        <is>
          <t>Panaruan</t>
        </is>
      </c>
    </row>
    <row r="36239" spans="1:1">
      <c r="A36239" t="inlineStr">
        <is>
          <t>Roxas</t>
        </is>
      </c>
    </row>
    <row r="36240" spans="1:1">
      <c r="A36240" t="inlineStr">
        <is>
          <t>Salvacion</t>
        </is>
      </c>
    </row>
    <row r="36241" spans="1:1">
      <c r="A36241" t="inlineStr">
        <is>
          <t>Solsogon</t>
        </is>
      </c>
    </row>
    <row r="36242" spans="1:1">
      <c r="A36242" t="inlineStr">
        <is>
          <t>Sundara</t>
        </is>
      </c>
    </row>
    <row r="36243" spans="1:1">
      <c r="A36243" t="inlineStr">
        <is>
          <t>Alegria</t>
        </is>
      </c>
    </row>
    <row r="36244" spans="1:1">
      <c r="A36244" t="inlineStr">
        <is>
          <t>Anibongan</t>
        </is>
      </c>
    </row>
    <row r="36245" spans="1:1">
      <c r="A36245" t="inlineStr">
        <is>
          <t>Aslum</t>
        </is>
      </c>
    </row>
    <row r="36246" spans="1:1">
      <c r="A36246" t="inlineStr">
        <is>
          <t>Bagolibas</t>
        </is>
      </c>
    </row>
    <row r="36247" spans="1:1">
      <c r="A36247" t="inlineStr">
        <is>
          <t>Binanalan</t>
        </is>
      </c>
    </row>
    <row r="36248" spans="1:1">
      <c r="A36248" t="inlineStr">
        <is>
          <t>Bokinggan Pob.</t>
        </is>
      </c>
    </row>
    <row r="36249" spans="1:1">
      <c r="A36249" t="inlineStr">
        <is>
          <t>Bougainvilla Pob.</t>
        </is>
      </c>
    </row>
    <row r="36250" spans="1:1">
      <c r="A36250" t="inlineStr">
        <is>
          <t>Cabacungan</t>
        </is>
      </c>
    </row>
    <row r="36251" spans="1:1">
      <c r="A36251" t="inlineStr">
        <is>
          <t>Cabunga-an</t>
        </is>
      </c>
    </row>
    <row r="36252" spans="1:1">
      <c r="A36252" t="inlineStr">
        <is>
          <t>Camayse</t>
        </is>
      </c>
    </row>
    <row r="36253" spans="1:1">
      <c r="A36253" t="inlineStr">
        <is>
          <t>Cansadong</t>
        </is>
      </c>
    </row>
    <row r="36254" spans="1:1">
      <c r="A36254" t="inlineStr">
        <is>
          <t>Caticugan</t>
        </is>
      </c>
    </row>
    <row r="36255" spans="1:1">
      <c r="A36255" t="inlineStr">
        <is>
          <t>Dampigan</t>
        </is>
      </c>
    </row>
    <row r="36256" spans="1:1">
      <c r="A36256" t="inlineStr">
        <is>
          <t>Guinbalot-an</t>
        </is>
      </c>
    </row>
    <row r="36257" spans="1:1">
      <c r="A36257" t="inlineStr">
        <is>
          <t>Gumamela Pob.</t>
        </is>
      </c>
    </row>
    <row r="36258" spans="1:1">
      <c r="A36258" t="inlineStr">
        <is>
          <t>Hinangudtan</t>
        </is>
      </c>
    </row>
    <row r="36259" spans="1:1">
      <c r="A36259" t="inlineStr">
        <is>
          <t>Igang-igang</t>
        </is>
      </c>
    </row>
    <row r="36260" spans="1:1">
      <c r="A36260" t="inlineStr">
        <is>
          <t>La Paz</t>
        </is>
      </c>
    </row>
    <row r="36261" spans="1:1">
      <c r="A36261" t="inlineStr">
        <is>
          <t>Lupig</t>
        </is>
      </c>
    </row>
    <row r="36262" spans="1:1">
      <c r="A36262" t="inlineStr">
        <is>
          <t>Magsaysay</t>
        </is>
      </c>
    </row>
    <row r="36263" spans="1:1">
      <c r="A36263" t="inlineStr">
        <is>
          <t>Maligaya</t>
        </is>
      </c>
    </row>
    <row r="36264" spans="1:1">
      <c r="A36264" t="inlineStr">
        <is>
          <t>New Manunca</t>
        </is>
      </c>
    </row>
    <row r="36265" spans="1:1">
      <c r="A36265" t="inlineStr">
        <is>
          <t>Old Manunca</t>
        </is>
      </c>
    </row>
    <row r="36266" spans="1:1">
      <c r="A36266" t="inlineStr">
        <is>
          <t>Pagsulhogon</t>
        </is>
      </c>
    </row>
    <row r="36267" spans="1:1">
      <c r="A36267" t="inlineStr">
        <is>
          <t>Rosal Pob.</t>
        </is>
      </c>
    </row>
    <row r="36268" spans="1:1">
      <c r="A36268" t="inlineStr">
        <is>
          <t>Salvacion</t>
        </is>
      </c>
    </row>
    <row r="36269" spans="1:1">
      <c r="A36269" t="inlineStr">
        <is>
          <t>San Eduardo</t>
        </is>
      </c>
    </row>
    <row r="36270" spans="1:1">
      <c r="A36270" t="inlineStr">
        <is>
          <t>San Isidro</t>
        </is>
      </c>
    </row>
    <row r="36271" spans="1:1">
      <c r="A36271" t="inlineStr">
        <is>
          <t>San Juan</t>
        </is>
      </c>
    </row>
    <row r="36272" spans="1:1">
      <c r="A36272" t="inlineStr">
        <is>
          <t>San Pascual</t>
        </is>
      </c>
    </row>
    <row r="36273" spans="1:1">
      <c r="A36273" t="inlineStr">
        <is>
          <t>San Pedro</t>
        </is>
      </c>
    </row>
    <row r="36274" spans="1:1">
      <c r="A36274" t="inlineStr">
        <is>
          <t>San Roque</t>
        </is>
      </c>
    </row>
    <row r="36275" spans="1:1">
      <c r="A36275" t="inlineStr">
        <is>
          <t>Santa Elena</t>
        </is>
      </c>
    </row>
    <row r="36276" spans="1:1">
      <c r="A36276" t="inlineStr">
        <is>
          <t>Santan Pob.</t>
        </is>
      </c>
    </row>
    <row r="36277" spans="1:1">
      <c r="A36277" t="inlineStr">
        <is>
          <t>Tagacay</t>
        </is>
      </c>
    </row>
    <row r="36278" spans="1:1">
      <c r="A36278" t="inlineStr">
        <is>
          <t>Tominamos</t>
        </is>
      </c>
    </row>
    <row r="36279" spans="1:1">
      <c r="A36279" t="inlineStr">
        <is>
          <t>Tulay</t>
        </is>
      </c>
    </row>
    <row r="36280" spans="1:1">
      <c r="A36280" t="inlineStr">
        <is>
          <t>Union</t>
        </is>
      </c>
    </row>
    <row r="36281" spans="1:1">
      <c r="A36281" t="inlineStr">
        <is>
          <t>Balatguti</t>
        </is>
      </c>
    </row>
    <row r="36282" spans="1:1">
      <c r="A36282" t="inlineStr">
        <is>
          <t>Baras</t>
        </is>
      </c>
    </row>
    <row r="36283" spans="1:1">
      <c r="A36283" t="inlineStr">
        <is>
          <t>Basud</t>
        </is>
      </c>
    </row>
    <row r="36284" spans="1:1">
      <c r="A36284" t="inlineStr">
        <is>
          <t>Buenavista</t>
        </is>
      </c>
    </row>
    <row r="36285" spans="1:1">
      <c r="A36285" t="inlineStr">
        <is>
          <t>Cabunga-an</t>
        </is>
      </c>
    </row>
    <row r="36286" spans="1:1">
      <c r="A36286" t="inlineStr">
        <is>
          <t>Corocawayan</t>
        </is>
      </c>
    </row>
    <row r="36287" spans="1:1">
      <c r="A36287" t="inlineStr">
        <is>
          <t>Ilijan</t>
        </is>
      </c>
    </row>
    <row r="36288" spans="1:1">
      <c r="A36288" t="inlineStr">
        <is>
          <t>Ilo</t>
        </is>
      </c>
    </row>
    <row r="36289" spans="1:1">
      <c r="A36289" t="inlineStr">
        <is>
          <t>Lobelobe</t>
        </is>
      </c>
    </row>
    <row r="36290" spans="1:1">
      <c r="A36290" t="inlineStr">
        <is>
          <t>Pinanangnan</t>
        </is>
      </c>
    </row>
    <row r="36291" spans="1:1">
      <c r="A36291" t="inlineStr">
        <is>
          <t>Sevilla</t>
        </is>
      </c>
    </row>
    <row r="36292" spans="1:1">
      <c r="A36292" t="inlineStr">
        <is>
          <t>Takut</t>
        </is>
      </c>
    </row>
    <row r="36293" spans="1:1">
      <c r="A36293" t="inlineStr">
        <is>
          <t>Villahermosa</t>
        </is>
      </c>
    </row>
    <row r="36294" spans="1:1">
      <c r="A36294" t="inlineStr">
        <is>
          <t>Baguiw</t>
        </is>
      </c>
    </row>
    <row r="36295" spans="1:1">
      <c r="A36295" t="inlineStr">
        <is>
          <t>Balocawe</t>
        </is>
      </c>
    </row>
    <row r="36296" spans="1:1">
      <c r="A36296" t="inlineStr">
        <is>
          <t>Guinbarucan</t>
        </is>
      </c>
    </row>
    <row r="36297" spans="1:1">
      <c r="A36297" t="inlineStr">
        <is>
          <t>Labangbaybay</t>
        </is>
      </c>
    </row>
    <row r="36298" spans="1:1">
      <c r="A36298" t="inlineStr">
        <is>
          <t>Luna</t>
        </is>
      </c>
    </row>
    <row r="36299" spans="1:1">
      <c r="A36299" t="inlineStr">
        <is>
          <t>Mataluto</t>
        </is>
      </c>
    </row>
    <row r="36300" spans="1:1">
      <c r="A36300" t="inlineStr">
        <is>
          <t>Nipa</t>
        </is>
      </c>
    </row>
    <row r="36301" spans="1:1">
      <c r="A36301" t="inlineStr">
        <is>
          <t>Pantalan</t>
        </is>
      </c>
    </row>
    <row r="36302" spans="1:1">
      <c r="A36302" t="inlineStr">
        <is>
          <t>Pulangbato</t>
        </is>
      </c>
    </row>
    <row r="36303" spans="1:1">
      <c r="A36303" t="inlineStr">
        <is>
          <t>San Jose</t>
        </is>
      </c>
    </row>
    <row r="36304" spans="1:1">
      <c r="A36304" t="inlineStr">
        <is>
          <t>San Vicente</t>
        </is>
      </c>
    </row>
    <row r="36305" spans="1:1">
      <c r="A36305" t="inlineStr">
        <is>
          <t>Suarez</t>
        </is>
      </c>
    </row>
    <row r="36306" spans="1:1">
      <c r="A36306" t="inlineStr">
        <is>
          <t>Sugod</t>
        </is>
      </c>
    </row>
    <row r="36307" spans="1:1">
      <c r="A36307" t="inlineStr">
        <is>
          <t>Trinidad</t>
        </is>
      </c>
    </row>
    <row r="36308" spans="1:1">
      <c r="A36308" t="inlineStr">
        <is>
          <t>Bo. Independencia</t>
        </is>
      </c>
    </row>
    <row r="36309" spans="1:1">
      <c r="A36309" t="inlineStr">
        <is>
          <t>Malaguining</t>
        </is>
      </c>
    </row>
    <row r="36310" spans="1:1">
      <c r="A36310" t="inlineStr">
        <is>
          <t>Mallorga</t>
        </is>
      </c>
    </row>
    <row r="36311" spans="1:1">
      <c r="A36311" t="inlineStr">
        <is>
          <t>Navatas Daku</t>
        </is>
      </c>
    </row>
    <row r="36312" spans="1:1">
      <c r="A36312" t="inlineStr">
        <is>
          <t>Navatas Guti</t>
        </is>
      </c>
    </row>
    <row r="36313" spans="1:1">
      <c r="A36313" t="inlineStr">
        <is>
          <t>Placer</t>
        </is>
      </c>
    </row>
    <row r="36314" spans="1:1">
      <c r="A36314" t="inlineStr">
        <is>
          <t>Poblacion Barangay 1</t>
        </is>
      </c>
    </row>
    <row r="36315" spans="1:1">
      <c r="A36315" t="inlineStr">
        <is>
          <t>Poblacion Barangay 2</t>
        </is>
      </c>
    </row>
    <row r="36316" spans="1:1">
      <c r="A36316" t="inlineStr">
        <is>
          <t>San Juan</t>
        </is>
      </c>
    </row>
    <row r="36317" spans="1:1">
      <c r="A36317" t="inlineStr">
        <is>
          <t>Tatabunan</t>
        </is>
      </c>
    </row>
    <row r="36318" spans="1:1">
      <c r="A36318" t="inlineStr">
        <is>
          <t>Victory</t>
        </is>
      </c>
    </row>
    <row r="36319" spans="1:1">
      <c r="A36319" t="inlineStr">
        <is>
          <t>Alcazar</t>
        </is>
      </c>
    </row>
    <row r="36320" spans="1:1">
      <c r="A36320" t="inlineStr">
        <is>
          <t>Awang</t>
        </is>
      </c>
    </row>
    <row r="36321" spans="1:1">
      <c r="A36321" t="inlineStr">
        <is>
          <t>Bahay</t>
        </is>
      </c>
    </row>
    <row r="36322" spans="1:1">
      <c r="A36322" t="inlineStr">
        <is>
          <t>Balonga-as</t>
        </is>
      </c>
    </row>
    <row r="36323" spans="1:1">
      <c r="A36323" t="inlineStr">
        <is>
          <t>Balugo</t>
        </is>
      </c>
    </row>
    <row r="36324" spans="1:1">
      <c r="A36324" t="inlineStr">
        <is>
          <t>Bangon Gote</t>
        </is>
      </c>
    </row>
    <row r="36325" spans="1:1">
      <c r="A36325" t="inlineStr">
        <is>
          <t>Baras</t>
        </is>
      </c>
    </row>
    <row r="36326" spans="1:1">
      <c r="A36326" t="inlineStr">
        <is>
          <t>Binalayan</t>
        </is>
      </c>
    </row>
    <row r="36327" spans="1:1">
      <c r="A36327" t="inlineStr">
        <is>
          <t>Bisitahan</t>
        </is>
      </c>
    </row>
    <row r="36328" spans="1:1">
      <c r="A36328" t="inlineStr">
        <is>
          <t>Bonga</t>
        </is>
      </c>
    </row>
    <row r="36329" spans="1:1">
      <c r="A36329" t="inlineStr">
        <is>
          <t>Cabunga-an</t>
        </is>
      </c>
    </row>
    <row r="36330" spans="1:1">
      <c r="A36330" t="inlineStr">
        <is>
          <t>Cagtutulo</t>
        </is>
      </c>
    </row>
    <row r="36331" spans="1:1">
      <c r="A36331" t="inlineStr">
        <is>
          <t>Cambatutay Nuevo</t>
        </is>
      </c>
    </row>
    <row r="36332" spans="1:1">
      <c r="A36332" t="inlineStr">
        <is>
          <t>Cambatutay Viejo</t>
        </is>
      </c>
    </row>
    <row r="36333" spans="1:1">
      <c r="A36333" t="inlineStr">
        <is>
          <t>Canunghan</t>
        </is>
      </c>
    </row>
    <row r="36334" spans="1:1">
      <c r="A36334" t="inlineStr">
        <is>
          <t>Catan-agan</t>
        </is>
      </c>
    </row>
    <row r="36335" spans="1:1">
      <c r="A36335" t="inlineStr">
        <is>
          <t>Dapdap</t>
        </is>
      </c>
    </row>
    <row r="36336" spans="1:1">
      <c r="A36336" t="inlineStr">
        <is>
          <t>Gallego</t>
        </is>
      </c>
    </row>
    <row r="36337" spans="1:1">
      <c r="A36337" t="inlineStr">
        <is>
          <t>Imelda Pob.</t>
        </is>
      </c>
    </row>
    <row r="36338" spans="1:1">
      <c r="A36338" t="inlineStr">
        <is>
          <t>Lahong</t>
        </is>
      </c>
    </row>
    <row r="36339" spans="1:1">
      <c r="A36339" t="inlineStr">
        <is>
          <t>Libucan Dacu</t>
        </is>
      </c>
    </row>
    <row r="36340" spans="1:1">
      <c r="A36340" t="inlineStr">
        <is>
          <t>Libucan Gote</t>
        </is>
      </c>
    </row>
    <row r="36341" spans="1:1">
      <c r="A36341" t="inlineStr">
        <is>
          <t>Lucerdoni</t>
        </is>
      </c>
    </row>
    <row r="36342" spans="1:1">
      <c r="A36342" t="inlineStr">
        <is>
          <t>Majacob</t>
        </is>
      </c>
    </row>
    <row r="36343" spans="1:1">
      <c r="A36343" t="inlineStr">
        <is>
          <t>Mancares</t>
        </is>
      </c>
    </row>
    <row r="36344" spans="1:1">
      <c r="A36344" t="inlineStr">
        <is>
          <t>Marabut</t>
        </is>
      </c>
    </row>
    <row r="36345" spans="1:1">
      <c r="A36345" t="inlineStr">
        <is>
          <t>Oeste - A</t>
        </is>
      </c>
    </row>
    <row r="36346" spans="1:1">
      <c r="A36346" t="inlineStr">
        <is>
          <t>Oeste - B</t>
        </is>
      </c>
    </row>
    <row r="36347" spans="1:1">
      <c r="A36347" t="inlineStr">
        <is>
          <t>Pajo</t>
        </is>
      </c>
    </row>
    <row r="36348" spans="1:1">
      <c r="A36348" t="inlineStr">
        <is>
          <t>Palencia</t>
        </is>
      </c>
    </row>
    <row r="36349" spans="1:1">
      <c r="A36349" t="inlineStr">
        <is>
          <t>Poblacion A</t>
        </is>
      </c>
    </row>
    <row r="36350" spans="1:1">
      <c r="A36350" t="inlineStr">
        <is>
          <t>Poblacion B</t>
        </is>
      </c>
    </row>
    <row r="36351" spans="1:1">
      <c r="A36351" t="inlineStr">
        <is>
          <t>Poblacion C</t>
        </is>
      </c>
    </row>
    <row r="36352" spans="1:1">
      <c r="A36352" t="inlineStr">
        <is>
          <t>Poblacion D</t>
        </is>
      </c>
    </row>
    <row r="36353" spans="1:1">
      <c r="A36353" t="inlineStr">
        <is>
          <t>Poblacion E</t>
        </is>
      </c>
    </row>
    <row r="36354" spans="1:1">
      <c r="A36354" t="inlineStr">
        <is>
          <t>San Vicente</t>
        </is>
      </c>
    </row>
    <row r="36355" spans="1:1">
      <c r="A36355" t="inlineStr">
        <is>
          <t>Santa Cruz</t>
        </is>
      </c>
    </row>
    <row r="36356" spans="1:1">
      <c r="A36356" t="inlineStr">
        <is>
          <t>Sugod</t>
        </is>
      </c>
    </row>
    <row r="36357" spans="1:1">
      <c r="A36357" t="inlineStr">
        <is>
          <t>Talinga</t>
        </is>
      </c>
    </row>
    <row r="36358" spans="1:1">
      <c r="A36358" t="inlineStr">
        <is>
          <t>Tigdaranao</t>
        </is>
      </c>
    </row>
    <row r="36359" spans="1:1">
      <c r="A36359" t="inlineStr">
        <is>
          <t>Tizon</t>
        </is>
      </c>
    </row>
    <row r="36360" spans="1:1">
      <c r="A36360" t="inlineStr">
        <is>
          <t>Banquil</t>
        </is>
      </c>
    </row>
    <row r="36361" spans="1:1">
      <c r="A36361" t="inlineStr">
        <is>
          <t>Bino-ongan</t>
        </is>
      </c>
    </row>
    <row r="36362" spans="1:1">
      <c r="A36362" t="inlineStr">
        <is>
          <t>Burabod</t>
        </is>
      </c>
    </row>
    <row r="36363" spans="1:1">
      <c r="A36363" t="inlineStr">
        <is>
          <t>Cambaguio</t>
        </is>
      </c>
    </row>
    <row r="36364" spans="1:1">
      <c r="A36364" t="inlineStr">
        <is>
          <t>Canmucat</t>
        </is>
      </c>
    </row>
    <row r="36365" spans="1:1">
      <c r="A36365" t="inlineStr">
        <is>
          <t>Central</t>
        </is>
      </c>
    </row>
    <row r="36366" spans="1:1">
      <c r="A36366" t="inlineStr">
        <is>
          <t>Conant</t>
        </is>
      </c>
    </row>
    <row r="36367" spans="1:1">
      <c r="A36367" t="inlineStr">
        <is>
          <t>Guintarcan</t>
        </is>
      </c>
    </row>
    <row r="36368" spans="1:1">
      <c r="A36368" t="inlineStr">
        <is>
          <t>Himyangan</t>
        </is>
      </c>
    </row>
    <row r="36369" spans="1:1">
      <c r="A36369" t="inlineStr">
        <is>
          <t>Igot</t>
        </is>
      </c>
    </row>
    <row r="36370" spans="1:1">
      <c r="A36370" t="inlineStr">
        <is>
          <t>Inarumbacan</t>
        </is>
      </c>
    </row>
    <row r="36371" spans="1:1">
      <c r="A36371" t="inlineStr">
        <is>
          <t>Inasudlan</t>
        </is>
      </c>
    </row>
    <row r="36372" spans="1:1">
      <c r="A36372" t="inlineStr">
        <is>
          <t>Lam-awan</t>
        </is>
      </c>
    </row>
    <row r="36373" spans="1:1">
      <c r="A36373" t="inlineStr">
        <is>
          <t>Lamingao</t>
        </is>
      </c>
    </row>
    <row r="36374" spans="1:1">
      <c r="A36374" t="inlineStr">
        <is>
          <t>Lawa-an</t>
        </is>
      </c>
    </row>
    <row r="36375" spans="1:1">
      <c r="A36375" t="inlineStr">
        <is>
          <t>Macopa</t>
        </is>
      </c>
    </row>
    <row r="36376" spans="1:1">
      <c r="A36376" t="inlineStr">
        <is>
          <t>Mahayag</t>
        </is>
      </c>
    </row>
    <row r="36377" spans="1:1">
      <c r="A36377" t="inlineStr">
        <is>
          <t>Malonoy</t>
        </is>
      </c>
    </row>
    <row r="36378" spans="1:1">
      <c r="A36378" t="inlineStr">
        <is>
          <t>Mercado</t>
        </is>
      </c>
    </row>
    <row r="36379" spans="1:1">
      <c r="A36379" t="inlineStr">
        <is>
          <t>Miramar</t>
        </is>
      </c>
    </row>
    <row r="36380" spans="1:1">
      <c r="A36380" t="inlineStr">
        <is>
          <t>Nagcaduha</t>
        </is>
      </c>
    </row>
    <row r="36381" spans="1:1">
      <c r="A36381" t="inlineStr">
        <is>
          <t>Pacao</t>
        </is>
      </c>
    </row>
    <row r="36382" spans="1:1">
      <c r="A36382" t="inlineStr">
        <is>
          <t>Pacoyoy</t>
        </is>
      </c>
    </row>
    <row r="36383" spans="1:1">
      <c r="A36383" t="inlineStr">
        <is>
          <t>Pangpang</t>
        </is>
      </c>
    </row>
    <row r="36384" spans="1:1">
      <c r="A36384" t="inlineStr">
        <is>
          <t>Patag</t>
        </is>
      </c>
    </row>
    <row r="36385" spans="1:1">
      <c r="A36385" t="inlineStr">
        <is>
          <t>Plaridel</t>
        </is>
      </c>
    </row>
    <row r="36386" spans="1:1">
      <c r="A36386" t="inlineStr">
        <is>
          <t>Polangi</t>
        </is>
      </c>
    </row>
    <row r="36387" spans="1:1">
      <c r="A36387" t="inlineStr">
        <is>
          <t>San Andres</t>
        </is>
      </c>
    </row>
    <row r="36388" spans="1:1">
      <c r="A36388" t="inlineStr">
        <is>
          <t>San Fernando</t>
        </is>
      </c>
    </row>
    <row r="36389" spans="1:1">
      <c r="A36389" t="inlineStr">
        <is>
          <t>San Rafael</t>
        </is>
      </c>
    </row>
    <row r="36390" spans="1:1">
      <c r="A36390" t="inlineStr">
        <is>
          <t>San Roque</t>
        </is>
      </c>
    </row>
    <row r="36391" spans="1:1">
      <c r="A36391" t="inlineStr">
        <is>
          <t>Santa Rosa</t>
        </is>
      </c>
    </row>
    <row r="36392" spans="1:1">
      <c r="A36392" t="inlineStr">
        <is>
          <t>Santo Niño</t>
        </is>
      </c>
    </row>
    <row r="36393" spans="1:1">
      <c r="A36393" t="inlineStr">
        <is>
          <t>Soledad</t>
        </is>
      </c>
    </row>
    <row r="36394" spans="1:1">
      <c r="A36394" t="inlineStr">
        <is>
          <t>Tayud</t>
        </is>
      </c>
    </row>
    <row r="36395" spans="1:1">
      <c r="A36395" t="inlineStr">
        <is>
          <t>Tomabe</t>
        </is>
      </c>
    </row>
    <row r="36396" spans="1:1">
      <c r="A36396" t="inlineStr">
        <is>
          <t>Ulayan</t>
        </is>
      </c>
    </row>
    <row r="36397" spans="1:1">
      <c r="A36397" t="inlineStr">
        <is>
          <t>Villarosa Pob.</t>
        </is>
      </c>
    </row>
    <row r="36398" spans="1:1">
      <c r="A36398" t="inlineStr">
        <is>
          <t>Alegria</t>
        </is>
      </c>
    </row>
    <row r="36399" spans="1:1">
      <c r="A36399" t="inlineStr">
        <is>
          <t>Arteche</t>
        </is>
      </c>
    </row>
    <row r="36400" spans="1:1">
      <c r="A36400" t="inlineStr">
        <is>
          <t>Bioso</t>
        </is>
      </c>
    </row>
    <row r="36401" spans="1:1">
      <c r="A36401" t="inlineStr">
        <is>
          <t>Boblaran</t>
        </is>
      </c>
    </row>
    <row r="36402" spans="1:1">
      <c r="A36402" t="inlineStr">
        <is>
          <t>Botaera</t>
        </is>
      </c>
    </row>
    <row r="36403" spans="1:1">
      <c r="A36403" t="inlineStr">
        <is>
          <t>Buntay</t>
        </is>
      </c>
    </row>
    <row r="36404" spans="1:1">
      <c r="A36404" t="inlineStr">
        <is>
          <t>Camayse</t>
        </is>
      </c>
    </row>
    <row r="36405" spans="1:1">
      <c r="A36405" t="inlineStr">
        <is>
          <t>Canwarak</t>
        </is>
      </c>
    </row>
    <row r="36406" spans="1:1">
      <c r="A36406" t="inlineStr">
        <is>
          <t>Ibarra</t>
        </is>
      </c>
    </row>
    <row r="36407" spans="1:1">
      <c r="A36407" t="inlineStr">
        <is>
          <t>Lumalantang</t>
        </is>
      </c>
    </row>
    <row r="36408" spans="1:1">
      <c r="A36408" t="inlineStr">
        <is>
          <t>Macalunod</t>
        </is>
      </c>
    </row>
    <row r="36409" spans="1:1">
      <c r="A36409" t="inlineStr">
        <is>
          <t>Maga-an</t>
        </is>
      </c>
    </row>
    <row r="36410" spans="1:1">
      <c r="A36410" t="inlineStr">
        <is>
          <t>Maputi</t>
        </is>
      </c>
    </row>
    <row r="36411" spans="1:1">
      <c r="A36411" t="inlineStr">
        <is>
          <t>Marapilit</t>
        </is>
      </c>
    </row>
    <row r="36412" spans="1:1">
      <c r="A36412" t="inlineStr">
        <is>
          <t>Monbon</t>
        </is>
      </c>
    </row>
    <row r="36413" spans="1:1">
      <c r="A36413" t="inlineStr">
        <is>
          <t>Mualbual</t>
        </is>
      </c>
    </row>
    <row r="36414" spans="1:1">
      <c r="A36414" t="inlineStr">
        <is>
          <t>Pangdan</t>
        </is>
      </c>
    </row>
    <row r="36415" spans="1:1">
      <c r="A36415" t="inlineStr">
        <is>
          <t>Poblacion 1</t>
        </is>
      </c>
    </row>
    <row r="36416" spans="1:1">
      <c r="A36416" t="inlineStr">
        <is>
          <t>Poblacion 2</t>
        </is>
      </c>
    </row>
    <row r="36417" spans="1:1">
      <c r="A36417" t="inlineStr">
        <is>
          <t>Poro</t>
        </is>
      </c>
    </row>
    <row r="36418" spans="1:1">
      <c r="A36418" t="inlineStr">
        <is>
          <t>San Isidro</t>
        </is>
      </c>
    </row>
    <row r="36419" spans="1:1">
      <c r="A36419" t="inlineStr">
        <is>
          <t>Sugod</t>
        </is>
      </c>
    </row>
    <row r="36420" spans="1:1">
      <c r="A36420" t="inlineStr">
        <is>
          <t>Talib</t>
        </is>
      </c>
    </row>
    <row r="36421" spans="1:1">
      <c r="A36421" t="inlineStr">
        <is>
          <t>Tinaugan</t>
        </is>
      </c>
    </row>
    <row r="36422" spans="1:1">
      <c r="A36422" t="inlineStr">
        <is>
          <t>Tubigan</t>
        </is>
      </c>
    </row>
    <row r="36423" spans="1:1">
      <c r="A36423" t="inlineStr">
        <is>
          <t>Alegria</t>
        </is>
      </c>
    </row>
    <row r="36424" spans="1:1">
      <c r="A36424" t="inlineStr">
        <is>
          <t>Bagacay</t>
        </is>
      </c>
    </row>
    <row r="36425" spans="1:1">
      <c r="A36425" t="inlineStr">
        <is>
          <t>Baluntay</t>
        </is>
      </c>
    </row>
    <row r="36426" spans="1:1">
      <c r="A36426" t="inlineStr">
        <is>
          <t>Datal Anggas</t>
        </is>
      </c>
    </row>
    <row r="36427" spans="1:1">
      <c r="A36427" t="inlineStr">
        <is>
          <t>Domolok</t>
        </is>
      </c>
    </row>
    <row r="36428" spans="1:1">
      <c r="A36428" t="inlineStr">
        <is>
          <t>Kawas</t>
        </is>
      </c>
    </row>
    <row r="36429" spans="1:1">
      <c r="A36429" t="inlineStr">
        <is>
          <t>Ladol</t>
        </is>
      </c>
    </row>
    <row r="36430" spans="1:1">
      <c r="A36430" t="inlineStr">
        <is>
          <t>Maribulan</t>
        </is>
      </c>
    </row>
    <row r="36431" spans="1:1">
      <c r="A36431" t="inlineStr">
        <is>
          <t>New Canaan</t>
        </is>
      </c>
    </row>
    <row r="36432" spans="1:1">
      <c r="A36432" t="inlineStr">
        <is>
          <t>Pag-asa</t>
        </is>
      </c>
    </row>
    <row r="36433" spans="1:1">
      <c r="A36433" t="inlineStr">
        <is>
          <t>Paraiso</t>
        </is>
      </c>
    </row>
    <row r="36434" spans="1:1">
      <c r="A36434" t="inlineStr">
        <is>
          <t>Poblacion</t>
        </is>
      </c>
    </row>
    <row r="36435" spans="1:1">
      <c r="A36435" t="inlineStr">
        <is>
          <t>Spring</t>
        </is>
      </c>
    </row>
    <row r="36436" spans="1:1">
      <c r="A36436" t="inlineStr">
        <is>
          <t>Tokawal</t>
        </is>
      </c>
    </row>
    <row r="36437" spans="1:1">
      <c r="A36437" t="inlineStr">
        <is>
          <t>Baliton</t>
        </is>
      </c>
    </row>
    <row r="36438" spans="1:1">
      <c r="A36438" t="inlineStr">
        <is>
          <t>Batotuling</t>
        </is>
      </c>
    </row>
    <row r="36439" spans="1:1">
      <c r="A36439" t="inlineStr">
        <is>
          <t>Batulaki</t>
        </is>
      </c>
    </row>
    <row r="36440" spans="1:1">
      <c r="A36440" t="inlineStr">
        <is>
          <t>Big Margus</t>
        </is>
      </c>
    </row>
    <row r="36441" spans="1:1">
      <c r="A36441" t="inlineStr">
        <is>
          <t>Burias</t>
        </is>
      </c>
    </row>
    <row r="36442" spans="1:1">
      <c r="A36442" t="inlineStr">
        <is>
          <t>Cablalan</t>
        </is>
      </c>
    </row>
    <row r="36443" spans="1:1">
      <c r="A36443" t="inlineStr">
        <is>
          <t>Calabanit</t>
        </is>
      </c>
    </row>
    <row r="36444" spans="1:1">
      <c r="A36444" t="inlineStr">
        <is>
          <t>Calpidong</t>
        </is>
      </c>
    </row>
    <row r="36445" spans="1:1">
      <c r="A36445" t="inlineStr">
        <is>
          <t>Congan</t>
        </is>
      </c>
    </row>
    <row r="36446" spans="1:1">
      <c r="A36446" t="inlineStr">
        <is>
          <t>Cross</t>
        </is>
      </c>
    </row>
    <row r="36447" spans="1:1">
      <c r="A36447" t="inlineStr">
        <is>
          <t>Datalbukay</t>
        </is>
      </c>
    </row>
    <row r="36448" spans="1:1">
      <c r="A36448" t="inlineStr">
        <is>
          <t>E. Alegado</t>
        </is>
      </c>
    </row>
    <row r="36449" spans="1:1">
      <c r="A36449" t="inlineStr">
        <is>
          <t>Glan Padidu</t>
        </is>
      </c>
    </row>
    <row r="36450" spans="1:1">
      <c r="A36450" t="inlineStr">
        <is>
          <t>Gumasa</t>
        </is>
      </c>
    </row>
    <row r="36451" spans="1:1">
      <c r="A36451" t="inlineStr">
        <is>
          <t>Ilaya</t>
        </is>
      </c>
    </row>
    <row r="36452" spans="1:1">
      <c r="A36452" t="inlineStr">
        <is>
          <t>Kaltuad</t>
        </is>
      </c>
    </row>
    <row r="36453" spans="1:1">
      <c r="A36453" t="inlineStr">
        <is>
          <t>Kapatan</t>
        </is>
      </c>
    </row>
    <row r="36454" spans="1:1">
      <c r="A36454" t="inlineStr">
        <is>
          <t>Lago</t>
        </is>
      </c>
    </row>
    <row r="36455" spans="1:1">
      <c r="A36455" t="inlineStr">
        <is>
          <t>Laguimit</t>
        </is>
      </c>
    </row>
    <row r="36456" spans="1:1">
      <c r="A36456" t="inlineStr">
        <is>
          <t>Mudan</t>
        </is>
      </c>
    </row>
    <row r="36457" spans="1:1">
      <c r="A36457" t="inlineStr">
        <is>
          <t>New Aklan</t>
        </is>
      </c>
    </row>
    <row r="36458" spans="1:1">
      <c r="A36458" t="inlineStr">
        <is>
          <t>Pangyan</t>
        </is>
      </c>
    </row>
    <row r="36459" spans="1:1">
      <c r="A36459" t="inlineStr">
        <is>
          <t>Poblacion</t>
        </is>
      </c>
    </row>
    <row r="36460" spans="1:1">
      <c r="A36460" t="inlineStr">
        <is>
          <t>Rio Del Pilar</t>
        </is>
      </c>
    </row>
    <row r="36461" spans="1:1">
      <c r="A36461" t="inlineStr">
        <is>
          <t>San Jose</t>
        </is>
      </c>
    </row>
    <row r="36462" spans="1:1">
      <c r="A36462" t="inlineStr">
        <is>
          <t>San Vicente</t>
        </is>
      </c>
    </row>
    <row r="36463" spans="1:1">
      <c r="A36463" t="inlineStr">
        <is>
          <t>Small Margus</t>
        </is>
      </c>
    </row>
    <row r="36464" spans="1:1">
      <c r="A36464" t="inlineStr">
        <is>
          <t>Sufatubo</t>
        </is>
      </c>
    </row>
    <row r="36465" spans="1:1">
      <c r="A36465" t="inlineStr">
        <is>
          <t>Taluya</t>
        </is>
      </c>
    </row>
    <row r="36466" spans="1:1">
      <c r="A36466" t="inlineStr">
        <is>
          <t>Tango</t>
        </is>
      </c>
    </row>
    <row r="36467" spans="1:1">
      <c r="A36467" t="inlineStr">
        <is>
          <t>Tapon</t>
        </is>
      </c>
    </row>
    <row r="36468" spans="1:1">
      <c r="A36468" t="inlineStr">
        <is>
          <t>Badtasan</t>
        </is>
      </c>
    </row>
    <row r="36469" spans="1:1">
      <c r="A36469" t="inlineStr">
        <is>
          <t>Datu Dani</t>
        </is>
      </c>
    </row>
    <row r="36470" spans="1:1">
      <c r="A36470" t="inlineStr">
        <is>
          <t>Gasi</t>
        </is>
      </c>
    </row>
    <row r="36471" spans="1:1">
      <c r="A36471" t="inlineStr">
        <is>
          <t>Kapate</t>
        </is>
      </c>
    </row>
    <row r="36472" spans="1:1">
      <c r="A36472" t="inlineStr">
        <is>
          <t>Katubao</t>
        </is>
      </c>
    </row>
    <row r="36473" spans="1:1">
      <c r="A36473" t="inlineStr">
        <is>
          <t>Kayupo</t>
        </is>
      </c>
    </row>
    <row r="36474" spans="1:1">
      <c r="A36474" t="inlineStr">
        <is>
          <t>Kling</t>
        </is>
      </c>
    </row>
    <row r="36475" spans="1:1">
      <c r="A36475" t="inlineStr">
        <is>
          <t>Lagundi</t>
        </is>
      </c>
    </row>
    <row r="36476" spans="1:1">
      <c r="A36476" t="inlineStr">
        <is>
          <t>Lebe</t>
        </is>
      </c>
    </row>
    <row r="36477" spans="1:1">
      <c r="A36477" t="inlineStr">
        <is>
          <t>Lomuyon</t>
        </is>
      </c>
    </row>
    <row r="36478" spans="1:1">
      <c r="A36478" t="inlineStr">
        <is>
          <t>Luma</t>
        </is>
      </c>
    </row>
    <row r="36479" spans="1:1">
      <c r="A36479" t="inlineStr">
        <is>
          <t>Maligang</t>
        </is>
      </c>
    </row>
    <row r="36480" spans="1:1">
      <c r="A36480" t="inlineStr">
        <is>
          <t>Nalus</t>
        </is>
      </c>
    </row>
    <row r="36481" spans="1:1">
      <c r="A36481" t="inlineStr">
        <is>
          <t>Poblacion</t>
        </is>
      </c>
    </row>
    <row r="36482" spans="1:1">
      <c r="A36482" t="inlineStr">
        <is>
          <t>Salakit</t>
        </is>
      </c>
    </row>
    <row r="36483" spans="1:1">
      <c r="A36483" t="inlineStr">
        <is>
          <t>Suli</t>
        </is>
      </c>
    </row>
    <row r="36484" spans="1:1">
      <c r="A36484" t="inlineStr">
        <is>
          <t>Tablao</t>
        </is>
      </c>
    </row>
    <row r="36485" spans="1:1">
      <c r="A36485" t="inlineStr">
        <is>
          <t>Tamadang</t>
        </is>
      </c>
    </row>
    <row r="36486" spans="1:1">
      <c r="A36486" t="inlineStr">
        <is>
          <t>Tambilil</t>
        </is>
      </c>
    </row>
    <row r="36487" spans="1:1">
      <c r="A36487" t="inlineStr">
        <is>
          <t>Amsipit</t>
        </is>
      </c>
    </row>
    <row r="36488" spans="1:1">
      <c r="A36488" t="inlineStr">
        <is>
          <t>Bales</t>
        </is>
      </c>
    </row>
    <row r="36489" spans="1:1">
      <c r="A36489" t="inlineStr">
        <is>
          <t>Colon</t>
        </is>
      </c>
    </row>
    <row r="36490" spans="1:1">
      <c r="A36490" t="inlineStr">
        <is>
          <t>Daliao</t>
        </is>
      </c>
    </row>
    <row r="36491" spans="1:1">
      <c r="A36491" t="inlineStr">
        <is>
          <t>Kabatiol</t>
        </is>
      </c>
    </row>
    <row r="36492" spans="1:1">
      <c r="A36492" t="inlineStr">
        <is>
          <t>Kablacan</t>
        </is>
      </c>
    </row>
    <row r="36493" spans="1:1">
      <c r="A36493" t="inlineStr">
        <is>
          <t>Kamanga</t>
        </is>
      </c>
    </row>
    <row r="36494" spans="1:1">
      <c r="A36494" t="inlineStr">
        <is>
          <t>Kanalo</t>
        </is>
      </c>
    </row>
    <row r="36495" spans="1:1">
      <c r="A36495" t="inlineStr">
        <is>
          <t>Lumasal</t>
        </is>
      </c>
    </row>
    <row r="36496" spans="1:1">
      <c r="A36496" t="inlineStr">
        <is>
          <t>Lumatil</t>
        </is>
      </c>
    </row>
    <row r="36497" spans="1:1">
      <c r="A36497" t="inlineStr">
        <is>
          <t>Malbang</t>
        </is>
      </c>
    </row>
    <row r="36498" spans="1:1">
      <c r="A36498" t="inlineStr">
        <is>
          <t>Nomoh</t>
        </is>
      </c>
    </row>
    <row r="36499" spans="1:1">
      <c r="A36499" t="inlineStr">
        <is>
          <t>Pananag</t>
        </is>
      </c>
    </row>
    <row r="36500" spans="1:1">
      <c r="A36500" t="inlineStr">
        <is>
          <t>Poblacion</t>
        </is>
      </c>
    </row>
    <row r="36501" spans="1:1">
      <c r="A36501" t="inlineStr">
        <is>
          <t>Seven Hills</t>
        </is>
      </c>
    </row>
    <row r="36502" spans="1:1">
      <c r="A36502" t="inlineStr">
        <is>
          <t>Tinoto</t>
        </is>
      </c>
    </row>
    <row r="36503" spans="1:1">
      <c r="A36503" t="inlineStr">
        <is>
          <t>Bati-an</t>
        </is>
      </c>
    </row>
    <row r="36504" spans="1:1">
      <c r="A36504" t="inlineStr">
        <is>
          <t>Kalaneg</t>
        </is>
      </c>
    </row>
    <row r="36505" spans="1:1">
      <c r="A36505" t="inlineStr">
        <is>
          <t>Kalaong</t>
        </is>
      </c>
    </row>
    <row r="36506" spans="1:1">
      <c r="A36506" t="inlineStr">
        <is>
          <t>Kiambing</t>
        </is>
      </c>
    </row>
    <row r="36507" spans="1:1">
      <c r="A36507" t="inlineStr">
        <is>
          <t>Kiayap</t>
        </is>
      </c>
    </row>
    <row r="36508" spans="1:1">
      <c r="A36508" t="inlineStr">
        <is>
          <t>Mabay</t>
        </is>
      </c>
    </row>
    <row r="36509" spans="1:1">
      <c r="A36509" t="inlineStr">
        <is>
          <t>Maguling</t>
        </is>
      </c>
    </row>
    <row r="36510" spans="1:1">
      <c r="A36510" t="inlineStr">
        <is>
          <t>Malalag</t>
        </is>
      </c>
    </row>
    <row r="36511" spans="1:1">
      <c r="A36511" t="inlineStr">
        <is>
          <t>Mindupok</t>
        </is>
      </c>
    </row>
    <row r="36512" spans="1:1">
      <c r="A36512" t="inlineStr">
        <is>
          <t>New La Union</t>
        </is>
      </c>
    </row>
    <row r="36513" spans="1:1">
      <c r="A36513" t="inlineStr">
        <is>
          <t>Old Poblacion</t>
        </is>
      </c>
    </row>
    <row r="36514" spans="1:1">
      <c r="A36514" t="inlineStr">
        <is>
          <t>Pangi</t>
        </is>
      </c>
    </row>
    <row r="36515" spans="1:1">
      <c r="A36515" t="inlineStr">
        <is>
          <t>Pinol</t>
        </is>
      </c>
    </row>
    <row r="36516" spans="1:1">
      <c r="A36516" t="inlineStr">
        <is>
          <t>Sison</t>
        </is>
      </c>
    </row>
    <row r="36517" spans="1:1">
      <c r="A36517" t="inlineStr">
        <is>
          <t>Ticulab</t>
        </is>
      </c>
    </row>
    <row r="36518" spans="1:1">
      <c r="A36518" t="inlineStr">
        <is>
          <t>Tuanadatu</t>
        </is>
      </c>
    </row>
    <row r="36519" spans="1:1">
      <c r="A36519" t="inlineStr">
        <is>
          <t>Upo</t>
        </is>
      </c>
    </row>
    <row r="36520" spans="1:1">
      <c r="A36520" t="inlineStr">
        <is>
          <t>Wali</t>
        </is>
      </c>
    </row>
    <row r="36521" spans="1:1">
      <c r="A36521" t="inlineStr">
        <is>
          <t>Zion</t>
        </is>
      </c>
    </row>
    <row r="36522" spans="1:1">
      <c r="A36522" t="inlineStr">
        <is>
          <t>Daan Suyan</t>
        </is>
      </c>
    </row>
    <row r="36523" spans="1:1">
      <c r="A36523" t="inlineStr">
        <is>
          <t>Kihan</t>
        </is>
      </c>
    </row>
    <row r="36524" spans="1:1">
      <c r="A36524" t="inlineStr">
        <is>
          <t>Kinam</t>
        </is>
      </c>
    </row>
    <row r="36525" spans="1:1">
      <c r="A36525" t="inlineStr">
        <is>
          <t>Libi</t>
        </is>
      </c>
    </row>
    <row r="36526" spans="1:1">
      <c r="A36526" t="inlineStr">
        <is>
          <t>Lun Masla</t>
        </is>
      </c>
    </row>
    <row r="36527" spans="1:1">
      <c r="A36527" t="inlineStr">
        <is>
          <t>Lun Padidu</t>
        </is>
      </c>
    </row>
    <row r="36528" spans="1:1">
      <c r="A36528" t="inlineStr">
        <is>
          <t>Patag</t>
        </is>
      </c>
    </row>
    <row r="36529" spans="1:1">
      <c r="A36529" t="inlineStr">
        <is>
          <t>Poblacion</t>
        </is>
      </c>
    </row>
    <row r="36530" spans="1:1">
      <c r="A36530" t="inlineStr">
        <is>
          <t>Sapu Masla</t>
        </is>
      </c>
    </row>
    <row r="36531" spans="1:1">
      <c r="A36531" t="inlineStr">
        <is>
          <t>Sapu Padidu</t>
        </is>
      </c>
    </row>
    <row r="36532" spans="1:1">
      <c r="A36532" t="inlineStr">
        <is>
          <t>Tuyan</t>
        </is>
      </c>
    </row>
    <row r="36533" spans="1:1">
      <c r="A36533" t="inlineStr">
        <is>
          <t>Upper Suyan</t>
        </is>
      </c>
    </row>
    <row r="36534" spans="1:1">
      <c r="A36534" t="inlineStr">
        <is>
          <t>Alkikan</t>
        </is>
      </c>
    </row>
    <row r="36535" spans="1:1">
      <c r="A36535" t="inlineStr">
        <is>
          <t>Ampon</t>
        </is>
      </c>
    </row>
    <row r="36536" spans="1:1">
      <c r="A36536" t="inlineStr">
        <is>
          <t>Atlae</t>
        </is>
      </c>
    </row>
    <row r="36537" spans="1:1">
      <c r="A36537" t="inlineStr">
        <is>
          <t>B'Laan</t>
        </is>
      </c>
    </row>
    <row r="36538" spans="1:1">
      <c r="A36538" t="inlineStr">
        <is>
          <t>Banahaw</t>
        </is>
      </c>
    </row>
    <row r="36539" spans="1:1">
      <c r="A36539" t="inlineStr">
        <is>
          <t>Banate</t>
        </is>
      </c>
    </row>
    <row r="36540" spans="1:1">
      <c r="A36540" t="inlineStr">
        <is>
          <t>Datal Batong</t>
        </is>
      </c>
    </row>
    <row r="36541" spans="1:1">
      <c r="A36541" t="inlineStr">
        <is>
          <t>Datal Bila</t>
        </is>
      </c>
    </row>
    <row r="36542" spans="1:1">
      <c r="A36542" t="inlineStr">
        <is>
          <t>Datal Tampal</t>
        </is>
      </c>
    </row>
    <row r="36543" spans="1:1">
      <c r="A36543" t="inlineStr">
        <is>
          <t>J.P. Laurel</t>
        </is>
      </c>
    </row>
    <row r="36544" spans="1:1">
      <c r="A36544" t="inlineStr">
        <is>
          <t>Kawayan</t>
        </is>
      </c>
    </row>
    <row r="36545" spans="1:1">
      <c r="A36545" t="inlineStr">
        <is>
          <t>Kibala</t>
        </is>
      </c>
    </row>
    <row r="36546" spans="1:1">
      <c r="A36546" t="inlineStr">
        <is>
          <t>Kiblat</t>
        </is>
      </c>
    </row>
    <row r="36547" spans="1:1">
      <c r="A36547" t="inlineStr">
        <is>
          <t>Kinabalan</t>
        </is>
      </c>
    </row>
    <row r="36548" spans="1:1">
      <c r="A36548" t="inlineStr">
        <is>
          <t>Lower Mainit</t>
        </is>
      </c>
    </row>
    <row r="36549" spans="1:1">
      <c r="A36549" t="inlineStr">
        <is>
          <t>Lutay</t>
        </is>
      </c>
    </row>
    <row r="36550" spans="1:1">
      <c r="A36550" t="inlineStr">
        <is>
          <t>Malabod</t>
        </is>
      </c>
    </row>
    <row r="36551" spans="1:1">
      <c r="A36551" t="inlineStr">
        <is>
          <t>Malalag Cogon</t>
        </is>
      </c>
    </row>
    <row r="36552" spans="1:1">
      <c r="A36552" t="inlineStr">
        <is>
          <t>Malandag</t>
        </is>
      </c>
    </row>
    <row r="36553" spans="1:1">
      <c r="A36553" t="inlineStr">
        <is>
          <t>Malungon Gamay</t>
        </is>
      </c>
    </row>
    <row r="36554" spans="1:1">
      <c r="A36554" t="inlineStr">
        <is>
          <t>Nagpan</t>
        </is>
      </c>
    </row>
    <row r="36555" spans="1:1">
      <c r="A36555" t="inlineStr">
        <is>
          <t>Panamin</t>
        </is>
      </c>
    </row>
    <row r="36556" spans="1:1">
      <c r="A36556" t="inlineStr">
        <is>
          <t>Poblacion</t>
        </is>
      </c>
    </row>
    <row r="36557" spans="1:1">
      <c r="A36557" t="inlineStr">
        <is>
          <t>San Juan</t>
        </is>
      </c>
    </row>
    <row r="36558" spans="1:1">
      <c r="A36558" t="inlineStr">
        <is>
          <t>San Miguel</t>
        </is>
      </c>
    </row>
    <row r="36559" spans="1:1">
      <c r="A36559" t="inlineStr">
        <is>
          <t>San Roque</t>
        </is>
      </c>
    </row>
    <row r="36560" spans="1:1">
      <c r="A36560" t="inlineStr">
        <is>
          <t>Talus</t>
        </is>
      </c>
    </row>
    <row r="36561" spans="1:1">
      <c r="A36561" t="inlineStr">
        <is>
          <t>Tamban</t>
        </is>
      </c>
    </row>
    <row r="36562" spans="1:1">
      <c r="A36562" t="inlineStr">
        <is>
          <t>Upper Biangan</t>
        </is>
      </c>
    </row>
    <row r="36563" spans="1:1">
      <c r="A36563" t="inlineStr">
        <is>
          <t>Upper Lumabat</t>
        </is>
      </c>
    </row>
    <row r="36564" spans="1:1">
      <c r="A36564" t="inlineStr">
        <is>
          <t>Upper Mainit</t>
        </is>
      </c>
    </row>
    <row r="36565" spans="1:1">
      <c r="A36565" t="inlineStr">
        <is>
          <t>Balolong</t>
        </is>
      </c>
    </row>
    <row r="36566" spans="1:1">
      <c r="A36566" t="inlineStr">
        <is>
          <t>Bino-ongan</t>
        </is>
      </c>
    </row>
    <row r="36567" spans="1:1">
      <c r="A36567" t="inlineStr">
        <is>
          <t>Bitaug</t>
        </is>
      </c>
    </row>
    <row r="36568" spans="1:1">
      <c r="A36568" t="inlineStr">
        <is>
          <t>Bolot</t>
        </is>
      </c>
    </row>
    <row r="36569" spans="1:1">
      <c r="A36569" t="inlineStr">
        <is>
          <t>Camogao</t>
        </is>
      </c>
    </row>
    <row r="36570" spans="1:1">
      <c r="A36570" t="inlineStr">
        <is>
          <t>Cangmangki</t>
        </is>
      </c>
    </row>
    <row r="36571" spans="1:1">
      <c r="A36571" t="inlineStr">
        <is>
          <t>Libo</t>
        </is>
      </c>
    </row>
    <row r="36572" spans="1:1">
      <c r="A36572" t="inlineStr">
        <is>
          <t>Lomangcapan</t>
        </is>
      </c>
    </row>
    <row r="36573" spans="1:1">
      <c r="A36573" t="inlineStr">
        <is>
          <t>Lotloton</t>
        </is>
      </c>
    </row>
    <row r="36574" spans="1:1">
      <c r="A36574" t="inlineStr">
        <is>
          <t>Manan-ao</t>
        </is>
      </c>
    </row>
    <row r="36575" spans="1:1">
      <c r="A36575" t="inlineStr">
        <is>
          <t>Olave</t>
        </is>
      </c>
    </row>
    <row r="36576" spans="1:1">
      <c r="A36576" t="inlineStr">
        <is>
          <t>Parian</t>
        </is>
      </c>
    </row>
    <row r="36577" spans="1:1">
      <c r="A36577" t="inlineStr">
        <is>
          <t>Poblacion</t>
        </is>
      </c>
    </row>
    <row r="36578" spans="1:1">
      <c r="A36578" t="inlineStr">
        <is>
          <t>Tulapos</t>
        </is>
      </c>
    </row>
    <row r="36579" spans="1:1">
      <c r="A36579" t="inlineStr">
        <is>
          <t>Bagacay</t>
        </is>
      </c>
    </row>
    <row r="36580" spans="1:1">
      <c r="A36580" t="inlineStr">
        <is>
          <t>Balolang</t>
        </is>
      </c>
    </row>
    <row r="36581" spans="1:1">
      <c r="A36581" t="inlineStr">
        <is>
          <t>Basac</t>
        </is>
      </c>
    </row>
    <row r="36582" spans="1:1">
      <c r="A36582" t="inlineStr">
        <is>
          <t>Bintangan</t>
        </is>
      </c>
    </row>
    <row r="36583" spans="1:1">
      <c r="A36583" t="inlineStr">
        <is>
          <t>Bontod</t>
        </is>
      </c>
    </row>
    <row r="36584" spans="1:1">
      <c r="A36584" t="inlineStr">
        <is>
          <t>Cabulihan</t>
        </is>
      </c>
    </row>
    <row r="36585" spans="1:1">
      <c r="A36585" t="inlineStr">
        <is>
          <t>Calunasan</t>
        </is>
      </c>
    </row>
    <row r="36586" spans="1:1">
      <c r="A36586" t="inlineStr">
        <is>
          <t>Candigum</t>
        </is>
      </c>
    </row>
    <row r="36587" spans="1:1">
      <c r="A36587" t="inlineStr">
        <is>
          <t>Cang-allas</t>
        </is>
      </c>
    </row>
    <row r="36588" spans="1:1">
      <c r="A36588" t="inlineStr">
        <is>
          <t>Cang-apa</t>
        </is>
      </c>
    </row>
    <row r="36589" spans="1:1">
      <c r="A36589" t="inlineStr">
        <is>
          <t>Cangbagsa</t>
        </is>
      </c>
    </row>
    <row r="36590" spans="1:1">
      <c r="A36590" t="inlineStr">
        <is>
          <t>Cangmalalag</t>
        </is>
      </c>
    </row>
    <row r="36591" spans="1:1">
      <c r="A36591" t="inlineStr">
        <is>
          <t>Canlambo</t>
        </is>
      </c>
    </row>
    <row r="36592" spans="1:1">
      <c r="A36592" t="inlineStr">
        <is>
          <t>Canlasog</t>
        </is>
      </c>
    </row>
    <row r="36593" spans="1:1">
      <c r="A36593" t="inlineStr">
        <is>
          <t>Catamboan</t>
        </is>
      </c>
    </row>
    <row r="36594" spans="1:1">
      <c r="A36594" t="inlineStr">
        <is>
          <t>Helen</t>
        </is>
      </c>
    </row>
    <row r="36595" spans="1:1">
      <c r="A36595" t="inlineStr">
        <is>
          <t>Nonoc</t>
        </is>
      </c>
    </row>
    <row r="36596" spans="1:1">
      <c r="A36596" t="inlineStr">
        <is>
          <t>North Poblacion</t>
        </is>
      </c>
    </row>
    <row r="36597" spans="1:1">
      <c r="A36597" t="inlineStr">
        <is>
          <t>Ponong</t>
        </is>
      </c>
    </row>
    <row r="36598" spans="1:1">
      <c r="A36598" t="inlineStr">
        <is>
          <t>Sabang</t>
        </is>
      </c>
    </row>
    <row r="36599" spans="1:1">
      <c r="A36599" t="inlineStr">
        <is>
          <t>Sandugan</t>
        </is>
      </c>
    </row>
    <row r="36600" spans="1:1">
      <c r="A36600" t="inlineStr">
        <is>
          <t>South Poblacion</t>
        </is>
      </c>
    </row>
    <row r="36601" spans="1:1">
      <c r="A36601" t="inlineStr">
        <is>
          <t>Taculing</t>
        </is>
      </c>
    </row>
    <row r="36602" spans="1:1">
      <c r="A36602" t="inlineStr">
        <is>
          <t>Campalanas</t>
        </is>
      </c>
    </row>
    <row r="36603" spans="1:1">
      <c r="A36603" t="inlineStr">
        <is>
          <t>Cangclaran</t>
        </is>
      </c>
    </row>
    <row r="36604" spans="1:1">
      <c r="A36604" t="inlineStr">
        <is>
          <t>Cangomantong</t>
        </is>
      </c>
    </row>
    <row r="36605" spans="1:1">
      <c r="A36605" t="inlineStr">
        <is>
          <t>Capalasanan</t>
        </is>
      </c>
    </row>
    <row r="36606" spans="1:1">
      <c r="A36606" t="inlineStr">
        <is>
          <t>Catamboan</t>
        </is>
      </c>
    </row>
    <row r="36607" spans="1:1">
      <c r="A36607" t="inlineStr">
        <is>
          <t>Gabayan</t>
        </is>
      </c>
    </row>
    <row r="36608" spans="1:1">
      <c r="A36608" t="inlineStr">
        <is>
          <t>Kimba</t>
        </is>
      </c>
    </row>
    <row r="36609" spans="1:1">
      <c r="A36609" t="inlineStr">
        <is>
          <t>Kinamandagan</t>
        </is>
      </c>
    </row>
    <row r="36610" spans="1:1">
      <c r="A36610" t="inlineStr">
        <is>
          <t>Lower Cabangcalan</t>
        </is>
      </c>
    </row>
    <row r="36611" spans="1:1">
      <c r="A36611" t="inlineStr">
        <is>
          <t>Nagerong</t>
        </is>
      </c>
    </row>
    <row r="36612" spans="1:1">
      <c r="A36612" t="inlineStr">
        <is>
          <t>Po-o</t>
        </is>
      </c>
    </row>
    <row r="36613" spans="1:1">
      <c r="A36613" t="inlineStr">
        <is>
          <t>Simacolong</t>
        </is>
      </c>
    </row>
    <row r="36614" spans="1:1">
      <c r="A36614" t="inlineStr">
        <is>
          <t>Tagmanocan</t>
        </is>
      </c>
    </row>
    <row r="36615" spans="1:1">
      <c r="A36615" t="inlineStr">
        <is>
          <t>Talayong</t>
        </is>
      </c>
    </row>
    <row r="36616" spans="1:1">
      <c r="A36616" t="inlineStr">
        <is>
          <t>Tigbawan</t>
        </is>
      </c>
    </row>
    <row r="36617" spans="1:1">
      <c r="A36617" t="inlineStr">
        <is>
          <t>Tignao</t>
        </is>
      </c>
    </row>
    <row r="36618" spans="1:1">
      <c r="A36618" t="inlineStr">
        <is>
          <t>Upper Cabangcalan</t>
        </is>
      </c>
    </row>
    <row r="36619" spans="1:1">
      <c r="A36619" t="inlineStr">
        <is>
          <t>Ytaya</t>
        </is>
      </c>
    </row>
    <row r="36620" spans="1:1">
      <c r="A36620" t="inlineStr">
        <is>
          <t>Bogo</t>
        </is>
      </c>
    </row>
    <row r="36621" spans="1:1">
      <c r="A36621" t="inlineStr">
        <is>
          <t>Bonga</t>
        </is>
      </c>
    </row>
    <row r="36622" spans="1:1">
      <c r="A36622" t="inlineStr">
        <is>
          <t>Cabal-asan</t>
        </is>
      </c>
    </row>
    <row r="36623" spans="1:1">
      <c r="A36623" t="inlineStr">
        <is>
          <t>Calunasan</t>
        </is>
      </c>
    </row>
    <row r="36624" spans="1:1">
      <c r="A36624" t="inlineStr">
        <is>
          <t>Candaping A</t>
        </is>
      </c>
    </row>
    <row r="36625" spans="1:1">
      <c r="A36625" t="inlineStr">
        <is>
          <t>Candaping B</t>
        </is>
      </c>
    </row>
    <row r="36626" spans="1:1">
      <c r="A36626" t="inlineStr">
        <is>
          <t>Cantaroc A</t>
        </is>
      </c>
    </row>
    <row r="36627" spans="1:1">
      <c r="A36627" t="inlineStr">
        <is>
          <t>Cantaroc B</t>
        </is>
      </c>
    </row>
    <row r="36628" spans="1:1">
      <c r="A36628" t="inlineStr">
        <is>
          <t>Cantugbas</t>
        </is>
      </c>
    </row>
    <row r="36629" spans="1:1">
      <c r="A36629" t="inlineStr">
        <is>
          <t>Lico-an</t>
        </is>
      </c>
    </row>
    <row r="36630" spans="1:1">
      <c r="A36630" t="inlineStr">
        <is>
          <t>Lilo-an</t>
        </is>
      </c>
    </row>
    <row r="36631" spans="1:1">
      <c r="A36631" t="inlineStr">
        <is>
          <t>Logucan</t>
        </is>
      </c>
    </row>
    <row r="36632" spans="1:1">
      <c r="A36632" t="inlineStr">
        <is>
          <t>Looc</t>
        </is>
      </c>
    </row>
    <row r="36633" spans="1:1">
      <c r="A36633" t="inlineStr">
        <is>
          <t>Minalulan</t>
        </is>
      </c>
    </row>
    <row r="36634" spans="1:1">
      <c r="A36634" t="inlineStr">
        <is>
          <t>Nabutay</t>
        </is>
      </c>
    </row>
    <row r="36635" spans="1:1">
      <c r="A36635" t="inlineStr">
        <is>
          <t>Olang</t>
        </is>
      </c>
    </row>
    <row r="36636" spans="1:1">
      <c r="A36636" t="inlineStr">
        <is>
          <t>Pisong A</t>
        </is>
      </c>
    </row>
    <row r="36637" spans="1:1">
      <c r="A36637" t="inlineStr">
        <is>
          <t>Pisong B</t>
        </is>
      </c>
    </row>
    <row r="36638" spans="1:1">
      <c r="A36638" t="inlineStr">
        <is>
          <t>Poblacion Norte</t>
        </is>
      </c>
    </row>
    <row r="36639" spans="1:1">
      <c r="A36639" t="inlineStr">
        <is>
          <t>Poblacion Sur</t>
        </is>
      </c>
    </row>
    <row r="36640" spans="1:1">
      <c r="A36640" t="inlineStr">
        <is>
          <t>Saguing</t>
        </is>
      </c>
    </row>
    <row r="36641" spans="1:1">
      <c r="A36641" t="inlineStr">
        <is>
          <t>Sawang</t>
        </is>
      </c>
    </row>
    <row r="36642" spans="1:1">
      <c r="A36642" t="inlineStr">
        <is>
          <t>Canasagan</t>
        </is>
      </c>
    </row>
    <row r="36643" spans="1:1">
      <c r="A36643" t="inlineStr">
        <is>
          <t>Candura</t>
        </is>
      </c>
    </row>
    <row r="36644" spans="1:1">
      <c r="A36644" t="inlineStr">
        <is>
          <t>Cangmunag</t>
        </is>
      </c>
    </row>
    <row r="36645" spans="1:1">
      <c r="A36645" t="inlineStr">
        <is>
          <t>Cansayang</t>
        </is>
      </c>
    </row>
    <row r="36646" spans="1:1">
      <c r="A36646" t="inlineStr">
        <is>
          <t>Catulayan</t>
        </is>
      </c>
    </row>
    <row r="36647" spans="1:1">
      <c r="A36647" t="inlineStr">
        <is>
          <t>Lala-o</t>
        </is>
      </c>
    </row>
    <row r="36648" spans="1:1">
      <c r="A36648" t="inlineStr">
        <is>
          <t>Maite</t>
        </is>
      </c>
    </row>
    <row r="36649" spans="1:1">
      <c r="A36649" t="inlineStr">
        <is>
          <t>Napo</t>
        </is>
      </c>
    </row>
    <row r="36650" spans="1:1">
      <c r="A36650" t="inlineStr">
        <is>
          <t>Paliton</t>
        </is>
      </c>
    </row>
    <row r="36651" spans="1:1">
      <c r="A36651" t="inlineStr">
        <is>
          <t>Poblacion</t>
        </is>
      </c>
    </row>
    <row r="36652" spans="1:1">
      <c r="A36652" t="inlineStr">
        <is>
          <t>Solangon</t>
        </is>
      </c>
    </row>
    <row r="36653" spans="1:1">
      <c r="A36653" t="inlineStr">
        <is>
          <t>Tag-ibo</t>
        </is>
      </c>
    </row>
    <row r="36654" spans="1:1">
      <c r="A36654" t="inlineStr">
        <is>
          <t>Tambisan</t>
        </is>
      </c>
    </row>
    <row r="36655" spans="1:1">
      <c r="A36655" t="inlineStr">
        <is>
          <t>Timbaon</t>
        </is>
      </c>
    </row>
    <row r="36656" spans="1:1">
      <c r="A36656" t="inlineStr">
        <is>
          <t>Tubod</t>
        </is>
      </c>
    </row>
    <row r="36657" spans="1:1">
      <c r="A36657" t="inlineStr">
        <is>
          <t>Banban</t>
        </is>
      </c>
    </row>
    <row r="36658" spans="1:1">
      <c r="A36658" t="inlineStr">
        <is>
          <t>Bolos</t>
        </is>
      </c>
    </row>
    <row r="36659" spans="1:1">
      <c r="A36659" t="inlineStr">
        <is>
          <t>Caipilan</t>
        </is>
      </c>
    </row>
    <row r="36660" spans="1:1">
      <c r="A36660" t="inlineStr">
        <is>
          <t>Caitican</t>
        </is>
      </c>
    </row>
    <row r="36661" spans="1:1">
      <c r="A36661" t="inlineStr">
        <is>
          <t>Calalinan</t>
        </is>
      </c>
    </row>
    <row r="36662" spans="1:1">
      <c r="A36662" t="inlineStr">
        <is>
          <t>Canal</t>
        </is>
      </c>
    </row>
    <row r="36663" spans="1:1">
      <c r="A36663" t="inlineStr">
        <is>
          <t>Candanay Norte</t>
        </is>
      </c>
    </row>
    <row r="36664" spans="1:1">
      <c r="A36664" t="inlineStr">
        <is>
          <t>Candanay Sur</t>
        </is>
      </c>
    </row>
    <row r="36665" spans="1:1">
      <c r="A36665" t="inlineStr">
        <is>
          <t>Cang-adieng</t>
        </is>
      </c>
    </row>
    <row r="36666" spans="1:1">
      <c r="A36666" t="inlineStr">
        <is>
          <t>Cang-agong</t>
        </is>
      </c>
    </row>
    <row r="36667" spans="1:1">
      <c r="A36667" t="inlineStr">
        <is>
          <t>Cang-alwang</t>
        </is>
      </c>
    </row>
    <row r="36668" spans="1:1">
      <c r="A36668" t="inlineStr">
        <is>
          <t>Cang-asa</t>
        </is>
      </c>
    </row>
    <row r="36669" spans="1:1">
      <c r="A36669" t="inlineStr">
        <is>
          <t>Cang-atuyom</t>
        </is>
      </c>
    </row>
    <row r="36670" spans="1:1">
      <c r="A36670" t="inlineStr">
        <is>
          <t>Cang-inte</t>
        </is>
      </c>
    </row>
    <row r="36671" spans="1:1">
      <c r="A36671" t="inlineStr">
        <is>
          <t>Cang-isad</t>
        </is>
      </c>
    </row>
    <row r="36672" spans="1:1">
      <c r="A36672" t="inlineStr">
        <is>
          <t>Canghunoghunog</t>
        </is>
      </c>
    </row>
    <row r="36673" spans="1:1">
      <c r="A36673" t="inlineStr">
        <is>
          <t>Cangmatnog</t>
        </is>
      </c>
    </row>
    <row r="36674" spans="1:1">
      <c r="A36674" t="inlineStr">
        <is>
          <t>Cangmohao</t>
        </is>
      </c>
    </row>
    <row r="36675" spans="1:1">
      <c r="A36675" t="inlineStr">
        <is>
          <t>Cantabon</t>
        </is>
      </c>
    </row>
    <row r="36676" spans="1:1">
      <c r="A36676" t="inlineStr">
        <is>
          <t>Caticugan</t>
        </is>
      </c>
    </row>
    <row r="36677" spans="1:1">
      <c r="A36677" t="inlineStr">
        <is>
          <t>Dumanhog</t>
        </is>
      </c>
    </row>
    <row r="36678" spans="1:1">
      <c r="A36678" t="inlineStr">
        <is>
          <t>Ibabao</t>
        </is>
      </c>
    </row>
    <row r="36679" spans="1:1">
      <c r="A36679" t="inlineStr">
        <is>
          <t>Lambojon</t>
        </is>
      </c>
    </row>
    <row r="36680" spans="1:1">
      <c r="A36680" t="inlineStr">
        <is>
          <t>Luyang</t>
        </is>
      </c>
    </row>
    <row r="36681" spans="1:1">
      <c r="A36681" t="inlineStr">
        <is>
          <t>Luzong</t>
        </is>
      </c>
    </row>
    <row r="36682" spans="1:1">
      <c r="A36682" t="inlineStr">
        <is>
          <t>Olo</t>
        </is>
      </c>
    </row>
    <row r="36683" spans="1:1">
      <c r="A36683" t="inlineStr">
        <is>
          <t>Pangi</t>
        </is>
      </c>
    </row>
    <row r="36684" spans="1:1">
      <c r="A36684" t="inlineStr">
        <is>
          <t>Panlautan</t>
        </is>
      </c>
    </row>
    <row r="36685" spans="1:1">
      <c r="A36685" t="inlineStr">
        <is>
          <t>Pasihagon</t>
        </is>
      </c>
    </row>
    <row r="36686" spans="1:1">
      <c r="A36686" t="inlineStr">
        <is>
          <t>Pili</t>
        </is>
      </c>
    </row>
    <row r="36687" spans="1:1">
      <c r="A36687" t="inlineStr">
        <is>
          <t>Poblacion</t>
        </is>
      </c>
    </row>
    <row r="36688" spans="1:1">
      <c r="A36688" t="inlineStr">
        <is>
          <t>Polangyuta</t>
        </is>
      </c>
    </row>
    <row r="36689" spans="1:1">
      <c r="A36689" t="inlineStr">
        <is>
          <t>Ponong</t>
        </is>
      </c>
    </row>
    <row r="36690" spans="1:1">
      <c r="A36690" t="inlineStr">
        <is>
          <t>Sabang</t>
        </is>
      </c>
    </row>
    <row r="36691" spans="1:1">
      <c r="A36691" t="inlineStr">
        <is>
          <t>San Antonio</t>
        </is>
      </c>
    </row>
    <row r="36692" spans="1:1">
      <c r="A36692" t="inlineStr">
        <is>
          <t>Songculan</t>
        </is>
      </c>
    </row>
    <row r="36693" spans="1:1">
      <c r="A36693" t="inlineStr">
        <is>
          <t>Tacdog</t>
        </is>
      </c>
    </row>
    <row r="36694" spans="1:1">
      <c r="A36694" t="inlineStr">
        <is>
          <t>Tacloban</t>
        </is>
      </c>
    </row>
    <row r="36695" spans="1:1">
      <c r="A36695" t="inlineStr">
        <is>
          <t>Tambisan</t>
        </is>
      </c>
    </row>
    <row r="36696" spans="1:1">
      <c r="A36696" t="inlineStr">
        <is>
          <t>Tebjong</t>
        </is>
      </c>
    </row>
    <row r="36697" spans="1:1">
      <c r="A36697" t="inlineStr">
        <is>
          <t>Tinago</t>
        </is>
      </c>
    </row>
    <row r="36698" spans="1:1">
      <c r="A36698" t="inlineStr">
        <is>
          <t>Tongo</t>
        </is>
      </c>
    </row>
    <row r="36699" spans="1:1">
      <c r="A36699" t="inlineStr">
        <is>
          <t>Alegria</t>
        </is>
      </c>
    </row>
    <row r="36700" spans="1:1">
      <c r="A36700" t="inlineStr">
        <is>
          <t>Bagacay</t>
        </is>
      </c>
    </row>
    <row r="36701" spans="1:1">
      <c r="A36701" t="inlineStr">
        <is>
          <t>Bangate</t>
        </is>
      </c>
    </row>
    <row r="36702" spans="1:1">
      <c r="A36702" t="inlineStr">
        <is>
          <t>Bugtong</t>
        </is>
      </c>
    </row>
    <row r="36703" spans="1:1">
      <c r="A36703" t="inlineStr">
        <is>
          <t>Cagang</t>
        </is>
      </c>
    </row>
    <row r="36704" spans="1:1">
      <c r="A36704" t="inlineStr">
        <is>
          <t>Fabrica</t>
        </is>
      </c>
    </row>
    <row r="36705" spans="1:1">
      <c r="A36705" t="inlineStr">
        <is>
          <t>Jibong</t>
        </is>
      </c>
    </row>
    <row r="36706" spans="1:1">
      <c r="A36706" t="inlineStr">
        <is>
          <t>Lago</t>
        </is>
      </c>
    </row>
    <row r="36707" spans="1:1">
      <c r="A36707" t="inlineStr">
        <is>
          <t>Layog</t>
        </is>
      </c>
    </row>
    <row r="36708" spans="1:1">
      <c r="A36708" t="inlineStr">
        <is>
          <t>Luneta</t>
        </is>
      </c>
    </row>
    <row r="36709" spans="1:1">
      <c r="A36709" t="inlineStr">
        <is>
          <t>Macabari</t>
        </is>
      </c>
    </row>
    <row r="36710" spans="1:1">
      <c r="A36710" t="inlineStr">
        <is>
          <t>Mapapac</t>
        </is>
      </c>
    </row>
    <row r="36711" spans="1:1">
      <c r="A36711" t="inlineStr">
        <is>
          <t>Olandia</t>
        </is>
      </c>
    </row>
    <row r="36712" spans="1:1">
      <c r="A36712" t="inlineStr">
        <is>
          <t>Paghaluban</t>
        </is>
      </c>
    </row>
    <row r="36713" spans="1:1">
      <c r="A36713" t="inlineStr">
        <is>
          <t>Poblacion Central</t>
        </is>
      </c>
    </row>
    <row r="36714" spans="1:1">
      <c r="A36714" t="inlineStr">
        <is>
          <t>Poblacion Norte</t>
        </is>
      </c>
    </row>
    <row r="36715" spans="1:1">
      <c r="A36715" t="inlineStr">
        <is>
          <t>Poblacion Sur</t>
        </is>
      </c>
    </row>
    <row r="36716" spans="1:1">
      <c r="A36716" t="inlineStr">
        <is>
          <t>Putiao</t>
        </is>
      </c>
    </row>
    <row r="36717" spans="1:1">
      <c r="A36717" t="inlineStr">
        <is>
          <t>San Antonio</t>
        </is>
      </c>
    </row>
    <row r="36718" spans="1:1">
      <c r="A36718" t="inlineStr">
        <is>
          <t>San Isidro</t>
        </is>
      </c>
    </row>
    <row r="36719" spans="1:1">
      <c r="A36719" t="inlineStr">
        <is>
          <t>San Ramon</t>
        </is>
      </c>
    </row>
    <row r="36720" spans="1:1">
      <c r="A36720" t="inlineStr">
        <is>
          <t>San Vicente</t>
        </is>
      </c>
    </row>
    <row r="36721" spans="1:1">
      <c r="A36721" t="inlineStr">
        <is>
          <t>Santa Cruz</t>
        </is>
      </c>
    </row>
    <row r="36722" spans="1:1">
      <c r="A36722" t="inlineStr">
        <is>
          <t>Santa Lourdes</t>
        </is>
      </c>
    </row>
    <row r="36723" spans="1:1">
      <c r="A36723" t="inlineStr">
        <is>
          <t>Tagdon</t>
        </is>
      </c>
    </row>
    <row r="36724" spans="1:1">
      <c r="A36724" t="inlineStr">
        <is>
          <t>A. Bonifacio</t>
        </is>
      </c>
    </row>
    <row r="36725" spans="1:1">
      <c r="A36725" t="inlineStr">
        <is>
          <t>Abad Santos</t>
        </is>
      </c>
    </row>
    <row r="36726" spans="1:1">
      <c r="A36726" t="inlineStr">
        <is>
          <t>Aguinaldo</t>
        </is>
      </c>
    </row>
    <row r="36727" spans="1:1">
      <c r="A36727" t="inlineStr">
        <is>
          <t>Antipolo</t>
        </is>
      </c>
    </row>
    <row r="36728" spans="1:1">
      <c r="A36728" t="inlineStr">
        <is>
          <t>Beguin</t>
        </is>
      </c>
    </row>
    <row r="36729" spans="1:1">
      <c r="A36729" t="inlineStr">
        <is>
          <t>Benigno S. Aquino</t>
        </is>
      </c>
    </row>
    <row r="36730" spans="1:1">
      <c r="A36730" t="inlineStr">
        <is>
          <t>Bical</t>
        </is>
      </c>
    </row>
    <row r="36731" spans="1:1">
      <c r="A36731" t="inlineStr">
        <is>
          <t>Bonga</t>
        </is>
      </c>
    </row>
    <row r="36732" spans="1:1">
      <c r="A36732" t="inlineStr">
        <is>
          <t>Butag</t>
        </is>
      </c>
    </row>
    <row r="36733" spans="1:1">
      <c r="A36733" t="inlineStr">
        <is>
          <t>Cadandanan</t>
        </is>
      </c>
    </row>
    <row r="36734" spans="1:1">
      <c r="A36734" t="inlineStr">
        <is>
          <t>Calomagon</t>
        </is>
      </c>
    </row>
    <row r="36735" spans="1:1">
      <c r="A36735" t="inlineStr">
        <is>
          <t>Calpi</t>
        </is>
      </c>
    </row>
    <row r="36736" spans="1:1">
      <c r="A36736" t="inlineStr">
        <is>
          <t>Cocok-Cabitan</t>
        </is>
      </c>
    </row>
    <row r="36737" spans="1:1">
      <c r="A36737" t="inlineStr">
        <is>
          <t>Daganas</t>
        </is>
      </c>
    </row>
    <row r="36738" spans="1:1">
      <c r="A36738" t="inlineStr">
        <is>
          <t>Danao</t>
        </is>
      </c>
    </row>
    <row r="36739" spans="1:1">
      <c r="A36739" t="inlineStr">
        <is>
          <t>Dolos</t>
        </is>
      </c>
    </row>
    <row r="36740" spans="1:1">
      <c r="A36740" t="inlineStr">
        <is>
          <t>E. Quirino</t>
        </is>
      </c>
    </row>
    <row r="36741" spans="1:1">
      <c r="A36741" t="inlineStr">
        <is>
          <t>Fabrica</t>
        </is>
      </c>
    </row>
    <row r="36742" spans="1:1">
      <c r="A36742" t="inlineStr">
        <is>
          <t>G. Del Pilar</t>
        </is>
      </c>
    </row>
    <row r="36743" spans="1:1">
      <c r="A36743" t="inlineStr">
        <is>
          <t>Gate</t>
        </is>
      </c>
    </row>
    <row r="36744" spans="1:1">
      <c r="A36744" t="inlineStr">
        <is>
          <t>Inararan</t>
        </is>
      </c>
    </row>
    <row r="36745" spans="1:1">
      <c r="A36745" t="inlineStr">
        <is>
          <t>J. Gerona</t>
        </is>
      </c>
    </row>
    <row r="36746" spans="1:1">
      <c r="A36746" t="inlineStr">
        <is>
          <t>J.P. Laurel</t>
        </is>
      </c>
    </row>
    <row r="36747" spans="1:1">
      <c r="A36747" t="inlineStr">
        <is>
          <t>Jamorawon</t>
        </is>
      </c>
    </row>
    <row r="36748" spans="1:1">
      <c r="A36748" t="inlineStr">
        <is>
          <t>Lajong</t>
        </is>
      </c>
    </row>
    <row r="36749" spans="1:1">
      <c r="A36749" t="inlineStr">
        <is>
          <t>Libertad</t>
        </is>
      </c>
    </row>
    <row r="36750" spans="1:1">
      <c r="A36750" t="inlineStr">
        <is>
          <t>M. Roxas</t>
        </is>
      </c>
    </row>
    <row r="36751" spans="1:1">
      <c r="A36751" t="inlineStr">
        <is>
          <t>Magsaysay</t>
        </is>
      </c>
    </row>
    <row r="36752" spans="1:1">
      <c r="A36752" t="inlineStr">
        <is>
          <t>Managanaga</t>
        </is>
      </c>
    </row>
    <row r="36753" spans="1:1">
      <c r="A36753" t="inlineStr">
        <is>
          <t>Marinab</t>
        </is>
      </c>
    </row>
    <row r="36754" spans="1:1">
      <c r="A36754" t="inlineStr">
        <is>
          <t>Montecalvario</t>
        </is>
      </c>
    </row>
    <row r="36755" spans="1:1">
      <c r="A36755" t="inlineStr">
        <is>
          <t>N. Roque</t>
        </is>
      </c>
    </row>
    <row r="36756" spans="1:1">
      <c r="A36756" t="inlineStr">
        <is>
          <t>Namo</t>
        </is>
      </c>
    </row>
    <row r="36757" spans="1:1">
      <c r="A36757" t="inlineStr">
        <is>
          <t>Nasuje</t>
        </is>
      </c>
    </row>
    <row r="36758" spans="1:1">
      <c r="A36758" t="inlineStr">
        <is>
          <t>Obrero</t>
        </is>
      </c>
    </row>
    <row r="36759" spans="1:1">
      <c r="A36759" t="inlineStr">
        <is>
          <t>Osmeña</t>
        </is>
      </c>
    </row>
    <row r="36760" spans="1:1">
      <c r="A36760" t="inlineStr">
        <is>
          <t>Otavi</t>
        </is>
      </c>
    </row>
    <row r="36761" spans="1:1">
      <c r="A36761" t="inlineStr">
        <is>
          <t>Padre Diaz</t>
        </is>
      </c>
    </row>
    <row r="36762" spans="1:1">
      <c r="A36762" t="inlineStr">
        <is>
          <t>Palale</t>
        </is>
      </c>
    </row>
    <row r="36763" spans="1:1">
      <c r="A36763" t="inlineStr">
        <is>
          <t>Quezon</t>
        </is>
      </c>
    </row>
    <row r="36764" spans="1:1">
      <c r="A36764" t="inlineStr">
        <is>
          <t>R. Gerona</t>
        </is>
      </c>
    </row>
    <row r="36765" spans="1:1">
      <c r="A36765" t="inlineStr">
        <is>
          <t>Recto</t>
        </is>
      </c>
    </row>
    <row r="36766" spans="1:1">
      <c r="A36766" t="inlineStr">
        <is>
          <t>Sagrada</t>
        </is>
      </c>
    </row>
    <row r="36767" spans="1:1">
      <c r="A36767" t="inlineStr">
        <is>
          <t>San Francisco</t>
        </is>
      </c>
    </row>
    <row r="36768" spans="1:1">
      <c r="A36768" t="inlineStr">
        <is>
          <t>San Isidro</t>
        </is>
      </c>
    </row>
    <row r="36769" spans="1:1">
      <c r="A36769" t="inlineStr">
        <is>
          <t>San Juan Bag-o</t>
        </is>
      </c>
    </row>
    <row r="36770" spans="1:1">
      <c r="A36770" t="inlineStr">
        <is>
          <t>San Juan Daan</t>
        </is>
      </c>
    </row>
    <row r="36771" spans="1:1">
      <c r="A36771" t="inlineStr">
        <is>
          <t>San Rafael</t>
        </is>
      </c>
    </row>
    <row r="36772" spans="1:1">
      <c r="A36772" t="inlineStr">
        <is>
          <t>San Ramon</t>
        </is>
      </c>
    </row>
    <row r="36773" spans="1:1">
      <c r="A36773" t="inlineStr">
        <is>
          <t>San Vicente</t>
        </is>
      </c>
    </row>
    <row r="36774" spans="1:1">
      <c r="A36774" t="inlineStr">
        <is>
          <t>Santa Remedios</t>
        </is>
      </c>
    </row>
    <row r="36775" spans="1:1">
      <c r="A36775" t="inlineStr">
        <is>
          <t>Santa Teresita</t>
        </is>
      </c>
    </row>
    <row r="36776" spans="1:1">
      <c r="A36776" t="inlineStr">
        <is>
          <t>Sigad</t>
        </is>
      </c>
    </row>
    <row r="36777" spans="1:1">
      <c r="A36777" t="inlineStr">
        <is>
          <t>Somagongsong</t>
        </is>
      </c>
    </row>
    <row r="36778" spans="1:1">
      <c r="A36778" t="inlineStr">
        <is>
          <t>Taromata</t>
        </is>
      </c>
    </row>
    <row r="36779" spans="1:1">
      <c r="A36779" t="inlineStr">
        <is>
          <t>Zone I Pob.</t>
        </is>
      </c>
    </row>
    <row r="36780" spans="1:1">
      <c r="A36780" t="inlineStr">
        <is>
          <t>Zone II Pob.</t>
        </is>
      </c>
    </row>
    <row r="36781" spans="1:1">
      <c r="A36781" t="inlineStr">
        <is>
          <t>Zone III Pob.</t>
        </is>
      </c>
    </row>
    <row r="36782" spans="1:1">
      <c r="A36782" t="inlineStr">
        <is>
          <t>Zone IV Pob.</t>
        </is>
      </c>
    </row>
    <row r="36783" spans="1:1">
      <c r="A36783" t="inlineStr">
        <is>
          <t>Zone V Pob.</t>
        </is>
      </c>
    </row>
    <row r="36784" spans="1:1">
      <c r="A36784" t="inlineStr">
        <is>
          <t>Zone VI Pob.</t>
        </is>
      </c>
    </row>
    <row r="36785" spans="1:1">
      <c r="A36785" t="inlineStr">
        <is>
          <t>Zone VII Pob.</t>
        </is>
      </c>
    </row>
    <row r="36786" spans="1:1">
      <c r="A36786" t="inlineStr">
        <is>
          <t>Zone VIII Pob.</t>
        </is>
      </c>
    </row>
    <row r="36787" spans="1:1">
      <c r="A36787" t="inlineStr">
        <is>
          <t>Bagacay</t>
        </is>
      </c>
    </row>
    <row r="36788" spans="1:1">
      <c r="A36788" t="inlineStr">
        <is>
          <t>Central</t>
        </is>
      </c>
    </row>
    <row r="36789" spans="1:1">
      <c r="A36789" t="inlineStr">
        <is>
          <t>Cogon</t>
        </is>
      </c>
    </row>
    <row r="36790" spans="1:1">
      <c r="A36790" t="inlineStr">
        <is>
          <t>Dancalan</t>
        </is>
      </c>
    </row>
    <row r="36791" spans="1:1">
      <c r="A36791" t="inlineStr">
        <is>
          <t>Dapdap</t>
        </is>
      </c>
    </row>
    <row r="36792" spans="1:1">
      <c r="A36792" t="inlineStr">
        <is>
          <t>Lalud</t>
        </is>
      </c>
    </row>
    <row r="36793" spans="1:1">
      <c r="A36793" t="inlineStr">
        <is>
          <t>Looban</t>
        </is>
      </c>
    </row>
    <row r="36794" spans="1:1">
      <c r="A36794" t="inlineStr">
        <is>
          <t>Mabuhay</t>
        </is>
      </c>
    </row>
    <row r="36795" spans="1:1">
      <c r="A36795" t="inlineStr">
        <is>
          <t>Madlawon</t>
        </is>
      </c>
    </row>
    <row r="36796" spans="1:1">
      <c r="A36796" t="inlineStr">
        <is>
          <t>Poctol</t>
        </is>
      </c>
    </row>
    <row r="36797" spans="1:1">
      <c r="A36797" t="inlineStr">
        <is>
          <t>Porog</t>
        </is>
      </c>
    </row>
    <row r="36798" spans="1:1">
      <c r="A36798" t="inlineStr">
        <is>
          <t>Sabang</t>
        </is>
      </c>
    </row>
    <row r="36799" spans="1:1">
      <c r="A36799" t="inlineStr">
        <is>
          <t>Salvacion</t>
        </is>
      </c>
    </row>
    <row r="36800" spans="1:1">
      <c r="A36800" t="inlineStr">
        <is>
          <t>San Antonio</t>
        </is>
      </c>
    </row>
    <row r="36801" spans="1:1">
      <c r="A36801" t="inlineStr">
        <is>
          <t>San Bernardo</t>
        </is>
      </c>
    </row>
    <row r="36802" spans="1:1">
      <c r="A36802" t="inlineStr">
        <is>
          <t>San Francisco</t>
        </is>
      </c>
    </row>
    <row r="36803" spans="1:1">
      <c r="A36803" t="inlineStr">
        <is>
          <t>San Isidro</t>
        </is>
      </c>
    </row>
    <row r="36804" spans="1:1">
      <c r="A36804" t="inlineStr">
        <is>
          <t>San Jose</t>
        </is>
      </c>
    </row>
    <row r="36805" spans="1:1">
      <c r="A36805" t="inlineStr">
        <is>
          <t>San Rafael</t>
        </is>
      </c>
    </row>
    <row r="36806" spans="1:1">
      <c r="A36806" t="inlineStr">
        <is>
          <t>San Roque</t>
        </is>
      </c>
    </row>
    <row r="36807" spans="1:1">
      <c r="A36807" t="inlineStr">
        <is>
          <t>San Vicente</t>
        </is>
      </c>
    </row>
    <row r="36808" spans="1:1">
      <c r="A36808" t="inlineStr">
        <is>
          <t>Santa Barbara</t>
        </is>
      </c>
    </row>
    <row r="36809" spans="1:1">
      <c r="A36809" t="inlineStr">
        <is>
          <t>Sapngan</t>
        </is>
      </c>
    </row>
    <row r="36810" spans="1:1">
      <c r="A36810" t="inlineStr">
        <is>
          <t>Tinampo</t>
        </is>
      </c>
    </row>
    <row r="36811" spans="1:1">
      <c r="A36811" t="inlineStr">
        <is>
          <t>Adovis</t>
        </is>
      </c>
    </row>
    <row r="36812" spans="1:1">
      <c r="A36812" t="inlineStr">
        <is>
          <t>Boton</t>
        </is>
      </c>
    </row>
    <row r="36813" spans="1:1">
      <c r="A36813" t="inlineStr">
        <is>
          <t>Burgos</t>
        </is>
      </c>
    </row>
    <row r="36814" spans="1:1">
      <c r="A36814" t="inlineStr">
        <is>
          <t>Casay</t>
        </is>
      </c>
    </row>
    <row r="36815" spans="1:1">
      <c r="A36815" t="inlineStr">
        <is>
          <t>Cawit</t>
        </is>
      </c>
    </row>
    <row r="36816" spans="1:1">
      <c r="A36816" t="inlineStr">
        <is>
          <t>Central</t>
        </is>
      </c>
    </row>
    <row r="36817" spans="1:1">
      <c r="A36817" t="inlineStr">
        <is>
          <t>Cogon</t>
        </is>
      </c>
    </row>
    <row r="36818" spans="1:1">
      <c r="A36818" t="inlineStr">
        <is>
          <t>Colambis</t>
        </is>
      </c>
    </row>
    <row r="36819" spans="1:1">
      <c r="A36819" t="inlineStr">
        <is>
          <t>Escuala</t>
        </is>
      </c>
    </row>
    <row r="36820" spans="1:1">
      <c r="A36820" t="inlineStr">
        <is>
          <t>Inlagadian</t>
        </is>
      </c>
    </row>
    <row r="36821" spans="1:1">
      <c r="A36821" t="inlineStr">
        <is>
          <t>Lungib</t>
        </is>
      </c>
    </row>
    <row r="36822" spans="1:1">
      <c r="A36822" t="inlineStr">
        <is>
          <t>Mabini</t>
        </is>
      </c>
    </row>
    <row r="36823" spans="1:1">
      <c r="A36823" t="inlineStr">
        <is>
          <t>Ponong</t>
        </is>
      </c>
    </row>
    <row r="36824" spans="1:1">
      <c r="A36824" t="inlineStr">
        <is>
          <t>Rizal</t>
        </is>
      </c>
    </row>
    <row r="36825" spans="1:1">
      <c r="A36825" t="inlineStr">
        <is>
          <t>San Antonio</t>
        </is>
      </c>
    </row>
    <row r="36826" spans="1:1">
      <c r="A36826" t="inlineStr">
        <is>
          <t>San Isidro</t>
        </is>
      </c>
    </row>
    <row r="36827" spans="1:1">
      <c r="A36827" t="inlineStr">
        <is>
          <t>San Juan</t>
        </is>
      </c>
    </row>
    <row r="36828" spans="1:1">
      <c r="A36828" t="inlineStr">
        <is>
          <t>San Pascual</t>
        </is>
      </c>
    </row>
    <row r="36829" spans="1:1">
      <c r="A36829" t="inlineStr">
        <is>
          <t>Santa Cruz</t>
        </is>
      </c>
    </row>
    <row r="36830" spans="1:1">
      <c r="A36830" t="inlineStr">
        <is>
          <t>Somal-ot</t>
        </is>
      </c>
    </row>
    <row r="36831" spans="1:1">
      <c r="A36831" t="inlineStr">
        <is>
          <t>Tigbao</t>
        </is>
      </c>
    </row>
    <row r="36832" spans="1:1">
      <c r="A36832" t="inlineStr">
        <is>
          <t>Timbayog</t>
        </is>
      </c>
    </row>
    <row r="36833" spans="1:1">
      <c r="A36833" t="inlineStr">
        <is>
          <t>Tiris</t>
        </is>
      </c>
    </row>
    <row r="36834" spans="1:1">
      <c r="A36834" t="inlineStr">
        <is>
          <t>Trece Martirez</t>
        </is>
      </c>
    </row>
    <row r="36835" spans="1:1">
      <c r="A36835" t="inlineStr">
        <is>
          <t>Tulay</t>
        </is>
      </c>
    </row>
    <row r="36836" spans="1:1">
      <c r="A36836" t="inlineStr">
        <is>
          <t>Amomonting</t>
        </is>
      </c>
    </row>
    <row r="36837" spans="1:1">
      <c r="A36837" t="inlineStr">
        <is>
          <t>Bagalayag</t>
        </is>
      </c>
    </row>
    <row r="36838" spans="1:1">
      <c r="A36838" t="inlineStr">
        <is>
          <t>Bagong Sirang</t>
        </is>
      </c>
    </row>
    <row r="36839" spans="1:1">
      <c r="A36839" t="inlineStr">
        <is>
          <t>Bonga</t>
        </is>
      </c>
    </row>
    <row r="36840" spans="1:1">
      <c r="A36840" t="inlineStr">
        <is>
          <t>Buenavista</t>
        </is>
      </c>
    </row>
    <row r="36841" spans="1:1">
      <c r="A36841" t="inlineStr">
        <is>
          <t>Burabod</t>
        </is>
      </c>
    </row>
    <row r="36842" spans="1:1">
      <c r="A36842" t="inlineStr">
        <is>
          <t>Caburacan</t>
        </is>
      </c>
    </row>
    <row r="36843" spans="1:1">
      <c r="A36843" t="inlineStr">
        <is>
          <t>Canjela</t>
        </is>
      </c>
    </row>
    <row r="36844" spans="1:1">
      <c r="A36844" t="inlineStr">
        <is>
          <t>Cogon</t>
        </is>
      </c>
    </row>
    <row r="36845" spans="1:1">
      <c r="A36845" t="inlineStr">
        <is>
          <t>Cumadcad</t>
        </is>
      </c>
    </row>
    <row r="36846" spans="1:1">
      <c r="A36846" t="inlineStr">
        <is>
          <t>Dangcalan</t>
        </is>
      </c>
    </row>
    <row r="36847" spans="1:1">
      <c r="A36847" t="inlineStr">
        <is>
          <t>Dinapa</t>
        </is>
      </c>
    </row>
    <row r="36848" spans="1:1">
      <c r="A36848" t="inlineStr">
        <is>
          <t>La Union</t>
        </is>
      </c>
    </row>
    <row r="36849" spans="1:1">
      <c r="A36849" t="inlineStr">
        <is>
          <t>Libtong</t>
        </is>
      </c>
    </row>
    <row r="36850" spans="1:1">
      <c r="A36850" t="inlineStr">
        <is>
          <t>Loreto</t>
        </is>
      </c>
    </row>
    <row r="36851" spans="1:1">
      <c r="A36851" t="inlineStr">
        <is>
          <t>Macalaya</t>
        </is>
      </c>
    </row>
    <row r="36852" spans="1:1">
      <c r="A36852" t="inlineStr">
        <is>
          <t>Maracabac</t>
        </is>
      </c>
    </row>
    <row r="36853" spans="1:1">
      <c r="A36853" t="inlineStr">
        <is>
          <t>Mayon</t>
        </is>
      </c>
    </row>
    <row r="36854" spans="1:1">
      <c r="A36854" t="inlineStr">
        <is>
          <t>Maypangi</t>
        </is>
      </c>
    </row>
    <row r="36855" spans="1:1">
      <c r="A36855" t="inlineStr">
        <is>
          <t>Milagrosa</t>
        </is>
      </c>
    </row>
    <row r="36856" spans="1:1">
      <c r="A36856" t="inlineStr">
        <is>
          <t>Miluya</t>
        </is>
      </c>
    </row>
    <row r="36857" spans="1:1">
      <c r="A36857" t="inlineStr">
        <is>
          <t>Monte Carmelo</t>
        </is>
      </c>
    </row>
    <row r="36858" spans="1:1">
      <c r="A36858" t="inlineStr">
        <is>
          <t>Oras</t>
        </is>
      </c>
    </row>
    <row r="36859" spans="1:1">
      <c r="A36859" t="inlineStr">
        <is>
          <t>Pandan</t>
        </is>
      </c>
    </row>
    <row r="36860" spans="1:1">
      <c r="A36860" t="inlineStr">
        <is>
          <t>Poblacion</t>
        </is>
      </c>
    </row>
    <row r="36861" spans="1:1">
      <c r="A36861" t="inlineStr">
        <is>
          <t>Quirapi</t>
        </is>
      </c>
    </row>
    <row r="36862" spans="1:1">
      <c r="A36862" t="inlineStr">
        <is>
          <t>Saclayan</t>
        </is>
      </c>
    </row>
    <row r="36863" spans="1:1">
      <c r="A36863" t="inlineStr">
        <is>
          <t>Salvacion</t>
        </is>
      </c>
    </row>
    <row r="36864" spans="1:1">
      <c r="A36864" t="inlineStr">
        <is>
          <t>San Isidro</t>
        </is>
      </c>
    </row>
    <row r="36865" spans="1:1">
      <c r="A36865" t="inlineStr">
        <is>
          <t>San Rafael</t>
        </is>
      </c>
    </row>
    <row r="36866" spans="1:1">
      <c r="A36866" t="inlineStr">
        <is>
          <t>San Roque</t>
        </is>
      </c>
    </row>
    <row r="36867" spans="1:1">
      <c r="A36867" t="inlineStr">
        <is>
          <t>San Vicente</t>
        </is>
      </c>
    </row>
    <row r="36868" spans="1:1">
      <c r="A36868" t="inlineStr">
        <is>
          <t>Sogoy</t>
        </is>
      </c>
    </row>
    <row r="36869" spans="1:1">
      <c r="A36869" t="inlineStr">
        <is>
          <t>Tomalaytay</t>
        </is>
      </c>
    </row>
    <row r="36870" spans="1:1">
      <c r="A36870" t="inlineStr">
        <is>
          <t>Abuyog</t>
        </is>
      </c>
    </row>
    <row r="36871" spans="1:1">
      <c r="A36871" t="inlineStr">
        <is>
          <t>Almendras-Cogon</t>
        </is>
      </c>
    </row>
    <row r="36872" spans="1:1">
      <c r="A36872" t="inlineStr">
        <is>
          <t>Balete</t>
        </is>
      </c>
    </row>
    <row r="36873" spans="1:1">
      <c r="A36873" t="inlineStr">
        <is>
          <t>Balogo (Bacon District)</t>
        </is>
      </c>
    </row>
    <row r="36874" spans="1:1">
      <c r="A36874" t="inlineStr">
        <is>
          <t>Balogo (Sorsogon East District)</t>
        </is>
      </c>
    </row>
    <row r="36875" spans="1:1">
      <c r="A36875" t="inlineStr">
        <is>
          <t>Barayong</t>
        </is>
      </c>
    </row>
    <row r="36876" spans="1:1">
      <c r="A36876" t="inlineStr">
        <is>
          <t>Basud</t>
        </is>
      </c>
    </row>
    <row r="36877" spans="1:1">
      <c r="A36877" t="inlineStr">
        <is>
          <t>Bato</t>
        </is>
      </c>
    </row>
    <row r="36878" spans="1:1">
      <c r="A36878" t="inlineStr">
        <is>
          <t>Bibincahan</t>
        </is>
      </c>
    </row>
    <row r="36879" spans="1:1">
      <c r="A36879" t="inlineStr">
        <is>
          <t>Bitan-o/Dalipay</t>
        </is>
      </c>
    </row>
    <row r="36880" spans="1:1">
      <c r="A36880" t="inlineStr">
        <is>
          <t>Bogña</t>
        </is>
      </c>
    </row>
    <row r="36881" spans="1:1">
      <c r="A36881" t="inlineStr">
        <is>
          <t>Bon-Ot</t>
        </is>
      </c>
    </row>
    <row r="36882" spans="1:1">
      <c r="A36882" t="inlineStr">
        <is>
          <t>Bucalbucalan</t>
        </is>
      </c>
    </row>
    <row r="36883" spans="1:1">
      <c r="A36883" t="inlineStr">
        <is>
          <t>Buenavista (Bacon District)</t>
        </is>
      </c>
    </row>
    <row r="36884" spans="1:1">
      <c r="A36884" t="inlineStr">
        <is>
          <t>Buenavista (Sorsogon West District)</t>
        </is>
      </c>
    </row>
    <row r="36885" spans="1:1">
      <c r="A36885" t="inlineStr">
        <is>
          <t>Buhatan</t>
        </is>
      </c>
    </row>
    <row r="36886" spans="1:1">
      <c r="A36886" t="inlineStr">
        <is>
          <t>Bulabog</t>
        </is>
      </c>
    </row>
    <row r="36887" spans="1:1">
      <c r="A36887" t="inlineStr">
        <is>
          <t>Burabod</t>
        </is>
      </c>
    </row>
    <row r="36888" spans="1:1">
      <c r="A36888" t="inlineStr">
        <is>
          <t>Cabarbuhan</t>
        </is>
      </c>
    </row>
    <row r="36889" spans="1:1">
      <c r="A36889" t="inlineStr">
        <is>
          <t>Cabid-An</t>
        </is>
      </c>
    </row>
    <row r="36890" spans="1:1">
      <c r="A36890" t="inlineStr">
        <is>
          <t>Cambulaga</t>
        </is>
      </c>
    </row>
    <row r="36891" spans="1:1">
      <c r="A36891" t="inlineStr">
        <is>
          <t>Capuy</t>
        </is>
      </c>
    </row>
    <row r="36892" spans="1:1">
      <c r="A36892" t="inlineStr">
        <is>
          <t>Caricaran</t>
        </is>
      </c>
    </row>
    <row r="36893" spans="1:1">
      <c r="A36893" t="inlineStr">
        <is>
          <t>Del Rosario</t>
        </is>
      </c>
    </row>
    <row r="36894" spans="1:1">
      <c r="A36894" t="inlineStr">
        <is>
          <t>Gatbo</t>
        </is>
      </c>
    </row>
    <row r="36895" spans="1:1">
      <c r="A36895" t="inlineStr">
        <is>
          <t>Gimaloto</t>
        </is>
      </c>
    </row>
    <row r="36896" spans="1:1">
      <c r="A36896" t="inlineStr">
        <is>
          <t>Guinlajon</t>
        </is>
      </c>
    </row>
    <row r="36897" spans="1:1">
      <c r="A36897" t="inlineStr">
        <is>
          <t>Jamislagan</t>
        </is>
      </c>
    </row>
    <row r="36898" spans="1:1">
      <c r="A36898" t="inlineStr">
        <is>
          <t>Macabog</t>
        </is>
      </c>
    </row>
    <row r="36899" spans="1:1">
      <c r="A36899" t="inlineStr">
        <is>
          <t>Maricrum</t>
        </is>
      </c>
    </row>
    <row r="36900" spans="1:1">
      <c r="A36900" t="inlineStr">
        <is>
          <t>Marinas</t>
        </is>
      </c>
    </row>
    <row r="36901" spans="1:1">
      <c r="A36901" t="inlineStr">
        <is>
          <t>Osiao</t>
        </is>
      </c>
    </row>
    <row r="36902" spans="1:1">
      <c r="A36902" t="inlineStr">
        <is>
          <t>Pamurayan</t>
        </is>
      </c>
    </row>
    <row r="36903" spans="1:1">
      <c r="A36903" t="inlineStr">
        <is>
          <t>Pangpang</t>
        </is>
      </c>
    </row>
    <row r="36904" spans="1:1">
      <c r="A36904" t="inlineStr">
        <is>
          <t>Panlayaan</t>
        </is>
      </c>
    </row>
    <row r="36905" spans="1:1">
      <c r="A36905" t="inlineStr">
        <is>
          <t>Peñafrancia</t>
        </is>
      </c>
    </row>
    <row r="36906" spans="1:1">
      <c r="A36906" t="inlineStr">
        <is>
          <t>Piot</t>
        </is>
      </c>
    </row>
    <row r="36907" spans="1:1">
      <c r="A36907" t="inlineStr">
        <is>
          <t>Poblacion</t>
        </is>
      </c>
    </row>
    <row r="36908" spans="1:1">
      <c r="A36908" t="inlineStr">
        <is>
          <t>Polvorista</t>
        </is>
      </c>
    </row>
    <row r="36909" spans="1:1">
      <c r="A36909" t="inlineStr">
        <is>
          <t>Rawis</t>
        </is>
      </c>
    </row>
    <row r="36910" spans="1:1">
      <c r="A36910" t="inlineStr">
        <is>
          <t>Rizal</t>
        </is>
      </c>
    </row>
    <row r="36911" spans="1:1">
      <c r="A36911" t="inlineStr">
        <is>
          <t>Salog</t>
        </is>
      </c>
    </row>
    <row r="36912" spans="1:1">
      <c r="A36912" t="inlineStr">
        <is>
          <t>Salvacion (Bacon District)</t>
        </is>
      </c>
    </row>
    <row r="36913" spans="1:1">
      <c r="A36913" t="inlineStr">
        <is>
          <t>Salvacion (Sorsogon West District)</t>
        </is>
      </c>
    </row>
    <row r="36914" spans="1:1">
      <c r="A36914" t="inlineStr">
        <is>
          <t>Sampaloc</t>
        </is>
      </c>
    </row>
    <row r="36915" spans="1:1">
      <c r="A36915" t="inlineStr">
        <is>
          <t>San Isidro (Bacon District)</t>
        </is>
      </c>
    </row>
    <row r="36916" spans="1:1">
      <c r="A36916" t="inlineStr">
        <is>
          <t>San Isidro (Sorsogon West District)</t>
        </is>
      </c>
    </row>
    <row r="36917" spans="1:1">
      <c r="A36917" t="inlineStr">
        <is>
          <t>San Juan</t>
        </is>
      </c>
    </row>
    <row r="36918" spans="1:1">
      <c r="A36918" t="inlineStr">
        <is>
          <t>San Juan (Roro)</t>
        </is>
      </c>
    </row>
    <row r="36919" spans="1:1">
      <c r="A36919" t="inlineStr">
        <is>
          <t>San Pascual</t>
        </is>
      </c>
    </row>
    <row r="36920" spans="1:1">
      <c r="A36920" t="inlineStr">
        <is>
          <t>San Ramon</t>
        </is>
      </c>
    </row>
    <row r="36921" spans="1:1">
      <c r="A36921" t="inlineStr">
        <is>
          <t>San Roque</t>
        </is>
      </c>
    </row>
    <row r="36922" spans="1:1">
      <c r="A36922" t="inlineStr">
        <is>
          <t>San Vicente</t>
        </is>
      </c>
    </row>
    <row r="36923" spans="1:1">
      <c r="A36923" t="inlineStr">
        <is>
          <t>Santa Cruz</t>
        </is>
      </c>
    </row>
    <row r="36924" spans="1:1">
      <c r="A36924" t="inlineStr">
        <is>
          <t>Santa Lucia</t>
        </is>
      </c>
    </row>
    <row r="36925" spans="1:1">
      <c r="A36925" t="inlineStr">
        <is>
          <t>Santo Domingo</t>
        </is>
      </c>
    </row>
    <row r="36926" spans="1:1">
      <c r="A36926" t="inlineStr">
        <is>
          <t>Santo Niño</t>
        </is>
      </c>
    </row>
    <row r="36927" spans="1:1">
      <c r="A36927" t="inlineStr">
        <is>
          <t>Sawanga</t>
        </is>
      </c>
    </row>
    <row r="36928" spans="1:1">
      <c r="A36928" t="inlineStr">
        <is>
          <t>Sirangan</t>
        </is>
      </c>
    </row>
    <row r="36929" spans="1:1">
      <c r="A36929" t="inlineStr">
        <is>
          <t>Sugod</t>
        </is>
      </c>
    </row>
    <row r="36930" spans="1:1">
      <c r="A36930" t="inlineStr">
        <is>
          <t>Sulucan</t>
        </is>
      </c>
    </row>
    <row r="36931" spans="1:1">
      <c r="A36931" t="inlineStr">
        <is>
          <t>Talisay</t>
        </is>
      </c>
    </row>
    <row r="36932" spans="1:1">
      <c r="A36932" t="inlineStr">
        <is>
          <t>Ticol</t>
        </is>
      </c>
    </row>
    <row r="36933" spans="1:1">
      <c r="A36933" t="inlineStr">
        <is>
          <t>Tugos</t>
        </is>
      </c>
    </row>
    <row r="36934" spans="1:1">
      <c r="A36934" t="inlineStr">
        <is>
          <t>Alin</t>
        </is>
      </c>
    </row>
    <row r="36935" spans="1:1">
      <c r="A36935" t="inlineStr">
        <is>
          <t>Awai</t>
        </is>
      </c>
    </row>
    <row r="36936" spans="1:1">
      <c r="A36936" t="inlineStr">
        <is>
          <t>Banban</t>
        </is>
      </c>
    </row>
    <row r="36937" spans="1:1">
      <c r="A36937" t="inlineStr">
        <is>
          <t>Bandi</t>
        </is>
      </c>
    </row>
    <row r="36938" spans="1:1">
      <c r="A36938" t="inlineStr">
        <is>
          <t>Banuang Gurang</t>
        </is>
      </c>
    </row>
    <row r="36939" spans="1:1">
      <c r="A36939" t="inlineStr">
        <is>
          <t>Baras</t>
        </is>
      </c>
    </row>
    <row r="36940" spans="1:1">
      <c r="A36940" t="inlineStr">
        <is>
          <t>Bayawas</t>
        </is>
      </c>
    </row>
    <row r="36941" spans="1:1">
      <c r="A36941" t="inlineStr">
        <is>
          <t>Bororan Barangay 1</t>
        </is>
      </c>
    </row>
    <row r="36942" spans="1:1">
      <c r="A36942" t="inlineStr">
        <is>
          <t>Cabugao</t>
        </is>
      </c>
    </row>
    <row r="36943" spans="1:1">
      <c r="A36943" t="inlineStr">
        <is>
          <t>Central Barangay 2</t>
        </is>
      </c>
    </row>
    <row r="36944" spans="1:1">
      <c r="A36944" t="inlineStr">
        <is>
          <t>Cristo</t>
        </is>
      </c>
    </row>
    <row r="36945" spans="1:1">
      <c r="A36945" t="inlineStr">
        <is>
          <t>Dancalan</t>
        </is>
      </c>
    </row>
    <row r="36946" spans="1:1">
      <c r="A36946" t="inlineStr">
        <is>
          <t>De Vera</t>
        </is>
      </c>
    </row>
    <row r="36947" spans="1:1">
      <c r="A36947" t="inlineStr">
        <is>
          <t>Gimagaan</t>
        </is>
      </c>
    </row>
    <row r="36948" spans="1:1">
      <c r="A36948" t="inlineStr">
        <is>
          <t>Girawan</t>
        </is>
      </c>
    </row>
    <row r="36949" spans="1:1">
      <c r="A36949" t="inlineStr">
        <is>
          <t>Gogon</t>
        </is>
      </c>
    </row>
    <row r="36950" spans="1:1">
      <c r="A36950" t="inlineStr">
        <is>
          <t>Gura</t>
        </is>
      </c>
    </row>
    <row r="36951" spans="1:1">
      <c r="A36951" t="inlineStr">
        <is>
          <t>Juan Adre</t>
        </is>
      </c>
    </row>
    <row r="36952" spans="1:1">
      <c r="A36952" t="inlineStr">
        <is>
          <t>Lourdes</t>
        </is>
      </c>
    </row>
    <row r="36953" spans="1:1">
      <c r="A36953" t="inlineStr">
        <is>
          <t>Mabini</t>
        </is>
      </c>
    </row>
    <row r="36954" spans="1:1">
      <c r="A36954" t="inlineStr">
        <is>
          <t>Malapoc</t>
        </is>
      </c>
    </row>
    <row r="36955" spans="1:1">
      <c r="A36955" t="inlineStr">
        <is>
          <t>Malinao</t>
        </is>
      </c>
    </row>
    <row r="36956" spans="1:1">
      <c r="A36956" t="inlineStr">
        <is>
          <t>Market Site Barangay 3</t>
        </is>
      </c>
    </row>
    <row r="36957" spans="1:1">
      <c r="A36957" t="inlineStr">
        <is>
          <t>New Maguisa</t>
        </is>
      </c>
    </row>
    <row r="36958" spans="1:1">
      <c r="A36958" t="inlineStr">
        <is>
          <t>Ogod</t>
        </is>
      </c>
    </row>
    <row r="36959" spans="1:1">
      <c r="A36959" t="inlineStr">
        <is>
          <t>Old Maguisa</t>
        </is>
      </c>
    </row>
    <row r="36960" spans="1:1">
      <c r="A36960" t="inlineStr">
        <is>
          <t>Orange</t>
        </is>
      </c>
    </row>
    <row r="36961" spans="1:1">
      <c r="A36961" t="inlineStr">
        <is>
          <t>Pangpang</t>
        </is>
      </c>
    </row>
    <row r="36962" spans="1:1">
      <c r="A36962" t="inlineStr">
        <is>
          <t>Parina</t>
        </is>
      </c>
    </row>
    <row r="36963" spans="1:1">
      <c r="A36963" t="inlineStr">
        <is>
          <t>Pawala</t>
        </is>
      </c>
    </row>
    <row r="36964" spans="1:1">
      <c r="A36964" t="inlineStr">
        <is>
          <t>Pinamanaan</t>
        </is>
      </c>
    </row>
    <row r="36965" spans="1:1">
      <c r="A36965" t="inlineStr">
        <is>
          <t>Poso Pob.</t>
        </is>
      </c>
    </row>
    <row r="36966" spans="1:1">
      <c r="A36966" t="inlineStr">
        <is>
          <t>Punta Waling-Waling Pob.</t>
        </is>
      </c>
    </row>
    <row r="36967" spans="1:1">
      <c r="A36967" t="inlineStr">
        <is>
          <t>Rawis</t>
        </is>
      </c>
    </row>
    <row r="36968" spans="1:1">
      <c r="A36968" t="inlineStr">
        <is>
          <t>San Antonio</t>
        </is>
      </c>
    </row>
    <row r="36969" spans="1:1">
      <c r="A36969" t="inlineStr">
        <is>
          <t>San Isidro</t>
        </is>
      </c>
    </row>
    <row r="36970" spans="1:1">
      <c r="A36970" t="inlineStr">
        <is>
          <t>San Jose</t>
        </is>
      </c>
    </row>
    <row r="36971" spans="1:1">
      <c r="A36971" t="inlineStr">
        <is>
          <t>San Rafael</t>
        </is>
      </c>
    </row>
    <row r="36972" spans="1:1">
      <c r="A36972" t="inlineStr">
        <is>
          <t>San Ramon</t>
        </is>
      </c>
    </row>
    <row r="36973" spans="1:1">
      <c r="A36973" t="inlineStr">
        <is>
          <t>San Vicente</t>
        </is>
      </c>
    </row>
    <row r="36974" spans="1:1">
      <c r="A36974" t="inlineStr">
        <is>
          <t>Santa Cruz</t>
        </is>
      </c>
    </row>
    <row r="36975" spans="1:1">
      <c r="A36975" t="inlineStr">
        <is>
          <t>Sevilla</t>
        </is>
      </c>
    </row>
    <row r="36976" spans="1:1">
      <c r="A36976" t="inlineStr">
        <is>
          <t>Sibago</t>
        </is>
      </c>
    </row>
    <row r="36977" spans="1:1">
      <c r="A36977" t="inlineStr">
        <is>
          <t>Suguian</t>
        </is>
      </c>
    </row>
    <row r="36978" spans="1:1">
      <c r="A36978" t="inlineStr">
        <is>
          <t>Tagbac</t>
        </is>
      </c>
    </row>
    <row r="36979" spans="1:1">
      <c r="A36979" t="inlineStr">
        <is>
          <t>Tinanogan</t>
        </is>
      </c>
    </row>
    <row r="36980" spans="1:1">
      <c r="A36980" t="inlineStr">
        <is>
          <t>Tongdol</t>
        </is>
      </c>
    </row>
    <row r="36981" spans="1:1">
      <c r="A36981" t="inlineStr">
        <is>
          <t>Tres Marias</t>
        </is>
      </c>
    </row>
    <row r="36982" spans="1:1">
      <c r="A36982" t="inlineStr">
        <is>
          <t>Tuba</t>
        </is>
      </c>
    </row>
    <row r="36983" spans="1:1">
      <c r="A36983" t="inlineStr">
        <is>
          <t>Tupas</t>
        </is>
      </c>
    </row>
    <row r="36984" spans="1:1">
      <c r="A36984" t="inlineStr">
        <is>
          <t>Vinisitahan</t>
        </is>
      </c>
    </row>
    <row r="36985" spans="1:1">
      <c r="A36985" t="inlineStr">
        <is>
          <t>Ariman</t>
        </is>
      </c>
    </row>
    <row r="36986" spans="1:1">
      <c r="A36986" t="inlineStr">
        <is>
          <t>Bagacay</t>
        </is>
      </c>
    </row>
    <row r="36987" spans="1:1">
      <c r="A36987" t="inlineStr">
        <is>
          <t>Balud Del Norte</t>
        </is>
      </c>
    </row>
    <row r="36988" spans="1:1">
      <c r="A36988" t="inlineStr">
        <is>
          <t>Balud Del Sur</t>
        </is>
      </c>
    </row>
    <row r="36989" spans="1:1">
      <c r="A36989" t="inlineStr">
        <is>
          <t>Benguet</t>
        </is>
      </c>
    </row>
    <row r="36990" spans="1:1">
      <c r="A36990" t="inlineStr">
        <is>
          <t>Bentuco</t>
        </is>
      </c>
    </row>
    <row r="36991" spans="1:1">
      <c r="A36991" t="inlineStr">
        <is>
          <t>Beriran</t>
        </is>
      </c>
    </row>
    <row r="36992" spans="1:1">
      <c r="A36992" t="inlineStr">
        <is>
          <t>Buenavista</t>
        </is>
      </c>
    </row>
    <row r="36993" spans="1:1">
      <c r="A36993" t="inlineStr">
        <is>
          <t>Bulacao</t>
        </is>
      </c>
    </row>
    <row r="36994" spans="1:1">
      <c r="A36994" t="inlineStr">
        <is>
          <t>Cabigaan</t>
        </is>
      </c>
    </row>
    <row r="36995" spans="1:1">
      <c r="A36995" t="inlineStr">
        <is>
          <t>Cabiguhan</t>
        </is>
      </c>
    </row>
    <row r="36996" spans="1:1">
      <c r="A36996" t="inlineStr">
        <is>
          <t>Carriedo</t>
        </is>
      </c>
    </row>
    <row r="36997" spans="1:1">
      <c r="A36997" t="inlineStr">
        <is>
          <t>Casili</t>
        </is>
      </c>
    </row>
    <row r="36998" spans="1:1">
      <c r="A36998" t="inlineStr">
        <is>
          <t>Cogon</t>
        </is>
      </c>
    </row>
    <row r="36999" spans="1:1">
      <c r="A36999" t="inlineStr">
        <is>
          <t>Cota Na Daco</t>
        </is>
      </c>
    </row>
    <row r="37000" spans="1:1">
      <c r="A37000" t="inlineStr">
        <is>
          <t>Dita</t>
        </is>
      </c>
    </row>
    <row r="37001" spans="1:1">
      <c r="A37001" t="inlineStr">
        <is>
          <t>Jupi</t>
        </is>
      </c>
    </row>
    <row r="37002" spans="1:1">
      <c r="A37002" t="inlineStr">
        <is>
          <t>Lapinig</t>
        </is>
      </c>
    </row>
    <row r="37003" spans="1:1">
      <c r="A37003" t="inlineStr">
        <is>
          <t>Luna-Candol</t>
        </is>
      </c>
    </row>
    <row r="37004" spans="1:1">
      <c r="A37004" t="inlineStr">
        <is>
          <t>Manapao</t>
        </is>
      </c>
    </row>
    <row r="37005" spans="1:1">
      <c r="A37005" t="inlineStr">
        <is>
          <t>Manook</t>
        </is>
      </c>
    </row>
    <row r="37006" spans="1:1">
      <c r="A37006" t="inlineStr">
        <is>
          <t>Naagtan</t>
        </is>
      </c>
    </row>
    <row r="37007" spans="1:1">
      <c r="A37007" t="inlineStr">
        <is>
          <t>Nato</t>
        </is>
      </c>
    </row>
    <row r="37008" spans="1:1">
      <c r="A37008" t="inlineStr">
        <is>
          <t>Nazareno</t>
        </is>
      </c>
    </row>
    <row r="37009" spans="1:1">
      <c r="A37009" t="inlineStr">
        <is>
          <t>Ogao</t>
        </is>
      </c>
    </row>
    <row r="37010" spans="1:1">
      <c r="A37010" t="inlineStr">
        <is>
          <t>Paco</t>
        </is>
      </c>
    </row>
    <row r="37011" spans="1:1">
      <c r="A37011" t="inlineStr">
        <is>
          <t>Panganiban</t>
        </is>
      </c>
    </row>
    <row r="37012" spans="1:1">
      <c r="A37012" t="inlineStr">
        <is>
          <t>Paradijon</t>
        </is>
      </c>
    </row>
    <row r="37013" spans="1:1">
      <c r="A37013" t="inlineStr">
        <is>
          <t>Patag</t>
        </is>
      </c>
    </row>
    <row r="37014" spans="1:1">
      <c r="A37014" t="inlineStr">
        <is>
          <t>Payawin</t>
        </is>
      </c>
    </row>
    <row r="37015" spans="1:1">
      <c r="A37015" t="inlineStr">
        <is>
          <t>Pinontingan</t>
        </is>
      </c>
    </row>
    <row r="37016" spans="1:1">
      <c r="A37016" t="inlineStr">
        <is>
          <t>Rizal</t>
        </is>
      </c>
    </row>
    <row r="37017" spans="1:1">
      <c r="A37017" t="inlineStr">
        <is>
          <t>San Ignacio</t>
        </is>
      </c>
    </row>
    <row r="37018" spans="1:1">
      <c r="A37018" t="inlineStr">
        <is>
          <t>Sangat</t>
        </is>
      </c>
    </row>
    <row r="37019" spans="1:1">
      <c r="A37019" t="inlineStr">
        <is>
          <t>Santa Ana</t>
        </is>
      </c>
    </row>
    <row r="37020" spans="1:1">
      <c r="A37020" t="inlineStr">
        <is>
          <t>Tabi</t>
        </is>
      </c>
    </row>
    <row r="37021" spans="1:1">
      <c r="A37021" t="inlineStr">
        <is>
          <t>Tagaytay</t>
        </is>
      </c>
    </row>
    <row r="37022" spans="1:1">
      <c r="A37022" t="inlineStr">
        <is>
          <t>Tigkiw</t>
        </is>
      </c>
    </row>
    <row r="37023" spans="1:1">
      <c r="A37023" t="inlineStr">
        <is>
          <t>Tiris</t>
        </is>
      </c>
    </row>
    <row r="37024" spans="1:1">
      <c r="A37024" t="inlineStr">
        <is>
          <t>Togawe</t>
        </is>
      </c>
    </row>
    <row r="37025" spans="1:1">
      <c r="A37025" t="inlineStr">
        <is>
          <t>Union</t>
        </is>
      </c>
    </row>
    <row r="37026" spans="1:1">
      <c r="A37026" t="inlineStr">
        <is>
          <t>Villareal</t>
        </is>
      </c>
    </row>
    <row r="37027" spans="1:1">
      <c r="A37027" t="inlineStr">
        <is>
          <t>Bacolod</t>
        </is>
      </c>
    </row>
    <row r="37028" spans="1:1">
      <c r="A37028" t="inlineStr">
        <is>
          <t>Bagsangan</t>
        </is>
      </c>
    </row>
    <row r="37029" spans="1:1">
      <c r="A37029" t="inlineStr">
        <is>
          <t>Batang</t>
        </is>
      </c>
    </row>
    <row r="37030" spans="1:1">
      <c r="A37030" t="inlineStr">
        <is>
          <t>Bolos</t>
        </is>
      </c>
    </row>
    <row r="37031" spans="1:1">
      <c r="A37031" t="inlineStr">
        <is>
          <t>Buenavista</t>
        </is>
      </c>
    </row>
    <row r="37032" spans="1:1">
      <c r="A37032" t="inlineStr">
        <is>
          <t>Bulawan</t>
        </is>
      </c>
    </row>
    <row r="37033" spans="1:1">
      <c r="A37033" t="inlineStr">
        <is>
          <t>Carriedo</t>
        </is>
      </c>
    </row>
    <row r="37034" spans="1:1">
      <c r="A37034" t="inlineStr">
        <is>
          <t>Casini</t>
        </is>
      </c>
    </row>
    <row r="37035" spans="1:1">
      <c r="A37035" t="inlineStr">
        <is>
          <t>Cawayan</t>
        </is>
      </c>
    </row>
    <row r="37036" spans="1:1">
      <c r="A37036" t="inlineStr">
        <is>
          <t>Cogon</t>
        </is>
      </c>
    </row>
    <row r="37037" spans="1:1">
      <c r="A37037" t="inlineStr">
        <is>
          <t>Gabao</t>
        </is>
      </c>
    </row>
    <row r="37038" spans="1:1">
      <c r="A37038" t="inlineStr">
        <is>
          <t>Gulang-Gulang</t>
        </is>
      </c>
    </row>
    <row r="37039" spans="1:1">
      <c r="A37039" t="inlineStr">
        <is>
          <t>Gumapia</t>
        </is>
      </c>
    </row>
    <row r="37040" spans="1:1">
      <c r="A37040" t="inlineStr">
        <is>
          <t>Liang</t>
        </is>
      </c>
    </row>
    <row r="37041" spans="1:1">
      <c r="A37041" t="inlineStr">
        <is>
          <t>Macawayan</t>
        </is>
      </c>
    </row>
    <row r="37042" spans="1:1">
      <c r="A37042" t="inlineStr">
        <is>
          <t>Mapaso</t>
        </is>
      </c>
    </row>
    <row r="37043" spans="1:1">
      <c r="A37043" t="inlineStr">
        <is>
          <t>Monbon</t>
        </is>
      </c>
    </row>
    <row r="37044" spans="1:1">
      <c r="A37044" t="inlineStr">
        <is>
          <t>Patag</t>
        </is>
      </c>
    </row>
    <row r="37045" spans="1:1">
      <c r="A37045" t="inlineStr">
        <is>
          <t>Salvacion</t>
        </is>
      </c>
    </row>
    <row r="37046" spans="1:1">
      <c r="A37046" t="inlineStr">
        <is>
          <t>San Agustin</t>
        </is>
      </c>
    </row>
    <row r="37047" spans="1:1">
      <c r="A37047" t="inlineStr">
        <is>
          <t>San Isidro</t>
        </is>
      </c>
    </row>
    <row r="37048" spans="1:1">
      <c r="A37048" t="inlineStr">
        <is>
          <t>San Juan</t>
        </is>
      </c>
    </row>
    <row r="37049" spans="1:1">
      <c r="A37049" t="inlineStr">
        <is>
          <t>San Julian</t>
        </is>
      </c>
    </row>
    <row r="37050" spans="1:1">
      <c r="A37050" t="inlineStr">
        <is>
          <t>San Pedro</t>
        </is>
      </c>
    </row>
    <row r="37051" spans="1:1">
      <c r="A37051" t="inlineStr">
        <is>
          <t>Santo Domingo</t>
        </is>
      </c>
    </row>
    <row r="37052" spans="1:1">
      <c r="A37052" t="inlineStr">
        <is>
          <t>Tabon-Tabon</t>
        </is>
      </c>
    </row>
    <row r="37053" spans="1:1">
      <c r="A37053" t="inlineStr">
        <is>
          <t>Tinampo</t>
        </is>
      </c>
    </row>
    <row r="37054" spans="1:1">
      <c r="A37054" t="inlineStr">
        <is>
          <t>Tongdol</t>
        </is>
      </c>
    </row>
    <row r="37055" spans="1:1">
      <c r="A37055" t="inlineStr">
        <is>
          <t>Anog</t>
        </is>
      </c>
    </row>
    <row r="37056" spans="1:1">
      <c r="A37056" t="inlineStr">
        <is>
          <t>Aroroy</t>
        </is>
      </c>
    </row>
    <row r="37057" spans="1:1">
      <c r="A37057" t="inlineStr">
        <is>
          <t>Bacolod</t>
        </is>
      </c>
    </row>
    <row r="37058" spans="1:1">
      <c r="A37058" t="inlineStr">
        <is>
          <t>Binanuahan</t>
        </is>
      </c>
    </row>
    <row r="37059" spans="1:1">
      <c r="A37059" t="inlineStr">
        <is>
          <t>Biriran</t>
        </is>
      </c>
    </row>
    <row r="37060" spans="1:1">
      <c r="A37060" t="inlineStr">
        <is>
          <t>Buraburan</t>
        </is>
      </c>
    </row>
    <row r="37061" spans="1:1">
      <c r="A37061" t="inlineStr">
        <is>
          <t>Calateo</t>
        </is>
      </c>
    </row>
    <row r="37062" spans="1:1">
      <c r="A37062" t="inlineStr">
        <is>
          <t>Calmayon</t>
        </is>
      </c>
    </row>
    <row r="37063" spans="1:1">
      <c r="A37063" t="inlineStr">
        <is>
          <t>Carohayon</t>
        </is>
      </c>
    </row>
    <row r="37064" spans="1:1">
      <c r="A37064" t="inlineStr">
        <is>
          <t>Catanagan</t>
        </is>
      </c>
    </row>
    <row r="37065" spans="1:1">
      <c r="A37065" t="inlineStr">
        <is>
          <t>Catanusan</t>
        </is>
      </c>
    </row>
    <row r="37066" spans="1:1">
      <c r="A37066" t="inlineStr">
        <is>
          <t>Cogon</t>
        </is>
      </c>
    </row>
    <row r="37067" spans="1:1">
      <c r="A37067" t="inlineStr">
        <is>
          <t>Embarcadero</t>
        </is>
      </c>
    </row>
    <row r="37068" spans="1:1">
      <c r="A37068" t="inlineStr">
        <is>
          <t>Guruyan</t>
        </is>
      </c>
    </row>
    <row r="37069" spans="1:1">
      <c r="A37069" t="inlineStr">
        <is>
          <t>Lajong</t>
        </is>
      </c>
    </row>
    <row r="37070" spans="1:1">
      <c r="A37070" t="inlineStr">
        <is>
          <t>Maalo</t>
        </is>
      </c>
    </row>
    <row r="37071" spans="1:1">
      <c r="A37071" t="inlineStr">
        <is>
          <t>North Poblacion</t>
        </is>
      </c>
    </row>
    <row r="37072" spans="1:1">
      <c r="A37072" t="inlineStr">
        <is>
          <t>Puting Sapa</t>
        </is>
      </c>
    </row>
    <row r="37073" spans="1:1">
      <c r="A37073" t="inlineStr">
        <is>
          <t>Rangas</t>
        </is>
      </c>
    </row>
    <row r="37074" spans="1:1">
      <c r="A37074" t="inlineStr">
        <is>
          <t>Sablayan</t>
        </is>
      </c>
    </row>
    <row r="37075" spans="1:1">
      <c r="A37075" t="inlineStr">
        <is>
          <t>Sipaya</t>
        </is>
      </c>
    </row>
    <row r="37076" spans="1:1">
      <c r="A37076" t="inlineStr">
        <is>
          <t>South Poblacion</t>
        </is>
      </c>
    </row>
    <row r="37077" spans="1:1">
      <c r="A37077" t="inlineStr">
        <is>
          <t>Taboc</t>
        </is>
      </c>
    </row>
    <row r="37078" spans="1:1">
      <c r="A37078" t="inlineStr">
        <is>
          <t>Tinago</t>
        </is>
      </c>
    </row>
    <row r="37079" spans="1:1">
      <c r="A37079" t="inlineStr">
        <is>
          <t>Tughan</t>
        </is>
      </c>
    </row>
    <row r="37080" spans="1:1">
      <c r="A37080" t="inlineStr">
        <is>
          <t>Aguada Norte</t>
        </is>
      </c>
    </row>
    <row r="37081" spans="1:1">
      <c r="A37081" t="inlineStr">
        <is>
          <t>Aguada Sur</t>
        </is>
      </c>
    </row>
    <row r="37082" spans="1:1">
      <c r="A37082" t="inlineStr">
        <is>
          <t>Anibong</t>
        </is>
      </c>
    </row>
    <row r="37083" spans="1:1">
      <c r="A37083" t="inlineStr">
        <is>
          <t>Bacalon</t>
        </is>
      </c>
    </row>
    <row r="37084" spans="1:1">
      <c r="A37084" t="inlineStr">
        <is>
          <t>Bacolod</t>
        </is>
      </c>
    </row>
    <row r="37085" spans="1:1">
      <c r="A37085" t="inlineStr">
        <is>
          <t>Banacud</t>
        </is>
      </c>
    </row>
    <row r="37086" spans="1:1">
      <c r="A37086" t="inlineStr">
        <is>
          <t>Behia</t>
        </is>
      </c>
    </row>
    <row r="37087" spans="1:1">
      <c r="A37087" t="inlineStr">
        <is>
          <t>Biga</t>
        </is>
      </c>
    </row>
    <row r="37088" spans="1:1">
      <c r="A37088" t="inlineStr">
        <is>
          <t>Binisitahan del Norte</t>
        </is>
      </c>
    </row>
    <row r="37089" spans="1:1">
      <c r="A37089" t="inlineStr">
        <is>
          <t>Binisitahan del Sur</t>
        </is>
      </c>
    </row>
    <row r="37090" spans="1:1">
      <c r="A37090" t="inlineStr">
        <is>
          <t>Biton</t>
        </is>
      </c>
    </row>
    <row r="37091" spans="1:1">
      <c r="A37091" t="inlineStr">
        <is>
          <t>Bulala</t>
        </is>
      </c>
    </row>
    <row r="37092" spans="1:1">
      <c r="A37092" t="inlineStr">
        <is>
          <t>Busay</t>
        </is>
      </c>
    </row>
    <row r="37093" spans="1:1">
      <c r="A37093" t="inlineStr">
        <is>
          <t>Caditaan</t>
        </is>
      </c>
    </row>
    <row r="37094" spans="1:1">
      <c r="A37094" t="inlineStr">
        <is>
          <t>Cagbolo</t>
        </is>
      </c>
    </row>
    <row r="37095" spans="1:1">
      <c r="A37095" t="inlineStr">
        <is>
          <t>Cagtalaba</t>
        </is>
      </c>
    </row>
    <row r="37096" spans="1:1">
      <c r="A37096" t="inlineStr">
        <is>
          <t>Cawit Extension</t>
        </is>
      </c>
    </row>
    <row r="37097" spans="1:1">
      <c r="A37097" t="inlineStr">
        <is>
          <t>Cawit Proper</t>
        </is>
      </c>
    </row>
    <row r="37098" spans="1:1">
      <c r="A37098" t="inlineStr">
        <is>
          <t>Ginangra</t>
        </is>
      </c>
    </row>
    <row r="37099" spans="1:1">
      <c r="A37099" t="inlineStr">
        <is>
          <t>Hubo</t>
        </is>
      </c>
    </row>
    <row r="37100" spans="1:1">
      <c r="A37100" t="inlineStr">
        <is>
          <t>Incarizan</t>
        </is>
      </c>
    </row>
    <row r="37101" spans="1:1">
      <c r="A37101" t="inlineStr">
        <is>
          <t>Lapinig</t>
        </is>
      </c>
    </row>
    <row r="37102" spans="1:1">
      <c r="A37102" t="inlineStr">
        <is>
          <t>Magsaysay</t>
        </is>
      </c>
    </row>
    <row r="37103" spans="1:1">
      <c r="A37103" t="inlineStr">
        <is>
          <t>Malbog</t>
        </is>
      </c>
    </row>
    <row r="37104" spans="1:1">
      <c r="A37104" t="inlineStr">
        <is>
          <t>Pantalan</t>
        </is>
      </c>
    </row>
    <row r="37105" spans="1:1">
      <c r="A37105" t="inlineStr">
        <is>
          <t>Pawik</t>
        </is>
      </c>
    </row>
    <row r="37106" spans="1:1">
      <c r="A37106" t="inlineStr">
        <is>
          <t>Pili</t>
        </is>
      </c>
    </row>
    <row r="37107" spans="1:1">
      <c r="A37107" t="inlineStr">
        <is>
          <t>Poblacion</t>
        </is>
      </c>
    </row>
    <row r="37108" spans="1:1">
      <c r="A37108" t="inlineStr">
        <is>
          <t>Salvacion</t>
        </is>
      </c>
    </row>
    <row r="37109" spans="1:1">
      <c r="A37109" t="inlineStr">
        <is>
          <t>Santa Elena</t>
        </is>
      </c>
    </row>
    <row r="37110" spans="1:1">
      <c r="A37110" t="inlineStr">
        <is>
          <t>Siuton</t>
        </is>
      </c>
    </row>
    <row r="37111" spans="1:1">
      <c r="A37111" t="inlineStr">
        <is>
          <t>Tagas</t>
        </is>
      </c>
    </row>
    <row r="37112" spans="1:1">
      <c r="A37112" t="inlineStr">
        <is>
          <t>Tulatula Norte</t>
        </is>
      </c>
    </row>
    <row r="37113" spans="1:1">
      <c r="A37113" t="inlineStr">
        <is>
          <t>Tulatula Sur</t>
        </is>
      </c>
    </row>
    <row r="37114" spans="1:1">
      <c r="A37114" t="inlineStr">
        <is>
          <t>Balocawe</t>
        </is>
      </c>
    </row>
    <row r="37115" spans="1:1">
      <c r="A37115" t="inlineStr">
        <is>
          <t>Banogao</t>
        </is>
      </c>
    </row>
    <row r="37116" spans="1:1">
      <c r="A37116" t="inlineStr">
        <is>
          <t>Banuangdaan</t>
        </is>
      </c>
    </row>
    <row r="37117" spans="1:1">
      <c r="A37117" t="inlineStr">
        <is>
          <t>Bariis</t>
        </is>
      </c>
    </row>
    <row r="37118" spans="1:1">
      <c r="A37118" t="inlineStr">
        <is>
          <t>Bolo</t>
        </is>
      </c>
    </row>
    <row r="37119" spans="1:1">
      <c r="A37119" t="inlineStr">
        <is>
          <t>Bon-Ot Big</t>
        </is>
      </c>
    </row>
    <row r="37120" spans="1:1">
      <c r="A37120" t="inlineStr">
        <is>
          <t>Bon-Ot Small</t>
        </is>
      </c>
    </row>
    <row r="37121" spans="1:1">
      <c r="A37121" t="inlineStr">
        <is>
          <t>Cabagahan</t>
        </is>
      </c>
    </row>
    <row r="37122" spans="1:1">
      <c r="A37122" t="inlineStr">
        <is>
          <t>Calayuan</t>
        </is>
      </c>
    </row>
    <row r="37123" spans="1:1">
      <c r="A37123" t="inlineStr">
        <is>
          <t>Calintaan</t>
        </is>
      </c>
    </row>
    <row r="37124" spans="1:1">
      <c r="A37124" t="inlineStr">
        <is>
          <t>Caloocan</t>
        </is>
      </c>
    </row>
    <row r="37125" spans="1:1">
      <c r="A37125" t="inlineStr">
        <is>
          <t>Calpi</t>
        </is>
      </c>
    </row>
    <row r="37126" spans="1:1">
      <c r="A37126" t="inlineStr">
        <is>
          <t>Camachiles</t>
        </is>
      </c>
    </row>
    <row r="37127" spans="1:1">
      <c r="A37127" t="inlineStr">
        <is>
          <t>Camcaman</t>
        </is>
      </c>
    </row>
    <row r="37128" spans="1:1">
      <c r="A37128" t="inlineStr">
        <is>
          <t>Coron-coron</t>
        </is>
      </c>
    </row>
    <row r="37129" spans="1:1">
      <c r="A37129" t="inlineStr">
        <is>
          <t>Culasi</t>
        </is>
      </c>
    </row>
    <row r="37130" spans="1:1">
      <c r="A37130" t="inlineStr">
        <is>
          <t>Gadgaron</t>
        </is>
      </c>
    </row>
    <row r="37131" spans="1:1">
      <c r="A37131" t="inlineStr">
        <is>
          <t>Genablan Occidental</t>
        </is>
      </c>
    </row>
    <row r="37132" spans="1:1">
      <c r="A37132" t="inlineStr">
        <is>
          <t>Genablan Oriental</t>
        </is>
      </c>
    </row>
    <row r="37133" spans="1:1">
      <c r="A37133" t="inlineStr">
        <is>
          <t>Hidhid</t>
        </is>
      </c>
    </row>
    <row r="37134" spans="1:1">
      <c r="A37134" t="inlineStr">
        <is>
          <t>Laboy</t>
        </is>
      </c>
    </row>
    <row r="37135" spans="1:1">
      <c r="A37135" t="inlineStr">
        <is>
          <t>Lajong</t>
        </is>
      </c>
    </row>
    <row r="37136" spans="1:1">
      <c r="A37136" t="inlineStr">
        <is>
          <t>Mambajog</t>
        </is>
      </c>
    </row>
    <row r="37137" spans="1:1">
      <c r="A37137" t="inlineStr">
        <is>
          <t>Manjunlad</t>
        </is>
      </c>
    </row>
    <row r="37138" spans="1:1">
      <c r="A37138" t="inlineStr">
        <is>
          <t>Manurabi</t>
        </is>
      </c>
    </row>
    <row r="37139" spans="1:1">
      <c r="A37139" t="inlineStr">
        <is>
          <t>Naburacan</t>
        </is>
      </c>
    </row>
    <row r="37140" spans="1:1">
      <c r="A37140" t="inlineStr">
        <is>
          <t>Paghuliran</t>
        </is>
      </c>
    </row>
    <row r="37141" spans="1:1">
      <c r="A37141" t="inlineStr">
        <is>
          <t>Pangi</t>
        </is>
      </c>
    </row>
    <row r="37142" spans="1:1">
      <c r="A37142" t="inlineStr">
        <is>
          <t>Pawa</t>
        </is>
      </c>
    </row>
    <row r="37143" spans="1:1">
      <c r="A37143" t="inlineStr">
        <is>
          <t>Poropandan</t>
        </is>
      </c>
    </row>
    <row r="37144" spans="1:1">
      <c r="A37144" t="inlineStr">
        <is>
          <t>Santa Isabel</t>
        </is>
      </c>
    </row>
    <row r="37145" spans="1:1">
      <c r="A37145" t="inlineStr">
        <is>
          <t>Sinalmacan</t>
        </is>
      </c>
    </row>
    <row r="37146" spans="1:1">
      <c r="A37146" t="inlineStr">
        <is>
          <t>Sinang-Atan</t>
        </is>
      </c>
    </row>
    <row r="37147" spans="1:1">
      <c r="A37147" t="inlineStr">
        <is>
          <t>Sinibaran</t>
        </is>
      </c>
    </row>
    <row r="37148" spans="1:1">
      <c r="A37148" t="inlineStr">
        <is>
          <t>Sisigon</t>
        </is>
      </c>
    </row>
    <row r="37149" spans="1:1">
      <c r="A37149" t="inlineStr">
        <is>
          <t>Sua</t>
        </is>
      </c>
    </row>
    <row r="37150" spans="1:1">
      <c r="A37150" t="inlineStr">
        <is>
          <t>Sulangan</t>
        </is>
      </c>
    </row>
    <row r="37151" spans="1:1">
      <c r="A37151" t="inlineStr">
        <is>
          <t>Tablac</t>
        </is>
      </c>
    </row>
    <row r="37152" spans="1:1">
      <c r="A37152" t="inlineStr">
        <is>
          <t>Tabunan</t>
        </is>
      </c>
    </row>
    <row r="37153" spans="1:1">
      <c r="A37153" t="inlineStr">
        <is>
          <t>Tugas</t>
        </is>
      </c>
    </row>
    <row r="37154" spans="1:1">
      <c r="A37154" t="inlineStr">
        <is>
          <t>Abas</t>
        </is>
      </c>
    </row>
    <row r="37155" spans="1:1">
      <c r="A37155" t="inlineStr">
        <is>
          <t>Abucay</t>
        </is>
      </c>
    </row>
    <row r="37156" spans="1:1">
      <c r="A37156" t="inlineStr">
        <is>
          <t>Bantayan</t>
        </is>
      </c>
    </row>
    <row r="37157" spans="1:1">
      <c r="A37157" t="inlineStr">
        <is>
          <t>Banuyo</t>
        </is>
      </c>
    </row>
    <row r="37158" spans="1:1">
      <c r="A37158" t="inlineStr">
        <is>
          <t>Bayasong</t>
        </is>
      </c>
    </row>
    <row r="37159" spans="1:1">
      <c r="A37159" t="inlineStr">
        <is>
          <t>Bayawas</t>
        </is>
      </c>
    </row>
    <row r="37160" spans="1:1">
      <c r="A37160" t="inlineStr">
        <is>
          <t>Binanuahan</t>
        </is>
      </c>
    </row>
    <row r="37161" spans="1:1">
      <c r="A37161" t="inlineStr">
        <is>
          <t>Cabiguan</t>
        </is>
      </c>
    </row>
    <row r="37162" spans="1:1">
      <c r="A37162" t="inlineStr">
        <is>
          <t>Cagdongon</t>
        </is>
      </c>
    </row>
    <row r="37163" spans="1:1">
      <c r="A37163" t="inlineStr">
        <is>
          <t>Calongay</t>
        </is>
      </c>
    </row>
    <row r="37164" spans="1:1">
      <c r="A37164" t="inlineStr">
        <is>
          <t>Calpi</t>
        </is>
      </c>
    </row>
    <row r="37165" spans="1:1">
      <c r="A37165" t="inlineStr">
        <is>
          <t>Catamlangan</t>
        </is>
      </c>
    </row>
    <row r="37166" spans="1:1">
      <c r="A37166" t="inlineStr">
        <is>
          <t>Comapo-capo</t>
        </is>
      </c>
    </row>
    <row r="37167" spans="1:1">
      <c r="A37167" t="inlineStr">
        <is>
          <t>Danlog</t>
        </is>
      </c>
    </row>
    <row r="37168" spans="1:1">
      <c r="A37168" t="inlineStr">
        <is>
          <t>Dao</t>
        </is>
      </c>
    </row>
    <row r="37169" spans="1:1">
      <c r="A37169" t="inlineStr">
        <is>
          <t>Dapdap</t>
        </is>
      </c>
    </row>
    <row r="37170" spans="1:1">
      <c r="A37170" t="inlineStr">
        <is>
          <t>Del Rosario</t>
        </is>
      </c>
    </row>
    <row r="37171" spans="1:1">
      <c r="A37171" t="inlineStr">
        <is>
          <t>Esmerada</t>
        </is>
      </c>
    </row>
    <row r="37172" spans="1:1">
      <c r="A37172" t="inlineStr">
        <is>
          <t>Esperanza</t>
        </is>
      </c>
    </row>
    <row r="37173" spans="1:1">
      <c r="A37173" t="inlineStr">
        <is>
          <t>Ginablan</t>
        </is>
      </c>
    </row>
    <row r="37174" spans="1:1">
      <c r="A37174" t="inlineStr">
        <is>
          <t>Guiron</t>
        </is>
      </c>
    </row>
    <row r="37175" spans="1:1">
      <c r="A37175" t="inlineStr">
        <is>
          <t>Inang</t>
        </is>
      </c>
    </row>
    <row r="37176" spans="1:1">
      <c r="A37176" t="inlineStr">
        <is>
          <t>Inapugan</t>
        </is>
      </c>
    </row>
    <row r="37177" spans="1:1">
      <c r="A37177" t="inlineStr">
        <is>
          <t>Leona</t>
        </is>
      </c>
    </row>
    <row r="37178" spans="1:1">
      <c r="A37178" t="inlineStr">
        <is>
          <t>Lipason</t>
        </is>
      </c>
    </row>
    <row r="37179" spans="1:1">
      <c r="A37179" t="inlineStr">
        <is>
          <t>Lourdes</t>
        </is>
      </c>
    </row>
    <row r="37180" spans="1:1">
      <c r="A37180" t="inlineStr">
        <is>
          <t>Lubiano</t>
        </is>
      </c>
    </row>
    <row r="37181" spans="1:1">
      <c r="A37181" t="inlineStr">
        <is>
          <t>Lumbang</t>
        </is>
      </c>
    </row>
    <row r="37182" spans="1:1">
      <c r="A37182" t="inlineStr">
        <is>
          <t>Lungib</t>
        </is>
      </c>
    </row>
    <row r="37183" spans="1:1">
      <c r="A37183" t="inlineStr">
        <is>
          <t>Mabanate</t>
        </is>
      </c>
    </row>
    <row r="37184" spans="1:1">
      <c r="A37184" t="inlineStr">
        <is>
          <t>Malbog</t>
        </is>
      </c>
    </row>
    <row r="37185" spans="1:1">
      <c r="A37185" t="inlineStr">
        <is>
          <t>Marifosque</t>
        </is>
      </c>
    </row>
    <row r="37186" spans="1:1">
      <c r="A37186" t="inlineStr">
        <is>
          <t>Mercedes</t>
        </is>
      </c>
    </row>
    <row r="37187" spans="1:1">
      <c r="A37187" t="inlineStr">
        <is>
          <t>Migabod</t>
        </is>
      </c>
    </row>
    <row r="37188" spans="1:1">
      <c r="A37188" t="inlineStr">
        <is>
          <t>Naspi</t>
        </is>
      </c>
    </row>
    <row r="37189" spans="1:1">
      <c r="A37189" t="inlineStr">
        <is>
          <t>Palanas</t>
        </is>
      </c>
    </row>
    <row r="37190" spans="1:1">
      <c r="A37190" t="inlineStr">
        <is>
          <t>Pangpang</t>
        </is>
      </c>
    </row>
    <row r="37191" spans="1:1">
      <c r="A37191" t="inlineStr">
        <is>
          <t>Pinagsalog</t>
        </is>
      </c>
    </row>
    <row r="37192" spans="1:1">
      <c r="A37192" t="inlineStr">
        <is>
          <t>Pineda</t>
        </is>
      </c>
    </row>
    <row r="37193" spans="1:1">
      <c r="A37193" t="inlineStr">
        <is>
          <t>Poctol</t>
        </is>
      </c>
    </row>
    <row r="37194" spans="1:1">
      <c r="A37194" t="inlineStr">
        <is>
          <t>Pudo</t>
        </is>
      </c>
    </row>
    <row r="37195" spans="1:1">
      <c r="A37195" t="inlineStr">
        <is>
          <t>Putiao</t>
        </is>
      </c>
    </row>
    <row r="37196" spans="1:1">
      <c r="A37196" t="inlineStr">
        <is>
          <t>Sacnangan</t>
        </is>
      </c>
    </row>
    <row r="37197" spans="1:1">
      <c r="A37197" t="inlineStr">
        <is>
          <t>Salvacion</t>
        </is>
      </c>
    </row>
    <row r="37198" spans="1:1">
      <c r="A37198" t="inlineStr">
        <is>
          <t>San Antonio (Millabas)</t>
        </is>
      </c>
    </row>
    <row r="37199" spans="1:1">
      <c r="A37199" t="inlineStr">
        <is>
          <t>San Antonio (Sapa)</t>
        </is>
      </c>
    </row>
    <row r="37200" spans="1:1">
      <c r="A37200" t="inlineStr">
        <is>
          <t>San Jose</t>
        </is>
      </c>
    </row>
    <row r="37201" spans="1:1">
      <c r="A37201" t="inlineStr">
        <is>
          <t>San Rafael</t>
        </is>
      </c>
    </row>
    <row r="37202" spans="1:1">
      <c r="A37202" t="inlineStr">
        <is>
          <t>Santa Fe</t>
        </is>
      </c>
    </row>
    <row r="37203" spans="1:1">
      <c r="A37203" t="inlineStr">
        <is>
          <t>Brillante</t>
        </is>
      </c>
    </row>
    <row r="37204" spans="1:1">
      <c r="A37204" t="inlineStr">
        <is>
          <t>Bulawan</t>
        </is>
      </c>
    </row>
    <row r="37205" spans="1:1">
      <c r="A37205" t="inlineStr">
        <is>
          <t>Calao</t>
        </is>
      </c>
    </row>
    <row r="37206" spans="1:1">
      <c r="A37206" t="inlineStr">
        <is>
          <t>Carayat</t>
        </is>
      </c>
    </row>
    <row r="37207" spans="1:1">
      <c r="A37207" t="inlineStr">
        <is>
          <t>Diamante</t>
        </is>
      </c>
    </row>
    <row r="37208" spans="1:1">
      <c r="A37208" t="inlineStr">
        <is>
          <t>Gogon</t>
        </is>
      </c>
    </row>
    <row r="37209" spans="1:1">
      <c r="A37209" t="inlineStr">
        <is>
          <t>Lupi</t>
        </is>
      </c>
    </row>
    <row r="37210" spans="1:1">
      <c r="A37210" t="inlineStr">
        <is>
          <t>Maningcay De Oro</t>
        </is>
      </c>
    </row>
    <row r="37211" spans="1:1">
      <c r="A37211" t="inlineStr">
        <is>
          <t>Manlabong</t>
        </is>
      </c>
    </row>
    <row r="37212" spans="1:1">
      <c r="A37212" t="inlineStr">
        <is>
          <t>Perlas</t>
        </is>
      </c>
    </row>
    <row r="37213" spans="1:1">
      <c r="A37213" t="inlineStr">
        <is>
          <t>Quidolog</t>
        </is>
      </c>
    </row>
    <row r="37214" spans="1:1">
      <c r="A37214" t="inlineStr">
        <is>
          <t>Rizal</t>
        </is>
      </c>
    </row>
    <row r="37215" spans="1:1">
      <c r="A37215" t="inlineStr">
        <is>
          <t>San Antonio</t>
        </is>
      </c>
    </row>
    <row r="37216" spans="1:1">
      <c r="A37216" t="inlineStr">
        <is>
          <t>San Fernando</t>
        </is>
      </c>
    </row>
    <row r="37217" spans="1:1">
      <c r="A37217" t="inlineStr">
        <is>
          <t>San Isidro</t>
        </is>
      </c>
    </row>
    <row r="37218" spans="1:1">
      <c r="A37218" t="inlineStr">
        <is>
          <t>San Juan</t>
        </is>
      </c>
    </row>
    <row r="37219" spans="1:1">
      <c r="A37219" t="inlineStr">
        <is>
          <t>San Rafael</t>
        </is>
      </c>
    </row>
    <row r="37220" spans="1:1">
      <c r="A37220" t="inlineStr">
        <is>
          <t>San Ramon</t>
        </is>
      </c>
    </row>
    <row r="37221" spans="1:1">
      <c r="A37221" t="inlineStr">
        <is>
          <t>Santa Lourdes</t>
        </is>
      </c>
    </row>
    <row r="37222" spans="1:1">
      <c r="A37222" t="inlineStr">
        <is>
          <t>Santo Domingo</t>
        </is>
      </c>
    </row>
    <row r="37223" spans="1:1">
      <c r="A37223" t="inlineStr">
        <is>
          <t>Talisayan</t>
        </is>
      </c>
    </row>
    <row r="37224" spans="1:1">
      <c r="A37224" t="inlineStr">
        <is>
          <t>Tupaz</t>
        </is>
      </c>
    </row>
    <row r="37225" spans="1:1">
      <c r="A37225" t="inlineStr">
        <is>
          <t>Ulag</t>
        </is>
      </c>
    </row>
    <row r="37226" spans="1:1">
      <c r="A37226" t="inlineStr">
        <is>
          <t>Barangay Poblacion I</t>
        </is>
      </c>
    </row>
    <row r="37227" spans="1:1">
      <c r="A37227" t="inlineStr">
        <is>
          <t>Barangay Poblacion II</t>
        </is>
      </c>
    </row>
    <row r="37228" spans="1:1">
      <c r="A37228" t="inlineStr">
        <is>
          <t>Barangay Poblacion III</t>
        </is>
      </c>
    </row>
    <row r="37229" spans="1:1">
      <c r="A37229" t="inlineStr">
        <is>
          <t>Barangay Poblacion IV</t>
        </is>
      </c>
    </row>
    <row r="37230" spans="1:1">
      <c r="A37230" t="inlineStr">
        <is>
          <t>La Esperanza</t>
        </is>
      </c>
    </row>
    <row r="37231" spans="1:1">
      <c r="A37231" t="inlineStr">
        <is>
          <t>Peñafrancia</t>
        </is>
      </c>
    </row>
    <row r="37232" spans="1:1">
      <c r="A37232" t="inlineStr">
        <is>
          <t>Salvacion</t>
        </is>
      </c>
    </row>
    <row r="37233" spans="1:1">
      <c r="A37233" t="inlineStr">
        <is>
          <t>San Antonio</t>
        </is>
      </c>
    </row>
    <row r="37234" spans="1:1">
      <c r="A37234" t="inlineStr">
        <is>
          <t>San Bartolome</t>
        </is>
      </c>
    </row>
    <row r="37235" spans="1:1">
      <c r="A37235" t="inlineStr">
        <is>
          <t>San Eugenio</t>
        </is>
      </c>
    </row>
    <row r="37236" spans="1:1">
      <c r="A37236" t="inlineStr">
        <is>
          <t>San Isidro</t>
        </is>
      </c>
    </row>
    <row r="37237" spans="1:1">
      <c r="A37237" t="inlineStr">
        <is>
          <t>San Rafael</t>
        </is>
      </c>
    </row>
    <row r="37238" spans="1:1">
      <c r="A37238" t="inlineStr">
        <is>
          <t>San Roque</t>
        </is>
      </c>
    </row>
    <row r="37239" spans="1:1">
      <c r="A37239" t="inlineStr">
        <is>
          <t>San Sebastian</t>
        </is>
      </c>
    </row>
    <row r="37240" spans="1:1">
      <c r="A37240" t="inlineStr">
        <is>
          <t>Benitez</t>
        </is>
      </c>
    </row>
    <row r="37241" spans="1:1">
      <c r="A37241" t="inlineStr">
        <is>
          <t>Cabudian</t>
        </is>
      </c>
    </row>
    <row r="37242" spans="1:1">
      <c r="A37242" t="inlineStr">
        <is>
          <t>Cabuling</t>
        </is>
      </c>
    </row>
    <row r="37243" spans="1:1">
      <c r="A37243" t="inlineStr">
        <is>
          <t>Cinco</t>
        </is>
      </c>
    </row>
    <row r="37244" spans="1:1">
      <c r="A37244" t="inlineStr">
        <is>
          <t>Derilon</t>
        </is>
      </c>
    </row>
    <row r="37245" spans="1:1">
      <c r="A37245" t="inlineStr">
        <is>
          <t>El Nonok</t>
        </is>
      </c>
    </row>
    <row r="37246" spans="1:1">
      <c r="A37246" t="inlineStr">
        <is>
          <t>Improgo Village</t>
        </is>
      </c>
    </row>
    <row r="37247" spans="1:1">
      <c r="A37247" t="inlineStr">
        <is>
          <t>Kusan</t>
        </is>
      </c>
    </row>
    <row r="37248" spans="1:1">
      <c r="A37248" t="inlineStr">
        <is>
          <t>Lam-Apos</t>
        </is>
      </c>
    </row>
    <row r="37249" spans="1:1">
      <c r="A37249" t="inlineStr">
        <is>
          <t>Lamba</t>
        </is>
      </c>
    </row>
    <row r="37250" spans="1:1">
      <c r="A37250" t="inlineStr">
        <is>
          <t>Lambingi</t>
        </is>
      </c>
    </row>
    <row r="37251" spans="1:1">
      <c r="A37251" t="inlineStr">
        <is>
          <t>Lampari</t>
        </is>
      </c>
    </row>
    <row r="37252" spans="1:1">
      <c r="A37252" t="inlineStr">
        <is>
          <t>Liwanay</t>
        </is>
      </c>
    </row>
    <row r="37253" spans="1:1">
      <c r="A37253" t="inlineStr">
        <is>
          <t>Malaya</t>
        </is>
      </c>
    </row>
    <row r="37254" spans="1:1">
      <c r="A37254" t="inlineStr">
        <is>
          <t>Punong Grande</t>
        </is>
      </c>
    </row>
    <row r="37255" spans="1:1">
      <c r="A37255" t="inlineStr">
        <is>
          <t>Rang-ay</t>
        </is>
      </c>
    </row>
    <row r="37256" spans="1:1">
      <c r="A37256" t="inlineStr">
        <is>
          <t>Reyes</t>
        </is>
      </c>
    </row>
    <row r="37257" spans="1:1">
      <c r="A37257" t="inlineStr">
        <is>
          <t>Rizal</t>
        </is>
      </c>
    </row>
    <row r="37258" spans="1:1">
      <c r="A37258" t="inlineStr">
        <is>
          <t>Rizal Poblacion</t>
        </is>
      </c>
    </row>
    <row r="37259" spans="1:1">
      <c r="A37259" t="inlineStr">
        <is>
          <t>San Jose</t>
        </is>
      </c>
    </row>
    <row r="37260" spans="1:1">
      <c r="A37260" t="inlineStr">
        <is>
          <t>San Vicente</t>
        </is>
      </c>
    </row>
    <row r="37261" spans="1:1">
      <c r="A37261" t="inlineStr">
        <is>
          <t>Yangco Poblacion</t>
        </is>
      </c>
    </row>
    <row r="37262" spans="1:1">
      <c r="A37262" t="inlineStr">
        <is>
          <t>Assumption</t>
        </is>
      </c>
    </row>
    <row r="37263" spans="1:1">
      <c r="A37263" t="inlineStr">
        <is>
          <t>Avanceña</t>
        </is>
      </c>
    </row>
    <row r="37264" spans="1:1">
      <c r="A37264" t="inlineStr">
        <is>
          <t>Cacub</t>
        </is>
      </c>
    </row>
    <row r="37265" spans="1:1">
      <c r="A37265" t="inlineStr">
        <is>
          <t>Caloocan</t>
        </is>
      </c>
    </row>
    <row r="37266" spans="1:1">
      <c r="A37266" t="inlineStr">
        <is>
          <t>Carpenter Hill</t>
        </is>
      </c>
    </row>
    <row r="37267" spans="1:1">
      <c r="A37267" t="inlineStr">
        <is>
          <t>Concepcion</t>
        </is>
      </c>
    </row>
    <row r="37268" spans="1:1">
      <c r="A37268" t="inlineStr">
        <is>
          <t>Esperanza</t>
        </is>
      </c>
    </row>
    <row r="37269" spans="1:1">
      <c r="A37269" t="inlineStr">
        <is>
          <t>General Paulino Santos</t>
        </is>
      </c>
    </row>
    <row r="37270" spans="1:1">
      <c r="A37270" t="inlineStr">
        <is>
          <t>Mabini</t>
        </is>
      </c>
    </row>
    <row r="37271" spans="1:1">
      <c r="A37271" t="inlineStr">
        <is>
          <t>Magsaysay</t>
        </is>
      </c>
    </row>
    <row r="37272" spans="1:1">
      <c r="A37272" t="inlineStr">
        <is>
          <t>Mambucal</t>
        </is>
      </c>
    </row>
    <row r="37273" spans="1:1">
      <c r="A37273" t="inlineStr">
        <is>
          <t>Morales</t>
        </is>
      </c>
    </row>
    <row r="37274" spans="1:1">
      <c r="A37274" t="inlineStr">
        <is>
          <t>Namnama</t>
        </is>
      </c>
    </row>
    <row r="37275" spans="1:1">
      <c r="A37275" t="inlineStr">
        <is>
          <t>New Pangasinan</t>
        </is>
      </c>
    </row>
    <row r="37276" spans="1:1">
      <c r="A37276" t="inlineStr">
        <is>
          <t>Paraiso</t>
        </is>
      </c>
    </row>
    <row r="37277" spans="1:1">
      <c r="A37277" t="inlineStr">
        <is>
          <t>Rotonda</t>
        </is>
      </c>
    </row>
    <row r="37278" spans="1:1">
      <c r="A37278" t="inlineStr">
        <is>
          <t>San Isidro</t>
        </is>
      </c>
    </row>
    <row r="37279" spans="1:1">
      <c r="A37279" t="inlineStr">
        <is>
          <t>San Jose</t>
        </is>
      </c>
    </row>
    <row r="37280" spans="1:1">
      <c r="A37280" t="inlineStr">
        <is>
          <t>San Roque</t>
        </is>
      </c>
    </row>
    <row r="37281" spans="1:1">
      <c r="A37281" t="inlineStr">
        <is>
          <t>Santa Cruz</t>
        </is>
      </c>
    </row>
    <row r="37282" spans="1:1">
      <c r="A37282" t="inlineStr">
        <is>
          <t>Santo Niño</t>
        </is>
      </c>
    </row>
    <row r="37283" spans="1:1">
      <c r="A37283" t="inlineStr">
        <is>
          <t>Sarabia</t>
        </is>
      </c>
    </row>
    <row r="37284" spans="1:1">
      <c r="A37284" t="inlineStr">
        <is>
          <t>Zone I</t>
        </is>
      </c>
    </row>
    <row r="37285" spans="1:1">
      <c r="A37285" t="inlineStr">
        <is>
          <t>Zone II</t>
        </is>
      </c>
    </row>
    <row r="37286" spans="1:1">
      <c r="A37286" t="inlineStr">
        <is>
          <t>Zone III</t>
        </is>
      </c>
    </row>
    <row r="37287" spans="1:1">
      <c r="A37287" t="inlineStr">
        <is>
          <t>Zone IV</t>
        </is>
      </c>
    </row>
    <row r="37288" spans="1:1">
      <c r="A37288" t="inlineStr">
        <is>
          <t>Zulueta</t>
        </is>
      </c>
    </row>
    <row r="37289" spans="1:1">
      <c r="A37289" t="inlineStr">
        <is>
          <t>Bacdulong</t>
        </is>
      </c>
    </row>
    <row r="37290" spans="1:1">
      <c r="A37290" t="inlineStr">
        <is>
          <t>Denlag</t>
        </is>
      </c>
    </row>
    <row r="37291" spans="1:1">
      <c r="A37291" t="inlineStr">
        <is>
          <t>Halilan</t>
        </is>
      </c>
    </row>
    <row r="37292" spans="1:1">
      <c r="A37292" t="inlineStr">
        <is>
          <t>Hanoon</t>
        </is>
      </c>
    </row>
    <row r="37293" spans="1:1">
      <c r="A37293" t="inlineStr">
        <is>
          <t>Klubi</t>
        </is>
      </c>
    </row>
    <row r="37294" spans="1:1">
      <c r="A37294" t="inlineStr">
        <is>
          <t>Lake Lahit</t>
        </is>
      </c>
    </row>
    <row r="37295" spans="1:1">
      <c r="A37295" t="inlineStr">
        <is>
          <t>Lamcade</t>
        </is>
      </c>
    </row>
    <row r="37296" spans="1:1">
      <c r="A37296" t="inlineStr">
        <is>
          <t>Lamdalag</t>
        </is>
      </c>
    </row>
    <row r="37297" spans="1:1">
      <c r="A37297" t="inlineStr">
        <is>
          <t>Lamfugon</t>
        </is>
      </c>
    </row>
    <row r="37298" spans="1:1">
      <c r="A37298" t="inlineStr">
        <is>
          <t>Lamlahak</t>
        </is>
      </c>
    </row>
    <row r="37299" spans="1:1">
      <c r="A37299" t="inlineStr">
        <is>
          <t>Lower Maculan</t>
        </is>
      </c>
    </row>
    <row r="37300" spans="1:1">
      <c r="A37300" t="inlineStr">
        <is>
          <t>Luhib</t>
        </is>
      </c>
    </row>
    <row r="37301" spans="1:1">
      <c r="A37301" t="inlineStr">
        <is>
          <t>Ned</t>
        </is>
      </c>
    </row>
    <row r="37302" spans="1:1">
      <c r="A37302" t="inlineStr">
        <is>
          <t>Poblacion</t>
        </is>
      </c>
    </row>
    <row r="37303" spans="1:1">
      <c r="A37303" t="inlineStr">
        <is>
          <t>Siluton</t>
        </is>
      </c>
    </row>
    <row r="37304" spans="1:1">
      <c r="A37304" t="inlineStr">
        <is>
          <t>Takunel</t>
        </is>
      </c>
    </row>
    <row r="37305" spans="1:1">
      <c r="A37305" t="inlineStr">
        <is>
          <t>Talisay</t>
        </is>
      </c>
    </row>
    <row r="37306" spans="1:1">
      <c r="A37306" t="inlineStr">
        <is>
          <t>Tasiman</t>
        </is>
      </c>
    </row>
    <row r="37307" spans="1:1">
      <c r="A37307" t="inlineStr">
        <is>
          <t>Upper Maculan</t>
        </is>
      </c>
    </row>
    <row r="37308" spans="1:1">
      <c r="A37308" t="inlineStr">
        <is>
          <t>Benigno Aquino, Jr.</t>
        </is>
      </c>
    </row>
    <row r="37309" spans="1:1">
      <c r="A37309" t="inlineStr">
        <is>
          <t>Dumaguil</t>
        </is>
      </c>
    </row>
    <row r="37310" spans="1:1">
      <c r="A37310" t="inlineStr">
        <is>
          <t>Esperanza</t>
        </is>
      </c>
    </row>
    <row r="37311" spans="1:1">
      <c r="A37311" t="inlineStr">
        <is>
          <t>Kibid</t>
        </is>
      </c>
    </row>
    <row r="37312" spans="1:1">
      <c r="A37312" t="inlineStr">
        <is>
          <t>Lapuz</t>
        </is>
      </c>
    </row>
    <row r="37313" spans="1:1">
      <c r="A37313" t="inlineStr">
        <is>
          <t>Liberty</t>
        </is>
      </c>
    </row>
    <row r="37314" spans="1:1">
      <c r="A37314" t="inlineStr">
        <is>
          <t>Lopez Jaena</t>
        </is>
      </c>
    </row>
    <row r="37315" spans="1:1">
      <c r="A37315" t="inlineStr">
        <is>
          <t>Matapol</t>
        </is>
      </c>
    </row>
    <row r="37316" spans="1:1">
      <c r="A37316" t="inlineStr">
        <is>
          <t>Poblacion</t>
        </is>
      </c>
    </row>
    <row r="37317" spans="1:1">
      <c r="A37317" t="inlineStr">
        <is>
          <t>Puti</t>
        </is>
      </c>
    </row>
    <row r="37318" spans="1:1">
      <c r="A37318" t="inlineStr">
        <is>
          <t>San Jose</t>
        </is>
      </c>
    </row>
    <row r="37319" spans="1:1">
      <c r="A37319" t="inlineStr">
        <is>
          <t>San Miguel</t>
        </is>
      </c>
    </row>
    <row r="37320" spans="1:1">
      <c r="A37320" t="inlineStr">
        <is>
          <t>Simsiman</t>
        </is>
      </c>
    </row>
    <row r="37321" spans="1:1">
      <c r="A37321" t="inlineStr">
        <is>
          <t>Tinago</t>
        </is>
      </c>
    </row>
    <row r="37322" spans="1:1">
      <c r="A37322" t="inlineStr">
        <is>
          <t>Bentung</t>
        </is>
      </c>
    </row>
    <row r="37323" spans="1:1">
      <c r="A37323" t="inlineStr">
        <is>
          <t>Cannery Site</t>
        </is>
      </c>
    </row>
    <row r="37324" spans="1:1">
      <c r="A37324" t="inlineStr">
        <is>
          <t>Crossing Palkan</t>
        </is>
      </c>
    </row>
    <row r="37325" spans="1:1">
      <c r="A37325" t="inlineStr">
        <is>
          <t>Glamang</t>
        </is>
      </c>
    </row>
    <row r="37326" spans="1:1">
      <c r="A37326" t="inlineStr">
        <is>
          <t>Kinilis</t>
        </is>
      </c>
    </row>
    <row r="37327" spans="1:1">
      <c r="A37327" t="inlineStr">
        <is>
          <t>Klinan 6</t>
        </is>
      </c>
    </row>
    <row r="37328" spans="1:1">
      <c r="A37328" t="inlineStr">
        <is>
          <t>Koronadal Proper</t>
        </is>
      </c>
    </row>
    <row r="37329" spans="1:1">
      <c r="A37329" t="inlineStr">
        <is>
          <t>Lam-Caliaf</t>
        </is>
      </c>
    </row>
    <row r="37330" spans="1:1">
      <c r="A37330" t="inlineStr">
        <is>
          <t>Landan</t>
        </is>
      </c>
    </row>
    <row r="37331" spans="1:1">
      <c r="A37331" t="inlineStr">
        <is>
          <t>Lapu</t>
        </is>
      </c>
    </row>
    <row r="37332" spans="1:1">
      <c r="A37332" t="inlineStr">
        <is>
          <t>Lumakil</t>
        </is>
      </c>
    </row>
    <row r="37333" spans="1:1">
      <c r="A37333" t="inlineStr">
        <is>
          <t>Magsaysay</t>
        </is>
      </c>
    </row>
    <row r="37334" spans="1:1">
      <c r="A37334" t="inlineStr">
        <is>
          <t>Maligo</t>
        </is>
      </c>
    </row>
    <row r="37335" spans="1:1">
      <c r="A37335" t="inlineStr">
        <is>
          <t>Pagalungan</t>
        </is>
      </c>
    </row>
    <row r="37336" spans="1:1">
      <c r="A37336" t="inlineStr">
        <is>
          <t>Palkan</t>
        </is>
      </c>
    </row>
    <row r="37337" spans="1:1">
      <c r="A37337" t="inlineStr">
        <is>
          <t>Poblacion</t>
        </is>
      </c>
    </row>
    <row r="37338" spans="1:1">
      <c r="A37338" t="inlineStr">
        <is>
          <t>Polo</t>
        </is>
      </c>
    </row>
    <row r="37339" spans="1:1">
      <c r="A37339" t="inlineStr">
        <is>
          <t>Rubber</t>
        </is>
      </c>
    </row>
    <row r="37340" spans="1:1">
      <c r="A37340" t="inlineStr">
        <is>
          <t>Silway 7</t>
        </is>
      </c>
    </row>
    <row r="37341" spans="1:1">
      <c r="A37341" t="inlineStr">
        <is>
          <t>Silway 8</t>
        </is>
      </c>
    </row>
    <row r="37342" spans="1:1">
      <c r="A37342" t="inlineStr">
        <is>
          <t>Sulit</t>
        </is>
      </c>
    </row>
    <row r="37343" spans="1:1">
      <c r="A37343" t="inlineStr">
        <is>
          <t>Sumbakil</t>
        </is>
      </c>
    </row>
    <row r="37344" spans="1:1">
      <c r="A37344" t="inlineStr">
        <is>
          <t>Upper Klinan</t>
        </is>
      </c>
    </row>
    <row r="37345" spans="1:1">
      <c r="A37345" t="inlineStr">
        <is>
          <t>Ambalgan</t>
        </is>
      </c>
    </row>
    <row r="37346" spans="1:1">
      <c r="A37346" t="inlineStr">
        <is>
          <t>Guinsang-an</t>
        </is>
      </c>
    </row>
    <row r="37347" spans="1:1">
      <c r="A37347" t="inlineStr">
        <is>
          <t>Katipunan</t>
        </is>
      </c>
    </row>
    <row r="37348" spans="1:1">
      <c r="A37348" t="inlineStr">
        <is>
          <t>Manuel Roxas</t>
        </is>
      </c>
    </row>
    <row r="37349" spans="1:1">
      <c r="A37349" t="inlineStr">
        <is>
          <t>Panay</t>
        </is>
      </c>
    </row>
    <row r="37350" spans="1:1">
      <c r="A37350" t="inlineStr">
        <is>
          <t>Poblacion</t>
        </is>
      </c>
    </row>
    <row r="37351" spans="1:1">
      <c r="A37351" t="inlineStr">
        <is>
          <t>Sajaneba</t>
        </is>
      </c>
    </row>
    <row r="37352" spans="1:1">
      <c r="A37352" t="inlineStr">
        <is>
          <t>San Isidro</t>
        </is>
      </c>
    </row>
    <row r="37353" spans="1:1">
      <c r="A37353" t="inlineStr">
        <is>
          <t>San Vicente</t>
        </is>
      </c>
    </row>
    <row r="37354" spans="1:1">
      <c r="A37354" t="inlineStr">
        <is>
          <t>Teresita</t>
        </is>
      </c>
    </row>
    <row r="37355" spans="1:1">
      <c r="A37355" t="inlineStr">
        <is>
          <t>Buenavista</t>
        </is>
      </c>
    </row>
    <row r="37356" spans="1:1">
      <c r="A37356" t="inlineStr">
        <is>
          <t>Canahay</t>
        </is>
      </c>
    </row>
    <row r="37357" spans="1:1">
      <c r="A37357" t="inlineStr">
        <is>
          <t>Centrala</t>
        </is>
      </c>
    </row>
    <row r="37358" spans="1:1">
      <c r="A37358" t="inlineStr">
        <is>
          <t>Colongulo</t>
        </is>
      </c>
    </row>
    <row r="37359" spans="1:1">
      <c r="A37359" t="inlineStr">
        <is>
          <t>Dajay</t>
        </is>
      </c>
    </row>
    <row r="37360" spans="1:1">
      <c r="A37360" t="inlineStr">
        <is>
          <t>Duengas</t>
        </is>
      </c>
    </row>
    <row r="37361" spans="1:1">
      <c r="A37361" t="inlineStr">
        <is>
          <t>Lambontong</t>
        </is>
      </c>
    </row>
    <row r="37362" spans="1:1">
      <c r="A37362" t="inlineStr">
        <is>
          <t>Lamian</t>
        </is>
      </c>
    </row>
    <row r="37363" spans="1:1">
      <c r="A37363" t="inlineStr">
        <is>
          <t>Lamsugod</t>
        </is>
      </c>
    </row>
    <row r="37364" spans="1:1">
      <c r="A37364" t="inlineStr">
        <is>
          <t>Libertad</t>
        </is>
      </c>
    </row>
    <row r="37365" spans="1:1">
      <c r="A37365" t="inlineStr">
        <is>
          <t>Little Baguio</t>
        </is>
      </c>
    </row>
    <row r="37366" spans="1:1">
      <c r="A37366" t="inlineStr">
        <is>
          <t>Moloy</t>
        </is>
      </c>
    </row>
    <row r="37367" spans="1:1">
      <c r="A37367" t="inlineStr">
        <is>
          <t>Naci</t>
        </is>
      </c>
    </row>
    <row r="37368" spans="1:1">
      <c r="A37368" t="inlineStr">
        <is>
          <t>Talahik</t>
        </is>
      </c>
    </row>
    <row r="37369" spans="1:1">
      <c r="A37369" t="inlineStr">
        <is>
          <t>Tubiala</t>
        </is>
      </c>
    </row>
    <row r="37370" spans="1:1">
      <c r="A37370" t="inlineStr">
        <is>
          <t>Upper Sepaka</t>
        </is>
      </c>
    </row>
    <row r="37371" spans="1:1">
      <c r="A37371" t="inlineStr">
        <is>
          <t>Veterans</t>
        </is>
      </c>
    </row>
    <row r="37372" spans="1:1">
      <c r="A37372" t="inlineStr">
        <is>
          <t>Aflek</t>
        </is>
      </c>
    </row>
    <row r="37373" spans="1:1">
      <c r="A37373" t="inlineStr">
        <is>
          <t>Afus</t>
        </is>
      </c>
    </row>
    <row r="37374" spans="1:1">
      <c r="A37374" t="inlineStr">
        <is>
          <t>Basag</t>
        </is>
      </c>
    </row>
    <row r="37375" spans="1:1">
      <c r="A37375" t="inlineStr">
        <is>
          <t>Datal Bob</t>
        </is>
      </c>
    </row>
    <row r="37376" spans="1:1">
      <c r="A37376" t="inlineStr">
        <is>
          <t>Desawo</t>
        </is>
      </c>
    </row>
    <row r="37377" spans="1:1">
      <c r="A37377" t="inlineStr">
        <is>
          <t>Dlanag</t>
        </is>
      </c>
    </row>
    <row r="37378" spans="1:1">
      <c r="A37378" t="inlineStr">
        <is>
          <t>Edwards</t>
        </is>
      </c>
    </row>
    <row r="37379" spans="1:1">
      <c r="A37379" t="inlineStr">
        <is>
          <t>Kematu</t>
        </is>
      </c>
    </row>
    <row r="37380" spans="1:1">
      <c r="A37380" t="inlineStr">
        <is>
          <t>Laconon</t>
        </is>
      </c>
    </row>
    <row r="37381" spans="1:1">
      <c r="A37381" t="inlineStr">
        <is>
          <t>Lambangan</t>
        </is>
      </c>
    </row>
    <row r="37382" spans="1:1">
      <c r="A37382" t="inlineStr">
        <is>
          <t>Lambuling</t>
        </is>
      </c>
    </row>
    <row r="37383" spans="1:1">
      <c r="A37383" t="inlineStr">
        <is>
          <t>Lamhako</t>
        </is>
      </c>
    </row>
    <row r="37384" spans="1:1">
      <c r="A37384" t="inlineStr">
        <is>
          <t>Lamsalome</t>
        </is>
      </c>
    </row>
    <row r="37385" spans="1:1">
      <c r="A37385" t="inlineStr">
        <is>
          <t>Lemsnolon</t>
        </is>
      </c>
    </row>
    <row r="37386" spans="1:1">
      <c r="A37386" t="inlineStr">
        <is>
          <t>Maan</t>
        </is>
      </c>
    </row>
    <row r="37387" spans="1:1">
      <c r="A37387" t="inlineStr">
        <is>
          <t>Malugong</t>
        </is>
      </c>
    </row>
    <row r="37388" spans="1:1">
      <c r="A37388" t="inlineStr">
        <is>
          <t>Mongocayo</t>
        </is>
      </c>
    </row>
    <row r="37389" spans="1:1">
      <c r="A37389" t="inlineStr">
        <is>
          <t>New Dumangas</t>
        </is>
      </c>
    </row>
    <row r="37390" spans="1:1">
      <c r="A37390" t="inlineStr">
        <is>
          <t>Poblacion</t>
        </is>
      </c>
    </row>
    <row r="37391" spans="1:1">
      <c r="A37391" t="inlineStr">
        <is>
          <t>Salacafe</t>
        </is>
      </c>
    </row>
    <row r="37392" spans="1:1">
      <c r="A37392" t="inlineStr">
        <is>
          <t>Sinolon</t>
        </is>
      </c>
    </row>
    <row r="37393" spans="1:1">
      <c r="A37393" t="inlineStr">
        <is>
          <t>T'bolok</t>
        </is>
      </c>
    </row>
    <row r="37394" spans="1:1">
      <c r="A37394" t="inlineStr">
        <is>
          <t>Talcon</t>
        </is>
      </c>
    </row>
    <row r="37395" spans="1:1">
      <c r="A37395" t="inlineStr">
        <is>
          <t>Talufo</t>
        </is>
      </c>
    </row>
    <row r="37396" spans="1:1">
      <c r="A37396" t="inlineStr">
        <is>
          <t>Tudok</t>
        </is>
      </c>
    </row>
    <row r="37397" spans="1:1">
      <c r="A37397" t="inlineStr">
        <is>
          <t>Albagan</t>
        </is>
      </c>
    </row>
    <row r="37398" spans="1:1">
      <c r="A37398" t="inlineStr">
        <is>
          <t>Buto</t>
        </is>
      </c>
    </row>
    <row r="37399" spans="1:1">
      <c r="A37399" t="inlineStr">
        <is>
          <t>Danlag</t>
        </is>
      </c>
    </row>
    <row r="37400" spans="1:1">
      <c r="A37400" t="inlineStr">
        <is>
          <t>Kipalbig</t>
        </is>
      </c>
    </row>
    <row r="37401" spans="1:1">
      <c r="A37401" t="inlineStr">
        <is>
          <t>Lambayong</t>
        </is>
      </c>
    </row>
    <row r="37402" spans="1:1">
      <c r="A37402" t="inlineStr">
        <is>
          <t>Lampitak</t>
        </is>
      </c>
    </row>
    <row r="37403" spans="1:1">
      <c r="A37403" t="inlineStr">
        <is>
          <t>Liberty</t>
        </is>
      </c>
    </row>
    <row r="37404" spans="1:1">
      <c r="A37404" t="inlineStr">
        <is>
          <t>Maltana</t>
        </is>
      </c>
    </row>
    <row r="37405" spans="1:1">
      <c r="A37405" t="inlineStr">
        <is>
          <t>Palo</t>
        </is>
      </c>
    </row>
    <row r="37406" spans="1:1">
      <c r="A37406" t="inlineStr">
        <is>
          <t>Poblacion</t>
        </is>
      </c>
    </row>
    <row r="37407" spans="1:1">
      <c r="A37407" t="inlineStr">
        <is>
          <t>Pula-bato</t>
        </is>
      </c>
    </row>
    <row r="37408" spans="1:1">
      <c r="A37408" t="inlineStr">
        <is>
          <t>San Isidro</t>
        </is>
      </c>
    </row>
    <row r="37409" spans="1:1">
      <c r="A37409" t="inlineStr">
        <is>
          <t>Santa Cruz</t>
        </is>
      </c>
    </row>
    <row r="37410" spans="1:1">
      <c r="A37410" t="inlineStr">
        <is>
          <t>Tablu</t>
        </is>
      </c>
    </row>
    <row r="37411" spans="1:1">
      <c r="A37411" t="inlineStr">
        <is>
          <t>Bukay Pait</t>
        </is>
      </c>
    </row>
    <row r="37412" spans="1:1">
      <c r="A37412" t="inlineStr">
        <is>
          <t>Cabuling</t>
        </is>
      </c>
    </row>
    <row r="37413" spans="1:1">
      <c r="A37413" t="inlineStr">
        <is>
          <t>Dumadalig</t>
        </is>
      </c>
    </row>
    <row r="37414" spans="1:1">
      <c r="A37414" t="inlineStr">
        <is>
          <t>Libas</t>
        </is>
      </c>
    </row>
    <row r="37415" spans="1:1">
      <c r="A37415" t="inlineStr">
        <is>
          <t>Magon</t>
        </is>
      </c>
    </row>
    <row r="37416" spans="1:1">
      <c r="A37416" t="inlineStr">
        <is>
          <t>Maibo</t>
        </is>
      </c>
    </row>
    <row r="37417" spans="1:1">
      <c r="A37417" t="inlineStr">
        <is>
          <t>Mangilala</t>
        </is>
      </c>
    </row>
    <row r="37418" spans="1:1">
      <c r="A37418" t="inlineStr">
        <is>
          <t>New Cuyapo</t>
        </is>
      </c>
    </row>
    <row r="37419" spans="1:1">
      <c r="A37419" t="inlineStr">
        <is>
          <t>New Iloilo</t>
        </is>
      </c>
    </row>
    <row r="37420" spans="1:1">
      <c r="A37420" t="inlineStr">
        <is>
          <t>New Lambunao</t>
        </is>
      </c>
    </row>
    <row r="37421" spans="1:1">
      <c r="A37421" t="inlineStr">
        <is>
          <t>Poblacion</t>
        </is>
      </c>
    </row>
    <row r="37422" spans="1:1">
      <c r="A37422" t="inlineStr">
        <is>
          <t>San Felipe</t>
        </is>
      </c>
    </row>
    <row r="37423" spans="1:1">
      <c r="A37423" t="inlineStr">
        <is>
          <t>Tinongcop</t>
        </is>
      </c>
    </row>
    <row r="37424" spans="1:1">
      <c r="A37424" t="inlineStr">
        <is>
          <t>Acmonan</t>
        </is>
      </c>
    </row>
    <row r="37425" spans="1:1">
      <c r="A37425" t="inlineStr">
        <is>
          <t>Bololmala</t>
        </is>
      </c>
    </row>
    <row r="37426" spans="1:1">
      <c r="A37426" t="inlineStr">
        <is>
          <t>Bunao</t>
        </is>
      </c>
    </row>
    <row r="37427" spans="1:1">
      <c r="A37427" t="inlineStr">
        <is>
          <t>Cebuano</t>
        </is>
      </c>
    </row>
    <row r="37428" spans="1:1">
      <c r="A37428" t="inlineStr">
        <is>
          <t>Crossing Rubber</t>
        </is>
      </c>
    </row>
    <row r="37429" spans="1:1">
      <c r="A37429" t="inlineStr">
        <is>
          <t>Juan-Loreto Tamayo</t>
        </is>
      </c>
    </row>
    <row r="37430" spans="1:1">
      <c r="A37430" t="inlineStr">
        <is>
          <t>Kablon</t>
        </is>
      </c>
    </row>
    <row r="37431" spans="1:1">
      <c r="A37431" t="inlineStr">
        <is>
          <t>Kalkam</t>
        </is>
      </c>
    </row>
    <row r="37432" spans="1:1">
      <c r="A37432" t="inlineStr">
        <is>
          <t>Linan</t>
        </is>
      </c>
    </row>
    <row r="37433" spans="1:1">
      <c r="A37433" t="inlineStr">
        <is>
          <t>Lunen</t>
        </is>
      </c>
    </row>
    <row r="37434" spans="1:1">
      <c r="A37434" t="inlineStr">
        <is>
          <t>Miasong</t>
        </is>
      </c>
    </row>
    <row r="37435" spans="1:1">
      <c r="A37435" t="inlineStr">
        <is>
          <t>Palian</t>
        </is>
      </c>
    </row>
    <row r="37436" spans="1:1">
      <c r="A37436" t="inlineStr">
        <is>
          <t>Poblacion</t>
        </is>
      </c>
    </row>
    <row r="37437" spans="1:1">
      <c r="A37437" t="inlineStr">
        <is>
          <t>Polonuling</t>
        </is>
      </c>
    </row>
    <row r="37438" spans="1:1">
      <c r="A37438" t="inlineStr">
        <is>
          <t>Simbo</t>
        </is>
      </c>
    </row>
    <row r="37439" spans="1:1">
      <c r="A37439" t="inlineStr">
        <is>
          <t>Tubeng</t>
        </is>
      </c>
    </row>
    <row r="37440" spans="1:1">
      <c r="A37440" t="inlineStr">
        <is>
          <t>Amagusan</t>
        </is>
      </c>
    </row>
    <row r="37441" spans="1:1">
      <c r="A37441" t="inlineStr">
        <is>
          <t>Calintaan</t>
        </is>
      </c>
    </row>
    <row r="37442" spans="1:1">
      <c r="A37442" t="inlineStr">
        <is>
          <t>Canlabian</t>
        </is>
      </c>
    </row>
    <row r="37443" spans="1:1">
      <c r="A37443" t="inlineStr">
        <is>
          <t>Capacuhan</t>
        </is>
      </c>
    </row>
    <row r="37444" spans="1:1">
      <c r="A37444" t="inlineStr">
        <is>
          <t>Cogon</t>
        </is>
      </c>
    </row>
    <row r="37445" spans="1:1">
      <c r="A37445" t="inlineStr">
        <is>
          <t>Kagingkingan</t>
        </is>
      </c>
    </row>
    <row r="37446" spans="1:1">
      <c r="A37446" t="inlineStr">
        <is>
          <t>Lewing</t>
        </is>
      </c>
    </row>
    <row r="37447" spans="1:1">
      <c r="A37447" t="inlineStr">
        <is>
          <t>Lo-ok</t>
        </is>
      </c>
    </row>
    <row r="37448" spans="1:1">
      <c r="A37448" t="inlineStr">
        <is>
          <t>Mahalo</t>
        </is>
      </c>
    </row>
    <row r="37449" spans="1:1">
      <c r="A37449" t="inlineStr">
        <is>
          <t>Mainit</t>
        </is>
      </c>
    </row>
    <row r="37450" spans="1:1">
      <c r="A37450" t="inlineStr">
        <is>
          <t>Manigawong</t>
        </is>
      </c>
    </row>
    <row r="37451" spans="1:1">
      <c r="A37451" t="inlineStr">
        <is>
          <t>Poblacion</t>
        </is>
      </c>
    </row>
    <row r="37452" spans="1:1">
      <c r="A37452" t="inlineStr">
        <is>
          <t>San Vicente</t>
        </is>
      </c>
    </row>
    <row r="37453" spans="1:1">
      <c r="A37453" t="inlineStr">
        <is>
          <t>Tagup-on</t>
        </is>
      </c>
    </row>
    <row r="37454" spans="1:1">
      <c r="A37454" t="inlineStr">
        <is>
          <t>Anahao</t>
        </is>
      </c>
    </row>
    <row r="37455" spans="1:1">
      <c r="A37455" t="inlineStr">
        <is>
          <t>Banahao</t>
        </is>
      </c>
    </row>
    <row r="37456" spans="1:1">
      <c r="A37456" t="inlineStr">
        <is>
          <t>Baugo</t>
        </is>
      </c>
    </row>
    <row r="37457" spans="1:1">
      <c r="A37457" t="inlineStr">
        <is>
          <t>Beniton</t>
        </is>
      </c>
    </row>
    <row r="37458" spans="1:1">
      <c r="A37458" t="inlineStr">
        <is>
          <t>Buenavista</t>
        </is>
      </c>
    </row>
    <row r="37459" spans="1:1">
      <c r="A37459" t="inlineStr">
        <is>
          <t>Bunga</t>
        </is>
      </c>
    </row>
    <row r="37460" spans="1:1">
      <c r="A37460" t="inlineStr">
        <is>
          <t>Casao</t>
        </is>
      </c>
    </row>
    <row r="37461" spans="1:1">
      <c r="A37461" t="inlineStr">
        <is>
          <t>Catmon</t>
        </is>
      </c>
    </row>
    <row r="37462" spans="1:1">
      <c r="A37462" t="inlineStr">
        <is>
          <t>Catoogan</t>
        </is>
      </c>
    </row>
    <row r="37463" spans="1:1">
      <c r="A37463" t="inlineStr">
        <is>
          <t>Cawayanan</t>
        </is>
      </c>
    </row>
    <row r="37464" spans="1:1">
      <c r="A37464" t="inlineStr">
        <is>
          <t>Dao</t>
        </is>
      </c>
    </row>
    <row r="37465" spans="1:1">
      <c r="A37465" t="inlineStr">
        <is>
          <t>Divisoria</t>
        </is>
      </c>
    </row>
    <row r="37466" spans="1:1">
      <c r="A37466" t="inlineStr">
        <is>
          <t>Esperanza</t>
        </is>
      </c>
    </row>
    <row r="37467" spans="1:1">
      <c r="A37467" t="inlineStr">
        <is>
          <t>Guinsangaan</t>
        </is>
      </c>
    </row>
    <row r="37468" spans="1:1">
      <c r="A37468" t="inlineStr">
        <is>
          <t>Hibagwan</t>
        </is>
      </c>
    </row>
    <row r="37469" spans="1:1">
      <c r="A37469" t="inlineStr">
        <is>
          <t>Hilaan</t>
        </is>
      </c>
    </row>
    <row r="37470" spans="1:1">
      <c r="A37470" t="inlineStr">
        <is>
          <t>Himakilo</t>
        </is>
      </c>
    </row>
    <row r="37471" spans="1:1">
      <c r="A37471" t="inlineStr">
        <is>
          <t>Hitawos</t>
        </is>
      </c>
    </row>
    <row r="37472" spans="1:1">
      <c r="A37472" t="inlineStr">
        <is>
          <t>Lanao</t>
        </is>
      </c>
    </row>
    <row r="37473" spans="1:1">
      <c r="A37473" t="inlineStr">
        <is>
          <t>Lawgawan</t>
        </is>
      </c>
    </row>
    <row r="37474" spans="1:1">
      <c r="A37474" t="inlineStr">
        <is>
          <t>Mahayahay</t>
        </is>
      </c>
    </row>
    <row r="37475" spans="1:1">
      <c r="A37475" t="inlineStr">
        <is>
          <t>Malbago</t>
        </is>
      </c>
    </row>
    <row r="37476" spans="1:1">
      <c r="A37476" t="inlineStr">
        <is>
          <t>Mauylab</t>
        </is>
      </c>
    </row>
    <row r="37477" spans="1:1">
      <c r="A37477" t="inlineStr">
        <is>
          <t>Olisihan</t>
        </is>
      </c>
    </row>
    <row r="37478" spans="1:1">
      <c r="A37478" t="inlineStr">
        <is>
          <t>Paku</t>
        </is>
      </c>
    </row>
    <row r="37479" spans="1:1">
      <c r="A37479" t="inlineStr">
        <is>
          <t>Pamahawan</t>
        </is>
      </c>
    </row>
    <row r="37480" spans="1:1">
      <c r="A37480" t="inlineStr">
        <is>
          <t>Pamigsian</t>
        </is>
      </c>
    </row>
    <row r="37481" spans="1:1">
      <c r="A37481" t="inlineStr">
        <is>
          <t>Pangi</t>
        </is>
      </c>
    </row>
    <row r="37482" spans="1:1">
      <c r="A37482" t="inlineStr">
        <is>
          <t>Poblacion</t>
        </is>
      </c>
    </row>
    <row r="37483" spans="1:1">
      <c r="A37483" t="inlineStr">
        <is>
          <t>Pong-on</t>
        </is>
      </c>
    </row>
    <row r="37484" spans="1:1">
      <c r="A37484" t="inlineStr">
        <is>
          <t>Sampongon</t>
        </is>
      </c>
    </row>
    <row r="37485" spans="1:1">
      <c r="A37485" t="inlineStr">
        <is>
          <t>San Ramon</t>
        </is>
      </c>
    </row>
    <row r="37486" spans="1:1">
      <c r="A37486" t="inlineStr">
        <is>
          <t>San Vicente</t>
        </is>
      </c>
    </row>
    <row r="37487" spans="1:1">
      <c r="A37487" t="inlineStr">
        <is>
          <t>Santa Cruz</t>
        </is>
      </c>
    </row>
    <row r="37488" spans="1:1">
      <c r="A37488" t="inlineStr">
        <is>
          <t>Santo Niño</t>
        </is>
      </c>
    </row>
    <row r="37489" spans="1:1">
      <c r="A37489" t="inlineStr">
        <is>
          <t>Taa</t>
        </is>
      </c>
    </row>
    <row r="37490" spans="1:1">
      <c r="A37490" t="inlineStr">
        <is>
          <t>Talisay</t>
        </is>
      </c>
    </row>
    <row r="37491" spans="1:1">
      <c r="A37491" t="inlineStr">
        <is>
          <t>Taytagan</t>
        </is>
      </c>
    </row>
    <row r="37492" spans="1:1">
      <c r="A37492" t="inlineStr">
        <is>
          <t>Tuburan</t>
        </is>
      </c>
    </row>
    <row r="37493" spans="1:1">
      <c r="A37493" t="inlineStr">
        <is>
          <t>Union</t>
        </is>
      </c>
    </row>
    <row r="37494" spans="1:1">
      <c r="A37494" t="inlineStr">
        <is>
          <t>Abgao</t>
        </is>
      </c>
    </row>
    <row r="37495" spans="1:1">
      <c r="A37495" t="inlineStr">
        <is>
          <t>Acasia</t>
        </is>
      </c>
    </row>
    <row r="37496" spans="1:1">
      <c r="A37496" t="inlineStr">
        <is>
          <t>Asuncion</t>
        </is>
      </c>
    </row>
    <row r="37497" spans="1:1">
      <c r="A37497" t="inlineStr">
        <is>
          <t>Bactul I</t>
        </is>
      </c>
    </row>
    <row r="37498" spans="1:1">
      <c r="A37498" t="inlineStr">
        <is>
          <t>Bactul II</t>
        </is>
      </c>
    </row>
    <row r="37499" spans="1:1">
      <c r="A37499" t="inlineStr">
        <is>
          <t>Badiang</t>
        </is>
      </c>
    </row>
    <row r="37500" spans="1:1">
      <c r="A37500" t="inlineStr">
        <is>
          <t>Bagtican</t>
        </is>
      </c>
    </row>
    <row r="37501" spans="1:1">
      <c r="A37501" t="inlineStr">
        <is>
          <t>Basak</t>
        </is>
      </c>
    </row>
    <row r="37502" spans="1:1">
      <c r="A37502" t="inlineStr">
        <is>
          <t>Bato I</t>
        </is>
      </c>
    </row>
    <row r="37503" spans="1:1">
      <c r="A37503" t="inlineStr">
        <is>
          <t>Bato II</t>
        </is>
      </c>
    </row>
    <row r="37504" spans="1:1">
      <c r="A37504" t="inlineStr">
        <is>
          <t>Batuan</t>
        </is>
      </c>
    </row>
    <row r="37505" spans="1:1">
      <c r="A37505" t="inlineStr">
        <is>
          <t>Baugo</t>
        </is>
      </c>
    </row>
    <row r="37506" spans="1:1">
      <c r="A37506" t="inlineStr">
        <is>
          <t>Bilibol</t>
        </is>
      </c>
    </row>
    <row r="37507" spans="1:1">
      <c r="A37507" t="inlineStr">
        <is>
          <t>Bogo</t>
        </is>
      </c>
    </row>
    <row r="37508" spans="1:1">
      <c r="A37508" t="inlineStr">
        <is>
          <t>Cabadiangan</t>
        </is>
      </c>
    </row>
    <row r="37509" spans="1:1">
      <c r="A37509" t="inlineStr">
        <is>
          <t>Cabulihan</t>
        </is>
      </c>
    </row>
    <row r="37510" spans="1:1">
      <c r="A37510" t="inlineStr">
        <is>
          <t>Cagnituan</t>
        </is>
      </c>
    </row>
    <row r="37511" spans="1:1">
      <c r="A37511" t="inlineStr">
        <is>
          <t>Cambooc</t>
        </is>
      </c>
    </row>
    <row r="37512" spans="1:1">
      <c r="A37512" t="inlineStr">
        <is>
          <t>Cansirong</t>
        </is>
      </c>
    </row>
    <row r="37513" spans="1:1">
      <c r="A37513" t="inlineStr">
        <is>
          <t>Canturing</t>
        </is>
      </c>
    </row>
    <row r="37514" spans="1:1">
      <c r="A37514" t="inlineStr">
        <is>
          <t>Canyuom</t>
        </is>
      </c>
    </row>
    <row r="37515" spans="1:1">
      <c r="A37515" t="inlineStr">
        <is>
          <t>Combado</t>
        </is>
      </c>
    </row>
    <row r="37516" spans="1:1">
      <c r="A37516" t="inlineStr">
        <is>
          <t>Dongon</t>
        </is>
      </c>
    </row>
    <row r="37517" spans="1:1">
      <c r="A37517" t="inlineStr">
        <is>
          <t>Gawisan</t>
        </is>
      </c>
    </row>
    <row r="37518" spans="1:1">
      <c r="A37518" t="inlineStr">
        <is>
          <t>Guadalupe</t>
        </is>
      </c>
    </row>
    <row r="37519" spans="1:1">
      <c r="A37519" t="inlineStr">
        <is>
          <t>Hanginan</t>
        </is>
      </c>
    </row>
    <row r="37520" spans="1:1">
      <c r="A37520" t="inlineStr">
        <is>
          <t>Hantag</t>
        </is>
      </c>
    </row>
    <row r="37521" spans="1:1">
      <c r="A37521" t="inlineStr">
        <is>
          <t>Hinapu Daku</t>
        </is>
      </c>
    </row>
    <row r="37522" spans="1:1">
      <c r="A37522" t="inlineStr">
        <is>
          <t>Hinapu Gamay</t>
        </is>
      </c>
    </row>
    <row r="37523" spans="1:1">
      <c r="A37523" t="inlineStr">
        <is>
          <t>Ibarra</t>
        </is>
      </c>
    </row>
    <row r="37524" spans="1:1">
      <c r="A37524" t="inlineStr">
        <is>
          <t>Isagani</t>
        </is>
      </c>
    </row>
    <row r="37525" spans="1:1">
      <c r="A37525" t="inlineStr">
        <is>
          <t>Laboon</t>
        </is>
      </c>
    </row>
    <row r="37526" spans="1:1">
      <c r="A37526" t="inlineStr">
        <is>
          <t>Lanao</t>
        </is>
      </c>
    </row>
    <row r="37527" spans="1:1">
      <c r="A37527" t="inlineStr">
        <is>
          <t>Lib-og</t>
        </is>
      </c>
    </row>
    <row r="37528" spans="1:1">
      <c r="A37528" t="inlineStr">
        <is>
          <t>Libertad</t>
        </is>
      </c>
    </row>
    <row r="37529" spans="1:1">
      <c r="A37529" t="inlineStr">
        <is>
          <t>Libhu</t>
        </is>
      </c>
    </row>
    <row r="37530" spans="1:1">
      <c r="A37530" t="inlineStr">
        <is>
          <t>Lonoy</t>
        </is>
      </c>
    </row>
    <row r="37531" spans="1:1">
      <c r="A37531" t="inlineStr">
        <is>
          <t>Lunas</t>
        </is>
      </c>
    </row>
    <row r="37532" spans="1:1">
      <c r="A37532" t="inlineStr">
        <is>
          <t>Mahayahay</t>
        </is>
      </c>
    </row>
    <row r="37533" spans="1:1">
      <c r="A37533" t="inlineStr">
        <is>
          <t>Malapoc Norte</t>
        </is>
      </c>
    </row>
    <row r="37534" spans="1:1">
      <c r="A37534" t="inlineStr">
        <is>
          <t>Malapoc Sur</t>
        </is>
      </c>
    </row>
    <row r="37535" spans="1:1">
      <c r="A37535" t="inlineStr">
        <is>
          <t>Mambajao</t>
        </is>
      </c>
    </row>
    <row r="37536" spans="1:1">
      <c r="A37536" t="inlineStr">
        <is>
          <t>Manhilo</t>
        </is>
      </c>
    </row>
    <row r="37537" spans="1:1">
      <c r="A37537" t="inlineStr">
        <is>
          <t>Mantahan</t>
        </is>
      </c>
    </row>
    <row r="37538" spans="1:1">
      <c r="A37538" t="inlineStr">
        <is>
          <t>Maria Clara</t>
        </is>
      </c>
    </row>
    <row r="37539" spans="1:1">
      <c r="A37539" t="inlineStr">
        <is>
          <t>Matin-ao</t>
        </is>
      </c>
    </row>
    <row r="37540" spans="1:1">
      <c r="A37540" t="inlineStr">
        <is>
          <t>Nasaug</t>
        </is>
      </c>
    </row>
    <row r="37541" spans="1:1">
      <c r="A37541" t="inlineStr">
        <is>
          <t>Nati</t>
        </is>
      </c>
    </row>
    <row r="37542" spans="1:1">
      <c r="A37542" t="inlineStr">
        <is>
          <t>Nonok Norte</t>
        </is>
      </c>
    </row>
    <row r="37543" spans="1:1">
      <c r="A37543" t="inlineStr">
        <is>
          <t>Nonok Sur</t>
        </is>
      </c>
    </row>
    <row r="37544" spans="1:1">
      <c r="A37544" t="inlineStr">
        <is>
          <t>Panan-awan</t>
        </is>
      </c>
    </row>
    <row r="37545" spans="1:1">
      <c r="A37545" t="inlineStr">
        <is>
          <t>Pansaan</t>
        </is>
      </c>
    </row>
    <row r="37546" spans="1:1">
      <c r="A37546" t="inlineStr">
        <is>
          <t>Pasay</t>
        </is>
      </c>
    </row>
    <row r="37547" spans="1:1">
      <c r="A37547" t="inlineStr">
        <is>
          <t>Pinascohan</t>
        </is>
      </c>
    </row>
    <row r="37548" spans="1:1">
      <c r="A37548" t="inlineStr">
        <is>
          <t>Rizal</t>
        </is>
      </c>
    </row>
    <row r="37549" spans="1:1">
      <c r="A37549" t="inlineStr">
        <is>
          <t>San Agustin</t>
        </is>
      </c>
    </row>
    <row r="37550" spans="1:1">
      <c r="A37550" t="inlineStr">
        <is>
          <t>San Isidro</t>
        </is>
      </c>
    </row>
    <row r="37551" spans="1:1">
      <c r="A37551" t="inlineStr">
        <is>
          <t>San Jose</t>
        </is>
      </c>
    </row>
    <row r="37552" spans="1:1">
      <c r="A37552" t="inlineStr">
        <is>
          <t>San Rafael</t>
        </is>
      </c>
    </row>
    <row r="37553" spans="1:1">
      <c r="A37553" t="inlineStr">
        <is>
          <t>Santa Cruz</t>
        </is>
      </c>
    </row>
    <row r="37554" spans="1:1">
      <c r="A37554" t="inlineStr">
        <is>
          <t>Santa Rosa</t>
        </is>
      </c>
    </row>
    <row r="37555" spans="1:1">
      <c r="A37555" t="inlineStr">
        <is>
          <t>Santo Niño</t>
        </is>
      </c>
    </row>
    <row r="37556" spans="1:1">
      <c r="A37556" t="inlineStr">
        <is>
          <t>Santo Rosario</t>
        </is>
      </c>
    </row>
    <row r="37557" spans="1:1">
      <c r="A37557" t="inlineStr">
        <is>
          <t>Soro-soro</t>
        </is>
      </c>
    </row>
    <row r="37558" spans="1:1">
      <c r="A37558" t="inlineStr">
        <is>
          <t>Tagnipa</t>
        </is>
      </c>
    </row>
    <row r="37559" spans="1:1">
      <c r="A37559" t="inlineStr">
        <is>
          <t>Tam-is</t>
        </is>
      </c>
    </row>
    <row r="37560" spans="1:1">
      <c r="A37560" t="inlineStr">
        <is>
          <t>Tawid</t>
        </is>
      </c>
    </row>
    <row r="37561" spans="1:1">
      <c r="A37561" t="inlineStr">
        <is>
          <t>Tigbawan</t>
        </is>
      </c>
    </row>
    <row r="37562" spans="1:1">
      <c r="A37562" t="inlineStr">
        <is>
          <t>Tomoy-tomoy</t>
        </is>
      </c>
    </row>
    <row r="37563" spans="1:1">
      <c r="A37563" t="inlineStr">
        <is>
          <t>Tunga-tunga</t>
        </is>
      </c>
    </row>
    <row r="37564" spans="1:1">
      <c r="A37564" t="inlineStr">
        <is>
          <t>Ambacon</t>
        </is>
      </c>
    </row>
    <row r="37565" spans="1:1">
      <c r="A37565" t="inlineStr">
        <is>
          <t>Badiangon</t>
        </is>
      </c>
    </row>
    <row r="37566" spans="1:1">
      <c r="A37566" t="inlineStr">
        <is>
          <t>Bangcas A</t>
        </is>
      </c>
    </row>
    <row r="37567" spans="1:1">
      <c r="A37567" t="inlineStr">
        <is>
          <t>Bangcas B</t>
        </is>
      </c>
    </row>
    <row r="37568" spans="1:1">
      <c r="A37568" t="inlineStr">
        <is>
          <t>Biasong</t>
        </is>
      </c>
    </row>
    <row r="37569" spans="1:1">
      <c r="A37569" t="inlineStr">
        <is>
          <t>Bugho</t>
        </is>
      </c>
    </row>
    <row r="37570" spans="1:1">
      <c r="A37570" t="inlineStr">
        <is>
          <t>Calag-itan</t>
        </is>
      </c>
    </row>
    <row r="37571" spans="1:1">
      <c r="A37571" t="inlineStr">
        <is>
          <t>Calayugan</t>
        </is>
      </c>
    </row>
    <row r="37572" spans="1:1">
      <c r="A37572" t="inlineStr">
        <is>
          <t>Calinao</t>
        </is>
      </c>
    </row>
    <row r="37573" spans="1:1">
      <c r="A37573" t="inlineStr">
        <is>
          <t>Canipaan</t>
        </is>
      </c>
    </row>
    <row r="37574" spans="1:1">
      <c r="A37574" t="inlineStr">
        <is>
          <t>Catublian</t>
        </is>
      </c>
    </row>
    <row r="37575" spans="1:1">
      <c r="A37575" t="inlineStr">
        <is>
          <t>Ilaya</t>
        </is>
      </c>
    </row>
    <row r="37576" spans="1:1">
      <c r="A37576" t="inlineStr">
        <is>
          <t>Ingan</t>
        </is>
      </c>
    </row>
    <row r="37577" spans="1:1">
      <c r="A37577" t="inlineStr">
        <is>
          <t>Labrador</t>
        </is>
      </c>
    </row>
    <row r="37578" spans="1:1">
      <c r="A37578" t="inlineStr">
        <is>
          <t>Libas</t>
        </is>
      </c>
    </row>
    <row r="37579" spans="1:1">
      <c r="A37579" t="inlineStr">
        <is>
          <t>Lumbog</t>
        </is>
      </c>
    </row>
    <row r="37580" spans="1:1">
      <c r="A37580" t="inlineStr">
        <is>
          <t>Manalog</t>
        </is>
      </c>
    </row>
    <row r="37581" spans="1:1">
      <c r="A37581" t="inlineStr">
        <is>
          <t>Manlico</t>
        </is>
      </c>
    </row>
    <row r="37582" spans="1:1">
      <c r="A37582" t="inlineStr">
        <is>
          <t>Matin-ao</t>
        </is>
      </c>
    </row>
    <row r="37583" spans="1:1">
      <c r="A37583" t="inlineStr">
        <is>
          <t>Nava</t>
        </is>
      </c>
    </row>
    <row r="37584" spans="1:1">
      <c r="A37584" t="inlineStr">
        <is>
          <t>Nueva Esperanza</t>
        </is>
      </c>
    </row>
    <row r="37585" spans="1:1">
      <c r="A37585" t="inlineStr">
        <is>
          <t>Otama</t>
        </is>
      </c>
    </row>
    <row r="37586" spans="1:1">
      <c r="A37586" t="inlineStr">
        <is>
          <t>Palongpong</t>
        </is>
      </c>
    </row>
    <row r="37587" spans="1:1">
      <c r="A37587" t="inlineStr">
        <is>
          <t>Panalaron</t>
        </is>
      </c>
    </row>
    <row r="37588" spans="1:1">
      <c r="A37588" t="inlineStr">
        <is>
          <t>Patong</t>
        </is>
      </c>
    </row>
    <row r="37589" spans="1:1">
      <c r="A37589" t="inlineStr">
        <is>
          <t>Poblacion</t>
        </is>
      </c>
    </row>
    <row r="37590" spans="1:1">
      <c r="A37590" t="inlineStr">
        <is>
          <t>Pondol</t>
        </is>
      </c>
    </row>
    <row r="37591" spans="1:1">
      <c r="A37591" t="inlineStr">
        <is>
          <t>Salog</t>
        </is>
      </c>
    </row>
    <row r="37592" spans="1:1">
      <c r="A37592" t="inlineStr">
        <is>
          <t>Salvacion</t>
        </is>
      </c>
    </row>
    <row r="37593" spans="1:1">
      <c r="A37593" t="inlineStr">
        <is>
          <t>San Pablo Island</t>
        </is>
      </c>
    </row>
    <row r="37594" spans="1:1">
      <c r="A37594" t="inlineStr">
        <is>
          <t>San Pedro Island</t>
        </is>
      </c>
    </row>
    <row r="37595" spans="1:1">
      <c r="A37595" t="inlineStr">
        <is>
          <t>Santo Niño I</t>
        </is>
      </c>
    </row>
    <row r="37596" spans="1:1">
      <c r="A37596" t="inlineStr">
        <is>
          <t>Santo Niño II</t>
        </is>
      </c>
    </row>
    <row r="37597" spans="1:1">
      <c r="A37597" t="inlineStr">
        <is>
          <t>Tahusan</t>
        </is>
      </c>
    </row>
    <row r="37598" spans="1:1">
      <c r="A37598" t="inlineStr">
        <is>
          <t>Talisay</t>
        </is>
      </c>
    </row>
    <row r="37599" spans="1:1">
      <c r="A37599" t="inlineStr">
        <is>
          <t>Tawog</t>
        </is>
      </c>
    </row>
    <row r="37600" spans="1:1">
      <c r="A37600" t="inlineStr">
        <is>
          <t>Toptop</t>
        </is>
      </c>
    </row>
    <row r="37601" spans="1:1">
      <c r="A37601" t="inlineStr">
        <is>
          <t>Tuburan</t>
        </is>
      </c>
    </row>
    <row r="37602" spans="1:1">
      <c r="A37602" t="inlineStr">
        <is>
          <t>Union</t>
        </is>
      </c>
    </row>
    <row r="37603" spans="1:1">
      <c r="A37603" t="inlineStr">
        <is>
          <t>Upper Bantawon</t>
        </is>
      </c>
    </row>
    <row r="37604" spans="1:1">
      <c r="A37604" t="inlineStr">
        <is>
          <t>Amaga</t>
        </is>
      </c>
    </row>
    <row r="37605" spans="1:1">
      <c r="A37605" t="inlineStr">
        <is>
          <t>Ambao</t>
        </is>
      </c>
    </row>
    <row r="37606" spans="1:1">
      <c r="A37606" t="inlineStr">
        <is>
          <t>An-an</t>
        </is>
      </c>
    </row>
    <row r="37607" spans="1:1">
      <c r="A37607" t="inlineStr">
        <is>
          <t>Baculod</t>
        </is>
      </c>
    </row>
    <row r="37608" spans="1:1">
      <c r="A37608" t="inlineStr">
        <is>
          <t>Biasong</t>
        </is>
      </c>
    </row>
    <row r="37609" spans="1:1">
      <c r="A37609" t="inlineStr">
        <is>
          <t>Bugho</t>
        </is>
      </c>
    </row>
    <row r="37610" spans="1:1">
      <c r="A37610" t="inlineStr">
        <is>
          <t>Cabulisan</t>
        </is>
      </c>
    </row>
    <row r="37611" spans="1:1">
      <c r="A37611" t="inlineStr">
        <is>
          <t>Cat-iwing</t>
        </is>
      </c>
    </row>
    <row r="37612" spans="1:1">
      <c r="A37612" t="inlineStr">
        <is>
          <t>District I</t>
        </is>
      </c>
    </row>
    <row r="37613" spans="1:1">
      <c r="A37613" t="inlineStr">
        <is>
          <t>District II</t>
        </is>
      </c>
    </row>
    <row r="37614" spans="1:1">
      <c r="A37614" t="inlineStr">
        <is>
          <t>District III</t>
        </is>
      </c>
    </row>
    <row r="37615" spans="1:1">
      <c r="A37615" t="inlineStr">
        <is>
          <t>Hubasan</t>
        </is>
      </c>
    </row>
    <row r="37616" spans="1:1">
      <c r="A37616" t="inlineStr">
        <is>
          <t>Lungsodaan</t>
        </is>
      </c>
    </row>
    <row r="37617" spans="1:1">
      <c r="A37617" t="inlineStr">
        <is>
          <t>Navalita</t>
        </is>
      </c>
    </row>
    <row r="37618" spans="1:1">
      <c r="A37618" t="inlineStr">
        <is>
          <t>Plaridel</t>
        </is>
      </c>
    </row>
    <row r="37619" spans="1:1">
      <c r="A37619" t="inlineStr">
        <is>
          <t>Sabang</t>
        </is>
      </c>
    </row>
    <row r="37620" spans="1:1">
      <c r="A37620" t="inlineStr">
        <is>
          <t>Sagbok</t>
        </is>
      </c>
    </row>
    <row r="37621" spans="1:1">
      <c r="A37621" t="inlineStr">
        <is>
          <t>Biasong</t>
        </is>
      </c>
    </row>
    <row r="37622" spans="1:1">
      <c r="A37622" t="inlineStr">
        <is>
          <t>Bogasong</t>
        </is>
      </c>
    </row>
    <row r="37623" spans="1:1">
      <c r="A37623" t="inlineStr">
        <is>
          <t>Cawayan</t>
        </is>
      </c>
    </row>
    <row r="37624" spans="1:1">
      <c r="A37624" t="inlineStr">
        <is>
          <t>Gakat</t>
        </is>
      </c>
    </row>
    <row r="37625" spans="1:1">
      <c r="A37625" t="inlineStr">
        <is>
          <t>Jubas</t>
        </is>
      </c>
    </row>
    <row r="37626" spans="1:1">
      <c r="A37626" t="inlineStr">
        <is>
          <t>Magkasag</t>
        </is>
      </c>
    </row>
    <row r="37627" spans="1:1">
      <c r="A37627" t="inlineStr">
        <is>
          <t>Mayuga</t>
        </is>
      </c>
    </row>
    <row r="37628" spans="1:1">
      <c r="A37628" t="inlineStr">
        <is>
          <t>Nahaong</t>
        </is>
      </c>
    </row>
    <row r="37629" spans="1:1">
      <c r="A37629" t="inlineStr">
        <is>
          <t>Nahulid</t>
        </is>
      </c>
    </row>
    <row r="37630" spans="1:1">
      <c r="A37630" t="inlineStr">
        <is>
          <t>Otikon</t>
        </is>
      </c>
    </row>
    <row r="37631" spans="1:1">
      <c r="A37631" t="inlineStr">
        <is>
          <t>Pangi</t>
        </is>
      </c>
    </row>
    <row r="37632" spans="1:1">
      <c r="A37632" t="inlineStr">
        <is>
          <t>Punta</t>
        </is>
      </c>
    </row>
    <row r="37633" spans="1:1">
      <c r="A37633" t="inlineStr">
        <is>
          <t>Talisay</t>
        </is>
      </c>
    </row>
    <row r="37634" spans="1:1">
      <c r="A37634" t="inlineStr">
        <is>
          <t>Tigbao</t>
        </is>
      </c>
    </row>
    <row r="37635" spans="1:1">
      <c r="A37635" t="inlineStr">
        <is>
          <t>Amaga</t>
        </is>
      </c>
    </row>
    <row r="37636" spans="1:1">
      <c r="A37636" t="inlineStr">
        <is>
          <t>Anilao</t>
        </is>
      </c>
    </row>
    <row r="37637" spans="1:1">
      <c r="A37637" t="inlineStr">
        <is>
          <t>Bahay</t>
        </is>
      </c>
    </row>
    <row r="37638" spans="1:1">
      <c r="A37638" t="inlineStr">
        <is>
          <t>Cagbungalon</t>
        </is>
      </c>
    </row>
    <row r="37639" spans="1:1">
      <c r="A37639" t="inlineStr">
        <is>
          <t>Calian</t>
        </is>
      </c>
    </row>
    <row r="37640" spans="1:1">
      <c r="A37640" t="inlineStr">
        <is>
          <t>Caligangan</t>
        </is>
      </c>
    </row>
    <row r="37641" spans="1:1">
      <c r="A37641" t="inlineStr">
        <is>
          <t>Candayuman</t>
        </is>
      </c>
    </row>
    <row r="37642" spans="1:1">
      <c r="A37642" t="inlineStr">
        <is>
          <t>Catig</t>
        </is>
      </c>
    </row>
    <row r="37643" spans="1:1">
      <c r="A37643" t="inlineStr">
        <is>
          <t>Estela</t>
        </is>
      </c>
    </row>
    <row r="37644" spans="1:1">
      <c r="A37644" t="inlineStr">
        <is>
          <t>Fatima</t>
        </is>
      </c>
    </row>
    <row r="37645" spans="1:1">
      <c r="A37645" t="inlineStr">
        <is>
          <t>Gud-an</t>
        </is>
      </c>
    </row>
    <row r="37646" spans="1:1">
      <c r="A37646" t="inlineStr">
        <is>
          <t>Guintoylan</t>
        </is>
      </c>
    </row>
    <row r="37647" spans="1:1">
      <c r="A37647" t="inlineStr">
        <is>
          <t>Himayangan</t>
        </is>
      </c>
    </row>
    <row r="37648" spans="1:1">
      <c r="A37648" t="inlineStr">
        <is>
          <t>Ilag</t>
        </is>
      </c>
    </row>
    <row r="37649" spans="1:1">
      <c r="A37649" t="inlineStr">
        <is>
          <t>Magaupas</t>
        </is>
      </c>
    </row>
    <row r="37650" spans="1:1">
      <c r="A37650" t="inlineStr">
        <is>
          <t>Malangsa</t>
        </is>
      </c>
    </row>
    <row r="37651" spans="1:1">
      <c r="A37651" t="inlineStr">
        <is>
          <t>Molopolo</t>
        </is>
      </c>
    </row>
    <row r="37652" spans="1:1">
      <c r="A37652" t="inlineStr">
        <is>
          <t>Pandan</t>
        </is>
      </c>
    </row>
    <row r="37653" spans="1:1">
      <c r="A37653" t="inlineStr">
        <is>
          <t>Poblacion</t>
        </is>
      </c>
    </row>
    <row r="37654" spans="1:1">
      <c r="A37654" t="inlineStr">
        <is>
          <t>Pres. Quezon</t>
        </is>
      </c>
    </row>
    <row r="37655" spans="1:1">
      <c r="A37655" t="inlineStr">
        <is>
          <t>President Roxas</t>
        </is>
      </c>
    </row>
    <row r="37656" spans="1:1">
      <c r="A37656" t="inlineStr">
        <is>
          <t>San Isidro</t>
        </is>
      </c>
    </row>
    <row r="37657" spans="1:1">
      <c r="A37657" t="inlineStr">
        <is>
          <t>San Roque</t>
        </is>
      </c>
    </row>
    <row r="37658" spans="1:1">
      <c r="A37658" t="inlineStr">
        <is>
          <t>Tabugon</t>
        </is>
      </c>
    </row>
    <row r="37659" spans="1:1">
      <c r="A37659" t="inlineStr">
        <is>
          <t>Cabulihan</t>
        </is>
      </c>
    </row>
    <row r="37660" spans="1:1">
      <c r="A37660" t="inlineStr">
        <is>
          <t>Lugsongan</t>
        </is>
      </c>
    </row>
    <row r="37661" spans="1:1">
      <c r="A37661" t="inlineStr">
        <is>
          <t>Magallanes</t>
        </is>
      </c>
    </row>
    <row r="37662" spans="1:1">
      <c r="A37662" t="inlineStr">
        <is>
          <t>San Agustin</t>
        </is>
      </c>
    </row>
    <row r="37663" spans="1:1">
      <c r="A37663" t="inlineStr">
        <is>
          <t>San Bernardo</t>
        </is>
      </c>
    </row>
    <row r="37664" spans="1:1">
      <c r="A37664" t="inlineStr">
        <is>
          <t>Triana</t>
        </is>
      </c>
    </row>
    <row r="37665" spans="1:1">
      <c r="A37665" t="inlineStr">
        <is>
          <t>Aguinaldo</t>
        </is>
      </c>
    </row>
    <row r="37666" spans="1:1">
      <c r="A37666" t="inlineStr">
        <is>
          <t>Amparo</t>
        </is>
      </c>
    </row>
    <row r="37667" spans="1:1">
      <c r="A37667" t="inlineStr">
        <is>
          <t>Asuncion</t>
        </is>
      </c>
    </row>
    <row r="37668" spans="1:1">
      <c r="A37668" t="inlineStr">
        <is>
          <t>Bagong Silang</t>
        </is>
      </c>
    </row>
    <row r="37669" spans="1:1">
      <c r="A37669" t="inlineStr">
        <is>
          <t>Buscayan</t>
        </is>
      </c>
    </row>
    <row r="37670" spans="1:1">
      <c r="A37670" t="inlineStr">
        <is>
          <t>Cambaro</t>
        </is>
      </c>
    </row>
    <row r="37671" spans="1:1">
      <c r="A37671" t="inlineStr">
        <is>
          <t>Canlusay</t>
        </is>
      </c>
    </row>
    <row r="37672" spans="1:1">
      <c r="A37672" t="inlineStr">
        <is>
          <t>Danao</t>
        </is>
      </c>
    </row>
    <row r="37673" spans="1:1">
      <c r="A37673" t="inlineStr">
        <is>
          <t>Flordeliz</t>
        </is>
      </c>
    </row>
    <row r="37674" spans="1:1">
      <c r="A37674" t="inlineStr">
        <is>
          <t>Guadalupe</t>
        </is>
      </c>
    </row>
    <row r="37675" spans="1:1">
      <c r="A37675" t="inlineStr">
        <is>
          <t>Ichon</t>
        </is>
      </c>
    </row>
    <row r="37676" spans="1:1">
      <c r="A37676" t="inlineStr">
        <is>
          <t>Ilihan</t>
        </is>
      </c>
    </row>
    <row r="37677" spans="1:1">
      <c r="A37677" t="inlineStr">
        <is>
          <t>Laray</t>
        </is>
      </c>
    </row>
    <row r="37678" spans="1:1">
      <c r="A37678" t="inlineStr">
        <is>
          <t>Lower Villa Jacinta</t>
        </is>
      </c>
    </row>
    <row r="37679" spans="1:1">
      <c r="A37679" t="inlineStr">
        <is>
          <t>Mabini</t>
        </is>
      </c>
    </row>
    <row r="37680" spans="1:1">
      <c r="A37680" t="inlineStr">
        <is>
          <t>Mohon</t>
        </is>
      </c>
    </row>
    <row r="37681" spans="1:1">
      <c r="A37681" t="inlineStr">
        <is>
          <t>Molopolo</t>
        </is>
      </c>
    </row>
    <row r="37682" spans="1:1">
      <c r="A37682" t="inlineStr">
        <is>
          <t>Rizal</t>
        </is>
      </c>
    </row>
    <row r="37683" spans="1:1">
      <c r="A37683" t="inlineStr">
        <is>
          <t>Salvador</t>
        </is>
      </c>
    </row>
    <row r="37684" spans="1:1">
      <c r="A37684" t="inlineStr">
        <is>
          <t>San Isidro</t>
        </is>
      </c>
    </row>
    <row r="37685" spans="1:1">
      <c r="A37685" t="inlineStr">
        <is>
          <t>San Joaquin</t>
        </is>
      </c>
    </row>
    <row r="37686" spans="1:1">
      <c r="A37686" t="inlineStr">
        <is>
          <t>San Roque</t>
        </is>
      </c>
    </row>
    <row r="37687" spans="1:1">
      <c r="A37687" t="inlineStr">
        <is>
          <t>San Vicente</t>
        </is>
      </c>
    </row>
    <row r="37688" spans="1:1">
      <c r="A37688" t="inlineStr">
        <is>
          <t>San Vicente Poblacion</t>
        </is>
      </c>
    </row>
    <row r="37689" spans="1:1">
      <c r="A37689" t="inlineStr">
        <is>
          <t>Santa Cruz</t>
        </is>
      </c>
    </row>
    <row r="37690" spans="1:1">
      <c r="A37690" t="inlineStr">
        <is>
          <t>Santo Niño</t>
        </is>
      </c>
    </row>
    <row r="37691" spans="1:1">
      <c r="A37691" t="inlineStr">
        <is>
          <t>Santo Rosario</t>
        </is>
      </c>
    </row>
    <row r="37692" spans="1:1">
      <c r="A37692" t="inlineStr">
        <is>
          <t>Sindangan</t>
        </is>
      </c>
    </row>
    <row r="37693" spans="1:1">
      <c r="A37693" t="inlineStr">
        <is>
          <t>Upper Ichon</t>
        </is>
      </c>
    </row>
    <row r="37694" spans="1:1">
      <c r="A37694" t="inlineStr">
        <is>
          <t>Upper Villa Jacinta</t>
        </is>
      </c>
    </row>
    <row r="37695" spans="1:1">
      <c r="A37695" t="inlineStr">
        <is>
          <t>Abgao</t>
        </is>
      </c>
    </row>
    <row r="37696" spans="1:1">
      <c r="A37696" t="inlineStr">
        <is>
          <t>Asuncion</t>
        </is>
      </c>
    </row>
    <row r="37697" spans="1:1">
      <c r="A37697" t="inlineStr">
        <is>
          <t>Aurora</t>
        </is>
      </c>
    </row>
    <row r="37698" spans="1:1">
      <c r="A37698" t="inlineStr">
        <is>
          <t>Benit</t>
        </is>
      </c>
    </row>
    <row r="37699" spans="1:1">
      <c r="A37699" t="inlineStr">
        <is>
          <t>Caaga</t>
        </is>
      </c>
    </row>
    <row r="37700" spans="1:1">
      <c r="A37700" t="inlineStr">
        <is>
          <t>Cabul-anonan</t>
        </is>
      </c>
    </row>
    <row r="37701" spans="1:1">
      <c r="A37701" t="inlineStr">
        <is>
          <t>Cadaruhan</t>
        </is>
      </c>
    </row>
    <row r="37702" spans="1:1">
      <c r="A37702" t="inlineStr">
        <is>
          <t>Cadaruhan Sur</t>
        </is>
      </c>
    </row>
    <row r="37703" spans="1:1">
      <c r="A37703" t="inlineStr">
        <is>
          <t>Candatag</t>
        </is>
      </c>
    </row>
    <row r="37704" spans="1:1">
      <c r="A37704" t="inlineStr">
        <is>
          <t>Cantamuac</t>
        </is>
      </c>
    </row>
    <row r="37705" spans="1:1">
      <c r="A37705" t="inlineStr">
        <is>
          <t>Caraatan</t>
        </is>
      </c>
    </row>
    <row r="37706" spans="1:1">
      <c r="A37706" t="inlineStr">
        <is>
          <t>Concepcion</t>
        </is>
      </c>
    </row>
    <row r="37707" spans="1:1">
      <c r="A37707" t="inlineStr">
        <is>
          <t>Fatima</t>
        </is>
      </c>
    </row>
    <row r="37708" spans="1:1">
      <c r="A37708" t="inlineStr">
        <is>
          <t>Guinabonan</t>
        </is>
      </c>
    </row>
    <row r="37709" spans="1:1">
      <c r="A37709" t="inlineStr">
        <is>
          <t>Iba</t>
        </is>
      </c>
    </row>
    <row r="37710" spans="1:1">
      <c r="A37710" t="inlineStr">
        <is>
          <t>Juangon</t>
        </is>
      </c>
    </row>
    <row r="37711" spans="1:1">
      <c r="A37711" t="inlineStr">
        <is>
          <t>Kauswagan</t>
        </is>
      </c>
    </row>
    <row r="37712" spans="1:1">
      <c r="A37712" t="inlineStr">
        <is>
          <t>Lambonao</t>
        </is>
      </c>
    </row>
    <row r="37713" spans="1:1">
      <c r="A37713" t="inlineStr">
        <is>
          <t>Mahayahay</t>
        </is>
      </c>
    </row>
    <row r="37714" spans="1:1">
      <c r="A37714" t="inlineStr">
        <is>
          <t>Maningning</t>
        </is>
      </c>
    </row>
    <row r="37715" spans="1:1">
      <c r="A37715" t="inlineStr">
        <is>
          <t>Maujo</t>
        </is>
      </c>
    </row>
    <row r="37716" spans="1:1">
      <c r="A37716" t="inlineStr">
        <is>
          <t>New Katipunan</t>
        </is>
      </c>
    </row>
    <row r="37717" spans="1:1">
      <c r="A37717" t="inlineStr">
        <is>
          <t>Pancil</t>
        </is>
      </c>
    </row>
    <row r="37718" spans="1:1">
      <c r="A37718" t="inlineStr">
        <is>
          <t>Pasil</t>
        </is>
      </c>
    </row>
    <row r="37719" spans="1:1">
      <c r="A37719" t="inlineStr">
        <is>
          <t>Sabang</t>
        </is>
      </c>
    </row>
    <row r="37720" spans="1:1">
      <c r="A37720" t="inlineStr">
        <is>
          <t>San Antonio</t>
        </is>
      </c>
    </row>
    <row r="37721" spans="1:1">
      <c r="A37721" t="inlineStr">
        <is>
          <t>San Isidro</t>
        </is>
      </c>
    </row>
    <row r="37722" spans="1:1">
      <c r="A37722" t="inlineStr">
        <is>
          <t>San Jose</t>
        </is>
      </c>
    </row>
    <row r="37723" spans="1:1">
      <c r="A37723" t="inlineStr">
        <is>
          <t>San Roque</t>
        </is>
      </c>
    </row>
    <row r="37724" spans="1:1">
      <c r="A37724" t="inlineStr">
        <is>
          <t>San Vicente</t>
        </is>
      </c>
    </row>
    <row r="37725" spans="1:1">
      <c r="A37725" t="inlineStr">
        <is>
          <t>Sangahon</t>
        </is>
      </c>
    </row>
    <row r="37726" spans="1:1">
      <c r="A37726" t="inlineStr">
        <is>
          <t>Santa Cruz</t>
        </is>
      </c>
    </row>
    <row r="37727" spans="1:1">
      <c r="A37727" t="inlineStr">
        <is>
          <t>Santo Niño</t>
        </is>
      </c>
    </row>
    <row r="37728" spans="1:1">
      <c r="A37728" t="inlineStr">
        <is>
          <t>Taliwa</t>
        </is>
      </c>
    </row>
    <row r="37729" spans="1:1">
      <c r="A37729" t="inlineStr">
        <is>
          <t>Tigbawan I</t>
        </is>
      </c>
    </row>
    <row r="37730" spans="1:1">
      <c r="A37730" t="inlineStr">
        <is>
          <t>Tigbawan II</t>
        </is>
      </c>
    </row>
    <row r="37731" spans="1:1">
      <c r="A37731" t="inlineStr">
        <is>
          <t>Timba</t>
        </is>
      </c>
    </row>
    <row r="37732" spans="1:1">
      <c r="A37732" t="inlineStr">
        <is>
          <t>Buenavista</t>
        </is>
      </c>
    </row>
    <row r="37733" spans="1:1">
      <c r="A37733" t="inlineStr">
        <is>
          <t>Bunga</t>
        </is>
      </c>
    </row>
    <row r="37734" spans="1:1">
      <c r="A37734" t="inlineStr">
        <is>
          <t>Cantutang</t>
        </is>
      </c>
    </row>
    <row r="37735" spans="1:1">
      <c r="A37735" t="inlineStr">
        <is>
          <t>Dinahugan</t>
        </is>
      </c>
    </row>
    <row r="37736" spans="1:1">
      <c r="A37736" t="inlineStr">
        <is>
          <t>Laca</t>
        </is>
      </c>
    </row>
    <row r="37737" spans="1:1">
      <c r="A37737" t="inlineStr">
        <is>
          <t>Lungsodaan</t>
        </is>
      </c>
    </row>
    <row r="37738" spans="1:1">
      <c r="A37738" t="inlineStr">
        <is>
          <t>Poblacion</t>
        </is>
      </c>
    </row>
    <row r="37739" spans="1:1">
      <c r="A37739" t="inlineStr">
        <is>
          <t>San Juan</t>
        </is>
      </c>
    </row>
    <row r="37740" spans="1:1">
      <c r="A37740" t="inlineStr">
        <is>
          <t>Santa Sofia</t>
        </is>
      </c>
    </row>
    <row r="37741" spans="1:1">
      <c r="A37741" t="inlineStr">
        <is>
          <t>Santo Rosario</t>
        </is>
      </c>
    </row>
    <row r="37742" spans="1:1">
      <c r="A37742" t="inlineStr">
        <is>
          <t>Tangkaan</t>
        </is>
      </c>
    </row>
    <row r="37743" spans="1:1">
      <c r="A37743" t="inlineStr">
        <is>
          <t>Badiang</t>
        </is>
      </c>
    </row>
    <row r="37744" spans="1:1">
      <c r="A37744" t="inlineStr">
        <is>
          <t>Balongbalong</t>
        </is>
      </c>
    </row>
    <row r="37745" spans="1:1">
      <c r="A37745" t="inlineStr">
        <is>
          <t>Buenavista</t>
        </is>
      </c>
    </row>
    <row r="37746" spans="1:1">
      <c r="A37746" t="inlineStr">
        <is>
          <t>Bulawan</t>
        </is>
      </c>
    </row>
    <row r="37747" spans="1:1">
      <c r="A37747" t="inlineStr">
        <is>
          <t>Canlawis</t>
        </is>
      </c>
    </row>
    <row r="37748" spans="1:1">
      <c r="A37748" t="inlineStr">
        <is>
          <t>Catbawan</t>
        </is>
      </c>
    </row>
    <row r="37749" spans="1:1">
      <c r="A37749" t="inlineStr">
        <is>
          <t>Caubang</t>
        </is>
      </c>
    </row>
    <row r="37750" spans="1:1">
      <c r="A37750" t="inlineStr">
        <is>
          <t>Cogon</t>
        </is>
      </c>
    </row>
    <row r="37751" spans="1:1">
      <c r="A37751" t="inlineStr">
        <is>
          <t>Dan-an</t>
        </is>
      </c>
    </row>
    <row r="37752" spans="1:1">
      <c r="A37752" t="inlineStr">
        <is>
          <t>Lobo</t>
        </is>
      </c>
    </row>
    <row r="37753" spans="1:1">
      <c r="A37753" t="inlineStr">
        <is>
          <t>Mainit</t>
        </is>
      </c>
    </row>
    <row r="37754" spans="1:1">
      <c r="A37754" t="inlineStr">
        <is>
          <t>Manglit</t>
        </is>
      </c>
    </row>
    <row r="37755" spans="1:1">
      <c r="A37755" t="inlineStr">
        <is>
          <t>Nueva Estrella Norte</t>
        </is>
      </c>
    </row>
    <row r="37756" spans="1:1">
      <c r="A37756" t="inlineStr">
        <is>
          <t>Nueva Estrella Sur</t>
        </is>
      </c>
    </row>
    <row r="37757" spans="1:1">
      <c r="A37757" t="inlineStr">
        <is>
          <t>Poblacion Ibabao</t>
        </is>
      </c>
    </row>
    <row r="37758" spans="1:1">
      <c r="A37758" t="inlineStr">
        <is>
          <t>Poblacion Ubos</t>
        </is>
      </c>
    </row>
    <row r="37759" spans="1:1">
      <c r="A37759" t="inlineStr">
        <is>
          <t>Pociano D. Equipilag</t>
        </is>
      </c>
    </row>
    <row r="37760" spans="1:1">
      <c r="A37760" t="inlineStr">
        <is>
          <t>Ponod</t>
        </is>
      </c>
    </row>
    <row r="37761" spans="1:1">
      <c r="A37761" t="inlineStr">
        <is>
          <t>San Roque</t>
        </is>
      </c>
    </row>
    <row r="37762" spans="1:1">
      <c r="A37762" t="inlineStr">
        <is>
          <t>Santa Cruz</t>
        </is>
      </c>
    </row>
    <row r="37763" spans="1:1">
      <c r="A37763" t="inlineStr">
        <is>
          <t>Son-ok I</t>
        </is>
      </c>
    </row>
    <row r="37764" spans="1:1">
      <c r="A37764" t="inlineStr">
        <is>
          <t>Son-ok II</t>
        </is>
      </c>
    </row>
    <row r="37765" spans="1:1">
      <c r="A37765" t="inlineStr">
        <is>
          <t>Tautag</t>
        </is>
      </c>
    </row>
    <row r="37766" spans="1:1">
      <c r="A37766" t="inlineStr">
        <is>
          <t>Atuyan</t>
        </is>
      </c>
    </row>
    <row r="37767" spans="1:1">
      <c r="A37767" t="inlineStr">
        <is>
          <t>Ayahag</t>
        </is>
      </c>
    </row>
    <row r="37768" spans="1:1">
      <c r="A37768" t="inlineStr">
        <is>
          <t>Bantawon</t>
        </is>
      </c>
    </row>
    <row r="37769" spans="1:1">
      <c r="A37769" t="inlineStr">
        <is>
          <t>Bolodbolod</t>
        </is>
      </c>
    </row>
    <row r="37770" spans="1:1">
      <c r="A37770" t="inlineStr">
        <is>
          <t>Cabagawan</t>
        </is>
      </c>
    </row>
    <row r="37771" spans="1:1">
      <c r="A37771" t="inlineStr">
        <is>
          <t>Carnaga</t>
        </is>
      </c>
    </row>
    <row r="37772" spans="1:1">
      <c r="A37772" t="inlineStr">
        <is>
          <t>Catmon</t>
        </is>
      </c>
    </row>
    <row r="37773" spans="1:1">
      <c r="A37773" t="inlineStr">
        <is>
          <t>Guinsaugon</t>
        </is>
      </c>
    </row>
    <row r="37774" spans="1:1">
      <c r="A37774" t="inlineStr">
        <is>
          <t>Himatagon</t>
        </is>
      </c>
    </row>
    <row r="37775" spans="1:1">
      <c r="A37775" t="inlineStr">
        <is>
          <t>Himbangan</t>
        </is>
      </c>
    </row>
    <row r="37776" spans="1:1">
      <c r="A37776" t="inlineStr">
        <is>
          <t>Himos-onan</t>
        </is>
      </c>
    </row>
    <row r="37777" spans="1:1">
      <c r="A37777" t="inlineStr">
        <is>
          <t>Hinabian</t>
        </is>
      </c>
    </row>
    <row r="37778" spans="1:1">
      <c r="A37778" t="inlineStr">
        <is>
          <t>Hindag-an</t>
        </is>
      </c>
    </row>
    <row r="37779" spans="1:1">
      <c r="A37779" t="inlineStr">
        <is>
          <t>Kauswagan</t>
        </is>
      </c>
    </row>
    <row r="37780" spans="1:1">
      <c r="A37780" t="inlineStr">
        <is>
          <t>Libas</t>
        </is>
      </c>
    </row>
    <row r="37781" spans="1:1">
      <c r="A37781" t="inlineStr">
        <is>
          <t>Lipanto</t>
        </is>
      </c>
    </row>
    <row r="37782" spans="1:1">
      <c r="A37782" t="inlineStr">
        <is>
          <t>Magatas</t>
        </is>
      </c>
    </row>
    <row r="37783" spans="1:1">
      <c r="A37783" t="inlineStr">
        <is>
          <t>Magbagacay</t>
        </is>
      </c>
    </row>
    <row r="37784" spans="1:1">
      <c r="A37784" t="inlineStr">
        <is>
          <t>Mahayag</t>
        </is>
      </c>
    </row>
    <row r="37785" spans="1:1">
      <c r="A37785" t="inlineStr">
        <is>
          <t>Mahayahay</t>
        </is>
      </c>
    </row>
    <row r="37786" spans="1:1">
      <c r="A37786" t="inlineStr">
        <is>
          <t>Malibago</t>
        </is>
      </c>
    </row>
    <row r="37787" spans="1:1">
      <c r="A37787" t="inlineStr">
        <is>
          <t>Malinao</t>
        </is>
      </c>
    </row>
    <row r="37788" spans="1:1">
      <c r="A37788" t="inlineStr">
        <is>
          <t>Nueva Esperanza</t>
        </is>
      </c>
    </row>
    <row r="37789" spans="1:1">
      <c r="A37789" t="inlineStr">
        <is>
          <t>Panian</t>
        </is>
      </c>
    </row>
    <row r="37790" spans="1:1">
      <c r="A37790" t="inlineStr">
        <is>
          <t>San Isidro</t>
        </is>
      </c>
    </row>
    <row r="37791" spans="1:1">
      <c r="A37791" t="inlineStr">
        <is>
          <t>Santa Cruz</t>
        </is>
      </c>
    </row>
    <row r="37792" spans="1:1">
      <c r="A37792" t="inlineStr">
        <is>
          <t>Sug-angon</t>
        </is>
      </c>
    </row>
    <row r="37793" spans="1:1">
      <c r="A37793" t="inlineStr">
        <is>
          <t>Tabontabon</t>
        </is>
      </c>
    </row>
    <row r="37794" spans="1:1">
      <c r="A37794" t="inlineStr">
        <is>
          <t>Tambis I</t>
        </is>
      </c>
    </row>
    <row r="37795" spans="1:1">
      <c r="A37795" t="inlineStr">
        <is>
          <t>Tambis II</t>
        </is>
      </c>
    </row>
    <row r="37796" spans="1:1">
      <c r="A37796" t="inlineStr">
        <is>
          <t>Anislagon</t>
        </is>
      </c>
    </row>
    <row r="37797" spans="1:1">
      <c r="A37797" t="inlineStr">
        <is>
          <t>Bongawisan</t>
        </is>
      </c>
    </row>
    <row r="37798" spans="1:1">
      <c r="A37798" t="inlineStr">
        <is>
          <t>Bongbong</t>
        </is>
      </c>
    </row>
    <row r="37799" spans="1:1">
      <c r="A37799" t="inlineStr">
        <is>
          <t>Cahayag</t>
        </is>
      </c>
    </row>
    <row r="37800" spans="1:1">
      <c r="A37800" t="inlineStr">
        <is>
          <t>Causi</t>
        </is>
      </c>
    </row>
    <row r="37801" spans="1:1">
      <c r="A37801" t="inlineStr">
        <is>
          <t>Central</t>
        </is>
      </c>
    </row>
    <row r="37802" spans="1:1">
      <c r="A37802" t="inlineStr">
        <is>
          <t>Dakit</t>
        </is>
      </c>
    </row>
    <row r="37803" spans="1:1">
      <c r="A37803" t="inlineStr">
        <is>
          <t>Gabi</t>
        </is>
      </c>
    </row>
    <row r="37804" spans="1:1">
      <c r="A37804" t="inlineStr">
        <is>
          <t>Habay</t>
        </is>
      </c>
    </row>
    <row r="37805" spans="1:1">
      <c r="A37805" t="inlineStr">
        <is>
          <t>Malico</t>
        </is>
      </c>
    </row>
    <row r="37806" spans="1:1">
      <c r="A37806" t="inlineStr">
        <is>
          <t>Marayag</t>
        </is>
      </c>
    </row>
    <row r="37807" spans="1:1">
      <c r="A37807" t="inlineStr">
        <is>
          <t>Napantao</t>
        </is>
      </c>
    </row>
    <row r="37808" spans="1:1">
      <c r="A37808" t="inlineStr">
        <is>
          <t>Pasanon</t>
        </is>
      </c>
    </row>
    <row r="37809" spans="1:1">
      <c r="A37809" t="inlineStr">
        <is>
          <t>Pinamudlan</t>
        </is>
      </c>
    </row>
    <row r="37810" spans="1:1">
      <c r="A37810" t="inlineStr">
        <is>
          <t>Punta</t>
        </is>
      </c>
    </row>
    <row r="37811" spans="1:1">
      <c r="A37811" t="inlineStr">
        <is>
          <t>Santa Cruz</t>
        </is>
      </c>
    </row>
    <row r="37812" spans="1:1">
      <c r="A37812" t="inlineStr">
        <is>
          <t>Santa Paz Norte</t>
        </is>
      </c>
    </row>
    <row r="37813" spans="1:1">
      <c r="A37813" t="inlineStr">
        <is>
          <t>Santa Paz Sur</t>
        </is>
      </c>
    </row>
    <row r="37814" spans="1:1">
      <c r="A37814" t="inlineStr">
        <is>
          <t>Sudmon</t>
        </is>
      </c>
    </row>
    <row r="37815" spans="1:1">
      <c r="A37815" t="inlineStr">
        <is>
          <t>Tinaan</t>
        </is>
      </c>
    </row>
    <row r="37816" spans="1:1">
      <c r="A37816" t="inlineStr">
        <is>
          <t>Tuno</t>
        </is>
      </c>
    </row>
    <row r="37817" spans="1:1">
      <c r="A37817" t="inlineStr">
        <is>
          <t>Ubos</t>
        </is>
      </c>
    </row>
    <row r="37818" spans="1:1">
      <c r="A37818" t="inlineStr">
        <is>
          <t>Agay-ay</t>
        </is>
      </c>
    </row>
    <row r="37819" spans="1:1">
      <c r="A37819" t="inlineStr">
        <is>
          <t>Basak</t>
        </is>
      </c>
    </row>
    <row r="37820" spans="1:1">
      <c r="A37820" t="inlineStr">
        <is>
          <t>Bobon A</t>
        </is>
      </c>
    </row>
    <row r="37821" spans="1:1">
      <c r="A37821" t="inlineStr">
        <is>
          <t>Bobon B</t>
        </is>
      </c>
    </row>
    <row r="37822" spans="1:1">
      <c r="A37822" t="inlineStr">
        <is>
          <t>Dayanog</t>
        </is>
      </c>
    </row>
    <row r="37823" spans="1:1">
      <c r="A37823" t="inlineStr">
        <is>
          <t>Garrido</t>
        </is>
      </c>
    </row>
    <row r="37824" spans="1:1">
      <c r="A37824" t="inlineStr">
        <is>
          <t>Minoyho</t>
        </is>
      </c>
    </row>
    <row r="37825" spans="1:1">
      <c r="A37825" t="inlineStr">
        <is>
          <t>Osao</t>
        </is>
      </c>
    </row>
    <row r="37826" spans="1:1">
      <c r="A37826" t="inlineStr">
        <is>
          <t>Pong-oy</t>
        </is>
      </c>
    </row>
    <row r="37827" spans="1:1">
      <c r="A37827" t="inlineStr">
        <is>
          <t>San Jose</t>
        </is>
      </c>
    </row>
    <row r="37828" spans="1:1">
      <c r="A37828" t="inlineStr">
        <is>
          <t>San Roque</t>
        </is>
      </c>
    </row>
    <row r="37829" spans="1:1">
      <c r="A37829" t="inlineStr">
        <is>
          <t>San Vicente</t>
        </is>
      </c>
    </row>
    <row r="37830" spans="1:1">
      <c r="A37830" t="inlineStr">
        <is>
          <t>Santa Cruz</t>
        </is>
      </c>
    </row>
    <row r="37831" spans="1:1">
      <c r="A37831" t="inlineStr">
        <is>
          <t>Santa Filomena</t>
        </is>
      </c>
    </row>
    <row r="37832" spans="1:1">
      <c r="A37832" t="inlineStr">
        <is>
          <t>Santo Niño</t>
        </is>
      </c>
    </row>
    <row r="37833" spans="1:1">
      <c r="A37833" t="inlineStr">
        <is>
          <t>Somoje</t>
        </is>
      </c>
    </row>
    <row r="37834" spans="1:1">
      <c r="A37834" t="inlineStr">
        <is>
          <t>Sua</t>
        </is>
      </c>
    </row>
    <row r="37835" spans="1:1">
      <c r="A37835" t="inlineStr">
        <is>
          <t>Timba</t>
        </is>
      </c>
    </row>
    <row r="37836" spans="1:1">
      <c r="A37836" t="inlineStr">
        <is>
          <t>Benit</t>
        </is>
      </c>
    </row>
    <row r="37837" spans="1:1">
      <c r="A37837" t="inlineStr">
        <is>
          <t>Bitoon</t>
        </is>
      </c>
    </row>
    <row r="37838" spans="1:1">
      <c r="A37838" t="inlineStr">
        <is>
          <t>Cabutan</t>
        </is>
      </c>
    </row>
    <row r="37839" spans="1:1">
      <c r="A37839" t="inlineStr">
        <is>
          <t>Camang</t>
        </is>
      </c>
    </row>
    <row r="37840" spans="1:1">
      <c r="A37840" t="inlineStr">
        <is>
          <t>Esperanza</t>
        </is>
      </c>
    </row>
    <row r="37841" spans="1:1">
      <c r="A37841" t="inlineStr">
        <is>
          <t>Esperanza Dos</t>
        </is>
      </c>
    </row>
    <row r="37842" spans="1:1">
      <c r="A37842" t="inlineStr">
        <is>
          <t>Inolinan</t>
        </is>
      </c>
    </row>
    <row r="37843" spans="1:1">
      <c r="A37843" t="inlineStr">
        <is>
          <t>Kinachawa</t>
        </is>
      </c>
    </row>
    <row r="37844" spans="1:1">
      <c r="A37844" t="inlineStr">
        <is>
          <t>Looc</t>
        </is>
      </c>
    </row>
    <row r="37845" spans="1:1">
      <c r="A37845" t="inlineStr">
        <is>
          <t>Pinut-an</t>
        </is>
      </c>
    </row>
    <row r="37846" spans="1:1">
      <c r="A37846" t="inlineStr">
        <is>
          <t>Poblacion</t>
        </is>
      </c>
    </row>
    <row r="37847" spans="1:1">
      <c r="A37847" t="inlineStr">
        <is>
          <t>San Antonio</t>
        </is>
      </c>
    </row>
    <row r="37848" spans="1:1">
      <c r="A37848" t="inlineStr">
        <is>
          <t>San Ramon</t>
        </is>
      </c>
    </row>
    <row r="37849" spans="1:1">
      <c r="A37849" t="inlineStr">
        <is>
          <t>Saub</t>
        </is>
      </c>
    </row>
    <row r="37850" spans="1:1">
      <c r="A37850" t="inlineStr">
        <is>
          <t>Timba</t>
        </is>
      </c>
    </row>
    <row r="37851" spans="1:1">
      <c r="A37851" t="inlineStr">
        <is>
          <t>Balagawan</t>
        </is>
      </c>
    </row>
    <row r="37852" spans="1:1">
      <c r="A37852" t="inlineStr">
        <is>
          <t>Catmon</t>
        </is>
      </c>
    </row>
    <row r="37853" spans="1:1">
      <c r="A37853" t="inlineStr">
        <is>
          <t>Hingatungan</t>
        </is>
      </c>
    </row>
    <row r="37854" spans="1:1">
      <c r="A37854" t="inlineStr">
        <is>
          <t>Imelda</t>
        </is>
      </c>
    </row>
    <row r="37855" spans="1:1">
      <c r="A37855" t="inlineStr">
        <is>
          <t>Katipunan</t>
        </is>
      </c>
    </row>
    <row r="37856" spans="1:1">
      <c r="A37856" t="inlineStr">
        <is>
          <t>Laguma</t>
        </is>
      </c>
    </row>
    <row r="37857" spans="1:1">
      <c r="A37857" t="inlineStr">
        <is>
          <t>Mercedes</t>
        </is>
      </c>
    </row>
    <row r="37858" spans="1:1">
      <c r="A37858" t="inlineStr">
        <is>
          <t>Pob. District I</t>
        </is>
      </c>
    </row>
    <row r="37859" spans="1:1">
      <c r="A37859" t="inlineStr">
        <is>
          <t>Pob. District II</t>
        </is>
      </c>
    </row>
    <row r="37860" spans="1:1">
      <c r="A37860" t="inlineStr">
        <is>
          <t>Puntana</t>
        </is>
      </c>
    </row>
    <row r="37861" spans="1:1">
      <c r="A37861" t="inlineStr">
        <is>
          <t>Salvacion</t>
        </is>
      </c>
    </row>
    <row r="37862" spans="1:1">
      <c r="A37862" t="inlineStr">
        <is>
          <t>Sap-ang</t>
        </is>
      </c>
    </row>
    <row r="37863" spans="1:1">
      <c r="A37863" t="inlineStr">
        <is>
          <t>Sudmon</t>
        </is>
      </c>
    </row>
    <row r="37864" spans="1:1">
      <c r="A37864" t="inlineStr">
        <is>
          <t>Tuba-on</t>
        </is>
      </c>
    </row>
    <row r="37865" spans="1:1">
      <c r="A37865" t="inlineStr">
        <is>
          <t>Tubod</t>
        </is>
      </c>
    </row>
    <row r="37866" spans="1:1">
      <c r="A37866" t="inlineStr">
        <is>
          <t>Benit</t>
        </is>
      </c>
    </row>
    <row r="37867" spans="1:1">
      <c r="A37867" t="inlineStr">
        <is>
          <t>Buac Daku</t>
        </is>
      </c>
    </row>
    <row r="37868" spans="1:1">
      <c r="A37868" t="inlineStr">
        <is>
          <t>Buac Gamay</t>
        </is>
      </c>
    </row>
    <row r="37869" spans="1:1">
      <c r="A37869" t="inlineStr">
        <is>
          <t>Cabadbaran</t>
        </is>
      </c>
    </row>
    <row r="37870" spans="1:1">
      <c r="A37870" t="inlineStr">
        <is>
          <t>Concepcion</t>
        </is>
      </c>
    </row>
    <row r="37871" spans="1:1">
      <c r="A37871" t="inlineStr">
        <is>
          <t>Consolacion</t>
        </is>
      </c>
    </row>
    <row r="37872" spans="1:1">
      <c r="A37872" t="inlineStr">
        <is>
          <t>Dagsa</t>
        </is>
      </c>
    </row>
    <row r="37873" spans="1:1">
      <c r="A37873" t="inlineStr">
        <is>
          <t>Hibod-hibod</t>
        </is>
      </c>
    </row>
    <row r="37874" spans="1:1">
      <c r="A37874" t="inlineStr">
        <is>
          <t>Hindangan</t>
        </is>
      </c>
    </row>
    <row r="37875" spans="1:1">
      <c r="A37875" t="inlineStr">
        <is>
          <t>Hipantag</t>
        </is>
      </c>
    </row>
    <row r="37876" spans="1:1">
      <c r="A37876" t="inlineStr">
        <is>
          <t>Javier</t>
        </is>
      </c>
    </row>
    <row r="37877" spans="1:1">
      <c r="A37877" t="inlineStr">
        <is>
          <t>Kahupian</t>
        </is>
      </c>
    </row>
    <row r="37878" spans="1:1">
      <c r="A37878" t="inlineStr">
        <is>
          <t>Kanangkaan</t>
        </is>
      </c>
    </row>
    <row r="37879" spans="1:1">
      <c r="A37879" t="inlineStr">
        <is>
          <t>Kauswagan</t>
        </is>
      </c>
    </row>
    <row r="37880" spans="1:1">
      <c r="A37880" t="inlineStr">
        <is>
          <t>La Purisima Concepcion</t>
        </is>
      </c>
    </row>
    <row r="37881" spans="1:1">
      <c r="A37881" t="inlineStr">
        <is>
          <t>Libas</t>
        </is>
      </c>
    </row>
    <row r="37882" spans="1:1">
      <c r="A37882" t="inlineStr">
        <is>
          <t>Lum-an</t>
        </is>
      </c>
    </row>
    <row r="37883" spans="1:1">
      <c r="A37883" t="inlineStr">
        <is>
          <t>Mabicay</t>
        </is>
      </c>
    </row>
    <row r="37884" spans="1:1">
      <c r="A37884" t="inlineStr">
        <is>
          <t>Mac</t>
        </is>
      </c>
    </row>
    <row r="37885" spans="1:1">
      <c r="A37885" t="inlineStr">
        <is>
          <t>Magatas</t>
        </is>
      </c>
    </row>
    <row r="37886" spans="1:1">
      <c r="A37886" t="inlineStr">
        <is>
          <t>Mahayahay</t>
        </is>
      </c>
    </row>
    <row r="37887" spans="1:1">
      <c r="A37887" t="inlineStr">
        <is>
          <t>Malinao</t>
        </is>
      </c>
    </row>
    <row r="37888" spans="1:1">
      <c r="A37888" t="inlineStr">
        <is>
          <t>Maria Plana</t>
        </is>
      </c>
    </row>
    <row r="37889" spans="1:1">
      <c r="A37889" t="inlineStr">
        <is>
          <t>Milagroso</t>
        </is>
      </c>
    </row>
    <row r="37890" spans="1:1">
      <c r="A37890" t="inlineStr">
        <is>
          <t>Olisihan</t>
        </is>
      </c>
    </row>
    <row r="37891" spans="1:1">
      <c r="A37891" t="inlineStr">
        <is>
          <t>Pancho Villa</t>
        </is>
      </c>
    </row>
    <row r="37892" spans="1:1">
      <c r="A37892" t="inlineStr">
        <is>
          <t>Pandan</t>
        </is>
      </c>
    </row>
    <row r="37893" spans="1:1">
      <c r="A37893" t="inlineStr">
        <is>
          <t>Rizal</t>
        </is>
      </c>
    </row>
    <row r="37894" spans="1:1">
      <c r="A37894" t="inlineStr">
        <is>
          <t>Salvacion</t>
        </is>
      </c>
    </row>
    <row r="37895" spans="1:1">
      <c r="A37895" t="inlineStr">
        <is>
          <t>San Francisco Mabuhay</t>
        </is>
      </c>
    </row>
    <row r="37896" spans="1:1">
      <c r="A37896" t="inlineStr">
        <is>
          <t>San Isidro</t>
        </is>
      </c>
    </row>
    <row r="37897" spans="1:1">
      <c r="A37897" t="inlineStr">
        <is>
          <t>San Jose</t>
        </is>
      </c>
    </row>
    <row r="37898" spans="1:1">
      <c r="A37898" t="inlineStr">
        <is>
          <t>San Juan</t>
        </is>
      </c>
    </row>
    <row r="37899" spans="1:1">
      <c r="A37899" t="inlineStr">
        <is>
          <t>San Miguel</t>
        </is>
      </c>
    </row>
    <row r="37900" spans="1:1">
      <c r="A37900" t="inlineStr">
        <is>
          <t>San Pedro</t>
        </is>
      </c>
    </row>
    <row r="37901" spans="1:1">
      <c r="A37901" t="inlineStr">
        <is>
          <t>San Roque</t>
        </is>
      </c>
    </row>
    <row r="37902" spans="1:1">
      <c r="A37902" t="inlineStr">
        <is>
          <t>San Vicente</t>
        </is>
      </c>
    </row>
    <row r="37903" spans="1:1">
      <c r="A37903" t="inlineStr">
        <is>
          <t>Santa Maria</t>
        </is>
      </c>
    </row>
    <row r="37904" spans="1:1">
      <c r="A37904" t="inlineStr">
        <is>
          <t>Suba</t>
        </is>
      </c>
    </row>
    <row r="37905" spans="1:1">
      <c r="A37905" t="inlineStr">
        <is>
          <t>Tampoong</t>
        </is>
      </c>
    </row>
    <row r="37906" spans="1:1">
      <c r="A37906" t="inlineStr">
        <is>
          <t>Zone I</t>
        </is>
      </c>
    </row>
    <row r="37907" spans="1:1">
      <c r="A37907" t="inlineStr">
        <is>
          <t>Zone II</t>
        </is>
      </c>
    </row>
    <row r="37908" spans="1:1">
      <c r="A37908" t="inlineStr">
        <is>
          <t>Zone III</t>
        </is>
      </c>
    </row>
    <row r="37909" spans="1:1">
      <c r="A37909" t="inlineStr">
        <is>
          <t>Zone IV</t>
        </is>
      </c>
    </row>
    <row r="37910" spans="1:1">
      <c r="A37910" t="inlineStr">
        <is>
          <t>Zone V</t>
        </is>
      </c>
    </row>
    <row r="37911" spans="1:1">
      <c r="A37911" t="inlineStr">
        <is>
          <t>Anahawan</t>
        </is>
      </c>
    </row>
    <row r="37912" spans="1:1">
      <c r="A37912" t="inlineStr">
        <is>
          <t>Banday</t>
        </is>
      </c>
    </row>
    <row r="37913" spans="1:1">
      <c r="A37913" t="inlineStr">
        <is>
          <t>Biasong</t>
        </is>
      </c>
    </row>
    <row r="37914" spans="1:1">
      <c r="A37914" t="inlineStr">
        <is>
          <t>Bogo</t>
        </is>
      </c>
    </row>
    <row r="37915" spans="1:1">
      <c r="A37915" t="inlineStr">
        <is>
          <t>Cabascan</t>
        </is>
      </c>
    </row>
    <row r="37916" spans="1:1">
      <c r="A37916" t="inlineStr">
        <is>
          <t>Camansi</t>
        </is>
      </c>
    </row>
    <row r="37917" spans="1:1">
      <c r="A37917" t="inlineStr">
        <is>
          <t>Cambite</t>
        </is>
      </c>
    </row>
    <row r="37918" spans="1:1">
      <c r="A37918" t="inlineStr">
        <is>
          <t>Canlupao</t>
        </is>
      </c>
    </row>
    <row r="37919" spans="1:1">
      <c r="A37919" t="inlineStr">
        <is>
          <t>Carnaga</t>
        </is>
      </c>
    </row>
    <row r="37920" spans="1:1">
      <c r="A37920" t="inlineStr">
        <is>
          <t>Cawayan</t>
        </is>
      </c>
    </row>
    <row r="37921" spans="1:1">
      <c r="A37921" t="inlineStr">
        <is>
          <t>Higosoan</t>
        </is>
      </c>
    </row>
    <row r="37922" spans="1:1">
      <c r="A37922" t="inlineStr">
        <is>
          <t>Hinagtikan</t>
        </is>
      </c>
    </row>
    <row r="37923" spans="1:1">
      <c r="A37923" t="inlineStr">
        <is>
          <t>Hinapo</t>
        </is>
      </c>
    </row>
    <row r="37924" spans="1:1">
      <c r="A37924" t="inlineStr">
        <is>
          <t>Hugpa</t>
        </is>
      </c>
    </row>
    <row r="37925" spans="1:1">
      <c r="A37925" t="inlineStr">
        <is>
          <t>Iniguihan Pob.</t>
        </is>
      </c>
    </row>
    <row r="37926" spans="1:1">
      <c r="A37926" t="inlineStr">
        <is>
          <t>Looc</t>
        </is>
      </c>
    </row>
    <row r="37927" spans="1:1">
      <c r="A37927" t="inlineStr">
        <is>
          <t>Luan</t>
        </is>
      </c>
    </row>
    <row r="37928" spans="1:1">
      <c r="A37928" t="inlineStr">
        <is>
          <t>Maanyag</t>
        </is>
      </c>
    </row>
    <row r="37929" spans="1:1">
      <c r="A37929" t="inlineStr">
        <is>
          <t>Mag-ata</t>
        </is>
      </c>
    </row>
    <row r="37930" spans="1:1">
      <c r="A37930" t="inlineStr">
        <is>
          <t>Mapgap</t>
        </is>
      </c>
    </row>
    <row r="37931" spans="1:1">
      <c r="A37931" t="inlineStr">
        <is>
          <t>Maslog</t>
        </is>
      </c>
    </row>
    <row r="37932" spans="1:1">
      <c r="A37932" t="inlineStr">
        <is>
          <t>Punong</t>
        </is>
      </c>
    </row>
    <row r="37933" spans="1:1">
      <c r="A37933" t="inlineStr">
        <is>
          <t>Rizal</t>
        </is>
      </c>
    </row>
    <row r="37934" spans="1:1">
      <c r="A37934" t="inlineStr">
        <is>
          <t>San Agustin</t>
        </is>
      </c>
    </row>
    <row r="37935" spans="1:1">
      <c r="A37935" t="inlineStr">
        <is>
          <t>San Antonio</t>
        </is>
      </c>
    </row>
    <row r="37936" spans="1:1">
      <c r="A37936" t="inlineStr">
        <is>
          <t>San Isidro</t>
        </is>
      </c>
    </row>
    <row r="37937" spans="1:1">
      <c r="A37937" t="inlineStr">
        <is>
          <t>San Miguel</t>
        </is>
      </c>
    </row>
    <row r="37938" spans="1:1">
      <c r="A37938" t="inlineStr">
        <is>
          <t>San Roque</t>
        </is>
      </c>
    </row>
    <row r="37939" spans="1:1">
      <c r="A37939" t="inlineStr">
        <is>
          <t>Tinago</t>
        </is>
      </c>
    </row>
    <row r="37940" spans="1:1">
      <c r="A37940" t="inlineStr">
        <is>
          <t>Central Labas</t>
        </is>
      </c>
    </row>
    <row r="37941" spans="1:1">
      <c r="A37941" t="inlineStr">
        <is>
          <t>Kapinpilan</t>
        </is>
      </c>
    </row>
    <row r="37942" spans="1:1">
      <c r="A37942" t="inlineStr">
        <is>
          <t>Malingao</t>
        </is>
      </c>
    </row>
    <row r="37943" spans="1:1">
      <c r="A37943" t="inlineStr">
        <is>
          <t>Mudseng</t>
        </is>
      </c>
    </row>
    <row r="37944" spans="1:1">
      <c r="A37944" t="inlineStr">
        <is>
          <t>Sambulawan</t>
        </is>
      </c>
    </row>
    <row r="37945" spans="1:1">
      <c r="A37945" t="inlineStr">
        <is>
          <t>Tugal</t>
        </is>
      </c>
    </row>
    <row r="37946" spans="1:1">
      <c r="A37946" t="inlineStr">
        <is>
          <t>Tumbras</t>
        </is>
      </c>
    </row>
    <row r="37947" spans="1:1">
      <c r="A37947" t="inlineStr">
        <is>
          <t>Kib-Ayao</t>
        </is>
      </c>
    </row>
    <row r="37948" spans="1:1">
      <c r="A37948" t="inlineStr">
        <is>
          <t>Kitulaan</t>
        </is>
      </c>
    </row>
    <row r="37949" spans="1:1">
      <c r="A37949" t="inlineStr">
        <is>
          <t>Langogan</t>
        </is>
      </c>
    </row>
    <row r="37950" spans="1:1">
      <c r="A37950" t="inlineStr">
        <is>
          <t>Manarapan</t>
        </is>
      </c>
    </row>
    <row r="37951" spans="1:1">
      <c r="A37951" t="inlineStr">
        <is>
          <t>Nasapian</t>
        </is>
      </c>
    </row>
    <row r="37952" spans="1:1">
      <c r="A37952" t="inlineStr">
        <is>
          <t>Pebpoloan</t>
        </is>
      </c>
    </row>
    <row r="37953" spans="1:1">
      <c r="A37953" t="inlineStr">
        <is>
          <t>Tupig</t>
        </is>
      </c>
    </row>
    <row r="37954" spans="1:1">
      <c r="A37954" t="inlineStr">
        <is>
          <t>Bagoaingud</t>
        </is>
      </c>
    </row>
    <row r="37955" spans="1:1">
      <c r="A37955" t="inlineStr">
        <is>
          <t>Barungis</t>
        </is>
      </c>
    </row>
    <row r="37956" spans="1:1">
      <c r="A37956" t="inlineStr">
        <is>
          <t>Buliok</t>
        </is>
      </c>
    </row>
    <row r="37957" spans="1:1">
      <c r="A37957" t="inlineStr">
        <is>
          <t>Bulol</t>
        </is>
      </c>
    </row>
    <row r="37958" spans="1:1">
      <c r="A37958" t="inlineStr">
        <is>
          <t>Gligli</t>
        </is>
      </c>
    </row>
    <row r="37959" spans="1:1">
      <c r="A37959" t="inlineStr">
        <is>
          <t>Kabasalan</t>
        </is>
      </c>
    </row>
    <row r="37960" spans="1:1">
      <c r="A37960" t="inlineStr">
        <is>
          <t>Rajah Muda</t>
        </is>
      </c>
    </row>
    <row r="37961" spans="1:1">
      <c r="A37961" t="inlineStr">
        <is>
          <t>Balungis</t>
        </is>
      </c>
    </row>
    <row r="37962" spans="1:1">
      <c r="A37962" t="inlineStr">
        <is>
          <t>Batulawan</t>
        </is>
      </c>
    </row>
    <row r="37963" spans="1:1">
      <c r="A37963" t="inlineStr">
        <is>
          <t>Fort Pikit</t>
        </is>
      </c>
    </row>
    <row r="37964" spans="1:1">
      <c r="A37964" t="inlineStr">
        <is>
          <t>Gokoton</t>
        </is>
      </c>
    </row>
    <row r="37965" spans="1:1">
      <c r="A37965" t="inlineStr">
        <is>
          <t>Nabundas</t>
        </is>
      </c>
    </row>
    <row r="37966" spans="1:1">
      <c r="A37966" t="inlineStr">
        <is>
          <t>Nalapaan</t>
        </is>
      </c>
    </row>
    <row r="37967" spans="1:1">
      <c r="A37967" t="inlineStr">
        <is>
          <t>Nunguan</t>
        </is>
      </c>
    </row>
    <row r="37968" spans="1:1">
      <c r="A37968" t="inlineStr">
        <is>
          <t>Damatulan</t>
        </is>
      </c>
    </row>
    <row r="37969" spans="1:1">
      <c r="A37969" t="inlineStr">
        <is>
          <t>Dunguan</t>
        </is>
      </c>
    </row>
    <row r="37970" spans="1:1">
      <c r="A37970" t="inlineStr">
        <is>
          <t>Kadigasan</t>
        </is>
      </c>
    </row>
    <row r="37971" spans="1:1">
      <c r="A37971" t="inlineStr">
        <is>
          <t>Kadingilan</t>
        </is>
      </c>
    </row>
    <row r="37972" spans="1:1">
      <c r="A37972" t="inlineStr">
        <is>
          <t>Kudarangan</t>
        </is>
      </c>
    </row>
    <row r="37973" spans="1:1">
      <c r="A37973" t="inlineStr">
        <is>
          <t>Nabalawag</t>
        </is>
      </c>
    </row>
    <row r="37974" spans="1:1">
      <c r="A37974" t="inlineStr">
        <is>
          <t>Olandang</t>
        </is>
      </c>
    </row>
    <row r="37975" spans="1:1">
      <c r="A37975" t="inlineStr">
        <is>
          <t>Buluan</t>
        </is>
      </c>
    </row>
    <row r="37976" spans="1:1">
      <c r="A37976" t="inlineStr">
        <is>
          <t>Nanga-an</t>
        </is>
      </c>
    </row>
    <row r="37977" spans="1:1">
      <c r="A37977" t="inlineStr">
        <is>
          <t>Pedtad</t>
        </is>
      </c>
    </row>
    <row r="37978" spans="1:1">
      <c r="A37978" t="inlineStr">
        <is>
          <t>Sanggadong</t>
        </is>
      </c>
    </row>
    <row r="37979" spans="1:1">
      <c r="A37979" t="inlineStr">
        <is>
          <t>Simbuhay</t>
        </is>
      </c>
    </row>
    <row r="37980" spans="1:1">
      <c r="A37980" t="inlineStr">
        <is>
          <t>Simone</t>
        </is>
      </c>
    </row>
    <row r="37981" spans="1:1">
      <c r="A37981" t="inlineStr">
        <is>
          <t>Tamped</t>
        </is>
      </c>
    </row>
    <row r="37982" spans="1:1">
      <c r="A37982" t="inlineStr">
        <is>
          <t>Balacayon</t>
        </is>
      </c>
    </row>
    <row r="37983" spans="1:1">
      <c r="A37983" t="inlineStr">
        <is>
          <t>Buricain</t>
        </is>
      </c>
    </row>
    <row r="37984" spans="1:1">
      <c r="A37984" t="inlineStr">
        <is>
          <t>Datu Binasing</t>
        </is>
      </c>
    </row>
    <row r="37985" spans="1:1">
      <c r="A37985" t="inlineStr">
        <is>
          <t>Datu Mantil</t>
        </is>
      </c>
    </row>
    <row r="37986" spans="1:1">
      <c r="A37986" t="inlineStr">
        <is>
          <t>Kadingilan</t>
        </is>
      </c>
    </row>
    <row r="37987" spans="1:1">
      <c r="A37987" t="inlineStr">
        <is>
          <t>Libungan Torreta</t>
        </is>
      </c>
    </row>
    <row r="37988" spans="1:1">
      <c r="A37988" t="inlineStr">
        <is>
          <t>Lower Baguer</t>
        </is>
      </c>
    </row>
    <row r="37989" spans="1:1">
      <c r="A37989" t="inlineStr">
        <is>
          <t>Lower Pangangkalan</t>
        </is>
      </c>
    </row>
    <row r="37990" spans="1:1">
      <c r="A37990" t="inlineStr">
        <is>
          <t>Matilac</t>
        </is>
      </c>
    </row>
    <row r="37991" spans="1:1">
      <c r="A37991" t="inlineStr">
        <is>
          <t>Patot</t>
        </is>
      </c>
    </row>
    <row r="37992" spans="1:1">
      <c r="A37992" t="inlineStr">
        <is>
          <t>Simsiman</t>
        </is>
      </c>
    </row>
    <row r="37993" spans="1:1">
      <c r="A37993" t="inlineStr">
        <is>
          <t>Upper Pangangkalan</t>
        </is>
      </c>
    </row>
    <row r="37994" spans="1:1">
      <c r="A37994" t="inlineStr">
        <is>
          <t>Balong</t>
        </is>
      </c>
    </row>
    <row r="37995" spans="1:1">
      <c r="A37995" t="inlineStr">
        <is>
          <t>Bualan</t>
        </is>
      </c>
    </row>
    <row r="37996" spans="1:1">
      <c r="A37996" t="inlineStr">
        <is>
          <t>Lagunde</t>
        </is>
      </c>
    </row>
    <row r="37997" spans="1:1">
      <c r="A37997" t="inlineStr">
        <is>
          <t>Macabual</t>
        </is>
      </c>
    </row>
    <row r="37998" spans="1:1">
      <c r="A37998" t="inlineStr">
        <is>
          <t>Macasendeg</t>
        </is>
      </c>
    </row>
    <row r="37999" spans="1:1">
      <c r="A37999" t="inlineStr">
        <is>
          <t>Manaulanan</t>
        </is>
      </c>
    </row>
    <row r="38000" spans="1:1">
      <c r="A38000" t="inlineStr">
        <is>
          <t>Pamalian</t>
        </is>
      </c>
    </row>
    <row r="38001" spans="1:1">
      <c r="A38001" t="inlineStr">
        <is>
          <t>Panicupan</t>
        </is>
      </c>
    </row>
    <row r="38002" spans="1:1">
      <c r="A38002" t="inlineStr">
        <is>
          <t>Tapodoc</t>
        </is>
      </c>
    </row>
    <row r="38003" spans="1:1">
      <c r="A38003" t="inlineStr">
        <is>
          <t>Bai Sarifinang</t>
        </is>
      </c>
    </row>
    <row r="38004" spans="1:1">
      <c r="A38004" t="inlineStr">
        <is>
          <t>Biwang</t>
        </is>
      </c>
    </row>
    <row r="38005" spans="1:1">
      <c r="A38005" t="inlineStr">
        <is>
          <t>Busok</t>
        </is>
      </c>
    </row>
    <row r="38006" spans="1:1">
      <c r="A38006" t="inlineStr">
        <is>
          <t>Chua</t>
        </is>
      </c>
    </row>
    <row r="38007" spans="1:1">
      <c r="A38007" t="inlineStr">
        <is>
          <t>Daguma</t>
        </is>
      </c>
    </row>
    <row r="38008" spans="1:1">
      <c r="A38008" t="inlineStr">
        <is>
          <t>Daluga</t>
        </is>
      </c>
    </row>
    <row r="38009" spans="1:1">
      <c r="A38009" t="inlineStr">
        <is>
          <t>Kabulanan</t>
        </is>
      </c>
    </row>
    <row r="38010" spans="1:1">
      <c r="A38010" t="inlineStr">
        <is>
          <t>Kanulay</t>
        </is>
      </c>
    </row>
    <row r="38011" spans="1:1">
      <c r="A38011" t="inlineStr">
        <is>
          <t>Kapaya</t>
        </is>
      </c>
    </row>
    <row r="38012" spans="1:1">
      <c r="A38012" t="inlineStr">
        <is>
          <t>Kinayao</t>
        </is>
      </c>
    </row>
    <row r="38013" spans="1:1">
      <c r="A38013" t="inlineStr">
        <is>
          <t>Masiag</t>
        </is>
      </c>
    </row>
    <row r="38014" spans="1:1">
      <c r="A38014" t="inlineStr">
        <is>
          <t>Monteverde</t>
        </is>
      </c>
    </row>
    <row r="38015" spans="1:1">
      <c r="A38015" t="inlineStr">
        <is>
          <t>Poblacion</t>
        </is>
      </c>
    </row>
    <row r="38016" spans="1:1">
      <c r="A38016" t="inlineStr">
        <is>
          <t>Santo Niño</t>
        </is>
      </c>
    </row>
    <row r="38017" spans="1:1">
      <c r="A38017" t="inlineStr">
        <is>
          <t>Sison</t>
        </is>
      </c>
    </row>
    <row r="38018" spans="1:1">
      <c r="A38018" t="inlineStr">
        <is>
          <t>South Sepaka</t>
        </is>
      </c>
    </row>
    <row r="38019" spans="1:1">
      <c r="A38019" t="inlineStr">
        <is>
          <t>Sumilil</t>
        </is>
      </c>
    </row>
    <row r="38020" spans="1:1">
      <c r="A38020" t="inlineStr">
        <is>
          <t>Titulok</t>
        </is>
      </c>
    </row>
    <row r="38021" spans="1:1">
      <c r="A38021" t="inlineStr">
        <is>
          <t>Tuka</t>
        </is>
      </c>
    </row>
    <row r="38022" spans="1:1">
      <c r="A38022" t="inlineStr">
        <is>
          <t>Baras</t>
        </is>
      </c>
    </row>
    <row r="38023" spans="1:1">
      <c r="A38023" t="inlineStr">
        <is>
          <t>Buenaflor</t>
        </is>
      </c>
    </row>
    <row r="38024" spans="1:1">
      <c r="A38024" t="inlineStr">
        <is>
          <t>Calean</t>
        </is>
      </c>
    </row>
    <row r="38025" spans="1:1">
      <c r="A38025" t="inlineStr">
        <is>
          <t>Carmen</t>
        </is>
      </c>
    </row>
    <row r="38026" spans="1:1">
      <c r="A38026" t="inlineStr">
        <is>
          <t>D'Ledesma</t>
        </is>
      </c>
    </row>
    <row r="38027" spans="1:1">
      <c r="A38027" t="inlineStr">
        <is>
          <t>Enrique J.C. Montilla</t>
        </is>
      </c>
    </row>
    <row r="38028" spans="1:1">
      <c r="A38028" t="inlineStr">
        <is>
          <t>Kalandagan</t>
        </is>
      </c>
    </row>
    <row r="38029" spans="1:1">
      <c r="A38029" t="inlineStr">
        <is>
          <t>Lancheta</t>
        </is>
      </c>
    </row>
    <row r="38030" spans="1:1">
      <c r="A38030" t="inlineStr">
        <is>
          <t>New Isabela</t>
        </is>
      </c>
    </row>
    <row r="38031" spans="1:1">
      <c r="A38031" t="inlineStr">
        <is>
          <t>New Lagao</t>
        </is>
      </c>
    </row>
    <row r="38032" spans="1:1">
      <c r="A38032" t="inlineStr">
        <is>
          <t>New Passi</t>
        </is>
      </c>
    </row>
    <row r="38033" spans="1:1">
      <c r="A38033" t="inlineStr">
        <is>
          <t>Poblacion</t>
        </is>
      </c>
    </row>
    <row r="38034" spans="1:1">
      <c r="A38034" t="inlineStr">
        <is>
          <t>Rajah Nuda</t>
        </is>
      </c>
    </row>
    <row r="38035" spans="1:1">
      <c r="A38035" t="inlineStr">
        <is>
          <t>San Antonio</t>
        </is>
      </c>
    </row>
    <row r="38036" spans="1:1">
      <c r="A38036" t="inlineStr">
        <is>
          <t>San Emmanuel</t>
        </is>
      </c>
    </row>
    <row r="38037" spans="1:1">
      <c r="A38037" t="inlineStr">
        <is>
          <t>San Pablo</t>
        </is>
      </c>
    </row>
    <row r="38038" spans="1:1">
      <c r="A38038" t="inlineStr">
        <is>
          <t>San Rafael</t>
        </is>
      </c>
    </row>
    <row r="38039" spans="1:1">
      <c r="A38039" t="inlineStr">
        <is>
          <t>Tina</t>
        </is>
      </c>
    </row>
    <row r="38040" spans="1:1">
      <c r="A38040" t="inlineStr">
        <is>
          <t>Upper Katungal</t>
        </is>
      </c>
    </row>
    <row r="38041" spans="1:1">
      <c r="A38041" t="inlineStr">
        <is>
          <t>Virginia Griño</t>
        </is>
      </c>
    </row>
    <row r="38042" spans="1:1">
      <c r="A38042" t="inlineStr">
        <is>
          <t>Bantangan</t>
        </is>
      </c>
    </row>
    <row r="38043" spans="1:1">
      <c r="A38043" t="inlineStr">
        <is>
          <t>Datablao</t>
        </is>
      </c>
    </row>
    <row r="38044" spans="1:1">
      <c r="A38044" t="inlineStr">
        <is>
          <t>Eday</t>
        </is>
      </c>
    </row>
    <row r="38045" spans="1:1">
      <c r="A38045" t="inlineStr">
        <is>
          <t>Elbebe</t>
        </is>
      </c>
    </row>
    <row r="38046" spans="1:1">
      <c r="A38046" t="inlineStr">
        <is>
          <t>Lasak</t>
        </is>
      </c>
    </row>
    <row r="38047" spans="1:1">
      <c r="A38047" t="inlineStr">
        <is>
          <t>Libertad</t>
        </is>
      </c>
    </row>
    <row r="38048" spans="1:1">
      <c r="A38048" t="inlineStr">
        <is>
          <t>Lomoyon</t>
        </is>
      </c>
    </row>
    <row r="38049" spans="1:1">
      <c r="A38049" t="inlineStr">
        <is>
          <t>Makat</t>
        </is>
      </c>
    </row>
    <row r="38050" spans="1:1">
      <c r="A38050" t="inlineStr">
        <is>
          <t>Maligaya</t>
        </is>
      </c>
    </row>
    <row r="38051" spans="1:1">
      <c r="A38051" t="inlineStr">
        <is>
          <t>Mayo</t>
        </is>
      </c>
    </row>
    <row r="38052" spans="1:1">
      <c r="A38052" t="inlineStr">
        <is>
          <t>Natividad</t>
        </is>
      </c>
    </row>
    <row r="38053" spans="1:1">
      <c r="A38053" t="inlineStr">
        <is>
          <t>Poblacion</t>
        </is>
      </c>
    </row>
    <row r="38054" spans="1:1">
      <c r="A38054" t="inlineStr">
        <is>
          <t>Polomolok</t>
        </is>
      </c>
    </row>
    <row r="38055" spans="1:1">
      <c r="A38055" t="inlineStr">
        <is>
          <t>Sinapulan</t>
        </is>
      </c>
    </row>
    <row r="38056" spans="1:1">
      <c r="A38056" t="inlineStr">
        <is>
          <t>Sucob</t>
        </is>
      </c>
    </row>
    <row r="38057" spans="1:1">
      <c r="A38057" t="inlineStr">
        <is>
          <t>Telafas</t>
        </is>
      </c>
    </row>
    <row r="38058" spans="1:1">
      <c r="A38058" t="inlineStr">
        <is>
          <t>Ala</t>
        </is>
      </c>
    </row>
    <row r="38059" spans="1:1">
      <c r="A38059" t="inlineStr">
        <is>
          <t>Daladap</t>
        </is>
      </c>
    </row>
    <row r="38060" spans="1:1">
      <c r="A38060" t="inlineStr">
        <is>
          <t>Dukay</t>
        </is>
      </c>
    </row>
    <row r="38061" spans="1:1">
      <c r="A38061" t="inlineStr">
        <is>
          <t>Guiamalia</t>
        </is>
      </c>
    </row>
    <row r="38062" spans="1:1">
      <c r="A38062" t="inlineStr">
        <is>
          <t>Ilian</t>
        </is>
      </c>
    </row>
    <row r="38063" spans="1:1">
      <c r="A38063" t="inlineStr">
        <is>
          <t>Kangkong</t>
        </is>
      </c>
    </row>
    <row r="38064" spans="1:1">
      <c r="A38064" t="inlineStr">
        <is>
          <t>Laguinding</t>
        </is>
      </c>
    </row>
    <row r="38065" spans="1:1">
      <c r="A38065" t="inlineStr">
        <is>
          <t>Magsaysay</t>
        </is>
      </c>
    </row>
    <row r="38066" spans="1:1">
      <c r="A38066" t="inlineStr">
        <is>
          <t>Margues</t>
        </is>
      </c>
    </row>
    <row r="38067" spans="1:1">
      <c r="A38067" t="inlineStr">
        <is>
          <t>New Panay</t>
        </is>
      </c>
    </row>
    <row r="38068" spans="1:1">
      <c r="A38068" t="inlineStr">
        <is>
          <t>Numo</t>
        </is>
      </c>
    </row>
    <row r="38069" spans="1:1">
      <c r="A38069" t="inlineStr">
        <is>
          <t>Paitan</t>
        </is>
      </c>
    </row>
    <row r="38070" spans="1:1">
      <c r="A38070" t="inlineStr">
        <is>
          <t>Pamantingan</t>
        </is>
      </c>
    </row>
    <row r="38071" spans="1:1">
      <c r="A38071" t="inlineStr">
        <is>
          <t>Poblacion</t>
        </is>
      </c>
    </row>
    <row r="38072" spans="1:1">
      <c r="A38072" t="inlineStr">
        <is>
          <t>Sagasa</t>
        </is>
      </c>
    </row>
    <row r="38073" spans="1:1">
      <c r="A38073" t="inlineStr">
        <is>
          <t>Salabaca</t>
        </is>
      </c>
    </row>
    <row r="38074" spans="1:1">
      <c r="A38074" t="inlineStr">
        <is>
          <t>Saliao</t>
        </is>
      </c>
    </row>
    <row r="38075" spans="1:1">
      <c r="A38075" t="inlineStr">
        <is>
          <t>Salumping</t>
        </is>
      </c>
    </row>
    <row r="38076" spans="1:1">
      <c r="A38076" t="inlineStr">
        <is>
          <t>Villamor</t>
        </is>
      </c>
    </row>
    <row r="38077" spans="1:1">
      <c r="A38077" t="inlineStr">
        <is>
          <t>Bambad</t>
        </is>
      </c>
    </row>
    <row r="38078" spans="1:1">
      <c r="A38078" t="inlineStr">
        <is>
          <t>Bual</t>
        </is>
      </c>
    </row>
    <row r="38079" spans="1:1">
      <c r="A38079" t="inlineStr">
        <is>
          <t>D'Lotilla</t>
        </is>
      </c>
    </row>
    <row r="38080" spans="1:1">
      <c r="A38080" t="inlineStr">
        <is>
          <t>Dansuli</t>
        </is>
      </c>
    </row>
    <row r="38081" spans="1:1">
      <c r="A38081" t="inlineStr">
        <is>
          <t>Impao</t>
        </is>
      </c>
    </row>
    <row r="38082" spans="1:1">
      <c r="A38082" t="inlineStr">
        <is>
          <t>Kalawag I</t>
        </is>
      </c>
    </row>
    <row r="38083" spans="1:1">
      <c r="A38083" t="inlineStr">
        <is>
          <t>Kalawag II</t>
        </is>
      </c>
    </row>
    <row r="38084" spans="1:1">
      <c r="A38084" t="inlineStr">
        <is>
          <t>Kalawag III</t>
        </is>
      </c>
    </row>
    <row r="38085" spans="1:1">
      <c r="A38085" t="inlineStr">
        <is>
          <t>Kenram</t>
        </is>
      </c>
    </row>
    <row r="38086" spans="1:1">
      <c r="A38086" t="inlineStr">
        <is>
          <t>Kolambog</t>
        </is>
      </c>
    </row>
    <row r="38087" spans="1:1">
      <c r="A38087" t="inlineStr">
        <is>
          <t>Kudanding</t>
        </is>
      </c>
    </row>
    <row r="38088" spans="1:1">
      <c r="A38088" t="inlineStr">
        <is>
          <t>Lagandang</t>
        </is>
      </c>
    </row>
    <row r="38089" spans="1:1">
      <c r="A38089" t="inlineStr">
        <is>
          <t>Laguilayan</t>
        </is>
      </c>
    </row>
    <row r="38090" spans="1:1">
      <c r="A38090" t="inlineStr">
        <is>
          <t>Mapantig</t>
        </is>
      </c>
    </row>
    <row r="38091" spans="1:1">
      <c r="A38091" t="inlineStr">
        <is>
          <t>New Pangasinan</t>
        </is>
      </c>
    </row>
    <row r="38092" spans="1:1">
      <c r="A38092" t="inlineStr">
        <is>
          <t>Sampao</t>
        </is>
      </c>
    </row>
    <row r="38093" spans="1:1">
      <c r="A38093" t="inlineStr">
        <is>
          <t>Tayugo</t>
        </is>
      </c>
    </row>
    <row r="38094" spans="1:1">
      <c r="A38094" t="inlineStr">
        <is>
          <t>Bantogon</t>
        </is>
      </c>
    </row>
    <row r="38095" spans="1:1">
      <c r="A38095" t="inlineStr">
        <is>
          <t>Cadiz</t>
        </is>
      </c>
    </row>
    <row r="38096" spans="1:1">
      <c r="A38096" t="inlineStr">
        <is>
          <t>Datu Ito Andong</t>
        </is>
      </c>
    </row>
    <row r="38097" spans="1:1">
      <c r="A38097" t="inlineStr">
        <is>
          <t>Datu Wasay</t>
        </is>
      </c>
    </row>
    <row r="38098" spans="1:1">
      <c r="A38098" t="inlineStr">
        <is>
          <t>Dumangas Nuevo</t>
        </is>
      </c>
    </row>
    <row r="38099" spans="1:1">
      <c r="A38099" t="inlineStr">
        <is>
          <t>Hinalaan</t>
        </is>
      </c>
    </row>
    <row r="38100" spans="1:1">
      <c r="A38100" t="inlineStr">
        <is>
          <t>Limulan</t>
        </is>
      </c>
    </row>
    <row r="38101" spans="1:1">
      <c r="A38101" t="inlineStr">
        <is>
          <t>Nalilidan</t>
        </is>
      </c>
    </row>
    <row r="38102" spans="1:1">
      <c r="A38102" t="inlineStr">
        <is>
          <t>Obial</t>
        </is>
      </c>
    </row>
    <row r="38103" spans="1:1">
      <c r="A38103" t="inlineStr">
        <is>
          <t>Pag-asa</t>
        </is>
      </c>
    </row>
    <row r="38104" spans="1:1">
      <c r="A38104" t="inlineStr">
        <is>
          <t>Paril</t>
        </is>
      </c>
    </row>
    <row r="38105" spans="1:1">
      <c r="A38105" t="inlineStr">
        <is>
          <t>Poblacion</t>
        </is>
      </c>
    </row>
    <row r="38106" spans="1:1">
      <c r="A38106" t="inlineStr">
        <is>
          <t>Sabanal</t>
        </is>
      </c>
    </row>
    <row r="38107" spans="1:1">
      <c r="A38107" t="inlineStr">
        <is>
          <t>Sangay</t>
        </is>
      </c>
    </row>
    <row r="38108" spans="1:1">
      <c r="A38108" t="inlineStr">
        <is>
          <t>Santa Maria</t>
        </is>
      </c>
    </row>
    <row r="38109" spans="1:1">
      <c r="A38109" t="inlineStr">
        <is>
          <t>Caridad</t>
        </is>
      </c>
    </row>
    <row r="38110" spans="1:1">
      <c r="A38110" t="inlineStr">
        <is>
          <t>Didtaras</t>
        </is>
      </c>
    </row>
    <row r="38111" spans="1:1">
      <c r="A38111" t="inlineStr">
        <is>
          <t>Gansing</t>
        </is>
      </c>
    </row>
    <row r="38112" spans="1:1">
      <c r="A38112" t="inlineStr">
        <is>
          <t>Kabulakan</t>
        </is>
      </c>
    </row>
    <row r="38113" spans="1:1">
      <c r="A38113" t="inlineStr">
        <is>
          <t>Kapingkong</t>
        </is>
      </c>
    </row>
    <row r="38114" spans="1:1">
      <c r="A38114" t="inlineStr">
        <is>
          <t>Katitisan</t>
        </is>
      </c>
    </row>
    <row r="38115" spans="1:1">
      <c r="A38115" t="inlineStr">
        <is>
          <t>Lagao</t>
        </is>
      </c>
    </row>
    <row r="38116" spans="1:1">
      <c r="A38116" t="inlineStr">
        <is>
          <t>Lilit</t>
        </is>
      </c>
    </row>
    <row r="38117" spans="1:1">
      <c r="A38117" t="inlineStr">
        <is>
          <t>Madanding</t>
        </is>
      </c>
    </row>
    <row r="38118" spans="1:1">
      <c r="A38118" t="inlineStr">
        <is>
          <t>Maligaya</t>
        </is>
      </c>
    </row>
    <row r="38119" spans="1:1">
      <c r="A38119" t="inlineStr">
        <is>
          <t>Mamali</t>
        </is>
      </c>
    </row>
    <row r="38120" spans="1:1">
      <c r="A38120" t="inlineStr">
        <is>
          <t>Matiompong</t>
        </is>
      </c>
    </row>
    <row r="38121" spans="1:1">
      <c r="A38121" t="inlineStr">
        <is>
          <t>Midtapok</t>
        </is>
      </c>
    </row>
    <row r="38122" spans="1:1">
      <c r="A38122" t="inlineStr">
        <is>
          <t>New Cebu</t>
        </is>
      </c>
    </row>
    <row r="38123" spans="1:1">
      <c r="A38123" t="inlineStr">
        <is>
          <t>Palumbi</t>
        </is>
      </c>
    </row>
    <row r="38124" spans="1:1">
      <c r="A38124" t="inlineStr">
        <is>
          <t>Pidtiguian</t>
        </is>
      </c>
    </row>
    <row r="38125" spans="1:1">
      <c r="A38125" t="inlineStr">
        <is>
          <t>Pimbalayan</t>
        </is>
      </c>
    </row>
    <row r="38126" spans="1:1">
      <c r="A38126" t="inlineStr">
        <is>
          <t>Pinguiaman</t>
        </is>
      </c>
    </row>
    <row r="38127" spans="1:1">
      <c r="A38127" t="inlineStr">
        <is>
          <t>Poblacion</t>
        </is>
      </c>
    </row>
    <row r="38128" spans="1:1">
      <c r="A38128" t="inlineStr">
        <is>
          <t>Sadsalan</t>
        </is>
      </c>
    </row>
    <row r="38129" spans="1:1">
      <c r="A38129" t="inlineStr">
        <is>
          <t>Seneben</t>
        </is>
      </c>
    </row>
    <row r="38130" spans="1:1">
      <c r="A38130" t="inlineStr">
        <is>
          <t>Sigayan</t>
        </is>
      </c>
    </row>
    <row r="38131" spans="1:1">
      <c r="A38131" t="inlineStr">
        <is>
          <t>Tambak</t>
        </is>
      </c>
    </row>
    <row r="38132" spans="1:1">
      <c r="A38132" t="inlineStr">
        <is>
          <t>Tinumigues</t>
        </is>
      </c>
    </row>
    <row r="38133" spans="1:1">
      <c r="A38133" t="inlineStr">
        <is>
          <t>Tumiao</t>
        </is>
      </c>
    </row>
    <row r="38134" spans="1:1">
      <c r="A38134" t="inlineStr">
        <is>
          <t>Udtong</t>
        </is>
      </c>
    </row>
    <row r="38135" spans="1:1">
      <c r="A38135" t="inlineStr">
        <is>
          <t>Aurelio F. Freires</t>
        </is>
      </c>
    </row>
    <row r="38136" spans="1:1">
      <c r="A38136" t="inlineStr">
        <is>
          <t>Barurao</t>
        </is>
      </c>
    </row>
    <row r="38137" spans="1:1">
      <c r="A38137" t="inlineStr">
        <is>
          <t>Barurao II</t>
        </is>
      </c>
    </row>
    <row r="38138" spans="1:1">
      <c r="A38138" t="inlineStr">
        <is>
          <t>Basak</t>
        </is>
      </c>
    </row>
    <row r="38139" spans="1:1">
      <c r="A38139" t="inlineStr">
        <is>
          <t>Bolebok</t>
        </is>
      </c>
    </row>
    <row r="38140" spans="1:1">
      <c r="A38140" t="inlineStr">
        <is>
          <t>Bululawan</t>
        </is>
      </c>
    </row>
    <row r="38141" spans="1:1">
      <c r="A38141" t="inlineStr">
        <is>
          <t>Capilan</t>
        </is>
      </c>
    </row>
    <row r="38142" spans="1:1">
      <c r="A38142" t="inlineStr">
        <is>
          <t>Christiannuevo</t>
        </is>
      </c>
    </row>
    <row r="38143" spans="1:1">
      <c r="A38143" t="inlineStr">
        <is>
          <t>Datu Karon</t>
        </is>
      </c>
    </row>
    <row r="38144" spans="1:1">
      <c r="A38144" t="inlineStr">
        <is>
          <t>Kalamongog</t>
        </is>
      </c>
    </row>
    <row r="38145" spans="1:1">
      <c r="A38145" t="inlineStr">
        <is>
          <t>Keytodac</t>
        </is>
      </c>
    </row>
    <row r="38146" spans="1:1">
      <c r="A38146" t="inlineStr">
        <is>
          <t>Kinodalan</t>
        </is>
      </c>
    </row>
    <row r="38147" spans="1:1">
      <c r="A38147" t="inlineStr">
        <is>
          <t>New Calinog</t>
        </is>
      </c>
    </row>
    <row r="38148" spans="1:1">
      <c r="A38148" t="inlineStr">
        <is>
          <t>Nuling</t>
        </is>
      </c>
    </row>
    <row r="38149" spans="1:1">
      <c r="A38149" t="inlineStr">
        <is>
          <t>Pansud</t>
        </is>
      </c>
    </row>
    <row r="38150" spans="1:1">
      <c r="A38150" t="inlineStr">
        <is>
          <t>Pasandalan</t>
        </is>
      </c>
    </row>
    <row r="38151" spans="1:1">
      <c r="A38151" t="inlineStr">
        <is>
          <t>Poblacion</t>
        </is>
      </c>
    </row>
    <row r="38152" spans="1:1">
      <c r="A38152" t="inlineStr">
        <is>
          <t>Poblacion III</t>
        </is>
      </c>
    </row>
    <row r="38153" spans="1:1">
      <c r="A38153" t="inlineStr">
        <is>
          <t>Poloy-poloy</t>
        </is>
      </c>
    </row>
    <row r="38154" spans="1:1">
      <c r="A38154" t="inlineStr">
        <is>
          <t>Purikay</t>
        </is>
      </c>
    </row>
    <row r="38155" spans="1:1">
      <c r="A38155" t="inlineStr">
        <is>
          <t>Ragandang</t>
        </is>
      </c>
    </row>
    <row r="38156" spans="1:1">
      <c r="A38156" t="inlineStr">
        <is>
          <t>Salaman</t>
        </is>
      </c>
    </row>
    <row r="38157" spans="1:1">
      <c r="A38157" t="inlineStr">
        <is>
          <t>Salangsang</t>
        </is>
      </c>
    </row>
    <row r="38158" spans="1:1">
      <c r="A38158" t="inlineStr">
        <is>
          <t>Taguisa</t>
        </is>
      </c>
    </row>
    <row r="38159" spans="1:1">
      <c r="A38159" t="inlineStr">
        <is>
          <t>Tibpuan</t>
        </is>
      </c>
    </row>
    <row r="38160" spans="1:1">
      <c r="A38160" t="inlineStr">
        <is>
          <t>Tran</t>
        </is>
      </c>
    </row>
    <row r="38161" spans="1:1">
      <c r="A38161" t="inlineStr">
        <is>
          <t>Villamonte</t>
        </is>
      </c>
    </row>
    <row r="38162" spans="1:1">
      <c r="A38162" t="inlineStr">
        <is>
          <t>Antong</t>
        </is>
      </c>
    </row>
    <row r="38163" spans="1:1">
      <c r="A38163" t="inlineStr">
        <is>
          <t>Bayasong</t>
        </is>
      </c>
    </row>
    <row r="38164" spans="1:1">
      <c r="A38164" t="inlineStr">
        <is>
          <t>Blingkong</t>
        </is>
      </c>
    </row>
    <row r="38165" spans="1:1">
      <c r="A38165" t="inlineStr">
        <is>
          <t>Lutayan Proper</t>
        </is>
      </c>
    </row>
    <row r="38166" spans="1:1">
      <c r="A38166" t="inlineStr">
        <is>
          <t>Maindang</t>
        </is>
      </c>
    </row>
    <row r="38167" spans="1:1">
      <c r="A38167" t="inlineStr">
        <is>
          <t>Mamali</t>
        </is>
      </c>
    </row>
    <row r="38168" spans="1:1">
      <c r="A38168" t="inlineStr">
        <is>
          <t>Manili</t>
        </is>
      </c>
    </row>
    <row r="38169" spans="1:1">
      <c r="A38169" t="inlineStr">
        <is>
          <t>Palavilla</t>
        </is>
      </c>
    </row>
    <row r="38170" spans="1:1">
      <c r="A38170" t="inlineStr">
        <is>
          <t>Sampao</t>
        </is>
      </c>
    </row>
    <row r="38171" spans="1:1">
      <c r="A38171" t="inlineStr">
        <is>
          <t>Sisiman</t>
        </is>
      </c>
    </row>
    <row r="38172" spans="1:1">
      <c r="A38172" t="inlineStr">
        <is>
          <t>Tamnag</t>
        </is>
      </c>
    </row>
    <row r="38173" spans="1:1">
      <c r="A38173" t="inlineStr">
        <is>
          <t>Akol</t>
        </is>
      </c>
    </row>
    <row r="38174" spans="1:1">
      <c r="A38174" t="inlineStr">
        <is>
          <t>Badiangon</t>
        </is>
      </c>
    </row>
    <row r="38175" spans="1:1">
      <c r="A38175" t="inlineStr">
        <is>
          <t>Baliango</t>
        </is>
      </c>
    </row>
    <row r="38176" spans="1:1">
      <c r="A38176" t="inlineStr">
        <is>
          <t>Balwan</t>
        </is>
      </c>
    </row>
    <row r="38177" spans="1:1">
      <c r="A38177" t="inlineStr">
        <is>
          <t>Bambanen</t>
        </is>
      </c>
    </row>
    <row r="38178" spans="1:1">
      <c r="A38178" t="inlineStr">
        <is>
          <t>Baranayan</t>
        </is>
      </c>
    </row>
    <row r="38179" spans="1:1">
      <c r="A38179" t="inlineStr">
        <is>
          <t>Barongis</t>
        </is>
      </c>
    </row>
    <row r="38180" spans="1:1">
      <c r="A38180" t="inlineStr">
        <is>
          <t>Batang-baglas</t>
        </is>
      </c>
    </row>
    <row r="38181" spans="1:1">
      <c r="A38181" t="inlineStr">
        <is>
          <t>Butril</t>
        </is>
      </c>
    </row>
    <row r="38182" spans="1:1">
      <c r="A38182" t="inlineStr">
        <is>
          <t>Colobe</t>
        </is>
      </c>
    </row>
    <row r="38183" spans="1:1">
      <c r="A38183" t="inlineStr">
        <is>
          <t>Datu Maguiales</t>
        </is>
      </c>
    </row>
    <row r="38184" spans="1:1">
      <c r="A38184" t="inlineStr">
        <is>
          <t>Domolol</t>
        </is>
      </c>
    </row>
    <row r="38185" spans="1:1">
      <c r="A38185" t="inlineStr">
        <is>
          <t>Kabuling</t>
        </is>
      </c>
    </row>
    <row r="38186" spans="1:1">
      <c r="A38186" t="inlineStr">
        <is>
          <t>Kalibuhan</t>
        </is>
      </c>
    </row>
    <row r="38187" spans="1:1">
      <c r="A38187" t="inlineStr">
        <is>
          <t>Kanipaan</t>
        </is>
      </c>
    </row>
    <row r="38188" spans="1:1">
      <c r="A38188" t="inlineStr">
        <is>
          <t>Kidayan</t>
        </is>
      </c>
    </row>
    <row r="38189" spans="1:1">
      <c r="A38189" t="inlineStr">
        <is>
          <t>Kiponget</t>
        </is>
      </c>
    </row>
    <row r="38190" spans="1:1">
      <c r="A38190" t="inlineStr">
        <is>
          <t>Kisek</t>
        </is>
      </c>
    </row>
    <row r="38191" spans="1:1">
      <c r="A38191" t="inlineStr">
        <is>
          <t>Kraan</t>
        </is>
      </c>
    </row>
    <row r="38192" spans="1:1">
      <c r="A38192" t="inlineStr">
        <is>
          <t>Kulong-kulong</t>
        </is>
      </c>
    </row>
    <row r="38193" spans="1:1">
      <c r="A38193" t="inlineStr">
        <is>
          <t>Langali</t>
        </is>
      </c>
    </row>
    <row r="38194" spans="1:1">
      <c r="A38194" t="inlineStr">
        <is>
          <t>Libua</t>
        </is>
      </c>
    </row>
    <row r="38195" spans="1:1">
      <c r="A38195" t="inlineStr">
        <is>
          <t>Ligao</t>
        </is>
      </c>
    </row>
    <row r="38196" spans="1:1">
      <c r="A38196" t="inlineStr">
        <is>
          <t>Lopoken</t>
        </is>
      </c>
    </row>
    <row r="38197" spans="1:1">
      <c r="A38197" t="inlineStr">
        <is>
          <t>Lumitan</t>
        </is>
      </c>
    </row>
    <row r="38198" spans="1:1">
      <c r="A38198" t="inlineStr">
        <is>
          <t>Maganao</t>
        </is>
      </c>
    </row>
    <row r="38199" spans="1:1">
      <c r="A38199" t="inlineStr">
        <is>
          <t>Maguid</t>
        </is>
      </c>
    </row>
    <row r="38200" spans="1:1">
      <c r="A38200" t="inlineStr">
        <is>
          <t>Malatuneng</t>
        </is>
      </c>
    </row>
    <row r="38201" spans="1:1">
      <c r="A38201" t="inlineStr">
        <is>
          <t>Malisbong</t>
        </is>
      </c>
    </row>
    <row r="38202" spans="1:1">
      <c r="A38202" t="inlineStr">
        <is>
          <t>Medol</t>
        </is>
      </c>
    </row>
    <row r="38203" spans="1:1">
      <c r="A38203" t="inlineStr">
        <is>
          <t>Milbuk</t>
        </is>
      </c>
    </row>
    <row r="38204" spans="1:1">
      <c r="A38204" t="inlineStr">
        <is>
          <t>Mina</t>
        </is>
      </c>
    </row>
    <row r="38205" spans="1:1">
      <c r="A38205" t="inlineStr">
        <is>
          <t>Molon</t>
        </is>
      </c>
    </row>
    <row r="38206" spans="1:1">
      <c r="A38206" t="inlineStr">
        <is>
          <t>Namat Masla</t>
        </is>
      </c>
    </row>
    <row r="38207" spans="1:1">
      <c r="A38207" t="inlineStr">
        <is>
          <t>Napnapon</t>
        </is>
      </c>
    </row>
    <row r="38208" spans="1:1">
      <c r="A38208" t="inlineStr">
        <is>
          <t>Poblacion</t>
        </is>
      </c>
    </row>
    <row r="38209" spans="1:1">
      <c r="A38209" t="inlineStr">
        <is>
          <t>San Roque</t>
        </is>
      </c>
    </row>
    <row r="38210" spans="1:1">
      <c r="A38210" t="inlineStr">
        <is>
          <t>Tibuhol</t>
        </is>
      </c>
    </row>
    <row r="38211" spans="1:1">
      <c r="A38211" t="inlineStr">
        <is>
          <t>Wal</t>
        </is>
      </c>
    </row>
    <row r="38212" spans="1:1">
      <c r="A38212" t="inlineStr">
        <is>
          <t>Wasag</t>
        </is>
      </c>
    </row>
    <row r="38213" spans="1:1">
      <c r="A38213" t="inlineStr">
        <is>
          <t>Bagumbayan</t>
        </is>
      </c>
    </row>
    <row r="38214" spans="1:1">
      <c r="A38214" t="inlineStr">
        <is>
          <t>Bannawag</t>
        </is>
      </c>
    </row>
    <row r="38215" spans="1:1">
      <c r="A38215" t="inlineStr">
        <is>
          <t>Bayawa</t>
        </is>
      </c>
    </row>
    <row r="38216" spans="1:1">
      <c r="A38216" t="inlineStr">
        <is>
          <t>C. Mangilala</t>
        </is>
      </c>
    </row>
    <row r="38217" spans="1:1">
      <c r="A38217" t="inlineStr">
        <is>
          <t>Estrella</t>
        </is>
      </c>
    </row>
    <row r="38218" spans="1:1">
      <c r="A38218" t="inlineStr">
        <is>
          <t>Kalanawe I</t>
        </is>
      </c>
    </row>
    <row r="38219" spans="1:1">
      <c r="A38219" t="inlineStr">
        <is>
          <t>Kalanawe II</t>
        </is>
      </c>
    </row>
    <row r="38220" spans="1:1">
      <c r="A38220" t="inlineStr">
        <is>
          <t>Katico</t>
        </is>
      </c>
    </row>
    <row r="38221" spans="1:1">
      <c r="A38221" t="inlineStr">
        <is>
          <t>Malingon</t>
        </is>
      </c>
    </row>
    <row r="38222" spans="1:1">
      <c r="A38222" t="inlineStr">
        <is>
          <t>Mangalen</t>
        </is>
      </c>
    </row>
    <row r="38223" spans="1:1">
      <c r="A38223" t="inlineStr">
        <is>
          <t>Pedtubo</t>
        </is>
      </c>
    </row>
    <row r="38224" spans="1:1">
      <c r="A38224" t="inlineStr">
        <is>
          <t>Poblacion</t>
        </is>
      </c>
    </row>
    <row r="38225" spans="1:1">
      <c r="A38225" t="inlineStr">
        <is>
          <t>Romualdez</t>
        </is>
      </c>
    </row>
    <row r="38226" spans="1:1">
      <c r="A38226" t="inlineStr">
        <is>
          <t>San Jose</t>
        </is>
      </c>
    </row>
    <row r="38227" spans="1:1">
      <c r="A38227" t="inlineStr">
        <is>
          <t>San Pedro</t>
        </is>
      </c>
    </row>
    <row r="38228" spans="1:1">
      <c r="A38228" t="inlineStr">
        <is>
          <t>Sinakulay</t>
        </is>
      </c>
    </row>
    <row r="38229" spans="1:1">
      <c r="A38229" t="inlineStr">
        <is>
          <t>Suben</t>
        </is>
      </c>
    </row>
    <row r="38230" spans="1:1">
      <c r="A38230" t="inlineStr">
        <is>
          <t>Tinaungan</t>
        </is>
      </c>
    </row>
    <row r="38231" spans="1:1">
      <c r="A38231" t="inlineStr">
        <is>
          <t>Tual</t>
        </is>
      </c>
    </row>
    <row r="38232" spans="1:1">
      <c r="A38232" t="inlineStr">
        <is>
          <t>Banali</t>
        </is>
      </c>
    </row>
    <row r="38233" spans="1:1">
      <c r="A38233" t="inlineStr">
        <is>
          <t>Basag</t>
        </is>
      </c>
    </row>
    <row r="38234" spans="1:1">
      <c r="A38234" t="inlineStr">
        <is>
          <t>Buenaflores</t>
        </is>
      </c>
    </row>
    <row r="38235" spans="1:1">
      <c r="A38235" t="inlineStr">
        <is>
          <t>Bugso</t>
        </is>
      </c>
    </row>
    <row r="38236" spans="1:1">
      <c r="A38236" t="inlineStr">
        <is>
          <t>Buklod</t>
        </is>
      </c>
    </row>
    <row r="38237" spans="1:1">
      <c r="A38237" t="inlineStr">
        <is>
          <t>Gapok</t>
        </is>
      </c>
    </row>
    <row r="38238" spans="1:1">
      <c r="A38238" t="inlineStr">
        <is>
          <t>Kadi</t>
        </is>
      </c>
    </row>
    <row r="38239" spans="1:1">
      <c r="A38239" t="inlineStr">
        <is>
          <t>Kapatagan</t>
        </is>
      </c>
    </row>
    <row r="38240" spans="1:1">
      <c r="A38240" t="inlineStr">
        <is>
          <t>Kiadsam</t>
        </is>
      </c>
    </row>
    <row r="38241" spans="1:1">
      <c r="A38241" t="inlineStr">
        <is>
          <t>Kuden</t>
        </is>
      </c>
    </row>
    <row r="38242" spans="1:1">
      <c r="A38242" t="inlineStr">
        <is>
          <t>Kulaman</t>
        </is>
      </c>
    </row>
    <row r="38243" spans="1:1">
      <c r="A38243" t="inlineStr">
        <is>
          <t>Lagubang</t>
        </is>
      </c>
    </row>
    <row r="38244" spans="1:1">
      <c r="A38244" t="inlineStr">
        <is>
          <t>Langgal</t>
        </is>
      </c>
    </row>
    <row r="38245" spans="1:1">
      <c r="A38245" t="inlineStr">
        <is>
          <t>Limuhay</t>
        </is>
      </c>
    </row>
    <row r="38246" spans="1:1">
      <c r="A38246" t="inlineStr">
        <is>
          <t>Malegdeg</t>
        </is>
      </c>
    </row>
    <row r="38247" spans="1:1">
      <c r="A38247" t="inlineStr">
        <is>
          <t>Midtungok</t>
        </is>
      </c>
    </row>
    <row r="38248" spans="1:1">
      <c r="A38248" t="inlineStr">
        <is>
          <t>Nati</t>
        </is>
      </c>
    </row>
    <row r="38249" spans="1:1">
      <c r="A38249" t="inlineStr">
        <is>
          <t>Sewod</t>
        </is>
      </c>
    </row>
    <row r="38250" spans="1:1">
      <c r="A38250" t="inlineStr">
        <is>
          <t>Tacupis</t>
        </is>
      </c>
    </row>
    <row r="38251" spans="1:1">
      <c r="A38251" t="inlineStr">
        <is>
          <t>Tinalon</t>
        </is>
      </c>
    </row>
    <row r="38252" spans="1:1">
      <c r="A38252" t="inlineStr">
        <is>
          <t>Bangas</t>
        </is>
      </c>
    </row>
    <row r="38253" spans="1:1">
      <c r="A38253" t="inlineStr">
        <is>
          <t>Bubuan</t>
        </is>
      </c>
    </row>
    <row r="38254" spans="1:1">
      <c r="A38254" t="inlineStr">
        <is>
          <t>Kabuukan</t>
        </is>
      </c>
    </row>
    <row r="38255" spans="1:1">
      <c r="A38255" t="inlineStr">
        <is>
          <t>Pag-asinan</t>
        </is>
      </c>
    </row>
    <row r="38256" spans="1:1">
      <c r="A38256" t="inlineStr">
        <is>
          <t>Teomabal</t>
        </is>
      </c>
    </row>
    <row r="38257" spans="1:1">
      <c r="A38257" t="inlineStr">
        <is>
          <t>Adjid</t>
        </is>
      </c>
    </row>
    <row r="38258" spans="1:1">
      <c r="A38258" t="inlineStr">
        <is>
          <t>Bangalan</t>
        </is>
      </c>
    </row>
    <row r="38259" spans="1:1">
      <c r="A38259" t="inlineStr">
        <is>
          <t>Bato-bato</t>
        </is>
      </c>
    </row>
    <row r="38260" spans="1:1">
      <c r="A38260" t="inlineStr">
        <is>
          <t>Buanza</t>
        </is>
      </c>
    </row>
    <row r="38261" spans="1:1">
      <c r="A38261" t="inlineStr">
        <is>
          <t>Bud-Taran</t>
        </is>
      </c>
    </row>
    <row r="38262" spans="1:1">
      <c r="A38262" t="inlineStr">
        <is>
          <t>Bunut</t>
        </is>
      </c>
    </row>
    <row r="38263" spans="1:1">
      <c r="A38263" t="inlineStr">
        <is>
          <t>Jati-Tunggal</t>
        </is>
      </c>
    </row>
    <row r="38264" spans="1:1">
      <c r="A38264" t="inlineStr">
        <is>
          <t>Kabbon Maas</t>
        </is>
      </c>
    </row>
    <row r="38265" spans="1:1">
      <c r="A38265" t="inlineStr">
        <is>
          <t>Kagay</t>
        </is>
      </c>
    </row>
    <row r="38266" spans="1:1">
      <c r="A38266" t="inlineStr">
        <is>
          <t>Kajatian</t>
        </is>
      </c>
    </row>
    <row r="38267" spans="1:1">
      <c r="A38267" t="inlineStr">
        <is>
          <t>Kan Islam</t>
        </is>
      </c>
    </row>
    <row r="38268" spans="1:1">
      <c r="A38268" t="inlineStr">
        <is>
          <t>Kandang Tukay</t>
        </is>
      </c>
    </row>
    <row r="38269" spans="1:1">
      <c r="A38269" t="inlineStr">
        <is>
          <t>Karawan</t>
        </is>
      </c>
    </row>
    <row r="38270" spans="1:1">
      <c r="A38270" t="inlineStr">
        <is>
          <t>Katian</t>
        </is>
      </c>
    </row>
    <row r="38271" spans="1:1">
      <c r="A38271" t="inlineStr">
        <is>
          <t>Kuppong</t>
        </is>
      </c>
    </row>
    <row r="38272" spans="1:1">
      <c r="A38272" t="inlineStr">
        <is>
          <t>Lambayong</t>
        </is>
      </c>
    </row>
    <row r="38273" spans="1:1">
      <c r="A38273" t="inlineStr">
        <is>
          <t>Langpas</t>
        </is>
      </c>
    </row>
    <row r="38274" spans="1:1">
      <c r="A38274" t="inlineStr">
        <is>
          <t>Licup</t>
        </is>
      </c>
    </row>
    <row r="38275" spans="1:1">
      <c r="A38275" t="inlineStr">
        <is>
          <t>Malimbaya</t>
        </is>
      </c>
    </row>
    <row r="38276" spans="1:1">
      <c r="A38276" t="inlineStr">
        <is>
          <t>Manggis</t>
        </is>
      </c>
    </row>
    <row r="38277" spans="1:1">
      <c r="A38277" t="inlineStr">
        <is>
          <t>Manilop</t>
        </is>
      </c>
    </row>
    <row r="38278" spans="1:1">
      <c r="A38278" t="inlineStr">
        <is>
          <t>Paligue</t>
        </is>
      </c>
    </row>
    <row r="38279" spans="1:1">
      <c r="A38279" t="inlineStr">
        <is>
          <t>Panabuan</t>
        </is>
      </c>
    </row>
    <row r="38280" spans="1:1">
      <c r="A38280" t="inlineStr">
        <is>
          <t>Panglima Misuari</t>
        </is>
      </c>
    </row>
    <row r="38281" spans="1:1">
      <c r="A38281" t="inlineStr">
        <is>
          <t>Pasil</t>
        </is>
      </c>
    </row>
    <row r="38282" spans="1:1">
      <c r="A38282" t="inlineStr">
        <is>
          <t>Poblacion</t>
        </is>
      </c>
    </row>
    <row r="38283" spans="1:1">
      <c r="A38283" t="inlineStr">
        <is>
          <t>Sapah Malaum</t>
        </is>
      </c>
    </row>
    <row r="38284" spans="1:1">
      <c r="A38284" t="inlineStr">
        <is>
          <t>Sawaki</t>
        </is>
      </c>
    </row>
    <row r="38285" spans="1:1">
      <c r="A38285" t="inlineStr">
        <is>
          <t>Sionogan</t>
        </is>
      </c>
    </row>
    <row r="38286" spans="1:1">
      <c r="A38286" t="inlineStr">
        <is>
          <t>Tagbak</t>
        </is>
      </c>
    </row>
    <row r="38287" spans="1:1">
      <c r="A38287" t="inlineStr">
        <is>
          <t>Timbangan</t>
        </is>
      </c>
    </row>
    <row r="38288" spans="1:1">
      <c r="A38288" t="inlineStr">
        <is>
          <t>Tubig Dakulah</t>
        </is>
      </c>
    </row>
    <row r="38289" spans="1:1">
      <c r="A38289" t="inlineStr">
        <is>
          <t>Tubig Parang</t>
        </is>
      </c>
    </row>
    <row r="38290" spans="1:1">
      <c r="A38290" t="inlineStr">
        <is>
          <t>Tumantangis</t>
        </is>
      </c>
    </row>
    <row r="38291" spans="1:1">
      <c r="A38291" t="inlineStr">
        <is>
          <t>Alat</t>
        </is>
      </c>
    </row>
    <row r="38292" spans="1:1">
      <c r="A38292" t="inlineStr">
        <is>
          <t>Asturias</t>
        </is>
      </c>
    </row>
    <row r="38293" spans="1:1">
      <c r="A38293" t="inlineStr">
        <is>
          <t>Bus-bus</t>
        </is>
      </c>
    </row>
    <row r="38294" spans="1:1">
      <c r="A38294" t="inlineStr">
        <is>
          <t>Chinese Pier</t>
        </is>
      </c>
    </row>
    <row r="38295" spans="1:1">
      <c r="A38295" t="inlineStr">
        <is>
          <t>San Raymundo</t>
        </is>
      </c>
    </row>
    <row r="38296" spans="1:1">
      <c r="A38296" t="inlineStr">
        <is>
          <t>Takut-takut</t>
        </is>
      </c>
    </row>
    <row r="38297" spans="1:1">
      <c r="A38297" t="inlineStr">
        <is>
          <t>Tulay</t>
        </is>
      </c>
    </row>
    <row r="38298" spans="1:1">
      <c r="A38298" t="inlineStr">
        <is>
          <t>Walled City</t>
        </is>
      </c>
    </row>
    <row r="38299" spans="1:1">
      <c r="A38299" t="inlineStr">
        <is>
          <t>Kambing</t>
        </is>
      </c>
    </row>
    <row r="38300" spans="1:1">
      <c r="A38300" t="inlineStr">
        <is>
          <t>Kanlagay</t>
        </is>
      </c>
    </row>
    <row r="38301" spans="1:1">
      <c r="A38301" t="inlineStr">
        <is>
          <t>Karungdong</t>
        </is>
      </c>
    </row>
    <row r="38302" spans="1:1">
      <c r="A38302" t="inlineStr">
        <is>
          <t>Masjid Bayle</t>
        </is>
      </c>
    </row>
    <row r="38303" spans="1:1">
      <c r="A38303" t="inlineStr">
        <is>
          <t>Masjid Punjungan</t>
        </is>
      </c>
    </row>
    <row r="38304" spans="1:1">
      <c r="A38304" t="inlineStr">
        <is>
          <t>Pang</t>
        </is>
      </c>
    </row>
    <row r="38305" spans="1:1">
      <c r="A38305" t="inlineStr">
        <is>
          <t>Pangdan Pangdan</t>
        </is>
      </c>
    </row>
    <row r="38306" spans="1:1">
      <c r="A38306" t="inlineStr">
        <is>
          <t>Pitogo</t>
        </is>
      </c>
    </row>
    <row r="38307" spans="1:1">
      <c r="A38307" t="inlineStr">
        <is>
          <t>Tunggol</t>
        </is>
      </c>
    </row>
    <row r="38308" spans="1:1">
      <c r="A38308" t="inlineStr">
        <is>
          <t>Alu Bus-Bus</t>
        </is>
      </c>
    </row>
    <row r="38309" spans="1:1">
      <c r="A38309" t="inlineStr">
        <is>
          <t>Alu-Duyong</t>
        </is>
      </c>
    </row>
    <row r="38310" spans="1:1">
      <c r="A38310" t="inlineStr">
        <is>
          <t>Bas Lugus</t>
        </is>
      </c>
    </row>
    <row r="38311" spans="1:1">
      <c r="A38311" t="inlineStr">
        <is>
          <t>Gapas Rugasan</t>
        </is>
      </c>
    </row>
    <row r="38312" spans="1:1">
      <c r="A38312" t="inlineStr">
        <is>
          <t>Gapas Tubig Tuwak</t>
        </is>
      </c>
    </row>
    <row r="38313" spans="1:1">
      <c r="A38313" t="inlineStr">
        <is>
          <t>Huwit-huwit Bas Nonok</t>
        </is>
      </c>
    </row>
    <row r="38314" spans="1:1">
      <c r="A38314" t="inlineStr">
        <is>
          <t>Huwit-huwit Proper</t>
        </is>
      </c>
    </row>
    <row r="38315" spans="1:1">
      <c r="A38315" t="inlineStr">
        <is>
          <t>Kutah Parang</t>
        </is>
      </c>
    </row>
    <row r="38316" spans="1:1">
      <c r="A38316" t="inlineStr">
        <is>
          <t>Laha</t>
        </is>
      </c>
    </row>
    <row r="38317" spans="1:1">
      <c r="A38317" t="inlineStr">
        <is>
          <t>Larap</t>
        </is>
      </c>
    </row>
    <row r="38318" spans="1:1">
      <c r="A38318" t="inlineStr">
        <is>
          <t>Lugus Proper</t>
        </is>
      </c>
    </row>
    <row r="38319" spans="1:1">
      <c r="A38319" t="inlineStr">
        <is>
          <t>Mangkallay</t>
        </is>
      </c>
    </row>
    <row r="38320" spans="1:1">
      <c r="A38320" t="inlineStr">
        <is>
          <t>Mantan</t>
        </is>
      </c>
    </row>
    <row r="38321" spans="1:1">
      <c r="A38321" t="inlineStr">
        <is>
          <t>Pait</t>
        </is>
      </c>
    </row>
    <row r="38322" spans="1:1">
      <c r="A38322" t="inlineStr">
        <is>
          <t>Parian Kayawan</t>
        </is>
      </c>
    </row>
    <row r="38323" spans="1:1">
      <c r="A38323" t="inlineStr">
        <is>
          <t>Sibul</t>
        </is>
      </c>
    </row>
    <row r="38324" spans="1:1">
      <c r="A38324" t="inlineStr">
        <is>
          <t>Tingkangan</t>
        </is>
      </c>
    </row>
    <row r="38325" spans="1:1">
      <c r="A38325" t="inlineStr">
        <is>
          <t>Bual</t>
        </is>
      </c>
    </row>
    <row r="38326" spans="1:1">
      <c r="A38326" t="inlineStr">
        <is>
          <t>Guimbaun</t>
        </is>
      </c>
    </row>
    <row r="38327" spans="1:1">
      <c r="A38327" t="inlineStr">
        <is>
          <t>Kan-Bulak</t>
        </is>
      </c>
    </row>
    <row r="38328" spans="1:1">
      <c r="A38328" t="inlineStr">
        <is>
          <t>Kan-Mindus</t>
        </is>
      </c>
    </row>
    <row r="38329" spans="1:1">
      <c r="A38329" t="inlineStr">
        <is>
          <t>Lambago</t>
        </is>
      </c>
    </row>
    <row r="38330" spans="1:1">
      <c r="A38330" t="inlineStr">
        <is>
          <t>Lianutan</t>
        </is>
      </c>
    </row>
    <row r="38331" spans="1:1">
      <c r="A38331" t="inlineStr">
        <is>
          <t>Lingah</t>
        </is>
      </c>
    </row>
    <row r="38332" spans="1:1">
      <c r="A38332" t="inlineStr">
        <is>
          <t>Mananti</t>
        </is>
      </c>
    </row>
    <row r="38333" spans="1:1">
      <c r="A38333" t="inlineStr">
        <is>
          <t>Niog-niog</t>
        </is>
      </c>
    </row>
    <row r="38334" spans="1:1">
      <c r="A38334" t="inlineStr">
        <is>
          <t>Tandu-Bato</t>
        </is>
      </c>
    </row>
    <row r="38335" spans="1:1">
      <c r="A38335" t="inlineStr">
        <is>
          <t>Tubig-Puti</t>
        </is>
      </c>
    </row>
    <row r="38336" spans="1:1">
      <c r="A38336" t="inlineStr">
        <is>
          <t>Tulayan Island</t>
        </is>
      </c>
    </row>
    <row r="38337" spans="1:1">
      <c r="A38337" t="inlineStr">
        <is>
          <t>Anak Jati</t>
        </is>
      </c>
    </row>
    <row r="38338" spans="1:1">
      <c r="A38338" t="inlineStr">
        <is>
          <t>Bato Ugis</t>
        </is>
      </c>
    </row>
    <row r="38339" spans="1:1">
      <c r="A38339" t="inlineStr">
        <is>
          <t>Bualo Lahi</t>
        </is>
      </c>
    </row>
    <row r="38340" spans="1:1">
      <c r="A38340" t="inlineStr">
        <is>
          <t>Bualo Lipid</t>
        </is>
      </c>
    </row>
    <row r="38341" spans="1:1">
      <c r="A38341" t="inlineStr">
        <is>
          <t>Bulabog</t>
        </is>
      </c>
    </row>
    <row r="38342" spans="1:1">
      <c r="A38342" t="inlineStr">
        <is>
          <t>Duhol Kabbon</t>
        </is>
      </c>
    </row>
    <row r="38343" spans="1:1">
      <c r="A38343" t="inlineStr">
        <is>
          <t>Gulangan</t>
        </is>
      </c>
    </row>
    <row r="38344" spans="1:1">
      <c r="A38344" t="inlineStr">
        <is>
          <t>Ipil</t>
        </is>
      </c>
    </row>
    <row r="38345" spans="1:1">
      <c r="A38345" t="inlineStr">
        <is>
          <t>Kandang</t>
        </is>
      </c>
    </row>
    <row r="38346" spans="1:1">
      <c r="A38346" t="inlineStr">
        <is>
          <t>Kapok-Punggol</t>
        </is>
      </c>
    </row>
    <row r="38347" spans="1:1">
      <c r="A38347" t="inlineStr">
        <is>
          <t>Kulasi</t>
        </is>
      </c>
    </row>
    <row r="38348" spans="1:1">
      <c r="A38348" t="inlineStr">
        <is>
          <t>Labah</t>
        </is>
      </c>
    </row>
    <row r="38349" spans="1:1">
      <c r="A38349" t="inlineStr">
        <is>
          <t>Lagasan Asibih</t>
        </is>
      </c>
    </row>
    <row r="38350" spans="1:1">
      <c r="A38350" t="inlineStr">
        <is>
          <t>Lantong</t>
        </is>
      </c>
    </row>
    <row r="38351" spans="1:1">
      <c r="A38351" t="inlineStr">
        <is>
          <t>Lapa</t>
        </is>
      </c>
    </row>
    <row r="38352" spans="1:1">
      <c r="A38352" t="inlineStr">
        <is>
          <t>Laud Kulasi</t>
        </is>
      </c>
    </row>
    <row r="38353" spans="1:1">
      <c r="A38353" t="inlineStr">
        <is>
          <t>Laum Maimbung</t>
        </is>
      </c>
    </row>
    <row r="38354" spans="1:1">
      <c r="A38354" t="inlineStr">
        <is>
          <t>Lower Tambaking</t>
        </is>
      </c>
    </row>
    <row r="38355" spans="1:1">
      <c r="A38355" t="inlineStr">
        <is>
          <t>Lunggang</t>
        </is>
      </c>
    </row>
    <row r="38356" spans="1:1">
      <c r="A38356" t="inlineStr">
        <is>
          <t>Matatal</t>
        </is>
      </c>
    </row>
    <row r="38357" spans="1:1">
      <c r="A38357" t="inlineStr">
        <is>
          <t>Patao</t>
        </is>
      </c>
    </row>
    <row r="38358" spans="1:1">
      <c r="A38358" t="inlineStr">
        <is>
          <t>Poblacion</t>
        </is>
      </c>
    </row>
    <row r="38359" spans="1:1">
      <c r="A38359" t="inlineStr">
        <is>
          <t>Ratag Limbon</t>
        </is>
      </c>
    </row>
    <row r="38360" spans="1:1">
      <c r="A38360" t="inlineStr">
        <is>
          <t>Tabu-Bato</t>
        </is>
      </c>
    </row>
    <row r="38361" spans="1:1">
      <c r="A38361" t="inlineStr">
        <is>
          <t>Tandu Patong</t>
        </is>
      </c>
    </row>
    <row r="38362" spans="1:1">
      <c r="A38362" t="inlineStr">
        <is>
          <t>Tubig-Samin</t>
        </is>
      </c>
    </row>
    <row r="38363" spans="1:1">
      <c r="A38363" t="inlineStr">
        <is>
          <t>Upper Tambaking</t>
        </is>
      </c>
    </row>
    <row r="38364" spans="1:1">
      <c r="A38364" t="inlineStr">
        <is>
          <t>Asin</t>
        </is>
      </c>
    </row>
    <row r="38365" spans="1:1">
      <c r="A38365" t="inlineStr">
        <is>
          <t>Bakud</t>
        </is>
      </c>
    </row>
    <row r="38366" spans="1:1">
      <c r="A38366" t="inlineStr">
        <is>
          <t>Bangday</t>
        </is>
      </c>
    </row>
    <row r="38367" spans="1:1">
      <c r="A38367" t="inlineStr">
        <is>
          <t>Baunoh</t>
        </is>
      </c>
    </row>
    <row r="38368" spans="1:1">
      <c r="A38368" t="inlineStr">
        <is>
          <t>Bitanag</t>
        </is>
      </c>
    </row>
    <row r="38369" spans="1:1">
      <c r="A38369" t="inlineStr">
        <is>
          <t>Bud Seit</t>
        </is>
      </c>
    </row>
    <row r="38370" spans="1:1">
      <c r="A38370" t="inlineStr">
        <is>
          <t>Bulangsi</t>
        </is>
      </c>
    </row>
    <row r="38371" spans="1:1">
      <c r="A38371" t="inlineStr">
        <is>
          <t>Datag</t>
        </is>
      </c>
    </row>
    <row r="38372" spans="1:1">
      <c r="A38372" t="inlineStr">
        <is>
          <t>Kamalig</t>
        </is>
      </c>
    </row>
    <row r="38373" spans="1:1">
      <c r="A38373" t="inlineStr">
        <is>
          <t>Kan Asaali</t>
        </is>
      </c>
    </row>
    <row r="38374" spans="1:1">
      <c r="A38374" t="inlineStr">
        <is>
          <t>Kan Ukol</t>
        </is>
      </c>
    </row>
    <row r="38375" spans="1:1">
      <c r="A38375" t="inlineStr">
        <is>
          <t>Kan-Dayok</t>
        </is>
      </c>
    </row>
    <row r="38376" spans="1:1">
      <c r="A38376" t="inlineStr">
        <is>
          <t>Kan-Sipat</t>
        </is>
      </c>
    </row>
    <row r="38377" spans="1:1">
      <c r="A38377" t="inlineStr">
        <is>
          <t>Kawasan</t>
        </is>
      </c>
    </row>
    <row r="38378" spans="1:1">
      <c r="A38378" t="inlineStr">
        <is>
          <t>Kulay-kulay</t>
        </is>
      </c>
    </row>
    <row r="38379" spans="1:1">
      <c r="A38379" t="inlineStr">
        <is>
          <t>Lakit</t>
        </is>
      </c>
    </row>
    <row r="38380" spans="1:1">
      <c r="A38380" t="inlineStr">
        <is>
          <t>Lower Patibulan</t>
        </is>
      </c>
    </row>
    <row r="38381" spans="1:1">
      <c r="A38381" t="inlineStr">
        <is>
          <t>Lunggang</t>
        </is>
      </c>
    </row>
    <row r="38382" spans="1:1">
      <c r="A38382" t="inlineStr">
        <is>
          <t>Parang</t>
        </is>
      </c>
    </row>
    <row r="38383" spans="1:1">
      <c r="A38383" t="inlineStr">
        <is>
          <t>Pugad Manaul</t>
        </is>
      </c>
    </row>
    <row r="38384" spans="1:1">
      <c r="A38384" t="inlineStr">
        <is>
          <t>Puhagan</t>
        </is>
      </c>
    </row>
    <row r="38385" spans="1:1">
      <c r="A38385" t="inlineStr">
        <is>
          <t>Seit Higad</t>
        </is>
      </c>
    </row>
    <row r="38386" spans="1:1">
      <c r="A38386" t="inlineStr">
        <is>
          <t>Seit Lake</t>
        </is>
      </c>
    </row>
    <row r="38387" spans="1:1">
      <c r="A38387" t="inlineStr">
        <is>
          <t>Su-uh</t>
        </is>
      </c>
    </row>
    <row r="38388" spans="1:1">
      <c r="A38388" t="inlineStr">
        <is>
          <t>Tabu Manuk</t>
        </is>
      </c>
    </row>
    <row r="38389" spans="1:1">
      <c r="A38389" t="inlineStr">
        <is>
          <t>Tandu-tandu</t>
        </is>
      </c>
    </row>
    <row r="38390" spans="1:1">
      <c r="A38390" t="inlineStr">
        <is>
          <t>Tayungan</t>
        </is>
      </c>
    </row>
    <row r="38391" spans="1:1">
      <c r="A38391" t="inlineStr">
        <is>
          <t>Tinah</t>
        </is>
      </c>
    </row>
    <row r="38392" spans="1:1">
      <c r="A38392" t="inlineStr">
        <is>
          <t>Tubig Gantang</t>
        </is>
      </c>
    </row>
    <row r="38393" spans="1:1">
      <c r="A38393" t="inlineStr">
        <is>
          <t>Tubig Jati</t>
        </is>
      </c>
    </row>
    <row r="38394" spans="1:1">
      <c r="A38394" t="inlineStr">
        <is>
          <t>Upper Patibulan</t>
        </is>
      </c>
    </row>
    <row r="38395" spans="1:1">
      <c r="A38395" t="inlineStr">
        <is>
          <t>Andalan</t>
        </is>
      </c>
    </row>
    <row r="38396" spans="1:1">
      <c r="A38396" t="inlineStr">
        <is>
          <t>Angilan</t>
        </is>
      </c>
    </row>
    <row r="38397" spans="1:1">
      <c r="A38397" t="inlineStr">
        <is>
          <t>Capual Island</t>
        </is>
      </c>
    </row>
    <row r="38398" spans="1:1">
      <c r="A38398" t="inlineStr">
        <is>
          <t>Huwit-huwit</t>
        </is>
      </c>
    </row>
    <row r="38399" spans="1:1">
      <c r="A38399" t="inlineStr">
        <is>
          <t>Lahing-Lahing</t>
        </is>
      </c>
    </row>
    <row r="38400" spans="1:1">
      <c r="A38400" t="inlineStr">
        <is>
          <t>Niangkaan</t>
        </is>
      </c>
    </row>
    <row r="38401" spans="1:1">
      <c r="A38401" t="inlineStr">
        <is>
          <t>Sucuban</t>
        </is>
      </c>
    </row>
    <row r="38402" spans="1:1">
      <c r="A38402" t="inlineStr">
        <is>
          <t>Tangkuan</t>
        </is>
      </c>
    </row>
    <row r="38403" spans="1:1">
      <c r="A38403" t="inlineStr">
        <is>
          <t>Baligtang</t>
        </is>
      </c>
    </row>
    <row r="38404" spans="1:1">
      <c r="A38404" t="inlineStr">
        <is>
          <t>Bud Sibaud</t>
        </is>
      </c>
    </row>
    <row r="38405" spans="1:1">
      <c r="A38405" t="inlineStr">
        <is>
          <t>Hambilan</t>
        </is>
      </c>
    </row>
    <row r="38406" spans="1:1">
      <c r="A38406" t="inlineStr">
        <is>
          <t>Kabbon</t>
        </is>
      </c>
    </row>
    <row r="38407" spans="1:1">
      <c r="A38407" t="inlineStr">
        <is>
          <t>Lahi</t>
        </is>
      </c>
    </row>
    <row r="38408" spans="1:1">
      <c r="A38408" t="inlineStr">
        <is>
          <t>Lapak</t>
        </is>
      </c>
    </row>
    <row r="38409" spans="1:1">
      <c r="A38409" t="inlineStr">
        <is>
          <t>Laud Sibaud</t>
        </is>
      </c>
    </row>
    <row r="38410" spans="1:1">
      <c r="A38410" t="inlineStr">
        <is>
          <t>Malanta</t>
        </is>
      </c>
    </row>
    <row r="38411" spans="1:1">
      <c r="A38411" t="inlineStr">
        <is>
          <t>Mamanok</t>
        </is>
      </c>
    </row>
    <row r="38412" spans="1:1">
      <c r="A38412" t="inlineStr">
        <is>
          <t>North Manubul</t>
        </is>
      </c>
    </row>
    <row r="38413" spans="1:1">
      <c r="A38413" t="inlineStr">
        <is>
          <t>Parian Dakula</t>
        </is>
      </c>
    </row>
    <row r="38414" spans="1:1">
      <c r="A38414" t="inlineStr">
        <is>
          <t>Sibaud Proper</t>
        </is>
      </c>
    </row>
    <row r="38415" spans="1:1">
      <c r="A38415" t="inlineStr">
        <is>
          <t>Siganggang</t>
        </is>
      </c>
    </row>
    <row r="38416" spans="1:1">
      <c r="A38416" t="inlineStr">
        <is>
          <t>South Manubul</t>
        </is>
      </c>
    </row>
    <row r="38417" spans="1:1">
      <c r="A38417" t="inlineStr">
        <is>
          <t>Suba-suba</t>
        </is>
      </c>
    </row>
    <row r="38418" spans="1:1">
      <c r="A38418" t="inlineStr">
        <is>
          <t>Tenga Manubul</t>
        </is>
      </c>
    </row>
    <row r="38419" spans="1:1">
      <c r="A38419" t="inlineStr">
        <is>
          <t>Gagguil</t>
        </is>
      </c>
    </row>
    <row r="38420" spans="1:1">
      <c r="A38420" t="inlineStr">
        <is>
          <t>Gata-gata</t>
        </is>
      </c>
    </row>
    <row r="38421" spans="1:1">
      <c r="A38421" t="inlineStr">
        <is>
          <t>Jinggan</t>
        </is>
      </c>
    </row>
    <row r="38422" spans="1:1">
      <c r="A38422" t="inlineStr">
        <is>
          <t>Kamih-Pungud</t>
        </is>
      </c>
    </row>
    <row r="38423" spans="1:1">
      <c r="A38423" t="inlineStr">
        <is>
          <t>Lihbug Kabaw</t>
        </is>
      </c>
    </row>
    <row r="38424" spans="1:1">
      <c r="A38424" t="inlineStr">
        <is>
          <t>Likbah</t>
        </is>
      </c>
    </row>
    <row r="38425" spans="1:1">
      <c r="A38425" t="inlineStr">
        <is>
          <t>Lubuk-lubuk</t>
        </is>
      </c>
    </row>
    <row r="38426" spans="1:1">
      <c r="A38426" t="inlineStr">
        <is>
          <t>Marsada</t>
        </is>
      </c>
    </row>
    <row r="38427" spans="1:1">
      <c r="A38427" t="inlineStr">
        <is>
          <t>Paiksa</t>
        </is>
      </c>
    </row>
    <row r="38428" spans="1:1">
      <c r="A38428" t="inlineStr">
        <is>
          <t>Pandakan</t>
        </is>
      </c>
    </row>
    <row r="38429" spans="1:1">
      <c r="A38429" t="inlineStr">
        <is>
          <t>Punay</t>
        </is>
      </c>
    </row>
    <row r="38430" spans="1:1">
      <c r="A38430" t="inlineStr">
        <is>
          <t>Tiptipon</t>
        </is>
      </c>
    </row>
    <row r="38431" spans="1:1">
      <c r="A38431" t="inlineStr">
        <is>
          <t>Alu Bunah</t>
        </is>
      </c>
    </row>
    <row r="38432" spans="1:1">
      <c r="A38432" t="inlineStr">
        <is>
          <t>Bangkilay</t>
        </is>
      </c>
    </row>
    <row r="38433" spans="1:1">
      <c r="A38433" t="inlineStr">
        <is>
          <t>Kawitan</t>
        </is>
      </c>
    </row>
    <row r="38434" spans="1:1">
      <c r="A38434" t="inlineStr">
        <is>
          <t>Kehi Niog</t>
        </is>
      </c>
    </row>
    <row r="38435" spans="1:1">
      <c r="A38435" t="inlineStr">
        <is>
          <t>Lantong Babag</t>
        </is>
      </c>
    </row>
    <row r="38436" spans="1:1">
      <c r="A38436" t="inlineStr">
        <is>
          <t>Lumah Dapdap</t>
        </is>
      </c>
    </row>
    <row r="38437" spans="1:1">
      <c r="A38437" t="inlineStr">
        <is>
          <t>Pandan Niog</t>
        </is>
      </c>
    </row>
    <row r="38438" spans="1:1">
      <c r="A38438" t="inlineStr">
        <is>
          <t>Panducan</t>
        </is>
      </c>
    </row>
    <row r="38439" spans="1:1">
      <c r="A38439" t="inlineStr">
        <is>
          <t>Panitikan</t>
        </is>
      </c>
    </row>
    <row r="38440" spans="1:1">
      <c r="A38440" t="inlineStr">
        <is>
          <t>Patutol</t>
        </is>
      </c>
    </row>
    <row r="38441" spans="1:1">
      <c r="A38441" t="inlineStr">
        <is>
          <t>Se-ipang</t>
        </is>
      </c>
    </row>
    <row r="38442" spans="1:1">
      <c r="A38442" t="inlineStr">
        <is>
          <t>Simbahan</t>
        </is>
      </c>
    </row>
    <row r="38443" spans="1:1">
      <c r="A38443" t="inlineStr">
        <is>
          <t>Suang Bunah</t>
        </is>
      </c>
    </row>
    <row r="38444" spans="1:1">
      <c r="A38444" t="inlineStr">
        <is>
          <t>Tonggasang</t>
        </is>
      </c>
    </row>
    <row r="38445" spans="1:1">
      <c r="A38445" t="inlineStr">
        <is>
          <t>Tubig Nonok</t>
        </is>
      </c>
    </row>
    <row r="38446" spans="1:1">
      <c r="A38446" t="inlineStr">
        <is>
          <t>Tubig Sallang</t>
        </is>
      </c>
    </row>
    <row r="38447" spans="1:1">
      <c r="A38447" t="inlineStr">
        <is>
          <t>Alu Layag-Layag</t>
        </is>
      </c>
    </row>
    <row r="38448" spans="1:1">
      <c r="A38448" t="inlineStr">
        <is>
          <t>Alu Pangkoh</t>
        </is>
      </c>
    </row>
    <row r="38449" spans="1:1">
      <c r="A38449" t="inlineStr">
        <is>
          <t>Bagsak</t>
        </is>
      </c>
    </row>
    <row r="38450" spans="1:1">
      <c r="A38450" t="inlineStr">
        <is>
          <t>Bawisan</t>
        </is>
      </c>
    </row>
    <row r="38451" spans="1:1">
      <c r="A38451" t="inlineStr">
        <is>
          <t>Biid</t>
        </is>
      </c>
    </row>
    <row r="38452" spans="1:1">
      <c r="A38452" t="inlineStr">
        <is>
          <t>Bukid</t>
        </is>
      </c>
    </row>
    <row r="38453" spans="1:1">
      <c r="A38453" t="inlineStr">
        <is>
          <t>Buli Bawang</t>
        </is>
      </c>
    </row>
    <row r="38454" spans="1:1">
      <c r="A38454" t="inlineStr">
        <is>
          <t>Buton</t>
        </is>
      </c>
    </row>
    <row r="38455" spans="1:1">
      <c r="A38455" t="inlineStr">
        <is>
          <t>Buton Mahablo</t>
        </is>
      </c>
    </row>
    <row r="38456" spans="1:1">
      <c r="A38456" t="inlineStr">
        <is>
          <t>Danapa</t>
        </is>
      </c>
    </row>
    <row r="38457" spans="1:1">
      <c r="A38457" t="inlineStr">
        <is>
          <t>Duyan Kabao</t>
        </is>
      </c>
    </row>
    <row r="38458" spans="1:1">
      <c r="A38458" t="inlineStr">
        <is>
          <t>Gimba Lagasan</t>
        </is>
      </c>
    </row>
    <row r="38459" spans="1:1">
      <c r="A38459" t="inlineStr">
        <is>
          <t>Kaha</t>
        </is>
      </c>
    </row>
    <row r="38460" spans="1:1">
      <c r="A38460" t="inlineStr">
        <is>
          <t>Kahoy Sinah</t>
        </is>
      </c>
    </row>
    <row r="38461" spans="1:1">
      <c r="A38461" t="inlineStr">
        <is>
          <t>Kanaway</t>
        </is>
      </c>
    </row>
    <row r="38462" spans="1:1">
      <c r="A38462" t="inlineStr">
        <is>
          <t>Kutah Sairap</t>
        </is>
      </c>
    </row>
    <row r="38463" spans="1:1">
      <c r="A38463" t="inlineStr">
        <is>
          <t>Lagasan Higad</t>
        </is>
      </c>
    </row>
    <row r="38464" spans="1:1">
      <c r="A38464" t="inlineStr">
        <is>
          <t>Lanao Dakula</t>
        </is>
      </c>
    </row>
    <row r="38465" spans="1:1">
      <c r="A38465" t="inlineStr">
        <is>
          <t>Laum Buwahan</t>
        </is>
      </c>
    </row>
    <row r="38466" spans="1:1">
      <c r="A38466" t="inlineStr">
        <is>
          <t>Laum Suwah</t>
        </is>
      </c>
    </row>
    <row r="38467" spans="1:1">
      <c r="A38467" t="inlineStr">
        <is>
          <t>Liang</t>
        </is>
      </c>
    </row>
    <row r="38468" spans="1:1">
      <c r="A38468" t="inlineStr">
        <is>
          <t>Linuho</t>
        </is>
      </c>
    </row>
    <row r="38469" spans="1:1">
      <c r="A38469" t="inlineStr">
        <is>
          <t>Lipunos</t>
        </is>
      </c>
    </row>
    <row r="38470" spans="1:1">
      <c r="A38470" t="inlineStr">
        <is>
          <t>Lower Sampunay</t>
        </is>
      </c>
    </row>
    <row r="38471" spans="1:1">
      <c r="A38471" t="inlineStr">
        <is>
          <t>Lumbaan Mahaba</t>
        </is>
      </c>
    </row>
    <row r="38472" spans="1:1">
      <c r="A38472" t="inlineStr">
        <is>
          <t>Lungan Gitong</t>
        </is>
      </c>
    </row>
    <row r="38473" spans="1:1">
      <c r="A38473" t="inlineStr">
        <is>
          <t>Lupa Abu</t>
        </is>
      </c>
    </row>
    <row r="38474" spans="1:1">
      <c r="A38474" t="inlineStr">
        <is>
          <t>Nonokan</t>
        </is>
      </c>
    </row>
    <row r="38475" spans="1:1">
      <c r="A38475" t="inlineStr">
        <is>
          <t>Paugan</t>
        </is>
      </c>
    </row>
    <row r="38476" spans="1:1">
      <c r="A38476" t="inlineStr">
        <is>
          <t>Payuhan</t>
        </is>
      </c>
    </row>
    <row r="38477" spans="1:1">
      <c r="A38477" t="inlineStr">
        <is>
          <t>Piyahan</t>
        </is>
      </c>
    </row>
    <row r="38478" spans="1:1">
      <c r="A38478" t="inlineStr">
        <is>
          <t>Poblacion</t>
        </is>
      </c>
    </row>
    <row r="38479" spans="1:1">
      <c r="A38479" t="inlineStr">
        <is>
          <t>Saldang</t>
        </is>
      </c>
    </row>
    <row r="38480" spans="1:1">
      <c r="A38480" t="inlineStr">
        <is>
          <t>Sampunay</t>
        </is>
      </c>
    </row>
    <row r="38481" spans="1:1">
      <c r="A38481" t="inlineStr">
        <is>
          <t>Silangkan</t>
        </is>
      </c>
    </row>
    <row r="38482" spans="1:1">
      <c r="A38482" t="inlineStr">
        <is>
          <t>Taingting</t>
        </is>
      </c>
    </row>
    <row r="38483" spans="1:1">
      <c r="A38483" t="inlineStr">
        <is>
          <t>Tikong</t>
        </is>
      </c>
    </row>
    <row r="38484" spans="1:1">
      <c r="A38484" t="inlineStr">
        <is>
          <t>Tukay</t>
        </is>
      </c>
    </row>
    <row r="38485" spans="1:1">
      <c r="A38485" t="inlineStr">
        <is>
          <t>Tumangas</t>
        </is>
      </c>
    </row>
    <row r="38486" spans="1:1">
      <c r="A38486" t="inlineStr">
        <is>
          <t>Wanni Piyanjihan</t>
        </is>
      </c>
    </row>
    <row r="38487" spans="1:1">
      <c r="A38487" t="inlineStr">
        <is>
          <t>Andalan</t>
        </is>
      </c>
    </row>
    <row r="38488" spans="1:1">
      <c r="A38488" t="inlineStr">
        <is>
          <t>Daungdong</t>
        </is>
      </c>
    </row>
    <row r="38489" spans="1:1">
      <c r="A38489" t="inlineStr">
        <is>
          <t>Kamawi</t>
        </is>
      </c>
    </row>
    <row r="38490" spans="1:1">
      <c r="A38490" t="inlineStr">
        <is>
          <t>Kanjarang</t>
        </is>
      </c>
    </row>
    <row r="38491" spans="1:1">
      <c r="A38491" t="inlineStr">
        <is>
          <t>Kayawan</t>
        </is>
      </c>
    </row>
    <row r="38492" spans="1:1">
      <c r="A38492" t="inlineStr">
        <is>
          <t>Kiput</t>
        </is>
      </c>
    </row>
    <row r="38493" spans="1:1">
      <c r="A38493" t="inlineStr">
        <is>
          <t>Likud</t>
        </is>
      </c>
    </row>
    <row r="38494" spans="1:1">
      <c r="A38494" t="inlineStr">
        <is>
          <t>Luuk-tulay</t>
        </is>
      </c>
    </row>
    <row r="38495" spans="1:1">
      <c r="A38495" t="inlineStr">
        <is>
          <t>Niog-niog</t>
        </is>
      </c>
    </row>
    <row r="38496" spans="1:1">
      <c r="A38496" t="inlineStr">
        <is>
          <t>Patian</t>
        </is>
      </c>
    </row>
    <row r="38497" spans="1:1">
      <c r="A38497" t="inlineStr">
        <is>
          <t>Pisak-pisak</t>
        </is>
      </c>
    </row>
    <row r="38498" spans="1:1">
      <c r="A38498" t="inlineStr">
        <is>
          <t>Saimbangon</t>
        </is>
      </c>
    </row>
    <row r="38499" spans="1:1">
      <c r="A38499" t="inlineStr">
        <is>
          <t>Sangkap</t>
        </is>
      </c>
    </row>
    <row r="38500" spans="1:1">
      <c r="A38500" t="inlineStr">
        <is>
          <t>Timuddas</t>
        </is>
      </c>
    </row>
    <row r="38501" spans="1:1">
      <c r="A38501" t="inlineStr">
        <is>
          <t>Anuling</t>
        </is>
      </c>
    </row>
    <row r="38502" spans="1:1">
      <c r="A38502" t="inlineStr">
        <is>
          <t>Bakong</t>
        </is>
      </c>
    </row>
    <row r="38503" spans="1:1">
      <c r="A38503" t="inlineStr">
        <is>
          <t>Bangkal</t>
        </is>
      </c>
    </row>
    <row r="38504" spans="1:1">
      <c r="A38504" t="inlineStr">
        <is>
          <t>Bonbon</t>
        </is>
      </c>
    </row>
    <row r="38505" spans="1:1">
      <c r="A38505" t="inlineStr">
        <is>
          <t>Buhanginan</t>
        </is>
      </c>
    </row>
    <row r="38506" spans="1:1">
      <c r="A38506" t="inlineStr">
        <is>
          <t>Bungkaung</t>
        </is>
      </c>
    </row>
    <row r="38507" spans="1:1">
      <c r="A38507" t="inlineStr">
        <is>
          <t>Danag</t>
        </is>
      </c>
    </row>
    <row r="38508" spans="1:1">
      <c r="A38508" t="inlineStr">
        <is>
          <t>Gandasuli</t>
        </is>
      </c>
    </row>
    <row r="38509" spans="1:1">
      <c r="A38509" t="inlineStr">
        <is>
          <t>Igasan</t>
        </is>
      </c>
    </row>
    <row r="38510" spans="1:1">
      <c r="A38510" t="inlineStr">
        <is>
          <t>Kabbon Takas</t>
        </is>
      </c>
    </row>
    <row r="38511" spans="1:1">
      <c r="A38511" t="inlineStr">
        <is>
          <t>Kadday Mampallam</t>
        </is>
      </c>
    </row>
    <row r="38512" spans="1:1">
      <c r="A38512" t="inlineStr">
        <is>
          <t>Kan Ague</t>
        </is>
      </c>
    </row>
    <row r="38513" spans="1:1">
      <c r="A38513" t="inlineStr">
        <is>
          <t>Kaunayan</t>
        </is>
      </c>
    </row>
    <row r="38514" spans="1:1">
      <c r="A38514" t="inlineStr">
        <is>
          <t>Langhub</t>
        </is>
      </c>
    </row>
    <row r="38515" spans="1:1">
      <c r="A38515" t="inlineStr">
        <is>
          <t>Latih</t>
        </is>
      </c>
    </row>
    <row r="38516" spans="1:1">
      <c r="A38516" t="inlineStr">
        <is>
          <t>Liang</t>
        </is>
      </c>
    </row>
    <row r="38517" spans="1:1">
      <c r="A38517" t="inlineStr">
        <is>
          <t>Maligay</t>
        </is>
      </c>
    </row>
    <row r="38518" spans="1:1">
      <c r="A38518" t="inlineStr">
        <is>
          <t>Mauboh</t>
        </is>
      </c>
    </row>
    <row r="38519" spans="1:1">
      <c r="A38519" t="inlineStr">
        <is>
          <t>Pangdanon</t>
        </is>
      </c>
    </row>
    <row r="38520" spans="1:1">
      <c r="A38520" t="inlineStr">
        <is>
          <t>Panglayahan</t>
        </is>
      </c>
    </row>
    <row r="38521" spans="1:1">
      <c r="A38521" t="inlineStr">
        <is>
          <t>Pansul</t>
        </is>
      </c>
    </row>
    <row r="38522" spans="1:1">
      <c r="A38522" t="inlineStr">
        <is>
          <t>Patikul Higad</t>
        </is>
      </c>
    </row>
    <row r="38523" spans="1:1">
      <c r="A38523" t="inlineStr">
        <is>
          <t>Sandah</t>
        </is>
      </c>
    </row>
    <row r="38524" spans="1:1">
      <c r="A38524" t="inlineStr">
        <is>
          <t>Taglibi</t>
        </is>
      </c>
    </row>
    <row r="38525" spans="1:1">
      <c r="A38525" t="inlineStr">
        <is>
          <t>Tandu-Bagua</t>
        </is>
      </c>
    </row>
    <row r="38526" spans="1:1">
      <c r="A38526" t="inlineStr">
        <is>
          <t>Tanum</t>
        </is>
      </c>
    </row>
    <row r="38527" spans="1:1">
      <c r="A38527" t="inlineStr">
        <is>
          <t>Taung</t>
        </is>
      </c>
    </row>
    <row r="38528" spans="1:1">
      <c r="A38528" t="inlineStr">
        <is>
          <t>Timpok</t>
        </is>
      </c>
    </row>
    <row r="38529" spans="1:1">
      <c r="A38529" t="inlineStr">
        <is>
          <t>Tugas</t>
        </is>
      </c>
    </row>
    <row r="38530" spans="1:1">
      <c r="A38530" t="inlineStr">
        <is>
          <t>Umangay</t>
        </is>
      </c>
    </row>
    <row r="38531" spans="1:1">
      <c r="A38531" t="inlineStr">
        <is>
          <t>Bakud</t>
        </is>
      </c>
    </row>
    <row r="38532" spans="1:1">
      <c r="A38532" t="inlineStr">
        <is>
          <t>Buan</t>
        </is>
      </c>
    </row>
    <row r="38533" spans="1:1">
      <c r="A38533" t="inlineStr">
        <is>
          <t>Bulansing Tara</t>
        </is>
      </c>
    </row>
    <row r="38534" spans="1:1">
      <c r="A38534" t="inlineStr">
        <is>
          <t>Bulihkullul</t>
        </is>
      </c>
    </row>
    <row r="38535" spans="1:1">
      <c r="A38535" t="inlineStr">
        <is>
          <t>Campo Islam</t>
        </is>
      </c>
    </row>
    <row r="38536" spans="1:1">
      <c r="A38536" t="inlineStr">
        <is>
          <t>Duggo</t>
        </is>
      </c>
    </row>
    <row r="38537" spans="1:1">
      <c r="A38537" t="inlineStr">
        <is>
          <t>Duhol Tara</t>
        </is>
      </c>
    </row>
    <row r="38538" spans="1:1">
      <c r="A38538" t="inlineStr">
        <is>
          <t>East Kungtad</t>
        </is>
      </c>
    </row>
    <row r="38539" spans="1:1">
      <c r="A38539" t="inlineStr">
        <is>
          <t>East Sisangat</t>
        </is>
      </c>
    </row>
    <row r="38540" spans="1:1">
      <c r="A38540" t="inlineStr">
        <is>
          <t>Ipil</t>
        </is>
      </c>
    </row>
    <row r="38541" spans="1:1">
      <c r="A38541" t="inlineStr">
        <is>
          <t>Jambangan</t>
        </is>
      </c>
    </row>
    <row r="38542" spans="1:1">
      <c r="A38542" t="inlineStr">
        <is>
          <t>Kabubu</t>
        </is>
      </c>
    </row>
    <row r="38543" spans="1:1">
      <c r="A38543" t="inlineStr">
        <is>
          <t>Kong-Kong Laminusa</t>
        </is>
      </c>
    </row>
    <row r="38544" spans="1:1">
      <c r="A38544" t="inlineStr">
        <is>
          <t>Kud-kud</t>
        </is>
      </c>
    </row>
    <row r="38545" spans="1:1">
      <c r="A38545" t="inlineStr">
        <is>
          <t>Kungtad West</t>
        </is>
      </c>
    </row>
    <row r="38546" spans="1:1">
      <c r="A38546" t="inlineStr">
        <is>
          <t>Latung</t>
        </is>
      </c>
    </row>
    <row r="38547" spans="1:1">
      <c r="A38547" t="inlineStr">
        <is>
          <t>Luuk Laminusa</t>
        </is>
      </c>
    </row>
    <row r="38548" spans="1:1">
      <c r="A38548" t="inlineStr">
        <is>
          <t>Luuk Tara</t>
        </is>
      </c>
    </row>
    <row r="38549" spans="1:1">
      <c r="A38549" t="inlineStr">
        <is>
          <t>Manta</t>
        </is>
      </c>
    </row>
    <row r="38550" spans="1:1">
      <c r="A38550" t="inlineStr">
        <is>
          <t>Minapan</t>
        </is>
      </c>
    </row>
    <row r="38551" spans="1:1">
      <c r="A38551" t="inlineStr">
        <is>
          <t>Nipa-nipa</t>
        </is>
      </c>
    </row>
    <row r="38552" spans="1:1">
      <c r="A38552" t="inlineStr">
        <is>
          <t>North Laud</t>
        </is>
      </c>
    </row>
    <row r="38553" spans="1:1">
      <c r="A38553" t="inlineStr">
        <is>
          <t>North Manta</t>
        </is>
      </c>
    </row>
    <row r="38554" spans="1:1">
      <c r="A38554" t="inlineStr">
        <is>
          <t>North Musu Laud</t>
        </is>
      </c>
    </row>
    <row r="38555" spans="1:1">
      <c r="A38555" t="inlineStr">
        <is>
          <t>North Silumpak</t>
        </is>
      </c>
    </row>
    <row r="38556" spans="1:1">
      <c r="A38556" t="inlineStr">
        <is>
          <t>Pislong</t>
        </is>
      </c>
    </row>
    <row r="38557" spans="1:1">
      <c r="A38557" t="inlineStr">
        <is>
          <t>Poblacion</t>
        </is>
      </c>
    </row>
    <row r="38558" spans="1:1">
      <c r="A38558" t="inlineStr">
        <is>
          <t>Punungan</t>
        </is>
      </c>
    </row>
    <row r="38559" spans="1:1">
      <c r="A38559" t="inlineStr">
        <is>
          <t>Puukan Laminusa</t>
        </is>
      </c>
    </row>
    <row r="38560" spans="1:1">
      <c r="A38560" t="inlineStr">
        <is>
          <t>Ratag</t>
        </is>
      </c>
    </row>
    <row r="38561" spans="1:1">
      <c r="A38561" t="inlineStr">
        <is>
          <t>Sablay</t>
        </is>
      </c>
    </row>
    <row r="38562" spans="1:1">
      <c r="A38562" t="inlineStr">
        <is>
          <t>Sarukot</t>
        </is>
      </c>
    </row>
    <row r="38563" spans="1:1">
      <c r="A38563" t="inlineStr">
        <is>
          <t>Siburi</t>
        </is>
      </c>
    </row>
    <row r="38564" spans="1:1">
      <c r="A38564" t="inlineStr">
        <is>
          <t>Singko</t>
        </is>
      </c>
    </row>
    <row r="38565" spans="1:1">
      <c r="A38565" t="inlineStr">
        <is>
          <t>Siolakan</t>
        </is>
      </c>
    </row>
    <row r="38566" spans="1:1">
      <c r="A38566" t="inlineStr">
        <is>
          <t>Siowing</t>
        </is>
      </c>
    </row>
    <row r="38567" spans="1:1">
      <c r="A38567" t="inlineStr">
        <is>
          <t>Sipanding</t>
        </is>
      </c>
    </row>
    <row r="38568" spans="1:1">
      <c r="A38568" t="inlineStr">
        <is>
          <t>Sisangat</t>
        </is>
      </c>
    </row>
    <row r="38569" spans="1:1">
      <c r="A38569" t="inlineStr">
        <is>
          <t>Siundoh</t>
        </is>
      </c>
    </row>
    <row r="38570" spans="1:1">
      <c r="A38570" t="inlineStr">
        <is>
          <t>South Musu Laud</t>
        </is>
      </c>
    </row>
    <row r="38571" spans="1:1">
      <c r="A38571" t="inlineStr">
        <is>
          <t>South Silumpak</t>
        </is>
      </c>
    </row>
    <row r="38572" spans="1:1">
      <c r="A38572" t="inlineStr">
        <is>
          <t>Southwestern Bulikullul</t>
        </is>
      </c>
    </row>
    <row r="38573" spans="1:1">
      <c r="A38573" t="inlineStr">
        <is>
          <t>Subah Buaya</t>
        </is>
      </c>
    </row>
    <row r="38574" spans="1:1">
      <c r="A38574" t="inlineStr">
        <is>
          <t>Tampakan Laminusa</t>
        </is>
      </c>
    </row>
    <row r="38575" spans="1:1">
      <c r="A38575" t="inlineStr">
        <is>
          <t>Tengah Laminusa</t>
        </is>
      </c>
    </row>
    <row r="38576" spans="1:1">
      <c r="A38576" t="inlineStr">
        <is>
          <t>Tong Laminusa</t>
        </is>
      </c>
    </row>
    <row r="38577" spans="1:1">
      <c r="A38577" t="inlineStr">
        <is>
          <t>Tong-tong</t>
        </is>
      </c>
    </row>
    <row r="38578" spans="1:1">
      <c r="A38578" t="inlineStr">
        <is>
          <t>Tonglabah</t>
        </is>
      </c>
    </row>
    <row r="38579" spans="1:1">
      <c r="A38579" t="inlineStr">
        <is>
          <t>Tubig Kutah</t>
        </is>
      </c>
    </row>
    <row r="38580" spans="1:1">
      <c r="A38580" t="inlineStr">
        <is>
          <t>Tulling</t>
        </is>
      </c>
    </row>
    <row r="38581" spans="1:1">
      <c r="A38581" t="inlineStr">
        <is>
          <t>Andalan</t>
        </is>
      </c>
    </row>
    <row r="38582" spans="1:1">
      <c r="A38582" t="inlineStr">
        <is>
          <t>Bagsak</t>
        </is>
      </c>
    </row>
    <row r="38583" spans="1:1">
      <c r="A38583" t="inlineStr">
        <is>
          <t>Bandang</t>
        </is>
      </c>
    </row>
    <row r="38584" spans="1:1">
      <c r="A38584" t="inlineStr">
        <is>
          <t>Bilaan</t>
        </is>
      </c>
    </row>
    <row r="38585" spans="1:1">
      <c r="A38585" t="inlineStr">
        <is>
          <t>Bud Bunga</t>
        </is>
      </c>
    </row>
    <row r="38586" spans="1:1">
      <c r="A38586" t="inlineStr">
        <is>
          <t>Buntod</t>
        </is>
      </c>
    </row>
    <row r="38587" spans="1:1">
      <c r="A38587" t="inlineStr">
        <is>
          <t>Buroh</t>
        </is>
      </c>
    </row>
    <row r="38588" spans="1:1">
      <c r="A38588" t="inlineStr">
        <is>
          <t>Dalih</t>
        </is>
      </c>
    </row>
    <row r="38589" spans="1:1">
      <c r="A38589" t="inlineStr">
        <is>
          <t>Gata</t>
        </is>
      </c>
    </row>
    <row r="38590" spans="1:1">
      <c r="A38590" t="inlineStr">
        <is>
          <t>Kabatuhan Bilaan</t>
        </is>
      </c>
    </row>
    <row r="38591" spans="1:1">
      <c r="A38591" t="inlineStr">
        <is>
          <t>Kabatuhan Tiis</t>
        </is>
      </c>
    </row>
    <row r="38592" spans="1:1">
      <c r="A38592" t="inlineStr">
        <is>
          <t>Kabungkol</t>
        </is>
      </c>
    </row>
    <row r="38593" spans="1:1">
      <c r="A38593" t="inlineStr">
        <is>
          <t>Kagay</t>
        </is>
      </c>
    </row>
    <row r="38594" spans="1:1">
      <c r="A38594" t="inlineStr">
        <is>
          <t>Kahawa</t>
        </is>
      </c>
    </row>
    <row r="38595" spans="1:1">
      <c r="A38595" t="inlineStr">
        <is>
          <t>Kandaga</t>
        </is>
      </c>
    </row>
    <row r="38596" spans="1:1">
      <c r="A38596" t="inlineStr">
        <is>
          <t>Kanlibot</t>
        </is>
      </c>
    </row>
    <row r="38597" spans="1:1">
      <c r="A38597" t="inlineStr">
        <is>
          <t>Kiutaan</t>
        </is>
      </c>
    </row>
    <row r="38598" spans="1:1">
      <c r="A38598" t="inlineStr">
        <is>
          <t>Kuhaw</t>
        </is>
      </c>
    </row>
    <row r="38599" spans="1:1">
      <c r="A38599" t="inlineStr">
        <is>
          <t>Kulamboh</t>
        </is>
      </c>
    </row>
    <row r="38600" spans="1:1">
      <c r="A38600" t="inlineStr">
        <is>
          <t>Kuttong</t>
        </is>
      </c>
    </row>
    <row r="38601" spans="1:1">
      <c r="A38601" t="inlineStr">
        <is>
          <t>Lagtoh</t>
        </is>
      </c>
    </row>
    <row r="38602" spans="1:1">
      <c r="A38602" t="inlineStr">
        <is>
          <t>Lambanah</t>
        </is>
      </c>
    </row>
    <row r="38603" spans="1:1">
      <c r="A38603" t="inlineStr">
        <is>
          <t>Liban</t>
        </is>
      </c>
    </row>
    <row r="38604" spans="1:1">
      <c r="A38604" t="inlineStr">
        <is>
          <t>Liu-Bud Pantao</t>
        </is>
      </c>
    </row>
    <row r="38605" spans="1:1">
      <c r="A38605" t="inlineStr">
        <is>
          <t>Lower Binuang</t>
        </is>
      </c>
    </row>
    <row r="38606" spans="1:1">
      <c r="A38606" t="inlineStr">
        <is>
          <t>Lower Kamuntayan</t>
        </is>
      </c>
    </row>
    <row r="38607" spans="1:1">
      <c r="A38607" t="inlineStr">
        <is>
          <t>Lower Laus</t>
        </is>
      </c>
    </row>
    <row r="38608" spans="1:1">
      <c r="A38608" t="inlineStr">
        <is>
          <t>Lower Sinumaan</t>
        </is>
      </c>
    </row>
    <row r="38609" spans="1:1">
      <c r="A38609" t="inlineStr">
        <is>
          <t>Lower Talipao</t>
        </is>
      </c>
    </row>
    <row r="38610" spans="1:1">
      <c r="A38610" t="inlineStr">
        <is>
          <t>Lumbayao</t>
        </is>
      </c>
    </row>
    <row r="38611" spans="1:1">
      <c r="A38611" t="inlineStr">
        <is>
          <t>Lumping Pigih Daho</t>
        </is>
      </c>
    </row>
    <row r="38612" spans="1:1">
      <c r="A38612" t="inlineStr">
        <is>
          <t>Lungkiaban</t>
        </is>
      </c>
    </row>
    <row r="38613" spans="1:1">
      <c r="A38613" t="inlineStr">
        <is>
          <t>Mabahay</t>
        </is>
      </c>
    </row>
    <row r="38614" spans="1:1">
      <c r="A38614" t="inlineStr">
        <is>
          <t>Mahala</t>
        </is>
      </c>
    </row>
    <row r="38615" spans="1:1">
      <c r="A38615" t="inlineStr">
        <is>
          <t>Mampallam</t>
        </is>
      </c>
    </row>
    <row r="38616" spans="1:1">
      <c r="A38616" t="inlineStr">
        <is>
          <t>Marsada</t>
        </is>
      </c>
    </row>
    <row r="38617" spans="1:1">
      <c r="A38617" t="inlineStr">
        <is>
          <t>Mauboh</t>
        </is>
      </c>
    </row>
    <row r="38618" spans="1:1">
      <c r="A38618" t="inlineStr">
        <is>
          <t>Mungit-mungit</t>
        </is>
      </c>
    </row>
    <row r="38619" spans="1:1">
      <c r="A38619" t="inlineStr">
        <is>
          <t>Niog-Sangahan</t>
        </is>
      </c>
    </row>
    <row r="38620" spans="1:1">
      <c r="A38620" t="inlineStr">
        <is>
          <t>Pantao</t>
        </is>
      </c>
    </row>
    <row r="38621" spans="1:1">
      <c r="A38621" t="inlineStr">
        <is>
          <t>Samak</t>
        </is>
      </c>
    </row>
    <row r="38622" spans="1:1">
      <c r="A38622" t="inlineStr">
        <is>
          <t>Talipao Proper</t>
        </is>
      </c>
    </row>
    <row r="38623" spans="1:1">
      <c r="A38623" t="inlineStr">
        <is>
          <t>Tampakan</t>
        </is>
      </c>
    </row>
    <row r="38624" spans="1:1">
      <c r="A38624" t="inlineStr">
        <is>
          <t>Tiis</t>
        </is>
      </c>
    </row>
    <row r="38625" spans="1:1">
      <c r="A38625" t="inlineStr">
        <is>
          <t>Tinggah</t>
        </is>
      </c>
    </row>
    <row r="38626" spans="1:1">
      <c r="A38626" t="inlineStr">
        <is>
          <t>Tubod</t>
        </is>
      </c>
    </row>
    <row r="38627" spans="1:1">
      <c r="A38627" t="inlineStr">
        <is>
          <t>Tuyang</t>
        </is>
      </c>
    </row>
    <row r="38628" spans="1:1">
      <c r="A38628" t="inlineStr">
        <is>
          <t>Upper Binuang</t>
        </is>
      </c>
    </row>
    <row r="38629" spans="1:1">
      <c r="A38629" t="inlineStr">
        <is>
          <t>Upper Kamuntayan</t>
        </is>
      </c>
    </row>
    <row r="38630" spans="1:1">
      <c r="A38630" t="inlineStr">
        <is>
          <t>Upper Laus</t>
        </is>
      </c>
    </row>
    <row r="38631" spans="1:1">
      <c r="A38631" t="inlineStr">
        <is>
          <t>Upper Sinumaan</t>
        </is>
      </c>
    </row>
    <row r="38632" spans="1:1">
      <c r="A38632" t="inlineStr">
        <is>
          <t>Upper Talipao</t>
        </is>
      </c>
    </row>
    <row r="38633" spans="1:1">
      <c r="A38633" t="inlineStr">
        <is>
          <t>Alu-Kabingaan</t>
        </is>
      </c>
    </row>
    <row r="38634" spans="1:1">
      <c r="A38634" t="inlineStr">
        <is>
          <t>Banting</t>
        </is>
      </c>
    </row>
    <row r="38635" spans="1:1">
      <c r="A38635" t="inlineStr">
        <is>
          <t>Hawan</t>
        </is>
      </c>
    </row>
    <row r="38636" spans="1:1">
      <c r="A38636" t="inlineStr">
        <is>
          <t>Kalang</t>
        </is>
      </c>
    </row>
    <row r="38637" spans="1:1">
      <c r="A38637" t="inlineStr">
        <is>
          <t>Kamaunggi</t>
        </is>
      </c>
    </row>
    <row r="38638" spans="1:1">
      <c r="A38638" t="inlineStr">
        <is>
          <t>Kanaway</t>
        </is>
      </c>
    </row>
    <row r="38639" spans="1:1">
      <c r="A38639" t="inlineStr">
        <is>
          <t>Kanmangon</t>
        </is>
      </c>
    </row>
    <row r="38640" spans="1:1">
      <c r="A38640" t="inlineStr">
        <is>
          <t>Kaumpang</t>
        </is>
      </c>
    </row>
    <row r="38641" spans="1:1">
      <c r="A38641" t="inlineStr">
        <is>
          <t>Pagatpat</t>
        </is>
      </c>
    </row>
    <row r="38642" spans="1:1">
      <c r="A38642" t="inlineStr">
        <is>
          <t>Pangdan</t>
        </is>
      </c>
    </row>
    <row r="38643" spans="1:1">
      <c r="A38643" t="inlineStr">
        <is>
          <t>Puok</t>
        </is>
      </c>
    </row>
    <row r="38644" spans="1:1">
      <c r="A38644" t="inlineStr">
        <is>
          <t>Sayli</t>
        </is>
      </c>
    </row>
    <row r="38645" spans="1:1">
      <c r="A38645" t="inlineStr">
        <is>
          <t>Sumambat</t>
        </is>
      </c>
    </row>
    <row r="38646" spans="1:1">
      <c r="A38646" t="inlineStr">
        <is>
          <t>Tangkapaan</t>
        </is>
      </c>
    </row>
    <row r="38647" spans="1:1">
      <c r="A38647" t="inlineStr">
        <is>
          <t>Tulakan</t>
        </is>
      </c>
    </row>
    <row r="38648" spans="1:1">
      <c r="A38648" t="inlineStr">
        <is>
          <t>Bakkaan</t>
        </is>
      </c>
    </row>
    <row r="38649" spans="1:1">
      <c r="A38649" t="inlineStr">
        <is>
          <t>Bangalaw</t>
        </is>
      </c>
    </row>
    <row r="38650" spans="1:1">
      <c r="A38650" t="inlineStr">
        <is>
          <t>Danao</t>
        </is>
      </c>
    </row>
    <row r="38651" spans="1:1">
      <c r="A38651" t="inlineStr">
        <is>
          <t>Dungon</t>
        </is>
      </c>
    </row>
    <row r="38652" spans="1:1">
      <c r="A38652" t="inlineStr">
        <is>
          <t>Kahikukuk</t>
        </is>
      </c>
    </row>
    <row r="38653" spans="1:1">
      <c r="A38653" t="inlineStr">
        <is>
          <t>Luuk</t>
        </is>
      </c>
    </row>
    <row r="38654" spans="1:1">
      <c r="A38654" t="inlineStr">
        <is>
          <t>North Paarol</t>
        </is>
      </c>
    </row>
    <row r="38655" spans="1:1">
      <c r="A38655" t="inlineStr">
        <is>
          <t>Sigumbal</t>
        </is>
      </c>
    </row>
    <row r="38656" spans="1:1">
      <c r="A38656" t="inlineStr">
        <is>
          <t>South Paarol</t>
        </is>
      </c>
    </row>
    <row r="38657" spans="1:1">
      <c r="A38657" t="inlineStr">
        <is>
          <t>Tabialan</t>
        </is>
      </c>
    </row>
    <row r="38658" spans="1:1">
      <c r="A38658" t="inlineStr">
        <is>
          <t>Tainga-Bakkao</t>
        </is>
      </c>
    </row>
    <row r="38659" spans="1:1">
      <c r="A38659" t="inlineStr">
        <is>
          <t>Tambun-bun</t>
        </is>
      </c>
    </row>
    <row r="38660" spans="1:1">
      <c r="A38660" t="inlineStr">
        <is>
          <t>Tattalan</t>
        </is>
      </c>
    </row>
    <row r="38661" spans="1:1">
      <c r="A38661" t="inlineStr">
        <is>
          <t>Tinutungan</t>
        </is>
      </c>
    </row>
    <row r="38662" spans="1:1">
      <c r="A38662" t="inlineStr">
        <is>
          <t>Alipao</t>
        </is>
      </c>
    </row>
    <row r="38663" spans="1:1">
      <c r="A38663" t="inlineStr">
        <is>
          <t>Anahaw</t>
        </is>
      </c>
    </row>
    <row r="38664" spans="1:1">
      <c r="A38664" t="inlineStr">
        <is>
          <t>Budlingin</t>
        </is>
      </c>
    </row>
    <row r="38665" spans="1:1">
      <c r="A38665" t="inlineStr">
        <is>
          <t>Camp Eduard</t>
        </is>
      </c>
    </row>
    <row r="38666" spans="1:1">
      <c r="A38666" t="inlineStr">
        <is>
          <t>Ferlda</t>
        </is>
      </c>
    </row>
    <row r="38667" spans="1:1">
      <c r="A38667" t="inlineStr">
        <is>
          <t>Gamuton</t>
        </is>
      </c>
    </row>
    <row r="38668" spans="1:1">
      <c r="A38668" t="inlineStr">
        <is>
          <t>Julio Ouano</t>
        </is>
      </c>
    </row>
    <row r="38669" spans="1:1">
      <c r="A38669" t="inlineStr">
        <is>
          <t>Ombong</t>
        </is>
      </c>
    </row>
    <row r="38670" spans="1:1">
      <c r="A38670" t="inlineStr">
        <is>
          <t>Poblacion</t>
        </is>
      </c>
    </row>
    <row r="38671" spans="1:1">
      <c r="A38671" t="inlineStr">
        <is>
          <t>Pongtud</t>
        </is>
      </c>
    </row>
    <row r="38672" spans="1:1">
      <c r="A38672" t="inlineStr">
        <is>
          <t>San Juan</t>
        </is>
      </c>
    </row>
    <row r="38673" spans="1:1">
      <c r="A38673" t="inlineStr">
        <is>
          <t>San Pedro</t>
        </is>
      </c>
    </row>
    <row r="38674" spans="1:1">
      <c r="A38674" t="inlineStr">
        <is>
          <t>Cabugao</t>
        </is>
      </c>
    </row>
    <row r="38675" spans="1:1">
      <c r="A38675" t="inlineStr">
        <is>
          <t>Cambuayon</t>
        </is>
      </c>
    </row>
    <row r="38676" spans="1:1">
      <c r="A38676" t="inlineStr">
        <is>
          <t>Campo</t>
        </is>
      </c>
    </row>
    <row r="38677" spans="1:1">
      <c r="A38677" t="inlineStr">
        <is>
          <t>Dugsangon</t>
        </is>
      </c>
    </row>
    <row r="38678" spans="1:1">
      <c r="A38678" t="inlineStr">
        <is>
          <t>Pautao</t>
        </is>
      </c>
    </row>
    <row r="38679" spans="1:1">
      <c r="A38679" t="inlineStr">
        <is>
          <t>Payapag</t>
        </is>
      </c>
    </row>
    <row r="38680" spans="1:1">
      <c r="A38680" t="inlineStr">
        <is>
          <t>Poblacion</t>
        </is>
      </c>
    </row>
    <row r="38681" spans="1:1">
      <c r="A38681" t="inlineStr">
        <is>
          <t>Pungtod</t>
        </is>
      </c>
    </row>
    <row r="38682" spans="1:1">
      <c r="A38682" t="inlineStr">
        <is>
          <t>Santo Rosario</t>
        </is>
      </c>
    </row>
    <row r="38683" spans="1:1">
      <c r="A38683" t="inlineStr">
        <is>
          <t>Baybay</t>
        </is>
      </c>
    </row>
    <row r="38684" spans="1:1">
      <c r="A38684" t="inlineStr">
        <is>
          <t>Bitaug</t>
        </is>
      </c>
    </row>
    <row r="38685" spans="1:1">
      <c r="A38685" t="inlineStr">
        <is>
          <t>Matin-ao</t>
        </is>
      </c>
    </row>
    <row r="38686" spans="1:1">
      <c r="A38686" t="inlineStr">
        <is>
          <t>Poblacion 1</t>
        </is>
      </c>
    </row>
    <row r="38687" spans="1:1">
      <c r="A38687" t="inlineStr">
        <is>
          <t>Poblacion 2</t>
        </is>
      </c>
    </row>
    <row r="38688" spans="1:1">
      <c r="A38688" t="inlineStr">
        <is>
          <t>San Mateo</t>
        </is>
      </c>
    </row>
    <row r="38689" spans="1:1">
      <c r="A38689" t="inlineStr">
        <is>
          <t>Alang-alang</t>
        </is>
      </c>
    </row>
    <row r="38690" spans="1:1">
      <c r="A38690" t="inlineStr">
        <is>
          <t>Alegria</t>
        </is>
      </c>
    </row>
    <row r="38691" spans="1:1">
      <c r="A38691" t="inlineStr">
        <is>
          <t>Anomar</t>
        </is>
      </c>
    </row>
    <row r="38692" spans="1:1">
      <c r="A38692" t="inlineStr">
        <is>
          <t>Aurora</t>
        </is>
      </c>
    </row>
    <row r="38693" spans="1:1">
      <c r="A38693" t="inlineStr">
        <is>
          <t>Balibayon</t>
        </is>
      </c>
    </row>
    <row r="38694" spans="1:1">
      <c r="A38694" t="inlineStr">
        <is>
          <t>Baybay</t>
        </is>
      </c>
    </row>
    <row r="38695" spans="1:1">
      <c r="A38695" t="inlineStr">
        <is>
          <t>Bilabid</t>
        </is>
      </c>
    </row>
    <row r="38696" spans="1:1">
      <c r="A38696" t="inlineStr">
        <is>
          <t>Bitaugan</t>
        </is>
      </c>
    </row>
    <row r="38697" spans="1:1">
      <c r="A38697" t="inlineStr">
        <is>
          <t>Bonifacio</t>
        </is>
      </c>
    </row>
    <row r="38698" spans="1:1">
      <c r="A38698" t="inlineStr">
        <is>
          <t>Buenavista</t>
        </is>
      </c>
    </row>
    <row r="38699" spans="1:1">
      <c r="A38699" t="inlineStr">
        <is>
          <t>Cabongbongan</t>
        </is>
      </c>
    </row>
    <row r="38700" spans="1:1">
      <c r="A38700" t="inlineStr">
        <is>
          <t>Cagniog</t>
        </is>
      </c>
    </row>
    <row r="38701" spans="1:1">
      <c r="A38701" t="inlineStr">
        <is>
          <t>Cagutsan</t>
        </is>
      </c>
    </row>
    <row r="38702" spans="1:1">
      <c r="A38702" t="inlineStr">
        <is>
          <t>Canlanipa</t>
        </is>
      </c>
    </row>
    <row r="38703" spans="1:1">
      <c r="A38703" t="inlineStr">
        <is>
          <t>Cantiasay</t>
        </is>
      </c>
    </row>
    <row r="38704" spans="1:1">
      <c r="A38704" t="inlineStr">
        <is>
          <t>Capalayan</t>
        </is>
      </c>
    </row>
    <row r="38705" spans="1:1">
      <c r="A38705" t="inlineStr">
        <is>
          <t>Catadman</t>
        </is>
      </c>
    </row>
    <row r="38706" spans="1:1">
      <c r="A38706" t="inlineStr">
        <is>
          <t>Danao</t>
        </is>
      </c>
    </row>
    <row r="38707" spans="1:1">
      <c r="A38707" t="inlineStr">
        <is>
          <t>Danawan</t>
        </is>
      </c>
    </row>
    <row r="38708" spans="1:1">
      <c r="A38708" t="inlineStr">
        <is>
          <t>Day-asan</t>
        </is>
      </c>
    </row>
    <row r="38709" spans="1:1">
      <c r="A38709" t="inlineStr">
        <is>
          <t>Ipil</t>
        </is>
      </c>
    </row>
    <row r="38710" spans="1:1">
      <c r="A38710" t="inlineStr">
        <is>
          <t>Libuac</t>
        </is>
      </c>
    </row>
    <row r="38711" spans="1:1">
      <c r="A38711" t="inlineStr">
        <is>
          <t>Lipata</t>
        </is>
      </c>
    </row>
    <row r="38712" spans="1:1">
      <c r="A38712" t="inlineStr">
        <is>
          <t>Lisondra</t>
        </is>
      </c>
    </row>
    <row r="38713" spans="1:1">
      <c r="A38713" t="inlineStr">
        <is>
          <t>Luna</t>
        </is>
      </c>
    </row>
    <row r="38714" spans="1:1">
      <c r="A38714" t="inlineStr">
        <is>
          <t>Mabini</t>
        </is>
      </c>
    </row>
    <row r="38715" spans="1:1">
      <c r="A38715" t="inlineStr">
        <is>
          <t>Mabua</t>
        </is>
      </c>
    </row>
    <row r="38716" spans="1:1">
      <c r="A38716" t="inlineStr">
        <is>
          <t>Manyagao</t>
        </is>
      </c>
    </row>
    <row r="38717" spans="1:1">
      <c r="A38717" t="inlineStr">
        <is>
          <t>Mapawa</t>
        </is>
      </c>
    </row>
    <row r="38718" spans="1:1">
      <c r="A38718" t="inlineStr">
        <is>
          <t>Mat-i</t>
        </is>
      </c>
    </row>
    <row r="38719" spans="1:1">
      <c r="A38719" t="inlineStr">
        <is>
          <t>Nabago</t>
        </is>
      </c>
    </row>
    <row r="38720" spans="1:1">
      <c r="A38720" t="inlineStr">
        <is>
          <t>Nonoc</t>
        </is>
      </c>
    </row>
    <row r="38721" spans="1:1">
      <c r="A38721" t="inlineStr">
        <is>
          <t>Orok</t>
        </is>
      </c>
    </row>
    <row r="38722" spans="1:1">
      <c r="A38722" t="inlineStr">
        <is>
          <t>Poctoy</t>
        </is>
      </c>
    </row>
    <row r="38723" spans="1:1">
      <c r="A38723" t="inlineStr">
        <is>
          <t>Punta Bilar</t>
        </is>
      </c>
    </row>
    <row r="38724" spans="1:1">
      <c r="A38724" t="inlineStr">
        <is>
          <t>Quezon</t>
        </is>
      </c>
    </row>
    <row r="38725" spans="1:1">
      <c r="A38725" t="inlineStr">
        <is>
          <t>Rizal</t>
        </is>
      </c>
    </row>
    <row r="38726" spans="1:1">
      <c r="A38726" t="inlineStr">
        <is>
          <t>Sabang</t>
        </is>
      </c>
    </row>
    <row r="38727" spans="1:1">
      <c r="A38727" t="inlineStr">
        <is>
          <t>San Isidro</t>
        </is>
      </c>
    </row>
    <row r="38728" spans="1:1">
      <c r="A38728" t="inlineStr">
        <is>
          <t>San Jose</t>
        </is>
      </c>
    </row>
    <row r="38729" spans="1:1">
      <c r="A38729" t="inlineStr">
        <is>
          <t>San Juan</t>
        </is>
      </c>
    </row>
    <row r="38730" spans="1:1">
      <c r="A38730" t="inlineStr">
        <is>
          <t>San Pedro</t>
        </is>
      </c>
    </row>
    <row r="38731" spans="1:1">
      <c r="A38731" t="inlineStr">
        <is>
          <t>San Roque</t>
        </is>
      </c>
    </row>
    <row r="38732" spans="1:1">
      <c r="A38732" t="inlineStr">
        <is>
          <t>Serna</t>
        </is>
      </c>
    </row>
    <row r="38733" spans="1:1">
      <c r="A38733" t="inlineStr">
        <is>
          <t>Sidlakan</t>
        </is>
      </c>
    </row>
    <row r="38734" spans="1:1">
      <c r="A38734" t="inlineStr">
        <is>
          <t>Silop</t>
        </is>
      </c>
    </row>
    <row r="38735" spans="1:1">
      <c r="A38735" t="inlineStr">
        <is>
          <t>Sugbay</t>
        </is>
      </c>
    </row>
    <row r="38736" spans="1:1">
      <c r="A38736" t="inlineStr">
        <is>
          <t>Sukailang</t>
        </is>
      </c>
    </row>
    <row r="38737" spans="1:1">
      <c r="A38737" t="inlineStr">
        <is>
          <t>Taft</t>
        </is>
      </c>
    </row>
    <row r="38738" spans="1:1">
      <c r="A38738" t="inlineStr">
        <is>
          <t>Talisay</t>
        </is>
      </c>
    </row>
    <row r="38739" spans="1:1">
      <c r="A38739" t="inlineStr">
        <is>
          <t>Togbongon</t>
        </is>
      </c>
    </row>
    <row r="38740" spans="1:1">
      <c r="A38740" t="inlineStr">
        <is>
          <t>Trinidad</t>
        </is>
      </c>
    </row>
    <row r="38741" spans="1:1">
      <c r="A38741" t="inlineStr">
        <is>
          <t>Washington</t>
        </is>
      </c>
    </row>
    <row r="38742" spans="1:1">
      <c r="A38742" t="inlineStr">
        <is>
          <t>Zaragoza</t>
        </is>
      </c>
    </row>
    <row r="38743" spans="1:1">
      <c r="A38743" t="inlineStr">
        <is>
          <t>Bagakay</t>
        </is>
      </c>
    </row>
    <row r="38744" spans="1:1">
      <c r="A38744" t="inlineStr">
        <is>
          <t>Cabugo</t>
        </is>
      </c>
    </row>
    <row r="38745" spans="1:1">
      <c r="A38745" t="inlineStr">
        <is>
          <t>Cagdianao</t>
        </is>
      </c>
    </row>
    <row r="38746" spans="1:1">
      <c r="A38746" t="inlineStr">
        <is>
          <t>Daywan</t>
        </is>
      </c>
    </row>
    <row r="38747" spans="1:1">
      <c r="A38747" t="inlineStr">
        <is>
          <t>Hayanggabon</t>
        </is>
      </c>
    </row>
    <row r="38748" spans="1:1">
      <c r="A38748" t="inlineStr">
        <is>
          <t>Ladgaron</t>
        </is>
      </c>
    </row>
    <row r="38749" spans="1:1">
      <c r="A38749" t="inlineStr">
        <is>
          <t>Lapinigan</t>
        </is>
      </c>
    </row>
    <row r="38750" spans="1:1">
      <c r="A38750" t="inlineStr">
        <is>
          <t>Magallanes</t>
        </is>
      </c>
    </row>
    <row r="38751" spans="1:1">
      <c r="A38751" t="inlineStr">
        <is>
          <t>Panatao</t>
        </is>
      </c>
    </row>
    <row r="38752" spans="1:1">
      <c r="A38752" t="inlineStr">
        <is>
          <t>Sapa</t>
        </is>
      </c>
    </row>
    <row r="38753" spans="1:1">
      <c r="A38753" t="inlineStr">
        <is>
          <t>Taganito</t>
        </is>
      </c>
    </row>
    <row r="38754" spans="1:1">
      <c r="A38754" t="inlineStr">
        <is>
          <t>Tayaga</t>
        </is>
      </c>
    </row>
    <row r="38755" spans="1:1">
      <c r="A38755" t="inlineStr">
        <is>
          <t>Urbiztondo</t>
        </is>
      </c>
    </row>
    <row r="38756" spans="1:1">
      <c r="A38756" t="inlineStr">
        <is>
          <t>Wangke</t>
        </is>
      </c>
    </row>
    <row r="38757" spans="1:1">
      <c r="A38757" t="inlineStr">
        <is>
          <t>Bagakay</t>
        </is>
      </c>
    </row>
    <row r="38758" spans="1:1">
      <c r="A38758" t="inlineStr">
        <is>
          <t>Barangay 1</t>
        </is>
      </c>
    </row>
    <row r="38759" spans="1:1">
      <c r="A38759" t="inlineStr">
        <is>
          <t>Barangay 10</t>
        </is>
      </c>
    </row>
    <row r="38760" spans="1:1">
      <c r="A38760" t="inlineStr">
        <is>
          <t>Barangay 11</t>
        </is>
      </c>
    </row>
    <row r="38761" spans="1:1">
      <c r="A38761" t="inlineStr">
        <is>
          <t>Barangay 12</t>
        </is>
      </c>
    </row>
    <row r="38762" spans="1:1">
      <c r="A38762" t="inlineStr">
        <is>
          <t>Barangay 13</t>
        </is>
      </c>
    </row>
    <row r="38763" spans="1:1">
      <c r="A38763" t="inlineStr">
        <is>
          <t>Barangay 2</t>
        </is>
      </c>
    </row>
    <row r="38764" spans="1:1">
      <c r="A38764" t="inlineStr">
        <is>
          <t>Barangay 3</t>
        </is>
      </c>
    </row>
    <row r="38765" spans="1:1">
      <c r="A38765" t="inlineStr">
        <is>
          <t>Barangay 4</t>
        </is>
      </c>
    </row>
    <row r="38766" spans="1:1">
      <c r="A38766" t="inlineStr">
        <is>
          <t>Barangay 5</t>
        </is>
      </c>
    </row>
    <row r="38767" spans="1:1">
      <c r="A38767" t="inlineStr">
        <is>
          <t>Barangay 6</t>
        </is>
      </c>
    </row>
    <row r="38768" spans="1:1">
      <c r="A38768" t="inlineStr">
        <is>
          <t>Barangay 7</t>
        </is>
      </c>
    </row>
    <row r="38769" spans="1:1">
      <c r="A38769" t="inlineStr">
        <is>
          <t>Barangay 8</t>
        </is>
      </c>
    </row>
    <row r="38770" spans="1:1">
      <c r="A38770" t="inlineStr">
        <is>
          <t>Barangay 9</t>
        </is>
      </c>
    </row>
    <row r="38771" spans="1:1">
      <c r="A38771" t="inlineStr">
        <is>
          <t>Buenavista</t>
        </is>
      </c>
    </row>
    <row r="38772" spans="1:1">
      <c r="A38772" t="inlineStr">
        <is>
          <t>Cabawa</t>
        </is>
      </c>
    </row>
    <row r="38773" spans="1:1">
      <c r="A38773" t="inlineStr">
        <is>
          <t>Cambas-ac</t>
        </is>
      </c>
    </row>
    <row r="38774" spans="1:1">
      <c r="A38774" t="inlineStr">
        <is>
          <t>Consolacion</t>
        </is>
      </c>
    </row>
    <row r="38775" spans="1:1">
      <c r="A38775" t="inlineStr">
        <is>
          <t>Corregidor</t>
        </is>
      </c>
    </row>
    <row r="38776" spans="1:1">
      <c r="A38776" t="inlineStr">
        <is>
          <t>Dagohoy</t>
        </is>
      </c>
    </row>
    <row r="38777" spans="1:1">
      <c r="A38777" t="inlineStr">
        <is>
          <t>Don Paulino</t>
        </is>
      </c>
    </row>
    <row r="38778" spans="1:1">
      <c r="A38778" t="inlineStr">
        <is>
          <t>Jubang</t>
        </is>
      </c>
    </row>
    <row r="38779" spans="1:1">
      <c r="A38779" t="inlineStr">
        <is>
          <t>Montserrat</t>
        </is>
      </c>
    </row>
    <row r="38780" spans="1:1">
      <c r="A38780" t="inlineStr">
        <is>
          <t>Osmeña</t>
        </is>
      </c>
    </row>
    <row r="38781" spans="1:1">
      <c r="A38781" t="inlineStr">
        <is>
          <t>San Carlos</t>
        </is>
      </c>
    </row>
    <row r="38782" spans="1:1">
      <c r="A38782" t="inlineStr">
        <is>
          <t>San Miguel</t>
        </is>
      </c>
    </row>
    <row r="38783" spans="1:1">
      <c r="A38783" t="inlineStr">
        <is>
          <t>Santa Fe</t>
        </is>
      </c>
    </row>
    <row r="38784" spans="1:1">
      <c r="A38784" t="inlineStr">
        <is>
          <t>Santa Felomina</t>
        </is>
      </c>
    </row>
    <row r="38785" spans="1:1">
      <c r="A38785" t="inlineStr">
        <is>
          <t>Union</t>
        </is>
      </c>
    </row>
    <row r="38786" spans="1:1">
      <c r="A38786" t="inlineStr">
        <is>
          <t>Antipolo</t>
        </is>
      </c>
    </row>
    <row r="38787" spans="1:1">
      <c r="A38787" t="inlineStr">
        <is>
          <t>Bagakay</t>
        </is>
      </c>
    </row>
    <row r="38788" spans="1:1">
      <c r="A38788" t="inlineStr">
        <is>
          <t>Bitoon</t>
        </is>
      </c>
    </row>
    <row r="38789" spans="1:1">
      <c r="A38789" t="inlineStr">
        <is>
          <t>Cabugao</t>
        </is>
      </c>
    </row>
    <row r="38790" spans="1:1">
      <c r="A38790" t="inlineStr">
        <is>
          <t>Cancohoy</t>
        </is>
      </c>
    </row>
    <row r="38791" spans="1:1">
      <c r="A38791" t="inlineStr">
        <is>
          <t>Caub</t>
        </is>
      </c>
    </row>
    <row r="38792" spans="1:1">
      <c r="A38792" t="inlineStr">
        <is>
          <t>Del Carmen</t>
        </is>
      </c>
    </row>
    <row r="38793" spans="1:1">
      <c r="A38793" t="inlineStr">
        <is>
          <t>Domoyog</t>
        </is>
      </c>
    </row>
    <row r="38794" spans="1:1">
      <c r="A38794" t="inlineStr">
        <is>
          <t>Esperanza</t>
        </is>
      </c>
    </row>
    <row r="38795" spans="1:1">
      <c r="A38795" t="inlineStr">
        <is>
          <t>Halian</t>
        </is>
      </c>
    </row>
    <row r="38796" spans="1:1">
      <c r="A38796" t="inlineStr">
        <is>
          <t>Jamoyaon</t>
        </is>
      </c>
    </row>
    <row r="38797" spans="1:1">
      <c r="A38797" t="inlineStr">
        <is>
          <t>Katipunan</t>
        </is>
      </c>
    </row>
    <row r="38798" spans="1:1">
      <c r="A38798" t="inlineStr">
        <is>
          <t>Lobogon</t>
        </is>
      </c>
    </row>
    <row r="38799" spans="1:1">
      <c r="A38799" t="inlineStr">
        <is>
          <t>Mabuhay</t>
        </is>
      </c>
    </row>
    <row r="38800" spans="1:1">
      <c r="A38800" t="inlineStr">
        <is>
          <t>Mahayahay</t>
        </is>
      </c>
    </row>
    <row r="38801" spans="1:1">
      <c r="A38801" t="inlineStr">
        <is>
          <t>Quezon</t>
        </is>
      </c>
    </row>
    <row r="38802" spans="1:1">
      <c r="A38802" t="inlineStr">
        <is>
          <t>San Fernando</t>
        </is>
      </c>
    </row>
    <row r="38803" spans="1:1">
      <c r="A38803" t="inlineStr">
        <is>
          <t>San Jose</t>
        </is>
      </c>
    </row>
    <row r="38804" spans="1:1">
      <c r="A38804" t="inlineStr">
        <is>
          <t>Sayak</t>
        </is>
      </c>
    </row>
    <row r="38805" spans="1:1">
      <c r="A38805" t="inlineStr">
        <is>
          <t>Tuboran</t>
        </is>
      </c>
    </row>
    <row r="38806" spans="1:1">
      <c r="A38806" t="inlineStr">
        <is>
          <t>Anajawan</t>
        </is>
      </c>
    </row>
    <row r="38807" spans="1:1">
      <c r="A38807" t="inlineStr">
        <is>
          <t>Cabitoonan</t>
        </is>
      </c>
    </row>
    <row r="38808" spans="1:1">
      <c r="A38808" t="inlineStr">
        <is>
          <t>Catangnan</t>
        </is>
      </c>
    </row>
    <row r="38809" spans="1:1">
      <c r="A38809" t="inlineStr">
        <is>
          <t>Consuelo</t>
        </is>
      </c>
    </row>
    <row r="38810" spans="1:1">
      <c r="A38810" t="inlineStr">
        <is>
          <t>Corazon</t>
        </is>
      </c>
    </row>
    <row r="38811" spans="1:1">
      <c r="A38811" t="inlineStr">
        <is>
          <t>Daku</t>
        </is>
      </c>
    </row>
    <row r="38812" spans="1:1">
      <c r="A38812" t="inlineStr">
        <is>
          <t>La Januza</t>
        </is>
      </c>
    </row>
    <row r="38813" spans="1:1">
      <c r="A38813" t="inlineStr">
        <is>
          <t>Libertad</t>
        </is>
      </c>
    </row>
    <row r="38814" spans="1:1">
      <c r="A38814" t="inlineStr">
        <is>
          <t>Magsaysay</t>
        </is>
      </c>
    </row>
    <row r="38815" spans="1:1">
      <c r="A38815" t="inlineStr">
        <is>
          <t>Malinao</t>
        </is>
      </c>
    </row>
    <row r="38816" spans="1:1">
      <c r="A38816" t="inlineStr">
        <is>
          <t>Poblacion I</t>
        </is>
      </c>
    </row>
    <row r="38817" spans="1:1">
      <c r="A38817" t="inlineStr">
        <is>
          <t>Poblacion II</t>
        </is>
      </c>
    </row>
    <row r="38818" spans="1:1">
      <c r="A38818" t="inlineStr">
        <is>
          <t>Poblacion III</t>
        </is>
      </c>
    </row>
    <row r="38819" spans="1:1">
      <c r="A38819" t="inlineStr">
        <is>
          <t>Poblacion IV</t>
        </is>
      </c>
    </row>
    <row r="38820" spans="1:1">
      <c r="A38820" t="inlineStr">
        <is>
          <t>Poblacion V</t>
        </is>
      </c>
    </row>
    <row r="38821" spans="1:1">
      <c r="A38821" t="inlineStr">
        <is>
          <t>Santa Cruz</t>
        </is>
      </c>
    </row>
    <row r="38822" spans="1:1">
      <c r="A38822" t="inlineStr">
        <is>
          <t>Santa Fe</t>
        </is>
      </c>
    </row>
    <row r="38823" spans="1:1">
      <c r="A38823" t="inlineStr">
        <is>
          <t>Suyangan</t>
        </is>
      </c>
    </row>
    <row r="38824" spans="1:1">
      <c r="A38824" t="inlineStr">
        <is>
          <t>Tawin-tawin</t>
        </is>
      </c>
    </row>
    <row r="38825" spans="1:1">
      <c r="A38825" t="inlineStr">
        <is>
          <t>Alambique</t>
        </is>
      </c>
    </row>
    <row r="38826" spans="1:1">
      <c r="A38826" t="inlineStr">
        <is>
          <t>Anibongan</t>
        </is>
      </c>
    </row>
    <row r="38827" spans="1:1">
      <c r="A38827" t="inlineStr">
        <is>
          <t>Cam-boayon</t>
        </is>
      </c>
    </row>
    <row r="38828" spans="1:1">
      <c r="A38828" t="inlineStr">
        <is>
          <t>Camam-onan</t>
        </is>
      </c>
    </row>
    <row r="38829" spans="1:1">
      <c r="A38829" t="inlineStr">
        <is>
          <t>Ipil</t>
        </is>
      </c>
    </row>
    <row r="38830" spans="1:1">
      <c r="A38830" t="inlineStr">
        <is>
          <t>Lahi</t>
        </is>
      </c>
    </row>
    <row r="38831" spans="1:1">
      <c r="A38831" t="inlineStr">
        <is>
          <t>Mahanub</t>
        </is>
      </c>
    </row>
    <row r="38832" spans="1:1">
      <c r="A38832" t="inlineStr">
        <is>
          <t>Poniente</t>
        </is>
      </c>
    </row>
    <row r="38833" spans="1:1">
      <c r="A38833" t="inlineStr">
        <is>
          <t>San Antonio</t>
        </is>
      </c>
    </row>
    <row r="38834" spans="1:1">
      <c r="A38834" t="inlineStr">
        <is>
          <t>San Isidro</t>
        </is>
      </c>
    </row>
    <row r="38835" spans="1:1">
      <c r="A38835" t="inlineStr">
        <is>
          <t>Sico-sico</t>
        </is>
      </c>
    </row>
    <row r="38836" spans="1:1">
      <c r="A38836" t="inlineStr">
        <is>
          <t>Villaflor</t>
        </is>
      </c>
    </row>
    <row r="38837" spans="1:1">
      <c r="A38837" t="inlineStr">
        <is>
          <t>Villafranca</t>
        </is>
      </c>
    </row>
    <row r="38838" spans="1:1">
      <c r="A38838" t="inlineStr">
        <is>
          <t>Binga</t>
        </is>
      </c>
    </row>
    <row r="38839" spans="1:1">
      <c r="A38839" t="inlineStr">
        <is>
          <t>Bobona-on</t>
        </is>
      </c>
    </row>
    <row r="38840" spans="1:1">
      <c r="A38840" t="inlineStr">
        <is>
          <t>Cantugas</t>
        </is>
      </c>
    </row>
    <row r="38841" spans="1:1">
      <c r="A38841" t="inlineStr">
        <is>
          <t>Dayano</t>
        </is>
      </c>
    </row>
    <row r="38842" spans="1:1">
      <c r="A38842" t="inlineStr">
        <is>
          <t>Mabini</t>
        </is>
      </c>
    </row>
    <row r="38843" spans="1:1">
      <c r="A38843" t="inlineStr">
        <is>
          <t>Magpayang</t>
        </is>
      </c>
    </row>
    <row r="38844" spans="1:1">
      <c r="A38844" t="inlineStr">
        <is>
          <t>Magsaysay</t>
        </is>
      </c>
    </row>
    <row r="38845" spans="1:1">
      <c r="A38845" t="inlineStr">
        <is>
          <t>Mansayao</t>
        </is>
      </c>
    </row>
    <row r="38846" spans="1:1">
      <c r="A38846" t="inlineStr">
        <is>
          <t>Marayag</t>
        </is>
      </c>
    </row>
    <row r="38847" spans="1:1">
      <c r="A38847" t="inlineStr">
        <is>
          <t>Matin-ao</t>
        </is>
      </c>
    </row>
    <row r="38848" spans="1:1">
      <c r="A38848" t="inlineStr">
        <is>
          <t>Paco</t>
        </is>
      </c>
    </row>
    <row r="38849" spans="1:1">
      <c r="A38849" t="inlineStr">
        <is>
          <t>Quezon</t>
        </is>
      </c>
    </row>
    <row r="38850" spans="1:1">
      <c r="A38850" t="inlineStr">
        <is>
          <t>Roxas</t>
        </is>
      </c>
    </row>
    <row r="38851" spans="1:1">
      <c r="A38851" t="inlineStr">
        <is>
          <t>San Francisco</t>
        </is>
      </c>
    </row>
    <row r="38852" spans="1:1">
      <c r="A38852" t="inlineStr">
        <is>
          <t>San Isidro</t>
        </is>
      </c>
    </row>
    <row r="38853" spans="1:1">
      <c r="A38853" t="inlineStr">
        <is>
          <t>San Jose</t>
        </is>
      </c>
    </row>
    <row r="38854" spans="1:1">
      <c r="A38854" t="inlineStr">
        <is>
          <t>Siana</t>
        </is>
      </c>
    </row>
    <row r="38855" spans="1:1">
      <c r="A38855" t="inlineStr">
        <is>
          <t>Silop</t>
        </is>
      </c>
    </row>
    <row r="38856" spans="1:1">
      <c r="A38856" t="inlineStr">
        <is>
          <t>Tagbuyawan</t>
        </is>
      </c>
    </row>
    <row r="38857" spans="1:1">
      <c r="A38857" t="inlineStr">
        <is>
          <t>Tapi-an</t>
        </is>
      </c>
    </row>
    <row r="38858" spans="1:1">
      <c r="A38858" t="inlineStr">
        <is>
          <t>Tolingon</t>
        </is>
      </c>
    </row>
    <row r="38859" spans="1:1">
      <c r="A38859" t="inlineStr">
        <is>
          <t>Bunyasan</t>
        </is>
      </c>
    </row>
    <row r="38860" spans="1:1">
      <c r="A38860" t="inlineStr">
        <is>
          <t>Cagtinae</t>
        </is>
      </c>
    </row>
    <row r="38861" spans="1:1">
      <c r="A38861" t="inlineStr">
        <is>
          <t>Can-aga</t>
        </is>
      </c>
    </row>
    <row r="38862" spans="1:1">
      <c r="A38862" t="inlineStr">
        <is>
          <t>Cansayong</t>
        </is>
      </c>
    </row>
    <row r="38863" spans="1:1">
      <c r="A38863" t="inlineStr">
        <is>
          <t>Cantapoy</t>
        </is>
      </c>
    </row>
    <row r="38864" spans="1:1">
      <c r="A38864" t="inlineStr">
        <is>
          <t>Cayawan</t>
        </is>
      </c>
    </row>
    <row r="38865" spans="1:1">
      <c r="A38865" t="inlineStr">
        <is>
          <t>Doro</t>
        </is>
      </c>
    </row>
    <row r="38866" spans="1:1">
      <c r="A38866" t="inlineStr">
        <is>
          <t>Hanagdong</t>
        </is>
      </c>
    </row>
    <row r="38867" spans="1:1">
      <c r="A38867" t="inlineStr">
        <is>
          <t>Karihatag</t>
        </is>
      </c>
    </row>
    <row r="38868" spans="1:1">
      <c r="A38868" t="inlineStr">
        <is>
          <t>Masgad</t>
        </is>
      </c>
    </row>
    <row r="38869" spans="1:1">
      <c r="A38869" t="inlineStr">
        <is>
          <t>Pili</t>
        </is>
      </c>
    </row>
    <row r="38870" spans="1:1">
      <c r="A38870" t="inlineStr">
        <is>
          <t>San Isidro</t>
        </is>
      </c>
    </row>
    <row r="38871" spans="1:1">
      <c r="A38871" t="inlineStr">
        <is>
          <t>Tinago</t>
        </is>
      </c>
    </row>
    <row r="38872" spans="1:1">
      <c r="A38872" t="inlineStr">
        <is>
          <t>Villariza</t>
        </is>
      </c>
    </row>
    <row r="38873" spans="1:1">
      <c r="A38873" t="inlineStr">
        <is>
          <t>Asinan</t>
        </is>
      </c>
    </row>
    <row r="38874" spans="1:1">
      <c r="A38874" t="inlineStr">
        <is>
          <t>Caridad</t>
        </is>
      </c>
    </row>
    <row r="38875" spans="1:1">
      <c r="A38875" t="inlineStr">
        <is>
          <t>Centro</t>
        </is>
      </c>
    </row>
    <row r="38876" spans="1:1">
      <c r="A38876" t="inlineStr">
        <is>
          <t>Consolacion</t>
        </is>
      </c>
    </row>
    <row r="38877" spans="1:1">
      <c r="A38877" t="inlineStr">
        <is>
          <t>Datu</t>
        </is>
      </c>
    </row>
    <row r="38878" spans="1:1">
      <c r="A38878" t="inlineStr">
        <is>
          <t>Dayaohay</t>
        </is>
      </c>
    </row>
    <row r="38879" spans="1:1">
      <c r="A38879" t="inlineStr">
        <is>
          <t>Jaboy</t>
        </is>
      </c>
    </row>
    <row r="38880" spans="1:1">
      <c r="A38880" t="inlineStr">
        <is>
          <t>Katipunan</t>
        </is>
      </c>
    </row>
    <row r="38881" spans="1:1">
      <c r="A38881" t="inlineStr">
        <is>
          <t>Maasin</t>
        </is>
      </c>
    </row>
    <row r="38882" spans="1:1">
      <c r="A38882" t="inlineStr">
        <is>
          <t>Mabini</t>
        </is>
      </c>
    </row>
    <row r="38883" spans="1:1">
      <c r="A38883" t="inlineStr">
        <is>
          <t>Mabuhay</t>
        </is>
      </c>
    </row>
    <row r="38884" spans="1:1">
      <c r="A38884" t="inlineStr">
        <is>
          <t>Pilaring</t>
        </is>
      </c>
    </row>
    <row r="38885" spans="1:1">
      <c r="A38885" t="inlineStr">
        <is>
          <t>Punta</t>
        </is>
      </c>
    </row>
    <row r="38886" spans="1:1">
      <c r="A38886" t="inlineStr">
        <is>
          <t>Salvacion</t>
        </is>
      </c>
    </row>
    <row r="38887" spans="1:1">
      <c r="A38887" t="inlineStr">
        <is>
          <t>San Roque</t>
        </is>
      </c>
    </row>
    <row r="38888" spans="1:1">
      <c r="A38888" t="inlineStr">
        <is>
          <t>Amoslog</t>
        </is>
      </c>
    </row>
    <row r="38889" spans="1:1">
      <c r="A38889" t="inlineStr">
        <is>
          <t>Anislagan</t>
        </is>
      </c>
    </row>
    <row r="38890" spans="1:1">
      <c r="A38890" t="inlineStr">
        <is>
          <t>Bad-as</t>
        </is>
      </c>
    </row>
    <row r="38891" spans="1:1">
      <c r="A38891" t="inlineStr">
        <is>
          <t>Boyongan</t>
        </is>
      </c>
    </row>
    <row r="38892" spans="1:1">
      <c r="A38892" t="inlineStr">
        <is>
          <t>Bugas-bugas</t>
        </is>
      </c>
    </row>
    <row r="38893" spans="1:1">
      <c r="A38893" t="inlineStr">
        <is>
          <t>Central</t>
        </is>
      </c>
    </row>
    <row r="38894" spans="1:1">
      <c r="A38894" t="inlineStr">
        <is>
          <t>Ellaperal</t>
        </is>
      </c>
    </row>
    <row r="38895" spans="1:1">
      <c r="A38895" t="inlineStr">
        <is>
          <t>Ipil</t>
        </is>
      </c>
    </row>
    <row r="38896" spans="1:1">
      <c r="A38896" t="inlineStr">
        <is>
          <t>Lakandula</t>
        </is>
      </c>
    </row>
    <row r="38897" spans="1:1">
      <c r="A38897" t="inlineStr">
        <is>
          <t>Mabini</t>
        </is>
      </c>
    </row>
    <row r="38898" spans="1:1">
      <c r="A38898" t="inlineStr">
        <is>
          <t>Macalaya</t>
        </is>
      </c>
    </row>
    <row r="38899" spans="1:1">
      <c r="A38899" t="inlineStr">
        <is>
          <t>Magsaysay</t>
        </is>
      </c>
    </row>
    <row r="38900" spans="1:1">
      <c r="A38900" t="inlineStr">
        <is>
          <t>Magupange</t>
        </is>
      </c>
    </row>
    <row r="38901" spans="1:1">
      <c r="A38901" t="inlineStr">
        <is>
          <t>Pananay-an</t>
        </is>
      </c>
    </row>
    <row r="38902" spans="1:1">
      <c r="A38902" t="inlineStr">
        <is>
          <t>Panhutongan</t>
        </is>
      </c>
    </row>
    <row r="38903" spans="1:1">
      <c r="A38903" t="inlineStr">
        <is>
          <t>San Isidro</t>
        </is>
      </c>
    </row>
    <row r="38904" spans="1:1">
      <c r="A38904" t="inlineStr">
        <is>
          <t>Sani-sani</t>
        </is>
      </c>
    </row>
    <row r="38905" spans="1:1">
      <c r="A38905" t="inlineStr">
        <is>
          <t>Santa Cruz</t>
        </is>
      </c>
    </row>
    <row r="38906" spans="1:1">
      <c r="A38906" t="inlineStr">
        <is>
          <t>Suyoc</t>
        </is>
      </c>
    </row>
    <row r="38907" spans="1:1">
      <c r="A38907" t="inlineStr">
        <is>
          <t>Tagbongabong</t>
        </is>
      </c>
    </row>
    <row r="38908" spans="1:1">
      <c r="A38908" t="inlineStr">
        <is>
          <t>Bongdo</t>
        </is>
      </c>
    </row>
    <row r="38909" spans="1:1">
      <c r="A38909" t="inlineStr">
        <is>
          <t>Maribojoc</t>
        </is>
      </c>
    </row>
    <row r="38910" spans="1:1">
      <c r="A38910" t="inlineStr">
        <is>
          <t>Nuevo Campo</t>
        </is>
      </c>
    </row>
    <row r="38911" spans="1:1">
      <c r="A38911" t="inlineStr">
        <is>
          <t>San Juan</t>
        </is>
      </c>
    </row>
    <row r="38912" spans="1:1">
      <c r="A38912" t="inlineStr">
        <is>
          <t>Santa Cruz</t>
        </is>
      </c>
    </row>
    <row r="38913" spans="1:1">
      <c r="A38913" t="inlineStr">
        <is>
          <t>Talisay</t>
        </is>
      </c>
    </row>
    <row r="38914" spans="1:1">
      <c r="A38914" t="inlineStr">
        <is>
          <t>Amontay</t>
        </is>
      </c>
    </row>
    <row r="38915" spans="1:1">
      <c r="A38915" t="inlineStr">
        <is>
          <t>Balite</t>
        </is>
      </c>
    </row>
    <row r="38916" spans="1:1">
      <c r="A38916" t="inlineStr">
        <is>
          <t>Banbanon</t>
        </is>
      </c>
    </row>
    <row r="38917" spans="1:1">
      <c r="A38917" t="inlineStr">
        <is>
          <t>Diaz</t>
        </is>
      </c>
    </row>
    <row r="38918" spans="1:1">
      <c r="A38918" t="inlineStr">
        <is>
          <t>Honrado</t>
        </is>
      </c>
    </row>
    <row r="38919" spans="1:1">
      <c r="A38919" t="inlineStr">
        <is>
          <t>Jubgan</t>
        </is>
      </c>
    </row>
    <row r="38920" spans="1:1">
      <c r="A38920" t="inlineStr">
        <is>
          <t>Linongganan</t>
        </is>
      </c>
    </row>
    <row r="38921" spans="1:1">
      <c r="A38921" t="inlineStr">
        <is>
          <t>Macopa</t>
        </is>
      </c>
    </row>
    <row r="38922" spans="1:1">
      <c r="A38922" t="inlineStr">
        <is>
          <t>Magtangale</t>
        </is>
      </c>
    </row>
    <row r="38923" spans="1:1">
      <c r="A38923" t="inlineStr">
        <is>
          <t>Oslao</t>
        </is>
      </c>
    </row>
    <row r="38924" spans="1:1">
      <c r="A38924" t="inlineStr">
        <is>
          <t>Poblacion</t>
        </is>
      </c>
    </row>
    <row r="38925" spans="1:1">
      <c r="A38925" t="inlineStr">
        <is>
          <t>Buhing Calipay</t>
        </is>
      </c>
    </row>
    <row r="38926" spans="1:1">
      <c r="A38926" t="inlineStr">
        <is>
          <t>Del Carmen</t>
        </is>
      </c>
    </row>
    <row r="38927" spans="1:1">
      <c r="A38927" t="inlineStr">
        <is>
          <t>Del Pilar</t>
        </is>
      </c>
    </row>
    <row r="38928" spans="1:1">
      <c r="A38928" t="inlineStr">
        <is>
          <t>Macapagal</t>
        </is>
      </c>
    </row>
    <row r="38929" spans="1:1">
      <c r="A38929" t="inlineStr">
        <is>
          <t>Pacifico</t>
        </is>
      </c>
    </row>
    <row r="38930" spans="1:1">
      <c r="A38930" t="inlineStr">
        <is>
          <t>Pelaez</t>
        </is>
      </c>
    </row>
    <row r="38931" spans="1:1">
      <c r="A38931" t="inlineStr">
        <is>
          <t>Roxas</t>
        </is>
      </c>
    </row>
    <row r="38932" spans="1:1">
      <c r="A38932" t="inlineStr">
        <is>
          <t>San Miguel</t>
        </is>
      </c>
    </row>
    <row r="38933" spans="1:1">
      <c r="A38933" t="inlineStr">
        <is>
          <t>Santa Paz</t>
        </is>
      </c>
    </row>
    <row r="38934" spans="1:1">
      <c r="A38934" t="inlineStr">
        <is>
          <t>Santo Niño</t>
        </is>
      </c>
    </row>
    <row r="38935" spans="1:1">
      <c r="A38935" t="inlineStr">
        <is>
          <t>Tambacan</t>
        </is>
      </c>
    </row>
    <row r="38936" spans="1:1">
      <c r="A38936" t="inlineStr">
        <is>
          <t>Tigasao</t>
        </is>
      </c>
    </row>
    <row r="38937" spans="1:1">
      <c r="A38937" t="inlineStr">
        <is>
          <t>Abad Santos</t>
        </is>
      </c>
    </row>
    <row r="38938" spans="1:1">
      <c r="A38938" t="inlineStr">
        <is>
          <t>Alegria</t>
        </is>
      </c>
    </row>
    <row r="38939" spans="1:1">
      <c r="A38939" t="inlineStr">
        <is>
          <t>Bailan</t>
        </is>
      </c>
    </row>
    <row r="38940" spans="1:1">
      <c r="A38940" t="inlineStr">
        <is>
          <t>Garcia</t>
        </is>
      </c>
    </row>
    <row r="38941" spans="1:1">
      <c r="A38941" t="inlineStr">
        <is>
          <t>Libertad</t>
        </is>
      </c>
    </row>
    <row r="38942" spans="1:1">
      <c r="A38942" t="inlineStr">
        <is>
          <t>Mabini</t>
        </is>
      </c>
    </row>
    <row r="38943" spans="1:1">
      <c r="A38943" t="inlineStr">
        <is>
          <t>Mabuhay</t>
        </is>
      </c>
    </row>
    <row r="38944" spans="1:1">
      <c r="A38944" t="inlineStr">
        <is>
          <t>Magsaysay</t>
        </is>
      </c>
    </row>
    <row r="38945" spans="1:1">
      <c r="A38945" t="inlineStr">
        <is>
          <t>Rizal</t>
        </is>
      </c>
    </row>
    <row r="38946" spans="1:1">
      <c r="A38946" t="inlineStr">
        <is>
          <t>T. Arlan</t>
        </is>
      </c>
    </row>
    <row r="38947" spans="1:1">
      <c r="A38947" t="inlineStr">
        <is>
          <t>Tangbo</t>
        </is>
      </c>
    </row>
    <row r="38948" spans="1:1">
      <c r="A38948" t="inlineStr">
        <is>
          <t>Biyabid</t>
        </is>
      </c>
    </row>
    <row r="38949" spans="1:1">
      <c r="A38949" t="inlineStr">
        <is>
          <t>Gacepan</t>
        </is>
      </c>
    </row>
    <row r="38950" spans="1:1">
      <c r="A38950" t="inlineStr">
        <is>
          <t>Ima</t>
        </is>
      </c>
    </row>
    <row r="38951" spans="1:1">
      <c r="A38951" t="inlineStr">
        <is>
          <t>Lower Patag</t>
        </is>
      </c>
    </row>
    <row r="38952" spans="1:1">
      <c r="A38952" t="inlineStr">
        <is>
          <t>Mabuhay</t>
        </is>
      </c>
    </row>
    <row r="38953" spans="1:1">
      <c r="A38953" t="inlineStr">
        <is>
          <t>Mayag</t>
        </is>
      </c>
    </row>
    <row r="38954" spans="1:1">
      <c r="A38954" t="inlineStr">
        <is>
          <t>Poblacion</t>
        </is>
      </c>
    </row>
    <row r="38955" spans="1:1">
      <c r="A38955" t="inlineStr">
        <is>
          <t>San Isidro</t>
        </is>
      </c>
    </row>
    <row r="38956" spans="1:1">
      <c r="A38956" t="inlineStr">
        <is>
          <t>San Pablo</t>
        </is>
      </c>
    </row>
    <row r="38957" spans="1:1">
      <c r="A38957" t="inlineStr">
        <is>
          <t>Tagbayani</t>
        </is>
      </c>
    </row>
    <row r="38958" spans="1:1">
      <c r="A38958" t="inlineStr">
        <is>
          <t>Tinogpahan</t>
        </is>
      </c>
    </row>
    <row r="38959" spans="1:1">
      <c r="A38959" t="inlineStr">
        <is>
          <t>Upper Patag</t>
        </is>
      </c>
    </row>
    <row r="38960" spans="1:1">
      <c r="A38960" t="inlineStr">
        <is>
          <t>Albino Taruc</t>
        </is>
      </c>
    </row>
    <row r="38961" spans="1:1">
      <c r="A38961" t="inlineStr">
        <is>
          <t>Del Pilar</t>
        </is>
      </c>
    </row>
    <row r="38962" spans="1:1">
      <c r="A38962" t="inlineStr">
        <is>
          <t>Helene</t>
        </is>
      </c>
    </row>
    <row r="38963" spans="1:1">
      <c r="A38963" t="inlineStr">
        <is>
          <t>Honrado</t>
        </is>
      </c>
    </row>
    <row r="38964" spans="1:1">
      <c r="A38964" t="inlineStr">
        <is>
          <t>Navarro</t>
        </is>
      </c>
    </row>
    <row r="38965" spans="1:1">
      <c r="A38965" t="inlineStr">
        <is>
          <t>Nueva Estrella</t>
        </is>
      </c>
    </row>
    <row r="38966" spans="1:1">
      <c r="A38966" t="inlineStr">
        <is>
          <t>Pamosaingan</t>
        </is>
      </c>
    </row>
    <row r="38967" spans="1:1">
      <c r="A38967" t="inlineStr">
        <is>
          <t>Rizal</t>
        </is>
      </c>
    </row>
    <row r="38968" spans="1:1">
      <c r="A38968" t="inlineStr">
        <is>
          <t>Salog</t>
        </is>
      </c>
    </row>
    <row r="38969" spans="1:1">
      <c r="A38969" t="inlineStr">
        <is>
          <t>San Roque</t>
        </is>
      </c>
    </row>
    <row r="38970" spans="1:1">
      <c r="A38970" t="inlineStr">
        <is>
          <t>Santa Cruz</t>
        </is>
      </c>
    </row>
    <row r="38971" spans="1:1">
      <c r="A38971" t="inlineStr">
        <is>
          <t>Sering</t>
        </is>
      </c>
    </row>
    <row r="38972" spans="1:1">
      <c r="A38972" t="inlineStr">
        <is>
          <t>Songkoy</t>
        </is>
      </c>
    </row>
    <row r="38973" spans="1:1">
      <c r="A38973" t="inlineStr">
        <is>
          <t>Sudlon</t>
        </is>
      </c>
    </row>
    <row r="38974" spans="1:1">
      <c r="A38974" t="inlineStr">
        <is>
          <t>Aurora</t>
        </is>
      </c>
    </row>
    <row r="38975" spans="1:1">
      <c r="A38975" t="inlineStr">
        <is>
          <t>Azucena</t>
        </is>
      </c>
    </row>
    <row r="38976" spans="1:1">
      <c r="A38976" t="inlineStr">
        <is>
          <t>Banban</t>
        </is>
      </c>
    </row>
    <row r="38977" spans="1:1">
      <c r="A38977" t="inlineStr">
        <is>
          <t>Cawilan</t>
        </is>
      </c>
    </row>
    <row r="38978" spans="1:1">
      <c r="A38978" t="inlineStr">
        <is>
          <t>Fabio</t>
        </is>
      </c>
    </row>
    <row r="38979" spans="1:1">
      <c r="A38979" t="inlineStr">
        <is>
          <t>Himamaug</t>
        </is>
      </c>
    </row>
    <row r="38980" spans="1:1">
      <c r="A38980" t="inlineStr">
        <is>
          <t>Laurel</t>
        </is>
      </c>
    </row>
    <row r="38981" spans="1:1">
      <c r="A38981" t="inlineStr">
        <is>
          <t>Lower Libas</t>
        </is>
      </c>
    </row>
    <row r="38982" spans="1:1">
      <c r="A38982" t="inlineStr">
        <is>
          <t>Opong</t>
        </is>
      </c>
    </row>
    <row r="38983" spans="1:1">
      <c r="A38983" t="inlineStr">
        <is>
          <t>Patino</t>
        </is>
      </c>
    </row>
    <row r="38984" spans="1:1">
      <c r="A38984" t="inlineStr">
        <is>
          <t>Sampaguita</t>
        </is>
      </c>
    </row>
    <row r="38985" spans="1:1">
      <c r="A38985" t="inlineStr">
        <is>
          <t>Talavera</t>
        </is>
      </c>
    </row>
    <row r="38986" spans="1:1">
      <c r="A38986" t="inlineStr">
        <is>
          <t>Union</t>
        </is>
      </c>
    </row>
    <row r="38987" spans="1:1">
      <c r="A38987" t="inlineStr">
        <is>
          <t>Upper Libas</t>
        </is>
      </c>
    </row>
    <row r="38988" spans="1:1">
      <c r="A38988" t="inlineStr">
        <is>
          <t>Capayahan</t>
        </is>
      </c>
    </row>
    <row r="38989" spans="1:1">
      <c r="A38989" t="inlineStr">
        <is>
          <t>Cawilan</t>
        </is>
      </c>
    </row>
    <row r="38990" spans="1:1">
      <c r="A38990" t="inlineStr">
        <is>
          <t>Del Rosario</t>
        </is>
      </c>
    </row>
    <row r="38991" spans="1:1">
      <c r="A38991" t="inlineStr">
        <is>
          <t>Marga</t>
        </is>
      </c>
    </row>
    <row r="38992" spans="1:1">
      <c r="A38992" t="inlineStr">
        <is>
          <t>Motorpool</t>
        </is>
      </c>
    </row>
    <row r="38993" spans="1:1">
      <c r="A38993" t="inlineStr">
        <is>
          <t>Poblacion</t>
        </is>
      </c>
    </row>
    <row r="38994" spans="1:1">
      <c r="A38994" t="inlineStr">
        <is>
          <t>San Isidro</t>
        </is>
      </c>
    </row>
    <row r="38995" spans="1:1">
      <c r="A38995" t="inlineStr">
        <is>
          <t>San Pablo</t>
        </is>
      </c>
    </row>
    <row r="38996" spans="1:1">
      <c r="A38996" t="inlineStr">
        <is>
          <t>Timamana</t>
        </is>
      </c>
    </row>
    <row r="38997" spans="1:1">
      <c r="A38997" t="inlineStr">
        <is>
          <t>Amaga</t>
        </is>
      </c>
    </row>
    <row r="38998" spans="1:1">
      <c r="A38998" t="inlineStr">
        <is>
          <t>Bahi</t>
        </is>
      </c>
    </row>
    <row r="38999" spans="1:1">
      <c r="A38999" t="inlineStr">
        <is>
          <t>Cabacungan</t>
        </is>
      </c>
    </row>
    <row r="39000" spans="1:1">
      <c r="A39000" t="inlineStr">
        <is>
          <t>Cambagang</t>
        </is>
      </c>
    </row>
    <row r="39001" spans="1:1">
      <c r="A39001" t="inlineStr">
        <is>
          <t>Causwagan</t>
        </is>
      </c>
    </row>
    <row r="39002" spans="1:1">
      <c r="A39002" t="inlineStr">
        <is>
          <t>Dapdap</t>
        </is>
      </c>
    </row>
    <row r="39003" spans="1:1">
      <c r="A39003" t="inlineStr">
        <is>
          <t>Dughan</t>
        </is>
      </c>
    </row>
    <row r="39004" spans="1:1">
      <c r="A39004" t="inlineStr">
        <is>
          <t>Gamut</t>
        </is>
      </c>
    </row>
    <row r="39005" spans="1:1">
      <c r="A39005" t="inlineStr">
        <is>
          <t>Guinhalinan</t>
        </is>
      </c>
    </row>
    <row r="39006" spans="1:1">
      <c r="A39006" t="inlineStr">
        <is>
          <t>Javier</t>
        </is>
      </c>
    </row>
    <row r="39007" spans="1:1">
      <c r="A39007" t="inlineStr">
        <is>
          <t>Kinayan</t>
        </is>
      </c>
    </row>
    <row r="39008" spans="1:1">
      <c r="A39008" t="inlineStr">
        <is>
          <t>Mamis</t>
        </is>
      </c>
    </row>
    <row r="39009" spans="1:1">
      <c r="A39009" t="inlineStr">
        <is>
          <t>Poblacion</t>
        </is>
      </c>
    </row>
    <row r="39010" spans="1:1">
      <c r="A39010" t="inlineStr">
        <is>
          <t>Rizal</t>
        </is>
      </c>
    </row>
    <row r="39011" spans="1:1">
      <c r="A39011" t="inlineStr">
        <is>
          <t>San Jose</t>
        </is>
      </c>
    </row>
    <row r="39012" spans="1:1">
      <c r="A39012" t="inlineStr">
        <is>
          <t>San Roque</t>
        </is>
      </c>
    </row>
    <row r="39013" spans="1:1">
      <c r="A39013" t="inlineStr">
        <is>
          <t>San Vicente</t>
        </is>
      </c>
    </row>
    <row r="39014" spans="1:1">
      <c r="A39014" t="inlineStr">
        <is>
          <t>Sua</t>
        </is>
      </c>
    </row>
    <row r="39015" spans="1:1">
      <c r="A39015" t="inlineStr">
        <is>
          <t>Sudlon</t>
        </is>
      </c>
    </row>
    <row r="39016" spans="1:1">
      <c r="A39016" t="inlineStr">
        <is>
          <t>Tambis</t>
        </is>
      </c>
    </row>
    <row r="39017" spans="1:1">
      <c r="A39017" t="inlineStr">
        <is>
          <t>Unidad</t>
        </is>
      </c>
    </row>
    <row r="39018" spans="1:1">
      <c r="A39018" t="inlineStr">
        <is>
          <t>Wakat</t>
        </is>
      </c>
    </row>
    <row r="39019" spans="1:1">
      <c r="A39019" t="inlineStr">
        <is>
          <t>Amag</t>
        </is>
      </c>
    </row>
    <row r="39020" spans="1:1">
      <c r="A39020" t="inlineStr">
        <is>
          <t>Balete</t>
        </is>
      </c>
    </row>
    <row r="39021" spans="1:1">
      <c r="A39021" t="inlineStr">
        <is>
          <t>Cabugo</t>
        </is>
      </c>
    </row>
    <row r="39022" spans="1:1">
      <c r="A39022" t="inlineStr">
        <is>
          <t>Cagbaoto</t>
        </is>
      </c>
    </row>
    <row r="39023" spans="1:1">
      <c r="A39023" t="inlineStr">
        <is>
          <t>La Paz</t>
        </is>
      </c>
    </row>
    <row r="39024" spans="1:1">
      <c r="A39024" t="inlineStr">
        <is>
          <t>Magobawok</t>
        </is>
      </c>
    </row>
    <row r="39025" spans="1:1">
      <c r="A39025" t="inlineStr">
        <is>
          <t>Panaosawon</t>
        </is>
      </c>
    </row>
    <row r="39026" spans="1:1">
      <c r="A39026" t="inlineStr">
        <is>
          <t>Aras-Asan</t>
        </is>
      </c>
    </row>
    <row r="39027" spans="1:1">
      <c r="A39027" t="inlineStr">
        <is>
          <t>Bacolod</t>
        </is>
      </c>
    </row>
    <row r="39028" spans="1:1">
      <c r="A39028" t="inlineStr">
        <is>
          <t>Bitaugan East</t>
        </is>
      </c>
    </row>
    <row r="39029" spans="1:1">
      <c r="A39029" t="inlineStr">
        <is>
          <t>Bitaugan West</t>
        </is>
      </c>
    </row>
    <row r="39030" spans="1:1">
      <c r="A39030" t="inlineStr">
        <is>
          <t>La Purisima</t>
        </is>
      </c>
    </row>
    <row r="39031" spans="1:1">
      <c r="A39031" t="inlineStr">
        <is>
          <t>Lactudan</t>
        </is>
      </c>
    </row>
    <row r="39032" spans="1:1">
      <c r="A39032" t="inlineStr">
        <is>
          <t>Mat-e</t>
        </is>
      </c>
    </row>
    <row r="39033" spans="1:1">
      <c r="A39033" t="inlineStr">
        <is>
          <t>Poblacion</t>
        </is>
      </c>
    </row>
    <row r="39034" spans="1:1">
      <c r="A39034" t="inlineStr">
        <is>
          <t>Tawagan</t>
        </is>
      </c>
    </row>
    <row r="39035" spans="1:1">
      <c r="A39035" t="inlineStr">
        <is>
          <t>Tubo-tubo</t>
        </is>
      </c>
    </row>
    <row r="39036" spans="1:1">
      <c r="A39036" t="inlineStr">
        <is>
          <t>Unidad</t>
        </is>
      </c>
    </row>
    <row r="39037" spans="1:1">
      <c r="A39037" t="inlineStr">
        <is>
          <t>Bugsukan</t>
        </is>
      </c>
    </row>
    <row r="39038" spans="1:1">
      <c r="A39038" t="inlineStr">
        <is>
          <t>Buntalid</t>
        </is>
      </c>
    </row>
    <row r="39039" spans="1:1">
      <c r="A39039" t="inlineStr">
        <is>
          <t>Cabangahan</t>
        </is>
      </c>
    </row>
    <row r="39040" spans="1:1">
      <c r="A39040" t="inlineStr">
        <is>
          <t>Cabas-an</t>
        </is>
      </c>
    </row>
    <row r="39041" spans="1:1">
      <c r="A39041" t="inlineStr">
        <is>
          <t>Calagdaan</t>
        </is>
      </c>
    </row>
    <row r="39042" spans="1:1">
      <c r="A39042" t="inlineStr">
        <is>
          <t>Consuelo</t>
        </is>
      </c>
    </row>
    <row r="39043" spans="1:1">
      <c r="A39043" t="inlineStr">
        <is>
          <t>General Island</t>
        </is>
      </c>
    </row>
    <row r="39044" spans="1:1">
      <c r="A39044" t="inlineStr">
        <is>
          <t>Lininti-an</t>
        </is>
      </c>
    </row>
    <row r="39045" spans="1:1">
      <c r="A39045" t="inlineStr">
        <is>
          <t>Lobo</t>
        </is>
      </c>
    </row>
    <row r="39046" spans="1:1">
      <c r="A39046" t="inlineStr">
        <is>
          <t>Magasang</t>
        </is>
      </c>
    </row>
    <row r="39047" spans="1:1">
      <c r="A39047" t="inlineStr">
        <is>
          <t>Magosilom</t>
        </is>
      </c>
    </row>
    <row r="39048" spans="1:1">
      <c r="A39048" t="inlineStr">
        <is>
          <t>Pag-Antayan</t>
        </is>
      </c>
    </row>
    <row r="39049" spans="1:1">
      <c r="A39049" t="inlineStr">
        <is>
          <t>Palasao</t>
        </is>
      </c>
    </row>
    <row r="39050" spans="1:1">
      <c r="A39050" t="inlineStr">
        <is>
          <t>Parang</t>
        </is>
      </c>
    </row>
    <row r="39051" spans="1:1">
      <c r="A39051" t="inlineStr">
        <is>
          <t>San Pedro</t>
        </is>
      </c>
    </row>
    <row r="39052" spans="1:1">
      <c r="A39052" t="inlineStr">
        <is>
          <t>Tapi</t>
        </is>
      </c>
    </row>
    <row r="39053" spans="1:1">
      <c r="A39053" t="inlineStr">
        <is>
          <t>Tigabong</t>
        </is>
      </c>
    </row>
    <row r="39054" spans="1:1">
      <c r="A39054" t="inlineStr">
        <is>
          <t>Antao</t>
        </is>
      </c>
    </row>
    <row r="39055" spans="1:1">
      <c r="A39055" t="inlineStr">
        <is>
          <t>Cancavan</t>
        </is>
      </c>
    </row>
    <row r="39056" spans="1:1">
      <c r="A39056" t="inlineStr">
        <is>
          <t>Carmen</t>
        </is>
      </c>
    </row>
    <row r="39057" spans="1:1">
      <c r="A39057" t="inlineStr">
        <is>
          <t>Esperanza</t>
        </is>
      </c>
    </row>
    <row r="39058" spans="1:1">
      <c r="A39058" t="inlineStr">
        <is>
          <t>Hinapoyan</t>
        </is>
      </c>
    </row>
    <row r="39059" spans="1:1">
      <c r="A39059" t="inlineStr">
        <is>
          <t>Puyat</t>
        </is>
      </c>
    </row>
    <row r="39060" spans="1:1">
      <c r="A39060" t="inlineStr">
        <is>
          <t>San Vicente</t>
        </is>
      </c>
    </row>
    <row r="39061" spans="1:1">
      <c r="A39061" t="inlineStr">
        <is>
          <t>Santa Cruz</t>
        </is>
      </c>
    </row>
    <row r="39062" spans="1:1">
      <c r="A39062" t="inlineStr">
        <is>
          <t>Adlay</t>
        </is>
      </c>
    </row>
    <row r="39063" spans="1:1">
      <c r="A39063" t="inlineStr">
        <is>
          <t>Babuyan</t>
        </is>
      </c>
    </row>
    <row r="39064" spans="1:1">
      <c r="A39064" t="inlineStr">
        <is>
          <t>Bacolod</t>
        </is>
      </c>
    </row>
    <row r="39065" spans="1:1">
      <c r="A39065" t="inlineStr">
        <is>
          <t>Baybay</t>
        </is>
      </c>
    </row>
    <row r="39066" spans="1:1">
      <c r="A39066" t="inlineStr">
        <is>
          <t>Bon-ot</t>
        </is>
      </c>
    </row>
    <row r="39067" spans="1:1">
      <c r="A39067" t="inlineStr">
        <is>
          <t>Caglayag</t>
        </is>
      </c>
    </row>
    <row r="39068" spans="1:1">
      <c r="A39068" t="inlineStr">
        <is>
          <t>Dahican</t>
        </is>
      </c>
    </row>
    <row r="39069" spans="1:1">
      <c r="A39069" t="inlineStr">
        <is>
          <t>Doyos</t>
        </is>
      </c>
    </row>
    <row r="39070" spans="1:1">
      <c r="A39070" t="inlineStr">
        <is>
          <t>Embarcadero</t>
        </is>
      </c>
    </row>
    <row r="39071" spans="1:1">
      <c r="A39071" t="inlineStr">
        <is>
          <t>Gamuton</t>
        </is>
      </c>
    </row>
    <row r="39072" spans="1:1">
      <c r="A39072" t="inlineStr">
        <is>
          <t>Panikian</t>
        </is>
      </c>
    </row>
    <row r="39073" spans="1:1">
      <c r="A39073" t="inlineStr">
        <is>
          <t>Pantukan</t>
        </is>
      </c>
    </row>
    <row r="39074" spans="1:1">
      <c r="A39074" t="inlineStr">
        <is>
          <t>Saca</t>
        </is>
      </c>
    </row>
    <row r="39075" spans="1:1">
      <c r="A39075" t="inlineStr">
        <is>
          <t>Tag-Anito</t>
        </is>
      </c>
    </row>
    <row r="39076" spans="1:1">
      <c r="A39076" t="inlineStr">
        <is>
          <t>Bucto</t>
        </is>
      </c>
    </row>
    <row r="39077" spans="1:1">
      <c r="A39077" t="inlineStr">
        <is>
          <t>Burboanan</t>
        </is>
      </c>
    </row>
    <row r="39078" spans="1:1">
      <c r="A39078" t="inlineStr">
        <is>
          <t>Caguyao</t>
        </is>
      </c>
    </row>
    <row r="39079" spans="1:1">
      <c r="A39079" t="inlineStr">
        <is>
          <t>Coleto</t>
        </is>
      </c>
    </row>
    <row r="39080" spans="1:1">
      <c r="A39080" t="inlineStr">
        <is>
          <t>Comawas</t>
        </is>
      </c>
    </row>
    <row r="39081" spans="1:1">
      <c r="A39081" t="inlineStr">
        <is>
          <t>Kahayag</t>
        </is>
      </c>
    </row>
    <row r="39082" spans="1:1">
      <c r="A39082" t="inlineStr">
        <is>
          <t>Labisma</t>
        </is>
      </c>
    </row>
    <row r="39083" spans="1:1">
      <c r="A39083" t="inlineStr">
        <is>
          <t>Lawigan</t>
        </is>
      </c>
    </row>
    <row r="39084" spans="1:1">
      <c r="A39084" t="inlineStr">
        <is>
          <t>Maharlika</t>
        </is>
      </c>
    </row>
    <row r="39085" spans="1:1">
      <c r="A39085" t="inlineStr">
        <is>
          <t>Mangagoy</t>
        </is>
      </c>
    </row>
    <row r="39086" spans="1:1">
      <c r="A39086" t="inlineStr">
        <is>
          <t>Mone</t>
        </is>
      </c>
    </row>
    <row r="39087" spans="1:1">
      <c r="A39087" t="inlineStr">
        <is>
          <t>Pamanlinan</t>
        </is>
      </c>
    </row>
    <row r="39088" spans="1:1">
      <c r="A39088" t="inlineStr">
        <is>
          <t>Pamaypayan</t>
        </is>
      </c>
    </row>
    <row r="39089" spans="1:1">
      <c r="A39089" t="inlineStr">
        <is>
          <t>Poblacion</t>
        </is>
      </c>
    </row>
    <row r="39090" spans="1:1">
      <c r="A39090" t="inlineStr">
        <is>
          <t>San Antonio</t>
        </is>
      </c>
    </row>
    <row r="39091" spans="1:1">
      <c r="A39091" t="inlineStr">
        <is>
          <t>San Fernando</t>
        </is>
      </c>
    </row>
    <row r="39092" spans="1:1">
      <c r="A39092" t="inlineStr">
        <is>
          <t>San Isidro</t>
        </is>
      </c>
    </row>
    <row r="39093" spans="1:1">
      <c r="A39093" t="inlineStr">
        <is>
          <t>San Jose</t>
        </is>
      </c>
    </row>
    <row r="39094" spans="1:1">
      <c r="A39094" t="inlineStr">
        <is>
          <t>San Roque</t>
        </is>
      </c>
    </row>
    <row r="39095" spans="1:1">
      <c r="A39095" t="inlineStr">
        <is>
          <t>San Vicente</t>
        </is>
      </c>
    </row>
    <row r="39096" spans="1:1">
      <c r="A39096" t="inlineStr">
        <is>
          <t>Santa Cruz</t>
        </is>
      </c>
    </row>
    <row r="39097" spans="1:1">
      <c r="A39097" t="inlineStr">
        <is>
          <t>Sibaroy</t>
        </is>
      </c>
    </row>
    <row r="39098" spans="1:1">
      <c r="A39098" t="inlineStr">
        <is>
          <t>Tabon</t>
        </is>
      </c>
    </row>
    <row r="39099" spans="1:1">
      <c r="A39099" t="inlineStr">
        <is>
          <t>Tumanan</t>
        </is>
      </c>
    </row>
    <row r="39100" spans="1:1">
      <c r="A39100" t="inlineStr">
        <is>
          <t>Awasian</t>
        </is>
      </c>
    </row>
    <row r="39101" spans="1:1">
      <c r="A39101" t="inlineStr">
        <is>
          <t>Bagong Lungsod</t>
        </is>
      </c>
    </row>
    <row r="39102" spans="1:1">
      <c r="A39102" t="inlineStr">
        <is>
          <t>Bioto</t>
        </is>
      </c>
    </row>
    <row r="39103" spans="1:1">
      <c r="A39103" t="inlineStr">
        <is>
          <t>Bongtod Pob.</t>
        </is>
      </c>
    </row>
    <row r="39104" spans="1:1">
      <c r="A39104" t="inlineStr">
        <is>
          <t>Buenavista</t>
        </is>
      </c>
    </row>
    <row r="39105" spans="1:1">
      <c r="A39105" t="inlineStr">
        <is>
          <t>Dagocdoc</t>
        </is>
      </c>
    </row>
    <row r="39106" spans="1:1">
      <c r="A39106" t="inlineStr">
        <is>
          <t>Mabua</t>
        </is>
      </c>
    </row>
    <row r="39107" spans="1:1">
      <c r="A39107" t="inlineStr">
        <is>
          <t>Mabuhay</t>
        </is>
      </c>
    </row>
    <row r="39108" spans="1:1">
      <c r="A39108" t="inlineStr">
        <is>
          <t>Maitum</t>
        </is>
      </c>
    </row>
    <row r="39109" spans="1:1">
      <c r="A39109" t="inlineStr">
        <is>
          <t>Maticdum</t>
        </is>
      </c>
    </row>
    <row r="39110" spans="1:1">
      <c r="A39110" t="inlineStr">
        <is>
          <t>Pandanon</t>
        </is>
      </c>
    </row>
    <row r="39111" spans="1:1">
      <c r="A39111" t="inlineStr">
        <is>
          <t>Pangi</t>
        </is>
      </c>
    </row>
    <row r="39112" spans="1:1">
      <c r="A39112" t="inlineStr">
        <is>
          <t>Quezon</t>
        </is>
      </c>
    </row>
    <row r="39113" spans="1:1">
      <c r="A39113" t="inlineStr">
        <is>
          <t>Rosario</t>
        </is>
      </c>
    </row>
    <row r="39114" spans="1:1">
      <c r="A39114" t="inlineStr">
        <is>
          <t>Salvacion</t>
        </is>
      </c>
    </row>
    <row r="39115" spans="1:1">
      <c r="A39115" t="inlineStr">
        <is>
          <t>San Agustin Norte</t>
        </is>
      </c>
    </row>
    <row r="39116" spans="1:1">
      <c r="A39116" t="inlineStr">
        <is>
          <t>San Agustin Sur</t>
        </is>
      </c>
    </row>
    <row r="39117" spans="1:1">
      <c r="A39117" t="inlineStr">
        <is>
          <t>San Antonio</t>
        </is>
      </c>
    </row>
    <row r="39118" spans="1:1">
      <c r="A39118" t="inlineStr">
        <is>
          <t>San Isidro</t>
        </is>
      </c>
    </row>
    <row r="39119" spans="1:1">
      <c r="A39119" t="inlineStr">
        <is>
          <t>San Jose</t>
        </is>
      </c>
    </row>
    <row r="39120" spans="1:1">
      <c r="A39120" t="inlineStr">
        <is>
          <t>Telaje</t>
        </is>
      </c>
    </row>
    <row r="39121" spans="1:1">
      <c r="A39121" t="inlineStr">
        <is>
          <t>Balibadon</t>
        </is>
      </c>
    </row>
    <row r="39122" spans="1:1">
      <c r="A39122" t="inlineStr">
        <is>
          <t>Burgos</t>
        </is>
      </c>
    </row>
    <row r="39123" spans="1:1">
      <c r="A39123" t="inlineStr">
        <is>
          <t>Capandan</t>
        </is>
      </c>
    </row>
    <row r="39124" spans="1:1">
      <c r="A39124" t="inlineStr">
        <is>
          <t>Mabahin</t>
        </is>
      </c>
    </row>
    <row r="39125" spans="1:1">
      <c r="A39125" t="inlineStr">
        <is>
          <t>Madrelino</t>
        </is>
      </c>
    </row>
    <row r="39126" spans="1:1">
      <c r="A39126" t="inlineStr">
        <is>
          <t>Manlico</t>
        </is>
      </c>
    </row>
    <row r="39127" spans="1:1">
      <c r="A39127" t="inlineStr">
        <is>
          <t>Matho</t>
        </is>
      </c>
    </row>
    <row r="39128" spans="1:1">
      <c r="A39128" t="inlineStr">
        <is>
          <t>Poblacion</t>
        </is>
      </c>
    </row>
    <row r="39129" spans="1:1">
      <c r="A39129" t="inlineStr">
        <is>
          <t>Tag-Anongan</t>
        </is>
      </c>
    </row>
    <row r="39130" spans="1:1">
      <c r="A39130" t="inlineStr">
        <is>
          <t>Tigao</t>
        </is>
      </c>
    </row>
    <row r="39131" spans="1:1">
      <c r="A39131" t="inlineStr">
        <is>
          <t>Tuboran</t>
        </is>
      </c>
    </row>
    <row r="39132" spans="1:1">
      <c r="A39132" t="inlineStr">
        <is>
          <t>Uba</t>
        </is>
      </c>
    </row>
    <row r="39133" spans="1:1">
      <c r="A39133" t="inlineStr">
        <is>
          <t>Baculin</t>
        </is>
      </c>
    </row>
    <row r="39134" spans="1:1">
      <c r="A39134" t="inlineStr">
        <is>
          <t>Benigno Aquino</t>
        </is>
      </c>
    </row>
    <row r="39135" spans="1:1">
      <c r="A39135" t="inlineStr">
        <is>
          <t>Bigaan</t>
        </is>
      </c>
    </row>
    <row r="39136" spans="1:1">
      <c r="A39136" t="inlineStr">
        <is>
          <t>Cambatong</t>
        </is>
      </c>
    </row>
    <row r="39137" spans="1:1">
      <c r="A39137" t="inlineStr">
        <is>
          <t>Campa</t>
        </is>
      </c>
    </row>
    <row r="39138" spans="1:1">
      <c r="A39138" t="inlineStr">
        <is>
          <t>Dugmanon</t>
        </is>
      </c>
    </row>
    <row r="39139" spans="1:1">
      <c r="A39139" t="inlineStr">
        <is>
          <t>Harip</t>
        </is>
      </c>
    </row>
    <row r="39140" spans="1:1">
      <c r="A39140" t="inlineStr">
        <is>
          <t>La Casa</t>
        </is>
      </c>
    </row>
    <row r="39141" spans="1:1">
      <c r="A39141" t="inlineStr">
        <is>
          <t>Loyola</t>
        </is>
      </c>
    </row>
    <row r="39142" spans="1:1">
      <c r="A39142" t="inlineStr">
        <is>
          <t>Maligaya</t>
        </is>
      </c>
    </row>
    <row r="39143" spans="1:1">
      <c r="A39143" t="inlineStr">
        <is>
          <t>Pagtigni-an</t>
        </is>
      </c>
    </row>
    <row r="39144" spans="1:1">
      <c r="A39144" t="inlineStr">
        <is>
          <t>Pocto</t>
        </is>
      </c>
    </row>
    <row r="39145" spans="1:1">
      <c r="A39145" t="inlineStr">
        <is>
          <t>Port Lamon</t>
        </is>
      </c>
    </row>
    <row r="39146" spans="1:1">
      <c r="A39146" t="inlineStr">
        <is>
          <t>Roxas</t>
        </is>
      </c>
    </row>
    <row r="39147" spans="1:1">
      <c r="A39147" t="inlineStr">
        <is>
          <t>San Juan</t>
        </is>
      </c>
    </row>
    <row r="39148" spans="1:1">
      <c r="A39148" t="inlineStr">
        <is>
          <t>Sasa</t>
        </is>
      </c>
    </row>
    <row r="39149" spans="1:1">
      <c r="A39149" t="inlineStr">
        <is>
          <t>Tagasaka</t>
        </is>
      </c>
    </row>
    <row r="39150" spans="1:1">
      <c r="A39150" t="inlineStr">
        <is>
          <t>Tagbobonga</t>
        </is>
      </c>
    </row>
    <row r="39151" spans="1:1">
      <c r="A39151" t="inlineStr">
        <is>
          <t>Talisay</t>
        </is>
      </c>
    </row>
    <row r="39152" spans="1:1">
      <c r="A39152" t="inlineStr">
        <is>
          <t>Tarusan</t>
        </is>
      </c>
    </row>
    <row r="39153" spans="1:1">
      <c r="A39153" t="inlineStr">
        <is>
          <t>Tidman</t>
        </is>
      </c>
    </row>
    <row r="39154" spans="1:1">
      <c r="A39154" t="inlineStr">
        <is>
          <t>Tiwi</t>
        </is>
      </c>
    </row>
    <row r="39155" spans="1:1">
      <c r="A39155" t="inlineStr">
        <is>
          <t>Zone II</t>
        </is>
      </c>
    </row>
    <row r="39156" spans="1:1">
      <c r="A39156" t="inlineStr">
        <is>
          <t>Zone III Maharlika</t>
        </is>
      </c>
    </row>
    <row r="39157" spans="1:1">
      <c r="A39157" t="inlineStr">
        <is>
          <t>Agsam</t>
        </is>
      </c>
    </row>
    <row r="39158" spans="1:1">
      <c r="A39158" t="inlineStr">
        <is>
          <t>Bocawe</t>
        </is>
      </c>
    </row>
    <row r="39159" spans="1:1">
      <c r="A39159" t="inlineStr">
        <is>
          <t>Bunga</t>
        </is>
      </c>
    </row>
    <row r="39160" spans="1:1">
      <c r="A39160" t="inlineStr">
        <is>
          <t>Gamuton</t>
        </is>
      </c>
    </row>
    <row r="39161" spans="1:1">
      <c r="A39161" t="inlineStr">
        <is>
          <t>Habag</t>
        </is>
      </c>
    </row>
    <row r="39162" spans="1:1">
      <c r="A39162" t="inlineStr">
        <is>
          <t>Mampi</t>
        </is>
      </c>
    </row>
    <row r="39163" spans="1:1">
      <c r="A39163" t="inlineStr">
        <is>
          <t>Nurcia</t>
        </is>
      </c>
    </row>
    <row r="39164" spans="1:1">
      <c r="A39164" t="inlineStr">
        <is>
          <t>Pakwan</t>
        </is>
      </c>
    </row>
    <row r="39165" spans="1:1">
      <c r="A39165" t="inlineStr">
        <is>
          <t>Sibahay</t>
        </is>
      </c>
    </row>
    <row r="39166" spans="1:1">
      <c r="A39166" t="inlineStr">
        <is>
          <t>Zone I</t>
        </is>
      </c>
    </row>
    <row r="39167" spans="1:1">
      <c r="A39167" t="inlineStr">
        <is>
          <t>Zone II</t>
        </is>
      </c>
    </row>
    <row r="39168" spans="1:1">
      <c r="A39168" t="inlineStr">
        <is>
          <t>Zone III</t>
        </is>
      </c>
    </row>
    <row r="39169" spans="1:1">
      <c r="A39169" t="inlineStr">
        <is>
          <t>Zone IV</t>
        </is>
      </c>
    </row>
    <row r="39170" spans="1:1">
      <c r="A39170" t="inlineStr">
        <is>
          <t>Anibongan</t>
        </is>
      </c>
    </row>
    <row r="39171" spans="1:1">
      <c r="A39171" t="inlineStr">
        <is>
          <t>Ban-as</t>
        </is>
      </c>
    </row>
    <row r="39172" spans="1:1">
      <c r="A39172" t="inlineStr">
        <is>
          <t>Banahao</t>
        </is>
      </c>
    </row>
    <row r="39173" spans="1:1">
      <c r="A39173" t="inlineStr">
        <is>
          <t>Baucawe</t>
        </is>
      </c>
    </row>
    <row r="39174" spans="1:1">
      <c r="A39174" t="inlineStr">
        <is>
          <t>Diatagon</t>
        </is>
      </c>
    </row>
    <row r="39175" spans="1:1">
      <c r="A39175" t="inlineStr">
        <is>
          <t>Ganayon</t>
        </is>
      </c>
    </row>
    <row r="39176" spans="1:1">
      <c r="A39176" t="inlineStr">
        <is>
          <t>Liatimco</t>
        </is>
      </c>
    </row>
    <row r="39177" spans="1:1">
      <c r="A39177" t="inlineStr">
        <is>
          <t>Manyayay</t>
        </is>
      </c>
    </row>
    <row r="39178" spans="1:1">
      <c r="A39178" t="inlineStr">
        <is>
          <t>Payasan</t>
        </is>
      </c>
    </row>
    <row r="39179" spans="1:1">
      <c r="A39179" t="inlineStr">
        <is>
          <t>Poblacion</t>
        </is>
      </c>
    </row>
    <row r="39180" spans="1:1">
      <c r="A39180" t="inlineStr">
        <is>
          <t>Saint Christine</t>
        </is>
      </c>
    </row>
    <row r="39181" spans="1:1">
      <c r="A39181" t="inlineStr">
        <is>
          <t>San Isidro</t>
        </is>
      </c>
    </row>
    <row r="39182" spans="1:1">
      <c r="A39182" t="inlineStr">
        <is>
          <t>San Pedro</t>
        </is>
      </c>
    </row>
    <row r="39183" spans="1:1">
      <c r="A39183" t="inlineStr">
        <is>
          <t>Anibongan</t>
        </is>
      </c>
    </row>
    <row r="39184" spans="1:1">
      <c r="A39184" t="inlineStr">
        <is>
          <t>Barcelona</t>
        </is>
      </c>
    </row>
    <row r="39185" spans="1:1">
      <c r="A39185" t="inlineStr">
        <is>
          <t>Bogak</t>
        </is>
      </c>
    </row>
    <row r="39186" spans="1:1">
      <c r="A39186" t="inlineStr">
        <is>
          <t>Bongan</t>
        </is>
      </c>
    </row>
    <row r="39187" spans="1:1">
      <c r="A39187" t="inlineStr">
        <is>
          <t>Handamayan</t>
        </is>
      </c>
    </row>
    <row r="39188" spans="1:1">
      <c r="A39188" t="inlineStr">
        <is>
          <t>Mahayahay</t>
        </is>
      </c>
    </row>
    <row r="39189" spans="1:1">
      <c r="A39189" t="inlineStr">
        <is>
          <t>Mandus</t>
        </is>
      </c>
    </row>
    <row r="39190" spans="1:1">
      <c r="A39190" t="inlineStr">
        <is>
          <t>Mansa-ilao</t>
        </is>
      </c>
    </row>
    <row r="39191" spans="1:1">
      <c r="A39191" t="inlineStr">
        <is>
          <t>Pagtila-an</t>
        </is>
      </c>
    </row>
    <row r="39192" spans="1:1">
      <c r="A39192" t="inlineStr">
        <is>
          <t>Palo Alto</t>
        </is>
      </c>
    </row>
    <row r="39193" spans="1:1">
      <c r="A39193" t="inlineStr">
        <is>
          <t>Poblacion</t>
        </is>
      </c>
    </row>
    <row r="39194" spans="1:1">
      <c r="A39194" t="inlineStr">
        <is>
          <t>Rajah Cabungso-an</t>
        </is>
      </c>
    </row>
    <row r="39195" spans="1:1">
      <c r="A39195" t="inlineStr">
        <is>
          <t>Sabang</t>
        </is>
      </c>
    </row>
    <row r="39196" spans="1:1">
      <c r="A39196" t="inlineStr">
        <is>
          <t>Salvacion</t>
        </is>
      </c>
    </row>
    <row r="39197" spans="1:1">
      <c r="A39197" t="inlineStr">
        <is>
          <t>San Roque</t>
        </is>
      </c>
    </row>
    <row r="39198" spans="1:1">
      <c r="A39198" t="inlineStr">
        <is>
          <t>Tagpoporan</t>
        </is>
      </c>
    </row>
    <row r="39199" spans="1:1">
      <c r="A39199" t="inlineStr">
        <is>
          <t>Union</t>
        </is>
      </c>
    </row>
    <row r="39200" spans="1:1">
      <c r="A39200" t="inlineStr">
        <is>
          <t>Valencia</t>
        </is>
      </c>
    </row>
    <row r="39201" spans="1:1">
      <c r="A39201" t="inlineStr">
        <is>
          <t>Bagsac</t>
        </is>
      </c>
    </row>
    <row r="39202" spans="1:1">
      <c r="A39202" t="inlineStr">
        <is>
          <t>Bayogo</t>
        </is>
      </c>
    </row>
    <row r="39203" spans="1:1">
      <c r="A39203" t="inlineStr">
        <is>
          <t>Linibonan</t>
        </is>
      </c>
    </row>
    <row r="39204" spans="1:1">
      <c r="A39204" t="inlineStr">
        <is>
          <t>Magsaysay</t>
        </is>
      </c>
    </row>
    <row r="39205" spans="1:1">
      <c r="A39205" t="inlineStr">
        <is>
          <t>Manga</t>
        </is>
      </c>
    </row>
    <row r="39206" spans="1:1">
      <c r="A39206" t="inlineStr">
        <is>
          <t>Panayogon</t>
        </is>
      </c>
    </row>
    <row r="39207" spans="1:1">
      <c r="A39207" t="inlineStr">
        <is>
          <t>Patong Patong</t>
        </is>
      </c>
    </row>
    <row r="39208" spans="1:1">
      <c r="A39208" t="inlineStr">
        <is>
          <t>Quirino</t>
        </is>
      </c>
    </row>
    <row r="39209" spans="1:1">
      <c r="A39209" t="inlineStr">
        <is>
          <t>San Antonio</t>
        </is>
      </c>
    </row>
    <row r="39210" spans="1:1">
      <c r="A39210" t="inlineStr">
        <is>
          <t>San Juan</t>
        </is>
      </c>
    </row>
    <row r="39211" spans="1:1">
      <c r="A39211" t="inlineStr">
        <is>
          <t>San Roque</t>
        </is>
      </c>
    </row>
    <row r="39212" spans="1:1">
      <c r="A39212" t="inlineStr">
        <is>
          <t>San Vicente</t>
        </is>
      </c>
    </row>
    <row r="39213" spans="1:1">
      <c r="A39213" t="inlineStr">
        <is>
          <t>Songkit</t>
        </is>
      </c>
    </row>
    <row r="39214" spans="1:1">
      <c r="A39214" t="inlineStr">
        <is>
          <t>Union</t>
        </is>
      </c>
    </row>
    <row r="39215" spans="1:1">
      <c r="A39215" t="inlineStr">
        <is>
          <t>Alegria</t>
        </is>
      </c>
    </row>
    <row r="39216" spans="1:1">
      <c r="A39216" t="inlineStr">
        <is>
          <t>Amontay</t>
        </is>
      </c>
    </row>
    <row r="39217" spans="1:1">
      <c r="A39217" t="inlineStr">
        <is>
          <t>Antipolo</t>
        </is>
      </c>
    </row>
    <row r="39218" spans="1:1">
      <c r="A39218" t="inlineStr">
        <is>
          <t>Arorogan</t>
        </is>
      </c>
    </row>
    <row r="39219" spans="1:1">
      <c r="A39219" t="inlineStr">
        <is>
          <t>Bayan</t>
        </is>
      </c>
    </row>
    <row r="39220" spans="1:1">
      <c r="A39220" t="inlineStr">
        <is>
          <t>Mahaba</t>
        </is>
      </c>
    </row>
    <row r="39221" spans="1:1">
      <c r="A39221" t="inlineStr">
        <is>
          <t>Mararag</t>
        </is>
      </c>
    </row>
    <row r="39222" spans="1:1">
      <c r="A39222" t="inlineStr">
        <is>
          <t>Poblacion</t>
        </is>
      </c>
    </row>
    <row r="39223" spans="1:1">
      <c r="A39223" t="inlineStr">
        <is>
          <t>San Antonio</t>
        </is>
      </c>
    </row>
    <row r="39224" spans="1:1">
      <c r="A39224" t="inlineStr">
        <is>
          <t>San Isidro</t>
        </is>
      </c>
    </row>
    <row r="39225" spans="1:1">
      <c r="A39225" t="inlineStr">
        <is>
          <t>San Pedro</t>
        </is>
      </c>
    </row>
    <row r="39226" spans="1:1">
      <c r="A39226" t="inlineStr">
        <is>
          <t>Santa Cruz</t>
        </is>
      </c>
    </row>
    <row r="39227" spans="1:1">
      <c r="A39227" t="inlineStr">
        <is>
          <t>Bretania</t>
        </is>
      </c>
    </row>
    <row r="39228" spans="1:1">
      <c r="A39228" t="inlineStr">
        <is>
          <t>Buatong</t>
        </is>
      </c>
    </row>
    <row r="39229" spans="1:1">
      <c r="A39229" t="inlineStr">
        <is>
          <t>Buhisan</t>
        </is>
      </c>
    </row>
    <row r="39230" spans="1:1">
      <c r="A39230" t="inlineStr">
        <is>
          <t>Gata</t>
        </is>
      </c>
    </row>
    <row r="39231" spans="1:1">
      <c r="A39231" t="inlineStr">
        <is>
          <t>Hornasan</t>
        </is>
      </c>
    </row>
    <row r="39232" spans="1:1">
      <c r="A39232" t="inlineStr">
        <is>
          <t>Janipaan</t>
        </is>
      </c>
    </row>
    <row r="39233" spans="1:1">
      <c r="A39233" t="inlineStr">
        <is>
          <t>Kauswagan</t>
        </is>
      </c>
    </row>
    <row r="39234" spans="1:1">
      <c r="A39234" t="inlineStr">
        <is>
          <t>Oteiza</t>
        </is>
      </c>
    </row>
    <row r="39235" spans="1:1">
      <c r="A39235" t="inlineStr">
        <is>
          <t>Poblacion</t>
        </is>
      </c>
    </row>
    <row r="39236" spans="1:1">
      <c r="A39236" t="inlineStr">
        <is>
          <t>Pong-on</t>
        </is>
      </c>
    </row>
    <row r="39237" spans="1:1">
      <c r="A39237" t="inlineStr">
        <is>
          <t>Pongtod</t>
        </is>
      </c>
    </row>
    <row r="39238" spans="1:1">
      <c r="A39238" t="inlineStr">
        <is>
          <t>Salvacion</t>
        </is>
      </c>
    </row>
    <row r="39239" spans="1:1">
      <c r="A39239" t="inlineStr">
        <is>
          <t>Santo Niño</t>
        </is>
      </c>
    </row>
    <row r="39240" spans="1:1">
      <c r="A39240" t="inlineStr">
        <is>
          <t>Bagyang</t>
        </is>
      </c>
    </row>
    <row r="39241" spans="1:1">
      <c r="A39241" t="inlineStr">
        <is>
          <t>Baras</t>
        </is>
      </c>
    </row>
    <row r="39242" spans="1:1">
      <c r="A39242" t="inlineStr">
        <is>
          <t>Bitaugan</t>
        </is>
      </c>
    </row>
    <row r="39243" spans="1:1">
      <c r="A39243" t="inlineStr">
        <is>
          <t>Bolhoon</t>
        </is>
      </c>
    </row>
    <row r="39244" spans="1:1">
      <c r="A39244" t="inlineStr">
        <is>
          <t>Calatngan</t>
        </is>
      </c>
    </row>
    <row r="39245" spans="1:1">
      <c r="A39245" t="inlineStr">
        <is>
          <t>Carromata</t>
        </is>
      </c>
    </row>
    <row r="39246" spans="1:1">
      <c r="A39246" t="inlineStr">
        <is>
          <t>Castillo</t>
        </is>
      </c>
    </row>
    <row r="39247" spans="1:1">
      <c r="A39247" t="inlineStr">
        <is>
          <t>Libas Gua</t>
        </is>
      </c>
    </row>
    <row r="39248" spans="1:1">
      <c r="A39248" t="inlineStr">
        <is>
          <t>Libas Sud</t>
        </is>
      </c>
    </row>
    <row r="39249" spans="1:1">
      <c r="A39249" t="inlineStr">
        <is>
          <t>Magroyong</t>
        </is>
      </c>
    </row>
    <row r="39250" spans="1:1">
      <c r="A39250" t="inlineStr">
        <is>
          <t>Mahayag</t>
        </is>
      </c>
    </row>
    <row r="39251" spans="1:1">
      <c r="A39251" t="inlineStr">
        <is>
          <t>Patong</t>
        </is>
      </c>
    </row>
    <row r="39252" spans="1:1">
      <c r="A39252" t="inlineStr">
        <is>
          <t>Poblacion</t>
        </is>
      </c>
    </row>
    <row r="39253" spans="1:1">
      <c r="A39253" t="inlineStr">
        <is>
          <t>Sagbayan</t>
        </is>
      </c>
    </row>
    <row r="39254" spans="1:1">
      <c r="A39254" t="inlineStr">
        <is>
          <t>San Roque</t>
        </is>
      </c>
    </row>
    <row r="39255" spans="1:1">
      <c r="A39255" t="inlineStr">
        <is>
          <t>Siagao</t>
        </is>
      </c>
    </row>
    <row r="39256" spans="1:1">
      <c r="A39256" t="inlineStr">
        <is>
          <t>Tina</t>
        </is>
      </c>
    </row>
    <row r="39257" spans="1:1">
      <c r="A39257" t="inlineStr">
        <is>
          <t>Umalag</t>
        </is>
      </c>
    </row>
    <row r="39258" spans="1:1">
      <c r="A39258" t="inlineStr">
        <is>
          <t>Batunan</t>
        </is>
      </c>
    </row>
    <row r="39259" spans="1:1">
      <c r="A39259" t="inlineStr">
        <is>
          <t>Carpenito</t>
        </is>
      </c>
    </row>
    <row r="39260" spans="1:1">
      <c r="A39260" t="inlineStr">
        <is>
          <t>Doña Carmen</t>
        </is>
      </c>
    </row>
    <row r="39261" spans="1:1">
      <c r="A39261" t="inlineStr">
        <is>
          <t>Hinagdanan</t>
        </is>
      </c>
    </row>
    <row r="39262" spans="1:1">
      <c r="A39262" t="inlineStr">
        <is>
          <t>Kahayagan</t>
        </is>
      </c>
    </row>
    <row r="39263" spans="1:1">
      <c r="A39263" t="inlineStr">
        <is>
          <t>Lago</t>
        </is>
      </c>
    </row>
    <row r="39264" spans="1:1">
      <c r="A39264" t="inlineStr">
        <is>
          <t>Maglambing</t>
        </is>
      </c>
    </row>
    <row r="39265" spans="1:1">
      <c r="A39265" t="inlineStr">
        <is>
          <t>Maglatab</t>
        </is>
      </c>
    </row>
    <row r="39266" spans="1:1">
      <c r="A39266" t="inlineStr">
        <is>
          <t>Magsaysay</t>
        </is>
      </c>
    </row>
    <row r="39267" spans="1:1">
      <c r="A39267" t="inlineStr">
        <is>
          <t>Malixi</t>
        </is>
      </c>
    </row>
    <row r="39268" spans="1:1">
      <c r="A39268" t="inlineStr">
        <is>
          <t>Manambia</t>
        </is>
      </c>
    </row>
    <row r="39269" spans="1:1">
      <c r="A39269" t="inlineStr">
        <is>
          <t>Osmeña</t>
        </is>
      </c>
    </row>
    <row r="39270" spans="1:1">
      <c r="A39270" t="inlineStr">
        <is>
          <t>Poblacion</t>
        </is>
      </c>
    </row>
    <row r="39271" spans="1:1">
      <c r="A39271" t="inlineStr">
        <is>
          <t>Quezon</t>
        </is>
      </c>
    </row>
    <row r="39272" spans="1:1">
      <c r="A39272" t="inlineStr">
        <is>
          <t>San Vicente</t>
        </is>
      </c>
    </row>
    <row r="39273" spans="1:1">
      <c r="A39273" t="inlineStr">
        <is>
          <t>Santa Cruz</t>
        </is>
      </c>
    </row>
    <row r="39274" spans="1:1">
      <c r="A39274" t="inlineStr">
        <is>
          <t>Santa Fe</t>
        </is>
      </c>
    </row>
    <row r="39275" spans="1:1">
      <c r="A39275" t="inlineStr">
        <is>
          <t>Santa Juana</t>
        </is>
      </c>
    </row>
    <row r="39276" spans="1:1">
      <c r="A39276" t="inlineStr">
        <is>
          <t>Santa Maria</t>
        </is>
      </c>
    </row>
    <row r="39277" spans="1:1">
      <c r="A39277" t="inlineStr">
        <is>
          <t>Sayon</t>
        </is>
      </c>
    </row>
    <row r="39278" spans="1:1">
      <c r="A39278" t="inlineStr">
        <is>
          <t>Soriano</t>
        </is>
      </c>
    </row>
    <row r="39279" spans="1:1">
      <c r="A39279" t="inlineStr">
        <is>
          <t>Tagongon</t>
        </is>
      </c>
    </row>
    <row r="39280" spans="1:1">
      <c r="A39280" t="inlineStr">
        <is>
          <t>Trinidad</t>
        </is>
      </c>
    </row>
    <row r="39281" spans="1:1">
      <c r="A39281" t="inlineStr">
        <is>
          <t>Ugoban</t>
        </is>
      </c>
    </row>
    <row r="39282" spans="1:1">
      <c r="A39282" t="inlineStr">
        <is>
          <t>Villaverde</t>
        </is>
      </c>
    </row>
    <row r="39283" spans="1:1">
      <c r="A39283" t="inlineStr">
        <is>
          <t>Alba</t>
        </is>
      </c>
    </row>
    <row r="39284" spans="1:1">
      <c r="A39284" t="inlineStr">
        <is>
          <t>Anahao Bag-o</t>
        </is>
      </c>
    </row>
    <row r="39285" spans="1:1">
      <c r="A39285" t="inlineStr">
        <is>
          <t>Anahao Daan</t>
        </is>
      </c>
    </row>
    <row r="39286" spans="1:1">
      <c r="A39286" t="inlineStr">
        <is>
          <t>Badong</t>
        </is>
      </c>
    </row>
    <row r="39287" spans="1:1">
      <c r="A39287" t="inlineStr">
        <is>
          <t>Bajao</t>
        </is>
      </c>
    </row>
    <row r="39288" spans="1:1">
      <c r="A39288" t="inlineStr">
        <is>
          <t>Bangsud</t>
        </is>
      </c>
    </row>
    <row r="39289" spans="1:1">
      <c r="A39289" t="inlineStr">
        <is>
          <t>Cabangahan</t>
        </is>
      </c>
    </row>
    <row r="39290" spans="1:1">
      <c r="A39290" t="inlineStr">
        <is>
          <t>Cagdapao</t>
        </is>
      </c>
    </row>
    <row r="39291" spans="1:1">
      <c r="A39291" t="inlineStr">
        <is>
          <t>Camagong</t>
        </is>
      </c>
    </row>
    <row r="39292" spans="1:1">
      <c r="A39292" t="inlineStr">
        <is>
          <t>Caras-an</t>
        </is>
      </c>
    </row>
    <row r="39293" spans="1:1">
      <c r="A39293" t="inlineStr">
        <is>
          <t>Cayale</t>
        </is>
      </c>
    </row>
    <row r="39294" spans="1:1">
      <c r="A39294" t="inlineStr">
        <is>
          <t>Dayo-an</t>
        </is>
      </c>
    </row>
    <row r="39295" spans="1:1">
      <c r="A39295" t="inlineStr">
        <is>
          <t>Gamut</t>
        </is>
      </c>
    </row>
    <row r="39296" spans="1:1">
      <c r="A39296" t="inlineStr">
        <is>
          <t>Jubang</t>
        </is>
      </c>
    </row>
    <row r="39297" spans="1:1">
      <c r="A39297" t="inlineStr">
        <is>
          <t>Kinabigtasan</t>
        </is>
      </c>
    </row>
    <row r="39298" spans="1:1">
      <c r="A39298" t="inlineStr">
        <is>
          <t>Layog</t>
        </is>
      </c>
    </row>
    <row r="39299" spans="1:1">
      <c r="A39299" t="inlineStr">
        <is>
          <t>Lindoy</t>
        </is>
      </c>
    </row>
    <row r="39300" spans="1:1">
      <c r="A39300" t="inlineStr">
        <is>
          <t>Mercedes</t>
        </is>
      </c>
    </row>
    <row r="39301" spans="1:1">
      <c r="A39301" t="inlineStr">
        <is>
          <t>Purisima</t>
        </is>
      </c>
    </row>
    <row r="39302" spans="1:1">
      <c r="A39302" t="inlineStr">
        <is>
          <t>Sumo-sumo</t>
        </is>
      </c>
    </row>
    <row r="39303" spans="1:1">
      <c r="A39303" t="inlineStr">
        <is>
          <t>Umbay</t>
        </is>
      </c>
    </row>
    <row r="39304" spans="1:1">
      <c r="A39304" t="inlineStr">
        <is>
          <t>Unaban</t>
        </is>
      </c>
    </row>
    <row r="39305" spans="1:1">
      <c r="A39305" t="inlineStr">
        <is>
          <t>Unidos</t>
        </is>
      </c>
    </row>
    <row r="39306" spans="1:1">
      <c r="A39306" t="inlineStr">
        <is>
          <t>Victoria</t>
        </is>
      </c>
    </row>
    <row r="39307" spans="1:1">
      <c r="A39307" t="inlineStr">
        <is>
          <t>Baguindoc</t>
        </is>
      </c>
    </row>
    <row r="39308" spans="1:1">
      <c r="A39308" t="inlineStr">
        <is>
          <t>Bantog</t>
        </is>
      </c>
    </row>
    <row r="39309" spans="1:1">
      <c r="A39309" t="inlineStr">
        <is>
          <t>Campos</t>
        </is>
      </c>
    </row>
    <row r="39310" spans="1:1">
      <c r="A39310" t="inlineStr">
        <is>
          <t>Carmen</t>
        </is>
      </c>
    </row>
    <row r="39311" spans="1:1">
      <c r="A39311" t="inlineStr">
        <is>
          <t>Casili</t>
        </is>
      </c>
    </row>
    <row r="39312" spans="1:1">
      <c r="A39312" t="inlineStr">
        <is>
          <t>Don Ramon</t>
        </is>
      </c>
    </row>
    <row r="39313" spans="1:1">
      <c r="A39313" t="inlineStr">
        <is>
          <t>Hernando</t>
        </is>
      </c>
    </row>
    <row r="39314" spans="1:1">
      <c r="A39314" t="inlineStr">
        <is>
          <t>Poblacion</t>
        </is>
      </c>
    </row>
    <row r="39315" spans="1:1">
      <c r="A39315" t="inlineStr">
        <is>
          <t>Rizal</t>
        </is>
      </c>
    </row>
    <row r="39316" spans="1:1">
      <c r="A39316" t="inlineStr">
        <is>
          <t>San Francisco East</t>
        </is>
      </c>
    </row>
    <row r="39317" spans="1:1">
      <c r="A39317" t="inlineStr">
        <is>
          <t>San Francisco West</t>
        </is>
      </c>
    </row>
    <row r="39318" spans="1:1">
      <c r="A39318" t="inlineStr">
        <is>
          <t>San Jose North</t>
        </is>
      </c>
    </row>
    <row r="39319" spans="1:1">
      <c r="A39319" t="inlineStr">
        <is>
          <t>San Jose South</t>
        </is>
      </c>
    </row>
    <row r="39320" spans="1:1">
      <c r="A39320" t="inlineStr">
        <is>
          <t>San Juan</t>
        </is>
      </c>
    </row>
    <row r="39321" spans="1:1">
      <c r="A39321" t="inlineStr">
        <is>
          <t>San Roque</t>
        </is>
      </c>
    </row>
    <row r="39322" spans="1:1">
      <c r="A39322" t="inlineStr">
        <is>
          <t>Santo Domingo</t>
        </is>
      </c>
    </row>
    <row r="39323" spans="1:1">
      <c r="A39323" t="inlineStr">
        <is>
          <t>Sinense</t>
        </is>
      </c>
    </row>
    <row r="39324" spans="1:1">
      <c r="A39324" t="inlineStr">
        <is>
          <t>Suaverdez</t>
        </is>
      </c>
    </row>
    <row r="39325" spans="1:1">
      <c r="A39325" t="inlineStr">
        <is>
          <t>Anupul</t>
        </is>
      </c>
    </row>
    <row r="39326" spans="1:1">
      <c r="A39326" t="inlineStr">
        <is>
          <t>Banaba</t>
        </is>
      </c>
    </row>
    <row r="39327" spans="1:1">
      <c r="A39327" t="inlineStr">
        <is>
          <t>Bangcu</t>
        </is>
      </c>
    </row>
    <row r="39328" spans="1:1">
      <c r="A39328" t="inlineStr">
        <is>
          <t>Culubasa</t>
        </is>
      </c>
    </row>
    <row r="39329" spans="1:1">
      <c r="A39329" t="inlineStr">
        <is>
          <t>Dela Cruz</t>
        </is>
      </c>
    </row>
    <row r="39330" spans="1:1">
      <c r="A39330" t="inlineStr">
        <is>
          <t>La Paz</t>
        </is>
      </c>
    </row>
    <row r="39331" spans="1:1">
      <c r="A39331" t="inlineStr">
        <is>
          <t>Lourdes</t>
        </is>
      </c>
    </row>
    <row r="39332" spans="1:1">
      <c r="A39332" t="inlineStr">
        <is>
          <t>Malonzo</t>
        </is>
      </c>
    </row>
    <row r="39333" spans="1:1">
      <c r="A39333" t="inlineStr">
        <is>
          <t>San Nicolas</t>
        </is>
      </c>
    </row>
    <row r="39334" spans="1:1">
      <c r="A39334" t="inlineStr">
        <is>
          <t>San Pedro</t>
        </is>
      </c>
    </row>
    <row r="39335" spans="1:1">
      <c r="A39335" t="inlineStr">
        <is>
          <t>San Rafael</t>
        </is>
      </c>
    </row>
    <row r="39336" spans="1:1">
      <c r="A39336" t="inlineStr">
        <is>
          <t>San Roque</t>
        </is>
      </c>
    </row>
    <row r="39337" spans="1:1">
      <c r="A39337" t="inlineStr">
        <is>
          <t>San Vicente</t>
        </is>
      </c>
    </row>
    <row r="39338" spans="1:1">
      <c r="A39338" t="inlineStr">
        <is>
          <t>Santo Niño</t>
        </is>
      </c>
    </row>
    <row r="39339" spans="1:1">
      <c r="A39339" t="inlineStr">
        <is>
          <t>Virgen de los Remedios</t>
        </is>
      </c>
    </row>
    <row r="39340" spans="1:1">
      <c r="A39340" t="inlineStr">
        <is>
          <t>Anoling 1st</t>
        </is>
      </c>
    </row>
    <row r="39341" spans="1:1">
      <c r="A39341" t="inlineStr">
        <is>
          <t>Anoling 2nd</t>
        </is>
      </c>
    </row>
    <row r="39342" spans="1:1">
      <c r="A39342" t="inlineStr">
        <is>
          <t>Anoling 3rd</t>
        </is>
      </c>
    </row>
    <row r="39343" spans="1:1">
      <c r="A39343" t="inlineStr">
        <is>
          <t>Bacabac</t>
        </is>
      </c>
    </row>
    <row r="39344" spans="1:1">
      <c r="A39344" t="inlineStr">
        <is>
          <t>Bacsay</t>
        </is>
      </c>
    </row>
    <row r="39345" spans="1:1">
      <c r="A39345" t="inlineStr">
        <is>
          <t>Bancay 1st</t>
        </is>
      </c>
    </row>
    <row r="39346" spans="1:1">
      <c r="A39346" t="inlineStr">
        <is>
          <t>Bilad</t>
        </is>
      </c>
    </row>
    <row r="39347" spans="1:1">
      <c r="A39347" t="inlineStr">
        <is>
          <t>Birbira</t>
        </is>
      </c>
    </row>
    <row r="39348" spans="1:1">
      <c r="A39348" t="inlineStr">
        <is>
          <t>Bobon 1st</t>
        </is>
      </c>
    </row>
    <row r="39349" spans="1:1">
      <c r="A39349" t="inlineStr">
        <is>
          <t>Bobon 2nd</t>
        </is>
      </c>
    </row>
    <row r="39350" spans="1:1">
      <c r="A39350" t="inlineStr">
        <is>
          <t>Bobon Caarosipan</t>
        </is>
      </c>
    </row>
    <row r="39351" spans="1:1">
      <c r="A39351" t="inlineStr">
        <is>
          <t>Cabanabaan</t>
        </is>
      </c>
    </row>
    <row r="39352" spans="1:1">
      <c r="A39352" t="inlineStr">
        <is>
          <t>Cacamilingan Norte</t>
        </is>
      </c>
    </row>
    <row r="39353" spans="1:1">
      <c r="A39353" t="inlineStr">
        <is>
          <t>Cacamilingan Sur</t>
        </is>
      </c>
    </row>
    <row r="39354" spans="1:1">
      <c r="A39354" t="inlineStr">
        <is>
          <t>Caniag</t>
        </is>
      </c>
    </row>
    <row r="39355" spans="1:1">
      <c r="A39355" t="inlineStr">
        <is>
          <t>Carael</t>
        </is>
      </c>
    </row>
    <row r="39356" spans="1:1">
      <c r="A39356" t="inlineStr">
        <is>
          <t>Cayaoan</t>
        </is>
      </c>
    </row>
    <row r="39357" spans="1:1">
      <c r="A39357" t="inlineStr">
        <is>
          <t>Cayasan</t>
        </is>
      </c>
    </row>
    <row r="39358" spans="1:1">
      <c r="A39358" t="inlineStr">
        <is>
          <t>Florida</t>
        </is>
      </c>
    </row>
    <row r="39359" spans="1:1">
      <c r="A39359" t="inlineStr">
        <is>
          <t>Lasong</t>
        </is>
      </c>
    </row>
    <row r="39360" spans="1:1">
      <c r="A39360" t="inlineStr">
        <is>
          <t>Libueg</t>
        </is>
      </c>
    </row>
    <row r="39361" spans="1:1">
      <c r="A39361" t="inlineStr">
        <is>
          <t>Malacampa</t>
        </is>
      </c>
    </row>
    <row r="39362" spans="1:1">
      <c r="A39362" t="inlineStr">
        <is>
          <t>Manaquem</t>
        </is>
      </c>
    </row>
    <row r="39363" spans="1:1">
      <c r="A39363" t="inlineStr">
        <is>
          <t>Manupeg</t>
        </is>
      </c>
    </row>
    <row r="39364" spans="1:1">
      <c r="A39364" t="inlineStr">
        <is>
          <t>Marawi</t>
        </is>
      </c>
    </row>
    <row r="39365" spans="1:1">
      <c r="A39365" t="inlineStr">
        <is>
          <t>Matubog</t>
        </is>
      </c>
    </row>
    <row r="39366" spans="1:1">
      <c r="A39366" t="inlineStr">
        <is>
          <t>Nagrambacan</t>
        </is>
      </c>
    </row>
    <row r="39367" spans="1:1">
      <c r="A39367" t="inlineStr">
        <is>
          <t>Nagserialan</t>
        </is>
      </c>
    </row>
    <row r="39368" spans="1:1">
      <c r="A39368" t="inlineStr">
        <is>
          <t>Palimbo Caarosipan</t>
        </is>
      </c>
    </row>
    <row r="39369" spans="1:1">
      <c r="A39369" t="inlineStr">
        <is>
          <t>Palimbo Proper</t>
        </is>
      </c>
    </row>
    <row r="39370" spans="1:1">
      <c r="A39370" t="inlineStr">
        <is>
          <t>Pao 1st</t>
        </is>
      </c>
    </row>
    <row r="39371" spans="1:1">
      <c r="A39371" t="inlineStr">
        <is>
          <t>Pao 2nd</t>
        </is>
      </c>
    </row>
    <row r="39372" spans="1:1">
      <c r="A39372" t="inlineStr">
        <is>
          <t>Pao 3rd</t>
        </is>
      </c>
    </row>
    <row r="39373" spans="1:1">
      <c r="A39373" t="inlineStr">
        <is>
          <t>Papaac</t>
        </is>
      </c>
    </row>
    <row r="39374" spans="1:1">
      <c r="A39374" t="inlineStr">
        <is>
          <t>Pindangan 1st</t>
        </is>
      </c>
    </row>
    <row r="39375" spans="1:1">
      <c r="A39375" t="inlineStr">
        <is>
          <t>Pindangan 2nd</t>
        </is>
      </c>
    </row>
    <row r="39376" spans="1:1">
      <c r="A39376" t="inlineStr">
        <is>
          <t>Poblacion A</t>
        </is>
      </c>
    </row>
    <row r="39377" spans="1:1">
      <c r="A39377" t="inlineStr">
        <is>
          <t>Poblacion B</t>
        </is>
      </c>
    </row>
    <row r="39378" spans="1:1">
      <c r="A39378" t="inlineStr">
        <is>
          <t>Poblacion C</t>
        </is>
      </c>
    </row>
    <row r="39379" spans="1:1">
      <c r="A39379" t="inlineStr">
        <is>
          <t>Poblacion D</t>
        </is>
      </c>
    </row>
    <row r="39380" spans="1:1">
      <c r="A39380" t="inlineStr">
        <is>
          <t>Poblacion E</t>
        </is>
      </c>
    </row>
    <row r="39381" spans="1:1">
      <c r="A39381" t="inlineStr">
        <is>
          <t>Poblacion F</t>
        </is>
      </c>
    </row>
    <row r="39382" spans="1:1">
      <c r="A39382" t="inlineStr">
        <is>
          <t>Poblacion G</t>
        </is>
      </c>
    </row>
    <row r="39383" spans="1:1">
      <c r="A39383" t="inlineStr">
        <is>
          <t>Poblacion H</t>
        </is>
      </c>
    </row>
    <row r="39384" spans="1:1">
      <c r="A39384" t="inlineStr">
        <is>
          <t>Poblacion I</t>
        </is>
      </c>
    </row>
    <row r="39385" spans="1:1">
      <c r="A39385" t="inlineStr">
        <is>
          <t>Poblacion J</t>
        </is>
      </c>
    </row>
    <row r="39386" spans="1:1">
      <c r="A39386" t="inlineStr">
        <is>
          <t>San Isidro</t>
        </is>
      </c>
    </row>
    <row r="39387" spans="1:1">
      <c r="A39387" t="inlineStr">
        <is>
          <t>Sawat</t>
        </is>
      </c>
    </row>
    <row r="39388" spans="1:1">
      <c r="A39388" t="inlineStr">
        <is>
          <t>Sinilian 1st</t>
        </is>
      </c>
    </row>
    <row r="39389" spans="1:1">
      <c r="A39389" t="inlineStr">
        <is>
          <t>Sinilian 2nd</t>
        </is>
      </c>
    </row>
    <row r="39390" spans="1:1">
      <c r="A39390" t="inlineStr">
        <is>
          <t>Sinilian 3rd</t>
        </is>
      </c>
    </row>
    <row r="39391" spans="1:1">
      <c r="A39391" t="inlineStr">
        <is>
          <t>Sinilian Cacalibosoan</t>
        </is>
      </c>
    </row>
    <row r="39392" spans="1:1">
      <c r="A39392" t="inlineStr">
        <is>
          <t>Sinulatan 1st</t>
        </is>
      </c>
    </row>
    <row r="39393" spans="1:1">
      <c r="A39393" t="inlineStr">
        <is>
          <t>Sinulatan 2nd</t>
        </is>
      </c>
    </row>
    <row r="39394" spans="1:1">
      <c r="A39394" t="inlineStr">
        <is>
          <t>Sta. Maria</t>
        </is>
      </c>
    </row>
    <row r="39395" spans="1:1">
      <c r="A39395" t="inlineStr">
        <is>
          <t>Surgui 1st</t>
        </is>
      </c>
    </row>
    <row r="39396" spans="1:1">
      <c r="A39396" t="inlineStr">
        <is>
          <t>Surgui 2nd</t>
        </is>
      </c>
    </row>
    <row r="39397" spans="1:1">
      <c r="A39397" t="inlineStr">
        <is>
          <t>Surgui 3rd</t>
        </is>
      </c>
    </row>
    <row r="39398" spans="1:1">
      <c r="A39398" t="inlineStr">
        <is>
          <t>Tambugan</t>
        </is>
      </c>
    </row>
    <row r="39399" spans="1:1">
      <c r="A39399" t="inlineStr">
        <is>
          <t>Telbang</t>
        </is>
      </c>
    </row>
    <row r="39400" spans="1:1">
      <c r="A39400" t="inlineStr">
        <is>
          <t>Tuec</t>
        </is>
      </c>
    </row>
    <row r="39401" spans="1:1">
      <c r="A39401" t="inlineStr">
        <is>
          <t>Aranguren</t>
        </is>
      </c>
    </row>
    <row r="39402" spans="1:1">
      <c r="A39402" t="inlineStr">
        <is>
          <t>Bueno</t>
        </is>
      </c>
    </row>
    <row r="39403" spans="1:1">
      <c r="A39403" t="inlineStr">
        <is>
          <t>Cristo Rey</t>
        </is>
      </c>
    </row>
    <row r="39404" spans="1:1">
      <c r="A39404" t="inlineStr">
        <is>
          <t>Cubcub</t>
        </is>
      </c>
    </row>
    <row r="39405" spans="1:1">
      <c r="A39405" t="inlineStr">
        <is>
          <t>Cutcut 1st</t>
        </is>
      </c>
    </row>
    <row r="39406" spans="1:1">
      <c r="A39406" t="inlineStr">
        <is>
          <t>Cutcut 2nd</t>
        </is>
      </c>
    </row>
    <row r="39407" spans="1:1">
      <c r="A39407" t="inlineStr">
        <is>
          <t>Dolores</t>
        </is>
      </c>
    </row>
    <row r="39408" spans="1:1">
      <c r="A39408" t="inlineStr">
        <is>
          <t>Estrada</t>
        </is>
      </c>
    </row>
    <row r="39409" spans="1:1">
      <c r="A39409" t="inlineStr">
        <is>
          <t>Lawy</t>
        </is>
      </c>
    </row>
    <row r="39410" spans="1:1">
      <c r="A39410" t="inlineStr">
        <is>
          <t>Manga</t>
        </is>
      </c>
    </row>
    <row r="39411" spans="1:1">
      <c r="A39411" t="inlineStr">
        <is>
          <t>Manlapig</t>
        </is>
      </c>
    </row>
    <row r="39412" spans="1:1">
      <c r="A39412" t="inlineStr">
        <is>
          <t>Maruglu</t>
        </is>
      </c>
    </row>
    <row r="39413" spans="1:1">
      <c r="A39413" t="inlineStr">
        <is>
          <t>O'Donnell</t>
        </is>
      </c>
    </row>
    <row r="39414" spans="1:1">
      <c r="A39414" t="inlineStr">
        <is>
          <t>Santa Juliana</t>
        </is>
      </c>
    </row>
    <row r="39415" spans="1:1">
      <c r="A39415" t="inlineStr">
        <is>
          <t>Santa Lucia</t>
        </is>
      </c>
    </row>
    <row r="39416" spans="1:1">
      <c r="A39416" t="inlineStr">
        <is>
          <t>Santa Rita</t>
        </is>
      </c>
    </row>
    <row r="39417" spans="1:1">
      <c r="A39417" t="inlineStr">
        <is>
          <t>Santo Domingo 1st</t>
        </is>
      </c>
    </row>
    <row r="39418" spans="1:1">
      <c r="A39418" t="inlineStr">
        <is>
          <t>Santo Domingo 2nd</t>
        </is>
      </c>
    </row>
    <row r="39419" spans="1:1">
      <c r="A39419" t="inlineStr">
        <is>
          <t>Santo Rosario</t>
        </is>
      </c>
    </row>
    <row r="39420" spans="1:1">
      <c r="A39420" t="inlineStr">
        <is>
          <t>Talaga</t>
        </is>
      </c>
    </row>
    <row r="39421" spans="1:1">
      <c r="A39421" t="inlineStr">
        <is>
          <t>Aguso</t>
        </is>
      </c>
    </row>
    <row r="39422" spans="1:1">
      <c r="A39422" t="inlineStr">
        <is>
          <t>Alvindia Segundo</t>
        </is>
      </c>
    </row>
    <row r="39423" spans="1:1">
      <c r="A39423" t="inlineStr">
        <is>
          <t>Amucao</t>
        </is>
      </c>
    </row>
    <row r="39424" spans="1:1">
      <c r="A39424" t="inlineStr">
        <is>
          <t>Armenia</t>
        </is>
      </c>
    </row>
    <row r="39425" spans="1:1">
      <c r="A39425" t="inlineStr">
        <is>
          <t>Asturias</t>
        </is>
      </c>
    </row>
    <row r="39426" spans="1:1">
      <c r="A39426" t="inlineStr">
        <is>
          <t>Atioc</t>
        </is>
      </c>
    </row>
    <row r="39427" spans="1:1">
      <c r="A39427" t="inlineStr">
        <is>
          <t>Balanti</t>
        </is>
      </c>
    </row>
    <row r="39428" spans="1:1">
      <c r="A39428" t="inlineStr">
        <is>
          <t>Balete</t>
        </is>
      </c>
    </row>
    <row r="39429" spans="1:1">
      <c r="A39429" t="inlineStr">
        <is>
          <t>Balibago I</t>
        </is>
      </c>
    </row>
    <row r="39430" spans="1:1">
      <c r="A39430" t="inlineStr">
        <is>
          <t>Balibago II</t>
        </is>
      </c>
    </row>
    <row r="39431" spans="1:1">
      <c r="A39431" t="inlineStr">
        <is>
          <t>Balingcanaway</t>
        </is>
      </c>
    </row>
    <row r="39432" spans="1:1">
      <c r="A39432" t="inlineStr">
        <is>
          <t>Banaba</t>
        </is>
      </c>
    </row>
    <row r="39433" spans="1:1">
      <c r="A39433" t="inlineStr">
        <is>
          <t>Bantog</t>
        </is>
      </c>
    </row>
    <row r="39434" spans="1:1">
      <c r="A39434" t="inlineStr">
        <is>
          <t>Baras-baras</t>
        </is>
      </c>
    </row>
    <row r="39435" spans="1:1">
      <c r="A39435" t="inlineStr">
        <is>
          <t>Batang-batang</t>
        </is>
      </c>
    </row>
    <row r="39436" spans="1:1">
      <c r="A39436" t="inlineStr">
        <is>
          <t>Binauganan</t>
        </is>
      </c>
    </row>
    <row r="39437" spans="1:1">
      <c r="A39437" t="inlineStr">
        <is>
          <t>Bora</t>
        </is>
      </c>
    </row>
    <row r="39438" spans="1:1">
      <c r="A39438" t="inlineStr">
        <is>
          <t>Buenavista</t>
        </is>
      </c>
    </row>
    <row r="39439" spans="1:1">
      <c r="A39439" t="inlineStr">
        <is>
          <t>Buhilit</t>
        </is>
      </c>
    </row>
    <row r="39440" spans="1:1">
      <c r="A39440" t="inlineStr">
        <is>
          <t>Burot</t>
        </is>
      </c>
    </row>
    <row r="39441" spans="1:1">
      <c r="A39441" t="inlineStr">
        <is>
          <t>Calingcuan</t>
        </is>
      </c>
    </row>
    <row r="39442" spans="1:1">
      <c r="A39442" t="inlineStr">
        <is>
          <t>Capehan</t>
        </is>
      </c>
    </row>
    <row r="39443" spans="1:1">
      <c r="A39443" t="inlineStr">
        <is>
          <t>Carangian</t>
        </is>
      </c>
    </row>
    <row r="39444" spans="1:1">
      <c r="A39444" t="inlineStr">
        <is>
          <t>Care</t>
        </is>
      </c>
    </row>
    <row r="39445" spans="1:1">
      <c r="A39445" t="inlineStr">
        <is>
          <t>Central</t>
        </is>
      </c>
    </row>
    <row r="39446" spans="1:1">
      <c r="A39446" t="inlineStr">
        <is>
          <t>Culipat</t>
        </is>
      </c>
    </row>
    <row r="39447" spans="1:1">
      <c r="A39447" t="inlineStr">
        <is>
          <t>Cut-cut I</t>
        </is>
      </c>
    </row>
    <row r="39448" spans="1:1">
      <c r="A39448" t="inlineStr">
        <is>
          <t>Cut-cut II</t>
        </is>
      </c>
    </row>
    <row r="39449" spans="1:1">
      <c r="A39449" t="inlineStr">
        <is>
          <t>Dalayap</t>
        </is>
      </c>
    </row>
    <row r="39450" spans="1:1">
      <c r="A39450" t="inlineStr">
        <is>
          <t>Dela Paz</t>
        </is>
      </c>
    </row>
    <row r="39451" spans="1:1">
      <c r="A39451" t="inlineStr">
        <is>
          <t>Dolores</t>
        </is>
      </c>
    </row>
    <row r="39452" spans="1:1">
      <c r="A39452" t="inlineStr">
        <is>
          <t>Laoang</t>
        </is>
      </c>
    </row>
    <row r="39453" spans="1:1">
      <c r="A39453" t="inlineStr">
        <is>
          <t>Ligtasan</t>
        </is>
      </c>
    </row>
    <row r="39454" spans="1:1">
      <c r="A39454" t="inlineStr">
        <is>
          <t>Lourdes</t>
        </is>
      </c>
    </row>
    <row r="39455" spans="1:1">
      <c r="A39455" t="inlineStr">
        <is>
          <t>Mabini</t>
        </is>
      </c>
    </row>
    <row r="39456" spans="1:1">
      <c r="A39456" t="inlineStr">
        <is>
          <t>Maligaya</t>
        </is>
      </c>
    </row>
    <row r="39457" spans="1:1">
      <c r="A39457" t="inlineStr">
        <is>
          <t>Maliwalo</t>
        </is>
      </c>
    </row>
    <row r="39458" spans="1:1">
      <c r="A39458" t="inlineStr">
        <is>
          <t>Mapalacsiao</t>
        </is>
      </c>
    </row>
    <row r="39459" spans="1:1">
      <c r="A39459" t="inlineStr">
        <is>
          <t>Mapalad</t>
        </is>
      </c>
    </row>
    <row r="39460" spans="1:1">
      <c r="A39460" t="inlineStr">
        <is>
          <t>Matadero</t>
        </is>
      </c>
    </row>
    <row r="39461" spans="1:1">
      <c r="A39461" t="inlineStr">
        <is>
          <t>Matatalaib</t>
        </is>
      </c>
    </row>
    <row r="39462" spans="1:1">
      <c r="A39462" t="inlineStr">
        <is>
          <t>Paraiso</t>
        </is>
      </c>
    </row>
    <row r="39463" spans="1:1">
      <c r="A39463" t="inlineStr">
        <is>
          <t>Poblacion</t>
        </is>
      </c>
    </row>
    <row r="39464" spans="1:1">
      <c r="A39464" t="inlineStr">
        <is>
          <t>Salapungan</t>
        </is>
      </c>
    </row>
    <row r="39465" spans="1:1">
      <c r="A39465" t="inlineStr">
        <is>
          <t>San Carlos</t>
        </is>
      </c>
    </row>
    <row r="39466" spans="1:1">
      <c r="A39466" t="inlineStr">
        <is>
          <t>San Francisco</t>
        </is>
      </c>
    </row>
    <row r="39467" spans="1:1">
      <c r="A39467" t="inlineStr">
        <is>
          <t>San Isidro</t>
        </is>
      </c>
    </row>
    <row r="39468" spans="1:1">
      <c r="A39468" t="inlineStr">
        <is>
          <t>San Jose</t>
        </is>
      </c>
    </row>
    <row r="39469" spans="1:1">
      <c r="A39469" t="inlineStr">
        <is>
          <t>San Jose de Urquico</t>
        </is>
      </c>
    </row>
    <row r="39470" spans="1:1">
      <c r="A39470" t="inlineStr">
        <is>
          <t>San Juan de Mata</t>
        </is>
      </c>
    </row>
    <row r="39471" spans="1:1">
      <c r="A39471" t="inlineStr">
        <is>
          <t>San Luis</t>
        </is>
      </c>
    </row>
    <row r="39472" spans="1:1">
      <c r="A39472" t="inlineStr">
        <is>
          <t>San Manuel</t>
        </is>
      </c>
    </row>
    <row r="39473" spans="1:1">
      <c r="A39473" t="inlineStr">
        <is>
          <t>San Miguel</t>
        </is>
      </c>
    </row>
    <row r="39474" spans="1:1">
      <c r="A39474" t="inlineStr">
        <is>
          <t>San Nicolas</t>
        </is>
      </c>
    </row>
    <row r="39475" spans="1:1">
      <c r="A39475" t="inlineStr">
        <is>
          <t>San Pablo</t>
        </is>
      </c>
    </row>
    <row r="39476" spans="1:1">
      <c r="A39476" t="inlineStr">
        <is>
          <t>San Pascual</t>
        </is>
      </c>
    </row>
    <row r="39477" spans="1:1">
      <c r="A39477" t="inlineStr">
        <is>
          <t>San Rafael</t>
        </is>
      </c>
    </row>
    <row r="39478" spans="1:1">
      <c r="A39478" t="inlineStr">
        <is>
          <t>San Roque</t>
        </is>
      </c>
    </row>
    <row r="39479" spans="1:1">
      <c r="A39479" t="inlineStr">
        <is>
          <t>San Sebastian</t>
        </is>
      </c>
    </row>
    <row r="39480" spans="1:1">
      <c r="A39480" t="inlineStr">
        <is>
          <t>San Vicente</t>
        </is>
      </c>
    </row>
    <row r="39481" spans="1:1">
      <c r="A39481" t="inlineStr">
        <is>
          <t>Santa Cruz</t>
        </is>
      </c>
    </row>
    <row r="39482" spans="1:1">
      <c r="A39482" t="inlineStr">
        <is>
          <t>Santa Maria</t>
        </is>
      </c>
    </row>
    <row r="39483" spans="1:1">
      <c r="A39483" t="inlineStr">
        <is>
          <t>Santo Cristo</t>
        </is>
      </c>
    </row>
    <row r="39484" spans="1:1">
      <c r="A39484" t="inlineStr">
        <is>
          <t>Santo Domingo</t>
        </is>
      </c>
    </row>
    <row r="39485" spans="1:1">
      <c r="A39485" t="inlineStr">
        <is>
          <t>Santo Niño</t>
        </is>
      </c>
    </row>
    <row r="39486" spans="1:1">
      <c r="A39486" t="inlineStr">
        <is>
          <t>Sapang Maragul</t>
        </is>
      </c>
    </row>
    <row r="39487" spans="1:1">
      <c r="A39487" t="inlineStr">
        <is>
          <t>Sapang Tagalog</t>
        </is>
      </c>
    </row>
    <row r="39488" spans="1:1">
      <c r="A39488" t="inlineStr">
        <is>
          <t>Sepung Calzada</t>
        </is>
      </c>
    </row>
    <row r="39489" spans="1:1">
      <c r="A39489" t="inlineStr">
        <is>
          <t>Sinait</t>
        </is>
      </c>
    </row>
    <row r="39490" spans="1:1">
      <c r="A39490" t="inlineStr">
        <is>
          <t>Suizo</t>
        </is>
      </c>
    </row>
    <row r="39491" spans="1:1">
      <c r="A39491" t="inlineStr">
        <is>
          <t>Tariji</t>
        </is>
      </c>
    </row>
    <row r="39492" spans="1:1">
      <c r="A39492" t="inlineStr">
        <is>
          <t>Tibag</t>
        </is>
      </c>
    </row>
    <row r="39493" spans="1:1">
      <c r="A39493" t="inlineStr">
        <is>
          <t>Tibagan</t>
        </is>
      </c>
    </row>
    <row r="39494" spans="1:1">
      <c r="A39494" t="inlineStr">
        <is>
          <t>Trinidad</t>
        </is>
      </c>
    </row>
    <row r="39495" spans="1:1">
      <c r="A39495" t="inlineStr">
        <is>
          <t>Ungot</t>
        </is>
      </c>
    </row>
    <row r="39496" spans="1:1">
      <c r="A39496" t="inlineStr">
        <is>
          <t>Villa Bacolor</t>
        </is>
      </c>
    </row>
    <row r="39497" spans="1:1">
      <c r="A39497" t="inlineStr">
        <is>
          <t>Alfonso</t>
        </is>
      </c>
    </row>
    <row r="39498" spans="1:1">
      <c r="A39498" t="inlineStr">
        <is>
          <t>Balutu</t>
        </is>
      </c>
    </row>
    <row r="39499" spans="1:1">
      <c r="A39499" t="inlineStr">
        <is>
          <t>Cafe</t>
        </is>
      </c>
    </row>
    <row r="39500" spans="1:1">
      <c r="A39500" t="inlineStr">
        <is>
          <t>Calius Gueco</t>
        </is>
      </c>
    </row>
    <row r="39501" spans="1:1">
      <c r="A39501" t="inlineStr">
        <is>
          <t>Caluluan</t>
        </is>
      </c>
    </row>
    <row r="39502" spans="1:1">
      <c r="A39502" t="inlineStr">
        <is>
          <t>Castillo</t>
        </is>
      </c>
    </row>
    <row r="39503" spans="1:1">
      <c r="A39503" t="inlineStr">
        <is>
          <t>Corazon de Jesus</t>
        </is>
      </c>
    </row>
    <row r="39504" spans="1:1">
      <c r="A39504" t="inlineStr">
        <is>
          <t>Culatingan</t>
        </is>
      </c>
    </row>
    <row r="39505" spans="1:1">
      <c r="A39505" t="inlineStr">
        <is>
          <t>Dungan</t>
        </is>
      </c>
    </row>
    <row r="39506" spans="1:1">
      <c r="A39506" t="inlineStr">
        <is>
          <t>Dutung-A-Matas</t>
        </is>
      </c>
    </row>
    <row r="39507" spans="1:1">
      <c r="A39507" t="inlineStr">
        <is>
          <t>Green Village</t>
        </is>
      </c>
    </row>
    <row r="39508" spans="1:1">
      <c r="A39508" t="inlineStr">
        <is>
          <t>Lilibangan</t>
        </is>
      </c>
    </row>
    <row r="39509" spans="1:1">
      <c r="A39509" t="inlineStr">
        <is>
          <t>Mabilog</t>
        </is>
      </c>
    </row>
    <row r="39510" spans="1:1">
      <c r="A39510" t="inlineStr">
        <is>
          <t>Magao</t>
        </is>
      </c>
    </row>
    <row r="39511" spans="1:1">
      <c r="A39511" t="inlineStr">
        <is>
          <t>Malupa</t>
        </is>
      </c>
    </row>
    <row r="39512" spans="1:1">
      <c r="A39512" t="inlineStr">
        <is>
          <t>Minane</t>
        </is>
      </c>
    </row>
    <row r="39513" spans="1:1">
      <c r="A39513" t="inlineStr">
        <is>
          <t>Panalicsian</t>
        </is>
      </c>
    </row>
    <row r="39514" spans="1:1">
      <c r="A39514" t="inlineStr">
        <is>
          <t>Pando</t>
        </is>
      </c>
    </row>
    <row r="39515" spans="1:1">
      <c r="A39515" t="inlineStr">
        <is>
          <t>Parang</t>
        </is>
      </c>
    </row>
    <row r="39516" spans="1:1">
      <c r="A39516" t="inlineStr">
        <is>
          <t>Parulung</t>
        </is>
      </c>
    </row>
    <row r="39517" spans="1:1">
      <c r="A39517" t="inlineStr">
        <is>
          <t>Pitabunan</t>
        </is>
      </c>
    </row>
    <row r="39518" spans="1:1">
      <c r="A39518" t="inlineStr">
        <is>
          <t>San Agustin</t>
        </is>
      </c>
    </row>
    <row r="39519" spans="1:1">
      <c r="A39519" t="inlineStr">
        <is>
          <t>San Antonio</t>
        </is>
      </c>
    </row>
    <row r="39520" spans="1:1">
      <c r="A39520" t="inlineStr">
        <is>
          <t>San Bartolome</t>
        </is>
      </c>
    </row>
    <row r="39521" spans="1:1">
      <c r="A39521" t="inlineStr">
        <is>
          <t>San Francisco</t>
        </is>
      </c>
    </row>
    <row r="39522" spans="1:1">
      <c r="A39522" t="inlineStr">
        <is>
          <t>San Isidro</t>
        </is>
      </c>
    </row>
    <row r="39523" spans="1:1">
      <c r="A39523" t="inlineStr">
        <is>
          <t>San Jose</t>
        </is>
      </c>
    </row>
    <row r="39524" spans="1:1">
      <c r="A39524" t="inlineStr">
        <is>
          <t>San Juan</t>
        </is>
      </c>
    </row>
    <row r="39525" spans="1:1">
      <c r="A39525" t="inlineStr">
        <is>
          <t>San Martin</t>
        </is>
      </c>
    </row>
    <row r="39526" spans="1:1">
      <c r="A39526" t="inlineStr">
        <is>
          <t>San Nicolas</t>
        </is>
      </c>
    </row>
    <row r="39527" spans="1:1">
      <c r="A39527" t="inlineStr">
        <is>
          <t>San Nicolas Balas</t>
        </is>
      </c>
    </row>
    <row r="39528" spans="1:1">
      <c r="A39528" t="inlineStr">
        <is>
          <t>San Vicente</t>
        </is>
      </c>
    </row>
    <row r="39529" spans="1:1">
      <c r="A39529" t="inlineStr">
        <is>
          <t>Santa Cruz</t>
        </is>
      </c>
    </row>
    <row r="39530" spans="1:1">
      <c r="A39530" t="inlineStr">
        <is>
          <t>Santa Maria</t>
        </is>
      </c>
    </row>
    <row r="39531" spans="1:1">
      <c r="A39531" t="inlineStr">
        <is>
          <t>Santa Monica</t>
        </is>
      </c>
    </row>
    <row r="39532" spans="1:1">
      <c r="A39532" t="inlineStr">
        <is>
          <t>Santa Rita</t>
        </is>
      </c>
    </row>
    <row r="39533" spans="1:1">
      <c r="A39533" t="inlineStr">
        <is>
          <t>Santa Rosa</t>
        </is>
      </c>
    </row>
    <row r="39534" spans="1:1">
      <c r="A39534" t="inlineStr">
        <is>
          <t>Santiago</t>
        </is>
      </c>
    </row>
    <row r="39535" spans="1:1">
      <c r="A39535" t="inlineStr">
        <is>
          <t>Santo Cristo</t>
        </is>
      </c>
    </row>
    <row r="39536" spans="1:1">
      <c r="A39536" t="inlineStr">
        <is>
          <t>Santo Niño</t>
        </is>
      </c>
    </row>
    <row r="39537" spans="1:1">
      <c r="A39537" t="inlineStr">
        <is>
          <t>Santo Rosario</t>
        </is>
      </c>
    </row>
    <row r="39538" spans="1:1">
      <c r="A39538" t="inlineStr">
        <is>
          <t>Talimunduc Marimla</t>
        </is>
      </c>
    </row>
    <row r="39539" spans="1:1">
      <c r="A39539" t="inlineStr">
        <is>
          <t>Talimunduc San Miguel</t>
        </is>
      </c>
    </row>
    <row r="39540" spans="1:1">
      <c r="A39540" t="inlineStr">
        <is>
          <t>Telabanca</t>
        </is>
      </c>
    </row>
    <row r="39541" spans="1:1">
      <c r="A39541" t="inlineStr">
        <is>
          <t>Tinang</t>
        </is>
      </c>
    </row>
    <row r="39542" spans="1:1">
      <c r="A39542" t="inlineStr">
        <is>
          <t>Abagon</t>
        </is>
      </c>
    </row>
    <row r="39543" spans="1:1">
      <c r="A39543" t="inlineStr">
        <is>
          <t>Amacalan</t>
        </is>
      </c>
    </row>
    <row r="39544" spans="1:1">
      <c r="A39544" t="inlineStr">
        <is>
          <t>Apsayan</t>
        </is>
      </c>
    </row>
    <row r="39545" spans="1:1">
      <c r="A39545" t="inlineStr">
        <is>
          <t>Ayson</t>
        </is>
      </c>
    </row>
    <row r="39546" spans="1:1">
      <c r="A39546" t="inlineStr">
        <is>
          <t>Bawa</t>
        </is>
      </c>
    </row>
    <row r="39547" spans="1:1">
      <c r="A39547" t="inlineStr">
        <is>
          <t>Buenlag</t>
        </is>
      </c>
    </row>
    <row r="39548" spans="1:1">
      <c r="A39548" t="inlineStr">
        <is>
          <t>Bularit</t>
        </is>
      </c>
    </row>
    <row r="39549" spans="1:1">
      <c r="A39549" t="inlineStr">
        <is>
          <t>Calayaan</t>
        </is>
      </c>
    </row>
    <row r="39550" spans="1:1">
      <c r="A39550" t="inlineStr">
        <is>
          <t>Carbonel</t>
        </is>
      </c>
    </row>
    <row r="39551" spans="1:1">
      <c r="A39551" t="inlineStr">
        <is>
          <t>Cardona</t>
        </is>
      </c>
    </row>
    <row r="39552" spans="1:1">
      <c r="A39552" t="inlineStr">
        <is>
          <t>Caturay</t>
        </is>
      </c>
    </row>
    <row r="39553" spans="1:1">
      <c r="A39553" t="inlineStr">
        <is>
          <t>Danzo</t>
        </is>
      </c>
    </row>
    <row r="39554" spans="1:1">
      <c r="A39554" t="inlineStr">
        <is>
          <t>Dicolor</t>
        </is>
      </c>
    </row>
    <row r="39555" spans="1:1">
      <c r="A39555" t="inlineStr">
        <is>
          <t>Don Basilio</t>
        </is>
      </c>
    </row>
    <row r="39556" spans="1:1">
      <c r="A39556" t="inlineStr">
        <is>
          <t>Luna</t>
        </is>
      </c>
    </row>
    <row r="39557" spans="1:1">
      <c r="A39557" t="inlineStr">
        <is>
          <t>Mabini</t>
        </is>
      </c>
    </row>
    <row r="39558" spans="1:1">
      <c r="A39558" t="inlineStr">
        <is>
          <t>Magaspac</t>
        </is>
      </c>
    </row>
    <row r="39559" spans="1:1">
      <c r="A39559" t="inlineStr">
        <is>
          <t>Malayep</t>
        </is>
      </c>
    </row>
    <row r="39560" spans="1:1">
      <c r="A39560" t="inlineStr">
        <is>
          <t>Matapitap</t>
        </is>
      </c>
    </row>
    <row r="39561" spans="1:1">
      <c r="A39561" t="inlineStr">
        <is>
          <t>Matayuncab</t>
        </is>
      </c>
    </row>
    <row r="39562" spans="1:1">
      <c r="A39562" t="inlineStr">
        <is>
          <t>New Salem</t>
        </is>
      </c>
    </row>
    <row r="39563" spans="1:1">
      <c r="A39563" t="inlineStr">
        <is>
          <t>Oloybuaya</t>
        </is>
      </c>
    </row>
    <row r="39564" spans="1:1">
      <c r="A39564" t="inlineStr">
        <is>
          <t>Padapada</t>
        </is>
      </c>
    </row>
    <row r="39565" spans="1:1">
      <c r="A39565" t="inlineStr">
        <is>
          <t>Parsolingan</t>
        </is>
      </c>
    </row>
    <row r="39566" spans="1:1">
      <c r="A39566" t="inlineStr">
        <is>
          <t>Pinasling</t>
        </is>
      </c>
    </row>
    <row r="39567" spans="1:1">
      <c r="A39567" t="inlineStr">
        <is>
          <t>Plastado</t>
        </is>
      </c>
    </row>
    <row r="39568" spans="1:1">
      <c r="A39568" t="inlineStr">
        <is>
          <t>Poblacion 1</t>
        </is>
      </c>
    </row>
    <row r="39569" spans="1:1">
      <c r="A39569" t="inlineStr">
        <is>
          <t>Poblacion 2</t>
        </is>
      </c>
    </row>
    <row r="39570" spans="1:1">
      <c r="A39570" t="inlineStr">
        <is>
          <t>Poblacion 3</t>
        </is>
      </c>
    </row>
    <row r="39571" spans="1:1">
      <c r="A39571" t="inlineStr">
        <is>
          <t>Quezon</t>
        </is>
      </c>
    </row>
    <row r="39572" spans="1:1">
      <c r="A39572" t="inlineStr">
        <is>
          <t>Rizal</t>
        </is>
      </c>
    </row>
    <row r="39573" spans="1:1">
      <c r="A39573" t="inlineStr">
        <is>
          <t>Salapungan</t>
        </is>
      </c>
    </row>
    <row r="39574" spans="1:1">
      <c r="A39574" t="inlineStr">
        <is>
          <t>San Agustin</t>
        </is>
      </c>
    </row>
    <row r="39575" spans="1:1">
      <c r="A39575" t="inlineStr">
        <is>
          <t>San Antonio</t>
        </is>
      </c>
    </row>
    <row r="39576" spans="1:1">
      <c r="A39576" t="inlineStr">
        <is>
          <t>San Bartolome</t>
        </is>
      </c>
    </row>
    <row r="39577" spans="1:1">
      <c r="A39577" t="inlineStr">
        <is>
          <t>San Jose</t>
        </is>
      </c>
    </row>
    <row r="39578" spans="1:1">
      <c r="A39578" t="inlineStr">
        <is>
          <t>Santa Lucia</t>
        </is>
      </c>
    </row>
    <row r="39579" spans="1:1">
      <c r="A39579" t="inlineStr">
        <is>
          <t>Santiago</t>
        </is>
      </c>
    </row>
    <row r="39580" spans="1:1">
      <c r="A39580" t="inlineStr">
        <is>
          <t>Sembrano</t>
        </is>
      </c>
    </row>
    <row r="39581" spans="1:1">
      <c r="A39581" t="inlineStr">
        <is>
          <t>Singat</t>
        </is>
      </c>
    </row>
    <row r="39582" spans="1:1">
      <c r="A39582" t="inlineStr">
        <is>
          <t>Sulipa</t>
        </is>
      </c>
    </row>
    <row r="39583" spans="1:1">
      <c r="A39583" t="inlineStr">
        <is>
          <t>Tagumbao</t>
        </is>
      </c>
    </row>
    <row r="39584" spans="1:1">
      <c r="A39584" t="inlineStr">
        <is>
          <t>Tangcaran</t>
        </is>
      </c>
    </row>
    <row r="39585" spans="1:1">
      <c r="A39585" t="inlineStr">
        <is>
          <t>Villa Paz</t>
        </is>
      </c>
    </row>
    <row r="39586" spans="1:1">
      <c r="A39586" t="inlineStr">
        <is>
          <t>Balanoy</t>
        </is>
      </c>
    </row>
    <row r="39587" spans="1:1">
      <c r="A39587" t="inlineStr">
        <is>
          <t>Bantog-Caricutan</t>
        </is>
      </c>
    </row>
    <row r="39588" spans="1:1">
      <c r="A39588" t="inlineStr">
        <is>
          <t>Caramutan</t>
        </is>
      </c>
    </row>
    <row r="39589" spans="1:1">
      <c r="A39589" t="inlineStr">
        <is>
          <t>Caut</t>
        </is>
      </c>
    </row>
    <row r="39590" spans="1:1">
      <c r="A39590" t="inlineStr">
        <is>
          <t>Comillas</t>
        </is>
      </c>
    </row>
    <row r="39591" spans="1:1">
      <c r="A39591" t="inlineStr">
        <is>
          <t>Dumarais</t>
        </is>
      </c>
    </row>
    <row r="39592" spans="1:1">
      <c r="A39592" t="inlineStr">
        <is>
          <t>Guevara</t>
        </is>
      </c>
    </row>
    <row r="39593" spans="1:1">
      <c r="A39593" t="inlineStr">
        <is>
          <t>Kapanikian</t>
        </is>
      </c>
    </row>
    <row r="39594" spans="1:1">
      <c r="A39594" t="inlineStr">
        <is>
          <t>La Purisima</t>
        </is>
      </c>
    </row>
    <row r="39595" spans="1:1">
      <c r="A39595" t="inlineStr">
        <is>
          <t>Lara</t>
        </is>
      </c>
    </row>
    <row r="39596" spans="1:1">
      <c r="A39596" t="inlineStr">
        <is>
          <t>Laungcupang</t>
        </is>
      </c>
    </row>
    <row r="39597" spans="1:1">
      <c r="A39597" t="inlineStr">
        <is>
          <t>Lomboy</t>
        </is>
      </c>
    </row>
    <row r="39598" spans="1:1">
      <c r="A39598" t="inlineStr">
        <is>
          <t>Macalong</t>
        </is>
      </c>
    </row>
    <row r="39599" spans="1:1">
      <c r="A39599" t="inlineStr">
        <is>
          <t>Matayumtayum</t>
        </is>
      </c>
    </row>
    <row r="39600" spans="1:1">
      <c r="A39600" t="inlineStr">
        <is>
          <t>Mayang</t>
        </is>
      </c>
    </row>
    <row r="39601" spans="1:1">
      <c r="A39601" t="inlineStr">
        <is>
          <t>Motrico</t>
        </is>
      </c>
    </row>
    <row r="39602" spans="1:1">
      <c r="A39602" t="inlineStr">
        <is>
          <t>Paludpud</t>
        </is>
      </c>
    </row>
    <row r="39603" spans="1:1">
      <c r="A39603" t="inlineStr">
        <is>
          <t>Rizal</t>
        </is>
      </c>
    </row>
    <row r="39604" spans="1:1">
      <c r="A39604" t="inlineStr">
        <is>
          <t>San Isidro</t>
        </is>
      </c>
    </row>
    <row r="39605" spans="1:1">
      <c r="A39605" t="inlineStr">
        <is>
          <t>San Roque</t>
        </is>
      </c>
    </row>
    <row r="39606" spans="1:1">
      <c r="A39606" t="inlineStr">
        <is>
          <t>Sierra</t>
        </is>
      </c>
    </row>
    <row r="39607" spans="1:1">
      <c r="A39607" t="inlineStr">
        <is>
          <t>Ambalingit</t>
        </is>
      </c>
    </row>
    <row r="39608" spans="1:1">
      <c r="A39608" t="inlineStr">
        <is>
          <t>Baybayaoas</t>
        </is>
      </c>
    </row>
    <row r="39609" spans="1:1">
      <c r="A39609" t="inlineStr">
        <is>
          <t>Bigbiga</t>
        </is>
      </c>
    </row>
    <row r="39610" spans="1:1">
      <c r="A39610" t="inlineStr">
        <is>
          <t>Binbinaca</t>
        </is>
      </c>
    </row>
    <row r="39611" spans="1:1">
      <c r="A39611" t="inlineStr">
        <is>
          <t>Calabtangan</t>
        </is>
      </c>
    </row>
    <row r="39612" spans="1:1">
      <c r="A39612" t="inlineStr">
        <is>
          <t>Caocaoayan</t>
        </is>
      </c>
    </row>
    <row r="39613" spans="1:1">
      <c r="A39613" t="inlineStr">
        <is>
          <t>Carabaoan</t>
        </is>
      </c>
    </row>
    <row r="39614" spans="1:1">
      <c r="A39614" t="inlineStr">
        <is>
          <t>Cubcub</t>
        </is>
      </c>
    </row>
    <row r="39615" spans="1:1">
      <c r="A39615" t="inlineStr">
        <is>
          <t>Gayonggayong</t>
        </is>
      </c>
    </row>
    <row r="39616" spans="1:1">
      <c r="A39616" t="inlineStr">
        <is>
          <t>Gossood</t>
        </is>
      </c>
    </row>
    <row r="39617" spans="1:1">
      <c r="A39617" t="inlineStr">
        <is>
          <t>Labney</t>
        </is>
      </c>
    </row>
    <row r="39618" spans="1:1">
      <c r="A39618" t="inlineStr">
        <is>
          <t>Mamonit</t>
        </is>
      </c>
    </row>
    <row r="39619" spans="1:1">
      <c r="A39619" t="inlineStr">
        <is>
          <t>Maniniog</t>
        </is>
      </c>
    </row>
    <row r="39620" spans="1:1">
      <c r="A39620" t="inlineStr">
        <is>
          <t>Mapandan</t>
        </is>
      </c>
    </row>
    <row r="39621" spans="1:1">
      <c r="A39621" t="inlineStr">
        <is>
          <t>Nambalan</t>
        </is>
      </c>
    </row>
    <row r="39622" spans="1:1">
      <c r="A39622" t="inlineStr">
        <is>
          <t>Pedro L. Quines</t>
        </is>
      </c>
    </row>
    <row r="39623" spans="1:1">
      <c r="A39623" t="inlineStr">
        <is>
          <t>Pitombayog</t>
        </is>
      </c>
    </row>
    <row r="39624" spans="1:1">
      <c r="A39624" t="inlineStr">
        <is>
          <t>Poblacion Norte</t>
        </is>
      </c>
    </row>
    <row r="39625" spans="1:1">
      <c r="A39625" t="inlineStr">
        <is>
          <t>Poblacion Sur</t>
        </is>
      </c>
    </row>
    <row r="39626" spans="1:1">
      <c r="A39626" t="inlineStr">
        <is>
          <t>Rotrottooc</t>
        </is>
      </c>
    </row>
    <row r="39627" spans="1:1">
      <c r="A39627" t="inlineStr">
        <is>
          <t>San Bartolome</t>
        </is>
      </c>
    </row>
    <row r="39628" spans="1:1">
      <c r="A39628" t="inlineStr">
        <is>
          <t>San Jose</t>
        </is>
      </c>
    </row>
    <row r="39629" spans="1:1">
      <c r="A39629" t="inlineStr">
        <is>
          <t>Taldiapan</t>
        </is>
      </c>
    </row>
    <row r="39630" spans="1:1">
      <c r="A39630" t="inlineStr">
        <is>
          <t>Tangcarang</t>
        </is>
      </c>
    </row>
    <row r="39631" spans="1:1">
      <c r="A39631" t="inlineStr">
        <is>
          <t>Ablang-Sapang</t>
        </is>
      </c>
    </row>
    <row r="39632" spans="1:1">
      <c r="A39632" t="inlineStr">
        <is>
          <t>Aringin</t>
        </is>
      </c>
    </row>
    <row r="39633" spans="1:1">
      <c r="A39633" t="inlineStr">
        <is>
          <t>Atencio</t>
        </is>
      </c>
    </row>
    <row r="39634" spans="1:1">
      <c r="A39634" t="inlineStr">
        <is>
          <t>Banaoang East</t>
        </is>
      </c>
    </row>
    <row r="39635" spans="1:1">
      <c r="A39635" t="inlineStr">
        <is>
          <t>Banaoang West</t>
        </is>
      </c>
    </row>
    <row r="39636" spans="1:1">
      <c r="A39636" t="inlineStr">
        <is>
          <t>Baquero Norte</t>
        </is>
      </c>
    </row>
    <row r="39637" spans="1:1">
      <c r="A39637" t="inlineStr">
        <is>
          <t>Baquero Sur</t>
        </is>
      </c>
    </row>
    <row r="39638" spans="1:1">
      <c r="A39638" t="inlineStr">
        <is>
          <t>Burgos</t>
        </is>
      </c>
    </row>
    <row r="39639" spans="1:1">
      <c r="A39639" t="inlineStr">
        <is>
          <t>Calamay</t>
        </is>
      </c>
    </row>
    <row r="39640" spans="1:1">
      <c r="A39640" t="inlineStr">
        <is>
          <t>Calapan</t>
        </is>
      </c>
    </row>
    <row r="39641" spans="1:1">
      <c r="A39641" t="inlineStr">
        <is>
          <t>Camangaan East</t>
        </is>
      </c>
    </row>
    <row r="39642" spans="1:1">
      <c r="A39642" t="inlineStr">
        <is>
          <t>Camangaan West</t>
        </is>
      </c>
    </row>
    <row r="39643" spans="1:1">
      <c r="A39643" t="inlineStr">
        <is>
          <t>Camposanto 1 - Norte</t>
        </is>
      </c>
    </row>
    <row r="39644" spans="1:1">
      <c r="A39644" t="inlineStr">
        <is>
          <t>Camposanto 1 - Sur</t>
        </is>
      </c>
    </row>
    <row r="39645" spans="1:1">
      <c r="A39645" t="inlineStr">
        <is>
          <t>Camposanto 2</t>
        </is>
      </c>
    </row>
    <row r="39646" spans="1:1">
      <c r="A39646" t="inlineStr">
        <is>
          <t>Capaoayan</t>
        </is>
      </c>
    </row>
    <row r="39647" spans="1:1">
      <c r="A39647" t="inlineStr">
        <is>
          <t>Lapsing</t>
        </is>
      </c>
    </row>
    <row r="39648" spans="1:1">
      <c r="A39648" t="inlineStr">
        <is>
          <t>Mabini</t>
        </is>
      </c>
    </row>
    <row r="39649" spans="1:1">
      <c r="A39649" t="inlineStr">
        <is>
          <t>Maluac</t>
        </is>
      </c>
    </row>
    <row r="39650" spans="1:1">
      <c r="A39650" t="inlineStr">
        <is>
          <t>Poblacion 1</t>
        </is>
      </c>
    </row>
    <row r="39651" spans="1:1">
      <c r="A39651" t="inlineStr">
        <is>
          <t>Poblacion 2</t>
        </is>
      </c>
    </row>
    <row r="39652" spans="1:1">
      <c r="A39652" t="inlineStr">
        <is>
          <t>Poblacion 3</t>
        </is>
      </c>
    </row>
    <row r="39653" spans="1:1">
      <c r="A39653" t="inlineStr">
        <is>
          <t>Poblacion 4</t>
        </is>
      </c>
    </row>
    <row r="39654" spans="1:1">
      <c r="A39654" t="inlineStr">
        <is>
          <t>Rizal</t>
        </is>
      </c>
    </row>
    <row r="39655" spans="1:1">
      <c r="A39655" t="inlineStr">
        <is>
          <t>San Juan</t>
        </is>
      </c>
    </row>
    <row r="39656" spans="1:1">
      <c r="A39656" t="inlineStr">
        <is>
          <t>San Julian</t>
        </is>
      </c>
    </row>
    <row r="39657" spans="1:1">
      <c r="A39657" t="inlineStr">
        <is>
          <t>San Leon</t>
        </is>
      </c>
    </row>
    <row r="39658" spans="1:1">
      <c r="A39658" t="inlineStr">
        <is>
          <t>San Pedro</t>
        </is>
      </c>
    </row>
    <row r="39659" spans="1:1">
      <c r="A39659" t="inlineStr">
        <is>
          <t>San Roque</t>
        </is>
      </c>
    </row>
    <row r="39660" spans="1:1">
      <c r="A39660" t="inlineStr">
        <is>
          <t>Santa Lucia East</t>
        </is>
      </c>
    </row>
    <row r="39661" spans="1:1">
      <c r="A39661" t="inlineStr">
        <is>
          <t>Santa Lucia West</t>
        </is>
      </c>
    </row>
    <row r="39662" spans="1:1">
      <c r="A39662" t="inlineStr">
        <is>
          <t>Santa Maria</t>
        </is>
      </c>
    </row>
    <row r="39663" spans="1:1">
      <c r="A39663" t="inlineStr">
        <is>
          <t>Santa Monica</t>
        </is>
      </c>
    </row>
    <row r="39664" spans="1:1">
      <c r="A39664" t="inlineStr">
        <is>
          <t>Tolega Norte</t>
        </is>
      </c>
    </row>
    <row r="39665" spans="1:1">
      <c r="A39665" t="inlineStr">
        <is>
          <t>Tolega Sur</t>
        </is>
      </c>
    </row>
    <row r="39666" spans="1:1">
      <c r="A39666" t="inlineStr">
        <is>
          <t>Tubectubang</t>
        </is>
      </c>
    </row>
    <row r="39667" spans="1:1">
      <c r="A39667" t="inlineStr">
        <is>
          <t>Villa</t>
        </is>
      </c>
    </row>
    <row r="39668" spans="1:1">
      <c r="A39668" t="inlineStr">
        <is>
          <t>Abogado</t>
        </is>
      </c>
    </row>
    <row r="39669" spans="1:1">
      <c r="A39669" t="inlineStr">
        <is>
          <t>Acocolao</t>
        </is>
      </c>
    </row>
    <row r="39670" spans="1:1">
      <c r="A39670" t="inlineStr">
        <is>
          <t>Aduas</t>
        </is>
      </c>
    </row>
    <row r="39671" spans="1:1">
      <c r="A39671" t="inlineStr">
        <is>
          <t>Apulid</t>
        </is>
      </c>
    </row>
    <row r="39672" spans="1:1">
      <c r="A39672" t="inlineStr">
        <is>
          <t>Balaoang</t>
        </is>
      </c>
    </row>
    <row r="39673" spans="1:1">
      <c r="A39673" t="inlineStr">
        <is>
          <t>Barang</t>
        </is>
      </c>
    </row>
    <row r="39674" spans="1:1">
      <c r="A39674" t="inlineStr">
        <is>
          <t>Brillante</t>
        </is>
      </c>
    </row>
    <row r="39675" spans="1:1">
      <c r="A39675" t="inlineStr">
        <is>
          <t>Burgos</t>
        </is>
      </c>
    </row>
    <row r="39676" spans="1:1">
      <c r="A39676" t="inlineStr">
        <is>
          <t>Cabayaoasan</t>
        </is>
      </c>
    </row>
    <row r="39677" spans="1:1">
      <c r="A39677" t="inlineStr">
        <is>
          <t>Canan</t>
        </is>
      </c>
    </row>
    <row r="39678" spans="1:1">
      <c r="A39678" t="inlineStr">
        <is>
          <t>Carino</t>
        </is>
      </c>
    </row>
    <row r="39679" spans="1:1">
      <c r="A39679" t="inlineStr">
        <is>
          <t>Cayanga</t>
        </is>
      </c>
    </row>
    <row r="39680" spans="1:1">
      <c r="A39680" t="inlineStr">
        <is>
          <t>Colibangbang</t>
        </is>
      </c>
    </row>
    <row r="39681" spans="1:1">
      <c r="A39681" t="inlineStr">
        <is>
          <t>Coral</t>
        </is>
      </c>
    </row>
    <row r="39682" spans="1:1">
      <c r="A39682" t="inlineStr">
        <is>
          <t>Dapdap</t>
        </is>
      </c>
    </row>
    <row r="39683" spans="1:1">
      <c r="A39683" t="inlineStr">
        <is>
          <t>Estacion</t>
        </is>
      </c>
    </row>
    <row r="39684" spans="1:1">
      <c r="A39684" t="inlineStr">
        <is>
          <t>Mabilang</t>
        </is>
      </c>
    </row>
    <row r="39685" spans="1:1">
      <c r="A39685" t="inlineStr">
        <is>
          <t>Manaois</t>
        </is>
      </c>
    </row>
    <row r="39686" spans="1:1">
      <c r="A39686" t="inlineStr">
        <is>
          <t>Matalapitap</t>
        </is>
      </c>
    </row>
    <row r="39687" spans="1:1">
      <c r="A39687" t="inlineStr">
        <is>
          <t>Nagmisaan</t>
        </is>
      </c>
    </row>
    <row r="39688" spans="1:1">
      <c r="A39688" t="inlineStr">
        <is>
          <t>Nancamarinan</t>
        </is>
      </c>
    </row>
    <row r="39689" spans="1:1">
      <c r="A39689" t="inlineStr">
        <is>
          <t>Nipaco</t>
        </is>
      </c>
    </row>
    <row r="39690" spans="1:1">
      <c r="A39690" t="inlineStr">
        <is>
          <t>Patalan</t>
        </is>
      </c>
    </row>
    <row r="39691" spans="1:1">
      <c r="A39691" t="inlineStr">
        <is>
          <t>Poblacion Norte</t>
        </is>
      </c>
    </row>
    <row r="39692" spans="1:1">
      <c r="A39692" t="inlineStr">
        <is>
          <t>Poblacion Sur</t>
        </is>
      </c>
    </row>
    <row r="39693" spans="1:1">
      <c r="A39693" t="inlineStr">
        <is>
          <t>Rang-ayan</t>
        </is>
      </c>
    </row>
    <row r="39694" spans="1:1">
      <c r="A39694" t="inlineStr">
        <is>
          <t>Salumague</t>
        </is>
      </c>
    </row>
    <row r="39695" spans="1:1">
      <c r="A39695" t="inlineStr">
        <is>
          <t>Samput</t>
        </is>
      </c>
    </row>
    <row r="39696" spans="1:1">
      <c r="A39696" t="inlineStr">
        <is>
          <t>San Carlos</t>
        </is>
      </c>
    </row>
    <row r="39697" spans="1:1">
      <c r="A39697" t="inlineStr">
        <is>
          <t>San Isidro</t>
        </is>
      </c>
    </row>
    <row r="39698" spans="1:1">
      <c r="A39698" t="inlineStr">
        <is>
          <t>San Juan de Milla</t>
        </is>
      </c>
    </row>
    <row r="39699" spans="1:1">
      <c r="A39699" t="inlineStr">
        <is>
          <t>Santa Ines</t>
        </is>
      </c>
    </row>
    <row r="39700" spans="1:1">
      <c r="A39700" t="inlineStr">
        <is>
          <t>Sinigpit</t>
        </is>
      </c>
    </row>
    <row r="39701" spans="1:1">
      <c r="A39701" t="inlineStr">
        <is>
          <t>Tablang</t>
        </is>
      </c>
    </row>
    <row r="39702" spans="1:1">
      <c r="A39702" t="inlineStr">
        <is>
          <t>Ventenilla</t>
        </is>
      </c>
    </row>
    <row r="39703" spans="1:1">
      <c r="A39703" t="inlineStr">
        <is>
          <t>Balite</t>
        </is>
      </c>
    </row>
    <row r="39704" spans="1:1">
      <c r="A39704" t="inlineStr">
        <is>
          <t>Buenavista</t>
        </is>
      </c>
    </row>
    <row r="39705" spans="1:1">
      <c r="A39705" t="inlineStr">
        <is>
          <t>Cadanglaan</t>
        </is>
      </c>
    </row>
    <row r="39706" spans="1:1">
      <c r="A39706" t="inlineStr">
        <is>
          <t>Estipona</t>
        </is>
      </c>
    </row>
    <row r="39707" spans="1:1">
      <c r="A39707" t="inlineStr">
        <is>
          <t>Linao</t>
        </is>
      </c>
    </row>
    <row r="39708" spans="1:1">
      <c r="A39708" t="inlineStr">
        <is>
          <t>Maasin</t>
        </is>
      </c>
    </row>
    <row r="39709" spans="1:1">
      <c r="A39709" t="inlineStr">
        <is>
          <t>Matindeg</t>
        </is>
      </c>
    </row>
    <row r="39710" spans="1:1">
      <c r="A39710" t="inlineStr">
        <is>
          <t>Maungib</t>
        </is>
      </c>
    </row>
    <row r="39711" spans="1:1">
      <c r="A39711" t="inlineStr">
        <is>
          <t>Naya</t>
        </is>
      </c>
    </row>
    <row r="39712" spans="1:1">
      <c r="A39712" t="inlineStr">
        <is>
          <t>Nilasin 1st</t>
        </is>
      </c>
    </row>
    <row r="39713" spans="1:1">
      <c r="A39713" t="inlineStr">
        <is>
          <t>Nilasin 2nd</t>
        </is>
      </c>
    </row>
    <row r="39714" spans="1:1">
      <c r="A39714" t="inlineStr">
        <is>
          <t>Poblacion 1</t>
        </is>
      </c>
    </row>
    <row r="39715" spans="1:1">
      <c r="A39715" t="inlineStr">
        <is>
          <t>Poblacion 2</t>
        </is>
      </c>
    </row>
    <row r="39716" spans="1:1">
      <c r="A39716" t="inlineStr">
        <is>
          <t>Poblacion 3</t>
        </is>
      </c>
    </row>
    <row r="39717" spans="1:1">
      <c r="A39717" t="inlineStr">
        <is>
          <t>Poroc</t>
        </is>
      </c>
    </row>
    <row r="39718" spans="1:1">
      <c r="A39718" t="inlineStr">
        <is>
          <t>Singat</t>
        </is>
      </c>
    </row>
    <row r="39719" spans="1:1">
      <c r="A39719" t="inlineStr">
        <is>
          <t>Coral-Iloco</t>
        </is>
      </c>
    </row>
    <row r="39720" spans="1:1">
      <c r="A39720" t="inlineStr">
        <is>
          <t>Guiteb</t>
        </is>
      </c>
    </row>
    <row r="39721" spans="1:1">
      <c r="A39721" t="inlineStr">
        <is>
          <t>Pance</t>
        </is>
      </c>
    </row>
    <row r="39722" spans="1:1">
      <c r="A39722" t="inlineStr">
        <is>
          <t>Poblacion Center</t>
        </is>
      </c>
    </row>
    <row r="39723" spans="1:1">
      <c r="A39723" t="inlineStr">
        <is>
          <t>Poblacion North</t>
        </is>
      </c>
    </row>
    <row r="39724" spans="1:1">
      <c r="A39724" t="inlineStr">
        <is>
          <t>Poblacion South</t>
        </is>
      </c>
    </row>
    <row r="39725" spans="1:1">
      <c r="A39725" t="inlineStr">
        <is>
          <t>San Juan</t>
        </is>
      </c>
    </row>
    <row r="39726" spans="1:1">
      <c r="A39726" t="inlineStr">
        <is>
          <t>San Raymundo</t>
        </is>
      </c>
    </row>
    <row r="39727" spans="1:1">
      <c r="A39727" t="inlineStr">
        <is>
          <t>Toledo</t>
        </is>
      </c>
    </row>
    <row r="39728" spans="1:1">
      <c r="A39728" t="inlineStr">
        <is>
          <t>Balloc</t>
        </is>
      </c>
    </row>
    <row r="39729" spans="1:1">
      <c r="A39729" t="inlineStr">
        <is>
          <t>Bamban</t>
        </is>
      </c>
    </row>
    <row r="39730" spans="1:1">
      <c r="A39730" t="inlineStr">
        <is>
          <t>Casipo</t>
        </is>
      </c>
    </row>
    <row r="39731" spans="1:1">
      <c r="A39731" t="inlineStr">
        <is>
          <t>Catagudingan</t>
        </is>
      </c>
    </row>
    <row r="39732" spans="1:1">
      <c r="A39732" t="inlineStr">
        <is>
          <t>Daldalayap</t>
        </is>
      </c>
    </row>
    <row r="39733" spans="1:1">
      <c r="A39733" t="inlineStr">
        <is>
          <t>Doclong 1</t>
        </is>
      </c>
    </row>
    <row r="39734" spans="1:1">
      <c r="A39734" t="inlineStr">
        <is>
          <t>Doclong 2</t>
        </is>
      </c>
    </row>
    <row r="39735" spans="1:1">
      <c r="A39735" t="inlineStr">
        <is>
          <t>Maasin</t>
        </is>
      </c>
    </row>
    <row r="39736" spans="1:1">
      <c r="A39736" t="inlineStr">
        <is>
          <t>Nagsabaran</t>
        </is>
      </c>
    </row>
    <row r="39737" spans="1:1">
      <c r="A39737" t="inlineStr">
        <is>
          <t>Pit-ao</t>
        </is>
      </c>
    </row>
    <row r="39738" spans="1:1">
      <c r="A39738" t="inlineStr">
        <is>
          <t>Poblacion Norte</t>
        </is>
      </c>
    </row>
    <row r="39739" spans="1:1">
      <c r="A39739" t="inlineStr">
        <is>
          <t>Poblacion Sur</t>
        </is>
      </c>
    </row>
    <row r="39740" spans="1:1">
      <c r="A39740" t="inlineStr">
        <is>
          <t>Burgos</t>
        </is>
      </c>
    </row>
    <row r="39741" spans="1:1">
      <c r="A39741" t="inlineStr">
        <is>
          <t>David</t>
        </is>
      </c>
    </row>
    <row r="39742" spans="1:1">
      <c r="A39742" t="inlineStr">
        <is>
          <t>Iba</t>
        </is>
      </c>
    </row>
    <row r="39743" spans="1:1">
      <c r="A39743" t="inlineStr">
        <is>
          <t>Labney</t>
        </is>
      </c>
    </row>
    <row r="39744" spans="1:1">
      <c r="A39744" t="inlineStr">
        <is>
          <t>Lawacamulag</t>
        </is>
      </c>
    </row>
    <row r="39745" spans="1:1">
      <c r="A39745" t="inlineStr">
        <is>
          <t>Lubigan</t>
        </is>
      </c>
    </row>
    <row r="39746" spans="1:1">
      <c r="A39746" t="inlineStr">
        <is>
          <t>Maamot</t>
        </is>
      </c>
    </row>
    <row r="39747" spans="1:1">
      <c r="A39747" t="inlineStr">
        <is>
          <t>Mababanaba</t>
        </is>
      </c>
    </row>
    <row r="39748" spans="1:1">
      <c r="A39748" t="inlineStr">
        <is>
          <t>Moriones</t>
        </is>
      </c>
    </row>
    <row r="39749" spans="1:1">
      <c r="A39749" t="inlineStr">
        <is>
          <t>Pao</t>
        </is>
      </c>
    </row>
    <row r="39750" spans="1:1">
      <c r="A39750" t="inlineStr">
        <is>
          <t>San Juan de Valdez</t>
        </is>
      </c>
    </row>
    <row r="39751" spans="1:1">
      <c r="A39751" t="inlineStr">
        <is>
          <t>Sula</t>
        </is>
      </c>
    </row>
    <row r="39752" spans="1:1">
      <c r="A39752" t="inlineStr">
        <is>
          <t>Villa Aglipay</t>
        </is>
      </c>
    </row>
    <row r="39753" spans="1:1">
      <c r="A39753" t="inlineStr">
        <is>
          <t>Colubot</t>
        </is>
      </c>
    </row>
    <row r="39754" spans="1:1">
      <c r="A39754" t="inlineStr">
        <is>
          <t>Lanat</t>
        </is>
      </c>
    </row>
    <row r="39755" spans="1:1">
      <c r="A39755" t="inlineStr">
        <is>
          <t>Legaspi</t>
        </is>
      </c>
    </row>
    <row r="39756" spans="1:1">
      <c r="A39756" t="inlineStr">
        <is>
          <t>Mangandingay</t>
        </is>
      </c>
    </row>
    <row r="39757" spans="1:1">
      <c r="A39757" t="inlineStr">
        <is>
          <t>Matarannoc</t>
        </is>
      </c>
    </row>
    <row r="39758" spans="1:1">
      <c r="A39758" t="inlineStr">
        <is>
          <t>Pacpaco</t>
        </is>
      </c>
    </row>
    <row r="39759" spans="1:1">
      <c r="A39759" t="inlineStr">
        <is>
          <t>Poblacion</t>
        </is>
      </c>
    </row>
    <row r="39760" spans="1:1">
      <c r="A39760" t="inlineStr">
        <is>
          <t>Salcedo</t>
        </is>
      </c>
    </row>
    <row r="39761" spans="1:1">
      <c r="A39761" t="inlineStr">
        <is>
          <t>San Agustin</t>
        </is>
      </c>
    </row>
    <row r="39762" spans="1:1">
      <c r="A39762" t="inlineStr">
        <is>
          <t>San Felipe</t>
        </is>
      </c>
    </row>
    <row r="39763" spans="1:1">
      <c r="A39763" t="inlineStr">
        <is>
          <t>San Jacinto</t>
        </is>
      </c>
    </row>
    <row r="39764" spans="1:1">
      <c r="A39764" t="inlineStr">
        <is>
          <t>San Miguel</t>
        </is>
      </c>
    </row>
    <row r="39765" spans="1:1">
      <c r="A39765" t="inlineStr">
        <is>
          <t>San Narciso</t>
        </is>
      </c>
    </row>
    <row r="39766" spans="1:1">
      <c r="A39766" t="inlineStr">
        <is>
          <t>San Vicente</t>
        </is>
      </c>
    </row>
    <row r="39767" spans="1:1">
      <c r="A39767" t="inlineStr">
        <is>
          <t>Santa Maria</t>
        </is>
      </c>
    </row>
    <row r="39768" spans="1:1">
      <c r="A39768" t="inlineStr">
        <is>
          <t>Baldios</t>
        </is>
      </c>
    </row>
    <row r="39769" spans="1:1">
      <c r="A39769" t="inlineStr">
        <is>
          <t>Botbotones</t>
        </is>
      </c>
    </row>
    <row r="39770" spans="1:1">
      <c r="A39770" t="inlineStr">
        <is>
          <t>Caanamongan</t>
        </is>
      </c>
    </row>
    <row r="39771" spans="1:1">
      <c r="A39771" t="inlineStr">
        <is>
          <t>Cabaruan</t>
        </is>
      </c>
    </row>
    <row r="39772" spans="1:1">
      <c r="A39772" t="inlineStr">
        <is>
          <t>Cabugbugan</t>
        </is>
      </c>
    </row>
    <row r="39773" spans="1:1">
      <c r="A39773" t="inlineStr">
        <is>
          <t>Caduldulaoan</t>
        </is>
      </c>
    </row>
    <row r="39774" spans="1:1">
      <c r="A39774" t="inlineStr">
        <is>
          <t>Calipayan</t>
        </is>
      </c>
    </row>
    <row r="39775" spans="1:1">
      <c r="A39775" t="inlineStr">
        <is>
          <t>Macaguing</t>
        </is>
      </c>
    </row>
    <row r="39776" spans="1:1">
      <c r="A39776" t="inlineStr">
        <is>
          <t>Nambalan</t>
        </is>
      </c>
    </row>
    <row r="39777" spans="1:1">
      <c r="A39777" t="inlineStr">
        <is>
          <t>Padapada</t>
        </is>
      </c>
    </row>
    <row r="39778" spans="1:1">
      <c r="A39778" t="inlineStr">
        <is>
          <t>Pilpila</t>
        </is>
      </c>
    </row>
    <row r="39779" spans="1:1">
      <c r="A39779" t="inlineStr">
        <is>
          <t>Pinpinas</t>
        </is>
      </c>
    </row>
    <row r="39780" spans="1:1">
      <c r="A39780" t="inlineStr">
        <is>
          <t>Poblacion East</t>
        </is>
      </c>
    </row>
    <row r="39781" spans="1:1">
      <c r="A39781" t="inlineStr">
        <is>
          <t>Poblacion West</t>
        </is>
      </c>
    </row>
    <row r="39782" spans="1:1">
      <c r="A39782" t="inlineStr">
        <is>
          <t>Pugo-Cecilio</t>
        </is>
      </c>
    </row>
    <row r="39783" spans="1:1">
      <c r="A39783" t="inlineStr">
        <is>
          <t>San Francisco</t>
        </is>
      </c>
    </row>
    <row r="39784" spans="1:1">
      <c r="A39784" t="inlineStr">
        <is>
          <t>San Sotero</t>
        </is>
      </c>
    </row>
    <row r="39785" spans="1:1">
      <c r="A39785" t="inlineStr">
        <is>
          <t>San Vicente</t>
        </is>
      </c>
    </row>
    <row r="39786" spans="1:1">
      <c r="A39786" t="inlineStr">
        <is>
          <t>Santa Ines Centro</t>
        </is>
      </c>
    </row>
    <row r="39787" spans="1:1">
      <c r="A39787" t="inlineStr">
        <is>
          <t>Santa Ines East</t>
        </is>
      </c>
    </row>
    <row r="39788" spans="1:1">
      <c r="A39788" t="inlineStr">
        <is>
          <t>Santa Ines West</t>
        </is>
      </c>
    </row>
    <row r="39789" spans="1:1">
      <c r="A39789" t="inlineStr">
        <is>
          <t>Taguiporo</t>
        </is>
      </c>
    </row>
    <row r="39790" spans="1:1">
      <c r="A39790" t="inlineStr">
        <is>
          <t>Timmaguab</t>
        </is>
      </c>
    </row>
    <row r="39791" spans="1:1">
      <c r="A39791" t="inlineStr">
        <is>
          <t>Vargas</t>
        </is>
      </c>
    </row>
    <row r="39792" spans="1:1">
      <c r="A39792" t="inlineStr">
        <is>
          <t>Baculong</t>
        </is>
      </c>
    </row>
    <row r="39793" spans="1:1">
      <c r="A39793" t="inlineStr">
        <is>
          <t>Balayang</t>
        </is>
      </c>
    </row>
    <row r="39794" spans="1:1">
      <c r="A39794" t="inlineStr">
        <is>
          <t>Balbaloto</t>
        </is>
      </c>
    </row>
    <row r="39795" spans="1:1">
      <c r="A39795" t="inlineStr">
        <is>
          <t>Bangar</t>
        </is>
      </c>
    </row>
    <row r="39796" spans="1:1">
      <c r="A39796" t="inlineStr">
        <is>
          <t>Bantog</t>
        </is>
      </c>
    </row>
    <row r="39797" spans="1:1">
      <c r="A39797" t="inlineStr">
        <is>
          <t>Batangbatang</t>
        </is>
      </c>
    </row>
    <row r="39798" spans="1:1">
      <c r="A39798" t="inlineStr">
        <is>
          <t>Bulo</t>
        </is>
      </c>
    </row>
    <row r="39799" spans="1:1">
      <c r="A39799" t="inlineStr">
        <is>
          <t>Cabuluan</t>
        </is>
      </c>
    </row>
    <row r="39800" spans="1:1">
      <c r="A39800" t="inlineStr">
        <is>
          <t>Calibungan</t>
        </is>
      </c>
    </row>
    <row r="39801" spans="1:1">
      <c r="A39801" t="inlineStr">
        <is>
          <t>Canarem</t>
        </is>
      </c>
    </row>
    <row r="39802" spans="1:1">
      <c r="A39802" t="inlineStr">
        <is>
          <t>Cruz</t>
        </is>
      </c>
    </row>
    <row r="39803" spans="1:1">
      <c r="A39803" t="inlineStr">
        <is>
          <t>Lalapac</t>
        </is>
      </c>
    </row>
    <row r="39804" spans="1:1">
      <c r="A39804" t="inlineStr">
        <is>
          <t>Maluid</t>
        </is>
      </c>
    </row>
    <row r="39805" spans="1:1">
      <c r="A39805" t="inlineStr">
        <is>
          <t>Mangolago</t>
        </is>
      </c>
    </row>
    <row r="39806" spans="1:1">
      <c r="A39806" t="inlineStr">
        <is>
          <t>Masalasa</t>
        </is>
      </c>
    </row>
    <row r="39807" spans="1:1">
      <c r="A39807" t="inlineStr">
        <is>
          <t>Palacpalac</t>
        </is>
      </c>
    </row>
    <row r="39808" spans="1:1">
      <c r="A39808" t="inlineStr">
        <is>
          <t>San Agustin</t>
        </is>
      </c>
    </row>
    <row r="39809" spans="1:1">
      <c r="A39809" t="inlineStr">
        <is>
          <t>San Andres</t>
        </is>
      </c>
    </row>
    <row r="39810" spans="1:1">
      <c r="A39810" t="inlineStr">
        <is>
          <t>San Fernando</t>
        </is>
      </c>
    </row>
    <row r="39811" spans="1:1">
      <c r="A39811" t="inlineStr">
        <is>
          <t>San Francisco</t>
        </is>
      </c>
    </row>
    <row r="39812" spans="1:1">
      <c r="A39812" t="inlineStr">
        <is>
          <t>San Gavino</t>
        </is>
      </c>
    </row>
    <row r="39813" spans="1:1">
      <c r="A39813" t="inlineStr">
        <is>
          <t>San Jacinto</t>
        </is>
      </c>
    </row>
    <row r="39814" spans="1:1">
      <c r="A39814" t="inlineStr">
        <is>
          <t>San Nicolas</t>
        </is>
      </c>
    </row>
    <row r="39815" spans="1:1">
      <c r="A39815" t="inlineStr">
        <is>
          <t>San Vicente</t>
        </is>
      </c>
    </row>
    <row r="39816" spans="1:1">
      <c r="A39816" t="inlineStr">
        <is>
          <t>Santa Barbara</t>
        </is>
      </c>
    </row>
    <row r="39817" spans="1:1">
      <c r="A39817" t="inlineStr">
        <is>
          <t>Santa Lucia</t>
        </is>
      </c>
    </row>
    <row r="39818" spans="1:1">
      <c r="A39818" t="inlineStr">
        <is>
          <t>Bongao Poblacion</t>
        </is>
      </c>
    </row>
    <row r="39819" spans="1:1">
      <c r="A39819" t="inlineStr">
        <is>
          <t>Ipil</t>
        </is>
      </c>
    </row>
    <row r="39820" spans="1:1">
      <c r="A39820" t="inlineStr">
        <is>
          <t>Kamagong</t>
        </is>
      </c>
    </row>
    <row r="39821" spans="1:1">
      <c r="A39821" t="inlineStr">
        <is>
          <t>Karungdong</t>
        </is>
      </c>
    </row>
    <row r="39822" spans="1:1">
      <c r="A39822" t="inlineStr">
        <is>
          <t>Lagasan</t>
        </is>
      </c>
    </row>
    <row r="39823" spans="1:1">
      <c r="A39823" t="inlineStr">
        <is>
          <t>Lakit Lakit</t>
        </is>
      </c>
    </row>
    <row r="39824" spans="1:1">
      <c r="A39824" t="inlineStr">
        <is>
          <t>Lamion</t>
        </is>
      </c>
    </row>
    <row r="39825" spans="1:1">
      <c r="A39825" t="inlineStr">
        <is>
          <t>Lapid Lapid</t>
        </is>
      </c>
    </row>
    <row r="39826" spans="1:1">
      <c r="A39826" t="inlineStr">
        <is>
          <t>Lato Lato</t>
        </is>
      </c>
    </row>
    <row r="39827" spans="1:1">
      <c r="A39827" t="inlineStr">
        <is>
          <t>Luuk Pandan</t>
        </is>
      </c>
    </row>
    <row r="39828" spans="1:1">
      <c r="A39828" t="inlineStr">
        <is>
          <t>Luuk Tulay</t>
        </is>
      </c>
    </row>
    <row r="39829" spans="1:1">
      <c r="A39829" t="inlineStr">
        <is>
          <t>Malassa</t>
        </is>
      </c>
    </row>
    <row r="39830" spans="1:1">
      <c r="A39830" t="inlineStr">
        <is>
          <t>Mandulan</t>
        </is>
      </c>
    </row>
    <row r="39831" spans="1:1">
      <c r="A39831" t="inlineStr">
        <is>
          <t>Masantong</t>
        </is>
      </c>
    </row>
    <row r="39832" spans="1:1">
      <c r="A39832" t="inlineStr">
        <is>
          <t>Montay Montay</t>
        </is>
      </c>
    </row>
    <row r="39833" spans="1:1">
      <c r="A39833" t="inlineStr">
        <is>
          <t>Nalil</t>
        </is>
      </c>
    </row>
    <row r="39834" spans="1:1">
      <c r="A39834" t="inlineStr">
        <is>
          <t>Pababag</t>
        </is>
      </c>
    </row>
    <row r="39835" spans="1:1">
      <c r="A39835" t="inlineStr">
        <is>
          <t>Pag-asa</t>
        </is>
      </c>
    </row>
    <row r="39836" spans="1:1">
      <c r="A39836" t="inlineStr">
        <is>
          <t>Pagasinan</t>
        </is>
      </c>
    </row>
    <row r="39837" spans="1:1">
      <c r="A39837" t="inlineStr">
        <is>
          <t>Pagatpat</t>
        </is>
      </c>
    </row>
    <row r="39838" spans="1:1">
      <c r="A39838" t="inlineStr">
        <is>
          <t>Pahut</t>
        </is>
      </c>
    </row>
    <row r="39839" spans="1:1">
      <c r="A39839" t="inlineStr">
        <is>
          <t>Pakias</t>
        </is>
      </c>
    </row>
    <row r="39840" spans="1:1">
      <c r="A39840" t="inlineStr">
        <is>
          <t>Paniongan</t>
        </is>
      </c>
    </row>
    <row r="39841" spans="1:1">
      <c r="A39841" t="inlineStr">
        <is>
          <t>Pasiagan</t>
        </is>
      </c>
    </row>
    <row r="39842" spans="1:1">
      <c r="A39842" t="inlineStr">
        <is>
          <t>Sanga-sanga</t>
        </is>
      </c>
    </row>
    <row r="39843" spans="1:1">
      <c r="A39843" t="inlineStr">
        <is>
          <t>Silubog</t>
        </is>
      </c>
    </row>
    <row r="39844" spans="1:1">
      <c r="A39844" t="inlineStr">
        <is>
          <t>Simandagit</t>
        </is>
      </c>
    </row>
    <row r="39845" spans="1:1">
      <c r="A39845" t="inlineStr">
        <is>
          <t>Sumangat</t>
        </is>
      </c>
    </row>
    <row r="39846" spans="1:1">
      <c r="A39846" t="inlineStr">
        <is>
          <t>Tarawakan</t>
        </is>
      </c>
    </row>
    <row r="39847" spans="1:1">
      <c r="A39847" t="inlineStr">
        <is>
          <t>Tongsinah</t>
        </is>
      </c>
    </row>
    <row r="39848" spans="1:1">
      <c r="A39848" t="inlineStr">
        <is>
          <t>Tubig Basag</t>
        </is>
      </c>
    </row>
    <row r="39849" spans="1:1">
      <c r="A39849" t="inlineStr">
        <is>
          <t>Tubig Tanah</t>
        </is>
      </c>
    </row>
    <row r="39850" spans="1:1">
      <c r="A39850" t="inlineStr">
        <is>
          <t>Tubig-Boh</t>
        </is>
      </c>
    </row>
    <row r="39851" spans="1:1">
      <c r="A39851" t="inlineStr">
        <is>
          <t>Tubig-Mampallam</t>
        </is>
      </c>
    </row>
    <row r="39852" spans="1:1">
      <c r="A39852" t="inlineStr">
        <is>
          <t>Ungus-ungus</t>
        </is>
      </c>
    </row>
    <row r="39853" spans="1:1">
      <c r="A39853" t="inlineStr">
        <is>
          <t>Adnin</t>
        </is>
      </c>
    </row>
    <row r="39854" spans="1:1">
      <c r="A39854" t="inlineStr">
        <is>
          <t>Bakaw-bakaw</t>
        </is>
      </c>
    </row>
    <row r="39855" spans="1:1">
      <c r="A39855" t="inlineStr">
        <is>
          <t>Bakong</t>
        </is>
      </c>
    </row>
    <row r="39856" spans="1:1">
      <c r="A39856" t="inlineStr">
        <is>
          <t>Bas-bas Proper</t>
        </is>
      </c>
    </row>
    <row r="39857" spans="1:1">
      <c r="A39857" t="inlineStr">
        <is>
          <t>BasLikud</t>
        </is>
      </c>
    </row>
    <row r="39858" spans="1:1">
      <c r="A39858" t="inlineStr">
        <is>
          <t>Basnunuk</t>
        </is>
      </c>
    </row>
    <row r="39859" spans="1:1">
      <c r="A39859" t="inlineStr">
        <is>
          <t>Darussalam</t>
        </is>
      </c>
    </row>
    <row r="39860" spans="1:1">
      <c r="A39860" t="inlineStr">
        <is>
          <t>Jakarta</t>
        </is>
      </c>
    </row>
    <row r="39861" spans="1:1">
      <c r="A39861" t="inlineStr">
        <is>
          <t>Kalupag</t>
        </is>
      </c>
    </row>
    <row r="39862" spans="1:1">
      <c r="A39862" t="inlineStr">
        <is>
          <t>Kiniktal</t>
        </is>
      </c>
    </row>
    <row r="39863" spans="1:1">
      <c r="A39863" t="inlineStr">
        <is>
          <t>Languyan Proper</t>
        </is>
      </c>
    </row>
    <row r="39864" spans="1:1">
      <c r="A39864" t="inlineStr">
        <is>
          <t>Marang-marang</t>
        </is>
      </c>
    </row>
    <row r="39865" spans="1:1">
      <c r="A39865" t="inlineStr">
        <is>
          <t>Maraning</t>
        </is>
      </c>
    </row>
    <row r="39866" spans="1:1">
      <c r="A39866" t="inlineStr">
        <is>
          <t>Parang Pantay</t>
        </is>
      </c>
    </row>
    <row r="39867" spans="1:1">
      <c r="A39867" t="inlineStr">
        <is>
          <t>Sikullis</t>
        </is>
      </c>
    </row>
    <row r="39868" spans="1:1">
      <c r="A39868" t="inlineStr">
        <is>
          <t>Simalak</t>
        </is>
      </c>
    </row>
    <row r="39869" spans="1:1">
      <c r="A39869" t="inlineStr">
        <is>
          <t>Tubig Dakula</t>
        </is>
      </c>
    </row>
    <row r="39870" spans="1:1">
      <c r="A39870" t="inlineStr">
        <is>
          <t>Tuhog-tuhog</t>
        </is>
      </c>
    </row>
    <row r="39871" spans="1:1">
      <c r="A39871" t="inlineStr">
        <is>
          <t>Tumahubong</t>
        </is>
      </c>
    </row>
    <row r="39872" spans="1:1">
      <c r="A39872" t="inlineStr">
        <is>
          <t>Tumbagaan</t>
        </is>
      </c>
    </row>
    <row r="39873" spans="1:1">
      <c r="A39873" t="inlineStr">
        <is>
          <t>Boki</t>
        </is>
      </c>
    </row>
    <row r="39874" spans="1:1">
      <c r="A39874" t="inlineStr">
        <is>
          <t>Duhul Batu</t>
        </is>
      </c>
    </row>
    <row r="39875" spans="1:1">
      <c r="A39875" t="inlineStr">
        <is>
          <t>Erok-erok</t>
        </is>
      </c>
    </row>
    <row r="39876" spans="1:1">
      <c r="A39876" t="inlineStr">
        <is>
          <t>Guppah</t>
        </is>
      </c>
    </row>
    <row r="39877" spans="1:1">
      <c r="A39877" t="inlineStr">
        <is>
          <t>Kompang</t>
        </is>
      </c>
    </row>
    <row r="39878" spans="1:1">
      <c r="A39878" t="inlineStr">
        <is>
          <t>Liyubud</t>
        </is>
      </c>
    </row>
    <row r="39879" spans="1:1">
      <c r="A39879" t="inlineStr">
        <is>
          <t>Lubbak Parang</t>
        </is>
      </c>
    </row>
    <row r="39880" spans="1:1">
      <c r="A39880" t="inlineStr">
        <is>
          <t>Lupa Pula</t>
        </is>
      </c>
    </row>
    <row r="39881" spans="1:1">
      <c r="A39881" t="inlineStr">
        <is>
          <t>Mahalo</t>
        </is>
      </c>
    </row>
    <row r="39882" spans="1:1">
      <c r="A39882" t="inlineStr">
        <is>
          <t>Pawan</t>
        </is>
      </c>
    </row>
    <row r="39883" spans="1:1">
      <c r="A39883" t="inlineStr">
        <is>
          <t>Sapa</t>
        </is>
      </c>
    </row>
    <row r="39884" spans="1:1">
      <c r="A39884" t="inlineStr">
        <is>
          <t>Sikub</t>
        </is>
      </c>
    </row>
    <row r="39885" spans="1:1">
      <c r="A39885" t="inlineStr">
        <is>
          <t>Tabulian</t>
        </is>
      </c>
    </row>
    <row r="39886" spans="1:1">
      <c r="A39886" t="inlineStr">
        <is>
          <t>Tanduan</t>
        </is>
      </c>
    </row>
    <row r="39887" spans="1:1">
      <c r="A39887" t="inlineStr">
        <is>
          <t>Umus Mataha</t>
        </is>
      </c>
    </row>
    <row r="39888" spans="1:1">
      <c r="A39888" t="inlineStr">
        <is>
          <t>Balimbing Proper</t>
        </is>
      </c>
    </row>
    <row r="39889" spans="1:1">
      <c r="A39889" t="inlineStr">
        <is>
          <t>Batu-batu</t>
        </is>
      </c>
    </row>
    <row r="39890" spans="1:1">
      <c r="A39890" t="inlineStr">
        <is>
          <t>Bauno Garing</t>
        </is>
      </c>
    </row>
    <row r="39891" spans="1:1">
      <c r="A39891" t="inlineStr">
        <is>
          <t>Belatan Halu</t>
        </is>
      </c>
    </row>
    <row r="39892" spans="1:1">
      <c r="A39892" t="inlineStr">
        <is>
          <t>Buan</t>
        </is>
      </c>
    </row>
    <row r="39893" spans="1:1">
      <c r="A39893" t="inlineStr">
        <is>
          <t>Dungon</t>
        </is>
      </c>
    </row>
    <row r="39894" spans="1:1">
      <c r="A39894" t="inlineStr">
        <is>
          <t>Karaha</t>
        </is>
      </c>
    </row>
    <row r="39895" spans="1:1">
      <c r="A39895" t="inlineStr">
        <is>
          <t>Kulape</t>
        </is>
      </c>
    </row>
    <row r="39896" spans="1:1">
      <c r="A39896" t="inlineStr">
        <is>
          <t>Liyaburan</t>
        </is>
      </c>
    </row>
    <row r="39897" spans="1:1">
      <c r="A39897" t="inlineStr">
        <is>
          <t>Luuk Buntal</t>
        </is>
      </c>
    </row>
    <row r="39898" spans="1:1">
      <c r="A39898" t="inlineStr">
        <is>
          <t>Magsaggaw</t>
        </is>
      </c>
    </row>
    <row r="39899" spans="1:1">
      <c r="A39899" t="inlineStr">
        <is>
          <t>Malacca</t>
        </is>
      </c>
    </row>
    <row r="39900" spans="1:1">
      <c r="A39900" t="inlineStr">
        <is>
          <t>Parangan</t>
        </is>
      </c>
    </row>
    <row r="39901" spans="1:1">
      <c r="A39901" t="inlineStr">
        <is>
          <t>Sumangday</t>
        </is>
      </c>
    </row>
    <row r="39902" spans="1:1">
      <c r="A39902" t="inlineStr">
        <is>
          <t>Tabunan</t>
        </is>
      </c>
    </row>
    <row r="39903" spans="1:1">
      <c r="A39903" t="inlineStr">
        <is>
          <t>Tundon</t>
        </is>
      </c>
    </row>
    <row r="39904" spans="1:1">
      <c r="A39904" t="inlineStr">
        <is>
          <t>Tungbangkaw</t>
        </is>
      </c>
    </row>
    <row r="39905" spans="1:1">
      <c r="A39905" t="inlineStr">
        <is>
          <t>Baldatal Islam</t>
        </is>
      </c>
    </row>
    <row r="39906" spans="1:1">
      <c r="A39906" t="inlineStr">
        <is>
          <t>Butun</t>
        </is>
      </c>
    </row>
    <row r="39907" spans="1:1">
      <c r="A39907" t="inlineStr">
        <is>
          <t>Dalo-dalo</t>
        </is>
      </c>
    </row>
    <row r="39908" spans="1:1">
      <c r="A39908" t="inlineStr">
        <is>
          <t>Kohec</t>
        </is>
      </c>
    </row>
    <row r="39909" spans="1:1">
      <c r="A39909" t="inlineStr">
        <is>
          <t>Lakit-lakit</t>
        </is>
      </c>
    </row>
    <row r="39910" spans="1:1">
      <c r="A39910" t="inlineStr">
        <is>
          <t>Latuan</t>
        </is>
      </c>
    </row>
    <row r="39911" spans="1:1">
      <c r="A39911" t="inlineStr">
        <is>
          <t>Look Natuh</t>
        </is>
      </c>
    </row>
    <row r="39912" spans="1:1">
      <c r="A39912" t="inlineStr">
        <is>
          <t>Lookan Banaran</t>
        </is>
      </c>
    </row>
    <row r="39913" spans="1:1">
      <c r="A39913" t="inlineStr">
        <is>
          <t>Lookan Latuan</t>
        </is>
      </c>
    </row>
    <row r="39914" spans="1:1">
      <c r="A39914" t="inlineStr">
        <is>
          <t>Malanta</t>
        </is>
      </c>
    </row>
    <row r="39915" spans="1:1">
      <c r="A39915" t="inlineStr">
        <is>
          <t>Mantabuan Tabunan</t>
        </is>
      </c>
    </row>
    <row r="39916" spans="1:1">
      <c r="A39916" t="inlineStr">
        <is>
          <t>Nunuk Likud Sikubong</t>
        </is>
      </c>
    </row>
    <row r="39917" spans="1:1">
      <c r="A39917" t="inlineStr">
        <is>
          <t>Palate Gadjaminah</t>
        </is>
      </c>
    </row>
    <row r="39918" spans="1:1">
      <c r="A39918" t="inlineStr">
        <is>
          <t>Pamasan</t>
        </is>
      </c>
    </row>
    <row r="39919" spans="1:1">
      <c r="A39919" t="inlineStr">
        <is>
          <t>Sapa-sapa</t>
        </is>
      </c>
    </row>
    <row r="39920" spans="1:1">
      <c r="A39920" t="inlineStr">
        <is>
          <t>Sapaat</t>
        </is>
      </c>
    </row>
    <row r="39921" spans="1:1">
      <c r="A39921" t="inlineStr">
        <is>
          <t>Sukah-sukah</t>
        </is>
      </c>
    </row>
    <row r="39922" spans="1:1">
      <c r="A39922" t="inlineStr">
        <is>
          <t>Tabunan Likud Sikubong</t>
        </is>
      </c>
    </row>
    <row r="39923" spans="1:1">
      <c r="A39923" t="inlineStr">
        <is>
          <t>Tangngah</t>
        </is>
      </c>
    </row>
    <row r="39924" spans="1:1">
      <c r="A39924" t="inlineStr">
        <is>
          <t>Tapian Bohe North</t>
        </is>
      </c>
    </row>
    <row r="39925" spans="1:1">
      <c r="A39925" t="inlineStr">
        <is>
          <t>Tapian Bohe South</t>
        </is>
      </c>
    </row>
    <row r="39926" spans="1:1">
      <c r="A39926" t="inlineStr">
        <is>
          <t>Tonggusong Banaran</t>
        </is>
      </c>
    </row>
    <row r="39927" spans="1:1">
      <c r="A39927" t="inlineStr">
        <is>
          <t>Tup-tup Banaran</t>
        </is>
      </c>
    </row>
    <row r="39928" spans="1:1">
      <c r="A39928" t="inlineStr">
        <is>
          <t>Ambulong Sapal</t>
        </is>
      </c>
    </row>
    <row r="39929" spans="1:1">
      <c r="A39929" t="inlineStr">
        <is>
          <t>Datu Amilhamja Jaafar</t>
        </is>
      </c>
    </row>
    <row r="39930" spans="1:1">
      <c r="A39930" t="inlineStr">
        <is>
          <t>Hadji Imam Bidin</t>
        </is>
      </c>
    </row>
    <row r="39931" spans="1:1">
      <c r="A39931" t="inlineStr">
        <is>
          <t>Hadji Mohtar Sulayman</t>
        </is>
      </c>
    </row>
    <row r="39932" spans="1:1">
      <c r="A39932" t="inlineStr">
        <is>
          <t>Hadji Taha</t>
        </is>
      </c>
    </row>
    <row r="39933" spans="1:1">
      <c r="A39933" t="inlineStr">
        <is>
          <t>Imam Hadji Mohammad</t>
        </is>
      </c>
    </row>
    <row r="39934" spans="1:1">
      <c r="A39934" t="inlineStr">
        <is>
          <t>Ligayan</t>
        </is>
      </c>
    </row>
    <row r="39935" spans="1:1">
      <c r="A39935" t="inlineStr">
        <is>
          <t>Nunukan</t>
        </is>
      </c>
    </row>
    <row r="39936" spans="1:1">
      <c r="A39936" t="inlineStr">
        <is>
          <t>Sheik Makdum</t>
        </is>
      </c>
    </row>
    <row r="39937" spans="1:1">
      <c r="A39937" t="inlineStr">
        <is>
          <t>Sibutu</t>
        </is>
      </c>
    </row>
    <row r="39938" spans="1:1">
      <c r="A39938" t="inlineStr">
        <is>
          <t>Talisay</t>
        </is>
      </c>
    </row>
    <row r="39939" spans="1:1">
      <c r="A39939" t="inlineStr">
        <is>
          <t>Tandu Banak</t>
        </is>
      </c>
    </row>
    <row r="39940" spans="1:1">
      <c r="A39940" t="inlineStr">
        <is>
          <t>Taungoh</t>
        </is>
      </c>
    </row>
    <row r="39941" spans="1:1">
      <c r="A39941" t="inlineStr">
        <is>
          <t>Tongehat</t>
        </is>
      </c>
    </row>
    <row r="39942" spans="1:1">
      <c r="A39942" t="inlineStr">
        <is>
          <t>Tongsibalo</t>
        </is>
      </c>
    </row>
    <row r="39943" spans="1:1">
      <c r="A39943" t="inlineStr">
        <is>
          <t>Ungus-ungus</t>
        </is>
      </c>
    </row>
    <row r="39944" spans="1:1">
      <c r="A39944" t="inlineStr">
        <is>
          <t>Bagid*</t>
        </is>
      </c>
    </row>
    <row r="39945" spans="1:1">
      <c r="A39945" t="inlineStr">
        <is>
          <t>Bakong</t>
        </is>
      </c>
    </row>
    <row r="39946" spans="1:1">
      <c r="A39946" t="inlineStr">
        <is>
          <t>Doh-Tong</t>
        </is>
      </c>
    </row>
    <row r="39947" spans="1:1">
      <c r="A39947" t="inlineStr">
        <is>
          <t>Luuk Datan</t>
        </is>
      </c>
    </row>
    <row r="39948" spans="1:1">
      <c r="A39948" t="inlineStr">
        <is>
          <t>Manuk Mangkaw</t>
        </is>
      </c>
    </row>
    <row r="39949" spans="1:1">
      <c r="A39949" t="inlineStr">
        <is>
          <t>Maruwa</t>
        </is>
      </c>
    </row>
    <row r="39950" spans="1:1">
      <c r="A39950" t="inlineStr">
        <is>
          <t>Mongkay</t>
        </is>
      </c>
    </row>
    <row r="39951" spans="1:1">
      <c r="A39951" t="inlineStr">
        <is>
          <t>Pagasinan</t>
        </is>
      </c>
    </row>
    <row r="39952" spans="1:1">
      <c r="A39952" t="inlineStr">
        <is>
          <t>Panglima Mastul</t>
        </is>
      </c>
    </row>
    <row r="39953" spans="1:1">
      <c r="A39953" t="inlineStr">
        <is>
          <t>Sukah-Bulan</t>
        </is>
      </c>
    </row>
    <row r="39954" spans="1:1">
      <c r="A39954" t="inlineStr">
        <is>
          <t>Tampakan</t>
        </is>
      </c>
    </row>
    <row r="39955" spans="1:1">
      <c r="A39955" t="inlineStr">
        <is>
          <t>Timundon</t>
        </is>
      </c>
    </row>
    <row r="39956" spans="1:1">
      <c r="A39956" t="inlineStr">
        <is>
          <t>Tonggosong</t>
        </is>
      </c>
    </row>
    <row r="39957" spans="1:1">
      <c r="A39957" t="inlineStr">
        <is>
          <t>Tubig Indangan</t>
        </is>
      </c>
    </row>
    <row r="39958" spans="1:1">
      <c r="A39958" t="inlineStr">
        <is>
          <t>Ubol</t>
        </is>
      </c>
    </row>
    <row r="39959" spans="1:1">
      <c r="A39959" t="inlineStr">
        <is>
          <t>Datu Baguinda Putih</t>
        </is>
      </c>
    </row>
    <row r="39960" spans="1:1">
      <c r="A39960" t="inlineStr">
        <is>
          <t>Imam Sapie</t>
        </is>
      </c>
    </row>
    <row r="39961" spans="1:1">
      <c r="A39961" t="inlineStr">
        <is>
          <t>North Larap</t>
        </is>
      </c>
    </row>
    <row r="39962" spans="1:1">
      <c r="A39962" t="inlineStr">
        <is>
          <t>Panglima Alari</t>
        </is>
      </c>
    </row>
    <row r="39963" spans="1:1">
      <c r="A39963" t="inlineStr">
        <is>
          <t>Sipangkot</t>
        </is>
      </c>
    </row>
    <row r="39964" spans="1:1">
      <c r="A39964" t="inlineStr">
        <is>
          <t>Sitangkai Poblacion</t>
        </is>
      </c>
    </row>
    <row r="39965" spans="1:1">
      <c r="A39965" t="inlineStr">
        <is>
          <t>South Larap</t>
        </is>
      </c>
    </row>
    <row r="39966" spans="1:1">
      <c r="A39966" t="inlineStr">
        <is>
          <t>Tongmageng</t>
        </is>
      </c>
    </row>
    <row r="39967" spans="1:1">
      <c r="A39967" t="inlineStr">
        <is>
          <t>Tongusong</t>
        </is>
      </c>
    </row>
    <row r="39968" spans="1:1">
      <c r="A39968" t="inlineStr">
        <is>
          <t>Babagan</t>
        </is>
      </c>
    </row>
    <row r="39969" spans="1:1">
      <c r="A39969" t="inlineStr">
        <is>
          <t>Bengkol</t>
        </is>
      </c>
    </row>
    <row r="39970" spans="1:1">
      <c r="A39970" t="inlineStr">
        <is>
          <t>Bintawlan</t>
        </is>
      </c>
    </row>
    <row r="39971" spans="1:1">
      <c r="A39971" t="inlineStr">
        <is>
          <t>Bohe</t>
        </is>
      </c>
    </row>
    <row r="39972" spans="1:1">
      <c r="A39972" t="inlineStr">
        <is>
          <t>Bubuan</t>
        </is>
      </c>
    </row>
    <row r="39973" spans="1:1">
      <c r="A39973" t="inlineStr">
        <is>
          <t>Bunay Bunay Center</t>
        </is>
      </c>
    </row>
    <row r="39974" spans="1:1">
      <c r="A39974" t="inlineStr">
        <is>
          <t>Bunay Bunay Lookan</t>
        </is>
      </c>
    </row>
    <row r="39975" spans="1:1">
      <c r="A39975" t="inlineStr">
        <is>
          <t>Bunay Bunay Tong</t>
        </is>
      </c>
    </row>
    <row r="39976" spans="1:1">
      <c r="A39976" t="inlineStr">
        <is>
          <t>East Talisay</t>
        </is>
      </c>
    </row>
    <row r="39977" spans="1:1">
      <c r="A39977" t="inlineStr">
        <is>
          <t>Lahad Dampong</t>
        </is>
      </c>
    </row>
    <row r="39978" spans="1:1">
      <c r="A39978" t="inlineStr">
        <is>
          <t>Laitan</t>
        </is>
      </c>
    </row>
    <row r="39979" spans="1:1">
      <c r="A39979" t="inlineStr">
        <is>
          <t>Lambi-lambian</t>
        </is>
      </c>
    </row>
    <row r="39980" spans="1:1">
      <c r="A39980" t="inlineStr">
        <is>
          <t>Laud</t>
        </is>
      </c>
    </row>
    <row r="39981" spans="1:1">
      <c r="A39981" t="inlineStr">
        <is>
          <t>Likud Dampong</t>
        </is>
      </c>
    </row>
    <row r="39982" spans="1:1">
      <c r="A39982" t="inlineStr">
        <is>
          <t>Likud Tabawan</t>
        </is>
      </c>
    </row>
    <row r="39983" spans="1:1">
      <c r="A39983" t="inlineStr">
        <is>
          <t>Nunuk</t>
        </is>
      </c>
    </row>
    <row r="39984" spans="1:1">
      <c r="A39984" t="inlineStr">
        <is>
          <t>Nusa</t>
        </is>
      </c>
    </row>
    <row r="39985" spans="1:1">
      <c r="A39985" t="inlineStr">
        <is>
          <t>Nusa-nusa</t>
        </is>
      </c>
    </row>
    <row r="39986" spans="1:1">
      <c r="A39986" t="inlineStr">
        <is>
          <t>Pampang</t>
        </is>
      </c>
    </row>
    <row r="39987" spans="1:1">
      <c r="A39987" t="inlineStr">
        <is>
          <t>Putat</t>
        </is>
      </c>
    </row>
    <row r="39988" spans="1:1">
      <c r="A39988" t="inlineStr">
        <is>
          <t>Sollogan</t>
        </is>
      </c>
    </row>
    <row r="39989" spans="1:1">
      <c r="A39989" t="inlineStr">
        <is>
          <t>Talisay</t>
        </is>
      </c>
    </row>
    <row r="39990" spans="1:1">
      <c r="A39990" t="inlineStr">
        <is>
          <t>Tampakan Dampong</t>
        </is>
      </c>
    </row>
    <row r="39991" spans="1:1">
      <c r="A39991" t="inlineStr">
        <is>
          <t>Tangngah</t>
        </is>
      </c>
    </row>
    <row r="39992" spans="1:1">
      <c r="A39992" t="inlineStr">
        <is>
          <t>Tinda-tindahan</t>
        </is>
      </c>
    </row>
    <row r="39993" spans="1:1">
      <c r="A39993" t="inlineStr">
        <is>
          <t>Tong Tampakan</t>
        </is>
      </c>
    </row>
    <row r="39994" spans="1:1">
      <c r="A39994" t="inlineStr">
        <is>
          <t>Tubig Dayang</t>
        </is>
      </c>
    </row>
    <row r="39995" spans="1:1">
      <c r="A39995" t="inlineStr">
        <is>
          <t>Tubig Dayang Center</t>
        </is>
      </c>
    </row>
    <row r="39996" spans="1:1">
      <c r="A39996" t="inlineStr">
        <is>
          <t>Tubig Dayang Riverside</t>
        </is>
      </c>
    </row>
    <row r="39997" spans="1:1">
      <c r="A39997" t="inlineStr">
        <is>
          <t>Tukkai</t>
        </is>
      </c>
    </row>
    <row r="39998" spans="1:1">
      <c r="A39998" t="inlineStr">
        <is>
          <t>Unas-unas</t>
        </is>
      </c>
    </row>
    <row r="39999" spans="1:1">
      <c r="A39999" t="inlineStr">
        <is>
          <t>Baliungan</t>
        </is>
      </c>
    </row>
    <row r="40000" spans="1:1">
      <c r="A40000" t="inlineStr">
        <is>
          <t>Ballak</t>
        </is>
      </c>
    </row>
    <row r="40001" spans="1:1">
      <c r="A40001" t="inlineStr">
        <is>
          <t>Butun</t>
        </is>
      </c>
    </row>
    <row r="40002" spans="1:1">
      <c r="A40002" t="inlineStr">
        <is>
          <t>Himbah</t>
        </is>
      </c>
    </row>
    <row r="40003" spans="1:1">
      <c r="A40003" t="inlineStr">
        <is>
          <t>Kakoong</t>
        </is>
      </c>
    </row>
    <row r="40004" spans="1:1">
      <c r="A40004" t="inlineStr">
        <is>
          <t>Kalang-kalang</t>
        </is>
      </c>
    </row>
    <row r="40005" spans="1:1">
      <c r="A40005" t="inlineStr">
        <is>
          <t>Kepeng</t>
        </is>
      </c>
    </row>
    <row r="40006" spans="1:1">
      <c r="A40006" t="inlineStr">
        <is>
          <t>Lahay-lahay</t>
        </is>
      </c>
    </row>
    <row r="40007" spans="1:1">
      <c r="A40007" t="inlineStr">
        <is>
          <t>Naungan</t>
        </is>
      </c>
    </row>
    <row r="40008" spans="1:1">
      <c r="A40008" t="inlineStr">
        <is>
          <t>Salamat</t>
        </is>
      </c>
    </row>
    <row r="40009" spans="1:1">
      <c r="A40009" t="inlineStr">
        <is>
          <t>Sallangan</t>
        </is>
      </c>
    </row>
    <row r="40010" spans="1:1">
      <c r="A40010" t="inlineStr">
        <is>
          <t>Sapa</t>
        </is>
      </c>
    </row>
    <row r="40011" spans="1:1">
      <c r="A40011" t="inlineStr">
        <is>
          <t>Sibakloon</t>
        </is>
      </c>
    </row>
    <row r="40012" spans="1:1">
      <c r="A40012" t="inlineStr">
        <is>
          <t>Silantup</t>
        </is>
      </c>
    </row>
    <row r="40013" spans="1:1">
      <c r="A40013" t="inlineStr">
        <is>
          <t>Tandubato</t>
        </is>
      </c>
    </row>
    <row r="40014" spans="1:1">
      <c r="A40014" t="inlineStr">
        <is>
          <t>Tangngah</t>
        </is>
      </c>
    </row>
    <row r="40015" spans="1:1">
      <c r="A40015" t="inlineStr">
        <is>
          <t>Tapian</t>
        </is>
      </c>
    </row>
    <row r="40016" spans="1:1">
      <c r="A40016" t="inlineStr">
        <is>
          <t>Tapian Sukah</t>
        </is>
      </c>
    </row>
    <row r="40017" spans="1:1">
      <c r="A40017" t="inlineStr">
        <is>
          <t>Taruk</t>
        </is>
      </c>
    </row>
    <row r="40018" spans="1:1">
      <c r="A40018" t="inlineStr">
        <is>
          <t>Tongbangkaw</t>
        </is>
      </c>
    </row>
    <row r="40019" spans="1:1">
      <c r="A40019" t="inlineStr">
        <is>
          <t>Likud Bakkao</t>
        </is>
      </c>
    </row>
    <row r="40020" spans="1:1">
      <c r="A40020" t="inlineStr">
        <is>
          <t>Taganak Poblacion</t>
        </is>
      </c>
    </row>
    <row r="40021" spans="1:1">
      <c r="A40021" t="inlineStr">
        <is>
          <t>Bancal</t>
        </is>
      </c>
    </row>
    <row r="40022" spans="1:1">
      <c r="A40022" t="inlineStr">
        <is>
          <t>Bangan</t>
        </is>
      </c>
    </row>
    <row r="40023" spans="1:1">
      <c r="A40023" t="inlineStr">
        <is>
          <t>Batonlapoc</t>
        </is>
      </c>
    </row>
    <row r="40024" spans="1:1">
      <c r="A40024" t="inlineStr">
        <is>
          <t>Belbel</t>
        </is>
      </c>
    </row>
    <row r="40025" spans="1:1">
      <c r="A40025" t="inlineStr">
        <is>
          <t>Beneg</t>
        </is>
      </c>
    </row>
    <row r="40026" spans="1:1">
      <c r="A40026" t="inlineStr">
        <is>
          <t>Binoclutan</t>
        </is>
      </c>
    </row>
    <row r="40027" spans="1:1">
      <c r="A40027" t="inlineStr">
        <is>
          <t>Burgos</t>
        </is>
      </c>
    </row>
    <row r="40028" spans="1:1">
      <c r="A40028" t="inlineStr">
        <is>
          <t>Cabatuan</t>
        </is>
      </c>
    </row>
    <row r="40029" spans="1:1">
      <c r="A40029" t="inlineStr">
        <is>
          <t>Capayawan</t>
        </is>
      </c>
    </row>
    <row r="40030" spans="1:1">
      <c r="A40030" t="inlineStr">
        <is>
          <t>Carael</t>
        </is>
      </c>
    </row>
    <row r="40031" spans="1:1">
      <c r="A40031" t="inlineStr">
        <is>
          <t>Danacbunga</t>
        </is>
      </c>
    </row>
    <row r="40032" spans="1:1">
      <c r="A40032" t="inlineStr">
        <is>
          <t>Maguisguis</t>
        </is>
      </c>
    </row>
    <row r="40033" spans="1:1">
      <c r="A40033" t="inlineStr">
        <is>
          <t>Malomboy</t>
        </is>
      </c>
    </row>
    <row r="40034" spans="1:1">
      <c r="A40034" t="inlineStr">
        <is>
          <t>Mambog</t>
        </is>
      </c>
    </row>
    <row r="40035" spans="1:1">
      <c r="A40035" t="inlineStr">
        <is>
          <t>Moraza</t>
        </is>
      </c>
    </row>
    <row r="40036" spans="1:1">
      <c r="A40036" t="inlineStr">
        <is>
          <t>Nacolcol</t>
        </is>
      </c>
    </row>
    <row r="40037" spans="1:1">
      <c r="A40037" t="inlineStr">
        <is>
          <t>Owaog-Nebloc</t>
        </is>
      </c>
    </row>
    <row r="40038" spans="1:1">
      <c r="A40038" t="inlineStr">
        <is>
          <t>Paco</t>
        </is>
      </c>
    </row>
    <row r="40039" spans="1:1">
      <c r="A40039" t="inlineStr">
        <is>
          <t>Palis</t>
        </is>
      </c>
    </row>
    <row r="40040" spans="1:1">
      <c r="A40040" t="inlineStr">
        <is>
          <t>Panan</t>
        </is>
      </c>
    </row>
    <row r="40041" spans="1:1">
      <c r="A40041" t="inlineStr">
        <is>
          <t>Parel</t>
        </is>
      </c>
    </row>
    <row r="40042" spans="1:1">
      <c r="A40042" t="inlineStr">
        <is>
          <t>Paudpod</t>
        </is>
      </c>
    </row>
    <row r="40043" spans="1:1">
      <c r="A40043" t="inlineStr">
        <is>
          <t>Poonbato</t>
        </is>
      </c>
    </row>
    <row r="40044" spans="1:1">
      <c r="A40044" t="inlineStr">
        <is>
          <t>Porac</t>
        </is>
      </c>
    </row>
    <row r="40045" spans="1:1">
      <c r="A40045" t="inlineStr">
        <is>
          <t>San Isidro</t>
        </is>
      </c>
    </row>
    <row r="40046" spans="1:1">
      <c r="A40046" t="inlineStr">
        <is>
          <t>San Juan</t>
        </is>
      </c>
    </row>
    <row r="40047" spans="1:1">
      <c r="A40047" t="inlineStr">
        <is>
          <t>San Miguel</t>
        </is>
      </c>
    </row>
    <row r="40048" spans="1:1">
      <c r="A40048" t="inlineStr">
        <is>
          <t>Santiago</t>
        </is>
      </c>
    </row>
    <row r="40049" spans="1:1">
      <c r="A40049" t="inlineStr">
        <is>
          <t>Tampo</t>
        </is>
      </c>
    </row>
    <row r="40050" spans="1:1">
      <c r="A40050" t="inlineStr">
        <is>
          <t>Taugtog</t>
        </is>
      </c>
    </row>
    <row r="40051" spans="1:1">
      <c r="A40051" t="inlineStr">
        <is>
          <t>Villar</t>
        </is>
      </c>
    </row>
    <row r="40052" spans="1:1">
      <c r="A40052" t="inlineStr">
        <is>
          <t>Anonang</t>
        </is>
      </c>
    </row>
    <row r="40053" spans="1:1">
      <c r="A40053" t="inlineStr">
        <is>
          <t>Apo-apo</t>
        </is>
      </c>
    </row>
    <row r="40054" spans="1:1">
      <c r="A40054" t="inlineStr">
        <is>
          <t>Arew</t>
        </is>
      </c>
    </row>
    <row r="40055" spans="1:1">
      <c r="A40055" t="inlineStr">
        <is>
          <t>Banuanbayo</t>
        </is>
      </c>
    </row>
    <row r="40056" spans="1:1">
      <c r="A40056" t="inlineStr">
        <is>
          <t>Cadmang-Reserva</t>
        </is>
      </c>
    </row>
    <row r="40057" spans="1:1">
      <c r="A40057" t="inlineStr">
        <is>
          <t>Camiling (Camiing)</t>
        </is>
      </c>
    </row>
    <row r="40058" spans="1:1">
      <c r="A40058" t="inlineStr">
        <is>
          <t>Casabaan</t>
        </is>
      </c>
    </row>
    <row r="40059" spans="1:1">
      <c r="A40059" t="inlineStr">
        <is>
          <t>Del Carmen</t>
        </is>
      </c>
    </row>
    <row r="40060" spans="1:1">
      <c r="A40060" t="inlineStr">
        <is>
          <t>Dolores</t>
        </is>
      </c>
    </row>
    <row r="40061" spans="1:1">
      <c r="A40061" t="inlineStr">
        <is>
          <t>Felmida-Diaz</t>
        </is>
      </c>
    </row>
    <row r="40062" spans="1:1">
      <c r="A40062" t="inlineStr">
        <is>
          <t>Laoag</t>
        </is>
      </c>
    </row>
    <row r="40063" spans="1:1">
      <c r="A40063" t="inlineStr">
        <is>
          <t>Lomboy</t>
        </is>
      </c>
    </row>
    <row r="40064" spans="1:1">
      <c r="A40064" t="inlineStr">
        <is>
          <t>Longos</t>
        </is>
      </c>
    </row>
    <row r="40065" spans="1:1">
      <c r="A40065" t="inlineStr">
        <is>
          <t>Mabanglit</t>
        </is>
      </c>
    </row>
    <row r="40066" spans="1:1">
      <c r="A40066" t="inlineStr">
        <is>
          <t>New San Juan</t>
        </is>
      </c>
    </row>
    <row r="40067" spans="1:1">
      <c r="A40067" t="inlineStr">
        <is>
          <t>San Antonio</t>
        </is>
      </c>
    </row>
    <row r="40068" spans="1:1">
      <c r="A40068" t="inlineStr">
        <is>
          <t>San Isidro</t>
        </is>
      </c>
    </row>
    <row r="40069" spans="1:1">
      <c r="A40069" t="inlineStr">
        <is>
          <t>San Juan</t>
        </is>
      </c>
    </row>
    <row r="40070" spans="1:1">
      <c r="A40070" t="inlineStr">
        <is>
          <t>San Rafael</t>
        </is>
      </c>
    </row>
    <row r="40071" spans="1:1">
      <c r="A40071" t="inlineStr">
        <is>
          <t>Santa Rita</t>
        </is>
      </c>
    </row>
    <row r="40072" spans="1:1">
      <c r="A40072" t="inlineStr">
        <is>
          <t>Santo Niño</t>
        </is>
      </c>
    </row>
    <row r="40073" spans="1:1">
      <c r="A40073" t="inlineStr">
        <is>
          <t>Tondo</t>
        </is>
      </c>
    </row>
    <row r="40074" spans="1:1">
      <c r="A40074" t="inlineStr">
        <is>
          <t>Babancal</t>
        </is>
      </c>
    </row>
    <row r="40075" spans="1:1">
      <c r="A40075" t="inlineStr">
        <is>
          <t>Binabalian</t>
        </is>
      </c>
    </row>
    <row r="40076" spans="1:1">
      <c r="A40076" t="inlineStr">
        <is>
          <t>Catol</t>
        </is>
      </c>
    </row>
    <row r="40077" spans="1:1">
      <c r="A40077" t="inlineStr">
        <is>
          <t>Dampay</t>
        </is>
      </c>
    </row>
    <row r="40078" spans="1:1">
      <c r="A40078" t="inlineStr">
        <is>
          <t>Lauis</t>
        </is>
      </c>
    </row>
    <row r="40079" spans="1:1">
      <c r="A40079" t="inlineStr">
        <is>
          <t>Libertador</t>
        </is>
      </c>
    </row>
    <row r="40080" spans="1:1">
      <c r="A40080" t="inlineStr">
        <is>
          <t>Malabon</t>
        </is>
      </c>
    </row>
    <row r="40081" spans="1:1">
      <c r="A40081" t="inlineStr">
        <is>
          <t>Malimanga</t>
        </is>
      </c>
    </row>
    <row r="40082" spans="1:1">
      <c r="A40082" t="inlineStr">
        <is>
          <t>Pamibian</t>
        </is>
      </c>
    </row>
    <row r="40083" spans="1:1">
      <c r="A40083" t="inlineStr">
        <is>
          <t>Panayonan</t>
        </is>
      </c>
    </row>
    <row r="40084" spans="1:1">
      <c r="A40084" t="inlineStr">
        <is>
          <t>Pinagrealan</t>
        </is>
      </c>
    </row>
    <row r="40085" spans="1:1">
      <c r="A40085" t="inlineStr">
        <is>
          <t>Poblacion</t>
        </is>
      </c>
    </row>
    <row r="40086" spans="1:1">
      <c r="A40086" t="inlineStr">
        <is>
          <t>Sinabacan</t>
        </is>
      </c>
    </row>
    <row r="40087" spans="1:1">
      <c r="A40087" t="inlineStr">
        <is>
          <t>Taposo</t>
        </is>
      </c>
    </row>
    <row r="40088" spans="1:1">
      <c r="A40088" t="inlineStr">
        <is>
          <t>Uacon</t>
        </is>
      </c>
    </row>
    <row r="40089" spans="1:1">
      <c r="A40089" t="inlineStr">
        <is>
          <t>Yamot</t>
        </is>
      </c>
    </row>
    <row r="40090" spans="1:1">
      <c r="A40090" t="inlineStr">
        <is>
          <t>Balaybay</t>
        </is>
      </c>
    </row>
    <row r="40091" spans="1:1">
      <c r="A40091" t="inlineStr">
        <is>
          <t>Buenavista</t>
        </is>
      </c>
    </row>
    <row r="40092" spans="1:1">
      <c r="A40092" t="inlineStr">
        <is>
          <t>Del Pilar</t>
        </is>
      </c>
    </row>
    <row r="40093" spans="1:1">
      <c r="A40093" t="inlineStr">
        <is>
          <t>Looc</t>
        </is>
      </c>
    </row>
    <row r="40094" spans="1:1">
      <c r="A40094" t="inlineStr">
        <is>
          <t>Magsaysay</t>
        </is>
      </c>
    </row>
    <row r="40095" spans="1:1">
      <c r="A40095" t="inlineStr">
        <is>
          <t>Nagbayan</t>
        </is>
      </c>
    </row>
    <row r="40096" spans="1:1">
      <c r="A40096" t="inlineStr">
        <is>
          <t>Nagbunga</t>
        </is>
      </c>
    </row>
    <row r="40097" spans="1:1">
      <c r="A40097" t="inlineStr">
        <is>
          <t>San Agustin</t>
        </is>
      </c>
    </row>
    <row r="40098" spans="1:1">
      <c r="A40098" t="inlineStr">
        <is>
          <t>San Jose</t>
        </is>
      </c>
    </row>
    <row r="40099" spans="1:1">
      <c r="A40099" t="inlineStr">
        <is>
          <t>San Juan</t>
        </is>
      </c>
    </row>
    <row r="40100" spans="1:1">
      <c r="A40100" t="inlineStr">
        <is>
          <t>San Nicolas</t>
        </is>
      </c>
    </row>
    <row r="40101" spans="1:1">
      <c r="A40101" t="inlineStr">
        <is>
          <t>San Pablo</t>
        </is>
      </c>
    </row>
    <row r="40102" spans="1:1">
      <c r="A40102" t="inlineStr">
        <is>
          <t>San Roque</t>
        </is>
      </c>
    </row>
    <row r="40103" spans="1:1">
      <c r="A40103" t="inlineStr">
        <is>
          <t>Santa Maria</t>
        </is>
      </c>
    </row>
    <row r="40104" spans="1:1">
      <c r="A40104" t="inlineStr">
        <is>
          <t>Amungan</t>
        </is>
      </c>
    </row>
    <row r="40105" spans="1:1">
      <c r="A40105" t="inlineStr">
        <is>
          <t>Bangantalinga</t>
        </is>
      </c>
    </row>
    <row r="40106" spans="1:1">
      <c r="A40106" t="inlineStr">
        <is>
          <t>Dirita-Baloguen</t>
        </is>
      </c>
    </row>
    <row r="40107" spans="1:1">
      <c r="A40107" t="inlineStr">
        <is>
          <t>Lipay-Dingin-Panibuatan</t>
        </is>
      </c>
    </row>
    <row r="40108" spans="1:1">
      <c r="A40108" t="inlineStr">
        <is>
          <t>Palanginan</t>
        </is>
      </c>
    </row>
    <row r="40109" spans="1:1">
      <c r="A40109" t="inlineStr">
        <is>
          <t>San Agustin</t>
        </is>
      </c>
    </row>
    <row r="40110" spans="1:1">
      <c r="A40110" t="inlineStr">
        <is>
          <t>Santa Barbara</t>
        </is>
      </c>
    </row>
    <row r="40111" spans="1:1">
      <c r="A40111" t="inlineStr">
        <is>
          <t>Santo Rosario</t>
        </is>
      </c>
    </row>
    <row r="40112" spans="1:1">
      <c r="A40112" t="inlineStr">
        <is>
          <t>Zone 1 Pob.</t>
        </is>
      </c>
    </row>
    <row r="40113" spans="1:1">
      <c r="A40113" t="inlineStr">
        <is>
          <t>Zone 2 Pob.</t>
        </is>
      </c>
    </row>
    <row r="40114" spans="1:1">
      <c r="A40114" t="inlineStr">
        <is>
          <t>Zone 3 Pob.</t>
        </is>
      </c>
    </row>
    <row r="40115" spans="1:1">
      <c r="A40115" t="inlineStr">
        <is>
          <t>Zone 4 Pob.</t>
        </is>
      </c>
    </row>
    <row r="40116" spans="1:1">
      <c r="A40116" t="inlineStr">
        <is>
          <t>Zone 5 Pob.</t>
        </is>
      </c>
    </row>
    <row r="40117" spans="1:1">
      <c r="A40117" t="inlineStr">
        <is>
          <t>Zone 6 Pob.</t>
        </is>
      </c>
    </row>
    <row r="40118" spans="1:1">
      <c r="A40118" t="inlineStr">
        <is>
          <t>Baloganon</t>
        </is>
      </c>
    </row>
    <row r="40119" spans="1:1">
      <c r="A40119" t="inlineStr">
        <is>
          <t>Bamban</t>
        </is>
      </c>
    </row>
    <row r="40120" spans="1:1">
      <c r="A40120" t="inlineStr">
        <is>
          <t>Bani</t>
        </is>
      </c>
    </row>
    <row r="40121" spans="1:1">
      <c r="A40121" t="inlineStr">
        <is>
          <t>Collat</t>
        </is>
      </c>
    </row>
    <row r="40122" spans="1:1">
      <c r="A40122" t="inlineStr">
        <is>
          <t>Inhobol</t>
        </is>
      </c>
    </row>
    <row r="40123" spans="1:1">
      <c r="A40123" t="inlineStr">
        <is>
          <t>North Poblacion</t>
        </is>
      </c>
    </row>
    <row r="40124" spans="1:1">
      <c r="A40124" t="inlineStr">
        <is>
          <t>San Lorenzo</t>
        </is>
      </c>
    </row>
    <row r="40125" spans="1:1">
      <c r="A40125" t="inlineStr">
        <is>
          <t>San Salvador</t>
        </is>
      </c>
    </row>
    <row r="40126" spans="1:1">
      <c r="A40126" t="inlineStr">
        <is>
          <t>Santa Rita</t>
        </is>
      </c>
    </row>
    <row r="40127" spans="1:1">
      <c r="A40127" t="inlineStr">
        <is>
          <t>Santo Rosario</t>
        </is>
      </c>
    </row>
    <row r="40128" spans="1:1">
      <c r="A40128" t="inlineStr">
        <is>
          <t>South Poblacion</t>
        </is>
      </c>
    </row>
    <row r="40129" spans="1:1">
      <c r="A40129" t="inlineStr">
        <is>
          <t>Taltal</t>
        </is>
      </c>
    </row>
    <row r="40130" spans="1:1">
      <c r="A40130" t="inlineStr">
        <is>
          <t>Tapuac</t>
        </is>
      </c>
    </row>
    <row r="40131" spans="1:1">
      <c r="A40131" t="inlineStr">
        <is>
          <t>Alwa</t>
        </is>
      </c>
    </row>
    <row r="40132" spans="1:1">
      <c r="A40132" t="inlineStr">
        <is>
          <t>Bato</t>
        </is>
      </c>
    </row>
    <row r="40133" spans="1:1">
      <c r="A40133" t="inlineStr">
        <is>
          <t>Bulawen</t>
        </is>
      </c>
    </row>
    <row r="40134" spans="1:1">
      <c r="A40134" t="inlineStr">
        <is>
          <t>Cauyan</t>
        </is>
      </c>
    </row>
    <row r="40135" spans="1:1">
      <c r="A40135" t="inlineStr">
        <is>
          <t>East Poblacion</t>
        </is>
      </c>
    </row>
    <row r="40136" spans="1:1">
      <c r="A40136" t="inlineStr">
        <is>
          <t>Garreta</t>
        </is>
      </c>
    </row>
    <row r="40137" spans="1:1">
      <c r="A40137" t="inlineStr">
        <is>
          <t>Libaba</t>
        </is>
      </c>
    </row>
    <row r="40138" spans="1:1">
      <c r="A40138" t="inlineStr">
        <is>
          <t>Liozon</t>
        </is>
      </c>
    </row>
    <row r="40139" spans="1:1">
      <c r="A40139" t="inlineStr">
        <is>
          <t>Lipay</t>
        </is>
      </c>
    </row>
    <row r="40140" spans="1:1">
      <c r="A40140" t="inlineStr">
        <is>
          <t>Locloc</t>
        </is>
      </c>
    </row>
    <row r="40141" spans="1:1">
      <c r="A40141" t="inlineStr">
        <is>
          <t>Macarang</t>
        </is>
      </c>
    </row>
    <row r="40142" spans="1:1">
      <c r="A40142" t="inlineStr">
        <is>
          <t>Magalawa</t>
        </is>
      </c>
    </row>
    <row r="40143" spans="1:1">
      <c r="A40143" t="inlineStr">
        <is>
          <t>Pangolingan</t>
        </is>
      </c>
    </row>
    <row r="40144" spans="1:1">
      <c r="A40144" t="inlineStr">
        <is>
          <t>Salaza</t>
        </is>
      </c>
    </row>
    <row r="40145" spans="1:1">
      <c r="A40145" t="inlineStr">
        <is>
          <t>San Juan</t>
        </is>
      </c>
    </row>
    <row r="40146" spans="1:1">
      <c r="A40146" t="inlineStr">
        <is>
          <t>Sto. Niño</t>
        </is>
      </c>
    </row>
    <row r="40147" spans="1:1">
      <c r="A40147" t="inlineStr">
        <is>
          <t>Sto. Tomas</t>
        </is>
      </c>
    </row>
    <row r="40148" spans="1:1">
      <c r="A40148" t="inlineStr">
        <is>
          <t>Tition</t>
        </is>
      </c>
    </row>
    <row r="40149" spans="1:1">
      <c r="A40149" t="inlineStr">
        <is>
          <t>West Poblacion</t>
        </is>
      </c>
    </row>
    <row r="40150" spans="1:1">
      <c r="A40150" t="inlineStr">
        <is>
          <t>Angeles</t>
        </is>
      </c>
    </row>
    <row r="40151" spans="1:1">
      <c r="A40151" t="inlineStr">
        <is>
          <t>Antipolo</t>
        </is>
      </c>
    </row>
    <row r="40152" spans="1:1">
      <c r="A40152" t="inlineStr">
        <is>
          <t>Burgos</t>
        </is>
      </c>
    </row>
    <row r="40153" spans="1:1">
      <c r="A40153" t="inlineStr">
        <is>
          <t>East Dirita</t>
        </is>
      </c>
    </row>
    <row r="40154" spans="1:1">
      <c r="A40154" t="inlineStr">
        <is>
          <t>Luna</t>
        </is>
      </c>
    </row>
    <row r="40155" spans="1:1">
      <c r="A40155" t="inlineStr">
        <is>
          <t>Pundaquit</t>
        </is>
      </c>
    </row>
    <row r="40156" spans="1:1">
      <c r="A40156" t="inlineStr">
        <is>
          <t>Rizal</t>
        </is>
      </c>
    </row>
    <row r="40157" spans="1:1">
      <c r="A40157" t="inlineStr">
        <is>
          <t>San Esteban</t>
        </is>
      </c>
    </row>
    <row r="40158" spans="1:1">
      <c r="A40158" t="inlineStr">
        <is>
          <t>San Gregorio</t>
        </is>
      </c>
    </row>
    <row r="40159" spans="1:1">
      <c r="A40159" t="inlineStr">
        <is>
          <t>San Juan</t>
        </is>
      </c>
    </row>
    <row r="40160" spans="1:1">
      <c r="A40160" t="inlineStr">
        <is>
          <t>San Miguel</t>
        </is>
      </c>
    </row>
    <row r="40161" spans="1:1">
      <c r="A40161" t="inlineStr">
        <is>
          <t>San Nicolas</t>
        </is>
      </c>
    </row>
    <row r="40162" spans="1:1">
      <c r="A40162" t="inlineStr">
        <is>
          <t>Santiago</t>
        </is>
      </c>
    </row>
    <row r="40163" spans="1:1">
      <c r="A40163" t="inlineStr">
        <is>
          <t>West Dirita</t>
        </is>
      </c>
    </row>
    <row r="40164" spans="1:1">
      <c r="A40164" t="inlineStr">
        <is>
          <t>Amagna</t>
        </is>
      </c>
    </row>
    <row r="40165" spans="1:1">
      <c r="A40165" t="inlineStr">
        <is>
          <t>Apostol</t>
        </is>
      </c>
    </row>
    <row r="40166" spans="1:1">
      <c r="A40166" t="inlineStr">
        <is>
          <t>Balincaguing</t>
        </is>
      </c>
    </row>
    <row r="40167" spans="1:1">
      <c r="A40167" t="inlineStr">
        <is>
          <t>Farañal</t>
        </is>
      </c>
    </row>
    <row r="40168" spans="1:1">
      <c r="A40168" t="inlineStr">
        <is>
          <t>Feria</t>
        </is>
      </c>
    </row>
    <row r="40169" spans="1:1">
      <c r="A40169" t="inlineStr">
        <is>
          <t>Maloma</t>
        </is>
      </c>
    </row>
    <row r="40170" spans="1:1">
      <c r="A40170" t="inlineStr">
        <is>
          <t>Manglicmot</t>
        </is>
      </c>
    </row>
    <row r="40171" spans="1:1">
      <c r="A40171" t="inlineStr">
        <is>
          <t>Rosete</t>
        </is>
      </c>
    </row>
    <row r="40172" spans="1:1">
      <c r="A40172" t="inlineStr">
        <is>
          <t>San Rafael</t>
        </is>
      </c>
    </row>
    <row r="40173" spans="1:1">
      <c r="A40173" t="inlineStr">
        <is>
          <t>Sindol</t>
        </is>
      </c>
    </row>
    <row r="40174" spans="1:1">
      <c r="A40174" t="inlineStr">
        <is>
          <t>Sto. Niño</t>
        </is>
      </c>
    </row>
    <row r="40175" spans="1:1">
      <c r="A40175" t="inlineStr">
        <is>
          <t>Aglao</t>
        </is>
      </c>
    </row>
    <row r="40176" spans="1:1">
      <c r="A40176" t="inlineStr">
        <is>
          <t>Buhawen</t>
        </is>
      </c>
    </row>
    <row r="40177" spans="1:1">
      <c r="A40177" t="inlineStr">
        <is>
          <t>Burgos</t>
        </is>
      </c>
    </row>
    <row r="40178" spans="1:1">
      <c r="A40178" t="inlineStr">
        <is>
          <t>Central</t>
        </is>
      </c>
    </row>
    <row r="40179" spans="1:1">
      <c r="A40179" t="inlineStr">
        <is>
          <t>Consuelo Norte</t>
        </is>
      </c>
    </row>
    <row r="40180" spans="1:1">
      <c r="A40180" t="inlineStr">
        <is>
          <t>Consuelo Sur</t>
        </is>
      </c>
    </row>
    <row r="40181" spans="1:1">
      <c r="A40181" t="inlineStr">
        <is>
          <t>La Paz</t>
        </is>
      </c>
    </row>
    <row r="40182" spans="1:1">
      <c r="A40182" t="inlineStr">
        <is>
          <t>Laoag</t>
        </is>
      </c>
    </row>
    <row r="40183" spans="1:1">
      <c r="A40183" t="inlineStr">
        <is>
          <t>Linasin</t>
        </is>
      </c>
    </row>
    <row r="40184" spans="1:1">
      <c r="A40184" t="inlineStr">
        <is>
          <t>Linusungan</t>
        </is>
      </c>
    </row>
    <row r="40185" spans="1:1">
      <c r="A40185" t="inlineStr">
        <is>
          <t>Lucero</t>
        </is>
      </c>
    </row>
    <row r="40186" spans="1:1">
      <c r="A40186" t="inlineStr">
        <is>
          <t>Nagbunga</t>
        </is>
      </c>
    </row>
    <row r="40187" spans="1:1">
      <c r="A40187" t="inlineStr">
        <is>
          <t>Rabanes</t>
        </is>
      </c>
    </row>
    <row r="40188" spans="1:1">
      <c r="A40188" t="inlineStr">
        <is>
          <t>Rizal</t>
        </is>
      </c>
    </row>
    <row r="40189" spans="1:1">
      <c r="A40189" t="inlineStr">
        <is>
          <t>San Guillermo</t>
        </is>
      </c>
    </row>
    <row r="40190" spans="1:1">
      <c r="A40190" t="inlineStr">
        <is>
          <t>San Isidro</t>
        </is>
      </c>
    </row>
    <row r="40191" spans="1:1">
      <c r="A40191" t="inlineStr">
        <is>
          <t>San Rafael</t>
        </is>
      </c>
    </row>
    <row r="40192" spans="1:1">
      <c r="A40192" t="inlineStr">
        <is>
          <t>Santa Fe</t>
        </is>
      </c>
    </row>
    <row r="40193" spans="1:1">
      <c r="A40193" t="inlineStr">
        <is>
          <t>Alusiis</t>
        </is>
      </c>
    </row>
    <row r="40194" spans="1:1">
      <c r="A40194" t="inlineStr">
        <is>
          <t>Beddeng</t>
        </is>
      </c>
    </row>
    <row r="40195" spans="1:1">
      <c r="A40195" t="inlineStr">
        <is>
          <t>Candelaria</t>
        </is>
      </c>
    </row>
    <row r="40196" spans="1:1">
      <c r="A40196" t="inlineStr">
        <is>
          <t>Dallipawen</t>
        </is>
      </c>
    </row>
    <row r="40197" spans="1:1">
      <c r="A40197" t="inlineStr">
        <is>
          <t>Grullo</t>
        </is>
      </c>
    </row>
    <row r="40198" spans="1:1">
      <c r="A40198" t="inlineStr">
        <is>
          <t>La Paz</t>
        </is>
      </c>
    </row>
    <row r="40199" spans="1:1">
      <c r="A40199" t="inlineStr">
        <is>
          <t>Libertad</t>
        </is>
      </c>
    </row>
    <row r="40200" spans="1:1">
      <c r="A40200" t="inlineStr">
        <is>
          <t>Namatacan</t>
        </is>
      </c>
    </row>
    <row r="40201" spans="1:1">
      <c r="A40201" t="inlineStr">
        <is>
          <t>Natividad</t>
        </is>
      </c>
    </row>
    <row r="40202" spans="1:1">
      <c r="A40202" t="inlineStr">
        <is>
          <t>Omaya</t>
        </is>
      </c>
    </row>
    <row r="40203" spans="1:1">
      <c r="A40203" t="inlineStr">
        <is>
          <t>Paite</t>
        </is>
      </c>
    </row>
    <row r="40204" spans="1:1">
      <c r="A40204" t="inlineStr">
        <is>
          <t>Patrocinio</t>
        </is>
      </c>
    </row>
    <row r="40205" spans="1:1">
      <c r="A40205" t="inlineStr">
        <is>
          <t>San Jose</t>
        </is>
      </c>
    </row>
    <row r="40206" spans="1:1">
      <c r="A40206" t="inlineStr">
        <is>
          <t>San Juan</t>
        </is>
      </c>
    </row>
    <row r="40207" spans="1:1">
      <c r="A40207" t="inlineStr">
        <is>
          <t>San Pascual</t>
        </is>
      </c>
    </row>
    <row r="40208" spans="1:1">
      <c r="A40208" t="inlineStr">
        <is>
          <t>San Rafael</t>
        </is>
      </c>
    </row>
    <row r="40209" spans="1:1">
      <c r="A40209" t="inlineStr">
        <is>
          <t>Simminublan</t>
        </is>
      </c>
    </row>
    <row r="40210" spans="1:1">
      <c r="A40210" t="inlineStr">
        <is>
          <t>Babuyan</t>
        </is>
      </c>
    </row>
    <row r="40211" spans="1:1">
      <c r="A40211" t="inlineStr">
        <is>
          <t>Bangcol</t>
        </is>
      </c>
    </row>
    <row r="40212" spans="1:1">
      <c r="A40212" t="inlineStr">
        <is>
          <t>Bayto</t>
        </is>
      </c>
    </row>
    <row r="40213" spans="1:1">
      <c r="A40213" t="inlineStr">
        <is>
          <t>Biay</t>
        </is>
      </c>
    </row>
    <row r="40214" spans="1:1">
      <c r="A40214" t="inlineStr">
        <is>
          <t>Bolitoc</t>
        </is>
      </c>
    </row>
    <row r="40215" spans="1:1">
      <c r="A40215" t="inlineStr">
        <is>
          <t>Bulawon</t>
        </is>
      </c>
    </row>
    <row r="40216" spans="1:1">
      <c r="A40216" t="inlineStr">
        <is>
          <t>Canaynayan</t>
        </is>
      </c>
    </row>
    <row r="40217" spans="1:1">
      <c r="A40217" t="inlineStr">
        <is>
          <t>Gama</t>
        </is>
      </c>
    </row>
    <row r="40218" spans="1:1">
      <c r="A40218" t="inlineStr">
        <is>
          <t>Guinabon</t>
        </is>
      </c>
    </row>
    <row r="40219" spans="1:1">
      <c r="A40219" t="inlineStr">
        <is>
          <t>Guisguis</t>
        </is>
      </c>
    </row>
    <row r="40220" spans="1:1">
      <c r="A40220" t="inlineStr">
        <is>
          <t>Lipay</t>
        </is>
      </c>
    </row>
    <row r="40221" spans="1:1">
      <c r="A40221" t="inlineStr">
        <is>
          <t>Lomboy</t>
        </is>
      </c>
    </row>
    <row r="40222" spans="1:1">
      <c r="A40222" t="inlineStr">
        <is>
          <t>Lucapon North</t>
        </is>
      </c>
    </row>
    <row r="40223" spans="1:1">
      <c r="A40223" t="inlineStr">
        <is>
          <t>Lucapon South</t>
        </is>
      </c>
    </row>
    <row r="40224" spans="1:1">
      <c r="A40224" t="inlineStr">
        <is>
          <t>Malabago</t>
        </is>
      </c>
    </row>
    <row r="40225" spans="1:1">
      <c r="A40225" t="inlineStr">
        <is>
          <t>Naulo</t>
        </is>
      </c>
    </row>
    <row r="40226" spans="1:1">
      <c r="A40226" t="inlineStr">
        <is>
          <t>Pagatpat</t>
        </is>
      </c>
    </row>
    <row r="40227" spans="1:1">
      <c r="A40227" t="inlineStr">
        <is>
          <t>Pamonoran</t>
        </is>
      </c>
    </row>
    <row r="40228" spans="1:1">
      <c r="A40228" t="inlineStr">
        <is>
          <t>Poblacion North</t>
        </is>
      </c>
    </row>
    <row r="40229" spans="1:1">
      <c r="A40229" t="inlineStr">
        <is>
          <t>Poblacion South</t>
        </is>
      </c>
    </row>
    <row r="40230" spans="1:1">
      <c r="A40230" t="inlineStr">
        <is>
          <t>Sabang</t>
        </is>
      </c>
    </row>
    <row r="40231" spans="1:1">
      <c r="A40231" t="inlineStr">
        <is>
          <t>San Fernando</t>
        </is>
      </c>
    </row>
    <row r="40232" spans="1:1">
      <c r="A40232" t="inlineStr">
        <is>
          <t>Tabalong</t>
        </is>
      </c>
    </row>
    <row r="40233" spans="1:1">
      <c r="A40233" t="inlineStr">
        <is>
          <t>Tubotubo North</t>
        </is>
      </c>
    </row>
    <row r="40234" spans="1:1">
      <c r="A40234" t="inlineStr">
        <is>
          <t>Tubotubo South</t>
        </is>
      </c>
    </row>
    <row r="40235" spans="1:1">
      <c r="A40235" t="inlineStr">
        <is>
          <t>Aningway Sacatihan</t>
        </is>
      </c>
    </row>
    <row r="40236" spans="1:1">
      <c r="A40236" t="inlineStr">
        <is>
          <t>Asinan Poblacion</t>
        </is>
      </c>
    </row>
    <row r="40237" spans="1:1">
      <c r="A40237" t="inlineStr">
        <is>
          <t>Asinan Proper</t>
        </is>
      </c>
    </row>
    <row r="40238" spans="1:1">
      <c r="A40238" t="inlineStr">
        <is>
          <t>Baraca-Camachile</t>
        </is>
      </c>
    </row>
    <row r="40239" spans="1:1">
      <c r="A40239" t="inlineStr">
        <is>
          <t>Batiawan</t>
        </is>
      </c>
    </row>
    <row r="40240" spans="1:1">
      <c r="A40240" t="inlineStr">
        <is>
          <t>Calapacuan</t>
        </is>
      </c>
    </row>
    <row r="40241" spans="1:1">
      <c r="A40241" t="inlineStr">
        <is>
          <t>Calapandayan</t>
        </is>
      </c>
    </row>
    <row r="40242" spans="1:1">
      <c r="A40242" t="inlineStr">
        <is>
          <t>Cawag</t>
        </is>
      </c>
    </row>
    <row r="40243" spans="1:1">
      <c r="A40243" t="inlineStr">
        <is>
          <t>Ilwas</t>
        </is>
      </c>
    </row>
    <row r="40244" spans="1:1">
      <c r="A40244" t="inlineStr">
        <is>
          <t>Mangan-Vaca</t>
        </is>
      </c>
    </row>
    <row r="40245" spans="1:1">
      <c r="A40245" t="inlineStr">
        <is>
          <t>Matain</t>
        </is>
      </c>
    </row>
    <row r="40246" spans="1:1">
      <c r="A40246" t="inlineStr">
        <is>
          <t>Naugsol</t>
        </is>
      </c>
    </row>
    <row r="40247" spans="1:1">
      <c r="A40247" t="inlineStr">
        <is>
          <t>Pamatawan</t>
        </is>
      </c>
    </row>
    <row r="40248" spans="1:1">
      <c r="A40248" t="inlineStr">
        <is>
          <t>San Isidro</t>
        </is>
      </c>
    </row>
    <row r="40249" spans="1:1">
      <c r="A40249" t="inlineStr">
        <is>
          <t>Santo Tomas</t>
        </is>
      </c>
    </row>
    <row r="40250" spans="1:1">
      <c r="A40250" t="inlineStr">
        <is>
          <t>Wawandue</t>
        </is>
      </c>
    </row>
    <row r="40251" spans="1:1">
      <c r="A40251" t="inlineStr">
        <is>
          <t>Alegria</t>
        </is>
      </c>
    </row>
    <row r="40252" spans="1:1">
      <c r="A40252" t="inlineStr">
        <is>
          <t>Diangas</t>
        </is>
      </c>
    </row>
    <row r="40253" spans="1:1">
      <c r="A40253" t="inlineStr">
        <is>
          <t>Diculom</t>
        </is>
      </c>
    </row>
    <row r="40254" spans="1:1">
      <c r="A40254" t="inlineStr">
        <is>
          <t>Guimotan</t>
        </is>
      </c>
    </row>
    <row r="40255" spans="1:1">
      <c r="A40255" t="inlineStr">
        <is>
          <t>Kauswagan</t>
        </is>
      </c>
    </row>
    <row r="40256" spans="1:1">
      <c r="A40256" t="inlineStr">
        <is>
          <t>Kilalaban</t>
        </is>
      </c>
    </row>
    <row r="40257" spans="1:1">
      <c r="A40257" t="inlineStr">
        <is>
          <t>Linay</t>
        </is>
      </c>
    </row>
    <row r="40258" spans="1:1">
      <c r="A40258" t="inlineStr">
        <is>
          <t>Lumay</t>
        </is>
      </c>
    </row>
    <row r="40259" spans="1:1">
      <c r="A40259" t="inlineStr">
        <is>
          <t>Malinao</t>
        </is>
      </c>
    </row>
    <row r="40260" spans="1:1">
      <c r="A40260" t="inlineStr">
        <is>
          <t>Mamad</t>
        </is>
      </c>
    </row>
    <row r="40261" spans="1:1">
      <c r="A40261" t="inlineStr">
        <is>
          <t>Mamawan</t>
        </is>
      </c>
    </row>
    <row r="40262" spans="1:1">
      <c r="A40262" t="inlineStr">
        <is>
          <t>Milidan</t>
        </is>
      </c>
    </row>
    <row r="40263" spans="1:1">
      <c r="A40263" t="inlineStr">
        <is>
          <t>Nonoyan</t>
        </is>
      </c>
    </row>
    <row r="40264" spans="1:1">
      <c r="A40264" t="inlineStr">
        <is>
          <t>Poblacion</t>
        </is>
      </c>
    </row>
    <row r="40265" spans="1:1">
      <c r="A40265" t="inlineStr">
        <is>
          <t>San Jose</t>
        </is>
      </c>
    </row>
    <row r="40266" spans="1:1">
      <c r="A40266" t="inlineStr">
        <is>
          <t>Tamao</t>
        </is>
      </c>
    </row>
    <row r="40267" spans="1:1">
      <c r="A40267" t="inlineStr">
        <is>
          <t>Tan-awan</t>
        </is>
      </c>
    </row>
    <row r="40268" spans="1:1">
      <c r="A40268" t="inlineStr">
        <is>
          <t>Aliguay</t>
        </is>
      </c>
    </row>
    <row r="40269" spans="1:1">
      <c r="A40269" t="inlineStr">
        <is>
          <t>Antipolo</t>
        </is>
      </c>
    </row>
    <row r="40270" spans="1:1">
      <c r="A40270" t="inlineStr">
        <is>
          <t>Aseniero</t>
        </is>
      </c>
    </row>
    <row r="40271" spans="1:1">
      <c r="A40271" t="inlineStr">
        <is>
          <t>Ba-ao</t>
        </is>
      </c>
    </row>
    <row r="40272" spans="1:1">
      <c r="A40272" t="inlineStr">
        <is>
          <t>Bagting</t>
        </is>
      </c>
    </row>
    <row r="40273" spans="1:1">
      <c r="A40273" t="inlineStr">
        <is>
          <t>Banbanan</t>
        </is>
      </c>
    </row>
    <row r="40274" spans="1:1">
      <c r="A40274" t="inlineStr">
        <is>
          <t>Banonong</t>
        </is>
      </c>
    </row>
    <row r="40275" spans="1:1">
      <c r="A40275" t="inlineStr">
        <is>
          <t>Barcelona</t>
        </is>
      </c>
    </row>
    <row r="40276" spans="1:1">
      <c r="A40276" t="inlineStr">
        <is>
          <t>Baylimango</t>
        </is>
      </c>
    </row>
    <row r="40277" spans="1:1">
      <c r="A40277" t="inlineStr">
        <is>
          <t>Burgos</t>
        </is>
      </c>
    </row>
    <row r="40278" spans="1:1">
      <c r="A40278" t="inlineStr">
        <is>
          <t>Canlucani</t>
        </is>
      </c>
    </row>
    <row r="40279" spans="1:1">
      <c r="A40279" t="inlineStr">
        <is>
          <t>Carang</t>
        </is>
      </c>
    </row>
    <row r="40280" spans="1:1">
      <c r="A40280" t="inlineStr">
        <is>
          <t>Cawa-cawa</t>
        </is>
      </c>
    </row>
    <row r="40281" spans="1:1">
      <c r="A40281" t="inlineStr">
        <is>
          <t>Dampalan</t>
        </is>
      </c>
    </row>
    <row r="40282" spans="1:1">
      <c r="A40282" t="inlineStr">
        <is>
          <t>Daro</t>
        </is>
      </c>
    </row>
    <row r="40283" spans="1:1">
      <c r="A40283" t="inlineStr">
        <is>
          <t>Dawo</t>
        </is>
      </c>
    </row>
    <row r="40284" spans="1:1">
      <c r="A40284" t="inlineStr">
        <is>
          <t>Diwa-an</t>
        </is>
      </c>
    </row>
    <row r="40285" spans="1:1">
      <c r="A40285" t="inlineStr">
        <is>
          <t>Guimputlan</t>
        </is>
      </c>
    </row>
    <row r="40286" spans="1:1">
      <c r="A40286" t="inlineStr">
        <is>
          <t>Hilltop</t>
        </is>
      </c>
    </row>
    <row r="40287" spans="1:1">
      <c r="A40287" t="inlineStr">
        <is>
          <t>Ilaya</t>
        </is>
      </c>
    </row>
    <row r="40288" spans="1:1">
      <c r="A40288" t="inlineStr">
        <is>
          <t>Kauswagan</t>
        </is>
      </c>
    </row>
    <row r="40289" spans="1:1">
      <c r="A40289" t="inlineStr">
        <is>
          <t>Larayan</t>
        </is>
      </c>
    </row>
    <row r="40290" spans="1:1">
      <c r="A40290" t="inlineStr">
        <is>
          <t>Linabo</t>
        </is>
      </c>
    </row>
    <row r="40291" spans="1:1">
      <c r="A40291" t="inlineStr">
        <is>
          <t>Liyang</t>
        </is>
      </c>
    </row>
    <row r="40292" spans="1:1">
      <c r="A40292" t="inlineStr">
        <is>
          <t>Maria Cristina</t>
        </is>
      </c>
    </row>
    <row r="40293" spans="1:1">
      <c r="A40293" t="inlineStr">
        <is>
          <t>Maria Uray</t>
        </is>
      </c>
    </row>
    <row r="40294" spans="1:1">
      <c r="A40294" t="inlineStr">
        <is>
          <t>Masidlakon</t>
        </is>
      </c>
    </row>
    <row r="40295" spans="1:1">
      <c r="A40295" t="inlineStr">
        <is>
          <t>Matagobtob Pob.</t>
        </is>
      </c>
    </row>
    <row r="40296" spans="1:1">
      <c r="A40296" t="inlineStr">
        <is>
          <t>Napo</t>
        </is>
      </c>
    </row>
    <row r="40297" spans="1:1">
      <c r="A40297" t="inlineStr">
        <is>
          <t>Opao</t>
        </is>
      </c>
    </row>
    <row r="40298" spans="1:1">
      <c r="A40298" t="inlineStr">
        <is>
          <t>Oro</t>
        </is>
      </c>
    </row>
    <row r="40299" spans="1:1">
      <c r="A40299" t="inlineStr">
        <is>
          <t>Owaon</t>
        </is>
      </c>
    </row>
    <row r="40300" spans="1:1">
      <c r="A40300" t="inlineStr">
        <is>
          <t>Oyan</t>
        </is>
      </c>
    </row>
    <row r="40301" spans="1:1">
      <c r="A40301" t="inlineStr">
        <is>
          <t>Polo</t>
        </is>
      </c>
    </row>
    <row r="40302" spans="1:1">
      <c r="A40302" t="inlineStr">
        <is>
          <t>Potol</t>
        </is>
      </c>
    </row>
    <row r="40303" spans="1:1">
      <c r="A40303" t="inlineStr">
        <is>
          <t>Potungan</t>
        </is>
      </c>
    </row>
    <row r="40304" spans="1:1">
      <c r="A40304" t="inlineStr">
        <is>
          <t>San Francisco</t>
        </is>
      </c>
    </row>
    <row r="40305" spans="1:1">
      <c r="A40305" t="inlineStr">
        <is>
          <t>San Nicolas</t>
        </is>
      </c>
    </row>
    <row r="40306" spans="1:1">
      <c r="A40306" t="inlineStr">
        <is>
          <t>San Pedro</t>
        </is>
      </c>
    </row>
    <row r="40307" spans="1:1">
      <c r="A40307" t="inlineStr">
        <is>
          <t>San Vicente</t>
        </is>
      </c>
    </row>
    <row r="40308" spans="1:1">
      <c r="A40308" t="inlineStr">
        <is>
          <t>Santa Cruz</t>
        </is>
      </c>
    </row>
    <row r="40309" spans="1:1">
      <c r="A40309" t="inlineStr">
        <is>
          <t>Santo Niño</t>
        </is>
      </c>
    </row>
    <row r="40310" spans="1:1">
      <c r="A40310" t="inlineStr">
        <is>
          <t>Selinog</t>
        </is>
      </c>
    </row>
    <row r="40311" spans="1:1">
      <c r="A40311" t="inlineStr">
        <is>
          <t>Sicayab-Bucana</t>
        </is>
      </c>
    </row>
    <row r="40312" spans="1:1">
      <c r="A40312" t="inlineStr">
        <is>
          <t>Sigayan</t>
        </is>
      </c>
    </row>
    <row r="40313" spans="1:1">
      <c r="A40313" t="inlineStr">
        <is>
          <t>Sinonoc</t>
        </is>
      </c>
    </row>
    <row r="40314" spans="1:1">
      <c r="A40314" t="inlineStr">
        <is>
          <t>Sulangon</t>
        </is>
      </c>
    </row>
    <row r="40315" spans="1:1">
      <c r="A40315" t="inlineStr">
        <is>
          <t>Tag-ulo</t>
        </is>
      </c>
    </row>
    <row r="40316" spans="1:1">
      <c r="A40316" t="inlineStr">
        <is>
          <t>Taguilon</t>
        </is>
      </c>
    </row>
    <row r="40317" spans="1:1">
      <c r="A40317" t="inlineStr">
        <is>
          <t>Tamion</t>
        </is>
      </c>
    </row>
    <row r="40318" spans="1:1">
      <c r="A40318" t="inlineStr">
        <is>
          <t>Barra</t>
        </is>
      </c>
    </row>
    <row r="40319" spans="1:1">
      <c r="A40319" t="inlineStr">
        <is>
          <t>Biasong</t>
        </is>
      </c>
    </row>
    <row r="40320" spans="1:1">
      <c r="A40320" t="inlineStr">
        <is>
          <t>Central</t>
        </is>
      </c>
    </row>
    <row r="40321" spans="1:1">
      <c r="A40321" t="inlineStr">
        <is>
          <t>Cogon</t>
        </is>
      </c>
    </row>
    <row r="40322" spans="1:1">
      <c r="A40322" t="inlineStr">
        <is>
          <t>Dicayas</t>
        </is>
      </c>
    </row>
    <row r="40323" spans="1:1">
      <c r="A40323" t="inlineStr">
        <is>
          <t>Diwan</t>
        </is>
      </c>
    </row>
    <row r="40324" spans="1:1">
      <c r="A40324" t="inlineStr">
        <is>
          <t>Estaca</t>
        </is>
      </c>
    </row>
    <row r="40325" spans="1:1">
      <c r="A40325" t="inlineStr">
        <is>
          <t>Galas</t>
        </is>
      </c>
    </row>
    <row r="40326" spans="1:1">
      <c r="A40326" t="inlineStr">
        <is>
          <t>Gulayon</t>
        </is>
      </c>
    </row>
    <row r="40327" spans="1:1">
      <c r="A40327" t="inlineStr">
        <is>
          <t>Lugdungan</t>
        </is>
      </c>
    </row>
    <row r="40328" spans="1:1">
      <c r="A40328" t="inlineStr">
        <is>
          <t>Minaog</t>
        </is>
      </c>
    </row>
    <row r="40329" spans="1:1">
      <c r="A40329" t="inlineStr">
        <is>
          <t>Miputak</t>
        </is>
      </c>
    </row>
    <row r="40330" spans="1:1">
      <c r="A40330" t="inlineStr">
        <is>
          <t>Olingan</t>
        </is>
      </c>
    </row>
    <row r="40331" spans="1:1">
      <c r="A40331" t="inlineStr">
        <is>
          <t>Punta</t>
        </is>
      </c>
    </row>
    <row r="40332" spans="1:1">
      <c r="A40332" t="inlineStr">
        <is>
          <t>San Jose</t>
        </is>
      </c>
    </row>
    <row r="40333" spans="1:1">
      <c r="A40333" t="inlineStr">
        <is>
          <t>Sangkol</t>
        </is>
      </c>
    </row>
    <row r="40334" spans="1:1">
      <c r="A40334" t="inlineStr">
        <is>
          <t>Santa Filomena</t>
        </is>
      </c>
    </row>
    <row r="40335" spans="1:1">
      <c r="A40335" t="inlineStr">
        <is>
          <t>Santa Isabel</t>
        </is>
      </c>
    </row>
    <row r="40336" spans="1:1">
      <c r="A40336" t="inlineStr">
        <is>
          <t>Sicayab</t>
        </is>
      </c>
    </row>
    <row r="40337" spans="1:1">
      <c r="A40337" t="inlineStr">
        <is>
          <t>Sinaman</t>
        </is>
      </c>
    </row>
    <row r="40338" spans="1:1">
      <c r="A40338" t="inlineStr">
        <is>
          <t>Turno</t>
        </is>
      </c>
    </row>
    <row r="40339" spans="1:1">
      <c r="A40339" t="inlineStr">
        <is>
          <t>Baluno</t>
        </is>
      </c>
    </row>
    <row r="40340" spans="1:1">
      <c r="A40340" t="inlineStr">
        <is>
          <t>Banuangan</t>
        </is>
      </c>
    </row>
    <row r="40341" spans="1:1">
      <c r="A40341" t="inlineStr">
        <is>
          <t>Bunawan</t>
        </is>
      </c>
    </row>
    <row r="40342" spans="1:1">
      <c r="A40342" t="inlineStr">
        <is>
          <t>Dilucot</t>
        </is>
      </c>
    </row>
    <row r="40343" spans="1:1">
      <c r="A40343" t="inlineStr">
        <is>
          <t>Dipopor</t>
        </is>
      </c>
    </row>
    <row r="40344" spans="1:1">
      <c r="A40344" t="inlineStr">
        <is>
          <t>Guisapong</t>
        </is>
      </c>
    </row>
    <row r="40345" spans="1:1">
      <c r="A40345" t="inlineStr">
        <is>
          <t>Limbonga</t>
        </is>
      </c>
    </row>
    <row r="40346" spans="1:1">
      <c r="A40346" t="inlineStr">
        <is>
          <t>Lomogom</t>
        </is>
      </c>
    </row>
    <row r="40347" spans="1:1">
      <c r="A40347" t="inlineStr">
        <is>
          <t>Mauswagon</t>
        </is>
      </c>
    </row>
    <row r="40348" spans="1:1">
      <c r="A40348" t="inlineStr">
        <is>
          <t>Miampic</t>
        </is>
      </c>
    </row>
    <row r="40349" spans="1:1">
      <c r="A40349" t="inlineStr">
        <is>
          <t>Poblacion</t>
        </is>
      </c>
    </row>
    <row r="40350" spans="1:1">
      <c r="A40350" t="inlineStr">
        <is>
          <t>Raba</t>
        </is>
      </c>
    </row>
    <row r="40351" spans="1:1">
      <c r="A40351" t="inlineStr">
        <is>
          <t>Rambon</t>
        </is>
      </c>
    </row>
    <row r="40352" spans="1:1">
      <c r="A40352" t="inlineStr">
        <is>
          <t>San Pedro</t>
        </is>
      </c>
    </row>
    <row r="40353" spans="1:1">
      <c r="A40353" t="inlineStr">
        <is>
          <t>Sarawagan</t>
        </is>
      </c>
    </row>
    <row r="40354" spans="1:1">
      <c r="A40354" t="inlineStr">
        <is>
          <t>Sianan</t>
        </is>
      </c>
    </row>
    <row r="40355" spans="1:1">
      <c r="A40355" t="inlineStr">
        <is>
          <t>Sioran</t>
        </is>
      </c>
    </row>
    <row r="40356" spans="1:1">
      <c r="A40356" t="inlineStr">
        <is>
          <t>Bacong</t>
        </is>
      </c>
    </row>
    <row r="40357" spans="1:1">
      <c r="A40357" t="inlineStr">
        <is>
          <t>Bagong Silang</t>
        </is>
      </c>
    </row>
    <row r="40358" spans="1:1">
      <c r="A40358" t="inlineStr">
        <is>
          <t>Banganon</t>
        </is>
      </c>
    </row>
    <row r="40359" spans="1:1">
      <c r="A40359" t="inlineStr">
        <is>
          <t>Bayanihan</t>
        </is>
      </c>
    </row>
    <row r="40360" spans="1:1">
      <c r="A40360" t="inlineStr">
        <is>
          <t>Buenavista</t>
        </is>
      </c>
    </row>
    <row r="40361" spans="1:1">
      <c r="A40361" t="inlineStr">
        <is>
          <t>Canupong</t>
        </is>
      </c>
    </row>
    <row r="40362" spans="1:1">
      <c r="A40362" t="inlineStr">
        <is>
          <t>Cocob</t>
        </is>
      </c>
    </row>
    <row r="40363" spans="1:1">
      <c r="A40363" t="inlineStr">
        <is>
          <t>Datagan</t>
        </is>
      </c>
    </row>
    <row r="40364" spans="1:1">
      <c r="A40364" t="inlineStr">
        <is>
          <t>Imelda</t>
        </is>
      </c>
    </row>
    <row r="40365" spans="1:1">
      <c r="A40365" t="inlineStr">
        <is>
          <t>Immaculada Concepcion</t>
        </is>
      </c>
    </row>
    <row r="40366" spans="1:1">
      <c r="A40366" t="inlineStr">
        <is>
          <t>La Libertad</t>
        </is>
      </c>
    </row>
    <row r="40367" spans="1:1">
      <c r="A40367" t="inlineStr">
        <is>
          <t>Loay</t>
        </is>
      </c>
    </row>
    <row r="40368" spans="1:1">
      <c r="A40368" t="inlineStr">
        <is>
          <t>Lower Lux</t>
        </is>
      </c>
    </row>
    <row r="40369" spans="1:1">
      <c r="A40369" t="inlineStr">
        <is>
          <t>Lux</t>
        </is>
      </c>
    </row>
    <row r="40370" spans="1:1">
      <c r="A40370" t="inlineStr">
        <is>
          <t>Malian</t>
        </is>
      </c>
    </row>
    <row r="40371" spans="1:1">
      <c r="A40371" t="inlineStr">
        <is>
          <t>Mamawan</t>
        </is>
      </c>
    </row>
    <row r="40372" spans="1:1">
      <c r="A40372" t="inlineStr">
        <is>
          <t>Map</t>
        </is>
      </c>
    </row>
    <row r="40373" spans="1:1">
      <c r="A40373" t="inlineStr">
        <is>
          <t>Matunoy</t>
        </is>
      </c>
    </row>
    <row r="40374" spans="1:1">
      <c r="A40374" t="inlineStr">
        <is>
          <t>New Dapitan</t>
        </is>
      </c>
    </row>
    <row r="40375" spans="1:1">
      <c r="A40375" t="inlineStr">
        <is>
          <t>Panganuran</t>
        </is>
      </c>
    </row>
    <row r="40376" spans="1:1">
      <c r="A40376" t="inlineStr">
        <is>
          <t>Pitawe</t>
        </is>
      </c>
    </row>
    <row r="40377" spans="1:1">
      <c r="A40377" t="inlineStr">
        <is>
          <t>Pitogo</t>
        </is>
      </c>
    </row>
    <row r="40378" spans="1:1">
      <c r="A40378" t="inlineStr">
        <is>
          <t>Poblacion</t>
        </is>
      </c>
    </row>
    <row r="40379" spans="1:1">
      <c r="A40379" t="inlineStr">
        <is>
          <t>Salvador</t>
        </is>
      </c>
    </row>
    <row r="40380" spans="1:1">
      <c r="A40380" t="inlineStr">
        <is>
          <t>San Isidro</t>
        </is>
      </c>
    </row>
    <row r="40381" spans="1:1">
      <c r="A40381" t="inlineStr">
        <is>
          <t>San Juan</t>
        </is>
      </c>
    </row>
    <row r="40382" spans="1:1">
      <c r="A40382" t="inlineStr">
        <is>
          <t>San Roque</t>
        </is>
      </c>
    </row>
    <row r="40383" spans="1:1">
      <c r="A40383" t="inlineStr">
        <is>
          <t>San Vicente</t>
        </is>
      </c>
    </row>
    <row r="40384" spans="1:1">
      <c r="A40384" t="inlineStr">
        <is>
          <t>Santo Niño</t>
        </is>
      </c>
    </row>
    <row r="40385" spans="1:1">
      <c r="A40385" t="inlineStr">
        <is>
          <t>Sas</t>
        </is>
      </c>
    </row>
    <row r="40386" spans="1:1">
      <c r="A40386" t="inlineStr">
        <is>
          <t>Sibalic</t>
        </is>
      </c>
    </row>
    <row r="40387" spans="1:1">
      <c r="A40387" t="inlineStr">
        <is>
          <t>Tipan</t>
        </is>
      </c>
    </row>
    <row r="40388" spans="1:1">
      <c r="A40388" t="inlineStr">
        <is>
          <t>Upper Gutalac</t>
        </is>
      </c>
    </row>
    <row r="40389" spans="1:1">
      <c r="A40389" t="inlineStr">
        <is>
          <t>Balatakan</t>
        </is>
      </c>
    </row>
    <row r="40390" spans="1:1">
      <c r="A40390" t="inlineStr">
        <is>
          <t>Bitoon</t>
        </is>
      </c>
    </row>
    <row r="40391" spans="1:1">
      <c r="A40391" t="inlineStr">
        <is>
          <t>Dinasan</t>
        </is>
      </c>
    </row>
    <row r="40392" spans="1:1">
      <c r="A40392" t="inlineStr">
        <is>
          <t>Ilihan</t>
        </is>
      </c>
    </row>
    <row r="40393" spans="1:1">
      <c r="A40393" t="inlineStr">
        <is>
          <t>Labakid</t>
        </is>
      </c>
    </row>
    <row r="40394" spans="1:1">
      <c r="A40394" t="inlineStr">
        <is>
          <t>Lipay</t>
        </is>
      </c>
    </row>
    <row r="40395" spans="1:1">
      <c r="A40395" t="inlineStr">
        <is>
          <t>Litalip</t>
        </is>
      </c>
    </row>
    <row r="40396" spans="1:1">
      <c r="A40396" t="inlineStr">
        <is>
          <t>Lopero</t>
        </is>
      </c>
    </row>
    <row r="40397" spans="1:1">
      <c r="A40397" t="inlineStr">
        <is>
          <t>Lumanping</t>
        </is>
      </c>
    </row>
    <row r="40398" spans="1:1">
      <c r="A40398" t="inlineStr">
        <is>
          <t>Madalag</t>
        </is>
      </c>
    </row>
    <row r="40399" spans="1:1">
      <c r="A40399" t="inlineStr">
        <is>
          <t>Manawan</t>
        </is>
      </c>
    </row>
    <row r="40400" spans="1:1">
      <c r="A40400" t="inlineStr">
        <is>
          <t>Marupay</t>
        </is>
      </c>
    </row>
    <row r="40401" spans="1:1">
      <c r="A40401" t="inlineStr">
        <is>
          <t>Poblacion</t>
        </is>
      </c>
    </row>
    <row r="40402" spans="1:1">
      <c r="A40402" t="inlineStr">
        <is>
          <t>Sigamok</t>
        </is>
      </c>
    </row>
    <row r="40403" spans="1:1">
      <c r="A40403" t="inlineStr">
        <is>
          <t>Siparok</t>
        </is>
      </c>
    </row>
    <row r="40404" spans="1:1">
      <c r="A40404" t="inlineStr">
        <is>
          <t>Tabon</t>
        </is>
      </c>
    </row>
    <row r="40405" spans="1:1">
      <c r="A40405" t="inlineStr">
        <is>
          <t>Tamarok</t>
        </is>
      </c>
    </row>
    <row r="40406" spans="1:1">
      <c r="A40406" t="inlineStr">
        <is>
          <t>Tamil</t>
        </is>
      </c>
    </row>
    <row r="40407" spans="1:1">
      <c r="A40407" t="inlineStr">
        <is>
          <t>Batayan</t>
        </is>
      </c>
    </row>
    <row r="40408" spans="1:1">
      <c r="A40408" t="inlineStr">
        <is>
          <t>Botong</t>
        </is>
      </c>
    </row>
    <row r="40409" spans="1:1">
      <c r="A40409" t="inlineStr">
        <is>
          <t>Concepcion</t>
        </is>
      </c>
    </row>
    <row r="40410" spans="1:1">
      <c r="A40410" t="inlineStr">
        <is>
          <t>Daniel Maing</t>
        </is>
      </c>
    </row>
    <row r="40411" spans="1:1">
      <c r="A40411" t="inlineStr">
        <is>
          <t>Fatima</t>
        </is>
      </c>
    </row>
    <row r="40412" spans="1:1">
      <c r="A40412" t="inlineStr">
        <is>
          <t>Gatas</t>
        </is>
      </c>
    </row>
    <row r="40413" spans="1:1">
      <c r="A40413" t="inlineStr">
        <is>
          <t>Kalawit</t>
        </is>
      </c>
    </row>
    <row r="40414" spans="1:1">
      <c r="A40414" t="inlineStr">
        <is>
          <t>Marcelo</t>
        </is>
      </c>
    </row>
    <row r="40415" spans="1:1">
      <c r="A40415" t="inlineStr">
        <is>
          <t>New Calamba</t>
        </is>
      </c>
    </row>
    <row r="40416" spans="1:1">
      <c r="A40416" t="inlineStr">
        <is>
          <t>Palalian</t>
        </is>
      </c>
    </row>
    <row r="40417" spans="1:1">
      <c r="A40417" t="inlineStr">
        <is>
          <t>Paraiso</t>
        </is>
      </c>
    </row>
    <row r="40418" spans="1:1">
      <c r="A40418" t="inlineStr">
        <is>
          <t>Pianon</t>
        </is>
      </c>
    </row>
    <row r="40419" spans="1:1">
      <c r="A40419" t="inlineStr">
        <is>
          <t>San Jose</t>
        </is>
      </c>
    </row>
    <row r="40420" spans="1:1">
      <c r="A40420" t="inlineStr">
        <is>
          <t>Tugop*</t>
        </is>
      </c>
    </row>
    <row r="40421" spans="1:1">
      <c r="A40421" t="inlineStr">
        <is>
          <t>Balok</t>
        </is>
      </c>
    </row>
    <row r="40422" spans="1:1">
      <c r="A40422" t="inlineStr">
        <is>
          <t>Barangay Dos</t>
        </is>
      </c>
    </row>
    <row r="40423" spans="1:1">
      <c r="A40423" t="inlineStr">
        <is>
          <t>Barangay Uno</t>
        </is>
      </c>
    </row>
    <row r="40424" spans="1:1">
      <c r="A40424" t="inlineStr">
        <is>
          <t>Basagan</t>
        </is>
      </c>
    </row>
    <row r="40425" spans="1:1">
      <c r="A40425" t="inlineStr">
        <is>
          <t>Biniray</t>
        </is>
      </c>
    </row>
    <row r="40426" spans="1:1">
      <c r="A40426" t="inlineStr">
        <is>
          <t>Bulawan</t>
        </is>
      </c>
    </row>
    <row r="40427" spans="1:1">
      <c r="A40427" t="inlineStr">
        <is>
          <t>Carupay</t>
        </is>
      </c>
    </row>
    <row r="40428" spans="1:1">
      <c r="A40428" t="inlineStr">
        <is>
          <t>Daanglungsod</t>
        </is>
      </c>
    </row>
    <row r="40429" spans="1:1">
      <c r="A40429" t="inlineStr">
        <is>
          <t>Dabiak</t>
        </is>
      </c>
    </row>
    <row r="40430" spans="1:1">
      <c r="A40430" t="inlineStr">
        <is>
          <t>Dr. Jose Rizal</t>
        </is>
      </c>
    </row>
    <row r="40431" spans="1:1">
      <c r="A40431" t="inlineStr">
        <is>
          <t>Fimagas</t>
        </is>
      </c>
    </row>
    <row r="40432" spans="1:1">
      <c r="A40432" t="inlineStr">
        <is>
          <t>Loyuran</t>
        </is>
      </c>
    </row>
    <row r="40433" spans="1:1">
      <c r="A40433" t="inlineStr">
        <is>
          <t>Malasay</t>
        </is>
      </c>
    </row>
    <row r="40434" spans="1:1">
      <c r="A40434" t="inlineStr">
        <is>
          <t>Malugas</t>
        </is>
      </c>
    </row>
    <row r="40435" spans="1:1">
      <c r="A40435" t="inlineStr">
        <is>
          <t>Matam</t>
        </is>
      </c>
    </row>
    <row r="40436" spans="1:1">
      <c r="A40436" t="inlineStr">
        <is>
          <t>Mias</t>
        </is>
      </c>
    </row>
    <row r="40437" spans="1:1">
      <c r="A40437" t="inlineStr">
        <is>
          <t>Miatan</t>
        </is>
      </c>
    </row>
    <row r="40438" spans="1:1">
      <c r="A40438" t="inlineStr">
        <is>
          <t>Nanginan</t>
        </is>
      </c>
    </row>
    <row r="40439" spans="1:1">
      <c r="A40439" t="inlineStr">
        <is>
          <t>New Tambo</t>
        </is>
      </c>
    </row>
    <row r="40440" spans="1:1">
      <c r="A40440" t="inlineStr">
        <is>
          <t>Patik</t>
        </is>
      </c>
    </row>
    <row r="40441" spans="1:1">
      <c r="A40441" t="inlineStr">
        <is>
          <t>San Antonio</t>
        </is>
      </c>
    </row>
    <row r="40442" spans="1:1">
      <c r="A40442" t="inlineStr">
        <is>
          <t>San Vicente</t>
        </is>
      </c>
    </row>
    <row r="40443" spans="1:1">
      <c r="A40443" t="inlineStr">
        <is>
          <t>Sanao</t>
        </is>
      </c>
    </row>
    <row r="40444" spans="1:1">
      <c r="A40444" t="inlineStr">
        <is>
          <t>Santo Niño</t>
        </is>
      </c>
    </row>
    <row r="40445" spans="1:1">
      <c r="A40445" t="inlineStr">
        <is>
          <t>Seres</t>
        </is>
      </c>
    </row>
    <row r="40446" spans="1:1">
      <c r="A40446" t="inlineStr">
        <is>
          <t>Seroan</t>
        </is>
      </c>
    </row>
    <row r="40447" spans="1:1">
      <c r="A40447" t="inlineStr">
        <is>
          <t>Singatong</t>
        </is>
      </c>
    </row>
    <row r="40448" spans="1:1">
      <c r="A40448" t="inlineStr">
        <is>
          <t>Sinuyak</t>
        </is>
      </c>
    </row>
    <row r="40449" spans="1:1">
      <c r="A40449" t="inlineStr">
        <is>
          <t>Sitog</t>
        </is>
      </c>
    </row>
    <row r="40450" spans="1:1">
      <c r="A40450" t="inlineStr">
        <is>
          <t>Tuburan</t>
        </is>
      </c>
    </row>
    <row r="40451" spans="1:1">
      <c r="A40451" t="inlineStr">
        <is>
          <t>El Paraiso</t>
        </is>
      </c>
    </row>
    <row r="40452" spans="1:1">
      <c r="A40452" t="inlineStr">
        <is>
          <t>La Union</t>
        </is>
      </c>
    </row>
    <row r="40453" spans="1:1">
      <c r="A40453" t="inlineStr">
        <is>
          <t>La Victoria</t>
        </is>
      </c>
    </row>
    <row r="40454" spans="1:1">
      <c r="A40454" t="inlineStr">
        <is>
          <t>Mauswagon</t>
        </is>
      </c>
    </row>
    <row r="40455" spans="1:1">
      <c r="A40455" t="inlineStr">
        <is>
          <t>Mercedes</t>
        </is>
      </c>
    </row>
    <row r="40456" spans="1:1">
      <c r="A40456" t="inlineStr">
        <is>
          <t>New Argao</t>
        </is>
      </c>
    </row>
    <row r="40457" spans="1:1">
      <c r="A40457" t="inlineStr">
        <is>
          <t>New Bataan</t>
        </is>
      </c>
    </row>
    <row r="40458" spans="1:1">
      <c r="A40458" t="inlineStr">
        <is>
          <t>New Carcar</t>
        </is>
      </c>
    </row>
    <row r="40459" spans="1:1">
      <c r="A40459" t="inlineStr">
        <is>
          <t>Poblacion</t>
        </is>
      </c>
    </row>
    <row r="40460" spans="1:1">
      <c r="A40460" t="inlineStr">
        <is>
          <t>San Jose</t>
        </is>
      </c>
    </row>
    <row r="40461" spans="1:1">
      <c r="A40461" t="inlineStr">
        <is>
          <t>Santa Catalina</t>
        </is>
      </c>
    </row>
    <row r="40462" spans="1:1">
      <c r="A40462" t="inlineStr">
        <is>
          <t>Santa Cruz</t>
        </is>
      </c>
    </row>
    <row r="40463" spans="1:1">
      <c r="A40463" t="inlineStr">
        <is>
          <t>Singaran</t>
        </is>
      </c>
    </row>
    <row r="40464" spans="1:1">
      <c r="A40464" t="inlineStr">
        <is>
          <t>Antonino</t>
        </is>
      </c>
    </row>
    <row r="40465" spans="1:1">
      <c r="A40465" t="inlineStr">
        <is>
          <t>Balas</t>
        </is>
      </c>
    </row>
    <row r="40466" spans="1:1">
      <c r="A40466" t="inlineStr">
        <is>
          <t>Bobongan</t>
        </is>
      </c>
    </row>
    <row r="40467" spans="1:1">
      <c r="A40467" t="inlineStr">
        <is>
          <t>Dansalan</t>
        </is>
      </c>
    </row>
    <row r="40468" spans="1:1">
      <c r="A40468" t="inlineStr">
        <is>
          <t>Gabu</t>
        </is>
      </c>
    </row>
    <row r="40469" spans="1:1">
      <c r="A40469" t="inlineStr">
        <is>
          <t>Gil Sanchez</t>
        </is>
      </c>
    </row>
    <row r="40470" spans="1:1">
      <c r="A40470" t="inlineStr">
        <is>
          <t>Imelda</t>
        </is>
      </c>
    </row>
    <row r="40471" spans="1:1">
      <c r="A40471" t="inlineStr">
        <is>
          <t>Immaculada</t>
        </is>
      </c>
    </row>
    <row r="40472" spans="1:1">
      <c r="A40472" t="inlineStr">
        <is>
          <t>Kipit</t>
        </is>
      </c>
    </row>
    <row r="40473" spans="1:1">
      <c r="A40473" t="inlineStr">
        <is>
          <t>La Union</t>
        </is>
      </c>
    </row>
    <row r="40474" spans="1:1">
      <c r="A40474" t="inlineStr">
        <is>
          <t>Lapatan</t>
        </is>
      </c>
    </row>
    <row r="40475" spans="1:1">
      <c r="A40475" t="inlineStr">
        <is>
          <t>Lawagan</t>
        </is>
      </c>
    </row>
    <row r="40476" spans="1:1">
      <c r="A40476" t="inlineStr">
        <is>
          <t>Lawigan</t>
        </is>
      </c>
    </row>
    <row r="40477" spans="1:1">
      <c r="A40477" t="inlineStr">
        <is>
          <t>Lopoc</t>
        </is>
      </c>
    </row>
    <row r="40478" spans="1:1">
      <c r="A40478" t="inlineStr">
        <is>
          <t>Malintuboan</t>
        </is>
      </c>
    </row>
    <row r="40479" spans="1:1">
      <c r="A40479" t="inlineStr">
        <is>
          <t>New Salvacion</t>
        </is>
      </c>
    </row>
    <row r="40480" spans="1:1">
      <c r="A40480" t="inlineStr">
        <is>
          <t>Osukan</t>
        </is>
      </c>
    </row>
    <row r="40481" spans="1:1">
      <c r="A40481" t="inlineStr">
        <is>
          <t>Patawag</t>
        </is>
      </c>
    </row>
    <row r="40482" spans="1:1">
      <c r="A40482" t="inlineStr">
        <is>
          <t>San Isidro</t>
        </is>
      </c>
    </row>
    <row r="40483" spans="1:1">
      <c r="A40483" t="inlineStr">
        <is>
          <t>Ubay</t>
        </is>
      </c>
    </row>
    <row r="40484" spans="1:1">
      <c r="A40484" t="inlineStr">
        <is>
          <t>Bacungan</t>
        </is>
      </c>
    </row>
    <row r="40485" spans="1:1">
      <c r="A40485" t="inlineStr">
        <is>
          <t>Bogabongan</t>
        </is>
      </c>
    </row>
    <row r="40486" spans="1:1">
      <c r="A40486" t="inlineStr">
        <is>
          <t>Delusom</t>
        </is>
      </c>
    </row>
    <row r="40487" spans="1:1">
      <c r="A40487" t="inlineStr">
        <is>
          <t>Mangop</t>
        </is>
      </c>
    </row>
    <row r="40488" spans="1:1">
      <c r="A40488" t="inlineStr">
        <is>
          <t>Manil</t>
        </is>
      </c>
    </row>
    <row r="40489" spans="1:1">
      <c r="A40489" t="inlineStr">
        <is>
          <t>Mawal</t>
        </is>
      </c>
    </row>
    <row r="40490" spans="1:1">
      <c r="A40490" t="inlineStr">
        <is>
          <t>Midatag</t>
        </is>
      </c>
    </row>
    <row r="40491" spans="1:1">
      <c r="A40491" t="inlineStr">
        <is>
          <t>Morob</t>
        </is>
      </c>
    </row>
    <row r="40492" spans="1:1">
      <c r="A40492" t="inlineStr">
        <is>
          <t>Nasibac</t>
        </is>
      </c>
    </row>
    <row r="40493" spans="1:1">
      <c r="A40493" t="inlineStr">
        <is>
          <t>Rizon</t>
        </is>
      </c>
    </row>
    <row r="40494" spans="1:1">
      <c r="A40494" t="inlineStr">
        <is>
          <t>Santa Maria</t>
        </is>
      </c>
    </row>
    <row r="40495" spans="1:1">
      <c r="A40495" t="inlineStr">
        <is>
          <t>Sipacong</t>
        </is>
      </c>
    </row>
    <row r="40496" spans="1:1">
      <c r="A40496" t="inlineStr">
        <is>
          <t>Talinga</t>
        </is>
      </c>
    </row>
    <row r="40497" spans="1:1">
      <c r="A40497" t="inlineStr">
        <is>
          <t>Tinaplan</t>
        </is>
      </c>
    </row>
    <row r="40498" spans="1:1">
      <c r="A40498" t="inlineStr">
        <is>
          <t>Tiniguiban</t>
        </is>
      </c>
    </row>
    <row r="40499" spans="1:1">
      <c r="A40499" t="inlineStr">
        <is>
          <t>Tinuyop</t>
        </is>
      </c>
    </row>
    <row r="40500" spans="1:1">
      <c r="A40500" t="inlineStr">
        <is>
          <t>Tiogan</t>
        </is>
      </c>
    </row>
    <row r="40501" spans="1:1">
      <c r="A40501" t="inlineStr">
        <is>
          <t>Titik</t>
        </is>
      </c>
    </row>
    <row r="40502" spans="1:1">
      <c r="A40502" t="inlineStr">
        <is>
          <t>Banigan</t>
        </is>
      </c>
    </row>
    <row r="40503" spans="1:1">
      <c r="A40503" t="inlineStr">
        <is>
          <t>Baybay</t>
        </is>
      </c>
    </row>
    <row r="40504" spans="1:1">
      <c r="A40504" t="inlineStr">
        <is>
          <t>Cabangcalan</t>
        </is>
      </c>
    </row>
    <row r="40505" spans="1:1">
      <c r="A40505" t="inlineStr">
        <is>
          <t>Canaan</t>
        </is>
      </c>
    </row>
    <row r="40506" spans="1:1">
      <c r="A40506" t="inlineStr">
        <is>
          <t>Candelaria</t>
        </is>
      </c>
    </row>
    <row r="40507" spans="1:1">
      <c r="A40507" t="inlineStr">
        <is>
          <t>Causwagan</t>
        </is>
      </c>
    </row>
    <row r="40508" spans="1:1">
      <c r="A40508" t="inlineStr">
        <is>
          <t>Communal</t>
        </is>
      </c>
    </row>
    <row r="40509" spans="1:1">
      <c r="A40509" t="inlineStr">
        <is>
          <t>Compra</t>
        </is>
      </c>
    </row>
    <row r="40510" spans="1:1">
      <c r="A40510" t="inlineStr">
        <is>
          <t>Dela Paz</t>
        </is>
      </c>
    </row>
    <row r="40511" spans="1:1">
      <c r="A40511" t="inlineStr">
        <is>
          <t>El Paraiso</t>
        </is>
      </c>
    </row>
    <row r="40512" spans="1:1">
      <c r="A40512" t="inlineStr">
        <is>
          <t>Fatima</t>
        </is>
      </c>
    </row>
    <row r="40513" spans="1:1">
      <c r="A40513" t="inlineStr">
        <is>
          <t>Ganase</t>
        </is>
      </c>
    </row>
    <row r="40514" spans="1:1">
      <c r="A40514" t="inlineStr">
        <is>
          <t>Goaw</t>
        </is>
      </c>
    </row>
    <row r="40515" spans="1:1">
      <c r="A40515" t="inlineStr">
        <is>
          <t>Goin</t>
        </is>
      </c>
    </row>
    <row r="40516" spans="1:1">
      <c r="A40516" t="inlineStr">
        <is>
          <t>Kayok</t>
        </is>
      </c>
    </row>
    <row r="40517" spans="1:1">
      <c r="A40517" t="inlineStr">
        <is>
          <t>La Libertad</t>
        </is>
      </c>
    </row>
    <row r="40518" spans="1:1">
      <c r="A40518" t="inlineStr">
        <is>
          <t>Lamao</t>
        </is>
      </c>
    </row>
    <row r="40519" spans="1:1">
      <c r="A40519" t="inlineStr">
        <is>
          <t>Mabuhay</t>
        </is>
      </c>
    </row>
    <row r="40520" spans="1:1">
      <c r="A40520" t="inlineStr">
        <is>
          <t>Maigang</t>
        </is>
      </c>
    </row>
    <row r="40521" spans="1:1">
      <c r="A40521" t="inlineStr">
        <is>
          <t>Malila</t>
        </is>
      </c>
    </row>
    <row r="40522" spans="1:1">
      <c r="A40522" t="inlineStr">
        <is>
          <t>Mauswagon</t>
        </is>
      </c>
    </row>
    <row r="40523" spans="1:1">
      <c r="A40523" t="inlineStr">
        <is>
          <t>New Bethlehem</t>
        </is>
      </c>
    </row>
    <row r="40524" spans="1:1">
      <c r="A40524" t="inlineStr">
        <is>
          <t>Overview</t>
        </is>
      </c>
    </row>
    <row r="40525" spans="1:1">
      <c r="A40525" t="inlineStr">
        <is>
          <t>Panabang</t>
        </is>
      </c>
    </row>
    <row r="40526" spans="1:1">
      <c r="A40526" t="inlineStr">
        <is>
          <t>Patawag</t>
        </is>
      </c>
    </row>
    <row r="40527" spans="1:1">
      <c r="A40527" t="inlineStr">
        <is>
          <t>Punta</t>
        </is>
      </c>
    </row>
    <row r="40528" spans="1:1">
      <c r="A40528" t="inlineStr">
        <is>
          <t>San Francisco</t>
        </is>
      </c>
    </row>
    <row r="40529" spans="1:1">
      <c r="A40529" t="inlineStr">
        <is>
          <t>San Isidro</t>
        </is>
      </c>
    </row>
    <row r="40530" spans="1:1">
      <c r="A40530" t="inlineStr">
        <is>
          <t>San Miguel</t>
        </is>
      </c>
    </row>
    <row r="40531" spans="1:1">
      <c r="A40531" t="inlineStr">
        <is>
          <t>San Roque</t>
        </is>
      </c>
    </row>
    <row r="40532" spans="1:1">
      <c r="A40532" t="inlineStr">
        <is>
          <t>Santa Cruz</t>
        </is>
      </c>
    </row>
    <row r="40533" spans="1:1">
      <c r="A40533" t="inlineStr">
        <is>
          <t>Santo Niño</t>
        </is>
      </c>
    </row>
    <row r="40534" spans="1:1">
      <c r="A40534" t="inlineStr">
        <is>
          <t>Silucap</t>
        </is>
      </c>
    </row>
    <row r="40535" spans="1:1">
      <c r="A40535" t="inlineStr">
        <is>
          <t>Tapican</t>
        </is>
      </c>
    </row>
    <row r="40536" spans="1:1">
      <c r="A40536" t="inlineStr">
        <is>
          <t>Timan</t>
        </is>
      </c>
    </row>
    <row r="40537" spans="1:1">
      <c r="A40537" t="inlineStr">
        <is>
          <t>Villa Calixto Sudiacal</t>
        </is>
      </c>
    </row>
    <row r="40538" spans="1:1">
      <c r="A40538" t="inlineStr">
        <is>
          <t>Villa M. Tejero</t>
        </is>
      </c>
    </row>
    <row r="40539" spans="1:1">
      <c r="A40539" t="inlineStr">
        <is>
          <t>Dipane</t>
        </is>
      </c>
    </row>
    <row r="40540" spans="1:1">
      <c r="A40540" t="inlineStr">
        <is>
          <t>Disakan</t>
        </is>
      </c>
    </row>
    <row r="40541" spans="1:1">
      <c r="A40541" t="inlineStr">
        <is>
          <t>Don Jose Aguirre</t>
        </is>
      </c>
    </row>
    <row r="40542" spans="1:1">
      <c r="A40542" t="inlineStr">
        <is>
          <t>East Poblacion</t>
        </is>
      </c>
    </row>
    <row r="40543" spans="1:1">
      <c r="A40543" t="inlineStr">
        <is>
          <t>Gupot</t>
        </is>
      </c>
    </row>
    <row r="40544" spans="1:1">
      <c r="A40544" t="inlineStr">
        <is>
          <t>Libuton</t>
        </is>
      </c>
    </row>
    <row r="40545" spans="1:1">
      <c r="A40545" t="inlineStr">
        <is>
          <t>Linay</t>
        </is>
      </c>
    </row>
    <row r="40546" spans="1:1">
      <c r="A40546" t="inlineStr">
        <is>
          <t>Lingatongan</t>
        </is>
      </c>
    </row>
    <row r="40547" spans="1:1">
      <c r="A40547" t="inlineStr">
        <is>
          <t>Lupasang</t>
        </is>
      </c>
    </row>
    <row r="40548" spans="1:1">
      <c r="A40548" t="inlineStr">
        <is>
          <t>Mate</t>
        </is>
      </c>
    </row>
    <row r="40549" spans="1:1">
      <c r="A40549" t="inlineStr">
        <is>
          <t>Meses</t>
        </is>
      </c>
    </row>
    <row r="40550" spans="1:1">
      <c r="A40550" t="inlineStr">
        <is>
          <t>Palaranan</t>
        </is>
      </c>
    </row>
    <row r="40551" spans="1:1">
      <c r="A40551" t="inlineStr">
        <is>
          <t>Pangandao</t>
        </is>
      </c>
    </row>
    <row r="40552" spans="1:1">
      <c r="A40552" t="inlineStr">
        <is>
          <t>Patagan</t>
        </is>
      </c>
    </row>
    <row r="40553" spans="1:1">
      <c r="A40553" t="inlineStr">
        <is>
          <t>Poblacion</t>
        </is>
      </c>
    </row>
    <row r="40554" spans="1:1">
      <c r="A40554" t="inlineStr">
        <is>
          <t>Punta Blanca</t>
        </is>
      </c>
    </row>
    <row r="40555" spans="1:1">
      <c r="A40555" t="inlineStr">
        <is>
          <t>Saluyong</t>
        </is>
      </c>
    </row>
    <row r="40556" spans="1:1">
      <c r="A40556" t="inlineStr">
        <is>
          <t>San Antonio</t>
        </is>
      </c>
    </row>
    <row r="40557" spans="1:1">
      <c r="A40557" t="inlineStr">
        <is>
          <t>Serongan</t>
        </is>
      </c>
    </row>
    <row r="40558" spans="1:1">
      <c r="A40558" t="inlineStr">
        <is>
          <t>Suisayan</t>
        </is>
      </c>
    </row>
    <row r="40559" spans="1:1">
      <c r="A40559" t="inlineStr">
        <is>
          <t>Upper Disakan</t>
        </is>
      </c>
    </row>
    <row r="40560" spans="1:1">
      <c r="A40560" t="inlineStr">
        <is>
          <t>Villaramos</t>
        </is>
      </c>
    </row>
    <row r="40561" spans="1:1">
      <c r="A40561" t="inlineStr">
        <is>
          <t>Alvenda</t>
        </is>
      </c>
    </row>
    <row r="40562" spans="1:1">
      <c r="A40562" t="inlineStr">
        <is>
          <t>Buenasuerte</t>
        </is>
      </c>
    </row>
    <row r="40563" spans="1:1">
      <c r="A40563" t="inlineStr">
        <is>
          <t>Diland</t>
        </is>
      </c>
    </row>
    <row r="40564" spans="1:1">
      <c r="A40564" t="inlineStr">
        <is>
          <t>Diolen</t>
        </is>
      </c>
    </row>
    <row r="40565" spans="1:1">
      <c r="A40565" t="inlineStr">
        <is>
          <t>Head Tipan</t>
        </is>
      </c>
    </row>
    <row r="40566" spans="1:1">
      <c r="A40566" t="inlineStr">
        <is>
          <t>New Casul</t>
        </is>
      </c>
    </row>
    <row r="40567" spans="1:1">
      <c r="A40567" t="inlineStr">
        <is>
          <t>New Siquijor</t>
        </is>
      </c>
    </row>
    <row r="40568" spans="1:1">
      <c r="A40568" t="inlineStr">
        <is>
          <t>Newland</t>
        </is>
      </c>
    </row>
    <row r="40569" spans="1:1">
      <c r="A40569" t="inlineStr">
        <is>
          <t>Paso Rio</t>
        </is>
      </c>
    </row>
    <row r="40570" spans="1:1">
      <c r="A40570" t="inlineStr">
        <is>
          <t>Poblacion</t>
        </is>
      </c>
    </row>
    <row r="40571" spans="1:1">
      <c r="A40571" t="inlineStr">
        <is>
          <t>San Miguel</t>
        </is>
      </c>
    </row>
    <row r="40572" spans="1:1">
      <c r="A40572" t="inlineStr">
        <is>
          <t>Santo Tomas</t>
        </is>
      </c>
    </row>
    <row r="40573" spans="1:1">
      <c r="A40573" t="inlineStr">
        <is>
          <t>Tinglan</t>
        </is>
      </c>
    </row>
    <row r="40574" spans="1:1">
      <c r="A40574" t="inlineStr">
        <is>
          <t>Totongon</t>
        </is>
      </c>
    </row>
    <row r="40575" spans="1:1">
      <c r="A40575" t="inlineStr">
        <is>
          <t>Tubac</t>
        </is>
      </c>
    </row>
    <row r="40576" spans="1:1">
      <c r="A40576" t="inlineStr">
        <is>
          <t>Unidos</t>
        </is>
      </c>
    </row>
    <row r="40577" spans="1:1">
      <c r="A40577" t="inlineStr">
        <is>
          <t>Adante</t>
        </is>
      </c>
    </row>
    <row r="40578" spans="1:1">
      <c r="A40578" t="inlineStr">
        <is>
          <t>Bacuyong</t>
        </is>
      </c>
    </row>
    <row r="40579" spans="1:1">
      <c r="A40579" t="inlineStr">
        <is>
          <t>Bagong Silang</t>
        </is>
      </c>
    </row>
    <row r="40580" spans="1:1">
      <c r="A40580" t="inlineStr">
        <is>
          <t>Calican</t>
        </is>
      </c>
    </row>
    <row r="40581" spans="1:1">
      <c r="A40581" t="inlineStr">
        <is>
          <t>Del Pilar</t>
        </is>
      </c>
    </row>
    <row r="40582" spans="1:1">
      <c r="A40582" t="inlineStr">
        <is>
          <t>Desin</t>
        </is>
      </c>
    </row>
    <row r="40583" spans="1:1">
      <c r="A40583" t="inlineStr">
        <is>
          <t>Dilawa</t>
        </is>
      </c>
    </row>
    <row r="40584" spans="1:1">
      <c r="A40584" t="inlineStr">
        <is>
          <t>Dionum</t>
        </is>
      </c>
    </row>
    <row r="40585" spans="1:1">
      <c r="A40585" t="inlineStr">
        <is>
          <t>Lapu-lapu</t>
        </is>
      </c>
    </row>
    <row r="40586" spans="1:1">
      <c r="A40586" t="inlineStr">
        <is>
          <t>Lower Gumay</t>
        </is>
      </c>
    </row>
    <row r="40587" spans="1:1">
      <c r="A40587" t="inlineStr">
        <is>
          <t>Luzvilla</t>
        </is>
      </c>
    </row>
    <row r="40588" spans="1:1">
      <c r="A40588" t="inlineStr">
        <is>
          <t>Poblacion North</t>
        </is>
      </c>
    </row>
    <row r="40589" spans="1:1">
      <c r="A40589" t="inlineStr">
        <is>
          <t>Poblacion South</t>
        </is>
      </c>
    </row>
    <row r="40590" spans="1:1">
      <c r="A40590" t="inlineStr">
        <is>
          <t>Santa Fe</t>
        </is>
      </c>
    </row>
    <row r="40591" spans="1:1">
      <c r="A40591" t="inlineStr">
        <is>
          <t>Segabe</t>
        </is>
      </c>
    </row>
    <row r="40592" spans="1:1">
      <c r="A40592" t="inlineStr">
        <is>
          <t>Sikitan</t>
        </is>
      </c>
    </row>
    <row r="40593" spans="1:1">
      <c r="A40593" t="inlineStr">
        <is>
          <t>Silano</t>
        </is>
      </c>
    </row>
    <row r="40594" spans="1:1">
      <c r="A40594" t="inlineStr">
        <is>
          <t>Teresita</t>
        </is>
      </c>
    </row>
    <row r="40595" spans="1:1">
      <c r="A40595" t="inlineStr">
        <is>
          <t>Tinaytayan</t>
        </is>
      </c>
    </row>
    <row r="40596" spans="1:1">
      <c r="A40596" t="inlineStr">
        <is>
          <t>Ubay</t>
        </is>
      </c>
    </row>
    <row r="40597" spans="1:1">
      <c r="A40597" t="inlineStr">
        <is>
          <t>Upper Gumay</t>
        </is>
      </c>
    </row>
    <row r="40598" spans="1:1">
      <c r="A40598" t="inlineStr">
        <is>
          <t>Villarico</t>
        </is>
      </c>
    </row>
    <row r="40599" spans="1:1">
      <c r="A40599" t="inlineStr">
        <is>
          <t>Anastacio</t>
        </is>
      </c>
    </row>
    <row r="40600" spans="1:1">
      <c r="A40600" t="inlineStr">
        <is>
          <t>Bandera</t>
        </is>
      </c>
    </row>
    <row r="40601" spans="1:1">
      <c r="A40601" t="inlineStr">
        <is>
          <t>Bethlehem</t>
        </is>
      </c>
    </row>
    <row r="40602" spans="1:1">
      <c r="A40602" t="inlineStr">
        <is>
          <t>Dangi</t>
        </is>
      </c>
    </row>
    <row r="40603" spans="1:1">
      <c r="A40603" t="inlineStr">
        <is>
          <t>Dansullan</t>
        </is>
      </c>
    </row>
    <row r="40604" spans="1:1">
      <c r="A40604" t="inlineStr">
        <is>
          <t>De Venta Perla</t>
        </is>
      </c>
    </row>
    <row r="40605" spans="1:1">
      <c r="A40605" t="inlineStr">
        <is>
          <t>Guinles</t>
        </is>
      </c>
    </row>
    <row r="40606" spans="1:1">
      <c r="A40606" t="inlineStr">
        <is>
          <t>Isis</t>
        </is>
      </c>
    </row>
    <row r="40607" spans="1:1">
      <c r="A40607" t="inlineStr">
        <is>
          <t>Labrador</t>
        </is>
      </c>
    </row>
    <row r="40608" spans="1:1">
      <c r="A40608" t="inlineStr">
        <is>
          <t>Lapayanbaja</t>
        </is>
      </c>
    </row>
    <row r="40609" spans="1:1">
      <c r="A40609" t="inlineStr">
        <is>
          <t>Letapan</t>
        </is>
      </c>
    </row>
    <row r="40610" spans="1:1">
      <c r="A40610" t="inlineStr">
        <is>
          <t>Linabo</t>
        </is>
      </c>
    </row>
    <row r="40611" spans="1:1">
      <c r="A40611" t="inlineStr">
        <is>
          <t>Lingasad</t>
        </is>
      </c>
    </row>
    <row r="40612" spans="1:1">
      <c r="A40612" t="inlineStr">
        <is>
          <t>Macleodes</t>
        </is>
      </c>
    </row>
    <row r="40613" spans="1:1">
      <c r="A40613" t="inlineStr">
        <is>
          <t>Magangon</t>
        </is>
      </c>
    </row>
    <row r="40614" spans="1:1">
      <c r="A40614" t="inlineStr">
        <is>
          <t>Maligaya</t>
        </is>
      </c>
    </row>
    <row r="40615" spans="1:1">
      <c r="A40615" t="inlineStr">
        <is>
          <t>Milad</t>
        </is>
      </c>
    </row>
    <row r="40616" spans="1:1">
      <c r="A40616" t="inlineStr">
        <is>
          <t>New Lebangon</t>
        </is>
      </c>
    </row>
    <row r="40617" spans="1:1">
      <c r="A40617" t="inlineStr">
        <is>
          <t>New Sicayab</t>
        </is>
      </c>
    </row>
    <row r="40618" spans="1:1">
      <c r="A40618" t="inlineStr">
        <is>
          <t>Obay</t>
        </is>
      </c>
    </row>
    <row r="40619" spans="1:1">
      <c r="A40619" t="inlineStr">
        <is>
          <t>Pian</t>
        </is>
      </c>
    </row>
    <row r="40620" spans="1:1">
      <c r="A40620" t="inlineStr">
        <is>
          <t>Poblacion North</t>
        </is>
      </c>
    </row>
    <row r="40621" spans="1:1">
      <c r="A40621" t="inlineStr">
        <is>
          <t>Poblacion South</t>
        </is>
      </c>
    </row>
    <row r="40622" spans="1:1">
      <c r="A40622" t="inlineStr">
        <is>
          <t>San Antonio</t>
        </is>
      </c>
    </row>
    <row r="40623" spans="1:1">
      <c r="A40623" t="inlineStr">
        <is>
          <t>San Miguel</t>
        </is>
      </c>
    </row>
    <row r="40624" spans="1:1">
      <c r="A40624" t="inlineStr">
        <is>
          <t>San Pedro</t>
        </is>
      </c>
    </row>
    <row r="40625" spans="1:1">
      <c r="A40625" t="inlineStr">
        <is>
          <t>Santo Niño</t>
        </is>
      </c>
    </row>
    <row r="40626" spans="1:1">
      <c r="A40626" t="inlineStr">
        <is>
          <t>Sianib</t>
        </is>
      </c>
    </row>
    <row r="40627" spans="1:1">
      <c r="A40627" t="inlineStr">
        <is>
          <t>Silawe</t>
        </is>
      </c>
    </row>
    <row r="40628" spans="1:1">
      <c r="A40628" t="inlineStr">
        <is>
          <t>Villahermosa</t>
        </is>
      </c>
    </row>
    <row r="40629" spans="1:1">
      <c r="A40629" t="inlineStr">
        <is>
          <t>Balubo</t>
        </is>
      </c>
    </row>
    <row r="40630" spans="1:1">
      <c r="A40630" t="inlineStr">
        <is>
          <t>Banbanan</t>
        </is>
      </c>
    </row>
    <row r="40631" spans="1:1">
      <c r="A40631" t="inlineStr">
        <is>
          <t>Canibongan</t>
        </is>
      </c>
    </row>
    <row r="40632" spans="1:1">
      <c r="A40632" t="inlineStr">
        <is>
          <t>Capase</t>
        </is>
      </c>
    </row>
    <row r="40633" spans="1:1">
      <c r="A40633" t="inlineStr">
        <is>
          <t>Cape</t>
        </is>
      </c>
    </row>
    <row r="40634" spans="1:1">
      <c r="A40634" t="inlineStr">
        <is>
          <t>Denoman</t>
        </is>
      </c>
    </row>
    <row r="40635" spans="1:1">
      <c r="A40635" t="inlineStr">
        <is>
          <t>Dohinob</t>
        </is>
      </c>
    </row>
    <row r="40636" spans="1:1">
      <c r="A40636" t="inlineStr">
        <is>
          <t>Galokso</t>
        </is>
      </c>
    </row>
    <row r="40637" spans="1:1">
      <c r="A40637" t="inlineStr">
        <is>
          <t>Gubat</t>
        </is>
      </c>
    </row>
    <row r="40638" spans="1:1">
      <c r="A40638" t="inlineStr">
        <is>
          <t>Irasan</t>
        </is>
      </c>
    </row>
    <row r="40639" spans="1:1">
      <c r="A40639" t="inlineStr">
        <is>
          <t>Labakid</t>
        </is>
      </c>
    </row>
    <row r="40640" spans="1:1">
      <c r="A40640" t="inlineStr">
        <is>
          <t>Langatian</t>
        </is>
      </c>
    </row>
    <row r="40641" spans="1:1">
      <c r="A40641" t="inlineStr">
        <is>
          <t>Lipakan</t>
        </is>
      </c>
    </row>
    <row r="40642" spans="1:1">
      <c r="A40642" t="inlineStr">
        <is>
          <t>Marupay</t>
        </is>
      </c>
    </row>
    <row r="40643" spans="1:1">
      <c r="A40643" t="inlineStr">
        <is>
          <t>Moliton</t>
        </is>
      </c>
    </row>
    <row r="40644" spans="1:1">
      <c r="A40644" t="inlineStr">
        <is>
          <t>Nabilid</t>
        </is>
      </c>
    </row>
    <row r="40645" spans="1:1">
      <c r="A40645" t="inlineStr">
        <is>
          <t>Panampalay</t>
        </is>
      </c>
    </row>
    <row r="40646" spans="1:1">
      <c r="A40646" t="inlineStr">
        <is>
          <t>Pangologon</t>
        </is>
      </c>
    </row>
    <row r="40647" spans="1:1">
      <c r="A40647" t="inlineStr">
        <is>
          <t>Piao</t>
        </is>
      </c>
    </row>
    <row r="40648" spans="1:1">
      <c r="A40648" t="inlineStr">
        <is>
          <t>Piñalan</t>
        </is>
      </c>
    </row>
    <row r="40649" spans="1:1">
      <c r="A40649" t="inlineStr">
        <is>
          <t>Piñamar</t>
        </is>
      </c>
    </row>
    <row r="40650" spans="1:1">
      <c r="A40650" t="inlineStr">
        <is>
          <t>Pongolan</t>
        </is>
      </c>
    </row>
    <row r="40651" spans="1:1">
      <c r="A40651" t="inlineStr">
        <is>
          <t>Salisig</t>
        </is>
      </c>
    </row>
    <row r="40652" spans="1:1">
      <c r="A40652" t="inlineStr">
        <is>
          <t>Sebod</t>
        </is>
      </c>
    </row>
    <row r="40653" spans="1:1">
      <c r="A40653" t="inlineStr">
        <is>
          <t>Sibatog</t>
        </is>
      </c>
    </row>
    <row r="40654" spans="1:1">
      <c r="A40654" t="inlineStr">
        <is>
          <t>Situbo</t>
        </is>
      </c>
    </row>
    <row r="40655" spans="1:1">
      <c r="A40655" t="inlineStr">
        <is>
          <t>Tanayan</t>
        </is>
      </c>
    </row>
    <row r="40656" spans="1:1">
      <c r="A40656" t="inlineStr">
        <is>
          <t>Tantingon</t>
        </is>
      </c>
    </row>
    <row r="40657" spans="1:1">
      <c r="A40657" t="inlineStr">
        <is>
          <t>Upper Irasan</t>
        </is>
      </c>
    </row>
    <row r="40658" spans="1:1">
      <c r="A40658" t="inlineStr">
        <is>
          <t>Upper Minang</t>
        </is>
      </c>
    </row>
    <row r="40659" spans="1:1">
      <c r="A40659" t="inlineStr">
        <is>
          <t>Villahermoso</t>
        </is>
      </c>
    </row>
    <row r="40660" spans="1:1">
      <c r="A40660" t="inlineStr">
        <is>
          <t>Balubohan</t>
        </is>
      </c>
    </row>
    <row r="40661" spans="1:1">
      <c r="A40661" t="inlineStr">
        <is>
          <t>Birayan</t>
        </is>
      </c>
    </row>
    <row r="40662" spans="1:1">
      <c r="A40662" t="inlineStr">
        <is>
          <t>Damasing</t>
        </is>
      </c>
    </row>
    <row r="40663" spans="1:1">
      <c r="A40663" t="inlineStr">
        <is>
          <t>East Poblacion</t>
        </is>
      </c>
    </row>
    <row r="40664" spans="1:1">
      <c r="A40664" t="inlineStr">
        <is>
          <t>La Esperanza</t>
        </is>
      </c>
    </row>
    <row r="40665" spans="1:1">
      <c r="A40665" t="inlineStr">
        <is>
          <t>Mabuhay</t>
        </is>
      </c>
    </row>
    <row r="40666" spans="1:1">
      <c r="A40666" t="inlineStr">
        <is>
          <t>Mabunao</t>
        </is>
      </c>
    </row>
    <row r="40667" spans="1:1">
      <c r="A40667" t="inlineStr">
        <is>
          <t>Mitimos</t>
        </is>
      </c>
    </row>
    <row r="40668" spans="1:1">
      <c r="A40668" t="inlineStr">
        <is>
          <t>Nangca</t>
        </is>
      </c>
    </row>
    <row r="40669" spans="1:1">
      <c r="A40669" t="inlineStr">
        <is>
          <t>Nangcaan</t>
        </is>
      </c>
    </row>
    <row r="40670" spans="1:1">
      <c r="A40670" t="inlineStr">
        <is>
          <t>Napilan</t>
        </is>
      </c>
    </row>
    <row r="40671" spans="1:1">
      <c r="A40671" t="inlineStr">
        <is>
          <t>Nasipang</t>
        </is>
      </c>
    </row>
    <row r="40672" spans="1:1">
      <c r="A40672" t="inlineStr">
        <is>
          <t>New Dapitan</t>
        </is>
      </c>
    </row>
    <row r="40673" spans="1:1">
      <c r="A40673" t="inlineStr">
        <is>
          <t>Nilabo</t>
        </is>
      </c>
    </row>
    <row r="40674" spans="1:1">
      <c r="A40674" t="inlineStr">
        <is>
          <t>North Mapang</t>
        </is>
      </c>
    </row>
    <row r="40675" spans="1:1">
      <c r="A40675" t="inlineStr">
        <is>
          <t>Rizalina</t>
        </is>
      </c>
    </row>
    <row r="40676" spans="1:1">
      <c r="A40676" t="inlineStr">
        <is>
          <t>San Roque</t>
        </is>
      </c>
    </row>
    <row r="40677" spans="1:1">
      <c r="A40677" t="inlineStr">
        <is>
          <t>Sebaca</t>
        </is>
      </c>
    </row>
    <row r="40678" spans="1:1">
      <c r="A40678" t="inlineStr">
        <is>
          <t>Sipaon</t>
        </is>
      </c>
    </row>
    <row r="40679" spans="1:1">
      <c r="A40679" t="inlineStr">
        <is>
          <t>South Mapang</t>
        </is>
      </c>
    </row>
    <row r="40680" spans="1:1">
      <c r="A40680" t="inlineStr">
        <is>
          <t>Tolon</t>
        </is>
      </c>
    </row>
    <row r="40681" spans="1:1">
      <c r="A40681" t="inlineStr">
        <is>
          <t>West Poblacion</t>
        </is>
      </c>
    </row>
    <row r="40682" spans="1:1">
      <c r="A40682" t="inlineStr">
        <is>
          <t>Bacong</t>
        </is>
      </c>
    </row>
    <row r="40683" spans="1:1">
      <c r="A40683" t="inlineStr">
        <is>
          <t>Balakan</t>
        </is>
      </c>
    </row>
    <row r="40684" spans="1:1">
      <c r="A40684" t="inlineStr">
        <is>
          <t>Binoni</t>
        </is>
      </c>
    </row>
    <row r="40685" spans="1:1">
      <c r="A40685" t="inlineStr">
        <is>
          <t>Calucap</t>
        </is>
      </c>
    </row>
    <row r="40686" spans="1:1">
      <c r="A40686" t="inlineStr">
        <is>
          <t>Canawan</t>
        </is>
      </c>
    </row>
    <row r="40687" spans="1:1">
      <c r="A40687" t="inlineStr">
        <is>
          <t>Caracol</t>
        </is>
      </c>
    </row>
    <row r="40688" spans="1:1">
      <c r="A40688" t="inlineStr">
        <is>
          <t>Danao</t>
        </is>
      </c>
    </row>
    <row r="40689" spans="1:1">
      <c r="A40689" t="inlineStr">
        <is>
          <t>Dinoan</t>
        </is>
      </c>
    </row>
    <row r="40690" spans="1:1">
      <c r="A40690" t="inlineStr">
        <is>
          <t>Dipolod</t>
        </is>
      </c>
    </row>
    <row r="40691" spans="1:1">
      <c r="A40691" t="inlineStr">
        <is>
          <t>Fatima</t>
        </is>
      </c>
    </row>
    <row r="40692" spans="1:1">
      <c r="A40692" t="inlineStr">
        <is>
          <t>Ipilan</t>
        </is>
      </c>
    </row>
    <row r="40693" spans="1:1">
      <c r="A40693" t="inlineStr">
        <is>
          <t>Lanawan</t>
        </is>
      </c>
    </row>
    <row r="40694" spans="1:1">
      <c r="A40694" t="inlineStr">
        <is>
          <t>Liguac</t>
        </is>
      </c>
    </row>
    <row r="40695" spans="1:1">
      <c r="A40695" t="inlineStr">
        <is>
          <t>Lipakan</t>
        </is>
      </c>
    </row>
    <row r="40696" spans="1:1">
      <c r="A40696" t="inlineStr">
        <is>
          <t>Mucas</t>
        </is>
      </c>
    </row>
    <row r="40697" spans="1:1">
      <c r="A40697" t="inlineStr">
        <is>
          <t>Pacuhan</t>
        </is>
      </c>
    </row>
    <row r="40698" spans="1:1">
      <c r="A40698" t="inlineStr">
        <is>
          <t>Poblacion</t>
        </is>
      </c>
    </row>
    <row r="40699" spans="1:1">
      <c r="A40699" t="inlineStr">
        <is>
          <t>Poblacion East</t>
        </is>
      </c>
    </row>
    <row r="40700" spans="1:1">
      <c r="A40700" t="inlineStr">
        <is>
          <t>Pukay</t>
        </is>
      </c>
    </row>
    <row r="40701" spans="1:1">
      <c r="A40701" t="inlineStr">
        <is>
          <t>Ramon Magsaysay</t>
        </is>
      </c>
    </row>
    <row r="40702" spans="1:1">
      <c r="A40702" t="inlineStr">
        <is>
          <t>Santo Niño</t>
        </is>
      </c>
    </row>
    <row r="40703" spans="1:1">
      <c r="A40703" t="inlineStr">
        <is>
          <t>Tambalang</t>
        </is>
      </c>
    </row>
    <row r="40704" spans="1:1">
      <c r="A40704" t="inlineStr">
        <is>
          <t>Tapalan</t>
        </is>
      </c>
    </row>
    <row r="40705" spans="1:1">
      <c r="A40705" t="inlineStr">
        <is>
          <t>Antonino</t>
        </is>
      </c>
    </row>
    <row r="40706" spans="1:1">
      <c r="A40706" t="inlineStr">
        <is>
          <t>Bagong Baguio</t>
        </is>
      </c>
    </row>
    <row r="40707" spans="1:1">
      <c r="A40707" t="inlineStr">
        <is>
          <t>Bagumbayan</t>
        </is>
      </c>
    </row>
    <row r="40708" spans="1:1">
      <c r="A40708" t="inlineStr">
        <is>
          <t>Biayon</t>
        </is>
      </c>
    </row>
    <row r="40709" spans="1:1">
      <c r="A40709" t="inlineStr">
        <is>
          <t>Buenavista</t>
        </is>
      </c>
    </row>
    <row r="40710" spans="1:1">
      <c r="A40710" t="inlineStr">
        <is>
          <t>Dampalan</t>
        </is>
      </c>
    </row>
    <row r="40711" spans="1:1">
      <c r="A40711" t="inlineStr">
        <is>
          <t>Danao</t>
        </is>
      </c>
    </row>
    <row r="40712" spans="1:1">
      <c r="A40712" t="inlineStr">
        <is>
          <t>Don Eleno</t>
        </is>
      </c>
    </row>
    <row r="40713" spans="1:1">
      <c r="A40713" t="inlineStr">
        <is>
          <t>Kauswagan</t>
        </is>
      </c>
    </row>
    <row r="40714" spans="1:1">
      <c r="A40714" t="inlineStr">
        <is>
          <t>Labiray</t>
        </is>
      </c>
    </row>
    <row r="40715" spans="1:1">
      <c r="A40715" t="inlineStr">
        <is>
          <t>Liwanag</t>
        </is>
      </c>
    </row>
    <row r="40716" spans="1:1">
      <c r="A40716" t="inlineStr">
        <is>
          <t>Mabuhay</t>
        </is>
      </c>
    </row>
    <row r="40717" spans="1:1">
      <c r="A40717" t="inlineStr">
        <is>
          <t>Macalibre</t>
        </is>
      </c>
    </row>
    <row r="40718" spans="1:1">
      <c r="A40718" t="inlineStr">
        <is>
          <t>Mahayahay</t>
        </is>
      </c>
    </row>
    <row r="40719" spans="1:1">
      <c r="A40719" t="inlineStr">
        <is>
          <t>Marapong</t>
        </is>
      </c>
    </row>
    <row r="40720" spans="1:1">
      <c r="A40720" t="inlineStr">
        <is>
          <t>Nazareth</t>
        </is>
      </c>
    </row>
    <row r="40721" spans="1:1">
      <c r="A40721" t="inlineStr">
        <is>
          <t>Nebo</t>
        </is>
      </c>
    </row>
    <row r="40722" spans="1:1">
      <c r="A40722" t="inlineStr">
        <is>
          <t>New Rizal</t>
        </is>
      </c>
    </row>
    <row r="40723" spans="1:1">
      <c r="A40723" t="inlineStr">
        <is>
          <t>New Tangub</t>
        </is>
      </c>
    </row>
    <row r="40724" spans="1:1">
      <c r="A40724" t="inlineStr">
        <is>
          <t>Nuevavista</t>
        </is>
      </c>
    </row>
    <row r="40725" spans="1:1">
      <c r="A40725" t="inlineStr">
        <is>
          <t>Pedagan</t>
        </is>
      </c>
    </row>
    <row r="40726" spans="1:1">
      <c r="A40726" t="inlineStr">
        <is>
          <t>Penacio</t>
        </is>
      </c>
    </row>
    <row r="40727" spans="1:1">
      <c r="A40727" t="inlineStr">
        <is>
          <t>Poblacion Alto</t>
        </is>
      </c>
    </row>
    <row r="40728" spans="1:1">
      <c r="A40728" t="inlineStr">
        <is>
          <t>Poblacion Bajo</t>
        </is>
      </c>
    </row>
    <row r="40729" spans="1:1">
      <c r="A40729" t="inlineStr">
        <is>
          <t>Princesa Freshia</t>
        </is>
      </c>
    </row>
    <row r="40730" spans="1:1">
      <c r="A40730" t="inlineStr">
        <is>
          <t>Princesa Lamaya</t>
        </is>
      </c>
    </row>
    <row r="40731" spans="1:1">
      <c r="A40731" t="inlineStr">
        <is>
          <t>San Antonio</t>
        </is>
      </c>
    </row>
    <row r="40732" spans="1:1">
      <c r="A40732" t="inlineStr">
        <is>
          <t>San Francisco</t>
        </is>
      </c>
    </row>
    <row r="40733" spans="1:1">
      <c r="A40733" t="inlineStr">
        <is>
          <t>San Isidro</t>
        </is>
      </c>
    </row>
    <row r="40734" spans="1:1">
      <c r="A40734" t="inlineStr">
        <is>
          <t>San Jose</t>
        </is>
      </c>
    </row>
    <row r="40735" spans="1:1">
      <c r="A40735" t="inlineStr">
        <is>
          <t>San Juan</t>
        </is>
      </c>
    </row>
    <row r="40736" spans="1:1">
      <c r="A40736" t="inlineStr">
        <is>
          <t>Sinaad</t>
        </is>
      </c>
    </row>
    <row r="40737" spans="1:1">
      <c r="A40737" t="inlineStr">
        <is>
          <t>Sinai</t>
        </is>
      </c>
    </row>
    <row r="40738" spans="1:1">
      <c r="A40738" t="inlineStr">
        <is>
          <t>Situbo</t>
        </is>
      </c>
    </row>
    <row r="40739" spans="1:1">
      <c r="A40739" t="inlineStr">
        <is>
          <t>Tinago</t>
        </is>
      </c>
    </row>
    <row r="40740" spans="1:1">
      <c r="A40740" t="inlineStr">
        <is>
          <t>Tinindugan</t>
        </is>
      </c>
    </row>
    <row r="40741" spans="1:1">
      <c r="A40741" t="inlineStr">
        <is>
          <t>Tuburan</t>
        </is>
      </c>
    </row>
    <row r="40742" spans="1:1">
      <c r="A40742" t="inlineStr">
        <is>
          <t>Venus</t>
        </is>
      </c>
    </row>
    <row r="40743" spans="1:1">
      <c r="A40743" t="inlineStr">
        <is>
          <t>Wilben</t>
        </is>
      </c>
    </row>
    <row r="40744" spans="1:1">
      <c r="A40744" t="inlineStr">
        <is>
          <t>Balok</t>
        </is>
      </c>
    </row>
    <row r="40745" spans="1:1">
      <c r="A40745" t="inlineStr">
        <is>
          <t>Balunokan</t>
        </is>
      </c>
    </row>
    <row r="40746" spans="1:1">
      <c r="A40746" t="inlineStr">
        <is>
          <t>Datagan</t>
        </is>
      </c>
    </row>
    <row r="40747" spans="1:1">
      <c r="A40747" t="inlineStr">
        <is>
          <t>Denoyan</t>
        </is>
      </c>
    </row>
    <row r="40748" spans="1:1">
      <c r="A40748" t="inlineStr">
        <is>
          <t>Diongan</t>
        </is>
      </c>
    </row>
    <row r="40749" spans="1:1">
      <c r="A40749" t="inlineStr">
        <is>
          <t>Domogok</t>
        </is>
      </c>
    </row>
    <row r="40750" spans="1:1">
      <c r="A40750" t="inlineStr">
        <is>
          <t>Dumpilas</t>
        </is>
      </c>
    </row>
    <row r="40751" spans="1:1">
      <c r="A40751" t="inlineStr">
        <is>
          <t>Gonayen</t>
        </is>
      </c>
    </row>
    <row r="40752" spans="1:1">
      <c r="A40752" t="inlineStr">
        <is>
          <t>Guibo</t>
        </is>
      </c>
    </row>
    <row r="40753" spans="1:1">
      <c r="A40753" t="inlineStr">
        <is>
          <t>Gunyan</t>
        </is>
      </c>
    </row>
    <row r="40754" spans="1:1">
      <c r="A40754" t="inlineStr">
        <is>
          <t>Litolet</t>
        </is>
      </c>
    </row>
    <row r="40755" spans="1:1">
      <c r="A40755" t="inlineStr">
        <is>
          <t>Macasing</t>
        </is>
      </c>
    </row>
    <row r="40756" spans="1:1">
      <c r="A40756" t="inlineStr">
        <is>
          <t>Mangilay</t>
        </is>
      </c>
    </row>
    <row r="40757" spans="1:1">
      <c r="A40757" t="inlineStr">
        <is>
          <t>Moyo</t>
        </is>
      </c>
    </row>
    <row r="40758" spans="1:1">
      <c r="A40758" t="inlineStr">
        <is>
          <t>Muñoz</t>
        </is>
      </c>
    </row>
    <row r="40759" spans="1:1">
      <c r="A40759" t="inlineStr">
        <is>
          <t>Pange</t>
        </is>
      </c>
    </row>
    <row r="40760" spans="1:1">
      <c r="A40760" t="inlineStr">
        <is>
          <t>Paranglumba</t>
        </is>
      </c>
    </row>
    <row r="40761" spans="1:1">
      <c r="A40761" t="inlineStr">
        <is>
          <t>Polayo</t>
        </is>
      </c>
    </row>
    <row r="40762" spans="1:1">
      <c r="A40762" t="inlineStr">
        <is>
          <t>Sayaw</t>
        </is>
      </c>
    </row>
    <row r="40763" spans="1:1">
      <c r="A40763" t="inlineStr">
        <is>
          <t>Seriac</t>
        </is>
      </c>
    </row>
    <row r="40764" spans="1:1">
      <c r="A40764" t="inlineStr">
        <is>
          <t>Siayan Proper</t>
        </is>
      </c>
    </row>
    <row r="40765" spans="1:1">
      <c r="A40765" t="inlineStr">
        <is>
          <t>Suguilon</t>
        </is>
      </c>
    </row>
    <row r="40766" spans="1:1">
      <c r="A40766" t="inlineStr">
        <is>
          <t>Anongan</t>
        </is>
      </c>
    </row>
    <row r="40767" spans="1:1">
      <c r="A40767" t="inlineStr">
        <is>
          <t>Basak</t>
        </is>
      </c>
    </row>
    <row r="40768" spans="1:1">
      <c r="A40768" t="inlineStr">
        <is>
          <t>Bongalao</t>
        </is>
      </c>
    </row>
    <row r="40769" spans="1:1">
      <c r="A40769" t="inlineStr">
        <is>
          <t>Cabbunan</t>
        </is>
      </c>
    </row>
    <row r="40770" spans="1:1">
      <c r="A40770" t="inlineStr">
        <is>
          <t>Cawit-cawit</t>
        </is>
      </c>
    </row>
    <row r="40771" spans="1:1">
      <c r="A40771" t="inlineStr">
        <is>
          <t>Culaguan</t>
        </is>
      </c>
    </row>
    <row r="40772" spans="1:1">
      <c r="A40772" t="inlineStr">
        <is>
          <t>Cusipan</t>
        </is>
      </c>
    </row>
    <row r="40773" spans="1:1">
      <c r="A40773" t="inlineStr">
        <is>
          <t>Dinulan</t>
        </is>
      </c>
    </row>
    <row r="40774" spans="1:1">
      <c r="A40774" t="inlineStr">
        <is>
          <t>Jatian</t>
        </is>
      </c>
    </row>
    <row r="40775" spans="1:1">
      <c r="A40775" t="inlineStr">
        <is>
          <t>Kamarangan</t>
        </is>
      </c>
    </row>
    <row r="40776" spans="1:1">
      <c r="A40776" t="inlineStr">
        <is>
          <t>Lakiki</t>
        </is>
      </c>
    </row>
    <row r="40777" spans="1:1">
      <c r="A40777" t="inlineStr">
        <is>
          <t>Lambagoan</t>
        </is>
      </c>
    </row>
    <row r="40778" spans="1:1">
      <c r="A40778" t="inlineStr">
        <is>
          <t>Limpapa</t>
        </is>
      </c>
    </row>
    <row r="40779" spans="1:1">
      <c r="A40779" t="inlineStr">
        <is>
          <t>Lingayon</t>
        </is>
      </c>
    </row>
    <row r="40780" spans="1:1">
      <c r="A40780" t="inlineStr">
        <is>
          <t>Lintangan</t>
        </is>
      </c>
    </row>
    <row r="40781" spans="1:1">
      <c r="A40781" t="inlineStr">
        <is>
          <t>Litawan</t>
        </is>
      </c>
    </row>
    <row r="40782" spans="1:1">
      <c r="A40782" t="inlineStr">
        <is>
          <t>Lunday</t>
        </is>
      </c>
    </row>
    <row r="40783" spans="1:1">
      <c r="A40783" t="inlineStr">
        <is>
          <t>Malayal</t>
        </is>
      </c>
    </row>
    <row r="40784" spans="1:1">
      <c r="A40784" t="inlineStr">
        <is>
          <t>Mantivo</t>
        </is>
      </c>
    </row>
    <row r="40785" spans="1:1">
      <c r="A40785" t="inlineStr">
        <is>
          <t>Nala</t>
        </is>
      </c>
    </row>
    <row r="40786" spans="1:1">
      <c r="A40786" t="inlineStr">
        <is>
          <t>Panganuran</t>
        </is>
      </c>
    </row>
    <row r="40787" spans="1:1">
      <c r="A40787" t="inlineStr">
        <is>
          <t>Pangian</t>
        </is>
      </c>
    </row>
    <row r="40788" spans="1:1">
      <c r="A40788" t="inlineStr">
        <is>
          <t>Paniran</t>
        </is>
      </c>
    </row>
    <row r="40789" spans="1:1">
      <c r="A40789" t="inlineStr">
        <is>
          <t>Pasilnahut</t>
        </is>
      </c>
    </row>
    <row r="40790" spans="1:1">
      <c r="A40790" t="inlineStr">
        <is>
          <t>Poblacion</t>
        </is>
      </c>
    </row>
    <row r="40791" spans="1:1">
      <c r="A40791" t="inlineStr">
        <is>
          <t>Puliran</t>
        </is>
      </c>
    </row>
    <row r="40792" spans="1:1">
      <c r="A40792" t="inlineStr">
        <is>
          <t>Santo Niño</t>
        </is>
      </c>
    </row>
    <row r="40793" spans="1:1">
      <c r="A40793" t="inlineStr">
        <is>
          <t>Tangarak</t>
        </is>
      </c>
    </row>
    <row r="40794" spans="1:1">
      <c r="A40794" t="inlineStr">
        <is>
          <t>Bagacay</t>
        </is>
      </c>
    </row>
    <row r="40795" spans="1:1">
      <c r="A40795" t="inlineStr">
        <is>
          <t>Calilic</t>
        </is>
      </c>
    </row>
    <row r="40796" spans="1:1">
      <c r="A40796" t="inlineStr">
        <is>
          <t>Calube</t>
        </is>
      </c>
    </row>
    <row r="40797" spans="1:1">
      <c r="A40797" t="inlineStr">
        <is>
          <t>Delapa</t>
        </is>
      </c>
    </row>
    <row r="40798" spans="1:1">
      <c r="A40798" t="inlineStr">
        <is>
          <t>Kanim</t>
        </is>
      </c>
    </row>
    <row r="40799" spans="1:1">
      <c r="A40799" t="inlineStr">
        <is>
          <t>Libay</t>
        </is>
      </c>
    </row>
    <row r="40800" spans="1:1">
      <c r="A40800" t="inlineStr">
        <is>
          <t>Magsaysay</t>
        </is>
      </c>
    </row>
    <row r="40801" spans="1:1">
      <c r="A40801" t="inlineStr">
        <is>
          <t>Marapong</t>
        </is>
      </c>
    </row>
    <row r="40802" spans="1:1">
      <c r="A40802" t="inlineStr">
        <is>
          <t>Minlasag</t>
        </is>
      </c>
    </row>
    <row r="40803" spans="1:1">
      <c r="A40803" t="inlineStr">
        <is>
          <t>Oyan</t>
        </is>
      </c>
    </row>
    <row r="40804" spans="1:1">
      <c r="A40804" t="inlineStr">
        <is>
          <t>Panganuran</t>
        </is>
      </c>
    </row>
    <row r="40805" spans="1:1">
      <c r="A40805" t="inlineStr">
        <is>
          <t>Poblacion</t>
        </is>
      </c>
    </row>
    <row r="40806" spans="1:1">
      <c r="A40806" t="inlineStr">
        <is>
          <t>Sawang</t>
        </is>
      </c>
    </row>
    <row r="40807" spans="1:1">
      <c r="A40807" t="inlineStr">
        <is>
          <t>Sibuloc</t>
        </is>
      </c>
    </row>
    <row r="40808" spans="1:1">
      <c r="A40808" t="inlineStr">
        <is>
          <t>Sinipay</t>
        </is>
      </c>
    </row>
    <row r="40809" spans="1:1">
      <c r="A40809" t="inlineStr">
        <is>
          <t>Sipaloc</t>
        </is>
      </c>
    </row>
    <row r="40810" spans="1:1">
      <c r="A40810" t="inlineStr">
        <is>
          <t>Bago</t>
        </is>
      </c>
    </row>
    <row r="40811" spans="1:1">
      <c r="A40811" t="inlineStr">
        <is>
          <t>Balok</t>
        </is>
      </c>
    </row>
    <row r="40812" spans="1:1">
      <c r="A40812" t="inlineStr">
        <is>
          <t>Bantayan</t>
        </is>
      </c>
    </row>
    <row r="40813" spans="1:1">
      <c r="A40813" t="inlineStr">
        <is>
          <t>Bato</t>
        </is>
      </c>
    </row>
    <row r="40814" spans="1:1">
      <c r="A40814" t="inlineStr">
        <is>
          <t>Benigno Aquino Jr.</t>
        </is>
      </c>
    </row>
    <row r="40815" spans="1:1">
      <c r="A40815" t="inlineStr">
        <is>
          <t>Binuangan</t>
        </is>
      </c>
    </row>
    <row r="40816" spans="1:1">
      <c r="A40816" t="inlineStr">
        <is>
          <t>Bitoon</t>
        </is>
      </c>
    </row>
    <row r="40817" spans="1:1">
      <c r="A40817" t="inlineStr">
        <is>
          <t>Bucana</t>
        </is>
      </c>
    </row>
    <row r="40818" spans="1:1">
      <c r="A40818" t="inlineStr">
        <is>
          <t>Calatunan</t>
        </is>
      </c>
    </row>
    <row r="40819" spans="1:1">
      <c r="A40819" t="inlineStr">
        <is>
          <t>Caluan</t>
        </is>
      </c>
    </row>
    <row r="40820" spans="1:1">
      <c r="A40820" t="inlineStr">
        <is>
          <t>Calubian</t>
        </is>
      </c>
    </row>
    <row r="40821" spans="1:1">
      <c r="A40821" t="inlineStr">
        <is>
          <t>Dagohoy</t>
        </is>
      </c>
    </row>
    <row r="40822" spans="1:1">
      <c r="A40822" t="inlineStr">
        <is>
          <t>Dapaon</t>
        </is>
      </c>
    </row>
    <row r="40823" spans="1:1">
      <c r="A40823" t="inlineStr">
        <is>
          <t>Datagan</t>
        </is>
      </c>
    </row>
    <row r="40824" spans="1:1">
      <c r="A40824" t="inlineStr">
        <is>
          <t>Datu Tangkilan</t>
        </is>
      </c>
    </row>
    <row r="40825" spans="1:1">
      <c r="A40825" t="inlineStr">
        <is>
          <t>Dicoyong</t>
        </is>
      </c>
    </row>
    <row r="40826" spans="1:1">
      <c r="A40826" t="inlineStr">
        <is>
          <t>Disud</t>
        </is>
      </c>
    </row>
    <row r="40827" spans="1:1">
      <c r="A40827" t="inlineStr">
        <is>
          <t>Don Ricardo Macias</t>
        </is>
      </c>
    </row>
    <row r="40828" spans="1:1">
      <c r="A40828" t="inlineStr">
        <is>
          <t>Doña Josefa</t>
        </is>
      </c>
    </row>
    <row r="40829" spans="1:1">
      <c r="A40829" t="inlineStr">
        <is>
          <t>Dumalogdog</t>
        </is>
      </c>
    </row>
    <row r="40830" spans="1:1">
      <c r="A40830" t="inlineStr">
        <is>
          <t>Fatima</t>
        </is>
      </c>
    </row>
    <row r="40831" spans="1:1">
      <c r="A40831" t="inlineStr">
        <is>
          <t>Gampis</t>
        </is>
      </c>
    </row>
    <row r="40832" spans="1:1">
      <c r="A40832" t="inlineStr">
        <is>
          <t>Goleo</t>
        </is>
      </c>
    </row>
    <row r="40833" spans="1:1">
      <c r="A40833" t="inlineStr">
        <is>
          <t>Imelda</t>
        </is>
      </c>
    </row>
    <row r="40834" spans="1:1">
      <c r="A40834" t="inlineStr">
        <is>
          <t>Inuman</t>
        </is>
      </c>
    </row>
    <row r="40835" spans="1:1">
      <c r="A40835" t="inlineStr">
        <is>
          <t>Joaquin Macias</t>
        </is>
      </c>
    </row>
    <row r="40836" spans="1:1">
      <c r="A40836" t="inlineStr">
        <is>
          <t>La Concepcion</t>
        </is>
      </c>
    </row>
    <row r="40837" spans="1:1">
      <c r="A40837" t="inlineStr">
        <is>
          <t>La Roche San Miguel</t>
        </is>
      </c>
    </row>
    <row r="40838" spans="1:1">
      <c r="A40838" t="inlineStr">
        <is>
          <t>Labakid</t>
        </is>
      </c>
    </row>
    <row r="40839" spans="1:1">
      <c r="A40839" t="inlineStr">
        <is>
          <t>Lagag</t>
        </is>
      </c>
    </row>
    <row r="40840" spans="1:1">
      <c r="A40840" t="inlineStr">
        <is>
          <t>Lapero</t>
        </is>
      </c>
    </row>
    <row r="40841" spans="1:1">
      <c r="A40841" t="inlineStr">
        <is>
          <t>Lawis</t>
        </is>
      </c>
    </row>
    <row r="40842" spans="1:1">
      <c r="A40842" t="inlineStr">
        <is>
          <t>Magsaysay</t>
        </is>
      </c>
    </row>
    <row r="40843" spans="1:1">
      <c r="A40843" t="inlineStr">
        <is>
          <t>Mandih</t>
        </is>
      </c>
    </row>
    <row r="40844" spans="1:1">
      <c r="A40844" t="inlineStr">
        <is>
          <t>Maras</t>
        </is>
      </c>
    </row>
    <row r="40845" spans="1:1">
      <c r="A40845" t="inlineStr">
        <is>
          <t>Mawal</t>
        </is>
      </c>
    </row>
    <row r="40846" spans="1:1">
      <c r="A40846" t="inlineStr">
        <is>
          <t>Misok</t>
        </is>
      </c>
    </row>
    <row r="40847" spans="1:1">
      <c r="A40847" t="inlineStr">
        <is>
          <t>Motibot</t>
        </is>
      </c>
    </row>
    <row r="40848" spans="1:1">
      <c r="A40848" t="inlineStr">
        <is>
          <t>Nato</t>
        </is>
      </c>
    </row>
    <row r="40849" spans="1:1">
      <c r="A40849" t="inlineStr">
        <is>
          <t>Nipaan</t>
        </is>
      </c>
    </row>
    <row r="40850" spans="1:1">
      <c r="A40850" t="inlineStr">
        <is>
          <t>Pangalalan</t>
        </is>
      </c>
    </row>
    <row r="40851" spans="1:1">
      <c r="A40851" t="inlineStr">
        <is>
          <t>Piao</t>
        </is>
      </c>
    </row>
    <row r="40852" spans="1:1">
      <c r="A40852" t="inlineStr">
        <is>
          <t>Poblacion</t>
        </is>
      </c>
    </row>
    <row r="40853" spans="1:1">
      <c r="A40853" t="inlineStr">
        <is>
          <t>Santo Niño</t>
        </is>
      </c>
    </row>
    <row r="40854" spans="1:1">
      <c r="A40854" t="inlineStr">
        <is>
          <t>Santo Rosario</t>
        </is>
      </c>
    </row>
    <row r="40855" spans="1:1">
      <c r="A40855" t="inlineStr">
        <is>
          <t>Siare</t>
        </is>
      </c>
    </row>
    <row r="40856" spans="1:1">
      <c r="A40856" t="inlineStr">
        <is>
          <t>Talinga</t>
        </is>
      </c>
    </row>
    <row r="40857" spans="1:1">
      <c r="A40857" t="inlineStr">
        <is>
          <t>Tigbao</t>
        </is>
      </c>
    </row>
    <row r="40858" spans="1:1">
      <c r="A40858" t="inlineStr">
        <is>
          <t>Tinaplan</t>
        </is>
      </c>
    </row>
    <row r="40859" spans="1:1">
      <c r="A40859" t="inlineStr">
        <is>
          <t>Titik</t>
        </is>
      </c>
    </row>
    <row r="40860" spans="1:1">
      <c r="A40860" t="inlineStr">
        <is>
          <t>Upper Inuman</t>
        </is>
      </c>
    </row>
    <row r="40861" spans="1:1">
      <c r="A40861" t="inlineStr">
        <is>
          <t>Upper Nipaan</t>
        </is>
      </c>
    </row>
    <row r="40862" spans="1:1">
      <c r="A40862" t="inlineStr">
        <is>
          <t>Andres Micubo Jr.</t>
        </is>
      </c>
    </row>
    <row r="40863" spans="1:1">
      <c r="A40863" t="inlineStr">
        <is>
          <t>Balagunan</t>
        </is>
      </c>
    </row>
    <row r="40864" spans="1:1">
      <c r="A40864" t="inlineStr">
        <is>
          <t>Bucana</t>
        </is>
      </c>
    </row>
    <row r="40865" spans="1:1">
      <c r="A40865" t="inlineStr">
        <is>
          <t>Bulacan</t>
        </is>
      </c>
    </row>
    <row r="40866" spans="1:1">
      <c r="A40866" t="inlineStr">
        <is>
          <t>Candiz</t>
        </is>
      </c>
    </row>
    <row r="40867" spans="1:1">
      <c r="A40867" t="inlineStr">
        <is>
          <t>Datu Sailila</t>
        </is>
      </c>
    </row>
    <row r="40868" spans="1:1">
      <c r="A40868" t="inlineStr">
        <is>
          <t>Dionisio Riconalla</t>
        </is>
      </c>
    </row>
    <row r="40869" spans="1:1">
      <c r="A40869" t="inlineStr">
        <is>
          <t>Jose P. Brillantes, Sr.</t>
        </is>
      </c>
    </row>
    <row r="40870" spans="1:1">
      <c r="A40870" t="inlineStr">
        <is>
          <t>Latabon</t>
        </is>
      </c>
    </row>
    <row r="40871" spans="1:1">
      <c r="A40871" t="inlineStr">
        <is>
          <t>Makiang</t>
        </is>
      </c>
    </row>
    <row r="40872" spans="1:1">
      <c r="A40872" t="inlineStr">
        <is>
          <t>Malambuhangin</t>
        </is>
      </c>
    </row>
    <row r="40873" spans="1:1">
      <c r="A40873" t="inlineStr">
        <is>
          <t>Malipot</t>
        </is>
      </c>
    </row>
    <row r="40874" spans="1:1">
      <c r="A40874" t="inlineStr">
        <is>
          <t>Manaol</t>
        </is>
      </c>
    </row>
    <row r="40875" spans="1:1">
      <c r="A40875" t="inlineStr">
        <is>
          <t>Mateo Francisco</t>
        </is>
      </c>
    </row>
    <row r="40876" spans="1:1">
      <c r="A40876" t="inlineStr">
        <is>
          <t>Matiag</t>
        </is>
      </c>
    </row>
    <row r="40877" spans="1:1">
      <c r="A40877" t="inlineStr">
        <is>
          <t>New Lituban</t>
        </is>
      </c>
    </row>
    <row r="40878" spans="1:1">
      <c r="A40878" t="inlineStr">
        <is>
          <t>Pangian</t>
        </is>
      </c>
    </row>
    <row r="40879" spans="1:1">
      <c r="A40879" t="inlineStr">
        <is>
          <t>Pisawak</t>
        </is>
      </c>
    </row>
    <row r="40880" spans="1:1">
      <c r="A40880" t="inlineStr">
        <is>
          <t>Poblacion</t>
        </is>
      </c>
    </row>
    <row r="40881" spans="1:1">
      <c r="A40881" t="inlineStr">
        <is>
          <t>S. Cabral</t>
        </is>
      </c>
    </row>
    <row r="40882" spans="1:1">
      <c r="A40882" t="inlineStr">
        <is>
          <t>Santa Maria</t>
        </is>
      </c>
    </row>
    <row r="40883" spans="1:1">
      <c r="A40883" t="inlineStr">
        <is>
          <t>Siay</t>
        </is>
      </c>
    </row>
    <row r="40884" spans="1:1">
      <c r="A40884" t="inlineStr">
        <is>
          <t>Suhaile Arabi</t>
        </is>
      </c>
    </row>
    <row r="40885" spans="1:1">
      <c r="A40885" t="inlineStr">
        <is>
          <t>Tabayo</t>
        </is>
      </c>
    </row>
    <row r="40886" spans="1:1">
      <c r="A40886" t="inlineStr">
        <is>
          <t>Tagaytay</t>
        </is>
      </c>
    </row>
    <row r="40887" spans="1:1">
      <c r="A40887" t="inlineStr">
        <is>
          <t>Tibangao</t>
        </is>
      </c>
    </row>
    <row r="40888" spans="1:1">
      <c r="A40888" t="inlineStr">
        <is>
          <t>Balatakan</t>
        </is>
      </c>
    </row>
    <row r="40889" spans="1:1">
      <c r="A40889" t="inlineStr">
        <is>
          <t>Balonkan</t>
        </is>
      </c>
    </row>
    <row r="40890" spans="1:1">
      <c r="A40890" t="inlineStr">
        <is>
          <t>Balubuan</t>
        </is>
      </c>
    </row>
    <row r="40891" spans="1:1">
      <c r="A40891" t="inlineStr">
        <is>
          <t>Bitugan</t>
        </is>
      </c>
    </row>
    <row r="40892" spans="1:1">
      <c r="A40892" t="inlineStr">
        <is>
          <t>Bongon</t>
        </is>
      </c>
    </row>
    <row r="40893" spans="1:1">
      <c r="A40893" t="inlineStr">
        <is>
          <t>Catuyan</t>
        </is>
      </c>
    </row>
    <row r="40894" spans="1:1">
      <c r="A40894" t="inlineStr">
        <is>
          <t>Culasian</t>
        </is>
      </c>
    </row>
    <row r="40895" spans="1:1">
      <c r="A40895" t="inlineStr">
        <is>
          <t>Danganon</t>
        </is>
      </c>
    </row>
    <row r="40896" spans="1:1">
      <c r="A40896" t="inlineStr">
        <is>
          <t>Doña Cecilia</t>
        </is>
      </c>
    </row>
    <row r="40897" spans="1:1">
      <c r="A40897" t="inlineStr">
        <is>
          <t>Guban</t>
        </is>
      </c>
    </row>
    <row r="40898" spans="1:1">
      <c r="A40898" t="inlineStr">
        <is>
          <t>Lagundi</t>
        </is>
      </c>
    </row>
    <row r="40899" spans="1:1">
      <c r="A40899" t="inlineStr">
        <is>
          <t>Libucon</t>
        </is>
      </c>
    </row>
    <row r="40900" spans="1:1">
      <c r="A40900" t="inlineStr">
        <is>
          <t>Lubok</t>
        </is>
      </c>
    </row>
    <row r="40901" spans="1:1">
      <c r="A40901" t="inlineStr">
        <is>
          <t>Macuyon</t>
        </is>
      </c>
    </row>
    <row r="40902" spans="1:1">
      <c r="A40902" t="inlineStr">
        <is>
          <t>Minanga</t>
        </is>
      </c>
    </row>
    <row r="40903" spans="1:1">
      <c r="A40903" t="inlineStr">
        <is>
          <t>Motong</t>
        </is>
      </c>
    </row>
    <row r="40904" spans="1:1">
      <c r="A40904" t="inlineStr">
        <is>
          <t>Napulan</t>
        </is>
      </c>
    </row>
    <row r="40905" spans="1:1">
      <c r="A40905" t="inlineStr">
        <is>
          <t>Panabutan</t>
        </is>
      </c>
    </row>
    <row r="40906" spans="1:1">
      <c r="A40906" t="inlineStr">
        <is>
          <t>Piacan</t>
        </is>
      </c>
    </row>
    <row r="40907" spans="1:1">
      <c r="A40907" t="inlineStr">
        <is>
          <t>Pisa Itom</t>
        </is>
      </c>
    </row>
    <row r="40908" spans="1:1">
      <c r="A40908" t="inlineStr">
        <is>
          <t>Pisa Puti</t>
        </is>
      </c>
    </row>
    <row r="40909" spans="1:1">
      <c r="A40909" t="inlineStr">
        <is>
          <t>Piña</t>
        </is>
      </c>
    </row>
    <row r="40910" spans="1:1">
      <c r="A40910" t="inlineStr">
        <is>
          <t>Pugos</t>
        </is>
      </c>
    </row>
    <row r="40911" spans="1:1">
      <c r="A40911" t="inlineStr">
        <is>
          <t>Pula Bato</t>
        </is>
      </c>
    </row>
    <row r="40912" spans="1:1">
      <c r="A40912" t="inlineStr">
        <is>
          <t>Pulang Lupa</t>
        </is>
      </c>
    </row>
    <row r="40913" spans="1:1">
      <c r="A40913" t="inlineStr">
        <is>
          <t>Saint Mary</t>
        </is>
      </c>
    </row>
    <row r="40914" spans="1:1">
      <c r="A40914" t="inlineStr">
        <is>
          <t>San Nicolas</t>
        </is>
      </c>
    </row>
    <row r="40915" spans="1:1">
      <c r="A40915" t="inlineStr">
        <is>
          <t>San Roque</t>
        </is>
      </c>
    </row>
    <row r="40916" spans="1:1">
      <c r="A40916" t="inlineStr">
        <is>
          <t>San Vicente</t>
        </is>
      </c>
    </row>
    <row r="40917" spans="1:1">
      <c r="A40917" t="inlineStr">
        <is>
          <t>Sipakit</t>
        </is>
      </c>
    </row>
    <row r="40918" spans="1:1">
      <c r="A40918" t="inlineStr">
        <is>
          <t>Sipawa</t>
        </is>
      </c>
    </row>
    <row r="40919" spans="1:1">
      <c r="A40919" t="inlineStr">
        <is>
          <t>Sirawai Proper</t>
        </is>
      </c>
    </row>
    <row r="40920" spans="1:1">
      <c r="A40920" t="inlineStr">
        <is>
          <t>Talabiga</t>
        </is>
      </c>
    </row>
    <row r="40921" spans="1:1">
      <c r="A40921" t="inlineStr">
        <is>
          <t>Tapanayan</t>
        </is>
      </c>
    </row>
    <row r="40922" spans="1:1">
      <c r="A40922" t="inlineStr">
        <is>
          <t>Balacbaan</t>
        </is>
      </c>
    </row>
    <row r="40923" spans="1:1">
      <c r="A40923" t="inlineStr">
        <is>
          <t>Banbanan</t>
        </is>
      </c>
    </row>
    <row r="40924" spans="1:1">
      <c r="A40924" t="inlineStr">
        <is>
          <t>Barili</t>
        </is>
      </c>
    </row>
    <row r="40925" spans="1:1">
      <c r="A40925" t="inlineStr">
        <is>
          <t>Cabong</t>
        </is>
      </c>
    </row>
    <row r="40926" spans="1:1">
      <c r="A40926" t="inlineStr">
        <is>
          <t>Camul</t>
        </is>
      </c>
    </row>
    <row r="40927" spans="1:1">
      <c r="A40927" t="inlineStr">
        <is>
          <t>Farmington</t>
        </is>
      </c>
    </row>
    <row r="40928" spans="1:1">
      <c r="A40928" t="inlineStr">
        <is>
          <t>Galingon</t>
        </is>
      </c>
    </row>
    <row r="40929" spans="1:1">
      <c r="A40929" t="inlineStr">
        <is>
          <t>Lawaan</t>
        </is>
      </c>
    </row>
    <row r="40930" spans="1:1">
      <c r="A40930" t="inlineStr">
        <is>
          <t>Lumbayao</t>
        </is>
      </c>
    </row>
    <row r="40931" spans="1:1">
      <c r="A40931" t="inlineStr">
        <is>
          <t>Malila-t</t>
        </is>
      </c>
    </row>
    <row r="40932" spans="1:1">
      <c r="A40932" t="inlineStr">
        <is>
          <t>Molos</t>
        </is>
      </c>
    </row>
    <row r="40933" spans="1:1">
      <c r="A40933" t="inlineStr">
        <is>
          <t>New Dapitan</t>
        </is>
      </c>
    </row>
    <row r="40934" spans="1:1">
      <c r="A40934" t="inlineStr">
        <is>
          <t>Poblacion</t>
        </is>
      </c>
    </row>
    <row r="40935" spans="1:1">
      <c r="A40935" t="inlineStr">
        <is>
          <t>Sandayong</t>
        </is>
      </c>
    </row>
    <row r="40936" spans="1:1">
      <c r="A40936" t="inlineStr">
        <is>
          <t>Santo Niño</t>
        </is>
      </c>
    </row>
    <row r="40937" spans="1:1">
      <c r="A40937" t="inlineStr">
        <is>
          <t>Situbo</t>
        </is>
      </c>
    </row>
    <row r="40938" spans="1:1">
      <c r="A40938" t="inlineStr">
        <is>
          <t>Tilubog</t>
        </is>
      </c>
    </row>
    <row r="40939" spans="1:1">
      <c r="A40939" t="inlineStr">
        <is>
          <t>Tininggaan</t>
        </is>
      </c>
    </row>
    <row r="40940" spans="1:1">
      <c r="A40940" t="inlineStr">
        <is>
          <t>Tubod</t>
        </is>
      </c>
    </row>
    <row r="40941" spans="1:1">
      <c r="A40941" t="inlineStr">
        <is>
          <t>Znac</t>
        </is>
      </c>
    </row>
    <row r="40942" spans="1:1">
      <c r="A40942" t="inlineStr">
        <is>
          <t>Acad</t>
        </is>
      </c>
    </row>
    <row r="40943" spans="1:1">
      <c r="A40943" t="inlineStr">
        <is>
          <t>Alang-alang</t>
        </is>
      </c>
    </row>
    <row r="40944" spans="1:1">
      <c r="A40944" t="inlineStr">
        <is>
          <t>Alegria</t>
        </is>
      </c>
    </row>
    <row r="40945" spans="1:1">
      <c r="A40945" t="inlineStr">
        <is>
          <t>Anonang</t>
        </is>
      </c>
    </row>
    <row r="40946" spans="1:1">
      <c r="A40946" t="inlineStr">
        <is>
          <t>Bagong Mandaue</t>
        </is>
      </c>
    </row>
    <row r="40947" spans="1:1">
      <c r="A40947" t="inlineStr">
        <is>
          <t>Bagong Maslog</t>
        </is>
      </c>
    </row>
    <row r="40948" spans="1:1">
      <c r="A40948" t="inlineStr">
        <is>
          <t>Bagong Oslob</t>
        </is>
      </c>
    </row>
    <row r="40949" spans="1:1">
      <c r="A40949" t="inlineStr">
        <is>
          <t>Bagong Pitogo</t>
        </is>
      </c>
    </row>
    <row r="40950" spans="1:1">
      <c r="A40950" t="inlineStr">
        <is>
          <t>Baki</t>
        </is>
      </c>
    </row>
    <row r="40951" spans="1:1">
      <c r="A40951" t="inlineStr">
        <is>
          <t>Balas</t>
        </is>
      </c>
    </row>
    <row r="40952" spans="1:1">
      <c r="A40952" t="inlineStr">
        <is>
          <t>Balide</t>
        </is>
      </c>
    </row>
    <row r="40953" spans="1:1">
      <c r="A40953" t="inlineStr">
        <is>
          <t>Balintawak</t>
        </is>
      </c>
    </row>
    <row r="40954" spans="1:1">
      <c r="A40954" t="inlineStr">
        <is>
          <t>Bayabas</t>
        </is>
      </c>
    </row>
    <row r="40955" spans="1:1">
      <c r="A40955" t="inlineStr">
        <is>
          <t>Bemposa</t>
        </is>
      </c>
    </row>
    <row r="40956" spans="1:1">
      <c r="A40956" t="inlineStr">
        <is>
          <t>Cabilinan</t>
        </is>
      </c>
    </row>
    <row r="40957" spans="1:1">
      <c r="A40957" t="inlineStr">
        <is>
          <t>Campo Uno</t>
        </is>
      </c>
    </row>
    <row r="40958" spans="1:1">
      <c r="A40958" t="inlineStr">
        <is>
          <t>Ceboneg</t>
        </is>
      </c>
    </row>
    <row r="40959" spans="1:1">
      <c r="A40959" t="inlineStr">
        <is>
          <t>Commonwealth</t>
        </is>
      </c>
    </row>
    <row r="40960" spans="1:1">
      <c r="A40960" t="inlineStr">
        <is>
          <t>Gubaan</t>
        </is>
      </c>
    </row>
    <row r="40961" spans="1:1">
      <c r="A40961" t="inlineStr">
        <is>
          <t>Inasagan</t>
        </is>
      </c>
    </row>
    <row r="40962" spans="1:1">
      <c r="A40962" t="inlineStr">
        <is>
          <t>Inroad</t>
        </is>
      </c>
    </row>
    <row r="40963" spans="1:1">
      <c r="A40963" t="inlineStr">
        <is>
          <t>Kahayagan East</t>
        </is>
      </c>
    </row>
    <row r="40964" spans="1:1">
      <c r="A40964" t="inlineStr">
        <is>
          <t>Kahayagan West</t>
        </is>
      </c>
    </row>
    <row r="40965" spans="1:1">
      <c r="A40965" t="inlineStr">
        <is>
          <t>Kauswagan</t>
        </is>
      </c>
    </row>
    <row r="40966" spans="1:1">
      <c r="A40966" t="inlineStr">
        <is>
          <t>La Paz</t>
        </is>
      </c>
    </row>
    <row r="40967" spans="1:1">
      <c r="A40967" t="inlineStr">
        <is>
          <t>La Victoria</t>
        </is>
      </c>
    </row>
    <row r="40968" spans="1:1">
      <c r="A40968" t="inlineStr">
        <is>
          <t>Lantungan</t>
        </is>
      </c>
    </row>
    <row r="40969" spans="1:1">
      <c r="A40969" t="inlineStr">
        <is>
          <t>Libertad</t>
        </is>
      </c>
    </row>
    <row r="40970" spans="1:1">
      <c r="A40970" t="inlineStr">
        <is>
          <t>Lintugop</t>
        </is>
      </c>
    </row>
    <row r="40971" spans="1:1">
      <c r="A40971" t="inlineStr">
        <is>
          <t>Lubid</t>
        </is>
      </c>
    </row>
    <row r="40972" spans="1:1">
      <c r="A40972" t="inlineStr">
        <is>
          <t>Maguikay</t>
        </is>
      </c>
    </row>
    <row r="40973" spans="1:1">
      <c r="A40973" t="inlineStr">
        <is>
          <t>Mahayahay</t>
        </is>
      </c>
    </row>
    <row r="40974" spans="1:1">
      <c r="A40974" t="inlineStr">
        <is>
          <t>Monte Alegre</t>
        </is>
      </c>
    </row>
    <row r="40975" spans="1:1">
      <c r="A40975" t="inlineStr">
        <is>
          <t>Montela</t>
        </is>
      </c>
    </row>
    <row r="40976" spans="1:1">
      <c r="A40976" t="inlineStr">
        <is>
          <t>Napo</t>
        </is>
      </c>
    </row>
    <row r="40977" spans="1:1">
      <c r="A40977" t="inlineStr">
        <is>
          <t>Panaghiusa</t>
        </is>
      </c>
    </row>
    <row r="40978" spans="1:1">
      <c r="A40978" t="inlineStr">
        <is>
          <t>Poblacion</t>
        </is>
      </c>
    </row>
    <row r="40979" spans="1:1">
      <c r="A40979" t="inlineStr">
        <is>
          <t>Resthouse</t>
        </is>
      </c>
    </row>
    <row r="40980" spans="1:1">
      <c r="A40980" t="inlineStr">
        <is>
          <t>Romarate</t>
        </is>
      </c>
    </row>
    <row r="40981" spans="1:1">
      <c r="A40981" t="inlineStr">
        <is>
          <t>San Jose</t>
        </is>
      </c>
    </row>
    <row r="40982" spans="1:1">
      <c r="A40982" t="inlineStr">
        <is>
          <t>San Juan</t>
        </is>
      </c>
    </row>
    <row r="40983" spans="1:1">
      <c r="A40983" t="inlineStr">
        <is>
          <t>Sapa Loboc</t>
        </is>
      </c>
    </row>
    <row r="40984" spans="1:1">
      <c r="A40984" t="inlineStr">
        <is>
          <t>Tagulalo</t>
        </is>
      </c>
    </row>
    <row r="40985" spans="1:1">
      <c r="A40985" t="inlineStr">
        <is>
          <t>Waterfall</t>
        </is>
      </c>
    </row>
    <row r="40986" spans="1:1">
      <c r="A40986" t="inlineStr">
        <is>
          <t>Baking</t>
        </is>
      </c>
    </row>
    <row r="40987" spans="1:1">
      <c r="A40987" t="inlineStr">
        <is>
          <t>Balukbahan</t>
        </is>
      </c>
    </row>
    <row r="40988" spans="1:1">
      <c r="A40988" t="inlineStr">
        <is>
          <t>Balumbunan</t>
        </is>
      </c>
    </row>
    <row r="40989" spans="1:1">
      <c r="A40989" t="inlineStr">
        <is>
          <t>Bantal</t>
        </is>
      </c>
    </row>
    <row r="40990" spans="1:1">
      <c r="A40990" t="inlineStr">
        <is>
          <t>Bobuan</t>
        </is>
      </c>
    </row>
    <row r="40991" spans="1:1">
      <c r="A40991" t="inlineStr">
        <is>
          <t>Camp Blessing</t>
        </is>
      </c>
    </row>
    <row r="40992" spans="1:1">
      <c r="A40992" t="inlineStr">
        <is>
          <t>Canoayan</t>
        </is>
      </c>
    </row>
    <row r="40993" spans="1:1">
      <c r="A40993" t="inlineStr">
        <is>
          <t>Conacon</t>
        </is>
      </c>
    </row>
    <row r="40994" spans="1:1">
      <c r="A40994" t="inlineStr">
        <is>
          <t>Dagum</t>
        </is>
      </c>
    </row>
    <row r="40995" spans="1:1">
      <c r="A40995" t="inlineStr">
        <is>
          <t>Damit</t>
        </is>
      </c>
    </row>
    <row r="40996" spans="1:1">
      <c r="A40996" t="inlineStr">
        <is>
          <t>Datagan</t>
        </is>
      </c>
    </row>
    <row r="40997" spans="1:1">
      <c r="A40997" t="inlineStr">
        <is>
          <t>Depase</t>
        </is>
      </c>
    </row>
    <row r="40998" spans="1:1">
      <c r="A40998" t="inlineStr">
        <is>
          <t>Depore</t>
        </is>
      </c>
    </row>
    <row r="40999" spans="1:1">
      <c r="A40999" t="inlineStr">
        <is>
          <t>Deporehan</t>
        </is>
      </c>
    </row>
    <row r="41000" spans="1:1">
      <c r="A41000" t="inlineStr">
        <is>
          <t>Dimalinao</t>
        </is>
      </c>
    </row>
    <row r="41001" spans="1:1">
      <c r="A41001" t="inlineStr">
        <is>
          <t>Dipili</t>
        </is>
      </c>
    </row>
    <row r="41002" spans="1:1">
      <c r="A41002" t="inlineStr">
        <is>
          <t>Kahayagan</t>
        </is>
      </c>
    </row>
    <row r="41003" spans="1:1">
      <c r="A41003" t="inlineStr">
        <is>
          <t>Kanipaan</t>
        </is>
      </c>
    </row>
    <row r="41004" spans="1:1">
      <c r="A41004" t="inlineStr">
        <is>
          <t>Lamare</t>
        </is>
      </c>
    </row>
    <row r="41005" spans="1:1">
      <c r="A41005" t="inlineStr">
        <is>
          <t>Liba</t>
        </is>
      </c>
    </row>
    <row r="41006" spans="1:1">
      <c r="A41006" t="inlineStr">
        <is>
          <t>Matin-ao</t>
        </is>
      </c>
    </row>
    <row r="41007" spans="1:1">
      <c r="A41007" t="inlineStr">
        <is>
          <t>Matun-og</t>
        </is>
      </c>
    </row>
    <row r="41008" spans="1:1">
      <c r="A41008" t="inlineStr">
        <is>
          <t>Poblacion</t>
        </is>
      </c>
    </row>
    <row r="41009" spans="1:1">
      <c r="A41009" t="inlineStr">
        <is>
          <t>Pulang Bato</t>
        </is>
      </c>
    </row>
    <row r="41010" spans="1:1">
      <c r="A41010" t="inlineStr">
        <is>
          <t>Salawagan</t>
        </is>
      </c>
    </row>
    <row r="41011" spans="1:1">
      <c r="A41011" t="inlineStr">
        <is>
          <t>San Isidro</t>
        </is>
      </c>
    </row>
    <row r="41012" spans="1:1">
      <c r="A41012" t="inlineStr">
        <is>
          <t>Sigacad</t>
        </is>
      </c>
    </row>
    <row r="41013" spans="1:1">
      <c r="A41013" t="inlineStr">
        <is>
          <t>Supon</t>
        </is>
      </c>
    </row>
    <row r="41014" spans="1:1">
      <c r="A41014" t="inlineStr">
        <is>
          <t>Alegria</t>
        </is>
      </c>
    </row>
    <row r="41015" spans="1:1">
      <c r="A41015" t="inlineStr">
        <is>
          <t>Balangasan</t>
        </is>
      </c>
    </row>
    <row r="41016" spans="1:1">
      <c r="A41016" t="inlineStr">
        <is>
          <t>Balintawak</t>
        </is>
      </c>
    </row>
    <row r="41017" spans="1:1">
      <c r="A41017" t="inlineStr">
        <is>
          <t>Baloyboan</t>
        </is>
      </c>
    </row>
    <row r="41018" spans="1:1">
      <c r="A41018" t="inlineStr">
        <is>
          <t>Banale</t>
        </is>
      </c>
    </row>
    <row r="41019" spans="1:1">
      <c r="A41019" t="inlineStr">
        <is>
          <t>Bogo</t>
        </is>
      </c>
    </row>
    <row r="41020" spans="1:1">
      <c r="A41020" t="inlineStr">
        <is>
          <t>Bomba</t>
        </is>
      </c>
    </row>
    <row r="41021" spans="1:1">
      <c r="A41021" t="inlineStr">
        <is>
          <t>Buenavista</t>
        </is>
      </c>
    </row>
    <row r="41022" spans="1:1">
      <c r="A41022" t="inlineStr">
        <is>
          <t>Bulatok</t>
        </is>
      </c>
    </row>
    <row r="41023" spans="1:1">
      <c r="A41023" t="inlineStr">
        <is>
          <t>Bulawan</t>
        </is>
      </c>
    </row>
    <row r="41024" spans="1:1">
      <c r="A41024" t="inlineStr">
        <is>
          <t>Dampalan</t>
        </is>
      </c>
    </row>
    <row r="41025" spans="1:1">
      <c r="A41025" t="inlineStr">
        <is>
          <t>Danlugan</t>
        </is>
      </c>
    </row>
    <row r="41026" spans="1:1">
      <c r="A41026" t="inlineStr">
        <is>
          <t>Dao</t>
        </is>
      </c>
    </row>
    <row r="41027" spans="1:1">
      <c r="A41027" t="inlineStr">
        <is>
          <t>Datagan</t>
        </is>
      </c>
    </row>
    <row r="41028" spans="1:1">
      <c r="A41028" t="inlineStr">
        <is>
          <t>Deborok</t>
        </is>
      </c>
    </row>
    <row r="41029" spans="1:1">
      <c r="A41029" t="inlineStr">
        <is>
          <t>Ditoray</t>
        </is>
      </c>
    </row>
    <row r="41030" spans="1:1">
      <c r="A41030" t="inlineStr">
        <is>
          <t>Dumagoc</t>
        </is>
      </c>
    </row>
    <row r="41031" spans="1:1">
      <c r="A41031" t="inlineStr">
        <is>
          <t>Gatas</t>
        </is>
      </c>
    </row>
    <row r="41032" spans="1:1">
      <c r="A41032" t="inlineStr">
        <is>
          <t>Gubac</t>
        </is>
      </c>
    </row>
    <row r="41033" spans="1:1">
      <c r="A41033" t="inlineStr">
        <is>
          <t>Gubang</t>
        </is>
      </c>
    </row>
    <row r="41034" spans="1:1">
      <c r="A41034" t="inlineStr">
        <is>
          <t>Kagawasan</t>
        </is>
      </c>
    </row>
    <row r="41035" spans="1:1">
      <c r="A41035" t="inlineStr">
        <is>
          <t>Kahayagan</t>
        </is>
      </c>
    </row>
    <row r="41036" spans="1:1">
      <c r="A41036" t="inlineStr">
        <is>
          <t>Kalasan</t>
        </is>
      </c>
    </row>
    <row r="41037" spans="1:1">
      <c r="A41037" t="inlineStr">
        <is>
          <t>Kawit</t>
        </is>
      </c>
    </row>
    <row r="41038" spans="1:1">
      <c r="A41038" t="inlineStr">
        <is>
          <t>La Suerte</t>
        </is>
      </c>
    </row>
    <row r="41039" spans="1:1">
      <c r="A41039" t="inlineStr">
        <is>
          <t>Lala</t>
        </is>
      </c>
    </row>
    <row r="41040" spans="1:1">
      <c r="A41040" t="inlineStr">
        <is>
          <t>Lapidian</t>
        </is>
      </c>
    </row>
    <row r="41041" spans="1:1">
      <c r="A41041" t="inlineStr">
        <is>
          <t>Lenienza</t>
        </is>
      </c>
    </row>
    <row r="41042" spans="1:1">
      <c r="A41042" t="inlineStr">
        <is>
          <t>Lizon Valley</t>
        </is>
      </c>
    </row>
    <row r="41043" spans="1:1">
      <c r="A41043" t="inlineStr">
        <is>
          <t>Lourdes</t>
        </is>
      </c>
    </row>
    <row r="41044" spans="1:1">
      <c r="A41044" t="inlineStr">
        <is>
          <t>Lower Sibatang</t>
        </is>
      </c>
    </row>
    <row r="41045" spans="1:1">
      <c r="A41045" t="inlineStr">
        <is>
          <t>Lumad</t>
        </is>
      </c>
    </row>
    <row r="41046" spans="1:1">
      <c r="A41046" t="inlineStr">
        <is>
          <t>Lumbia</t>
        </is>
      </c>
    </row>
    <row r="41047" spans="1:1">
      <c r="A41047" t="inlineStr">
        <is>
          <t>Macasing</t>
        </is>
      </c>
    </row>
    <row r="41048" spans="1:1">
      <c r="A41048" t="inlineStr">
        <is>
          <t>Manga</t>
        </is>
      </c>
    </row>
    <row r="41049" spans="1:1">
      <c r="A41049" t="inlineStr">
        <is>
          <t>Muricay</t>
        </is>
      </c>
    </row>
    <row r="41050" spans="1:1">
      <c r="A41050" t="inlineStr">
        <is>
          <t>Napolan</t>
        </is>
      </c>
    </row>
    <row r="41051" spans="1:1">
      <c r="A41051" t="inlineStr">
        <is>
          <t>Palpalan</t>
        </is>
      </c>
    </row>
    <row r="41052" spans="1:1">
      <c r="A41052" t="inlineStr">
        <is>
          <t>Pedulonan</t>
        </is>
      </c>
    </row>
    <row r="41053" spans="1:1">
      <c r="A41053" t="inlineStr">
        <is>
          <t>Poloyagan</t>
        </is>
      </c>
    </row>
    <row r="41054" spans="1:1">
      <c r="A41054" t="inlineStr">
        <is>
          <t>San Francisco</t>
        </is>
      </c>
    </row>
    <row r="41055" spans="1:1">
      <c r="A41055" t="inlineStr">
        <is>
          <t>San Jose</t>
        </is>
      </c>
    </row>
    <row r="41056" spans="1:1">
      <c r="A41056" t="inlineStr">
        <is>
          <t>San Pedro</t>
        </is>
      </c>
    </row>
    <row r="41057" spans="1:1">
      <c r="A41057" t="inlineStr">
        <is>
          <t>Santa Lucia</t>
        </is>
      </c>
    </row>
    <row r="41058" spans="1:1">
      <c r="A41058" t="inlineStr">
        <is>
          <t>Santa Maria</t>
        </is>
      </c>
    </row>
    <row r="41059" spans="1:1">
      <c r="A41059" t="inlineStr">
        <is>
          <t>Santiago</t>
        </is>
      </c>
    </row>
    <row r="41060" spans="1:1">
      <c r="A41060" t="inlineStr">
        <is>
          <t>Santo Niño</t>
        </is>
      </c>
    </row>
    <row r="41061" spans="1:1">
      <c r="A41061" t="inlineStr">
        <is>
          <t>Tawagan Sur</t>
        </is>
      </c>
    </row>
    <row r="41062" spans="1:1">
      <c r="A41062" t="inlineStr">
        <is>
          <t>Tiguma</t>
        </is>
      </c>
    </row>
    <row r="41063" spans="1:1">
      <c r="A41063" t="inlineStr">
        <is>
          <t>Tuburan</t>
        </is>
      </c>
    </row>
    <row r="41064" spans="1:1">
      <c r="A41064" t="inlineStr">
        <is>
          <t>Tulangan</t>
        </is>
      </c>
    </row>
    <row r="41065" spans="1:1">
      <c r="A41065" t="inlineStr">
        <is>
          <t>Tulawas</t>
        </is>
      </c>
    </row>
    <row r="41066" spans="1:1">
      <c r="A41066" t="inlineStr">
        <is>
          <t>Upper Sibatang</t>
        </is>
      </c>
    </row>
    <row r="41067" spans="1:1">
      <c r="A41067" t="inlineStr">
        <is>
          <t>White Beach</t>
        </is>
      </c>
    </row>
    <row r="41068" spans="1:1">
      <c r="A41068" t="inlineStr">
        <is>
          <t>Bacayawan</t>
        </is>
      </c>
    </row>
    <row r="41069" spans="1:1">
      <c r="A41069" t="inlineStr">
        <is>
          <t>Baha</t>
        </is>
      </c>
    </row>
    <row r="41070" spans="1:1">
      <c r="A41070" t="inlineStr">
        <is>
          <t>Balanagan</t>
        </is>
      </c>
    </row>
    <row r="41071" spans="1:1">
      <c r="A41071" t="inlineStr">
        <is>
          <t>Baluno</t>
        </is>
      </c>
    </row>
    <row r="41072" spans="1:1">
      <c r="A41072" t="inlineStr">
        <is>
          <t>Binuay</t>
        </is>
      </c>
    </row>
    <row r="41073" spans="1:1">
      <c r="A41073" t="inlineStr">
        <is>
          <t>Buburay</t>
        </is>
      </c>
    </row>
    <row r="41074" spans="1:1">
      <c r="A41074" t="inlineStr">
        <is>
          <t>Grap</t>
        </is>
      </c>
    </row>
    <row r="41075" spans="1:1">
      <c r="A41075" t="inlineStr">
        <is>
          <t>Josefina</t>
        </is>
      </c>
    </row>
    <row r="41076" spans="1:1">
      <c r="A41076" t="inlineStr">
        <is>
          <t>Kagawasan</t>
        </is>
      </c>
    </row>
    <row r="41077" spans="1:1">
      <c r="A41077" t="inlineStr">
        <is>
          <t>Lalab</t>
        </is>
      </c>
    </row>
    <row r="41078" spans="1:1">
      <c r="A41078" t="inlineStr">
        <is>
          <t>Libertad</t>
        </is>
      </c>
    </row>
    <row r="41079" spans="1:1">
      <c r="A41079" t="inlineStr">
        <is>
          <t>Magahis</t>
        </is>
      </c>
    </row>
    <row r="41080" spans="1:1">
      <c r="A41080" t="inlineStr">
        <is>
          <t>Mahayag</t>
        </is>
      </c>
    </row>
    <row r="41081" spans="1:1">
      <c r="A41081" t="inlineStr">
        <is>
          <t>Mercedes</t>
        </is>
      </c>
    </row>
    <row r="41082" spans="1:1">
      <c r="A41082" t="inlineStr">
        <is>
          <t>Poblacion</t>
        </is>
      </c>
    </row>
    <row r="41083" spans="1:1">
      <c r="A41083" t="inlineStr">
        <is>
          <t>Saloagan</t>
        </is>
      </c>
    </row>
    <row r="41084" spans="1:1">
      <c r="A41084" t="inlineStr">
        <is>
          <t>San Roque</t>
        </is>
      </c>
    </row>
    <row r="41085" spans="1:1">
      <c r="A41085" t="inlineStr">
        <is>
          <t>Sugbay Uno</t>
        </is>
      </c>
    </row>
    <row r="41086" spans="1:1">
      <c r="A41086" t="inlineStr">
        <is>
          <t>Sumbato</t>
        </is>
      </c>
    </row>
    <row r="41087" spans="1:1">
      <c r="A41087" t="inlineStr">
        <is>
          <t>Sumpot</t>
        </is>
      </c>
    </row>
    <row r="41088" spans="1:1">
      <c r="A41088" t="inlineStr">
        <is>
          <t>Tinggabulong</t>
        </is>
      </c>
    </row>
    <row r="41089" spans="1:1">
      <c r="A41089" t="inlineStr">
        <is>
          <t>Tiniguangan</t>
        </is>
      </c>
    </row>
    <row r="41090" spans="1:1">
      <c r="A41090" t="inlineStr">
        <is>
          <t>Tipangi</t>
        </is>
      </c>
    </row>
    <row r="41091" spans="1:1">
      <c r="A41091" t="inlineStr">
        <is>
          <t>Upper Ludiong</t>
        </is>
      </c>
    </row>
    <row r="41092" spans="1:1">
      <c r="A41092" t="inlineStr">
        <is>
          <t>Bacawan</t>
        </is>
      </c>
    </row>
    <row r="41093" spans="1:1">
      <c r="A41093" t="inlineStr">
        <is>
          <t>Benuatan</t>
        </is>
      </c>
    </row>
    <row r="41094" spans="1:1">
      <c r="A41094" t="inlineStr">
        <is>
          <t>Beray</t>
        </is>
      </c>
    </row>
    <row r="41095" spans="1:1">
      <c r="A41095" t="inlineStr">
        <is>
          <t>Don Jose</t>
        </is>
      </c>
    </row>
    <row r="41096" spans="1:1">
      <c r="A41096" t="inlineStr">
        <is>
          <t>Dongos</t>
        </is>
      </c>
    </row>
    <row r="41097" spans="1:1">
      <c r="A41097" t="inlineStr">
        <is>
          <t>East Migpulao</t>
        </is>
      </c>
    </row>
    <row r="41098" spans="1:1">
      <c r="A41098" t="inlineStr">
        <is>
          <t>Guinicolalay</t>
        </is>
      </c>
    </row>
    <row r="41099" spans="1:1">
      <c r="A41099" t="inlineStr">
        <is>
          <t>Ignacio Garrata</t>
        </is>
      </c>
    </row>
    <row r="41100" spans="1:1">
      <c r="A41100" t="inlineStr">
        <is>
          <t>Kinacap</t>
        </is>
      </c>
    </row>
    <row r="41101" spans="1:1">
      <c r="A41101" t="inlineStr">
        <is>
          <t>Legarda 1</t>
        </is>
      </c>
    </row>
    <row r="41102" spans="1:1">
      <c r="A41102" t="inlineStr">
        <is>
          <t>Legarda 2</t>
        </is>
      </c>
    </row>
    <row r="41103" spans="1:1">
      <c r="A41103" t="inlineStr">
        <is>
          <t>Legarda 3</t>
        </is>
      </c>
    </row>
    <row r="41104" spans="1:1">
      <c r="A41104" t="inlineStr">
        <is>
          <t>Lower Dimaya</t>
        </is>
      </c>
    </row>
    <row r="41105" spans="1:1">
      <c r="A41105" t="inlineStr">
        <is>
          <t>Lucoban</t>
        </is>
      </c>
    </row>
    <row r="41106" spans="1:1">
      <c r="A41106" t="inlineStr">
        <is>
          <t>Ludiong</t>
        </is>
      </c>
    </row>
    <row r="41107" spans="1:1">
      <c r="A41107" t="inlineStr">
        <is>
          <t>Nangka</t>
        </is>
      </c>
    </row>
    <row r="41108" spans="1:1">
      <c r="A41108" t="inlineStr">
        <is>
          <t>Nian</t>
        </is>
      </c>
    </row>
    <row r="41109" spans="1:1">
      <c r="A41109" t="inlineStr">
        <is>
          <t>Old Mirapao</t>
        </is>
      </c>
    </row>
    <row r="41110" spans="1:1">
      <c r="A41110" t="inlineStr">
        <is>
          <t>Pisa-an</t>
        </is>
      </c>
    </row>
    <row r="41111" spans="1:1">
      <c r="A41111" t="inlineStr">
        <is>
          <t>Poblacion</t>
        </is>
      </c>
    </row>
    <row r="41112" spans="1:1">
      <c r="A41112" t="inlineStr">
        <is>
          <t>Proper Dimaya</t>
        </is>
      </c>
    </row>
    <row r="41113" spans="1:1">
      <c r="A41113" t="inlineStr">
        <is>
          <t>Sagacad</t>
        </is>
      </c>
    </row>
    <row r="41114" spans="1:1">
      <c r="A41114" t="inlineStr">
        <is>
          <t>Sambulawan</t>
        </is>
      </c>
    </row>
    <row r="41115" spans="1:1">
      <c r="A41115" t="inlineStr">
        <is>
          <t>San Isidro</t>
        </is>
      </c>
    </row>
    <row r="41116" spans="1:1">
      <c r="A41116" t="inlineStr">
        <is>
          <t>Songayan</t>
        </is>
      </c>
    </row>
    <row r="41117" spans="1:1">
      <c r="A41117" t="inlineStr">
        <is>
          <t>Sumpotan</t>
        </is>
      </c>
    </row>
    <row r="41118" spans="1:1">
      <c r="A41118" t="inlineStr">
        <is>
          <t>Tarakan</t>
        </is>
      </c>
    </row>
    <row r="41119" spans="1:1">
      <c r="A41119" t="inlineStr">
        <is>
          <t>Upper Dimaya</t>
        </is>
      </c>
    </row>
    <row r="41120" spans="1:1">
      <c r="A41120" t="inlineStr">
        <is>
          <t>Upper Sibul</t>
        </is>
      </c>
    </row>
    <row r="41121" spans="1:1">
      <c r="A41121" t="inlineStr">
        <is>
          <t>West Migpulao</t>
        </is>
      </c>
    </row>
    <row r="41122" spans="1:1">
      <c r="A41122" t="inlineStr">
        <is>
          <t>Anonang</t>
        </is>
      </c>
    </row>
    <row r="41123" spans="1:1">
      <c r="A41123" t="inlineStr">
        <is>
          <t>Bag-ong Misamis</t>
        </is>
      </c>
    </row>
    <row r="41124" spans="1:1">
      <c r="A41124" t="inlineStr">
        <is>
          <t>Bag-ong Silao</t>
        </is>
      </c>
    </row>
    <row r="41125" spans="1:1">
      <c r="A41125" t="inlineStr">
        <is>
          <t>Baga</t>
        </is>
      </c>
    </row>
    <row r="41126" spans="1:1">
      <c r="A41126" t="inlineStr">
        <is>
          <t>Baloboan</t>
        </is>
      </c>
    </row>
    <row r="41127" spans="1:1">
      <c r="A41127" t="inlineStr">
        <is>
          <t>Banta-ao</t>
        </is>
      </c>
    </row>
    <row r="41128" spans="1:1">
      <c r="A41128" t="inlineStr">
        <is>
          <t>Bibilik</t>
        </is>
      </c>
    </row>
    <row r="41129" spans="1:1">
      <c r="A41129" t="inlineStr">
        <is>
          <t>Calingayan</t>
        </is>
      </c>
    </row>
    <row r="41130" spans="1:1">
      <c r="A41130" t="inlineStr">
        <is>
          <t>Camalig</t>
        </is>
      </c>
    </row>
    <row r="41131" spans="1:1">
      <c r="A41131" t="inlineStr">
        <is>
          <t>Camanga</t>
        </is>
      </c>
    </row>
    <row r="41132" spans="1:1">
      <c r="A41132" t="inlineStr">
        <is>
          <t>Cuatro-cuatro</t>
        </is>
      </c>
    </row>
    <row r="41133" spans="1:1">
      <c r="A41133" t="inlineStr">
        <is>
          <t>Locuban</t>
        </is>
      </c>
    </row>
    <row r="41134" spans="1:1">
      <c r="A41134" t="inlineStr">
        <is>
          <t>Malasik</t>
        </is>
      </c>
    </row>
    <row r="41135" spans="1:1">
      <c r="A41135" t="inlineStr">
        <is>
          <t>Mama</t>
        </is>
      </c>
    </row>
    <row r="41136" spans="1:1">
      <c r="A41136" t="inlineStr">
        <is>
          <t>Matab-ang</t>
        </is>
      </c>
    </row>
    <row r="41137" spans="1:1">
      <c r="A41137" t="inlineStr">
        <is>
          <t>Mecolong</t>
        </is>
      </c>
    </row>
    <row r="41138" spans="1:1">
      <c r="A41138" t="inlineStr">
        <is>
          <t>Metokong</t>
        </is>
      </c>
    </row>
    <row r="41139" spans="1:1">
      <c r="A41139" t="inlineStr">
        <is>
          <t>Motosawa</t>
        </is>
      </c>
    </row>
    <row r="41140" spans="1:1">
      <c r="A41140" t="inlineStr">
        <is>
          <t>Pag-asa</t>
        </is>
      </c>
    </row>
    <row r="41141" spans="1:1">
      <c r="A41141" t="inlineStr">
        <is>
          <t>Paglaum</t>
        </is>
      </c>
    </row>
    <row r="41142" spans="1:1">
      <c r="A41142" t="inlineStr">
        <is>
          <t>Pantad</t>
        </is>
      </c>
    </row>
    <row r="41143" spans="1:1">
      <c r="A41143" t="inlineStr">
        <is>
          <t>Piniglibano</t>
        </is>
      </c>
    </row>
    <row r="41144" spans="1:1">
      <c r="A41144" t="inlineStr">
        <is>
          <t>Rebokon</t>
        </is>
      </c>
    </row>
    <row r="41145" spans="1:1">
      <c r="A41145" t="inlineStr">
        <is>
          <t>San Agustin</t>
        </is>
      </c>
    </row>
    <row r="41146" spans="1:1">
      <c r="A41146" t="inlineStr">
        <is>
          <t>Sibucao</t>
        </is>
      </c>
    </row>
    <row r="41147" spans="1:1">
      <c r="A41147" t="inlineStr">
        <is>
          <t>Sumadat</t>
        </is>
      </c>
    </row>
    <row r="41148" spans="1:1">
      <c r="A41148" t="inlineStr">
        <is>
          <t>Tikwas</t>
        </is>
      </c>
    </row>
    <row r="41149" spans="1:1">
      <c r="A41149" t="inlineStr">
        <is>
          <t>Tina</t>
        </is>
      </c>
    </row>
    <row r="41150" spans="1:1">
      <c r="A41150" t="inlineStr">
        <is>
          <t>Tubo-Pait</t>
        </is>
      </c>
    </row>
    <row r="41151" spans="1:1">
      <c r="A41151" t="inlineStr">
        <is>
          <t>Upper Dumalinao</t>
        </is>
      </c>
    </row>
    <row r="41152" spans="1:1">
      <c r="A41152" t="inlineStr">
        <is>
          <t>Bag-ong Valencia</t>
        </is>
      </c>
    </row>
    <row r="41153" spans="1:1">
      <c r="A41153" t="inlineStr">
        <is>
          <t>Bagong Kauswagan</t>
        </is>
      </c>
    </row>
    <row r="41154" spans="1:1">
      <c r="A41154" t="inlineStr">
        <is>
          <t>Bagong Silang</t>
        </is>
      </c>
    </row>
    <row r="41155" spans="1:1">
      <c r="A41155" t="inlineStr">
        <is>
          <t>Bucayan</t>
        </is>
      </c>
    </row>
    <row r="41156" spans="1:1">
      <c r="A41156" t="inlineStr">
        <is>
          <t>Calumanggi</t>
        </is>
      </c>
    </row>
    <row r="41157" spans="1:1">
      <c r="A41157" t="inlineStr">
        <is>
          <t>Canibongan</t>
        </is>
      </c>
    </row>
    <row r="41158" spans="1:1">
      <c r="A41158" t="inlineStr">
        <is>
          <t>Caridad</t>
        </is>
      </c>
    </row>
    <row r="41159" spans="1:1">
      <c r="A41159" t="inlineStr">
        <is>
          <t>Danlugan</t>
        </is>
      </c>
    </row>
    <row r="41160" spans="1:1">
      <c r="A41160" t="inlineStr">
        <is>
          <t>Dapiwak</t>
        </is>
      </c>
    </row>
    <row r="41161" spans="1:1">
      <c r="A41161" t="inlineStr">
        <is>
          <t>Datu Totocan</t>
        </is>
      </c>
    </row>
    <row r="41162" spans="1:1">
      <c r="A41162" t="inlineStr">
        <is>
          <t>Dilud</t>
        </is>
      </c>
    </row>
    <row r="41163" spans="1:1">
      <c r="A41163" t="inlineStr">
        <is>
          <t>Ditulan</t>
        </is>
      </c>
    </row>
    <row r="41164" spans="1:1">
      <c r="A41164" t="inlineStr">
        <is>
          <t>Dulian</t>
        </is>
      </c>
    </row>
    <row r="41165" spans="1:1">
      <c r="A41165" t="inlineStr">
        <is>
          <t>Dulop</t>
        </is>
      </c>
    </row>
    <row r="41166" spans="1:1">
      <c r="A41166" t="inlineStr">
        <is>
          <t>Guintananan</t>
        </is>
      </c>
    </row>
    <row r="41167" spans="1:1">
      <c r="A41167" t="inlineStr">
        <is>
          <t>Guitran</t>
        </is>
      </c>
    </row>
    <row r="41168" spans="1:1">
      <c r="A41168" t="inlineStr">
        <is>
          <t>Gumpingan</t>
        </is>
      </c>
    </row>
    <row r="41169" spans="1:1">
      <c r="A41169" t="inlineStr">
        <is>
          <t>La Fortuna</t>
        </is>
      </c>
    </row>
    <row r="41170" spans="1:1">
      <c r="A41170" t="inlineStr">
        <is>
          <t>Labangon</t>
        </is>
      </c>
    </row>
    <row r="41171" spans="1:1">
      <c r="A41171" t="inlineStr">
        <is>
          <t>Libertad</t>
        </is>
      </c>
    </row>
    <row r="41172" spans="1:1">
      <c r="A41172" t="inlineStr">
        <is>
          <t>Licabang</t>
        </is>
      </c>
    </row>
    <row r="41173" spans="1:1">
      <c r="A41173" t="inlineStr">
        <is>
          <t>Lipawan</t>
        </is>
      </c>
    </row>
    <row r="41174" spans="1:1">
      <c r="A41174" t="inlineStr">
        <is>
          <t>Lower Landing</t>
        </is>
      </c>
    </row>
    <row r="41175" spans="1:1">
      <c r="A41175" t="inlineStr">
        <is>
          <t>Lower Timonan</t>
        </is>
      </c>
    </row>
    <row r="41176" spans="1:1">
      <c r="A41176" t="inlineStr">
        <is>
          <t>Macasing</t>
        </is>
      </c>
    </row>
    <row r="41177" spans="1:1">
      <c r="A41177" t="inlineStr">
        <is>
          <t>Mahayahay</t>
        </is>
      </c>
    </row>
    <row r="41178" spans="1:1">
      <c r="A41178" t="inlineStr">
        <is>
          <t>Malagalad</t>
        </is>
      </c>
    </row>
    <row r="41179" spans="1:1">
      <c r="A41179" t="inlineStr">
        <is>
          <t>Manlabay</t>
        </is>
      </c>
    </row>
    <row r="41180" spans="1:1">
      <c r="A41180" t="inlineStr">
        <is>
          <t>Maralag</t>
        </is>
      </c>
    </row>
    <row r="41181" spans="1:1">
      <c r="A41181" t="inlineStr">
        <is>
          <t>Marangan</t>
        </is>
      </c>
    </row>
    <row r="41182" spans="1:1">
      <c r="A41182" t="inlineStr">
        <is>
          <t>New Basak</t>
        </is>
      </c>
    </row>
    <row r="41183" spans="1:1">
      <c r="A41183" t="inlineStr">
        <is>
          <t>Saad</t>
        </is>
      </c>
    </row>
    <row r="41184" spans="1:1">
      <c r="A41184" t="inlineStr">
        <is>
          <t>Salvador</t>
        </is>
      </c>
    </row>
    <row r="41185" spans="1:1">
      <c r="A41185" t="inlineStr">
        <is>
          <t>San Juan</t>
        </is>
      </c>
    </row>
    <row r="41186" spans="1:1">
      <c r="A41186" t="inlineStr">
        <is>
          <t>San Pablo</t>
        </is>
      </c>
    </row>
    <row r="41187" spans="1:1">
      <c r="A41187" t="inlineStr">
        <is>
          <t>San Pedro</t>
        </is>
      </c>
    </row>
    <row r="41188" spans="1:1">
      <c r="A41188" t="inlineStr">
        <is>
          <t>San Vicente</t>
        </is>
      </c>
    </row>
    <row r="41189" spans="1:1">
      <c r="A41189" t="inlineStr">
        <is>
          <t>Senote</t>
        </is>
      </c>
    </row>
    <row r="41190" spans="1:1">
      <c r="A41190" t="inlineStr">
        <is>
          <t>Sinonok</t>
        </is>
      </c>
    </row>
    <row r="41191" spans="1:1">
      <c r="A41191" t="inlineStr">
        <is>
          <t>Sunop</t>
        </is>
      </c>
    </row>
    <row r="41192" spans="1:1">
      <c r="A41192" t="inlineStr">
        <is>
          <t>Tagun</t>
        </is>
      </c>
    </row>
    <row r="41193" spans="1:1">
      <c r="A41193" t="inlineStr">
        <is>
          <t>Tamurayan</t>
        </is>
      </c>
    </row>
    <row r="41194" spans="1:1">
      <c r="A41194" t="inlineStr">
        <is>
          <t>Upper Landing</t>
        </is>
      </c>
    </row>
    <row r="41195" spans="1:1">
      <c r="A41195" t="inlineStr">
        <is>
          <t>Upper Timonan</t>
        </is>
      </c>
    </row>
    <row r="41196" spans="1:1">
      <c r="A41196" t="inlineStr">
        <is>
          <t>Bagong Oroquieta</t>
        </is>
      </c>
    </row>
    <row r="41197" spans="1:1">
      <c r="A41197" t="inlineStr">
        <is>
          <t>Baguitan</t>
        </is>
      </c>
    </row>
    <row r="41198" spans="1:1">
      <c r="A41198" t="inlineStr">
        <is>
          <t>Balongating</t>
        </is>
      </c>
    </row>
    <row r="41199" spans="1:1">
      <c r="A41199" t="inlineStr">
        <is>
          <t>Canunan</t>
        </is>
      </c>
    </row>
    <row r="41200" spans="1:1">
      <c r="A41200" t="inlineStr">
        <is>
          <t>Dacsol</t>
        </is>
      </c>
    </row>
    <row r="41201" spans="1:1">
      <c r="A41201" t="inlineStr">
        <is>
          <t>Dagohoy</t>
        </is>
      </c>
    </row>
    <row r="41202" spans="1:1">
      <c r="A41202" t="inlineStr">
        <is>
          <t>Dalapang</t>
        </is>
      </c>
    </row>
    <row r="41203" spans="1:1">
      <c r="A41203" t="inlineStr">
        <is>
          <t>Datagan</t>
        </is>
      </c>
    </row>
    <row r="41204" spans="1:1">
      <c r="A41204" t="inlineStr">
        <is>
          <t>Guling</t>
        </is>
      </c>
    </row>
    <row r="41205" spans="1:1">
      <c r="A41205" t="inlineStr">
        <is>
          <t>Katipunan</t>
        </is>
      </c>
    </row>
    <row r="41206" spans="1:1">
      <c r="A41206" t="inlineStr">
        <is>
          <t>Lintum</t>
        </is>
      </c>
    </row>
    <row r="41207" spans="1:1">
      <c r="A41207" t="inlineStr">
        <is>
          <t>Litan</t>
        </is>
      </c>
    </row>
    <row r="41208" spans="1:1">
      <c r="A41208" t="inlineStr">
        <is>
          <t>Magting</t>
        </is>
      </c>
    </row>
    <row r="41209" spans="1:1">
      <c r="A41209" t="inlineStr">
        <is>
          <t>Poblacion</t>
        </is>
      </c>
    </row>
    <row r="41210" spans="1:1">
      <c r="A41210" t="inlineStr">
        <is>
          <t>Regla</t>
        </is>
      </c>
    </row>
    <row r="41211" spans="1:1">
      <c r="A41211" t="inlineStr">
        <is>
          <t>Sikatuna</t>
        </is>
      </c>
    </row>
    <row r="41212" spans="1:1">
      <c r="A41212" t="inlineStr">
        <is>
          <t>Singclot</t>
        </is>
      </c>
    </row>
    <row r="41213" spans="1:1">
      <c r="A41213" t="inlineStr">
        <is>
          <t>Bogo Calabat</t>
        </is>
      </c>
    </row>
    <row r="41214" spans="1:1">
      <c r="A41214" t="inlineStr">
        <is>
          <t>Dawa</t>
        </is>
      </c>
    </row>
    <row r="41215" spans="1:1">
      <c r="A41215" t="inlineStr">
        <is>
          <t>Ebarle</t>
        </is>
      </c>
    </row>
    <row r="41216" spans="1:1">
      <c r="A41216" t="inlineStr">
        <is>
          <t>Gumahan</t>
        </is>
      </c>
    </row>
    <row r="41217" spans="1:1">
      <c r="A41217" t="inlineStr">
        <is>
          <t>Leonardo</t>
        </is>
      </c>
    </row>
    <row r="41218" spans="1:1">
      <c r="A41218" t="inlineStr">
        <is>
          <t>Litapan</t>
        </is>
      </c>
    </row>
    <row r="41219" spans="1:1">
      <c r="A41219" t="inlineStr">
        <is>
          <t>Lower Bagong Tudela</t>
        </is>
      </c>
    </row>
    <row r="41220" spans="1:1">
      <c r="A41220" t="inlineStr">
        <is>
          <t>Mansanas</t>
        </is>
      </c>
    </row>
    <row r="41221" spans="1:1">
      <c r="A41221" t="inlineStr">
        <is>
          <t>Moradji</t>
        </is>
      </c>
    </row>
    <row r="41222" spans="1:1">
      <c r="A41222" t="inlineStr">
        <is>
          <t>Nemeño</t>
        </is>
      </c>
    </row>
    <row r="41223" spans="1:1">
      <c r="A41223" t="inlineStr">
        <is>
          <t>Nopulan</t>
        </is>
      </c>
    </row>
    <row r="41224" spans="1:1">
      <c r="A41224" t="inlineStr">
        <is>
          <t>Sebukang</t>
        </is>
      </c>
    </row>
    <row r="41225" spans="1:1">
      <c r="A41225" t="inlineStr">
        <is>
          <t>Tagaytay Hill</t>
        </is>
      </c>
    </row>
    <row r="41226" spans="1:1">
      <c r="A41226" t="inlineStr">
        <is>
          <t>Upper Bagong Tudela</t>
        </is>
      </c>
    </row>
    <row r="41227" spans="1:1">
      <c r="A41227" t="inlineStr">
        <is>
          <t>Bogayo</t>
        </is>
      </c>
    </row>
    <row r="41228" spans="1:1">
      <c r="A41228" t="inlineStr">
        <is>
          <t>Bolisong</t>
        </is>
      </c>
    </row>
    <row r="41229" spans="1:1">
      <c r="A41229" t="inlineStr">
        <is>
          <t>Boyugan East</t>
        </is>
      </c>
    </row>
    <row r="41230" spans="1:1">
      <c r="A41230" t="inlineStr">
        <is>
          <t>Boyugan West</t>
        </is>
      </c>
    </row>
    <row r="41231" spans="1:1">
      <c r="A41231" t="inlineStr">
        <is>
          <t>Bualan</t>
        </is>
      </c>
    </row>
    <row r="41232" spans="1:1">
      <c r="A41232" t="inlineStr">
        <is>
          <t>Diplo</t>
        </is>
      </c>
    </row>
    <row r="41233" spans="1:1">
      <c r="A41233" t="inlineStr">
        <is>
          <t>Gawil</t>
        </is>
      </c>
    </row>
    <row r="41234" spans="1:1">
      <c r="A41234" t="inlineStr">
        <is>
          <t>Gusom</t>
        </is>
      </c>
    </row>
    <row r="41235" spans="1:1">
      <c r="A41235" t="inlineStr">
        <is>
          <t>Kitaan Dagat</t>
        </is>
      </c>
    </row>
    <row r="41236" spans="1:1">
      <c r="A41236" t="inlineStr">
        <is>
          <t>Lantawan</t>
        </is>
      </c>
    </row>
    <row r="41237" spans="1:1">
      <c r="A41237" t="inlineStr">
        <is>
          <t>Limamawan</t>
        </is>
      </c>
    </row>
    <row r="41238" spans="1:1">
      <c r="A41238" t="inlineStr">
        <is>
          <t>Mahayahay</t>
        </is>
      </c>
    </row>
    <row r="41239" spans="1:1">
      <c r="A41239" t="inlineStr">
        <is>
          <t>Pangi</t>
        </is>
      </c>
    </row>
    <row r="41240" spans="1:1">
      <c r="A41240" t="inlineStr">
        <is>
          <t>Picanan</t>
        </is>
      </c>
    </row>
    <row r="41241" spans="1:1">
      <c r="A41241" t="inlineStr">
        <is>
          <t>Poblacion</t>
        </is>
      </c>
    </row>
    <row r="41242" spans="1:1">
      <c r="A41242" t="inlineStr">
        <is>
          <t>Salagmanok</t>
        </is>
      </c>
    </row>
    <row r="41243" spans="1:1">
      <c r="A41243" t="inlineStr">
        <is>
          <t>Secade</t>
        </is>
      </c>
    </row>
    <row r="41244" spans="1:1">
      <c r="A41244" t="inlineStr">
        <is>
          <t>Suminalum</t>
        </is>
      </c>
    </row>
    <row r="41245" spans="1:1">
      <c r="A41245" t="inlineStr">
        <is>
          <t>Bagalupa</t>
        </is>
      </c>
    </row>
    <row r="41246" spans="1:1">
      <c r="A41246" t="inlineStr">
        <is>
          <t>Balimbingan</t>
        </is>
      </c>
    </row>
    <row r="41247" spans="1:1">
      <c r="A41247" t="inlineStr">
        <is>
          <t>Binayan</t>
        </is>
      </c>
    </row>
    <row r="41248" spans="1:1">
      <c r="A41248" t="inlineStr">
        <is>
          <t>Bokong</t>
        </is>
      </c>
    </row>
    <row r="41249" spans="1:1">
      <c r="A41249" t="inlineStr">
        <is>
          <t>Bulanit</t>
        </is>
      </c>
    </row>
    <row r="41250" spans="1:1">
      <c r="A41250" t="inlineStr">
        <is>
          <t>Cogonan</t>
        </is>
      </c>
    </row>
    <row r="41251" spans="1:1">
      <c r="A41251" t="inlineStr">
        <is>
          <t>Combo</t>
        </is>
      </c>
    </row>
    <row r="41252" spans="1:1">
      <c r="A41252" t="inlineStr">
        <is>
          <t>Dalapang</t>
        </is>
      </c>
    </row>
    <row r="41253" spans="1:1">
      <c r="A41253" t="inlineStr">
        <is>
          <t>Dimasangca</t>
        </is>
      </c>
    </row>
    <row r="41254" spans="1:1">
      <c r="A41254" t="inlineStr">
        <is>
          <t>Dipaya</t>
        </is>
      </c>
    </row>
    <row r="41255" spans="1:1">
      <c r="A41255" t="inlineStr">
        <is>
          <t>Langapod</t>
        </is>
      </c>
    </row>
    <row r="41256" spans="1:1">
      <c r="A41256" t="inlineStr">
        <is>
          <t>Lantian</t>
        </is>
      </c>
    </row>
    <row r="41257" spans="1:1">
      <c r="A41257" t="inlineStr">
        <is>
          <t>Lower Campo Islam</t>
        </is>
      </c>
    </row>
    <row r="41258" spans="1:1">
      <c r="A41258" t="inlineStr">
        <is>
          <t>Lower Pulacan</t>
        </is>
      </c>
    </row>
    <row r="41259" spans="1:1">
      <c r="A41259" t="inlineStr">
        <is>
          <t>Lower Sang-an</t>
        </is>
      </c>
    </row>
    <row r="41260" spans="1:1">
      <c r="A41260" t="inlineStr">
        <is>
          <t>New Labangan</t>
        </is>
      </c>
    </row>
    <row r="41261" spans="1:1">
      <c r="A41261" t="inlineStr">
        <is>
          <t>Noboran</t>
        </is>
      </c>
    </row>
    <row r="41262" spans="1:1">
      <c r="A41262" t="inlineStr">
        <is>
          <t>Old Labangan</t>
        </is>
      </c>
    </row>
    <row r="41263" spans="1:1">
      <c r="A41263" t="inlineStr">
        <is>
          <t>San Isidro</t>
        </is>
      </c>
    </row>
    <row r="41264" spans="1:1">
      <c r="A41264" t="inlineStr">
        <is>
          <t>Santa Cruz</t>
        </is>
      </c>
    </row>
    <row r="41265" spans="1:1">
      <c r="A41265" t="inlineStr">
        <is>
          <t>Tapodoc</t>
        </is>
      </c>
    </row>
    <row r="41266" spans="1:1">
      <c r="A41266" t="inlineStr">
        <is>
          <t>Tawagan Norte</t>
        </is>
      </c>
    </row>
    <row r="41267" spans="1:1">
      <c r="A41267" t="inlineStr">
        <is>
          <t>Upper Campo Islam</t>
        </is>
      </c>
    </row>
    <row r="41268" spans="1:1">
      <c r="A41268" t="inlineStr">
        <is>
          <t>Upper Pulacan</t>
        </is>
      </c>
    </row>
    <row r="41269" spans="1:1">
      <c r="A41269" t="inlineStr">
        <is>
          <t>Upper Sang-an</t>
        </is>
      </c>
    </row>
    <row r="41270" spans="1:1">
      <c r="A41270" t="inlineStr">
        <is>
          <t>Bagong Kahayag</t>
        </is>
      </c>
    </row>
    <row r="41271" spans="1:1">
      <c r="A41271" t="inlineStr">
        <is>
          <t>Baking</t>
        </is>
      </c>
    </row>
    <row r="41272" spans="1:1">
      <c r="A41272" t="inlineStr">
        <is>
          <t>Biswangan</t>
        </is>
      </c>
    </row>
    <row r="41273" spans="1:1">
      <c r="A41273" t="inlineStr">
        <is>
          <t>Bululawan</t>
        </is>
      </c>
    </row>
    <row r="41274" spans="1:1">
      <c r="A41274" t="inlineStr">
        <is>
          <t>Dagum</t>
        </is>
      </c>
    </row>
    <row r="41275" spans="1:1">
      <c r="A41275" t="inlineStr">
        <is>
          <t>Gasa</t>
        </is>
      </c>
    </row>
    <row r="41276" spans="1:1">
      <c r="A41276" t="inlineStr">
        <is>
          <t>Gatub</t>
        </is>
      </c>
    </row>
    <row r="41277" spans="1:1">
      <c r="A41277" t="inlineStr">
        <is>
          <t>Lukuan</t>
        </is>
      </c>
    </row>
    <row r="41278" spans="1:1">
      <c r="A41278" t="inlineStr">
        <is>
          <t>Matalang</t>
        </is>
      </c>
    </row>
    <row r="41279" spans="1:1">
      <c r="A41279" t="inlineStr">
        <is>
          <t>Poblacion</t>
        </is>
      </c>
    </row>
    <row r="41280" spans="1:1">
      <c r="A41280" t="inlineStr">
        <is>
          <t>Sapang Pinoles</t>
        </is>
      </c>
    </row>
    <row r="41281" spans="1:1">
      <c r="A41281" t="inlineStr">
        <is>
          <t>Sebuguey</t>
        </is>
      </c>
    </row>
    <row r="41282" spans="1:1">
      <c r="A41282" t="inlineStr">
        <is>
          <t>Tiwales</t>
        </is>
      </c>
    </row>
    <row r="41283" spans="1:1">
      <c r="A41283" t="inlineStr">
        <is>
          <t>Tubod</t>
        </is>
      </c>
    </row>
    <row r="41284" spans="1:1">
      <c r="A41284" t="inlineStr">
        <is>
          <t>Bulawan</t>
        </is>
      </c>
    </row>
    <row r="41285" spans="1:1">
      <c r="A41285" t="inlineStr">
        <is>
          <t>Carpoc</t>
        </is>
      </c>
    </row>
    <row r="41286" spans="1:1">
      <c r="A41286" t="inlineStr">
        <is>
          <t>Danganan</t>
        </is>
      </c>
    </row>
    <row r="41287" spans="1:1">
      <c r="A41287" t="inlineStr">
        <is>
          <t>Dansal</t>
        </is>
      </c>
    </row>
    <row r="41288" spans="1:1">
      <c r="A41288" t="inlineStr">
        <is>
          <t>Dumara</t>
        </is>
      </c>
    </row>
    <row r="41289" spans="1:1">
      <c r="A41289" t="inlineStr">
        <is>
          <t>Linokmadalum</t>
        </is>
      </c>
    </row>
    <row r="41290" spans="1:1">
      <c r="A41290" t="inlineStr">
        <is>
          <t>Luanan</t>
        </is>
      </c>
    </row>
    <row r="41291" spans="1:1">
      <c r="A41291" t="inlineStr">
        <is>
          <t>Lubosan</t>
        </is>
      </c>
    </row>
    <row r="41292" spans="1:1">
      <c r="A41292" t="inlineStr">
        <is>
          <t>Mahalingeb</t>
        </is>
      </c>
    </row>
    <row r="41293" spans="1:1">
      <c r="A41293" t="inlineStr">
        <is>
          <t>Mandeg</t>
        </is>
      </c>
    </row>
    <row r="41294" spans="1:1">
      <c r="A41294" t="inlineStr">
        <is>
          <t>Maralag</t>
        </is>
      </c>
    </row>
    <row r="41295" spans="1:1">
      <c r="A41295" t="inlineStr">
        <is>
          <t>Maruing</t>
        </is>
      </c>
    </row>
    <row r="41296" spans="1:1">
      <c r="A41296" t="inlineStr">
        <is>
          <t>Molum</t>
        </is>
      </c>
    </row>
    <row r="41297" spans="1:1">
      <c r="A41297" t="inlineStr">
        <is>
          <t>Pampang</t>
        </is>
      </c>
    </row>
    <row r="41298" spans="1:1">
      <c r="A41298" t="inlineStr">
        <is>
          <t>Pantad</t>
        </is>
      </c>
    </row>
    <row r="41299" spans="1:1">
      <c r="A41299" t="inlineStr">
        <is>
          <t>Pingalay</t>
        </is>
      </c>
    </row>
    <row r="41300" spans="1:1">
      <c r="A41300" t="inlineStr">
        <is>
          <t>Poblacion</t>
        </is>
      </c>
    </row>
    <row r="41301" spans="1:1">
      <c r="A41301" t="inlineStr">
        <is>
          <t>Salambuyan</t>
        </is>
      </c>
    </row>
    <row r="41302" spans="1:1">
      <c r="A41302" t="inlineStr">
        <is>
          <t>San Jose</t>
        </is>
      </c>
    </row>
    <row r="41303" spans="1:1">
      <c r="A41303" t="inlineStr">
        <is>
          <t>Sayog</t>
        </is>
      </c>
    </row>
    <row r="41304" spans="1:1">
      <c r="A41304" t="inlineStr">
        <is>
          <t>Tabon</t>
        </is>
      </c>
    </row>
    <row r="41305" spans="1:1">
      <c r="A41305" t="inlineStr">
        <is>
          <t>Talabob</t>
        </is>
      </c>
    </row>
    <row r="41306" spans="1:1">
      <c r="A41306" t="inlineStr">
        <is>
          <t>Tiguha</t>
        </is>
      </c>
    </row>
    <row r="41307" spans="1:1">
      <c r="A41307" t="inlineStr">
        <is>
          <t>Tininghalang</t>
        </is>
      </c>
    </row>
    <row r="41308" spans="1:1">
      <c r="A41308" t="inlineStr">
        <is>
          <t>Tipasan</t>
        </is>
      </c>
    </row>
    <row r="41309" spans="1:1">
      <c r="A41309" t="inlineStr">
        <is>
          <t>Tugaya</t>
        </is>
      </c>
    </row>
    <row r="41310" spans="1:1">
      <c r="A41310" t="inlineStr">
        <is>
          <t>Bag-ong Balamban</t>
        </is>
      </c>
    </row>
    <row r="41311" spans="1:1">
      <c r="A41311" t="inlineStr">
        <is>
          <t>Bag-ong Dalaguete</t>
        </is>
      </c>
    </row>
    <row r="41312" spans="1:1">
      <c r="A41312" t="inlineStr">
        <is>
          <t>Boniao</t>
        </is>
      </c>
    </row>
    <row r="41313" spans="1:1">
      <c r="A41313" t="inlineStr">
        <is>
          <t>Delusom</t>
        </is>
      </c>
    </row>
    <row r="41314" spans="1:1">
      <c r="A41314" t="inlineStr">
        <is>
          <t>Diwan</t>
        </is>
      </c>
    </row>
    <row r="41315" spans="1:1">
      <c r="A41315" t="inlineStr">
        <is>
          <t>Guripan</t>
        </is>
      </c>
    </row>
    <row r="41316" spans="1:1">
      <c r="A41316" t="inlineStr">
        <is>
          <t>Kaangayan</t>
        </is>
      </c>
    </row>
    <row r="41317" spans="1:1">
      <c r="A41317" t="inlineStr">
        <is>
          <t>Kabuhi</t>
        </is>
      </c>
    </row>
    <row r="41318" spans="1:1">
      <c r="A41318" t="inlineStr">
        <is>
          <t>Lourmah</t>
        </is>
      </c>
    </row>
    <row r="41319" spans="1:1">
      <c r="A41319" t="inlineStr">
        <is>
          <t>Lower Salug Daku</t>
        </is>
      </c>
    </row>
    <row r="41320" spans="1:1">
      <c r="A41320" t="inlineStr">
        <is>
          <t>Lower Santo Niño</t>
        </is>
      </c>
    </row>
    <row r="41321" spans="1:1">
      <c r="A41321" t="inlineStr">
        <is>
          <t>Malubo</t>
        </is>
      </c>
    </row>
    <row r="41322" spans="1:1">
      <c r="A41322" t="inlineStr">
        <is>
          <t>Manguiles</t>
        </is>
      </c>
    </row>
    <row r="41323" spans="1:1">
      <c r="A41323" t="inlineStr">
        <is>
          <t>Marabanan</t>
        </is>
      </c>
    </row>
    <row r="41324" spans="1:1">
      <c r="A41324" t="inlineStr">
        <is>
          <t>Panagaan</t>
        </is>
      </c>
    </row>
    <row r="41325" spans="1:1">
      <c r="A41325" t="inlineStr">
        <is>
          <t>Paraiso</t>
        </is>
      </c>
    </row>
    <row r="41326" spans="1:1">
      <c r="A41326" t="inlineStr">
        <is>
          <t>Pedagan</t>
        </is>
      </c>
    </row>
    <row r="41327" spans="1:1">
      <c r="A41327" t="inlineStr">
        <is>
          <t>Poblacion</t>
        </is>
      </c>
    </row>
    <row r="41328" spans="1:1">
      <c r="A41328" t="inlineStr">
        <is>
          <t>Pugwan</t>
        </is>
      </c>
    </row>
    <row r="41329" spans="1:1">
      <c r="A41329" t="inlineStr">
        <is>
          <t>San Isidro</t>
        </is>
      </c>
    </row>
    <row r="41330" spans="1:1">
      <c r="A41330" t="inlineStr">
        <is>
          <t>San Jose</t>
        </is>
      </c>
    </row>
    <row r="41331" spans="1:1">
      <c r="A41331" t="inlineStr">
        <is>
          <t>San Vicente</t>
        </is>
      </c>
    </row>
    <row r="41332" spans="1:1">
      <c r="A41332" t="inlineStr">
        <is>
          <t>Santa Cruz</t>
        </is>
      </c>
    </row>
    <row r="41333" spans="1:1">
      <c r="A41333" t="inlineStr">
        <is>
          <t>Sicpao</t>
        </is>
      </c>
    </row>
    <row r="41334" spans="1:1">
      <c r="A41334" t="inlineStr">
        <is>
          <t>Tuboran</t>
        </is>
      </c>
    </row>
    <row r="41335" spans="1:1">
      <c r="A41335" t="inlineStr">
        <is>
          <t>Tulan</t>
        </is>
      </c>
    </row>
    <row r="41336" spans="1:1">
      <c r="A41336" t="inlineStr">
        <is>
          <t>Tumapic</t>
        </is>
      </c>
    </row>
    <row r="41337" spans="1:1">
      <c r="A41337" t="inlineStr">
        <is>
          <t>Upper Salug Daku</t>
        </is>
      </c>
    </row>
    <row r="41338" spans="1:1">
      <c r="A41338" t="inlineStr">
        <is>
          <t>Upper Santo Niño</t>
        </is>
      </c>
    </row>
    <row r="41339" spans="1:1">
      <c r="A41339" t="inlineStr">
        <is>
          <t>Balintawak</t>
        </is>
      </c>
    </row>
    <row r="41340" spans="1:1">
      <c r="A41340" t="inlineStr">
        <is>
          <t>Bularong</t>
        </is>
      </c>
    </row>
    <row r="41341" spans="1:1">
      <c r="A41341" t="inlineStr">
        <is>
          <t>Digon</t>
        </is>
      </c>
    </row>
    <row r="41342" spans="1:1">
      <c r="A41342" t="inlineStr">
        <is>
          <t>Guinimanan</t>
        </is>
      </c>
    </row>
    <row r="41343" spans="1:1">
      <c r="A41343" t="inlineStr">
        <is>
          <t>Igat Island</t>
        </is>
      </c>
    </row>
    <row r="41344" spans="1:1">
      <c r="A41344" t="inlineStr">
        <is>
          <t>Josefina</t>
        </is>
      </c>
    </row>
    <row r="41345" spans="1:1">
      <c r="A41345" t="inlineStr">
        <is>
          <t>Kalian</t>
        </is>
      </c>
    </row>
    <row r="41346" spans="1:1">
      <c r="A41346" t="inlineStr">
        <is>
          <t>Kolot</t>
        </is>
      </c>
    </row>
    <row r="41347" spans="1:1">
      <c r="A41347" t="inlineStr">
        <is>
          <t>Limamawan</t>
        </is>
      </c>
    </row>
    <row r="41348" spans="1:1">
      <c r="A41348" t="inlineStr">
        <is>
          <t>Limbatong</t>
        </is>
      </c>
    </row>
    <row r="41349" spans="1:1">
      <c r="A41349" t="inlineStr">
        <is>
          <t>Lumbog</t>
        </is>
      </c>
    </row>
    <row r="41350" spans="1:1">
      <c r="A41350" t="inlineStr">
        <is>
          <t>Magahis</t>
        </is>
      </c>
    </row>
    <row r="41351" spans="1:1">
      <c r="A41351" t="inlineStr">
        <is>
          <t>Poblacion</t>
        </is>
      </c>
    </row>
    <row r="41352" spans="1:1">
      <c r="A41352" t="inlineStr">
        <is>
          <t>Sagua</t>
        </is>
      </c>
    </row>
    <row r="41353" spans="1:1">
      <c r="A41353" t="inlineStr">
        <is>
          <t>Talanusa</t>
        </is>
      </c>
    </row>
    <row r="41354" spans="1:1">
      <c r="A41354" t="inlineStr">
        <is>
          <t>Tiguian</t>
        </is>
      </c>
    </row>
    <row r="41355" spans="1:1">
      <c r="A41355" t="inlineStr">
        <is>
          <t>Tulapok</t>
        </is>
      </c>
    </row>
    <row r="41356" spans="1:1">
      <c r="A41356" t="inlineStr">
        <is>
          <t>Bacahan</t>
        </is>
      </c>
    </row>
    <row r="41357" spans="1:1">
      <c r="A41357" t="inlineStr">
        <is>
          <t>Balonai</t>
        </is>
      </c>
    </row>
    <row r="41358" spans="1:1">
      <c r="A41358" t="inlineStr">
        <is>
          <t>Bibilop</t>
        </is>
      </c>
    </row>
    <row r="41359" spans="1:1">
      <c r="A41359" t="inlineStr">
        <is>
          <t>Buloron</t>
        </is>
      </c>
    </row>
    <row r="41360" spans="1:1">
      <c r="A41360" t="inlineStr">
        <is>
          <t>Cabaloran</t>
        </is>
      </c>
    </row>
    <row r="41361" spans="1:1">
      <c r="A41361" t="inlineStr">
        <is>
          <t>Canipay Norte</t>
        </is>
      </c>
    </row>
    <row r="41362" spans="1:1">
      <c r="A41362" t="inlineStr">
        <is>
          <t>Canipay Sur</t>
        </is>
      </c>
    </row>
    <row r="41363" spans="1:1">
      <c r="A41363" t="inlineStr">
        <is>
          <t>Cumaron</t>
        </is>
      </c>
    </row>
    <row r="41364" spans="1:1">
      <c r="A41364" t="inlineStr">
        <is>
          <t>Dakayakan</t>
        </is>
      </c>
    </row>
    <row r="41365" spans="1:1">
      <c r="A41365" t="inlineStr">
        <is>
          <t>Duelic</t>
        </is>
      </c>
    </row>
    <row r="41366" spans="1:1">
      <c r="A41366" t="inlineStr">
        <is>
          <t>Dumalinao</t>
        </is>
      </c>
    </row>
    <row r="41367" spans="1:1">
      <c r="A41367" t="inlineStr">
        <is>
          <t>Ecuan</t>
        </is>
      </c>
    </row>
    <row r="41368" spans="1:1">
      <c r="A41368" t="inlineStr">
        <is>
          <t>Golictop</t>
        </is>
      </c>
    </row>
    <row r="41369" spans="1:1">
      <c r="A41369" t="inlineStr">
        <is>
          <t>Guinabot</t>
        </is>
      </c>
    </row>
    <row r="41370" spans="1:1">
      <c r="A41370" t="inlineStr">
        <is>
          <t>Guitalos</t>
        </is>
      </c>
    </row>
    <row r="41371" spans="1:1">
      <c r="A41371" t="inlineStr">
        <is>
          <t>Guma</t>
        </is>
      </c>
    </row>
    <row r="41372" spans="1:1">
      <c r="A41372" t="inlineStr">
        <is>
          <t>Kahayagan</t>
        </is>
      </c>
    </row>
    <row r="41373" spans="1:1">
      <c r="A41373" t="inlineStr">
        <is>
          <t>Licuro-an</t>
        </is>
      </c>
    </row>
    <row r="41374" spans="1:1">
      <c r="A41374" t="inlineStr">
        <is>
          <t>Lumpunid</t>
        </is>
      </c>
    </row>
    <row r="41375" spans="1:1">
      <c r="A41375" t="inlineStr">
        <is>
          <t>Matalang</t>
        </is>
      </c>
    </row>
    <row r="41376" spans="1:1">
      <c r="A41376" t="inlineStr">
        <is>
          <t>New Katipunan</t>
        </is>
      </c>
    </row>
    <row r="41377" spans="1:1">
      <c r="A41377" t="inlineStr">
        <is>
          <t>New Unidos</t>
        </is>
      </c>
    </row>
    <row r="41378" spans="1:1">
      <c r="A41378" t="inlineStr">
        <is>
          <t>Palili</t>
        </is>
      </c>
    </row>
    <row r="41379" spans="1:1">
      <c r="A41379" t="inlineStr">
        <is>
          <t>Pawan</t>
        </is>
      </c>
    </row>
    <row r="41380" spans="1:1">
      <c r="A41380" t="inlineStr">
        <is>
          <t>Pili</t>
        </is>
      </c>
    </row>
    <row r="41381" spans="1:1">
      <c r="A41381" t="inlineStr">
        <is>
          <t>Pisompongan</t>
        </is>
      </c>
    </row>
    <row r="41382" spans="1:1">
      <c r="A41382" t="inlineStr">
        <is>
          <t>Piwan</t>
        </is>
      </c>
    </row>
    <row r="41383" spans="1:1">
      <c r="A41383" t="inlineStr">
        <is>
          <t>Poblacion A</t>
        </is>
      </c>
    </row>
    <row r="41384" spans="1:1">
      <c r="A41384" t="inlineStr">
        <is>
          <t>Poblacion B</t>
        </is>
      </c>
    </row>
    <row r="41385" spans="1:1">
      <c r="A41385" t="inlineStr">
        <is>
          <t>Sigapod</t>
        </is>
      </c>
    </row>
    <row r="41386" spans="1:1">
      <c r="A41386" t="inlineStr">
        <is>
          <t>Timbaboy</t>
        </is>
      </c>
    </row>
    <row r="41387" spans="1:1">
      <c r="A41387" t="inlineStr">
        <is>
          <t>Tulbong</t>
        </is>
      </c>
    </row>
    <row r="41388" spans="1:1">
      <c r="A41388" t="inlineStr">
        <is>
          <t>Tuluan</t>
        </is>
      </c>
    </row>
    <row r="41389" spans="1:1">
      <c r="A41389" t="inlineStr">
        <is>
          <t>Alicia</t>
        </is>
      </c>
    </row>
    <row r="41390" spans="1:1">
      <c r="A41390" t="inlineStr">
        <is>
          <t>Ariosa</t>
        </is>
      </c>
    </row>
    <row r="41391" spans="1:1">
      <c r="A41391" t="inlineStr">
        <is>
          <t>Bagong Argao</t>
        </is>
      </c>
    </row>
    <row r="41392" spans="1:1">
      <c r="A41392" t="inlineStr">
        <is>
          <t>Bagong Gutlang</t>
        </is>
      </c>
    </row>
    <row r="41393" spans="1:1">
      <c r="A41393" t="inlineStr">
        <is>
          <t>Blancia</t>
        </is>
      </c>
    </row>
    <row r="41394" spans="1:1">
      <c r="A41394" t="inlineStr">
        <is>
          <t>Bogo Capalaran</t>
        </is>
      </c>
    </row>
    <row r="41395" spans="1:1">
      <c r="A41395" t="inlineStr">
        <is>
          <t>Culo</t>
        </is>
      </c>
    </row>
    <row r="41396" spans="1:1">
      <c r="A41396" t="inlineStr">
        <is>
          <t>Dalaon</t>
        </is>
      </c>
    </row>
    <row r="41397" spans="1:1">
      <c r="A41397" t="inlineStr">
        <is>
          <t>Dipolo</t>
        </is>
      </c>
    </row>
    <row r="41398" spans="1:1">
      <c r="A41398" t="inlineStr">
        <is>
          <t>Dontulan</t>
        </is>
      </c>
    </row>
    <row r="41399" spans="1:1">
      <c r="A41399" t="inlineStr">
        <is>
          <t>Gonosan</t>
        </is>
      </c>
    </row>
    <row r="41400" spans="1:1">
      <c r="A41400" t="inlineStr">
        <is>
          <t>Lower Dimalinao</t>
        </is>
      </c>
    </row>
    <row r="41401" spans="1:1">
      <c r="A41401" t="inlineStr">
        <is>
          <t>Lower Dimorok</t>
        </is>
      </c>
    </row>
    <row r="41402" spans="1:1">
      <c r="A41402" t="inlineStr">
        <is>
          <t>Mabuhay</t>
        </is>
      </c>
    </row>
    <row r="41403" spans="1:1">
      <c r="A41403" t="inlineStr">
        <is>
          <t>Madasigon</t>
        </is>
      </c>
    </row>
    <row r="41404" spans="1:1">
      <c r="A41404" t="inlineStr">
        <is>
          <t>Makuguihon</t>
        </is>
      </c>
    </row>
    <row r="41405" spans="1:1">
      <c r="A41405" t="inlineStr">
        <is>
          <t>Maloloy-on</t>
        </is>
      </c>
    </row>
    <row r="41406" spans="1:1">
      <c r="A41406" t="inlineStr">
        <is>
          <t>Miligan</t>
        </is>
      </c>
    </row>
    <row r="41407" spans="1:1">
      <c r="A41407" t="inlineStr">
        <is>
          <t>Parasan</t>
        </is>
      </c>
    </row>
    <row r="41408" spans="1:1">
      <c r="A41408" t="inlineStr">
        <is>
          <t>Rizal</t>
        </is>
      </c>
    </row>
    <row r="41409" spans="1:1">
      <c r="A41409" t="inlineStr">
        <is>
          <t>Santo Rosario</t>
        </is>
      </c>
    </row>
    <row r="41410" spans="1:1">
      <c r="A41410" t="inlineStr">
        <is>
          <t>Silangit</t>
        </is>
      </c>
    </row>
    <row r="41411" spans="1:1">
      <c r="A41411" t="inlineStr">
        <is>
          <t>Simata</t>
        </is>
      </c>
    </row>
    <row r="41412" spans="1:1">
      <c r="A41412" t="inlineStr">
        <is>
          <t>Sudlon</t>
        </is>
      </c>
    </row>
    <row r="41413" spans="1:1">
      <c r="A41413" t="inlineStr">
        <is>
          <t>Upper Dimorok</t>
        </is>
      </c>
    </row>
    <row r="41414" spans="1:1">
      <c r="A41414" t="inlineStr">
        <is>
          <t>Balabawan</t>
        </is>
      </c>
    </row>
    <row r="41415" spans="1:1">
      <c r="A41415" t="inlineStr">
        <is>
          <t>Balong-balong</t>
        </is>
      </c>
    </row>
    <row r="41416" spans="1:1">
      <c r="A41416" t="inlineStr">
        <is>
          <t>Colojo</t>
        </is>
      </c>
    </row>
    <row r="41417" spans="1:1">
      <c r="A41417" t="inlineStr">
        <is>
          <t>Liasan</t>
        </is>
      </c>
    </row>
    <row r="41418" spans="1:1">
      <c r="A41418" t="inlineStr">
        <is>
          <t>Liguac</t>
        </is>
      </c>
    </row>
    <row r="41419" spans="1:1">
      <c r="A41419" t="inlineStr">
        <is>
          <t>Limbayan</t>
        </is>
      </c>
    </row>
    <row r="41420" spans="1:1">
      <c r="A41420" t="inlineStr">
        <is>
          <t>Lower Paniki-an</t>
        </is>
      </c>
    </row>
    <row r="41421" spans="1:1">
      <c r="A41421" t="inlineStr">
        <is>
          <t>Matin-ao</t>
        </is>
      </c>
    </row>
    <row r="41422" spans="1:1">
      <c r="A41422" t="inlineStr">
        <is>
          <t>Panubigan</t>
        </is>
      </c>
    </row>
    <row r="41423" spans="1:1">
      <c r="A41423" t="inlineStr">
        <is>
          <t>Poblacion</t>
        </is>
      </c>
    </row>
    <row r="41424" spans="1:1">
      <c r="A41424" t="inlineStr">
        <is>
          <t>Punta Flecha</t>
        </is>
      </c>
    </row>
    <row r="41425" spans="1:1">
      <c r="A41425" t="inlineStr">
        <is>
          <t>San Isidro</t>
        </is>
      </c>
    </row>
    <row r="41426" spans="1:1">
      <c r="A41426" t="inlineStr">
        <is>
          <t>Sugbay Dos</t>
        </is>
      </c>
    </row>
    <row r="41427" spans="1:1">
      <c r="A41427" t="inlineStr">
        <is>
          <t>Tongao</t>
        </is>
      </c>
    </row>
    <row r="41428" spans="1:1">
      <c r="A41428" t="inlineStr">
        <is>
          <t>Upper Paniki-an</t>
        </is>
      </c>
    </row>
    <row r="41429" spans="1:1">
      <c r="A41429" t="inlineStr">
        <is>
          <t>Bagong Opon</t>
        </is>
      </c>
    </row>
    <row r="41430" spans="1:1">
      <c r="A41430" t="inlineStr">
        <is>
          <t>Bambong Daku</t>
        </is>
      </c>
    </row>
    <row r="41431" spans="1:1">
      <c r="A41431" t="inlineStr">
        <is>
          <t>Bambong Diut</t>
        </is>
      </c>
    </row>
    <row r="41432" spans="1:1">
      <c r="A41432" t="inlineStr">
        <is>
          <t>Bobongan</t>
        </is>
      </c>
    </row>
    <row r="41433" spans="1:1">
      <c r="A41433" t="inlineStr">
        <is>
          <t>Campo IV</t>
        </is>
      </c>
    </row>
    <row r="41434" spans="1:1">
      <c r="A41434" t="inlineStr">
        <is>
          <t>Campo V</t>
        </is>
      </c>
    </row>
    <row r="41435" spans="1:1">
      <c r="A41435" t="inlineStr">
        <is>
          <t>Caniangan</t>
        </is>
      </c>
    </row>
    <row r="41436" spans="1:1">
      <c r="A41436" t="inlineStr">
        <is>
          <t>Dipalusan</t>
        </is>
      </c>
    </row>
    <row r="41437" spans="1:1">
      <c r="A41437" t="inlineStr">
        <is>
          <t>Eastern Bobongan</t>
        </is>
      </c>
    </row>
    <row r="41438" spans="1:1">
      <c r="A41438" t="inlineStr">
        <is>
          <t>Esperanza</t>
        </is>
      </c>
    </row>
    <row r="41439" spans="1:1">
      <c r="A41439" t="inlineStr">
        <is>
          <t>Gapasan</t>
        </is>
      </c>
    </row>
    <row r="41440" spans="1:1">
      <c r="A41440" t="inlineStr">
        <is>
          <t>Katipunan</t>
        </is>
      </c>
    </row>
    <row r="41441" spans="1:1">
      <c r="A41441" t="inlineStr">
        <is>
          <t>Kauswagan</t>
        </is>
      </c>
    </row>
    <row r="41442" spans="1:1">
      <c r="A41442" t="inlineStr">
        <is>
          <t>Lower Sambulawan</t>
        </is>
      </c>
    </row>
    <row r="41443" spans="1:1">
      <c r="A41443" t="inlineStr">
        <is>
          <t>Mabini</t>
        </is>
      </c>
    </row>
    <row r="41444" spans="1:1">
      <c r="A41444" t="inlineStr">
        <is>
          <t>Magsaysay</t>
        </is>
      </c>
    </row>
    <row r="41445" spans="1:1">
      <c r="A41445" t="inlineStr">
        <is>
          <t>Malating</t>
        </is>
      </c>
    </row>
    <row r="41446" spans="1:1">
      <c r="A41446" t="inlineStr">
        <is>
          <t>Paradise</t>
        </is>
      </c>
    </row>
    <row r="41447" spans="1:1">
      <c r="A41447" t="inlineStr">
        <is>
          <t>Pasingkalan</t>
        </is>
      </c>
    </row>
    <row r="41448" spans="1:1">
      <c r="A41448" t="inlineStr">
        <is>
          <t>Poblacion</t>
        </is>
      </c>
    </row>
    <row r="41449" spans="1:1">
      <c r="A41449" t="inlineStr">
        <is>
          <t>San Fernando</t>
        </is>
      </c>
    </row>
    <row r="41450" spans="1:1">
      <c r="A41450" t="inlineStr">
        <is>
          <t>Santo Rosario</t>
        </is>
      </c>
    </row>
    <row r="41451" spans="1:1">
      <c r="A41451" t="inlineStr">
        <is>
          <t>Sapa Anding</t>
        </is>
      </c>
    </row>
    <row r="41452" spans="1:1">
      <c r="A41452" t="inlineStr">
        <is>
          <t>Sinaguing</t>
        </is>
      </c>
    </row>
    <row r="41453" spans="1:1">
      <c r="A41453" t="inlineStr">
        <is>
          <t>Switch</t>
        </is>
      </c>
    </row>
    <row r="41454" spans="1:1">
      <c r="A41454" t="inlineStr">
        <is>
          <t>Upper Laperian</t>
        </is>
      </c>
    </row>
    <row r="41455" spans="1:1">
      <c r="A41455" t="inlineStr">
        <is>
          <t>Wakat</t>
        </is>
      </c>
    </row>
    <row r="41456" spans="1:1">
      <c r="A41456" t="inlineStr">
        <is>
          <t>Betinan</t>
        </is>
      </c>
    </row>
    <row r="41457" spans="1:1">
      <c r="A41457" t="inlineStr">
        <is>
          <t>Bulawan</t>
        </is>
      </c>
    </row>
    <row r="41458" spans="1:1">
      <c r="A41458" t="inlineStr">
        <is>
          <t>Calube</t>
        </is>
      </c>
    </row>
    <row r="41459" spans="1:1">
      <c r="A41459" t="inlineStr">
        <is>
          <t>Concepcion</t>
        </is>
      </c>
    </row>
    <row r="41460" spans="1:1">
      <c r="A41460" t="inlineStr">
        <is>
          <t>Dao-an</t>
        </is>
      </c>
    </row>
    <row r="41461" spans="1:1">
      <c r="A41461" t="inlineStr">
        <is>
          <t>Dumalian</t>
        </is>
      </c>
    </row>
    <row r="41462" spans="1:1">
      <c r="A41462" t="inlineStr">
        <is>
          <t>Fatima</t>
        </is>
      </c>
    </row>
    <row r="41463" spans="1:1">
      <c r="A41463" t="inlineStr">
        <is>
          <t>Langilan</t>
        </is>
      </c>
    </row>
    <row r="41464" spans="1:1">
      <c r="A41464" t="inlineStr">
        <is>
          <t>Lantawan</t>
        </is>
      </c>
    </row>
    <row r="41465" spans="1:1">
      <c r="A41465" t="inlineStr">
        <is>
          <t>Laperian</t>
        </is>
      </c>
    </row>
    <row r="41466" spans="1:1">
      <c r="A41466" t="inlineStr">
        <is>
          <t>Libuganan</t>
        </is>
      </c>
    </row>
    <row r="41467" spans="1:1">
      <c r="A41467" t="inlineStr">
        <is>
          <t>Limonan</t>
        </is>
      </c>
    </row>
    <row r="41468" spans="1:1">
      <c r="A41468" t="inlineStr">
        <is>
          <t>Mati</t>
        </is>
      </c>
    </row>
    <row r="41469" spans="1:1">
      <c r="A41469" t="inlineStr">
        <is>
          <t>Ocapan</t>
        </is>
      </c>
    </row>
    <row r="41470" spans="1:1">
      <c r="A41470" t="inlineStr">
        <is>
          <t>Poblacion</t>
        </is>
      </c>
    </row>
    <row r="41471" spans="1:1">
      <c r="A41471" t="inlineStr">
        <is>
          <t>San Isidro</t>
        </is>
      </c>
    </row>
    <row r="41472" spans="1:1">
      <c r="A41472" t="inlineStr">
        <is>
          <t>Sayog</t>
        </is>
      </c>
    </row>
    <row r="41473" spans="1:1">
      <c r="A41473" t="inlineStr">
        <is>
          <t>Tapian</t>
        </is>
      </c>
    </row>
    <row r="41474" spans="1:1">
      <c r="A41474" t="inlineStr">
        <is>
          <t>Bag-ong Misamis</t>
        </is>
      </c>
    </row>
    <row r="41475" spans="1:1">
      <c r="A41475" t="inlineStr">
        <is>
          <t>Bubual</t>
        </is>
      </c>
    </row>
    <row r="41476" spans="1:1">
      <c r="A41476" t="inlineStr">
        <is>
          <t>Buton</t>
        </is>
      </c>
    </row>
    <row r="41477" spans="1:1">
      <c r="A41477" t="inlineStr">
        <is>
          <t>Culasian</t>
        </is>
      </c>
    </row>
    <row r="41478" spans="1:1">
      <c r="A41478" t="inlineStr">
        <is>
          <t>Daplayan</t>
        </is>
      </c>
    </row>
    <row r="41479" spans="1:1">
      <c r="A41479" t="inlineStr">
        <is>
          <t>Kalilangan</t>
        </is>
      </c>
    </row>
    <row r="41480" spans="1:1">
      <c r="A41480" t="inlineStr">
        <is>
          <t>Kapamanok</t>
        </is>
      </c>
    </row>
    <row r="41481" spans="1:1">
      <c r="A41481" t="inlineStr">
        <is>
          <t>Kondum</t>
        </is>
      </c>
    </row>
    <row r="41482" spans="1:1">
      <c r="A41482" t="inlineStr">
        <is>
          <t>Lumbayao</t>
        </is>
      </c>
    </row>
    <row r="41483" spans="1:1">
      <c r="A41483" t="inlineStr">
        <is>
          <t>Mabuhay</t>
        </is>
      </c>
    </row>
    <row r="41484" spans="1:1">
      <c r="A41484" t="inlineStr">
        <is>
          <t>Marcos Village</t>
        </is>
      </c>
    </row>
    <row r="41485" spans="1:1">
      <c r="A41485" t="inlineStr">
        <is>
          <t>Miasin</t>
        </is>
      </c>
    </row>
    <row r="41486" spans="1:1">
      <c r="A41486" t="inlineStr">
        <is>
          <t>Molansong</t>
        </is>
      </c>
    </row>
    <row r="41487" spans="1:1">
      <c r="A41487" t="inlineStr">
        <is>
          <t>Pantad</t>
        </is>
      </c>
    </row>
    <row r="41488" spans="1:1">
      <c r="A41488" t="inlineStr">
        <is>
          <t>Pao</t>
        </is>
      </c>
    </row>
    <row r="41489" spans="1:1">
      <c r="A41489" t="inlineStr">
        <is>
          <t>Payag</t>
        </is>
      </c>
    </row>
    <row r="41490" spans="1:1">
      <c r="A41490" t="inlineStr">
        <is>
          <t>Poblacion</t>
        </is>
      </c>
    </row>
    <row r="41491" spans="1:1">
      <c r="A41491" t="inlineStr">
        <is>
          <t>Pongapong</t>
        </is>
      </c>
    </row>
    <row r="41492" spans="1:1">
      <c r="A41492" t="inlineStr">
        <is>
          <t>Sacbulan</t>
        </is>
      </c>
    </row>
    <row r="41493" spans="1:1">
      <c r="A41493" t="inlineStr">
        <is>
          <t>Sagasan</t>
        </is>
      </c>
    </row>
    <row r="41494" spans="1:1">
      <c r="A41494" t="inlineStr">
        <is>
          <t>San Juan</t>
        </is>
      </c>
    </row>
    <row r="41495" spans="1:1">
      <c r="A41495" t="inlineStr">
        <is>
          <t>Senior</t>
        </is>
      </c>
    </row>
    <row r="41496" spans="1:1">
      <c r="A41496" t="inlineStr">
        <is>
          <t>Songgoy</t>
        </is>
      </c>
    </row>
    <row r="41497" spans="1:1">
      <c r="A41497" t="inlineStr">
        <is>
          <t>Tandubuay</t>
        </is>
      </c>
    </row>
    <row r="41498" spans="1:1">
      <c r="A41498" t="inlineStr">
        <is>
          <t>Taniapan</t>
        </is>
      </c>
    </row>
    <row r="41499" spans="1:1">
      <c r="A41499" t="inlineStr">
        <is>
          <t>Ticala Island</t>
        </is>
      </c>
    </row>
    <row r="41500" spans="1:1">
      <c r="A41500" t="inlineStr">
        <is>
          <t>Tubo-pait</t>
        </is>
      </c>
    </row>
    <row r="41501" spans="1:1">
      <c r="A41501" t="inlineStr">
        <is>
          <t>Villakapa</t>
        </is>
      </c>
    </row>
    <row r="41502" spans="1:1">
      <c r="A41502" t="inlineStr">
        <is>
          <t>Bag-ong Baroy</t>
        </is>
      </c>
    </row>
    <row r="41503" spans="1:1">
      <c r="A41503" t="inlineStr">
        <is>
          <t>Bag-ong Oroquieta</t>
        </is>
      </c>
    </row>
    <row r="41504" spans="1:1">
      <c r="A41504" t="inlineStr">
        <is>
          <t>Barubuhan</t>
        </is>
      </c>
    </row>
    <row r="41505" spans="1:1">
      <c r="A41505" t="inlineStr">
        <is>
          <t>Bulanay</t>
        </is>
      </c>
    </row>
    <row r="41506" spans="1:1">
      <c r="A41506" t="inlineStr">
        <is>
          <t>Datagan</t>
        </is>
      </c>
    </row>
    <row r="41507" spans="1:1">
      <c r="A41507" t="inlineStr">
        <is>
          <t>Eastern Poblacion</t>
        </is>
      </c>
    </row>
    <row r="41508" spans="1:1">
      <c r="A41508" t="inlineStr">
        <is>
          <t>Lantawan</t>
        </is>
      </c>
    </row>
    <row r="41509" spans="1:1">
      <c r="A41509" t="inlineStr">
        <is>
          <t>Libertad</t>
        </is>
      </c>
    </row>
    <row r="41510" spans="1:1">
      <c r="A41510" t="inlineStr">
        <is>
          <t>Lumangoy</t>
        </is>
      </c>
    </row>
    <row r="41511" spans="1:1">
      <c r="A41511" t="inlineStr">
        <is>
          <t>New Carmen</t>
        </is>
      </c>
    </row>
    <row r="41512" spans="1:1">
      <c r="A41512" t="inlineStr">
        <is>
          <t>Picturan</t>
        </is>
      </c>
    </row>
    <row r="41513" spans="1:1">
      <c r="A41513" t="inlineStr">
        <is>
          <t>Poblacion</t>
        </is>
      </c>
    </row>
    <row r="41514" spans="1:1">
      <c r="A41514" t="inlineStr">
        <is>
          <t>Rizal</t>
        </is>
      </c>
    </row>
    <row r="41515" spans="1:1">
      <c r="A41515" t="inlineStr">
        <is>
          <t>San Miguel</t>
        </is>
      </c>
    </row>
    <row r="41516" spans="1:1">
      <c r="A41516" t="inlineStr">
        <is>
          <t>Santo Niño</t>
        </is>
      </c>
    </row>
    <row r="41517" spans="1:1">
      <c r="A41517" t="inlineStr">
        <is>
          <t>Sawa</t>
        </is>
      </c>
    </row>
    <row r="41518" spans="1:1">
      <c r="A41518" t="inlineStr">
        <is>
          <t>Tungawan</t>
        </is>
      </c>
    </row>
    <row r="41519" spans="1:1">
      <c r="A41519" t="inlineStr">
        <is>
          <t>Upper Sicpao</t>
        </is>
      </c>
    </row>
    <row r="41520" spans="1:1">
      <c r="A41520" t="inlineStr">
        <is>
          <t>Abong-abong</t>
        </is>
      </c>
    </row>
    <row r="41521" spans="1:1">
      <c r="A41521" t="inlineStr">
        <is>
          <t>Baganian</t>
        </is>
      </c>
    </row>
    <row r="41522" spans="1:1">
      <c r="A41522" t="inlineStr">
        <is>
          <t>Baya-baya</t>
        </is>
      </c>
    </row>
    <row r="41523" spans="1:1">
      <c r="A41523" t="inlineStr">
        <is>
          <t>Capisan</t>
        </is>
      </c>
    </row>
    <row r="41524" spans="1:1">
      <c r="A41524" t="inlineStr">
        <is>
          <t>Concepcion</t>
        </is>
      </c>
    </row>
    <row r="41525" spans="1:1">
      <c r="A41525" t="inlineStr">
        <is>
          <t>Culabay</t>
        </is>
      </c>
    </row>
    <row r="41526" spans="1:1">
      <c r="A41526" t="inlineStr">
        <is>
          <t>Doña Josefina</t>
        </is>
      </c>
    </row>
    <row r="41527" spans="1:1">
      <c r="A41527" t="inlineStr">
        <is>
          <t>Lumbia</t>
        </is>
      </c>
    </row>
    <row r="41528" spans="1:1">
      <c r="A41528" t="inlineStr">
        <is>
          <t>Mabuhay</t>
        </is>
      </c>
    </row>
    <row r="41529" spans="1:1">
      <c r="A41529" t="inlineStr">
        <is>
          <t>Malim</t>
        </is>
      </c>
    </row>
    <row r="41530" spans="1:1">
      <c r="A41530" t="inlineStr">
        <is>
          <t>Manikaan</t>
        </is>
      </c>
    </row>
    <row r="41531" spans="1:1">
      <c r="A41531" t="inlineStr">
        <is>
          <t>New Oroquieta</t>
        </is>
      </c>
    </row>
    <row r="41532" spans="1:1">
      <c r="A41532" t="inlineStr">
        <is>
          <t>Poblacion</t>
        </is>
      </c>
    </row>
    <row r="41533" spans="1:1">
      <c r="A41533" t="inlineStr">
        <is>
          <t>San Francisco</t>
        </is>
      </c>
    </row>
    <row r="41534" spans="1:1">
      <c r="A41534" t="inlineStr">
        <is>
          <t>Tultolan</t>
        </is>
      </c>
    </row>
    <row r="41535" spans="1:1">
      <c r="A41535" t="inlineStr">
        <is>
          <t>Alang-alang</t>
        </is>
      </c>
    </row>
    <row r="41536" spans="1:1">
      <c r="A41536" t="inlineStr">
        <is>
          <t>Angeles</t>
        </is>
      </c>
    </row>
    <row r="41537" spans="1:1">
      <c r="A41537" t="inlineStr">
        <is>
          <t>Bag-ong Kauswagan</t>
        </is>
      </c>
    </row>
    <row r="41538" spans="1:1">
      <c r="A41538" t="inlineStr">
        <is>
          <t>Bag-ong Tabogon</t>
        </is>
      </c>
    </row>
    <row r="41539" spans="1:1">
      <c r="A41539" t="inlineStr">
        <is>
          <t>Balugo</t>
        </is>
      </c>
    </row>
    <row r="41540" spans="1:1">
      <c r="A41540" t="inlineStr">
        <is>
          <t>Cabgan</t>
        </is>
      </c>
    </row>
    <row r="41541" spans="1:1">
      <c r="A41541" t="inlineStr">
        <is>
          <t>Calolot</t>
        </is>
      </c>
    </row>
    <row r="41542" spans="1:1">
      <c r="A41542" t="inlineStr">
        <is>
          <t>Dimalinao</t>
        </is>
      </c>
    </row>
    <row r="41543" spans="1:1">
      <c r="A41543" t="inlineStr">
        <is>
          <t>Fabian</t>
        </is>
      </c>
    </row>
    <row r="41544" spans="1:1">
      <c r="A41544" t="inlineStr">
        <is>
          <t>Gabunon</t>
        </is>
      </c>
    </row>
    <row r="41545" spans="1:1">
      <c r="A41545" t="inlineStr">
        <is>
          <t>Happy Valley</t>
        </is>
      </c>
    </row>
    <row r="41546" spans="1:1">
      <c r="A41546" t="inlineStr">
        <is>
          <t>Kapalaran</t>
        </is>
      </c>
    </row>
    <row r="41547" spans="1:1">
      <c r="A41547" t="inlineStr">
        <is>
          <t>Libato</t>
        </is>
      </c>
    </row>
    <row r="41548" spans="1:1">
      <c r="A41548" t="inlineStr">
        <is>
          <t>Limamawan</t>
        </is>
      </c>
    </row>
    <row r="41549" spans="1:1">
      <c r="A41549" t="inlineStr">
        <is>
          <t>Lower Liasan</t>
        </is>
      </c>
    </row>
    <row r="41550" spans="1:1">
      <c r="A41550" t="inlineStr">
        <is>
          <t>Lower Lodiong</t>
        </is>
      </c>
    </row>
    <row r="41551" spans="1:1">
      <c r="A41551" t="inlineStr">
        <is>
          <t>Lower Tiparak</t>
        </is>
      </c>
    </row>
    <row r="41552" spans="1:1">
      <c r="A41552" t="inlineStr">
        <is>
          <t>Lower Usogan</t>
        </is>
      </c>
    </row>
    <row r="41553" spans="1:1">
      <c r="A41553" t="inlineStr">
        <is>
          <t>Maya-maya</t>
        </is>
      </c>
    </row>
    <row r="41554" spans="1:1">
      <c r="A41554" t="inlineStr">
        <is>
          <t>New Village</t>
        </is>
      </c>
    </row>
    <row r="41555" spans="1:1">
      <c r="A41555" t="inlineStr">
        <is>
          <t>Pelocoban</t>
        </is>
      </c>
    </row>
    <row r="41556" spans="1:1">
      <c r="A41556" t="inlineStr">
        <is>
          <t>Riverside</t>
        </is>
      </c>
    </row>
    <row r="41557" spans="1:1">
      <c r="A41557" t="inlineStr">
        <is>
          <t>Sagrada Familia</t>
        </is>
      </c>
    </row>
    <row r="41558" spans="1:1">
      <c r="A41558" t="inlineStr">
        <is>
          <t>San Jose</t>
        </is>
      </c>
    </row>
    <row r="41559" spans="1:1">
      <c r="A41559" t="inlineStr">
        <is>
          <t>San Vicente</t>
        </is>
      </c>
    </row>
    <row r="41560" spans="1:1">
      <c r="A41560" t="inlineStr">
        <is>
          <t>Sumalig</t>
        </is>
      </c>
    </row>
    <row r="41561" spans="1:1">
      <c r="A41561" t="inlineStr">
        <is>
          <t>Tuluan</t>
        </is>
      </c>
    </row>
    <row r="41562" spans="1:1">
      <c r="A41562" t="inlineStr">
        <is>
          <t>Tungawan</t>
        </is>
      </c>
    </row>
    <row r="41563" spans="1:1">
      <c r="A41563" t="inlineStr">
        <is>
          <t>Upper Liason</t>
        </is>
      </c>
    </row>
    <row r="41564" spans="1:1">
      <c r="A41564" t="inlineStr">
        <is>
          <t>Upper Lodiong</t>
        </is>
      </c>
    </row>
    <row r="41565" spans="1:1">
      <c r="A41565" t="inlineStr">
        <is>
          <t>Upper Tiparak</t>
        </is>
      </c>
    </row>
    <row r="41566" spans="1:1">
      <c r="A41566" t="inlineStr">
        <is>
          <t>Begong</t>
        </is>
      </c>
    </row>
    <row r="41567" spans="1:1">
      <c r="A41567" t="inlineStr">
        <is>
          <t>Busol</t>
        </is>
      </c>
    </row>
    <row r="41568" spans="1:1">
      <c r="A41568" t="inlineStr">
        <is>
          <t>Caluma</t>
        </is>
      </c>
    </row>
    <row r="41569" spans="1:1">
      <c r="A41569" t="inlineStr">
        <is>
          <t>Diana Countryside</t>
        </is>
      </c>
    </row>
    <row r="41570" spans="1:1">
      <c r="A41570" t="inlineStr">
        <is>
          <t>Guinlin</t>
        </is>
      </c>
    </row>
    <row r="41571" spans="1:1">
      <c r="A41571" t="inlineStr">
        <is>
          <t>Lacarayan</t>
        </is>
      </c>
    </row>
    <row r="41572" spans="1:1">
      <c r="A41572" t="inlineStr">
        <is>
          <t>Lacupayan</t>
        </is>
      </c>
    </row>
    <row r="41573" spans="1:1">
      <c r="A41573" t="inlineStr">
        <is>
          <t>Libayoy</t>
        </is>
      </c>
    </row>
    <row r="41574" spans="1:1">
      <c r="A41574" t="inlineStr">
        <is>
          <t>Limas</t>
        </is>
      </c>
    </row>
    <row r="41575" spans="1:1">
      <c r="A41575" t="inlineStr">
        <is>
          <t>Longmot</t>
        </is>
      </c>
    </row>
    <row r="41576" spans="1:1">
      <c r="A41576" t="inlineStr">
        <is>
          <t>Maragang</t>
        </is>
      </c>
    </row>
    <row r="41577" spans="1:1">
      <c r="A41577" t="inlineStr">
        <is>
          <t>Mate</t>
        </is>
      </c>
    </row>
    <row r="41578" spans="1:1">
      <c r="A41578" t="inlineStr">
        <is>
          <t>Nangan-nangan</t>
        </is>
      </c>
    </row>
    <row r="41579" spans="1:1">
      <c r="A41579" t="inlineStr">
        <is>
          <t>New Tuburan</t>
        </is>
      </c>
    </row>
    <row r="41580" spans="1:1">
      <c r="A41580" t="inlineStr">
        <is>
          <t>Nilo</t>
        </is>
      </c>
    </row>
    <row r="41581" spans="1:1">
      <c r="A41581" t="inlineStr">
        <is>
          <t>Tigbao</t>
        </is>
      </c>
    </row>
    <row r="41582" spans="1:1">
      <c r="A41582" t="inlineStr">
        <is>
          <t>Timolan</t>
        </is>
      </c>
    </row>
    <row r="41583" spans="1:1">
      <c r="A41583" t="inlineStr">
        <is>
          <t>Upper Nilo</t>
        </is>
      </c>
    </row>
    <row r="41584" spans="1:1">
      <c r="A41584" t="inlineStr">
        <is>
          <t>Alindahaw</t>
        </is>
      </c>
    </row>
    <row r="41585" spans="1:1">
      <c r="A41585" t="inlineStr">
        <is>
          <t>Baclay</t>
        </is>
      </c>
    </row>
    <row r="41586" spans="1:1">
      <c r="A41586" t="inlineStr">
        <is>
          <t>Balimbingan</t>
        </is>
      </c>
    </row>
    <row r="41587" spans="1:1">
      <c r="A41587" t="inlineStr">
        <is>
          <t>Buenasuerte</t>
        </is>
      </c>
    </row>
    <row r="41588" spans="1:1">
      <c r="A41588" t="inlineStr">
        <is>
          <t>Camanga</t>
        </is>
      </c>
    </row>
    <row r="41589" spans="1:1">
      <c r="A41589" t="inlineStr">
        <is>
          <t>Curvada</t>
        </is>
      </c>
    </row>
    <row r="41590" spans="1:1">
      <c r="A41590" t="inlineStr">
        <is>
          <t>Laperian</t>
        </is>
      </c>
    </row>
    <row r="41591" spans="1:1">
      <c r="A41591" t="inlineStr">
        <is>
          <t>Libertad</t>
        </is>
      </c>
    </row>
    <row r="41592" spans="1:1">
      <c r="A41592" t="inlineStr">
        <is>
          <t>Lower Bayao</t>
        </is>
      </c>
    </row>
    <row r="41593" spans="1:1">
      <c r="A41593" t="inlineStr">
        <is>
          <t>Luy-a</t>
        </is>
      </c>
    </row>
    <row r="41594" spans="1:1">
      <c r="A41594" t="inlineStr">
        <is>
          <t>Manilan</t>
        </is>
      </c>
    </row>
    <row r="41595" spans="1:1">
      <c r="A41595" t="inlineStr">
        <is>
          <t>Manlayag</t>
        </is>
      </c>
    </row>
    <row r="41596" spans="1:1">
      <c r="A41596" t="inlineStr">
        <is>
          <t>Militar</t>
        </is>
      </c>
    </row>
    <row r="41597" spans="1:1">
      <c r="A41597" t="inlineStr">
        <is>
          <t>Navalan</t>
        </is>
      </c>
    </row>
    <row r="41598" spans="1:1">
      <c r="A41598" t="inlineStr">
        <is>
          <t>Panduma Senior</t>
        </is>
      </c>
    </row>
    <row r="41599" spans="1:1">
      <c r="A41599" t="inlineStr">
        <is>
          <t>Sambulawan</t>
        </is>
      </c>
    </row>
    <row r="41600" spans="1:1">
      <c r="A41600" t="inlineStr">
        <is>
          <t>San Antonio</t>
        </is>
      </c>
    </row>
    <row r="41601" spans="1:1">
      <c r="A41601" t="inlineStr">
        <is>
          <t>San Carlos</t>
        </is>
      </c>
    </row>
    <row r="41602" spans="1:1">
      <c r="A41602" t="inlineStr">
        <is>
          <t>Santo Niño</t>
        </is>
      </c>
    </row>
    <row r="41603" spans="1:1">
      <c r="A41603" t="inlineStr">
        <is>
          <t>Santo Rosario</t>
        </is>
      </c>
    </row>
    <row r="41604" spans="1:1">
      <c r="A41604" t="inlineStr">
        <is>
          <t>Sugod</t>
        </is>
      </c>
    </row>
    <row r="41605" spans="1:1">
      <c r="A41605" t="inlineStr">
        <is>
          <t>Tabuan</t>
        </is>
      </c>
    </row>
    <row r="41606" spans="1:1">
      <c r="A41606" t="inlineStr">
        <is>
          <t>Tagulo</t>
        </is>
      </c>
    </row>
    <row r="41607" spans="1:1">
      <c r="A41607" t="inlineStr">
        <is>
          <t>Tinotungan</t>
        </is>
      </c>
    </row>
    <row r="41608" spans="1:1">
      <c r="A41608" t="inlineStr">
        <is>
          <t>Upper Bayao</t>
        </is>
      </c>
    </row>
    <row r="41609" spans="1:1">
      <c r="A41609" t="inlineStr">
        <is>
          <t>Ambulon</t>
        </is>
      </c>
    </row>
    <row r="41610" spans="1:1">
      <c r="A41610" t="inlineStr">
        <is>
          <t>Bui-os</t>
        </is>
      </c>
    </row>
    <row r="41611" spans="1:1">
      <c r="A41611" t="inlineStr">
        <is>
          <t>Cogon</t>
        </is>
      </c>
    </row>
    <row r="41612" spans="1:1">
      <c r="A41612" t="inlineStr">
        <is>
          <t>Danan</t>
        </is>
      </c>
    </row>
    <row r="41613" spans="1:1">
      <c r="A41613" t="inlineStr">
        <is>
          <t>Kabatan</t>
        </is>
      </c>
    </row>
    <row r="41614" spans="1:1">
      <c r="A41614" t="inlineStr">
        <is>
          <t>Kapatagan</t>
        </is>
      </c>
    </row>
    <row r="41615" spans="1:1">
      <c r="A41615" t="inlineStr">
        <is>
          <t>Limason</t>
        </is>
      </c>
    </row>
    <row r="41616" spans="1:1">
      <c r="A41616" t="inlineStr">
        <is>
          <t>Linoguayan</t>
        </is>
      </c>
    </row>
    <row r="41617" spans="1:1">
      <c r="A41617" t="inlineStr">
        <is>
          <t>Lumbal</t>
        </is>
      </c>
    </row>
    <row r="41618" spans="1:1">
      <c r="A41618" t="inlineStr">
        <is>
          <t>Lunib</t>
        </is>
      </c>
    </row>
    <row r="41619" spans="1:1">
      <c r="A41619" t="inlineStr">
        <is>
          <t>Maculay</t>
        </is>
      </c>
    </row>
    <row r="41620" spans="1:1">
      <c r="A41620" t="inlineStr">
        <is>
          <t>Maraya</t>
        </is>
      </c>
    </row>
    <row r="41621" spans="1:1">
      <c r="A41621" t="inlineStr">
        <is>
          <t>Sagucan</t>
        </is>
      </c>
    </row>
    <row r="41622" spans="1:1">
      <c r="A41622" t="inlineStr">
        <is>
          <t>Waling-waling</t>
        </is>
      </c>
    </row>
    <row r="41623" spans="1:1">
      <c r="A41623" t="inlineStr">
        <is>
          <t>Alegria</t>
        </is>
      </c>
    </row>
    <row r="41624" spans="1:1">
      <c r="A41624" t="inlineStr">
        <is>
          <t>Bagong Buhay</t>
        </is>
      </c>
    </row>
    <row r="41625" spans="1:1">
      <c r="A41625" t="inlineStr">
        <is>
          <t>Bella</t>
        </is>
      </c>
    </row>
    <row r="41626" spans="1:1">
      <c r="A41626" t="inlineStr">
        <is>
          <t>Calades</t>
        </is>
      </c>
    </row>
    <row r="41627" spans="1:1">
      <c r="A41627" t="inlineStr">
        <is>
          <t>Concepcion</t>
        </is>
      </c>
    </row>
    <row r="41628" spans="1:1">
      <c r="A41628" t="inlineStr">
        <is>
          <t>Dawa-dawa</t>
        </is>
      </c>
    </row>
    <row r="41629" spans="1:1">
      <c r="A41629" t="inlineStr">
        <is>
          <t>Gulayon</t>
        </is>
      </c>
    </row>
    <row r="41630" spans="1:1">
      <c r="A41630" t="inlineStr">
        <is>
          <t>Ilisan</t>
        </is>
      </c>
    </row>
    <row r="41631" spans="1:1">
      <c r="A41631" t="inlineStr">
        <is>
          <t>Kapatagan</t>
        </is>
      </c>
    </row>
    <row r="41632" spans="1:1">
      <c r="A41632" t="inlineStr">
        <is>
          <t>Kauswagan</t>
        </is>
      </c>
    </row>
    <row r="41633" spans="1:1">
      <c r="A41633" t="inlineStr">
        <is>
          <t>Kawayan</t>
        </is>
      </c>
    </row>
    <row r="41634" spans="1:1">
      <c r="A41634" t="inlineStr">
        <is>
          <t>La Paz</t>
        </is>
      </c>
    </row>
    <row r="41635" spans="1:1">
      <c r="A41635" t="inlineStr">
        <is>
          <t>Lambuyogan</t>
        </is>
      </c>
    </row>
    <row r="41636" spans="1:1">
      <c r="A41636" t="inlineStr">
        <is>
          <t>Lapirawan</t>
        </is>
      </c>
    </row>
    <row r="41637" spans="1:1">
      <c r="A41637" t="inlineStr">
        <is>
          <t>Litayon</t>
        </is>
      </c>
    </row>
    <row r="41638" spans="1:1">
      <c r="A41638" t="inlineStr">
        <is>
          <t>Lutiman</t>
        </is>
      </c>
    </row>
    <row r="41639" spans="1:1">
      <c r="A41639" t="inlineStr">
        <is>
          <t>Milagrosa</t>
        </is>
      </c>
    </row>
    <row r="41640" spans="1:1">
      <c r="A41640" t="inlineStr">
        <is>
          <t>Naga-naga</t>
        </is>
      </c>
    </row>
    <row r="41641" spans="1:1">
      <c r="A41641" t="inlineStr">
        <is>
          <t>Pandan-pandan</t>
        </is>
      </c>
    </row>
    <row r="41642" spans="1:1">
      <c r="A41642" t="inlineStr">
        <is>
          <t>Payongan</t>
        </is>
      </c>
    </row>
    <row r="41643" spans="1:1">
      <c r="A41643" t="inlineStr">
        <is>
          <t>Poblacion</t>
        </is>
      </c>
    </row>
    <row r="41644" spans="1:1">
      <c r="A41644" t="inlineStr">
        <is>
          <t>Santa Maria</t>
        </is>
      </c>
    </row>
    <row r="41645" spans="1:1">
      <c r="A41645" t="inlineStr">
        <is>
          <t>Santo Niño</t>
        </is>
      </c>
    </row>
    <row r="41646" spans="1:1">
      <c r="A41646" t="inlineStr">
        <is>
          <t>Talaptap</t>
        </is>
      </c>
    </row>
    <row r="41647" spans="1:1">
      <c r="A41647" t="inlineStr">
        <is>
          <t>Tampalan</t>
        </is>
      </c>
    </row>
    <row r="41648" spans="1:1">
      <c r="A41648" t="inlineStr">
        <is>
          <t>Tandiong Muslim</t>
        </is>
      </c>
    </row>
    <row r="41649" spans="1:1">
      <c r="A41649" t="inlineStr">
        <is>
          <t>Timbang-timbang</t>
        </is>
      </c>
    </row>
    <row r="41650" spans="1:1">
      <c r="A41650" t="inlineStr">
        <is>
          <t>Agutayan</t>
        </is>
      </c>
    </row>
    <row r="41651" spans="1:1">
      <c r="A41651" t="inlineStr">
        <is>
          <t>Bagong Borbon</t>
        </is>
      </c>
    </row>
    <row r="41652" spans="1:1">
      <c r="A41652" t="inlineStr">
        <is>
          <t>Basalem</t>
        </is>
      </c>
    </row>
    <row r="41653" spans="1:1">
      <c r="A41653" t="inlineStr">
        <is>
          <t>Bawang</t>
        </is>
      </c>
    </row>
    <row r="41654" spans="1:1">
      <c r="A41654" t="inlineStr">
        <is>
          <t>Bliss</t>
        </is>
      </c>
    </row>
    <row r="41655" spans="1:1">
      <c r="A41655" t="inlineStr">
        <is>
          <t>Bulaan</t>
        </is>
      </c>
    </row>
    <row r="41656" spans="1:1">
      <c r="A41656" t="inlineStr">
        <is>
          <t>Compostela</t>
        </is>
      </c>
    </row>
    <row r="41657" spans="1:1">
      <c r="A41657" t="inlineStr">
        <is>
          <t>Danlugan</t>
        </is>
      </c>
    </row>
    <row r="41658" spans="1:1">
      <c r="A41658" t="inlineStr">
        <is>
          <t>Datu Panas</t>
        </is>
      </c>
    </row>
    <row r="41659" spans="1:1">
      <c r="A41659" t="inlineStr">
        <is>
          <t>Del Monte</t>
        </is>
      </c>
    </row>
    <row r="41660" spans="1:1">
      <c r="A41660" t="inlineStr">
        <is>
          <t>Guintuloan</t>
        </is>
      </c>
    </row>
    <row r="41661" spans="1:1">
      <c r="A41661" t="inlineStr">
        <is>
          <t>Guitom</t>
        </is>
      </c>
    </row>
    <row r="41662" spans="1:1">
      <c r="A41662" t="inlineStr">
        <is>
          <t>Guminta</t>
        </is>
      </c>
    </row>
    <row r="41663" spans="1:1">
      <c r="A41663" t="inlineStr">
        <is>
          <t>Labrador</t>
        </is>
      </c>
    </row>
    <row r="41664" spans="1:1">
      <c r="A41664" t="inlineStr">
        <is>
          <t>Lantawan</t>
        </is>
      </c>
    </row>
    <row r="41665" spans="1:1">
      <c r="A41665" t="inlineStr">
        <is>
          <t>Mabuhay</t>
        </is>
      </c>
    </row>
    <row r="41666" spans="1:1">
      <c r="A41666" t="inlineStr">
        <is>
          <t>Maganay</t>
        </is>
      </c>
    </row>
    <row r="41667" spans="1:1">
      <c r="A41667" t="inlineStr">
        <is>
          <t>Manlin</t>
        </is>
      </c>
    </row>
    <row r="41668" spans="1:1">
      <c r="A41668" t="inlineStr">
        <is>
          <t>Muyo</t>
        </is>
      </c>
    </row>
    <row r="41669" spans="1:1">
      <c r="A41669" t="inlineStr">
        <is>
          <t>Pamintayan</t>
        </is>
      </c>
    </row>
    <row r="41670" spans="1:1">
      <c r="A41670" t="inlineStr">
        <is>
          <t>Pling</t>
        </is>
      </c>
    </row>
    <row r="41671" spans="1:1">
      <c r="A41671" t="inlineStr">
        <is>
          <t>Poblacion</t>
        </is>
      </c>
    </row>
    <row r="41672" spans="1:1">
      <c r="A41672" t="inlineStr">
        <is>
          <t>Pulog</t>
        </is>
      </c>
    </row>
    <row r="41673" spans="1:1">
      <c r="A41673" t="inlineStr">
        <is>
          <t>San Jose</t>
        </is>
      </c>
    </row>
    <row r="41674" spans="1:1">
      <c r="A41674" t="inlineStr">
        <is>
          <t>Talairan</t>
        </is>
      </c>
    </row>
    <row r="41675" spans="1:1">
      <c r="A41675" t="inlineStr">
        <is>
          <t>Talamimi</t>
        </is>
      </c>
    </row>
    <row r="41676" spans="1:1">
      <c r="A41676" t="inlineStr">
        <is>
          <t>Villacastor</t>
        </is>
      </c>
    </row>
    <row r="41677" spans="1:1">
      <c r="A41677" t="inlineStr">
        <is>
          <t>Balangao</t>
        </is>
      </c>
    </row>
    <row r="41678" spans="1:1">
      <c r="A41678" t="inlineStr">
        <is>
          <t>Butong</t>
        </is>
      </c>
    </row>
    <row r="41679" spans="1:1">
      <c r="A41679" t="inlineStr">
        <is>
          <t>Ditay</t>
        </is>
      </c>
    </row>
    <row r="41680" spans="1:1">
      <c r="A41680" t="inlineStr">
        <is>
          <t>Gaulan</t>
        </is>
      </c>
    </row>
    <row r="41681" spans="1:1">
      <c r="A41681" t="inlineStr">
        <is>
          <t>Goling</t>
        </is>
      </c>
    </row>
    <row r="41682" spans="1:1">
      <c r="A41682" t="inlineStr">
        <is>
          <t>Guinoman</t>
        </is>
      </c>
    </row>
    <row r="41683" spans="1:1">
      <c r="A41683" t="inlineStr">
        <is>
          <t>Kauswagan</t>
        </is>
      </c>
    </row>
    <row r="41684" spans="1:1">
      <c r="A41684" t="inlineStr">
        <is>
          <t>Lindang</t>
        </is>
      </c>
    </row>
    <row r="41685" spans="1:1">
      <c r="A41685" t="inlineStr">
        <is>
          <t>Lobing</t>
        </is>
      </c>
    </row>
    <row r="41686" spans="1:1">
      <c r="A41686" t="inlineStr">
        <is>
          <t>Luop</t>
        </is>
      </c>
    </row>
    <row r="41687" spans="1:1">
      <c r="A41687" t="inlineStr">
        <is>
          <t>Manangon</t>
        </is>
      </c>
    </row>
    <row r="41688" spans="1:1">
      <c r="A41688" t="inlineStr">
        <is>
          <t>Mejo</t>
        </is>
      </c>
    </row>
    <row r="41689" spans="1:1">
      <c r="A41689" t="inlineStr">
        <is>
          <t>Natan</t>
        </is>
      </c>
    </row>
    <row r="41690" spans="1:1">
      <c r="A41690" t="inlineStr">
        <is>
          <t>Paradise</t>
        </is>
      </c>
    </row>
    <row r="41691" spans="1:1">
      <c r="A41691" t="inlineStr">
        <is>
          <t>Pilar</t>
        </is>
      </c>
    </row>
    <row r="41692" spans="1:1">
      <c r="A41692" t="inlineStr">
        <is>
          <t>Poblacion</t>
        </is>
      </c>
    </row>
    <row r="41693" spans="1:1">
      <c r="A41693" t="inlineStr">
        <is>
          <t>Sampoli A</t>
        </is>
      </c>
    </row>
    <row r="41694" spans="1:1">
      <c r="A41694" t="inlineStr">
        <is>
          <t>Sampoli B</t>
        </is>
      </c>
    </row>
    <row r="41695" spans="1:1">
      <c r="A41695" t="inlineStr">
        <is>
          <t>Santa Cruz</t>
        </is>
      </c>
    </row>
    <row r="41696" spans="1:1">
      <c r="A41696" t="inlineStr">
        <is>
          <t>Songcuya</t>
        </is>
      </c>
    </row>
    <row r="41697" spans="1:1">
      <c r="A41697" t="inlineStr">
        <is>
          <t>Tinongtongan</t>
        </is>
      </c>
    </row>
    <row r="41698" spans="1:1">
      <c r="A41698" t="inlineStr">
        <is>
          <t>Tuno</t>
        </is>
      </c>
    </row>
    <row r="41699" spans="1:1">
      <c r="A41699" t="inlineStr">
        <is>
          <t>Balugo</t>
        </is>
      </c>
    </row>
    <row r="41700" spans="1:1">
      <c r="A41700" t="inlineStr">
        <is>
          <t>Balungisan</t>
        </is>
      </c>
    </row>
    <row r="41701" spans="1:1">
      <c r="A41701" t="inlineStr">
        <is>
          <t>Baluyan</t>
        </is>
      </c>
    </row>
    <row r="41702" spans="1:1">
      <c r="A41702" t="inlineStr">
        <is>
          <t>Cana-an</t>
        </is>
      </c>
    </row>
    <row r="41703" spans="1:1">
      <c r="A41703" t="inlineStr">
        <is>
          <t>Dumpoc</t>
        </is>
      </c>
    </row>
    <row r="41704" spans="1:1">
      <c r="A41704" t="inlineStr">
        <is>
          <t>Gandiangan</t>
        </is>
      </c>
    </row>
    <row r="41705" spans="1:1">
      <c r="A41705" t="inlineStr">
        <is>
          <t>Guintolan</t>
        </is>
      </c>
    </row>
    <row r="41706" spans="1:1">
      <c r="A41706" t="inlineStr">
        <is>
          <t>Israel</t>
        </is>
      </c>
    </row>
    <row r="41707" spans="1:1">
      <c r="A41707" t="inlineStr">
        <is>
          <t>La Victoria</t>
        </is>
      </c>
    </row>
    <row r="41708" spans="1:1">
      <c r="A41708" t="inlineStr">
        <is>
          <t>Little Baguio</t>
        </is>
      </c>
    </row>
    <row r="41709" spans="1:1">
      <c r="A41709" t="inlineStr">
        <is>
          <t>Lower Baluran</t>
        </is>
      </c>
    </row>
    <row r="41710" spans="1:1">
      <c r="A41710" t="inlineStr">
        <is>
          <t>Lumbog</t>
        </is>
      </c>
    </row>
    <row r="41711" spans="1:1">
      <c r="A41711" t="inlineStr">
        <is>
          <t>Lumpanac</t>
        </is>
      </c>
    </row>
    <row r="41712" spans="1:1">
      <c r="A41712" t="inlineStr">
        <is>
          <t>Mali Little Baguio</t>
        </is>
      </c>
    </row>
    <row r="41713" spans="1:1">
      <c r="A41713" t="inlineStr">
        <is>
          <t>Poblacion</t>
        </is>
      </c>
    </row>
    <row r="41714" spans="1:1">
      <c r="A41714" t="inlineStr">
        <is>
          <t>Pulawan</t>
        </is>
      </c>
    </row>
    <row r="41715" spans="1:1">
      <c r="A41715" t="inlineStr">
        <is>
          <t>San Jose</t>
        </is>
      </c>
    </row>
    <row r="41716" spans="1:1">
      <c r="A41716" t="inlineStr">
        <is>
          <t>Santa Barbara</t>
        </is>
      </c>
    </row>
    <row r="41717" spans="1:1">
      <c r="A41717" t="inlineStr">
        <is>
          <t>Upper Baluran</t>
        </is>
      </c>
    </row>
    <row r="41718" spans="1:1">
      <c r="A41718" t="inlineStr">
        <is>
          <t>Bacalan</t>
        </is>
      </c>
    </row>
    <row r="41719" spans="1:1">
      <c r="A41719" t="inlineStr">
        <is>
          <t>Bangkerohan</t>
        </is>
      </c>
    </row>
    <row r="41720" spans="1:1">
      <c r="A41720" t="inlineStr">
        <is>
          <t>Bulu-an</t>
        </is>
      </c>
    </row>
    <row r="41721" spans="1:1">
      <c r="A41721" t="inlineStr">
        <is>
          <t>Caparan</t>
        </is>
      </c>
    </row>
    <row r="41722" spans="1:1">
      <c r="A41722" t="inlineStr">
        <is>
          <t>Domandan</t>
        </is>
      </c>
    </row>
    <row r="41723" spans="1:1">
      <c r="A41723" t="inlineStr">
        <is>
          <t>Don Andres</t>
        </is>
      </c>
    </row>
    <row r="41724" spans="1:1">
      <c r="A41724" t="inlineStr">
        <is>
          <t>Doña Josefa</t>
        </is>
      </c>
    </row>
    <row r="41725" spans="1:1">
      <c r="A41725" t="inlineStr">
        <is>
          <t>Guituan</t>
        </is>
      </c>
    </row>
    <row r="41726" spans="1:1">
      <c r="A41726" t="inlineStr">
        <is>
          <t>Ipil Heights</t>
        </is>
      </c>
    </row>
    <row r="41727" spans="1:1">
      <c r="A41727" t="inlineStr">
        <is>
          <t>Labi</t>
        </is>
      </c>
    </row>
    <row r="41728" spans="1:1">
      <c r="A41728" t="inlineStr">
        <is>
          <t>Logan</t>
        </is>
      </c>
    </row>
    <row r="41729" spans="1:1">
      <c r="A41729" t="inlineStr">
        <is>
          <t>Lower Ipil Heights</t>
        </is>
      </c>
    </row>
    <row r="41730" spans="1:1">
      <c r="A41730" t="inlineStr">
        <is>
          <t>Lower Taway</t>
        </is>
      </c>
    </row>
    <row r="41731" spans="1:1">
      <c r="A41731" t="inlineStr">
        <is>
          <t>Lumbia</t>
        </is>
      </c>
    </row>
    <row r="41732" spans="1:1">
      <c r="A41732" t="inlineStr">
        <is>
          <t>Maasin</t>
        </is>
      </c>
    </row>
    <row r="41733" spans="1:1">
      <c r="A41733" t="inlineStr">
        <is>
          <t>Magdaup</t>
        </is>
      </c>
    </row>
    <row r="41734" spans="1:1">
      <c r="A41734" t="inlineStr">
        <is>
          <t>Makilas</t>
        </is>
      </c>
    </row>
    <row r="41735" spans="1:1">
      <c r="A41735" t="inlineStr">
        <is>
          <t>Pangi</t>
        </is>
      </c>
    </row>
    <row r="41736" spans="1:1">
      <c r="A41736" t="inlineStr">
        <is>
          <t>Poblacion</t>
        </is>
      </c>
    </row>
    <row r="41737" spans="1:1">
      <c r="A41737" t="inlineStr">
        <is>
          <t>Sanito</t>
        </is>
      </c>
    </row>
    <row r="41738" spans="1:1">
      <c r="A41738" t="inlineStr">
        <is>
          <t>Suclema</t>
        </is>
      </c>
    </row>
    <row r="41739" spans="1:1">
      <c r="A41739" t="inlineStr">
        <is>
          <t>Taway</t>
        </is>
      </c>
    </row>
    <row r="41740" spans="1:1">
      <c r="A41740" t="inlineStr">
        <is>
          <t>Tenan</t>
        </is>
      </c>
    </row>
    <row r="41741" spans="1:1">
      <c r="A41741" t="inlineStr">
        <is>
          <t>Tiayon</t>
        </is>
      </c>
    </row>
    <row r="41742" spans="1:1">
      <c r="A41742" t="inlineStr">
        <is>
          <t>Timalang</t>
        </is>
      </c>
    </row>
    <row r="41743" spans="1:1">
      <c r="A41743" t="inlineStr">
        <is>
          <t>Tomitom</t>
        </is>
      </c>
    </row>
    <row r="41744" spans="1:1">
      <c r="A41744" t="inlineStr">
        <is>
          <t>Upper Pangi</t>
        </is>
      </c>
    </row>
    <row r="41745" spans="1:1">
      <c r="A41745" t="inlineStr">
        <is>
          <t>Veteran's Village</t>
        </is>
      </c>
    </row>
    <row r="41746" spans="1:1">
      <c r="A41746" t="inlineStr">
        <is>
          <t>Banker</t>
        </is>
      </c>
    </row>
    <row r="41747" spans="1:1">
      <c r="A41747" t="inlineStr">
        <is>
          <t>Bolo Batallion</t>
        </is>
      </c>
    </row>
    <row r="41748" spans="1:1">
      <c r="A41748" t="inlineStr">
        <is>
          <t>Buayan</t>
        </is>
      </c>
    </row>
    <row r="41749" spans="1:1">
      <c r="A41749" t="inlineStr">
        <is>
          <t>Cainglet</t>
        </is>
      </c>
    </row>
    <row r="41750" spans="1:1">
      <c r="A41750" t="inlineStr">
        <is>
          <t>Calapan</t>
        </is>
      </c>
    </row>
    <row r="41751" spans="1:1">
      <c r="A41751" t="inlineStr">
        <is>
          <t>Calubihan</t>
        </is>
      </c>
    </row>
    <row r="41752" spans="1:1">
      <c r="A41752" t="inlineStr">
        <is>
          <t>Concepcion</t>
        </is>
      </c>
    </row>
    <row r="41753" spans="1:1">
      <c r="A41753" t="inlineStr">
        <is>
          <t>Diampak</t>
        </is>
      </c>
    </row>
    <row r="41754" spans="1:1">
      <c r="A41754" t="inlineStr">
        <is>
          <t>Dipala</t>
        </is>
      </c>
    </row>
    <row r="41755" spans="1:1">
      <c r="A41755" t="inlineStr">
        <is>
          <t>Gacbusan</t>
        </is>
      </c>
    </row>
    <row r="41756" spans="1:1">
      <c r="A41756" t="inlineStr">
        <is>
          <t>Goodyear</t>
        </is>
      </c>
    </row>
    <row r="41757" spans="1:1">
      <c r="A41757" t="inlineStr">
        <is>
          <t>Lacnapan</t>
        </is>
      </c>
    </row>
    <row r="41758" spans="1:1">
      <c r="A41758" t="inlineStr">
        <is>
          <t>Little Baguio</t>
        </is>
      </c>
    </row>
    <row r="41759" spans="1:1">
      <c r="A41759" t="inlineStr">
        <is>
          <t>Lumbayao</t>
        </is>
      </c>
    </row>
    <row r="41760" spans="1:1">
      <c r="A41760" t="inlineStr">
        <is>
          <t>Nazareth</t>
        </is>
      </c>
    </row>
    <row r="41761" spans="1:1">
      <c r="A41761" t="inlineStr">
        <is>
          <t>Palinta</t>
        </is>
      </c>
    </row>
    <row r="41762" spans="1:1">
      <c r="A41762" t="inlineStr">
        <is>
          <t>Peñaranda</t>
        </is>
      </c>
    </row>
    <row r="41763" spans="1:1">
      <c r="A41763" t="inlineStr">
        <is>
          <t>Poblacion</t>
        </is>
      </c>
    </row>
    <row r="41764" spans="1:1">
      <c r="A41764" t="inlineStr">
        <is>
          <t>Riverside</t>
        </is>
      </c>
    </row>
    <row r="41765" spans="1:1">
      <c r="A41765" t="inlineStr">
        <is>
          <t>Sanghanan</t>
        </is>
      </c>
    </row>
    <row r="41766" spans="1:1">
      <c r="A41766" t="inlineStr">
        <is>
          <t>Santa Cruz</t>
        </is>
      </c>
    </row>
    <row r="41767" spans="1:1">
      <c r="A41767" t="inlineStr">
        <is>
          <t>Sayao</t>
        </is>
      </c>
    </row>
    <row r="41768" spans="1:1">
      <c r="A41768" t="inlineStr">
        <is>
          <t>Shiolan</t>
        </is>
      </c>
    </row>
    <row r="41769" spans="1:1">
      <c r="A41769" t="inlineStr">
        <is>
          <t>Simbol</t>
        </is>
      </c>
    </row>
    <row r="41770" spans="1:1">
      <c r="A41770" t="inlineStr">
        <is>
          <t>Sininan</t>
        </is>
      </c>
    </row>
    <row r="41771" spans="1:1">
      <c r="A41771" t="inlineStr">
        <is>
          <t>Tamin</t>
        </is>
      </c>
    </row>
    <row r="41772" spans="1:1">
      <c r="A41772" t="inlineStr">
        <is>
          <t>Tampilisan</t>
        </is>
      </c>
    </row>
    <row r="41773" spans="1:1">
      <c r="A41773" t="inlineStr">
        <is>
          <t>Tigbangagan</t>
        </is>
      </c>
    </row>
    <row r="41774" spans="1:1">
      <c r="A41774" t="inlineStr">
        <is>
          <t>Timuay Danda</t>
        </is>
      </c>
    </row>
    <row r="41775" spans="1:1">
      <c r="A41775" t="inlineStr">
        <is>
          <t>Abunda</t>
        </is>
      </c>
    </row>
    <row r="41776" spans="1:1">
      <c r="A41776" t="inlineStr">
        <is>
          <t>Bagong Silang</t>
        </is>
      </c>
    </row>
    <row r="41777" spans="1:1">
      <c r="A41777" t="inlineStr">
        <is>
          <t>Bangkaw-bangkaw</t>
        </is>
      </c>
    </row>
    <row r="41778" spans="1:1">
      <c r="A41778" t="inlineStr">
        <is>
          <t>Caliran</t>
        </is>
      </c>
    </row>
    <row r="41779" spans="1:1">
      <c r="A41779" t="inlineStr">
        <is>
          <t>Catipan</t>
        </is>
      </c>
    </row>
    <row r="41780" spans="1:1">
      <c r="A41780" t="inlineStr">
        <is>
          <t>Kauswagan</t>
        </is>
      </c>
    </row>
    <row r="41781" spans="1:1">
      <c r="A41781" t="inlineStr">
        <is>
          <t>Ligaya</t>
        </is>
      </c>
    </row>
    <row r="41782" spans="1:1">
      <c r="A41782" t="inlineStr">
        <is>
          <t>Looc-Barlak</t>
        </is>
      </c>
    </row>
    <row r="41783" spans="1:1">
      <c r="A41783" t="inlineStr">
        <is>
          <t>Malinao</t>
        </is>
      </c>
    </row>
    <row r="41784" spans="1:1">
      <c r="A41784" t="inlineStr">
        <is>
          <t>Pamansaan</t>
        </is>
      </c>
    </row>
    <row r="41785" spans="1:1">
      <c r="A41785" t="inlineStr">
        <is>
          <t>Pinalim</t>
        </is>
      </c>
    </row>
    <row r="41786" spans="1:1">
      <c r="A41786" t="inlineStr">
        <is>
          <t>Poblacion</t>
        </is>
      </c>
    </row>
    <row r="41787" spans="1:1">
      <c r="A41787" t="inlineStr">
        <is>
          <t>Punawan</t>
        </is>
      </c>
    </row>
    <row r="41788" spans="1:1">
      <c r="A41788" t="inlineStr">
        <is>
          <t>Santo Niño</t>
        </is>
      </c>
    </row>
    <row r="41789" spans="1:1">
      <c r="A41789" t="inlineStr">
        <is>
          <t>Sawa</t>
        </is>
      </c>
    </row>
    <row r="41790" spans="1:1">
      <c r="A41790" t="inlineStr">
        <is>
          <t>Sioton</t>
        </is>
      </c>
    </row>
    <row r="41791" spans="1:1">
      <c r="A41791" t="inlineStr">
        <is>
          <t>Taguisian</t>
        </is>
      </c>
    </row>
    <row r="41792" spans="1:1">
      <c r="A41792" t="inlineStr">
        <is>
          <t>Tandu-Comot</t>
        </is>
      </c>
    </row>
    <row r="41793" spans="1:1">
      <c r="A41793" t="inlineStr">
        <is>
          <t>Bacao</t>
        </is>
      </c>
    </row>
    <row r="41794" spans="1:1">
      <c r="A41794" t="inlineStr">
        <is>
          <t>Basak-bawang</t>
        </is>
      </c>
    </row>
    <row r="41795" spans="1:1">
      <c r="A41795" t="inlineStr">
        <is>
          <t>Bontong</t>
        </is>
      </c>
    </row>
    <row r="41796" spans="1:1">
      <c r="A41796" t="inlineStr">
        <is>
          <t>Camanga</t>
        </is>
      </c>
    </row>
    <row r="41797" spans="1:1">
      <c r="A41797" t="inlineStr">
        <is>
          <t>Candiis</t>
        </is>
      </c>
    </row>
    <row r="41798" spans="1:1">
      <c r="A41798" t="inlineStr">
        <is>
          <t>Catituan</t>
        </is>
      </c>
    </row>
    <row r="41799" spans="1:1">
      <c r="A41799" t="inlineStr">
        <is>
          <t>Dansulao</t>
        </is>
      </c>
    </row>
    <row r="41800" spans="1:1">
      <c r="A41800" t="inlineStr">
        <is>
          <t>Del Pilar</t>
        </is>
      </c>
    </row>
    <row r="41801" spans="1:1">
      <c r="A41801" t="inlineStr">
        <is>
          <t>Guilawa</t>
        </is>
      </c>
    </row>
    <row r="41802" spans="1:1">
      <c r="A41802" t="inlineStr">
        <is>
          <t>Kigay</t>
        </is>
      </c>
    </row>
    <row r="41803" spans="1:1">
      <c r="A41803" t="inlineStr">
        <is>
          <t>La Dicha</t>
        </is>
      </c>
    </row>
    <row r="41804" spans="1:1">
      <c r="A41804" t="inlineStr">
        <is>
          <t>Lipacan</t>
        </is>
      </c>
    </row>
    <row r="41805" spans="1:1">
      <c r="A41805" t="inlineStr">
        <is>
          <t>Logpond</t>
        </is>
      </c>
    </row>
    <row r="41806" spans="1:1">
      <c r="A41806" t="inlineStr">
        <is>
          <t>Mabini</t>
        </is>
      </c>
    </row>
    <row r="41807" spans="1:1">
      <c r="A41807" t="inlineStr">
        <is>
          <t>Malungon</t>
        </is>
      </c>
    </row>
    <row r="41808" spans="1:1">
      <c r="A41808" t="inlineStr">
        <is>
          <t>Mulom</t>
        </is>
      </c>
    </row>
    <row r="41809" spans="1:1">
      <c r="A41809" t="inlineStr">
        <is>
          <t>Overland</t>
        </is>
      </c>
    </row>
    <row r="41810" spans="1:1">
      <c r="A41810" t="inlineStr">
        <is>
          <t>Palalian</t>
        </is>
      </c>
    </row>
    <row r="41811" spans="1:1">
      <c r="A41811" t="inlineStr">
        <is>
          <t>Payag</t>
        </is>
      </c>
    </row>
    <row r="41812" spans="1:1">
      <c r="A41812" t="inlineStr">
        <is>
          <t>Poblacion</t>
        </is>
      </c>
    </row>
    <row r="41813" spans="1:1">
      <c r="A41813" t="inlineStr">
        <is>
          <t>Rebocon</t>
        </is>
      </c>
    </row>
    <row r="41814" spans="1:1">
      <c r="A41814" t="inlineStr">
        <is>
          <t>San Vicente</t>
        </is>
      </c>
    </row>
    <row r="41815" spans="1:1">
      <c r="A41815" t="inlineStr">
        <is>
          <t>Sinusayan</t>
        </is>
      </c>
    </row>
    <row r="41816" spans="1:1">
      <c r="A41816" t="inlineStr">
        <is>
          <t>Tackling</t>
        </is>
      </c>
    </row>
    <row r="41817" spans="1:1">
      <c r="A41817" t="inlineStr">
        <is>
          <t>Tigabon</t>
        </is>
      </c>
    </row>
    <row r="41818" spans="1:1">
      <c r="A41818" t="inlineStr">
        <is>
          <t>Aguinaldo</t>
        </is>
      </c>
    </row>
    <row r="41819" spans="1:1">
      <c r="A41819" t="inlineStr">
        <is>
          <t>Baga</t>
        </is>
      </c>
    </row>
    <row r="41820" spans="1:1">
      <c r="A41820" t="inlineStr">
        <is>
          <t>Baluno</t>
        </is>
      </c>
    </row>
    <row r="41821" spans="1:1">
      <c r="A41821" t="inlineStr">
        <is>
          <t>Bangkaw-bangkaw</t>
        </is>
      </c>
    </row>
    <row r="41822" spans="1:1">
      <c r="A41822" t="inlineStr">
        <is>
          <t>Cabong</t>
        </is>
      </c>
    </row>
    <row r="41823" spans="1:1">
      <c r="A41823" t="inlineStr">
        <is>
          <t>Crossing Sta. Clara</t>
        </is>
      </c>
    </row>
    <row r="41824" spans="1:1">
      <c r="A41824" t="inlineStr">
        <is>
          <t>Gubawang</t>
        </is>
      </c>
    </row>
    <row r="41825" spans="1:1">
      <c r="A41825" t="inlineStr">
        <is>
          <t>Guintoloan</t>
        </is>
      </c>
    </row>
    <row r="41826" spans="1:1">
      <c r="A41826" t="inlineStr">
        <is>
          <t>Kaliantana</t>
        </is>
      </c>
    </row>
    <row r="41827" spans="1:1">
      <c r="A41827" t="inlineStr">
        <is>
          <t>La Paz</t>
        </is>
      </c>
    </row>
    <row r="41828" spans="1:1">
      <c r="A41828" t="inlineStr">
        <is>
          <t>Lower Sulitan</t>
        </is>
      </c>
    </row>
    <row r="41829" spans="1:1">
      <c r="A41829" t="inlineStr">
        <is>
          <t>Mamagon</t>
        </is>
      </c>
    </row>
    <row r="41830" spans="1:1">
      <c r="A41830" t="inlineStr">
        <is>
          <t>Marsolo</t>
        </is>
      </c>
    </row>
    <row r="41831" spans="1:1">
      <c r="A41831" t="inlineStr">
        <is>
          <t>Poblacion</t>
        </is>
      </c>
    </row>
    <row r="41832" spans="1:1">
      <c r="A41832" t="inlineStr">
        <is>
          <t>San Isidro</t>
        </is>
      </c>
    </row>
    <row r="41833" spans="1:1">
      <c r="A41833" t="inlineStr">
        <is>
          <t>Sandayong</t>
        </is>
      </c>
    </row>
    <row r="41834" spans="1:1">
      <c r="A41834" t="inlineStr">
        <is>
          <t>Santa Clara</t>
        </is>
      </c>
    </row>
    <row r="41835" spans="1:1">
      <c r="A41835" t="inlineStr">
        <is>
          <t>Sulo</t>
        </is>
      </c>
    </row>
    <row r="41836" spans="1:1">
      <c r="A41836" t="inlineStr">
        <is>
          <t>Tambanan</t>
        </is>
      </c>
    </row>
    <row r="41837" spans="1:1">
      <c r="A41837" t="inlineStr">
        <is>
          <t>Taytay Manubo</t>
        </is>
      </c>
    </row>
    <row r="41838" spans="1:1">
      <c r="A41838" t="inlineStr">
        <is>
          <t>Tilubog</t>
        </is>
      </c>
    </row>
    <row r="41839" spans="1:1">
      <c r="A41839" t="inlineStr">
        <is>
          <t>Tipan</t>
        </is>
      </c>
    </row>
    <row r="41840" spans="1:1">
      <c r="A41840" t="inlineStr">
        <is>
          <t>Upper Sulitan</t>
        </is>
      </c>
    </row>
    <row r="41841" spans="1:1">
      <c r="A41841" t="inlineStr">
        <is>
          <t>Bateria</t>
        </is>
      </c>
    </row>
    <row r="41842" spans="1:1">
      <c r="A41842" t="inlineStr">
        <is>
          <t>Calais</t>
        </is>
      </c>
    </row>
    <row r="41843" spans="1:1">
      <c r="A41843" t="inlineStr">
        <is>
          <t>Esperanza</t>
        </is>
      </c>
    </row>
    <row r="41844" spans="1:1">
      <c r="A41844" t="inlineStr">
        <is>
          <t>Fama</t>
        </is>
      </c>
    </row>
    <row r="41845" spans="1:1">
      <c r="A41845" t="inlineStr">
        <is>
          <t>Galas</t>
        </is>
      </c>
    </row>
    <row r="41846" spans="1:1">
      <c r="A41846" t="inlineStr">
        <is>
          <t>Gandaan</t>
        </is>
      </c>
    </row>
    <row r="41847" spans="1:1">
      <c r="A41847" t="inlineStr">
        <is>
          <t>Kahayagan</t>
        </is>
      </c>
    </row>
    <row r="41848" spans="1:1">
      <c r="A41848" t="inlineStr">
        <is>
          <t>Looc Sapi</t>
        </is>
      </c>
    </row>
    <row r="41849" spans="1:1">
      <c r="A41849" t="inlineStr">
        <is>
          <t>Matim</t>
        </is>
      </c>
    </row>
    <row r="41850" spans="1:1">
      <c r="A41850" t="inlineStr">
        <is>
          <t>Noque</t>
        </is>
      </c>
    </row>
    <row r="41851" spans="1:1">
      <c r="A41851" t="inlineStr">
        <is>
          <t>Pulo Laum</t>
        </is>
      </c>
    </row>
    <row r="41852" spans="1:1">
      <c r="A41852" t="inlineStr">
        <is>
          <t>Pulo Mabao</t>
        </is>
      </c>
    </row>
    <row r="41853" spans="1:1">
      <c r="A41853" t="inlineStr">
        <is>
          <t>San Isidro</t>
        </is>
      </c>
    </row>
    <row r="41854" spans="1:1">
      <c r="A41854" t="inlineStr">
        <is>
          <t>San Jose</t>
        </is>
      </c>
    </row>
    <row r="41855" spans="1:1">
      <c r="A41855" t="inlineStr">
        <is>
          <t>Santa Maria</t>
        </is>
      </c>
    </row>
    <row r="41856" spans="1:1">
      <c r="A41856" t="inlineStr">
        <is>
          <t>Solar</t>
        </is>
      </c>
    </row>
    <row r="41857" spans="1:1">
      <c r="A41857" t="inlineStr">
        <is>
          <t>Tambanan</t>
        </is>
      </c>
    </row>
    <row r="41858" spans="1:1">
      <c r="A41858" t="inlineStr">
        <is>
          <t>Villacorte</t>
        </is>
      </c>
    </row>
    <row r="41859" spans="1:1">
      <c r="A41859" t="inlineStr">
        <is>
          <t>Villagonzalo</t>
        </is>
      </c>
    </row>
    <row r="41860" spans="1:1">
      <c r="A41860" t="inlineStr">
        <is>
          <t>Balian</t>
        </is>
      </c>
    </row>
    <row r="41861" spans="1:1">
      <c r="A41861" t="inlineStr">
        <is>
          <t>Balogo</t>
        </is>
      </c>
    </row>
    <row r="41862" spans="1:1">
      <c r="A41862" t="inlineStr">
        <is>
          <t>Balungisan</t>
        </is>
      </c>
    </row>
    <row r="41863" spans="1:1">
      <c r="A41863" t="inlineStr">
        <is>
          <t>Binangonan</t>
        </is>
      </c>
    </row>
    <row r="41864" spans="1:1">
      <c r="A41864" t="inlineStr">
        <is>
          <t>Bulacan</t>
        </is>
      </c>
    </row>
    <row r="41865" spans="1:1">
      <c r="A41865" t="inlineStr">
        <is>
          <t>Bulawan</t>
        </is>
      </c>
    </row>
    <row r="41866" spans="1:1">
      <c r="A41866" t="inlineStr">
        <is>
          <t>Calape</t>
        </is>
      </c>
    </row>
    <row r="41867" spans="1:1">
      <c r="A41867" t="inlineStr">
        <is>
          <t>Dalama</t>
        </is>
      </c>
    </row>
    <row r="41868" spans="1:1">
      <c r="A41868" t="inlineStr">
        <is>
          <t>Fatima</t>
        </is>
      </c>
    </row>
    <row r="41869" spans="1:1">
      <c r="A41869" t="inlineStr">
        <is>
          <t>Guiwan</t>
        </is>
      </c>
    </row>
    <row r="41870" spans="1:1">
      <c r="A41870" t="inlineStr">
        <is>
          <t>Katipunan</t>
        </is>
      </c>
    </row>
    <row r="41871" spans="1:1">
      <c r="A41871" t="inlineStr">
        <is>
          <t>Kima</t>
        </is>
      </c>
    </row>
    <row r="41872" spans="1:1">
      <c r="A41872" t="inlineStr">
        <is>
          <t>Kulasian</t>
        </is>
      </c>
    </row>
    <row r="41873" spans="1:1">
      <c r="A41873" t="inlineStr">
        <is>
          <t>Kulisap</t>
        </is>
      </c>
    </row>
    <row r="41874" spans="1:1">
      <c r="A41874" t="inlineStr">
        <is>
          <t>La Fortuna</t>
        </is>
      </c>
    </row>
    <row r="41875" spans="1:1">
      <c r="A41875" t="inlineStr">
        <is>
          <t>Labatan</t>
        </is>
      </c>
    </row>
    <row r="41876" spans="1:1">
      <c r="A41876" t="inlineStr">
        <is>
          <t>Mayabo</t>
        </is>
      </c>
    </row>
    <row r="41877" spans="1:1">
      <c r="A41877" t="inlineStr">
        <is>
          <t>Minundas</t>
        </is>
      </c>
    </row>
    <row r="41878" spans="1:1">
      <c r="A41878" t="inlineStr">
        <is>
          <t>Mountain View</t>
        </is>
      </c>
    </row>
    <row r="41879" spans="1:1">
      <c r="A41879" t="inlineStr">
        <is>
          <t>Nanan</t>
        </is>
      </c>
    </row>
    <row r="41880" spans="1:1">
      <c r="A41880" t="inlineStr">
        <is>
          <t>Poblacion</t>
        </is>
      </c>
    </row>
    <row r="41881" spans="1:1">
      <c r="A41881" t="inlineStr">
        <is>
          <t>San Isidro</t>
        </is>
      </c>
    </row>
    <row r="41882" spans="1:1">
      <c r="A41882" t="inlineStr">
        <is>
          <t>San Roque</t>
        </is>
      </c>
    </row>
    <row r="41883" spans="1:1">
      <c r="A41883" t="inlineStr">
        <is>
          <t>San Vicente</t>
        </is>
      </c>
    </row>
    <row r="41884" spans="1:1">
      <c r="A41884" t="inlineStr">
        <is>
          <t>Silal</t>
        </is>
      </c>
    </row>
    <row r="41885" spans="1:1">
      <c r="A41885" t="inlineStr">
        <is>
          <t>Sumilong</t>
        </is>
      </c>
    </row>
    <row r="41886" spans="1:1">
      <c r="A41886" t="inlineStr">
        <is>
          <t>Talaptap</t>
        </is>
      </c>
    </row>
    <row r="41887" spans="1:1">
      <c r="A41887" t="inlineStr">
        <is>
          <t>Upper Sumilong</t>
        </is>
      </c>
    </row>
    <row r="41888" spans="1:1">
      <c r="A41888" t="inlineStr">
        <is>
          <t>Ali Alsree</t>
        </is>
      </c>
    </row>
    <row r="41889" spans="1:1">
      <c r="A41889" t="inlineStr">
        <is>
          <t>Balansag</t>
        </is>
      </c>
    </row>
    <row r="41890" spans="1:1">
      <c r="A41890" t="inlineStr">
        <is>
          <t>Calula</t>
        </is>
      </c>
    </row>
    <row r="41891" spans="1:1">
      <c r="A41891" t="inlineStr">
        <is>
          <t>Casacon</t>
        </is>
      </c>
    </row>
    <row r="41892" spans="1:1">
      <c r="A41892" t="inlineStr">
        <is>
          <t>Don Perfecto</t>
        </is>
      </c>
    </row>
    <row r="41893" spans="1:1">
      <c r="A41893" t="inlineStr">
        <is>
          <t>Gango</t>
        </is>
      </c>
    </row>
    <row r="41894" spans="1:1">
      <c r="A41894" t="inlineStr">
        <is>
          <t>Katipunan</t>
        </is>
      </c>
    </row>
    <row r="41895" spans="1:1">
      <c r="A41895" t="inlineStr">
        <is>
          <t>Kulambugan</t>
        </is>
      </c>
    </row>
    <row r="41896" spans="1:1">
      <c r="A41896" t="inlineStr">
        <is>
          <t>Mabini</t>
        </is>
      </c>
    </row>
    <row r="41897" spans="1:1">
      <c r="A41897" t="inlineStr">
        <is>
          <t>Magsaysay</t>
        </is>
      </c>
    </row>
    <row r="41898" spans="1:1">
      <c r="A41898" t="inlineStr">
        <is>
          <t>Malubal</t>
        </is>
      </c>
    </row>
    <row r="41899" spans="1:1">
      <c r="A41899" t="inlineStr">
        <is>
          <t>New Antique</t>
        </is>
      </c>
    </row>
    <row r="41900" spans="1:1">
      <c r="A41900" t="inlineStr">
        <is>
          <t>New Sagay</t>
        </is>
      </c>
    </row>
    <row r="41901" spans="1:1">
      <c r="A41901" t="inlineStr">
        <is>
          <t>Palmera</t>
        </is>
      </c>
    </row>
    <row r="41902" spans="1:1">
      <c r="A41902" t="inlineStr">
        <is>
          <t>Pres. Roxas</t>
        </is>
      </c>
    </row>
    <row r="41903" spans="1:1">
      <c r="A41903" t="inlineStr">
        <is>
          <t>Remedios</t>
        </is>
      </c>
    </row>
    <row r="41904" spans="1:1">
      <c r="A41904" t="inlineStr">
        <is>
          <t>San Antonio</t>
        </is>
      </c>
    </row>
    <row r="41905" spans="1:1">
      <c r="A41905" t="inlineStr">
        <is>
          <t>San Fernandino</t>
        </is>
      </c>
    </row>
    <row r="41906" spans="1:1">
      <c r="A41906" t="inlineStr">
        <is>
          <t>San Jose</t>
        </is>
      </c>
    </row>
    <row r="41907" spans="1:1">
      <c r="A41907" t="inlineStr">
        <is>
          <t>Santo Rosario</t>
        </is>
      </c>
    </row>
    <row r="41908" spans="1:1">
      <c r="A41908" t="inlineStr">
        <is>
          <t>Siawang</t>
        </is>
      </c>
    </row>
    <row r="41909" spans="1:1">
      <c r="A41909" t="inlineStr">
        <is>
          <t>Silingan</t>
        </is>
      </c>
    </row>
    <row r="41910" spans="1:1">
      <c r="A41910" t="inlineStr">
        <is>
          <t>Surabay</t>
        </is>
      </c>
    </row>
    <row r="41911" spans="1:1">
      <c r="A41911" t="inlineStr">
        <is>
          <t>Taruc</t>
        </is>
      </c>
    </row>
    <row r="41912" spans="1:1">
      <c r="A41912" t="inlineStr">
        <is>
          <t>Tilasan</t>
        </is>
      </c>
    </row>
    <row r="41913" spans="1:1">
      <c r="A41913" t="inlineStr">
        <is>
          <t>Tupilac</t>
        </is>
      </c>
    </row>
    <row r="41914" spans="1:1">
      <c r="A41914" t="inlineStr">
        <is>
          <t>Bagong Silang</t>
        </is>
      </c>
    </row>
    <row r="41915" spans="1:1">
      <c r="A41915" t="inlineStr">
        <is>
          <t>Balagon</t>
        </is>
      </c>
    </row>
    <row r="41916" spans="1:1">
      <c r="A41916" t="inlineStr">
        <is>
          <t>Balingasan</t>
        </is>
      </c>
    </row>
    <row r="41917" spans="1:1">
      <c r="A41917" t="inlineStr">
        <is>
          <t>Balucanan</t>
        </is>
      </c>
    </row>
    <row r="41918" spans="1:1">
      <c r="A41918" t="inlineStr">
        <is>
          <t>Bataan</t>
        </is>
      </c>
    </row>
    <row r="41919" spans="1:1">
      <c r="A41919" t="inlineStr">
        <is>
          <t>Batu</t>
        </is>
      </c>
    </row>
    <row r="41920" spans="1:1">
      <c r="A41920" t="inlineStr">
        <is>
          <t>Buyogan</t>
        </is>
      </c>
    </row>
    <row r="41921" spans="1:1">
      <c r="A41921" t="inlineStr">
        <is>
          <t>Camanga</t>
        </is>
      </c>
    </row>
    <row r="41922" spans="1:1">
      <c r="A41922" t="inlineStr">
        <is>
          <t>Coloran</t>
        </is>
      </c>
    </row>
    <row r="41923" spans="1:1">
      <c r="A41923" t="inlineStr">
        <is>
          <t>Kimos</t>
        </is>
      </c>
    </row>
    <row r="41924" spans="1:1">
      <c r="A41924" t="inlineStr">
        <is>
          <t>Labasan</t>
        </is>
      </c>
    </row>
    <row r="41925" spans="1:1">
      <c r="A41925" t="inlineStr">
        <is>
          <t>Lagting</t>
        </is>
      </c>
    </row>
    <row r="41926" spans="1:1">
      <c r="A41926" t="inlineStr">
        <is>
          <t>Laih</t>
        </is>
      </c>
    </row>
    <row r="41927" spans="1:1">
      <c r="A41927" t="inlineStr">
        <is>
          <t>Logpond</t>
        </is>
      </c>
    </row>
    <row r="41928" spans="1:1">
      <c r="A41928" t="inlineStr">
        <is>
          <t>Magsaysay</t>
        </is>
      </c>
    </row>
    <row r="41929" spans="1:1">
      <c r="A41929" t="inlineStr">
        <is>
          <t>Mahayahay</t>
        </is>
      </c>
    </row>
    <row r="41930" spans="1:1">
      <c r="A41930" t="inlineStr">
        <is>
          <t>Maligaya</t>
        </is>
      </c>
    </row>
    <row r="41931" spans="1:1">
      <c r="A41931" t="inlineStr">
        <is>
          <t>Maniha</t>
        </is>
      </c>
    </row>
    <row r="41932" spans="1:1">
      <c r="A41932" t="inlineStr">
        <is>
          <t>Minsulao</t>
        </is>
      </c>
    </row>
    <row r="41933" spans="1:1">
      <c r="A41933" t="inlineStr">
        <is>
          <t>Mirangan</t>
        </is>
      </c>
    </row>
    <row r="41934" spans="1:1">
      <c r="A41934" t="inlineStr">
        <is>
          <t>Monching</t>
        </is>
      </c>
    </row>
    <row r="41935" spans="1:1">
      <c r="A41935" t="inlineStr">
        <is>
          <t>Paruk</t>
        </is>
      </c>
    </row>
    <row r="41936" spans="1:1">
      <c r="A41936" t="inlineStr">
        <is>
          <t>Poblacion</t>
        </is>
      </c>
    </row>
    <row r="41937" spans="1:1">
      <c r="A41937" t="inlineStr">
        <is>
          <t>Princesa Sumama</t>
        </is>
      </c>
    </row>
    <row r="41938" spans="1:1">
      <c r="A41938" t="inlineStr">
        <is>
          <t>Salinding</t>
        </is>
      </c>
    </row>
    <row r="41939" spans="1:1">
      <c r="A41939" t="inlineStr">
        <is>
          <t>San Isidro</t>
        </is>
      </c>
    </row>
    <row r="41940" spans="1:1">
      <c r="A41940" t="inlineStr">
        <is>
          <t>Sibuguey</t>
        </is>
      </c>
    </row>
    <row r="41941" spans="1:1">
      <c r="A41941" t="inlineStr">
        <is>
          <t>Siloh</t>
        </is>
      </c>
    </row>
    <row r="41942" spans="1:1">
      <c r="A41942" t="inlineStr">
        <is>
          <t>Villagracia</t>
        </is>
      </c>
    </row>
    <row r="41943" spans="1:1">
      <c r="A41943" t="inlineStr">
        <is>
          <t>Aurora</t>
        </is>
      </c>
    </row>
    <row r="41944" spans="1:1">
      <c r="A41944" t="inlineStr">
        <is>
          <t>Baganipay</t>
        </is>
      </c>
    </row>
    <row r="41945" spans="1:1">
      <c r="A41945" t="inlineStr">
        <is>
          <t>Bolingan</t>
        </is>
      </c>
    </row>
    <row r="41946" spans="1:1">
      <c r="A41946" t="inlineStr">
        <is>
          <t>Bualan</t>
        </is>
      </c>
    </row>
    <row r="41947" spans="1:1">
      <c r="A41947" t="inlineStr">
        <is>
          <t>Cawilan</t>
        </is>
      </c>
    </row>
    <row r="41948" spans="1:1">
      <c r="A41948" t="inlineStr">
        <is>
          <t>Florida</t>
        </is>
      </c>
    </row>
    <row r="41949" spans="1:1">
      <c r="A41949" t="inlineStr">
        <is>
          <t>Kasigpitan</t>
        </is>
      </c>
    </row>
    <row r="41950" spans="1:1">
      <c r="A41950" t="inlineStr">
        <is>
          <t>Laparay</t>
        </is>
      </c>
    </row>
    <row r="41951" spans="1:1">
      <c r="A41951" t="inlineStr">
        <is>
          <t>Mahayahay</t>
        </is>
      </c>
    </row>
    <row r="41952" spans="1:1">
      <c r="A41952" t="inlineStr">
        <is>
          <t>Moalboal</t>
        </is>
      </c>
    </row>
    <row r="41953" spans="1:1">
      <c r="A41953" t="inlineStr">
        <is>
          <t>Poblacion</t>
        </is>
      </c>
    </row>
    <row r="41954" spans="1:1">
      <c r="A41954" t="inlineStr">
        <is>
          <t>Sagay</t>
        </is>
      </c>
    </row>
    <row r="41955" spans="1:1">
      <c r="A41955" t="inlineStr">
        <is>
          <t>Samonte</t>
        </is>
      </c>
    </row>
    <row r="41956" spans="1:1">
      <c r="A41956" t="inlineStr">
        <is>
          <t>Tuburan</t>
        </is>
      </c>
    </row>
    <row r="41957" spans="1:1">
      <c r="A41957" t="inlineStr">
        <is>
          <t>Achasol</t>
        </is>
      </c>
    </row>
    <row r="41958" spans="1:1">
      <c r="A41958" t="inlineStr">
        <is>
          <t>Azusano</t>
        </is>
      </c>
    </row>
    <row r="41959" spans="1:1">
      <c r="A41959" t="inlineStr">
        <is>
          <t>Bangco</t>
        </is>
      </c>
    </row>
    <row r="41960" spans="1:1">
      <c r="A41960" t="inlineStr">
        <is>
          <t>Camanga</t>
        </is>
      </c>
    </row>
    <row r="41961" spans="1:1">
      <c r="A41961" t="inlineStr">
        <is>
          <t>Culasian</t>
        </is>
      </c>
    </row>
    <row r="41962" spans="1:1">
      <c r="A41962" t="inlineStr">
        <is>
          <t>Dalangin</t>
        </is>
      </c>
    </row>
    <row r="41963" spans="1:1">
      <c r="A41963" t="inlineStr">
        <is>
          <t>Dalangin Muslim</t>
        </is>
      </c>
    </row>
    <row r="41964" spans="1:1">
      <c r="A41964" t="inlineStr">
        <is>
          <t>Dalisay</t>
        </is>
      </c>
    </row>
    <row r="41965" spans="1:1">
      <c r="A41965" t="inlineStr">
        <is>
          <t>Gomotoc</t>
        </is>
      </c>
    </row>
    <row r="41966" spans="1:1">
      <c r="A41966" t="inlineStr">
        <is>
          <t>Imelda</t>
        </is>
      </c>
    </row>
    <row r="41967" spans="1:1">
      <c r="A41967" t="inlineStr">
        <is>
          <t>Kipit</t>
        </is>
      </c>
    </row>
    <row r="41968" spans="1:1">
      <c r="A41968" t="inlineStr">
        <is>
          <t>Kitabog</t>
        </is>
      </c>
    </row>
    <row r="41969" spans="1:1">
      <c r="A41969" t="inlineStr">
        <is>
          <t>La Libertad</t>
        </is>
      </c>
    </row>
    <row r="41970" spans="1:1">
      <c r="A41970" t="inlineStr">
        <is>
          <t>Longilog</t>
        </is>
      </c>
    </row>
    <row r="41971" spans="1:1">
      <c r="A41971" t="inlineStr">
        <is>
          <t>Mabini</t>
        </is>
      </c>
    </row>
    <row r="41972" spans="1:1">
      <c r="A41972" t="inlineStr">
        <is>
          <t>Malagandis</t>
        </is>
      </c>
    </row>
    <row r="41973" spans="1:1">
      <c r="A41973" t="inlineStr">
        <is>
          <t>Mate</t>
        </is>
      </c>
    </row>
    <row r="41974" spans="1:1">
      <c r="A41974" t="inlineStr">
        <is>
          <t>Moalboal</t>
        </is>
      </c>
    </row>
    <row r="41975" spans="1:1">
      <c r="A41975" t="inlineStr">
        <is>
          <t>Namnama</t>
        </is>
      </c>
    </row>
    <row r="41976" spans="1:1">
      <c r="A41976" t="inlineStr">
        <is>
          <t>New Canaan</t>
        </is>
      </c>
    </row>
    <row r="41977" spans="1:1">
      <c r="A41977" t="inlineStr">
        <is>
          <t>Palomoc</t>
        </is>
      </c>
    </row>
    <row r="41978" spans="1:1">
      <c r="A41978" t="inlineStr">
        <is>
          <t>Poblacion</t>
        </is>
      </c>
    </row>
    <row r="41979" spans="1:1">
      <c r="A41979" t="inlineStr">
        <is>
          <t>Poblacion Muslim</t>
        </is>
      </c>
    </row>
    <row r="41980" spans="1:1">
      <c r="A41980" t="inlineStr">
        <is>
          <t>Pulidan</t>
        </is>
      </c>
    </row>
    <row r="41981" spans="1:1">
      <c r="A41981" t="inlineStr">
        <is>
          <t>San Antonio</t>
        </is>
      </c>
    </row>
    <row r="41982" spans="1:1">
      <c r="A41982" t="inlineStr">
        <is>
          <t>San Isidro</t>
        </is>
      </c>
    </row>
    <row r="41983" spans="1:1">
      <c r="A41983" t="inlineStr">
        <is>
          <t>Santa Fe</t>
        </is>
      </c>
    </row>
    <row r="41984" spans="1:1">
      <c r="A41984" t="inlineStr">
        <is>
          <t>Supit</t>
        </is>
      </c>
    </row>
    <row r="41985" spans="1:1">
      <c r="A41985" t="inlineStr">
        <is>
          <t>Tugop</t>
        </is>
      </c>
    </row>
    <row r="41986" spans="1:1">
      <c r="A41986" t="inlineStr">
        <is>
          <t>Tugop Muslim</t>
        </is>
      </c>
    </row>
    <row r="41987" spans="1:1">
      <c r="A41987" t="inlineStr">
        <is>
          <t>Baluran</t>
        </is>
      </c>
    </row>
    <row r="41988" spans="1:1">
      <c r="A41988" t="inlineStr">
        <is>
          <t>Batungan</t>
        </is>
      </c>
    </row>
    <row r="41989" spans="1:1">
      <c r="A41989" t="inlineStr">
        <is>
          <t>Cayamcam</t>
        </is>
      </c>
    </row>
    <row r="41990" spans="1:1">
      <c r="A41990" t="inlineStr">
        <is>
          <t>Datu Tumanggong</t>
        </is>
      </c>
    </row>
    <row r="41991" spans="1:1">
      <c r="A41991" t="inlineStr">
        <is>
          <t>Gaycon</t>
        </is>
      </c>
    </row>
    <row r="41992" spans="1:1">
      <c r="A41992" t="inlineStr">
        <is>
          <t>Langon</t>
        </is>
      </c>
    </row>
    <row r="41993" spans="1:1">
      <c r="A41993" t="inlineStr">
        <is>
          <t>Libertad</t>
        </is>
      </c>
    </row>
    <row r="41994" spans="1:1">
      <c r="A41994" t="inlineStr">
        <is>
          <t>Linguisan</t>
        </is>
      </c>
    </row>
    <row r="41995" spans="1:1">
      <c r="A41995" t="inlineStr">
        <is>
          <t>Little Margos</t>
        </is>
      </c>
    </row>
    <row r="41996" spans="1:1">
      <c r="A41996" t="inlineStr">
        <is>
          <t>Loboc</t>
        </is>
      </c>
    </row>
    <row r="41997" spans="1:1">
      <c r="A41997" t="inlineStr">
        <is>
          <t>Looc-labuan</t>
        </is>
      </c>
    </row>
    <row r="41998" spans="1:1">
      <c r="A41998" t="inlineStr">
        <is>
          <t>Lower Tungawan</t>
        </is>
      </c>
    </row>
    <row r="41999" spans="1:1">
      <c r="A41999" t="inlineStr">
        <is>
          <t>Malungon</t>
        </is>
      </c>
    </row>
    <row r="42000" spans="1:1">
      <c r="A42000" t="inlineStr">
        <is>
          <t>Masao</t>
        </is>
      </c>
    </row>
    <row r="42001" spans="1:1">
      <c r="A42001" t="inlineStr">
        <is>
          <t>San Isidro</t>
        </is>
      </c>
    </row>
    <row r="42002" spans="1:1">
      <c r="A42002" t="inlineStr">
        <is>
          <t>San Pedro</t>
        </is>
      </c>
    </row>
    <row r="42003" spans="1:1">
      <c r="A42003" t="inlineStr">
        <is>
          <t>San Vicente</t>
        </is>
      </c>
    </row>
    <row r="42004" spans="1:1">
      <c r="A42004" t="inlineStr">
        <is>
          <t>Santo Niño</t>
        </is>
      </c>
    </row>
    <row r="42005" spans="1:1">
      <c r="A42005" t="inlineStr">
        <is>
          <t>Sisay</t>
        </is>
      </c>
    </row>
    <row r="42006" spans="1:1">
      <c r="A42006" t="inlineStr">
        <is>
          <t>Taglibas</t>
        </is>
      </c>
    </row>
    <row r="42007" spans="1:1">
      <c r="A42007" t="inlineStr">
        <is>
          <t>Tigbanuang</t>
        </is>
      </c>
    </row>
    <row r="42008" spans="1:1">
      <c r="A42008" t="inlineStr">
        <is>
          <t>Tigbucay</t>
        </is>
      </c>
    </row>
    <row r="42009" spans="1:1">
      <c r="A42009" t="inlineStr">
        <is>
          <t>Tigpalay</t>
        </is>
      </c>
    </row>
    <row r="42010" spans="1:1">
      <c r="A42010" t="inlineStr">
        <is>
          <t>Timbabauan</t>
        </is>
      </c>
    </row>
    <row r="42011" spans="1:1">
      <c r="A42011" t="inlineStr">
        <is>
          <t>Upper Tungawan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B6C3CF"/>
  </sheetPr>
  <dimension ref="A1:C9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50" customWidth="1"/>
    <col min="2" max="3" width="21" customWidth="1"/>
  </cols>
  <sheetData>
    <row r="1" spans="1:3">
      <c r="A1" t="inlineStr">
        <is>
          <t>Province</t>
        </is>
      </c>
      <c r="B1" t="inlineStr">
        <is>
          <t>City list start row</t>
        </is>
      </c>
      <c r="C1" t="inlineStr">
        <is>
          <t>City count</t>
        </is>
      </c>
    </row>
    <row r="2" spans="1:3">
      <c r="A2" t="inlineStr">
        <is>
          <t>Abra</t>
        </is>
      </c>
      <c r="B2">
        <v>2</v>
      </c>
      <c r="C2">
        <v>27</v>
      </c>
    </row>
    <row r="3" spans="1:3">
      <c r="A3" t="inlineStr">
        <is>
          <t>Agusan del Norte</t>
        </is>
      </c>
      <c r="B3">
        <v>29</v>
      </c>
      <c r="C3">
        <v>11</v>
      </c>
    </row>
    <row r="4" spans="1:3">
      <c r="A4" t="inlineStr">
        <is>
          <t>Agusan del Sur</t>
        </is>
      </c>
      <c r="B4">
        <v>40</v>
      </c>
      <c r="C4">
        <v>14</v>
      </c>
    </row>
    <row r="5" spans="1:3">
      <c r="A5" t="inlineStr">
        <is>
          <t>Aklan</t>
        </is>
      </c>
      <c r="B5">
        <v>54</v>
      </c>
      <c r="C5">
        <v>17</v>
      </c>
    </row>
    <row r="6" spans="1:3">
      <c r="A6" t="inlineStr">
        <is>
          <t>Albay</t>
        </is>
      </c>
      <c r="B6">
        <v>71</v>
      </c>
      <c r="C6">
        <v>18</v>
      </c>
    </row>
    <row r="7" spans="1:3">
      <c r="A7" t="inlineStr">
        <is>
          <t>Antique</t>
        </is>
      </c>
      <c r="B7">
        <v>89</v>
      </c>
      <c r="C7">
        <v>18</v>
      </c>
    </row>
    <row r="8" spans="1:3">
      <c r="A8" t="inlineStr">
        <is>
          <t>Apayao</t>
        </is>
      </c>
      <c r="B8">
        <v>107</v>
      </c>
      <c r="C8">
        <v>7</v>
      </c>
    </row>
    <row r="9" spans="1:3">
      <c r="A9" t="inlineStr">
        <is>
          <t>Aurora</t>
        </is>
      </c>
      <c r="B9">
        <v>114</v>
      </c>
      <c r="C9">
        <v>8</v>
      </c>
    </row>
    <row r="10" spans="1:3">
      <c r="A10" t="inlineStr">
        <is>
          <t>Basilan</t>
        </is>
      </c>
      <c r="B10">
        <v>122</v>
      </c>
      <c r="C10">
        <v>12</v>
      </c>
    </row>
    <row r="11" spans="1:3">
      <c r="A11" t="inlineStr">
        <is>
          <t>Bataan</t>
        </is>
      </c>
      <c r="B11">
        <v>134</v>
      </c>
      <c r="C11">
        <v>12</v>
      </c>
    </row>
    <row r="12" spans="1:3">
      <c r="A12" t="inlineStr">
        <is>
          <t>Batanes</t>
        </is>
      </c>
      <c r="B12">
        <v>146</v>
      </c>
      <c r="C12">
        <v>6</v>
      </c>
    </row>
    <row r="13" spans="1:3">
      <c r="A13" t="inlineStr">
        <is>
          <t>Batangas</t>
        </is>
      </c>
      <c r="B13">
        <v>152</v>
      </c>
      <c r="C13">
        <v>34</v>
      </c>
    </row>
    <row r="14" spans="1:3">
      <c r="A14" t="inlineStr">
        <is>
          <t>Benguet</t>
        </is>
      </c>
      <c r="B14">
        <v>186</v>
      </c>
      <c r="C14">
        <v>13</v>
      </c>
    </row>
    <row r="15" spans="1:3">
      <c r="A15" t="inlineStr">
        <is>
          <t>Biliran</t>
        </is>
      </c>
      <c r="B15">
        <v>199</v>
      </c>
      <c r="C15">
        <v>8</v>
      </c>
    </row>
    <row r="16" spans="1:3">
      <c r="A16" t="inlineStr">
        <is>
          <t>Bohol</t>
        </is>
      </c>
      <c r="B16">
        <v>207</v>
      </c>
      <c r="C16">
        <v>48</v>
      </c>
    </row>
    <row r="17" spans="1:3">
      <c r="A17" t="inlineStr">
        <is>
          <t>Bukidnon</t>
        </is>
      </c>
      <c r="B17">
        <v>255</v>
      </c>
      <c r="C17">
        <v>22</v>
      </c>
    </row>
    <row r="18" spans="1:3">
      <c r="A18" t="inlineStr">
        <is>
          <t>Bulacan</t>
        </is>
      </c>
      <c r="B18">
        <v>277</v>
      </c>
      <c r="C18">
        <v>24</v>
      </c>
    </row>
    <row r="19" spans="1:3">
      <c r="A19" t="inlineStr">
        <is>
          <t>Cagayan</t>
        </is>
      </c>
      <c r="B19">
        <v>301</v>
      </c>
      <c r="C19">
        <v>29</v>
      </c>
    </row>
    <row r="20" spans="1:3">
      <c r="A20" t="inlineStr">
        <is>
          <t>Camarines Norte</t>
        </is>
      </c>
      <c r="B20">
        <v>330</v>
      </c>
      <c r="C20">
        <v>12</v>
      </c>
    </row>
    <row r="21" spans="1:3">
      <c r="A21" t="inlineStr">
        <is>
          <t>Camarines Sur</t>
        </is>
      </c>
      <c r="B21">
        <v>342</v>
      </c>
      <c r="C21">
        <v>37</v>
      </c>
    </row>
    <row r="22" spans="1:3">
      <c r="A22" t="inlineStr">
        <is>
          <t>Camiguin</t>
        </is>
      </c>
      <c r="B22">
        <v>379</v>
      </c>
      <c r="C22">
        <v>5</v>
      </c>
    </row>
    <row r="23" spans="1:3">
      <c r="A23" t="inlineStr">
        <is>
          <t>Capiz</t>
        </is>
      </c>
      <c r="B23">
        <v>384</v>
      </c>
      <c r="C23">
        <v>17</v>
      </c>
    </row>
    <row r="24" spans="1:3">
      <c r="A24" t="inlineStr">
        <is>
          <t>Catanduanes</t>
        </is>
      </c>
      <c r="B24">
        <v>401</v>
      </c>
      <c r="C24">
        <v>11</v>
      </c>
    </row>
    <row r="25" spans="1:3">
      <c r="A25" t="inlineStr">
        <is>
          <t>Cavite</t>
        </is>
      </c>
      <c r="B25">
        <v>412</v>
      </c>
      <c r="C25">
        <v>23</v>
      </c>
    </row>
    <row r="26" spans="1:3">
      <c r="A26" t="inlineStr">
        <is>
          <t>Cebu</t>
        </is>
      </c>
      <c r="B26">
        <v>435</v>
      </c>
      <c r="C26">
        <v>50</v>
      </c>
    </row>
    <row r="27" spans="1:3">
      <c r="A27" t="inlineStr">
        <is>
          <t>City of Isabela (Not a Province)</t>
        </is>
      </c>
      <c r="B27">
        <v>485</v>
      </c>
      <c r="C27">
        <v>1</v>
      </c>
    </row>
    <row r="28" spans="1:3">
      <c r="A28" t="inlineStr">
        <is>
          <t>Cotabato</t>
        </is>
      </c>
      <c r="B28">
        <v>486</v>
      </c>
      <c r="C28">
        <v>18</v>
      </c>
    </row>
    <row r="29" spans="1:3">
      <c r="A29" t="inlineStr">
        <is>
          <t>Davao de Oro</t>
        </is>
      </c>
      <c r="B29">
        <v>504</v>
      </c>
      <c r="C29">
        <v>11</v>
      </c>
    </row>
    <row r="30" spans="1:3">
      <c r="A30" t="inlineStr">
        <is>
          <t>Davao del Norte</t>
        </is>
      </c>
      <c r="B30">
        <v>515</v>
      </c>
      <c r="C30">
        <v>11</v>
      </c>
    </row>
    <row r="31" spans="1:3">
      <c r="A31" t="inlineStr">
        <is>
          <t>Davao del Sur</t>
        </is>
      </c>
      <c r="B31">
        <v>526</v>
      </c>
      <c r="C31">
        <v>10</v>
      </c>
    </row>
    <row r="32" spans="1:3">
      <c r="A32" t="inlineStr">
        <is>
          <t>Davao Occidental</t>
        </is>
      </c>
      <c r="B32">
        <v>536</v>
      </c>
      <c r="C32">
        <v>5</v>
      </c>
    </row>
    <row r="33" spans="1:3">
      <c r="A33" t="inlineStr">
        <is>
          <t>Davao Oriental</t>
        </is>
      </c>
      <c r="B33">
        <v>541</v>
      </c>
      <c r="C33">
        <v>11</v>
      </c>
    </row>
    <row r="34" spans="1:3">
      <c r="A34" t="inlineStr">
        <is>
          <t>Dinagat Islands</t>
        </is>
      </c>
      <c r="B34">
        <v>552</v>
      </c>
      <c r="C34">
        <v>7</v>
      </c>
    </row>
    <row r="35" spans="1:3">
      <c r="A35" t="inlineStr">
        <is>
          <t>Eastern Samar</t>
        </is>
      </c>
      <c r="B35">
        <v>559</v>
      </c>
      <c r="C35">
        <v>23</v>
      </c>
    </row>
    <row r="36" spans="1:3">
      <c r="A36" t="inlineStr">
        <is>
          <t>Guimaras</t>
        </is>
      </c>
      <c r="B36">
        <v>582</v>
      </c>
      <c r="C36">
        <v>5</v>
      </c>
    </row>
    <row r="37" spans="1:3">
      <c r="A37" t="inlineStr">
        <is>
          <t>Ifugao</t>
        </is>
      </c>
      <c r="B37">
        <v>587</v>
      </c>
      <c r="C37">
        <v>11</v>
      </c>
    </row>
    <row r="38" spans="1:3">
      <c r="A38" t="inlineStr">
        <is>
          <t>Ilocos Norte</t>
        </is>
      </c>
      <c r="B38">
        <v>598</v>
      </c>
      <c r="C38">
        <v>23</v>
      </c>
    </row>
    <row r="39" spans="1:3">
      <c r="A39" t="inlineStr">
        <is>
          <t>Ilocos Sur</t>
        </is>
      </c>
      <c r="B39">
        <v>621</v>
      </c>
      <c r="C39">
        <v>34</v>
      </c>
    </row>
    <row r="40" spans="1:3">
      <c r="A40" t="inlineStr">
        <is>
          <t>Iloilo</t>
        </is>
      </c>
      <c r="B40">
        <v>655</v>
      </c>
      <c r="C40">
        <v>43</v>
      </c>
    </row>
    <row r="41" spans="1:3">
      <c r="A41" t="inlineStr">
        <is>
          <t>Independent Cities — Cordillera Administrative Region (CAR)</t>
        </is>
      </c>
      <c r="B41">
        <v>698</v>
      </c>
      <c r="C41">
        <v>1</v>
      </c>
    </row>
    <row r="42" spans="1:3">
      <c r="A42" t="inlineStr">
        <is>
          <t>Independent Cities — MIMAROPA Region</t>
        </is>
      </c>
      <c r="B42">
        <v>699</v>
      </c>
      <c r="C42">
        <v>1</v>
      </c>
    </row>
    <row r="43" spans="1:3">
      <c r="A43" t="inlineStr">
        <is>
          <t>Independent Cities — Negros Island Region (NIR)</t>
        </is>
      </c>
      <c r="B43">
        <v>700</v>
      </c>
      <c r="C43">
        <v>1</v>
      </c>
    </row>
    <row r="44" spans="1:3">
      <c r="A44" t="inlineStr">
        <is>
          <t>Independent Cities — Region III (Central Luzon)</t>
        </is>
      </c>
      <c r="B44">
        <v>701</v>
      </c>
      <c r="C44">
        <v>2</v>
      </c>
    </row>
    <row r="45" spans="1:3">
      <c r="A45" t="inlineStr">
        <is>
          <t>Independent Cities — Region IV-A (CALABARZON)</t>
        </is>
      </c>
      <c r="B45">
        <v>703</v>
      </c>
      <c r="C45">
        <v>1</v>
      </c>
    </row>
    <row r="46" spans="1:3">
      <c r="A46" t="inlineStr">
        <is>
          <t>Independent Cities — Region IX (Zamboanga Peninsula)</t>
        </is>
      </c>
      <c r="B46">
        <v>704</v>
      </c>
      <c r="C46">
        <v>1</v>
      </c>
    </row>
    <row r="47" spans="1:3">
      <c r="A47" t="inlineStr">
        <is>
          <t>Independent Cities — Region VI (Western Visayas)</t>
        </is>
      </c>
      <c r="B47">
        <v>705</v>
      </c>
      <c r="C47">
        <v>1</v>
      </c>
    </row>
    <row r="48" spans="1:3">
      <c r="A48" t="inlineStr">
        <is>
          <t>Independent Cities — Region VII (Central Visayas)</t>
        </is>
      </c>
      <c r="B48">
        <v>706</v>
      </c>
      <c r="C48">
        <v>3</v>
      </c>
    </row>
    <row r="49" spans="1:3">
      <c r="A49" t="inlineStr">
        <is>
          <t>Independent Cities — Region VIII (Eastern Visayas)</t>
        </is>
      </c>
      <c r="B49">
        <v>709</v>
      </c>
      <c r="C49">
        <v>1</v>
      </c>
    </row>
    <row r="50" spans="1:3">
      <c r="A50" t="inlineStr">
        <is>
          <t>Independent Cities — Region X (Northern Mindanao)</t>
        </is>
      </c>
      <c r="B50">
        <v>710</v>
      </c>
      <c r="C50">
        <v>2</v>
      </c>
    </row>
    <row r="51" spans="1:3">
      <c r="A51" t="inlineStr">
        <is>
          <t>Independent Cities — Region XI (Davao Region)</t>
        </is>
      </c>
      <c r="B51">
        <v>712</v>
      </c>
      <c r="C51">
        <v>1</v>
      </c>
    </row>
    <row r="52" spans="1:3">
      <c r="A52" t="inlineStr">
        <is>
          <t>Independent Cities — Region XII (SOCCSKSARGEN)</t>
        </is>
      </c>
      <c r="B52">
        <v>713</v>
      </c>
      <c r="C52">
        <v>1</v>
      </c>
    </row>
    <row r="53" spans="1:3">
      <c r="A53" t="inlineStr">
        <is>
          <t>Independent Cities — Region XIII (Caraga)</t>
        </is>
      </c>
      <c r="B53">
        <v>714</v>
      </c>
      <c r="C53">
        <v>1</v>
      </c>
    </row>
    <row r="54" spans="1:3">
      <c r="A54" t="inlineStr">
        <is>
          <t>Isabela</t>
        </is>
      </c>
      <c r="B54">
        <v>715</v>
      </c>
      <c r="C54">
        <v>37</v>
      </c>
    </row>
    <row r="55" spans="1:3">
      <c r="A55" t="inlineStr">
        <is>
          <t>Kalinga</t>
        </is>
      </c>
      <c r="B55">
        <v>752</v>
      </c>
      <c r="C55">
        <v>8</v>
      </c>
    </row>
    <row r="56" spans="1:3">
      <c r="A56" t="inlineStr">
        <is>
          <t>La Union</t>
        </is>
      </c>
      <c r="B56">
        <v>760</v>
      </c>
      <c r="C56">
        <v>20</v>
      </c>
    </row>
    <row r="57" spans="1:3">
      <c r="A57" t="inlineStr">
        <is>
          <t>Laguna</t>
        </is>
      </c>
      <c r="B57">
        <v>780</v>
      </c>
      <c r="C57">
        <v>30</v>
      </c>
    </row>
    <row r="58" spans="1:3">
      <c r="A58" t="inlineStr">
        <is>
          <t>Lanao del Norte</t>
        </is>
      </c>
      <c r="B58">
        <v>810</v>
      </c>
      <c r="C58">
        <v>22</v>
      </c>
    </row>
    <row r="59" spans="1:3">
      <c r="A59" t="inlineStr">
        <is>
          <t>Lanao del Sur</t>
        </is>
      </c>
      <c r="B59">
        <v>832</v>
      </c>
      <c r="C59">
        <v>40</v>
      </c>
    </row>
    <row r="60" spans="1:3">
      <c r="A60" t="inlineStr">
        <is>
          <t>Leyte</t>
        </is>
      </c>
      <c r="B60">
        <v>872</v>
      </c>
      <c r="C60">
        <v>42</v>
      </c>
    </row>
    <row r="61" spans="1:3">
      <c r="A61" t="inlineStr">
        <is>
          <t>Maguindanao del Norte</t>
        </is>
      </c>
      <c r="B61">
        <v>914</v>
      </c>
      <c r="C61">
        <v>13</v>
      </c>
    </row>
    <row r="62" spans="1:3">
      <c r="A62" t="inlineStr">
        <is>
          <t>Maguindanao del Sur</t>
        </is>
      </c>
      <c r="B62">
        <v>927</v>
      </c>
      <c r="C62">
        <v>24</v>
      </c>
    </row>
    <row r="63" spans="1:3">
      <c r="A63" t="inlineStr">
        <is>
          <t>Marinduque</t>
        </is>
      </c>
      <c r="B63">
        <v>951</v>
      </c>
      <c r="C63">
        <v>6</v>
      </c>
    </row>
    <row r="64" spans="1:3">
      <c r="A64" t="inlineStr">
        <is>
          <t>Masbate</t>
        </is>
      </c>
      <c r="B64">
        <v>957</v>
      </c>
      <c r="C64">
        <v>21</v>
      </c>
    </row>
    <row r="65" spans="1:3">
      <c r="A65" t="inlineStr">
        <is>
          <t>Metro Manila (NCR)</t>
        </is>
      </c>
      <c r="B65">
        <v>978</v>
      </c>
      <c r="C65">
        <v>17</v>
      </c>
    </row>
    <row r="66" spans="1:3">
      <c r="A66" t="inlineStr">
        <is>
          <t>Misamis Occidental</t>
        </is>
      </c>
      <c r="B66">
        <v>995</v>
      </c>
      <c r="C66">
        <v>17</v>
      </c>
    </row>
    <row r="67" spans="1:3">
      <c r="A67" t="inlineStr">
        <is>
          <t>Misamis Oriental</t>
        </is>
      </c>
      <c r="B67">
        <v>1012</v>
      </c>
      <c r="C67">
        <v>25</v>
      </c>
    </row>
    <row r="68" spans="1:3">
      <c r="A68" t="inlineStr">
        <is>
          <t>Mountain Province</t>
        </is>
      </c>
      <c r="B68">
        <v>1037</v>
      </c>
      <c r="C68">
        <v>10</v>
      </c>
    </row>
    <row r="69" spans="1:3">
      <c r="A69" t="inlineStr">
        <is>
          <t>Negros Occidental</t>
        </is>
      </c>
      <c r="B69">
        <v>1047</v>
      </c>
      <c r="C69">
        <v>31</v>
      </c>
    </row>
    <row r="70" spans="1:3">
      <c r="A70" t="inlineStr">
        <is>
          <t>Negros Oriental</t>
        </is>
      </c>
      <c r="B70">
        <v>1078</v>
      </c>
      <c r="C70">
        <v>25</v>
      </c>
    </row>
    <row r="71" spans="1:3">
      <c r="A71" t="inlineStr">
        <is>
          <t>Northern Samar</t>
        </is>
      </c>
      <c r="B71">
        <v>1103</v>
      </c>
      <c r="C71">
        <v>24</v>
      </c>
    </row>
    <row r="72" spans="1:3">
      <c r="A72" t="inlineStr">
        <is>
          <t>Nueva Ecija</t>
        </is>
      </c>
      <c r="B72">
        <v>1127</v>
      </c>
      <c r="C72">
        <v>32</v>
      </c>
    </row>
    <row r="73" spans="1:3">
      <c r="A73" t="inlineStr">
        <is>
          <t>Nueva Vizcaya</t>
        </is>
      </c>
      <c r="B73">
        <v>1159</v>
      </c>
      <c r="C73">
        <v>15</v>
      </c>
    </row>
    <row r="74" spans="1:3">
      <c r="A74" t="inlineStr">
        <is>
          <t>Occidental Mindoro</t>
        </is>
      </c>
      <c r="B74">
        <v>1174</v>
      </c>
      <c r="C74">
        <v>11</v>
      </c>
    </row>
    <row r="75" spans="1:3">
      <c r="A75" t="inlineStr">
        <is>
          <t>Oriental Mindoro</t>
        </is>
      </c>
      <c r="B75">
        <v>1185</v>
      </c>
      <c r="C75">
        <v>15</v>
      </c>
    </row>
    <row r="76" spans="1:3">
      <c r="A76" t="inlineStr">
        <is>
          <t>Palawan</t>
        </is>
      </c>
      <c r="B76">
        <v>1200</v>
      </c>
      <c r="C76">
        <v>23</v>
      </c>
    </row>
    <row r="77" spans="1:3">
      <c r="A77" t="inlineStr">
        <is>
          <t>Pampanga</t>
        </is>
      </c>
      <c r="B77">
        <v>1223</v>
      </c>
      <c r="C77">
        <v>21</v>
      </c>
    </row>
    <row r="78" spans="1:3">
      <c r="A78" t="inlineStr">
        <is>
          <t>Pangasinan</t>
        </is>
      </c>
      <c r="B78">
        <v>1244</v>
      </c>
      <c r="C78">
        <v>48</v>
      </c>
    </row>
    <row r="79" spans="1:3">
      <c r="A79" t="inlineStr">
        <is>
          <t>Quezon</t>
        </is>
      </c>
      <c r="B79">
        <v>1292</v>
      </c>
      <c r="C79">
        <v>40</v>
      </c>
    </row>
    <row r="80" spans="1:3">
      <c r="A80" t="inlineStr">
        <is>
          <t>Quirino</t>
        </is>
      </c>
      <c r="B80">
        <v>1332</v>
      </c>
      <c r="C80">
        <v>6</v>
      </c>
    </row>
    <row r="81" spans="1:3">
      <c r="A81" t="inlineStr">
        <is>
          <t>Rizal</t>
        </is>
      </c>
      <c r="B81">
        <v>1338</v>
      </c>
      <c r="C81">
        <v>14</v>
      </c>
    </row>
    <row r="82" spans="1:3">
      <c r="A82" t="inlineStr">
        <is>
          <t>Romblon</t>
        </is>
      </c>
      <c r="B82">
        <v>1352</v>
      </c>
      <c r="C82">
        <v>17</v>
      </c>
    </row>
    <row r="83" spans="1:3">
      <c r="A83" t="inlineStr">
        <is>
          <t>Samar</t>
        </is>
      </c>
      <c r="B83">
        <v>1369</v>
      </c>
      <c r="C83">
        <v>26</v>
      </c>
    </row>
    <row r="84" spans="1:3">
      <c r="A84" t="inlineStr">
        <is>
          <t>Sarangani</t>
        </is>
      </c>
      <c r="B84">
        <v>1395</v>
      </c>
      <c r="C84">
        <v>7</v>
      </c>
    </row>
    <row r="85" spans="1:3">
      <c r="A85" t="inlineStr">
        <is>
          <t>Siquijor</t>
        </is>
      </c>
      <c r="B85">
        <v>1402</v>
      </c>
      <c r="C85">
        <v>6</v>
      </c>
    </row>
    <row r="86" spans="1:3">
      <c r="A86" t="inlineStr">
        <is>
          <t>Sorsogon</t>
        </is>
      </c>
      <c r="B86">
        <v>1408</v>
      </c>
      <c r="C86">
        <v>15</v>
      </c>
    </row>
    <row r="87" spans="1:3">
      <c r="A87" t="inlineStr">
        <is>
          <t>South Cotabato</t>
        </is>
      </c>
      <c r="B87">
        <v>1423</v>
      </c>
      <c r="C87">
        <v>11</v>
      </c>
    </row>
    <row r="88" spans="1:3">
      <c r="A88" t="inlineStr">
        <is>
          <t>Southern Leyte</t>
        </is>
      </c>
      <c r="B88">
        <v>1434</v>
      </c>
      <c r="C88">
        <v>19</v>
      </c>
    </row>
    <row r="89" spans="1:3">
      <c r="A89" t="inlineStr">
        <is>
          <t>Special Geographic Area</t>
        </is>
      </c>
      <c r="B89">
        <v>1453</v>
      </c>
      <c r="C89">
        <v>8</v>
      </c>
    </row>
    <row r="90" spans="1:3">
      <c r="A90" t="inlineStr">
        <is>
          <t>Sultan Kudarat</t>
        </is>
      </c>
      <c r="B90">
        <v>1461</v>
      </c>
      <c r="C90">
        <v>12</v>
      </c>
    </row>
    <row r="91" spans="1:3">
      <c r="A91" t="inlineStr">
        <is>
          <t>Sulu</t>
        </is>
      </c>
      <c r="B91">
        <v>1473</v>
      </c>
      <c r="C91">
        <v>19</v>
      </c>
    </row>
    <row r="92" spans="1:3">
      <c r="A92" t="inlineStr">
        <is>
          <t>Surigao del Norte</t>
        </is>
      </c>
      <c r="B92">
        <v>1492</v>
      </c>
      <c r="C92">
        <v>21</v>
      </c>
    </row>
    <row r="93" spans="1:3">
      <c r="A93" t="inlineStr">
        <is>
          <t>Surigao del Sur</t>
        </is>
      </c>
      <c r="B93">
        <v>1513</v>
      </c>
      <c r="C93">
        <v>19</v>
      </c>
    </row>
    <row r="94" spans="1:3">
      <c r="A94" t="inlineStr">
        <is>
          <t>Tarlac</t>
        </is>
      </c>
      <c r="B94">
        <v>1532</v>
      </c>
      <c r="C94">
        <v>18</v>
      </c>
    </row>
    <row r="95" spans="1:3">
      <c r="A95" t="inlineStr">
        <is>
          <t>Tawi-Tawi</t>
        </is>
      </c>
      <c r="B95">
        <v>1550</v>
      </c>
      <c r="C95">
        <v>11</v>
      </c>
    </row>
    <row r="96" spans="1:3">
      <c r="A96" t="inlineStr">
        <is>
          <t>Zambales</t>
        </is>
      </c>
      <c r="B96">
        <v>1561</v>
      </c>
      <c r="C96">
        <v>13</v>
      </c>
    </row>
    <row r="97" spans="1:3">
      <c r="A97" t="inlineStr">
        <is>
          <t>Zamboanga del Norte</t>
        </is>
      </c>
      <c r="B97">
        <v>1574</v>
      </c>
      <c r="C97">
        <v>27</v>
      </c>
    </row>
    <row r="98" spans="1:3">
      <c r="A98" t="inlineStr">
        <is>
          <t>Zamboanga del Sur</t>
        </is>
      </c>
      <c r="B98">
        <v>1601</v>
      </c>
      <c r="C98">
        <v>27</v>
      </c>
    </row>
    <row r="99" spans="1:3">
      <c r="A99" t="inlineStr">
        <is>
          <t>Zamboanga Sibugay</t>
        </is>
      </c>
      <c r="B99">
        <v>1628</v>
      </c>
      <c r="C99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B6C3CF"/>
  </sheetPr>
  <dimension ref="A1:C164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60" customWidth="1"/>
    <col min="2" max="3" width="22" customWidth="1"/>
  </cols>
  <sheetData>
    <row r="1" spans="1:3">
      <c r="A1" t="inlineStr">
        <is>
          <t>Province|City</t>
        </is>
      </c>
      <c r="B1" t="inlineStr">
        <is>
          <t>Barangay list start row</t>
        </is>
      </c>
      <c r="C1" t="inlineStr">
        <is>
          <t>Barangay count</t>
        </is>
      </c>
    </row>
    <row r="2" spans="1:3">
      <c r="A2" t="inlineStr">
        <is>
          <t>Abra|Bangued</t>
        </is>
      </c>
      <c r="B2">
        <v>2</v>
      </c>
      <c r="C2">
        <v>31</v>
      </c>
    </row>
    <row r="3" spans="1:3">
      <c r="A3" t="inlineStr">
        <is>
          <t>Abra|Boliney</t>
        </is>
      </c>
      <c r="B3">
        <v>33</v>
      </c>
      <c r="C3">
        <v>8</v>
      </c>
    </row>
    <row r="4" spans="1:3">
      <c r="A4" t="inlineStr">
        <is>
          <t>Abra|Bucay</t>
        </is>
      </c>
      <c r="B4">
        <v>41</v>
      </c>
      <c r="C4">
        <v>21</v>
      </c>
    </row>
    <row r="5" spans="1:3">
      <c r="A5" t="inlineStr">
        <is>
          <t>Abra|Bucloc</t>
        </is>
      </c>
      <c r="B5">
        <v>62</v>
      </c>
      <c r="C5">
        <v>4</v>
      </c>
    </row>
    <row r="6" spans="1:3">
      <c r="A6" t="inlineStr">
        <is>
          <t>Abra|Daguioman</t>
        </is>
      </c>
      <c r="B6">
        <v>66</v>
      </c>
      <c r="C6">
        <v>4</v>
      </c>
    </row>
    <row r="7" spans="1:3">
      <c r="A7" t="inlineStr">
        <is>
          <t>Abra|Danglas</t>
        </is>
      </c>
      <c r="B7">
        <v>70</v>
      </c>
      <c r="C7">
        <v>7</v>
      </c>
    </row>
    <row r="8" spans="1:3">
      <c r="A8" t="inlineStr">
        <is>
          <t>Abra|Dolores</t>
        </is>
      </c>
      <c r="B8">
        <v>77</v>
      </c>
      <c r="C8">
        <v>15</v>
      </c>
    </row>
    <row r="9" spans="1:3">
      <c r="A9" t="inlineStr">
        <is>
          <t>Abra|La Paz</t>
        </is>
      </c>
      <c r="B9">
        <v>92</v>
      </c>
      <c r="C9">
        <v>12</v>
      </c>
    </row>
    <row r="10" spans="1:3">
      <c r="A10" t="inlineStr">
        <is>
          <t>Abra|Lacub</t>
        </is>
      </c>
      <c r="B10">
        <v>104</v>
      </c>
      <c r="C10">
        <v>6</v>
      </c>
    </row>
    <row r="11" spans="1:3">
      <c r="A11" t="inlineStr">
        <is>
          <t>Abra|Lagangilang</t>
        </is>
      </c>
      <c r="B11">
        <v>110</v>
      </c>
      <c r="C11">
        <v>17</v>
      </c>
    </row>
    <row r="12" spans="1:3">
      <c r="A12" t="inlineStr">
        <is>
          <t>Abra|Lagayan</t>
        </is>
      </c>
      <c r="B12">
        <v>127</v>
      </c>
      <c r="C12">
        <v>5</v>
      </c>
    </row>
    <row r="13" spans="1:3">
      <c r="A13" t="inlineStr">
        <is>
          <t>Abra|Langiden</t>
        </is>
      </c>
      <c r="B13">
        <v>132</v>
      </c>
      <c r="C13">
        <v>6</v>
      </c>
    </row>
    <row r="14" spans="1:3">
      <c r="A14" t="inlineStr">
        <is>
          <t>Abra|Licuan-Baay</t>
        </is>
      </c>
      <c r="B14">
        <v>138</v>
      </c>
      <c r="C14">
        <v>11</v>
      </c>
    </row>
    <row r="15" spans="1:3">
      <c r="A15" t="inlineStr">
        <is>
          <t>Abra|Luba</t>
        </is>
      </c>
      <c r="B15">
        <v>149</v>
      </c>
      <c r="C15">
        <v>8</v>
      </c>
    </row>
    <row r="16" spans="1:3">
      <c r="A16" t="inlineStr">
        <is>
          <t>Abra|Malibcong</t>
        </is>
      </c>
      <c r="B16">
        <v>157</v>
      </c>
      <c r="C16">
        <v>12</v>
      </c>
    </row>
    <row r="17" spans="1:3">
      <c r="A17" t="inlineStr">
        <is>
          <t>Abra|Manabo</t>
        </is>
      </c>
      <c r="B17">
        <v>169</v>
      </c>
      <c r="C17">
        <v>11</v>
      </c>
    </row>
    <row r="18" spans="1:3">
      <c r="A18" t="inlineStr">
        <is>
          <t>Abra|Peñarrubia</t>
        </is>
      </c>
      <c r="B18">
        <v>180</v>
      </c>
      <c r="C18">
        <v>9</v>
      </c>
    </row>
    <row r="19" spans="1:3">
      <c r="A19" t="inlineStr">
        <is>
          <t>Abra|Pidigan</t>
        </is>
      </c>
      <c r="B19">
        <v>189</v>
      </c>
      <c r="C19">
        <v>15</v>
      </c>
    </row>
    <row r="20" spans="1:3">
      <c r="A20" t="inlineStr">
        <is>
          <t>Abra|Pilar</t>
        </is>
      </c>
      <c r="B20">
        <v>204</v>
      </c>
      <c r="C20">
        <v>19</v>
      </c>
    </row>
    <row r="21" spans="1:3">
      <c r="A21" t="inlineStr">
        <is>
          <t>Abra|Sallapadan</t>
        </is>
      </c>
      <c r="B21">
        <v>223</v>
      </c>
      <c r="C21">
        <v>9</v>
      </c>
    </row>
    <row r="22" spans="1:3">
      <c r="A22" t="inlineStr">
        <is>
          <t>Abra|San Isidro</t>
        </is>
      </c>
      <c r="B22">
        <v>232</v>
      </c>
      <c r="C22">
        <v>9</v>
      </c>
    </row>
    <row r="23" spans="1:3">
      <c r="A23" t="inlineStr">
        <is>
          <t>Abra|San Juan</t>
        </is>
      </c>
      <c r="B23">
        <v>241</v>
      </c>
      <c r="C23">
        <v>19</v>
      </c>
    </row>
    <row r="24" spans="1:3">
      <c r="A24" t="inlineStr">
        <is>
          <t>Abra|San Quintin</t>
        </is>
      </c>
      <c r="B24">
        <v>260</v>
      </c>
      <c r="C24">
        <v>6</v>
      </c>
    </row>
    <row r="25" spans="1:3">
      <c r="A25" t="inlineStr">
        <is>
          <t>Abra|Tayum</t>
        </is>
      </c>
      <c r="B25">
        <v>266</v>
      </c>
      <c r="C25">
        <v>11</v>
      </c>
    </row>
    <row r="26" spans="1:3">
      <c r="A26" t="inlineStr">
        <is>
          <t>Abra|Tineg</t>
        </is>
      </c>
      <c r="B26">
        <v>277</v>
      </c>
      <c r="C26">
        <v>10</v>
      </c>
    </row>
    <row r="27" spans="1:3">
      <c r="A27" t="inlineStr">
        <is>
          <t>Abra|Tubo</t>
        </is>
      </c>
      <c r="B27">
        <v>287</v>
      </c>
      <c r="C27">
        <v>10</v>
      </c>
    </row>
    <row r="28" spans="1:3">
      <c r="A28" t="inlineStr">
        <is>
          <t>Abra|Villaviciosa</t>
        </is>
      </c>
      <c r="B28">
        <v>297</v>
      </c>
      <c r="C28">
        <v>8</v>
      </c>
    </row>
    <row r="29" spans="1:3">
      <c r="A29" t="inlineStr">
        <is>
          <t>Agusan del Norte|Buenavista</t>
        </is>
      </c>
      <c r="B29">
        <v>305</v>
      </c>
      <c r="C29">
        <v>25</v>
      </c>
    </row>
    <row r="30" spans="1:3">
      <c r="A30" t="inlineStr">
        <is>
          <t>Agusan del Norte|Carmen</t>
        </is>
      </c>
      <c r="B30">
        <v>330</v>
      </c>
      <c r="C30">
        <v>8</v>
      </c>
    </row>
    <row r="31" spans="1:3">
      <c r="A31" t="inlineStr">
        <is>
          <t>Agusan del Norte|City of Cabadbaran</t>
        </is>
      </c>
      <c r="B31">
        <v>338</v>
      </c>
      <c r="C31">
        <v>31</v>
      </c>
    </row>
    <row r="32" spans="1:3">
      <c r="A32" t="inlineStr">
        <is>
          <t>Agusan del Norte|Jabonga</t>
        </is>
      </c>
      <c r="B32">
        <v>369</v>
      </c>
      <c r="C32">
        <v>15</v>
      </c>
    </row>
    <row r="33" spans="1:3">
      <c r="A33" t="inlineStr">
        <is>
          <t>Agusan del Norte|Kitcharao</t>
        </is>
      </c>
      <c r="B33">
        <v>384</v>
      </c>
      <c r="C33">
        <v>11</v>
      </c>
    </row>
    <row r="34" spans="1:3">
      <c r="A34" t="inlineStr">
        <is>
          <t>Agusan del Norte|Las Nieves</t>
        </is>
      </c>
      <c r="B34">
        <v>395</v>
      </c>
      <c r="C34">
        <v>20</v>
      </c>
    </row>
    <row r="35" spans="1:3">
      <c r="A35" t="inlineStr">
        <is>
          <t>Agusan del Norte|Magallanes</t>
        </is>
      </c>
      <c r="B35">
        <v>415</v>
      </c>
      <c r="C35">
        <v>8</v>
      </c>
    </row>
    <row r="36" spans="1:3">
      <c r="A36" t="inlineStr">
        <is>
          <t>Agusan del Norte|Nasipit</t>
        </is>
      </c>
      <c r="B36">
        <v>423</v>
      </c>
      <c r="C36">
        <v>19</v>
      </c>
    </row>
    <row r="37" spans="1:3">
      <c r="A37" t="inlineStr">
        <is>
          <t>Agusan del Norte|Remedios T. Romualdez</t>
        </is>
      </c>
      <c r="B37">
        <v>442</v>
      </c>
      <c r="C37">
        <v>8</v>
      </c>
    </row>
    <row r="38" spans="1:3">
      <c r="A38" t="inlineStr">
        <is>
          <t>Agusan del Norte|Santiago</t>
        </is>
      </c>
      <c r="B38">
        <v>450</v>
      </c>
      <c r="C38">
        <v>9</v>
      </c>
    </row>
    <row r="39" spans="1:3">
      <c r="A39" t="inlineStr">
        <is>
          <t>Agusan del Norte|Tubay</t>
        </is>
      </c>
      <c r="B39">
        <v>459</v>
      </c>
      <c r="C39">
        <v>13</v>
      </c>
    </row>
    <row r="40" spans="1:3">
      <c r="A40" t="inlineStr">
        <is>
          <t>Agusan del Sur|Bunawan</t>
        </is>
      </c>
      <c r="B40">
        <v>472</v>
      </c>
      <c r="C40">
        <v>10</v>
      </c>
    </row>
    <row r="41" spans="1:3">
      <c r="A41" t="inlineStr">
        <is>
          <t>Agusan del Sur|City of Bayugan</t>
        </is>
      </c>
      <c r="B41">
        <v>482</v>
      </c>
      <c r="C41">
        <v>43</v>
      </c>
    </row>
    <row r="42" spans="1:3">
      <c r="A42" t="inlineStr">
        <is>
          <t>Agusan del Sur|Esperanza</t>
        </is>
      </c>
      <c r="B42">
        <v>525</v>
      </c>
      <c r="C42">
        <v>47</v>
      </c>
    </row>
    <row r="43" spans="1:3">
      <c r="A43" t="inlineStr">
        <is>
          <t>Agusan del Sur|La Paz</t>
        </is>
      </c>
      <c r="B43">
        <v>572</v>
      </c>
      <c r="C43">
        <v>15</v>
      </c>
    </row>
    <row r="44" spans="1:3">
      <c r="A44" t="inlineStr">
        <is>
          <t>Agusan del Sur|Loreto</t>
        </is>
      </c>
      <c r="B44">
        <v>587</v>
      </c>
      <c r="C44">
        <v>17</v>
      </c>
    </row>
    <row r="45" spans="1:3">
      <c r="A45" t="inlineStr">
        <is>
          <t>Agusan del Sur|Prosperidad</t>
        </is>
      </c>
      <c r="B45">
        <v>604</v>
      </c>
      <c r="C45">
        <v>32</v>
      </c>
    </row>
    <row r="46" spans="1:3">
      <c r="A46" t="inlineStr">
        <is>
          <t>Agusan del Sur|Rosario</t>
        </is>
      </c>
      <c r="B46">
        <v>636</v>
      </c>
      <c r="C46">
        <v>11</v>
      </c>
    </row>
    <row r="47" spans="1:3">
      <c r="A47" t="inlineStr">
        <is>
          <t>Agusan del Sur|San Francisco</t>
        </is>
      </c>
      <c r="B47">
        <v>647</v>
      </c>
      <c r="C47">
        <v>27</v>
      </c>
    </row>
    <row r="48" spans="1:3">
      <c r="A48" t="inlineStr">
        <is>
          <t>Agusan del Sur|San Luis</t>
        </is>
      </c>
      <c r="B48">
        <v>674</v>
      </c>
      <c r="C48">
        <v>25</v>
      </c>
    </row>
    <row r="49" spans="1:3">
      <c r="A49" t="inlineStr">
        <is>
          <t>Agusan del Sur|Santa Josefa</t>
        </is>
      </c>
      <c r="B49">
        <v>699</v>
      </c>
      <c r="C49">
        <v>11</v>
      </c>
    </row>
    <row r="50" spans="1:3">
      <c r="A50" t="inlineStr">
        <is>
          <t>Agusan del Sur|Sibagat</t>
        </is>
      </c>
      <c r="B50">
        <v>710</v>
      </c>
      <c r="C50">
        <v>24</v>
      </c>
    </row>
    <row r="51" spans="1:3">
      <c r="A51" t="inlineStr">
        <is>
          <t>Agusan del Sur|Talacogon</t>
        </is>
      </c>
      <c r="B51">
        <v>734</v>
      </c>
      <c r="C51">
        <v>16</v>
      </c>
    </row>
    <row r="52" spans="1:3">
      <c r="A52" t="inlineStr">
        <is>
          <t>Agusan del Sur|Trento</t>
        </is>
      </c>
      <c r="B52">
        <v>750</v>
      </c>
      <c r="C52">
        <v>16</v>
      </c>
    </row>
    <row r="53" spans="1:3">
      <c r="A53" t="inlineStr">
        <is>
          <t>Agusan del Sur|Veruela</t>
        </is>
      </c>
      <c r="B53">
        <v>766</v>
      </c>
      <c r="C53">
        <v>20</v>
      </c>
    </row>
    <row r="54" spans="1:3">
      <c r="A54" t="inlineStr">
        <is>
          <t>Aklan|Altavas</t>
        </is>
      </c>
      <c r="B54">
        <v>786</v>
      </c>
      <c r="C54">
        <v>14</v>
      </c>
    </row>
    <row r="55" spans="1:3">
      <c r="A55" t="inlineStr">
        <is>
          <t>Aklan|Balete</t>
        </is>
      </c>
      <c r="B55">
        <v>800</v>
      </c>
      <c r="C55">
        <v>10</v>
      </c>
    </row>
    <row r="56" spans="1:3">
      <c r="A56" t="inlineStr">
        <is>
          <t>Aklan|Banga</t>
        </is>
      </c>
      <c r="B56">
        <v>810</v>
      </c>
      <c r="C56">
        <v>30</v>
      </c>
    </row>
    <row r="57" spans="1:3">
      <c r="A57" t="inlineStr">
        <is>
          <t>Aklan|Batan</t>
        </is>
      </c>
      <c r="B57">
        <v>840</v>
      </c>
      <c r="C57">
        <v>20</v>
      </c>
    </row>
    <row r="58" spans="1:3">
      <c r="A58" t="inlineStr">
        <is>
          <t>Aklan|Buruanga</t>
        </is>
      </c>
      <c r="B58">
        <v>860</v>
      </c>
      <c r="C58">
        <v>15</v>
      </c>
    </row>
    <row r="59" spans="1:3">
      <c r="A59" t="inlineStr">
        <is>
          <t>Aklan|Ibajay</t>
        </is>
      </c>
      <c r="B59">
        <v>875</v>
      </c>
      <c r="C59">
        <v>35</v>
      </c>
    </row>
    <row r="60" spans="1:3">
      <c r="A60" t="inlineStr">
        <is>
          <t>Aklan|Kalibo</t>
        </is>
      </c>
      <c r="B60">
        <v>910</v>
      </c>
      <c r="C60">
        <v>16</v>
      </c>
    </row>
    <row r="61" spans="1:3">
      <c r="A61" t="inlineStr">
        <is>
          <t>Aklan|Lezo</t>
        </is>
      </c>
      <c r="B61">
        <v>926</v>
      </c>
      <c r="C61">
        <v>12</v>
      </c>
    </row>
    <row r="62" spans="1:3">
      <c r="A62" t="inlineStr">
        <is>
          <t>Aklan|Libacao</t>
        </is>
      </c>
      <c r="B62">
        <v>938</v>
      </c>
      <c r="C62">
        <v>24</v>
      </c>
    </row>
    <row r="63" spans="1:3">
      <c r="A63" t="inlineStr">
        <is>
          <t>Aklan|Madalag</t>
        </is>
      </c>
      <c r="B63">
        <v>962</v>
      </c>
      <c r="C63">
        <v>25</v>
      </c>
    </row>
    <row r="64" spans="1:3">
      <c r="A64" t="inlineStr">
        <is>
          <t>Aklan|Makato</t>
        </is>
      </c>
      <c r="B64">
        <v>987</v>
      </c>
      <c r="C64">
        <v>18</v>
      </c>
    </row>
    <row r="65" spans="1:3">
      <c r="A65" t="inlineStr">
        <is>
          <t>Aklan|Malay</t>
        </is>
      </c>
      <c r="B65">
        <v>1005</v>
      </c>
      <c r="C65">
        <v>17</v>
      </c>
    </row>
    <row r="66" spans="1:3">
      <c r="A66" t="inlineStr">
        <is>
          <t>Aklan|Malinao</t>
        </is>
      </c>
      <c r="B66">
        <v>1022</v>
      </c>
      <c r="C66">
        <v>23</v>
      </c>
    </row>
    <row r="67" spans="1:3">
      <c r="A67" t="inlineStr">
        <is>
          <t>Aklan|Nabas</t>
        </is>
      </c>
      <c r="B67">
        <v>1045</v>
      </c>
      <c r="C67">
        <v>20</v>
      </c>
    </row>
    <row r="68" spans="1:3">
      <c r="A68" t="inlineStr">
        <is>
          <t>Aklan|New Washington</t>
        </is>
      </c>
      <c r="B68">
        <v>1065</v>
      </c>
      <c r="C68">
        <v>16</v>
      </c>
    </row>
    <row r="69" spans="1:3">
      <c r="A69" t="inlineStr">
        <is>
          <t>Aklan|Numancia</t>
        </is>
      </c>
      <c r="B69">
        <v>1081</v>
      </c>
      <c r="C69">
        <v>17</v>
      </c>
    </row>
    <row r="70" spans="1:3">
      <c r="A70" t="inlineStr">
        <is>
          <t>Aklan|Tangalan</t>
        </is>
      </c>
      <c r="B70">
        <v>1098</v>
      </c>
      <c r="C70">
        <v>15</v>
      </c>
    </row>
    <row r="71" spans="1:3">
      <c r="A71" t="inlineStr">
        <is>
          <t>Albay|Bacacay</t>
        </is>
      </c>
      <c r="B71">
        <v>1113</v>
      </c>
      <c r="C71">
        <v>56</v>
      </c>
    </row>
    <row r="72" spans="1:3">
      <c r="A72" t="inlineStr">
        <is>
          <t>Albay|Camalig</t>
        </is>
      </c>
      <c r="B72">
        <v>1169</v>
      </c>
      <c r="C72">
        <v>50</v>
      </c>
    </row>
    <row r="73" spans="1:3">
      <c r="A73" t="inlineStr">
        <is>
          <t>Albay|City of Legazpi</t>
        </is>
      </c>
      <c r="B73">
        <v>1219</v>
      </c>
      <c r="C73">
        <v>70</v>
      </c>
    </row>
    <row r="74" spans="1:3">
      <c r="A74" t="inlineStr">
        <is>
          <t>Albay|City of Ligao</t>
        </is>
      </c>
      <c r="B74">
        <v>1289</v>
      </c>
      <c r="C74">
        <v>55</v>
      </c>
    </row>
    <row r="75" spans="1:3">
      <c r="A75" t="inlineStr">
        <is>
          <t>Albay|City of Tabaco</t>
        </is>
      </c>
      <c r="B75">
        <v>1344</v>
      </c>
      <c r="C75">
        <v>47</v>
      </c>
    </row>
    <row r="76" spans="1:3">
      <c r="A76" t="inlineStr">
        <is>
          <t>Albay|Daraga</t>
        </is>
      </c>
      <c r="B76">
        <v>1391</v>
      </c>
      <c r="C76">
        <v>54</v>
      </c>
    </row>
    <row r="77" spans="1:3">
      <c r="A77" t="inlineStr">
        <is>
          <t>Albay|Guinobatan</t>
        </is>
      </c>
      <c r="B77">
        <v>1445</v>
      </c>
      <c r="C77">
        <v>44</v>
      </c>
    </row>
    <row r="78" spans="1:3">
      <c r="A78" t="inlineStr">
        <is>
          <t>Albay|Jovellar</t>
        </is>
      </c>
      <c r="B78">
        <v>1489</v>
      </c>
      <c r="C78">
        <v>23</v>
      </c>
    </row>
    <row r="79" spans="1:3">
      <c r="A79" t="inlineStr">
        <is>
          <t>Albay|Libon</t>
        </is>
      </c>
      <c r="B79">
        <v>1512</v>
      </c>
      <c r="C79">
        <v>47</v>
      </c>
    </row>
    <row r="80" spans="1:3">
      <c r="A80" t="inlineStr">
        <is>
          <t>Albay|Malilipot</t>
        </is>
      </c>
      <c r="B80">
        <v>1559</v>
      </c>
      <c r="C80">
        <v>18</v>
      </c>
    </row>
    <row r="81" spans="1:3">
      <c r="A81" t="inlineStr">
        <is>
          <t>Albay|Malinao</t>
        </is>
      </c>
      <c r="B81">
        <v>1577</v>
      </c>
      <c r="C81">
        <v>29</v>
      </c>
    </row>
    <row r="82" spans="1:3">
      <c r="A82" t="inlineStr">
        <is>
          <t>Albay|Manito</t>
        </is>
      </c>
      <c r="B82">
        <v>1606</v>
      </c>
      <c r="C82">
        <v>15</v>
      </c>
    </row>
    <row r="83" spans="1:3">
      <c r="A83" t="inlineStr">
        <is>
          <t>Albay|Oas</t>
        </is>
      </c>
      <c r="B83">
        <v>1621</v>
      </c>
      <c r="C83">
        <v>53</v>
      </c>
    </row>
    <row r="84" spans="1:3">
      <c r="A84" t="inlineStr">
        <is>
          <t>Albay|Pio Duran</t>
        </is>
      </c>
      <c r="B84">
        <v>1674</v>
      </c>
      <c r="C84">
        <v>33</v>
      </c>
    </row>
    <row r="85" spans="1:3">
      <c r="A85" t="inlineStr">
        <is>
          <t>Albay|Polangui</t>
        </is>
      </c>
      <c r="B85">
        <v>1707</v>
      </c>
      <c r="C85">
        <v>44</v>
      </c>
    </row>
    <row r="86" spans="1:3">
      <c r="A86" t="inlineStr">
        <is>
          <t>Albay|Rapu-Rapu</t>
        </is>
      </c>
      <c r="B86">
        <v>1751</v>
      </c>
      <c r="C86">
        <v>34</v>
      </c>
    </row>
    <row r="87" spans="1:3">
      <c r="A87" t="inlineStr">
        <is>
          <t>Albay|Santo Domingo</t>
        </is>
      </c>
      <c r="B87">
        <v>1785</v>
      </c>
      <c r="C87">
        <v>23</v>
      </c>
    </row>
    <row r="88" spans="1:3">
      <c r="A88" t="inlineStr">
        <is>
          <t>Albay|Tiwi</t>
        </is>
      </c>
      <c r="B88">
        <v>1808</v>
      </c>
      <c r="C88">
        <v>25</v>
      </c>
    </row>
    <row r="89" spans="1:3">
      <c r="A89" t="inlineStr">
        <is>
          <t>Antique|Anini-Y</t>
        </is>
      </c>
      <c r="B89">
        <v>1833</v>
      </c>
      <c r="C89">
        <v>23</v>
      </c>
    </row>
    <row r="90" spans="1:3">
      <c r="A90" t="inlineStr">
        <is>
          <t>Antique|Barbaza</t>
        </is>
      </c>
      <c r="B90">
        <v>1856</v>
      </c>
      <c r="C90">
        <v>39</v>
      </c>
    </row>
    <row r="91" spans="1:3">
      <c r="A91" t="inlineStr">
        <is>
          <t>Antique|Belison</t>
        </is>
      </c>
      <c r="B91">
        <v>1895</v>
      </c>
      <c r="C91">
        <v>11</v>
      </c>
    </row>
    <row r="92" spans="1:3">
      <c r="A92" t="inlineStr">
        <is>
          <t>Antique|Bugasong</t>
        </is>
      </c>
      <c r="B92">
        <v>1906</v>
      </c>
      <c r="C92">
        <v>27</v>
      </c>
    </row>
    <row r="93" spans="1:3">
      <c r="A93" t="inlineStr">
        <is>
          <t>Antique|Caluya</t>
        </is>
      </c>
      <c r="B93">
        <v>1933</v>
      </c>
      <c r="C93">
        <v>18</v>
      </c>
    </row>
    <row r="94" spans="1:3">
      <c r="A94" t="inlineStr">
        <is>
          <t>Antique|Culasi</t>
        </is>
      </c>
      <c r="B94">
        <v>1951</v>
      </c>
      <c r="C94">
        <v>44</v>
      </c>
    </row>
    <row r="95" spans="1:3">
      <c r="A95" t="inlineStr">
        <is>
          <t>Antique|Hamtic</t>
        </is>
      </c>
      <c r="B95">
        <v>1995</v>
      </c>
      <c r="C95">
        <v>47</v>
      </c>
    </row>
    <row r="96" spans="1:3">
      <c r="A96" t="inlineStr">
        <is>
          <t>Antique|Laua-An</t>
        </is>
      </c>
      <c r="B96">
        <v>2042</v>
      </c>
      <c r="C96">
        <v>40</v>
      </c>
    </row>
    <row r="97" spans="1:3">
      <c r="A97" t="inlineStr">
        <is>
          <t>Antique|Libertad</t>
        </is>
      </c>
      <c r="B97">
        <v>2082</v>
      </c>
      <c r="C97">
        <v>19</v>
      </c>
    </row>
    <row r="98" spans="1:3">
      <c r="A98" t="inlineStr">
        <is>
          <t>Antique|Pandan</t>
        </is>
      </c>
      <c r="B98">
        <v>2101</v>
      </c>
      <c r="C98">
        <v>34</v>
      </c>
    </row>
    <row r="99" spans="1:3">
      <c r="A99" t="inlineStr">
        <is>
          <t>Antique|Patnongon</t>
        </is>
      </c>
      <c r="B99">
        <v>2135</v>
      </c>
      <c r="C99">
        <v>36</v>
      </c>
    </row>
    <row r="100" spans="1:3">
      <c r="A100" t="inlineStr">
        <is>
          <t>Antique|San Jose</t>
        </is>
      </c>
      <c r="B100">
        <v>2171</v>
      </c>
      <c r="C100">
        <v>28</v>
      </c>
    </row>
    <row r="101" spans="1:3">
      <c r="A101" t="inlineStr">
        <is>
          <t>Antique|San Remigio</t>
        </is>
      </c>
      <c r="B101">
        <v>2199</v>
      </c>
      <c r="C101">
        <v>45</v>
      </c>
    </row>
    <row r="102" spans="1:3">
      <c r="A102" t="inlineStr">
        <is>
          <t>Antique|Sebaste</t>
        </is>
      </c>
      <c r="B102">
        <v>2244</v>
      </c>
      <c r="C102">
        <v>10</v>
      </c>
    </row>
    <row r="103" spans="1:3">
      <c r="A103" t="inlineStr">
        <is>
          <t>Antique|Sibalom</t>
        </is>
      </c>
      <c r="B103">
        <v>2254</v>
      </c>
      <c r="C103">
        <v>76</v>
      </c>
    </row>
    <row r="104" spans="1:3">
      <c r="A104" t="inlineStr">
        <is>
          <t>Antique|Tibiao</t>
        </is>
      </c>
      <c r="B104">
        <v>2330</v>
      </c>
      <c r="C104">
        <v>21</v>
      </c>
    </row>
    <row r="105" spans="1:3">
      <c r="A105" t="inlineStr">
        <is>
          <t>Antique|Tobias Fornier</t>
        </is>
      </c>
      <c r="B105">
        <v>2351</v>
      </c>
      <c r="C105">
        <v>50</v>
      </c>
    </row>
    <row r="106" spans="1:3">
      <c r="A106" t="inlineStr">
        <is>
          <t>Antique|Valderrama</t>
        </is>
      </c>
      <c r="B106">
        <v>2401</v>
      </c>
      <c r="C106">
        <v>22</v>
      </c>
    </row>
    <row r="107" spans="1:3">
      <c r="A107" t="inlineStr">
        <is>
          <t>Apayao|Calanasan</t>
        </is>
      </c>
      <c r="B107">
        <v>2423</v>
      </c>
      <c r="C107">
        <v>18</v>
      </c>
    </row>
    <row r="108" spans="1:3">
      <c r="A108" t="inlineStr">
        <is>
          <t>Apayao|Conner</t>
        </is>
      </c>
      <c r="B108">
        <v>2441</v>
      </c>
      <c r="C108">
        <v>21</v>
      </c>
    </row>
    <row r="109" spans="1:3">
      <c r="A109" t="inlineStr">
        <is>
          <t>Apayao|Flora</t>
        </is>
      </c>
      <c r="B109">
        <v>2462</v>
      </c>
      <c r="C109">
        <v>16</v>
      </c>
    </row>
    <row r="110" spans="1:3">
      <c r="A110" t="inlineStr">
        <is>
          <t>Apayao|Kabugao</t>
        </is>
      </c>
      <c r="B110">
        <v>2478</v>
      </c>
      <c r="C110">
        <v>21</v>
      </c>
    </row>
    <row r="111" spans="1:3">
      <c r="A111" t="inlineStr">
        <is>
          <t>Apayao|Luna</t>
        </is>
      </c>
      <c r="B111">
        <v>2499</v>
      </c>
      <c r="C111">
        <v>22</v>
      </c>
    </row>
    <row r="112" spans="1:3">
      <c r="A112" t="inlineStr">
        <is>
          <t>Apayao|Pudtol</t>
        </is>
      </c>
      <c r="B112">
        <v>2521</v>
      </c>
      <c r="C112">
        <v>22</v>
      </c>
    </row>
    <row r="113" spans="1:3">
      <c r="A113" t="inlineStr">
        <is>
          <t>Apayao|Santa Marcela</t>
        </is>
      </c>
      <c r="B113">
        <v>2543</v>
      </c>
      <c r="C113">
        <v>13</v>
      </c>
    </row>
    <row r="114" spans="1:3">
      <c r="A114" t="inlineStr">
        <is>
          <t>Aurora|Baler</t>
        </is>
      </c>
      <c r="B114">
        <v>2556</v>
      </c>
      <c r="C114">
        <v>13</v>
      </c>
    </row>
    <row r="115" spans="1:3">
      <c r="A115" t="inlineStr">
        <is>
          <t>Aurora|Casiguran</t>
        </is>
      </c>
      <c r="B115">
        <v>2569</v>
      </c>
      <c r="C115">
        <v>24</v>
      </c>
    </row>
    <row r="116" spans="1:3">
      <c r="A116" t="inlineStr">
        <is>
          <t>Aurora|Dilasag</t>
        </is>
      </c>
      <c r="B116">
        <v>2593</v>
      </c>
      <c r="C116">
        <v>11</v>
      </c>
    </row>
    <row r="117" spans="1:3">
      <c r="A117" t="inlineStr">
        <is>
          <t>Aurora|Dinalungan</t>
        </is>
      </c>
      <c r="B117">
        <v>2604</v>
      </c>
      <c r="C117">
        <v>9</v>
      </c>
    </row>
    <row r="118" spans="1:3">
      <c r="A118" t="inlineStr">
        <is>
          <t>Aurora|Dingalan</t>
        </is>
      </c>
      <c r="B118">
        <v>2613</v>
      </c>
      <c r="C118">
        <v>11</v>
      </c>
    </row>
    <row r="119" spans="1:3">
      <c r="A119" t="inlineStr">
        <is>
          <t>Aurora|Dipaculao</t>
        </is>
      </c>
      <c r="B119">
        <v>2624</v>
      </c>
      <c r="C119">
        <v>25</v>
      </c>
    </row>
    <row r="120" spans="1:3">
      <c r="A120" t="inlineStr">
        <is>
          <t>Aurora|Maria Aurora</t>
        </is>
      </c>
      <c r="B120">
        <v>2649</v>
      </c>
      <c r="C120">
        <v>40</v>
      </c>
    </row>
    <row r="121" spans="1:3">
      <c r="A121" t="inlineStr">
        <is>
          <t>Aurora|San Luis</t>
        </is>
      </c>
      <c r="B121">
        <v>2689</v>
      </c>
      <c r="C121">
        <v>18</v>
      </c>
    </row>
    <row r="122" spans="1:3">
      <c r="A122" t="inlineStr">
        <is>
          <t>Basilan|Akbar</t>
        </is>
      </c>
      <c r="B122">
        <v>2707</v>
      </c>
      <c r="C122">
        <v>9</v>
      </c>
    </row>
    <row r="123" spans="1:3">
      <c r="A123" t="inlineStr">
        <is>
          <t>Basilan|Al-Barka</t>
        </is>
      </c>
      <c r="B123">
        <v>2716</v>
      </c>
      <c r="C123">
        <v>16</v>
      </c>
    </row>
    <row r="124" spans="1:3">
      <c r="A124" t="inlineStr">
        <is>
          <t>Basilan|City of Lamitan</t>
        </is>
      </c>
      <c r="B124">
        <v>2732</v>
      </c>
      <c r="C124">
        <v>45</v>
      </c>
    </row>
    <row r="125" spans="1:3">
      <c r="A125" t="inlineStr">
        <is>
          <t>Basilan|Hadji Mohammad Ajul</t>
        </is>
      </c>
      <c r="B125">
        <v>2777</v>
      </c>
      <c r="C125">
        <v>11</v>
      </c>
    </row>
    <row r="126" spans="1:3">
      <c r="A126" t="inlineStr">
        <is>
          <t>Basilan|Hadji Muhtamad</t>
        </is>
      </c>
      <c r="B126">
        <v>2788</v>
      </c>
      <c r="C126">
        <v>10</v>
      </c>
    </row>
    <row r="127" spans="1:3">
      <c r="A127" t="inlineStr">
        <is>
          <t>Basilan|Lantawan</t>
        </is>
      </c>
      <c r="B127">
        <v>2798</v>
      </c>
      <c r="C127">
        <v>25</v>
      </c>
    </row>
    <row r="128" spans="1:3">
      <c r="A128" t="inlineStr">
        <is>
          <t>Basilan|Maluso</t>
        </is>
      </c>
      <c r="B128">
        <v>2823</v>
      </c>
      <c r="C128">
        <v>20</v>
      </c>
    </row>
    <row r="129" spans="1:3">
      <c r="A129" t="inlineStr">
        <is>
          <t>Basilan|Sumisip</t>
        </is>
      </c>
      <c r="B129">
        <v>2843</v>
      </c>
      <c r="C129">
        <v>29</v>
      </c>
    </row>
    <row r="130" spans="1:3">
      <c r="A130" t="inlineStr">
        <is>
          <t>Basilan|Tabuan-Lasa</t>
        </is>
      </c>
      <c r="B130">
        <v>2872</v>
      </c>
      <c r="C130">
        <v>12</v>
      </c>
    </row>
    <row r="131" spans="1:3">
      <c r="A131" t="inlineStr">
        <is>
          <t>Basilan|Tipo-Tipo</t>
        </is>
      </c>
      <c r="B131">
        <v>2884</v>
      </c>
      <c r="C131">
        <v>11</v>
      </c>
    </row>
    <row r="132" spans="1:3">
      <c r="A132" t="inlineStr">
        <is>
          <t>Basilan|Tuburan</t>
        </is>
      </c>
      <c r="B132">
        <v>2895</v>
      </c>
      <c r="C132">
        <v>10</v>
      </c>
    </row>
    <row r="133" spans="1:3">
      <c r="A133" t="inlineStr">
        <is>
          <t>Basilan|Ungkaya Pukan</t>
        </is>
      </c>
      <c r="B133">
        <v>2905</v>
      </c>
      <c r="C133">
        <v>12</v>
      </c>
    </row>
    <row r="134" spans="1:3">
      <c r="A134" t="inlineStr">
        <is>
          <t>Bataan|Abucay</t>
        </is>
      </c>
      <c r="B134">
        <v>2917</v>
      </c>
      <c r="C134">
        <v>9</v>
      </c>
    </row>
    <row r="135" spans="1:3">
      <c r="A135" t="inlineStr">
        <is>
          <t>Bataan|Bagac</t>
        </is>
      </c>
      <c r="B135">
        <v>2926</v>
      </c>
      <c r="C135">
        <v>14</v>
      </c>
    </row>
    <row r="136" spans="1:3">
      <c r="A136" t="inlineStr">
        <is>
          <t>Bataan|City of Balanga</t>
        </is>
      </c>
      <c r="B136">
        <v>2940</v>
      </c>
      <c r="C136">
        <v>25</v>
      </c>
    </row>
    <row r="137" spans="1:3">
      <c r="A137" t="inlineStr">
        <is>
          <t>Bataan|Dinalupihan</t>
        </is>
      </c>
      <c r="B137">
        <v>2965</v>
      </c>
      <c r="C137">
        <v>46</v>
      </c>
    </row>
    <row r="138" spans="1:3">
      <c r="A138" t="inlineStr">
        <is>
          <t>Bataan|Hermosa</t>
        </is>
      </c>
      <c r="B138">
        <v>3011</v>
      </c>
      <c r="C138">
        <v>23</v>
      </c>
    </row>
    <row r="139" spans="1:3">
      <c r="A139" t="inlineStr">
        <is>
          <t>Bataan|Limay</t>
        </is>
      </c>
      <c r="B139">
        <v>3034</v>
      </c>
      <c r="C139">
        <v>12</v>
      </c>
    </row>
    <row r="140" spans="1:3">
      <c r="A140" t="inlineStr">
        <is>
          <t>Bataan|Mariveles</t>
        </is>
      </c>
      <c r="B140">
        <v>3046</v>
      </c>
      <c r="C140">
        <v>18</v>
      </c>
    </row>
    <row r="141" spans="1:3">
      <c r="A141" t="inlineStr">
        <is>
          <t>Bataan|Morong</t>
        </is>
      </c>
      <c r="B141">
        <v>3064</v>
      </c>
      <c r="C141">
        <v>5</v>
      </c>
    </row>
    <row r="142" spans="1:3">
      <c r="A142" t="inlineStr">
        <is>
          <t>Bataan|Orani</t>
        </is>
      </c>
      <c r="B142">
        <v>3069</v>
      </c>
      <c r="C142">
        <v>29</v>
      </c>
    </row>
    <row r="143" spans="1:3">
      <c r="A143" t="inlineStr">
        <is>
          <t>Bataan|Orion</t>
        </is>
      </c>
      <c r="B143">
        <v>3098</v>
      </c>
      <c r="C143">
        <v>23</v>
      </c>
    </row>
    <row r="144" spans="1:3">
      <c r="A144" t="inlineStr">
        <is>
          <t>Bataan|Pilar</t>
        </is>
      </c>
      <c r="B144">
        <v>3121</v>
      </c>
      <c r="C144">
        <v>19</v>
      </c>
    </row>
    <row r="145" spans="1:3">
      <c r="A145" t="inlineStr">
        <is>
          <t>Bataan|Samal</t>
        </is>
      </c>
      <c r="B145">
        <v>3140</v>
      </c>
      <c r="C145">
        <v>14</v>
      </c>
    </row>
    <row r="146" spans="1:3">
      <c r="A146" t="inlineStr">
        <is>
          <t>Batanes|Basco</t>
        </is>
      </c>
      <c r="B146">
        <v>3154</v>
      </c>
      <c r="C146">
        <v>6</v>
      </c>
    </row>
    <row r="147" spans="1:3">
      <c r="A147" t="inlineStr">
        <is>
          <t>Batanes|Itbayat</t>
        </is>
      </c>
      <c r="B147">
        <v>3160</v>
      </c>
      <c r="C147">
        <v>5</v>
      </c>
    </row>
    <row r="148" spans="1:3">
      <c r="A148" t="inlineStr">
        <is>
          <t>Batanes|Ivana</t>
        </is>
      </c>
      <c r="B148">
        <v>3165</v>
      </c>
      <c r="C148">
        <v>4</v>
      </c>
    </row>
    <row r="149" spans="1:3">
      <c r="A149" t="inlineStr">
        <is>
          <t>Batanes|Mahatao</t>
        </is>
      </c>
      <c r="B149">
        <v>3169</v>
      </c>
      <c r="C149">
        <v>4</v>
      </c>
    </row>
    <row r="150" spans="1:3">
      <c r="A150" t="inlineStr">
        <is>
          <t>Batanes|Sabtang</t>
        </is>
      </c>
      <c r="B150">
        <v>3173</v>
      </c>
      <c r="C150">
        <v>6</v>
      </c>
    </row>
    <row r="151" spans="1:3">
      <c r="A151" t="inlineStr">
        <is>
          <t>Batanes|Uyugan</t>
        </is>
      </c>
      <c r="B151">
        <v>3179</v>
      </c>
      <c r="C151">
        <v>4</v>
      </c>
    </row>
    <row r="152" spans="1:3">
      <c r="A152" t="inlineStr">
        <is>
          <t>Batangas|Agoncillo</t>
        </is>
      </c>
      <c r="B152">
        <v>3183</v>
      </c>
      <c r="C152">
        <v>21</v>
      </c>
    </row>
    <row r="153" spans="1:3">
      <c r="A153" t="inlineStr">
        <is>
          <t>Batangas|Alitagtag</t>
        </is>
      </c>
      <c r="B153">
        <v>3204</v>
      </c>
      <c r="C153">
        <v>19</v>
      </c>
    </row>
    <row r="154" spans="1:3">
      <c r="A154" t="inlineStr">
        <is>
          <t>Batangas|Balayan</t>
        </is>
      </c>
      <c r="B154">
        <v>3223</v>
      </c>
      <c r="C154">
        <v>48</v>
      </c>
    </row>
    <row r="155" spans="1:3">
      <c r="A155" t="inlineStr">
        <is>
          <t>Batangas|Balete</t>
        </is>
      </c>
      <c r="B155">
        <v>3271</v>
      </c>
      <c r="C155">
        <v>13</v>
      </c>
    </row>
    <row r="156" spans="1:3">
      <c r="A156" t="inlineStr">
        <is>
          <t>Batangas|Batangas City</t>
        </is>
      </c>
      <c r="B156">
        <v>3284</v>
      </c>
      <c r="C156">
        <v>105</v>
      </c>
    </row>
    <row r="157" spans="1:3">
      <c r="A157" t="inlineStr">
        <is>
          <t>Batangas|Bauan</t>
        </is>
      </c>
      <c r="B157">
        <v>3389</v>
      </c>
      <c r="C157">
        <v>40</v>
      </c>
    </row>
    <row r="158" spans="1:3">
      <c r="A158" t="inlineStr">
        <is>
          <t>Batangas|Calatagan</t>
        </is>
      </c>
      <c r="B158">
        <v>3429</v>
      </c>
      <c r="C158">
        <v>25</v>
      </c>
    </row>
    <row r="159" spans="1:3">
      <c r="A159" t="inlineStr">
        <is>
          <t>Batangas|City of Calaca</t>
        </is>
      </c>
      <c r="B159">
        <v>3454</v>
      </c>
      <c r="C159">
        <v>39</v>
      </c>
    </row>
    <row r="160" spans="1:3">
      <c r="A160" t="inlineStr">
        <is>
          <t>Batangas|City of Lipa</t>
        </is>
      </c>
      <c r="B160">
        <v>3493</v>
      </c>
      <c r="C160">
        <v>72</v>
      </c>
    </row>
    <row r="161" spans="1:3">
      <c r="A161" t="inlineStr">
        <is>
          <t>Batangas|City of Sto. Tomas</t>
        </is>
      </c>
      <c r="B161">
        <v>3565</v>
      </c>
      <c r="C161">
        <v>30</v>
      </c>
    </row>
    <row r="162" spans="1:3">
      <c r="A162" t="inlineStr">
        <is>
          <t>Batangas|City of Tanauan</t>
        </is>
      </c>
      <c r="B162">
        <v>3595</v>
      </c>
      <c r="C162">
        <v>48</v>
      </c>
    </row>
    <row r="163" spans="1:3">
      <c r="A163" t="inlineStr">
        <is>
          <t>Batangas|Cuenca</t>
        </is>
      </c>
      <c r="B163">
        <v>3643</v>
      </c>
      <c r="C163">
        <v>21</v>
      </c>
    </row>
    <row r="164" spans="1:3">
      <c r="A164" t="inlineStr">
        <is>
          <t>Batangas|Ibaan</t>
        </is>
      </c>
      <c r="B164">
        <v>3664</v>
      </c>
      <c r="C164">
        <v>26</v>
      </c>
    </row>
    <row r="165" spans="1:3">
      <c r="A165" t="inlineStr">
        <is>
          <t>Batangas|Laurel</t>
        </is>
      </c>
      <c r="B165">
        <v>3690</v>
      </c>
      <c r="C165">
        <v>21</v>
      </c>
    </row>
    <row r="166" spans="1:3">
      <c r="A166" t="inlineStr">
        <is>
          <t>Batangas|Lemery</t>
        </is>
      </c>
      <c r="B166">
        <v>3711</v>
      </c>
      <c r="C166">
        <v>46</v>
      </c>
    </row>
    <row r="167" spans="1:3">
      <c r="A167" t="inlineStr">
        <is>
          <t>Batangas|Lian</t>
        </is>
      </c>
      <c r="B167">
        <v>3757</v>
      </c>
      <c r="C167">
        <v>19</v>
      </c>
    </row>
    <row r="168" spans="1:3">
      <c r="A168" t="inlineStr">
        <is>
          <t>Batangas|Lobo</t>
        </is>
      </c>
      <c r="B168">
        <v>3776</v>
      </c>
      <c r="C168">
        <v>26</v>
      </c>
    </row>
    <row r="169" spans="1:3">
      <c r="A169" t="inlineStr">
        <is>
          <t>Batangas|Mabini</t>
        </is>
      </c>
      <c r="B169">
        <v>3802</v>
      </c>
      <c r="C169">
        <v>34</v>
      </c>
    </row>
    <row r="170" spans="1:3">
      <c r="A170" t="inlineStr">
        <is>
          <t>Batangas|Malvar</t>
        </is>
      </c>
      <c r="B170">
        <v>3836</v>
      </c>
      <c r="C170">
        <v>15</v>
      </c>
    </row>
    <row r="171" spans="1:3">
      <c r="A171" t="inlineStr">
        <is>
          <t>Batangas|Mataasnakahoy</t>
        </is>
      </c>
      <c r="B171">
        <v>3851</v>
      </c>
      <c r="C171">
        <v>16</v>
      </c>
    </row>
    <row r="172" spans="1:3">
      <c r="A172" t="inlineStr">
        <is>
          <t>Batangas|Nasugbu</t>
        </is>
      </c>
      <c r="B172">
        <v>3867</v>
      </c>
      <c r="C172">
        <v>42</v>
      </c>
    </row>
    <row r="173" spans="1:3">
      <c r="A173" t="inlineStr">
        <is>
          <t>Batangas|Padre Garcia</t>
        </is>
      </c>
      <c r="B173">
        <v>3909</v>
      </c>
      <c r="C173">
        <v>18</v>
      </c>
    </row>
    <row r="174" spans="1:3">
      <c r="A174" t="inlineStr">
        <is>
          <t>Batangas|Rosario</t>
        </is>
      </c>
      <c r="B174">
        <v>3927</v>
      </c>
      <c r="C174">
        <v>48</v>
      </c>
    </row>
    <row r="175" spans="1:3">
      <c r="A175" t="inlineStr">
        <is>
          <t>Batangas|San Jose</t>
        </is>
      </c>
      <c r="B175">
        <v>3975</v>
      </c>
      <c r="C175">
        <v>33</v>
      </c>
    </row>
    <row r="176" spans="1:3">
      <c r="A176" t="inlineStr">
        <is>
          <t>Batangas|San Juan</t>
        </is>
      </c>
      <c r="B176">
        <v>4008</v>
      </c>
      <c r="C176">
        <v>42</v>
      </c>
    </row>
    <row r="177" spans="1:3">
      <c r="A177" t="inlineStr">
        <is>
          <t>Batangas|San Luis</t>
        </is>
      </c>
      <c r="B177">
        <v>4050</v>
      </c>
      <c r="C177">
        <v>26</v>
      </c>
    </row>
    <row r="178" spans="1:3">
      <c r="A178" t="inlineStr">
        <is>
          <t>Batangas|San Nicolas</t>
        </is>
      </c>
      <c r="B178">
        <v>4076</v>
      </c>
      <c r="C178">
        <v>18</v>
      </c>
    </row>
    <row r="179" spans="1:3">
      <c r="A179" t="inlineStr">
        <is>
          <t>Batangas|San Pascual</t>
        </is>
      </c>
      <c r="B179">
        <v>4094</v>
      </c>
      <c r="C179">
        <v>29</v>
      </c>
    </row>
    <row r="180" spans="1:3">
      <c r="A180" t="inlineStr">
        <is>
          <t>Batangas|Santa Teresita</t>
        </is>
      </c>
      <c r="B180">
        <v>4123</v>
      </c>
      <c r="C180">
        <v>17</v>
      </c>
    </row>
    <row r="181" spans="1:3">
      <c r="A181" t="inlineStr">
        <is>
          <t>Batangas|Taal</t>
        </is>
      </c>
      <c r="B181">
        <v>4140</v>
      </c>
      <c r="C181">
        <v>42</v>
      </c>
    </row>
    <row r="182" spans="1:3">
      <c r="A182" t="inlineStr">
        <is>
          <t>Batangas|Talisay</t>
        </is>
      </c>
      <c r="B182">
        <v>4182</v>
      </c>
      <c r="C182">
        <v>21</v>
      </c>
    </row>
    <row r="183" spans="1:3">
      <c r="A183" t="inlineStr">
        <is>
          <t>Batangas|Taysan</t>
        </is>
      </c>
      <c r="B183">
        <v>4203</v>
      </c>
      <c r="C183">
        <v>20</v>
      </c>
    </row>
    <row r="184" spans="1:3">
      <c r="A184" t="inlineStr">
        <is>
          <t>Batangas|Tingloy</t>
        </is>
      </c>
      <c r="B184">
        <v>4223</v>
      </c>
      <c r="C184">
        <v>15</v>
      </c>
    </row>
    <row r="185" spans="1:3">
      <c r="A185" t="inlineStr">
        <is>
          <t>Batangas|Tuy</t>
        </is>
      </c>
      <c r="B185">
        <v>4238</v>
      </c>
      <c r="C185">
        <v>22</v>
      </c>
    </row>
    <row r="186" spans="1:3">
      <c r="A186" t="inlineStr">
        <is>
          <t>Benguet|Atok</t>
        </is>
      </c>
      <c r="B186">
        <v>4260</v>
      </c>
      <c r="C186">
        <v>8</v>
      </c>
    </row>
    <row r="187" spans="1:3">
      <c r="A187" t="inlineStr">
        <is>
          <t>Benguet|Bakun</t>
        </is>
      </c>
      <c r="B187">
        <v>4268</v>
      </c>
      <c r="C187">
        <v>7</v>
      </c>
    </row>
    <row r="188" spans="1:3">
      <c r="A188" t="inlineStr">
        <is>
          <t>Benguet|Bokod</t>
        </is>
      </c>
      <c r="B188">
        <v>4275</v>
      </c>
      <c r="C188">
        <v>10</v>
      </c>
    </row>
    <row r="189" spans="1:3">
      <c r="A189" t="inlineStr">
        <is>
          <t>Benguet|Buguias</t>
        </is>
      </c>
      <c r="B189">
        <v>4285</v>
      </c>
      <c r="C189">
        <v>14</v>
      </c>
    </row>
    <row r="190" spans="1:3">
      <c r="A190" t="inlineStr">
        <is>
          <t>Benguet|Itogon</t>
        </is>
      </c>
      <c r="B190">
        <v>4299</v>
      </c>
      <c r="C190">
        <v>9</v>
      </c>
    </row>
    <row r="191" spans="1:3">
      <c r="A191" t="inlineStr">
        <is>
          <t>Benguet|Kabayan</t>
        </is>
      </c>
      <c r="B191">
        <v>4308</v>
      </c>
      <c r="C191">
        <v>13</v>
      </c>
    </row>
    <row r="192" spans="1:3">
      <c r="A192" t="inlineStr">
        <is>
          <t>Benguet|Kapangan</t>
        </is>
      </c>
      <c r="B192">
        <v>4321</v>
      </c>
      <c r="C192">
        <v>15</v>
      </c>
    </row>
    <row r="193" spans="1:3">
      <c r="A193" t="inlineStr">
        <is>
          <t>Benguet|Kibungan</t>
        </is>
      </c>
      <c r="B193">
        <v>4336</v>
      </c>
      <c r="C193">
        <v>7</v>
      </c>
    </row>
    <row r="194" spans="1:3">
      <c r="A194" t="inlineStr">
        <is>
          <t>Benguet|La Trinidad</t>
        </is>
      </c>
      <c r="B194">
        <v>4343</v>
      </c>
      <c r="C194">
        <v>16</v>
      </c>
    </row>
    <row r="195" spans="1:3">
      <c r="A195" t="inlineStr">
        <is>
          <t>Benguet|Mankayan</t>
        </is>
      </c>
      <c r="B195">
        <v>4359</v>
      </c>
      <c r="C195">
        <v>12</v>
      </c>
    </row>
    <row r="196" spans="1:3">
      <c r="A196" t="inlineStr">
        <is>
          <t>Benguet|Sablan</t>
        </is>
      </c>
      <c r="B196">
        <v>4371</v>
      </c>
      <c r="C196">
        <v>8</v>
      </c>
    </row>
    <row r="197" spans="1:3">
      <c r="A197" t="inlineStr">
        <is>
          <t>Benguet|Tuba</t>
        </is>
      </c>
      <c r="B197">
        <v>4379</v>
      </c>
      <c r="C197">
        <v>13</v>
      </c>
    </row>
    <row r="198" spans="1:3">
      <c r="A198" t="inlineStr">
        <is>
          <t>Benguet|Tublay</t>
        </is>
      </c>
      <c r="B198">
        <v>4392</v>
      </c>
      <c r="C198">
        <v>8</v>
      </c>
    </row>
    <row r="199" spans="1:3">
      <c r="A199" t="inlineStr">
        <is>
          <t>Biliran|Almeria</t>
        </is>
      </c>
      <c r="B199">
        <v>4400</v>
      </c>
      <c r="C199">
        <v>13</v>
      </c>
    </row>
    <row r="200" spans="1:3">
      <c r="A200" t="inlineStr">
        <is>
          <t>Biliran|Biliran</t>
        </is>
      </c>
      <c r="B200">
        <v>4413</v>
      </c>
      <c r="C200">
        <v>11</v>
      </c>
    </row>
    <row r="201" spans="1:3">
      <c r="A201" t="inlineStr">
        <is>
          <t>Biliran|Cabucgayan</t>
        </is>
      </c>
      <c r="B201">
        <v>4424</v>
      </c>
      <c r="C201">
        <v>13</v>
      </c>
    </row>
    <row r="202" spans="1:3">
      <c r="A202" t="inlineStr">
        <is>
          <t>Biliran|Caibiran</t>
        </is>
      </c>
      <c r="B202">
        <v>4437</v>
      </c>
      <c r="C202">
        <v>17</v>
      </c>
    </row>
    <row r="203" spans="1:3">
      <c r="A203" t="inlineStr">
        <is>
          <t>Biliran|Culaba</t>
        </is>
      </c>
      <c r="B203">
        <v>4454</v>
      </c>
      <c r="C203">
        <v>17</v>
      </c>
    </row>
    <row r="204" spans="1:3">
      <c r="A204" t="inlineStr">
        <is>
          <t>Biliran|Kawayan</t>
        </is>
      </c>
      <c r="B204">
        <v>4471</v>
      </c>
      <c r="C204">
        <v>20</v>
      </c>
    </row>
    <row r="205" spans="1:3">
      <c r="A205" t="inlineStr">
        <is>
          <t>Biliran|Maripipi</t>
        </is>
      </c>
      <c r="B205">
        <v>4491</v>
      </c>
      <c r="C205">
        <v>15</v>
      </c>
    </row>
    <row r="206" spans="1:3">
      <c r="A206" t="inlineStr">
        <is>
          <t>Biliran|Naval</t>
        </is>
      </c>
      <c r="B206">
        <v>4506</v>
      </c>
      <c r="C206">
        <v>26</v>
      </c>
    </row>
    <row r="207" spans="1:3">
      <c r="A207" t="inlineStr">
        <is>
          <t>Bohol|Alburquerque</t>
        </is>
      </c>
      <c r="B207">
        <v>4532</v>
      </c>
      <c r="C207">
        <v>11</v>
      </c>
    </row>
    <row r="208" spans="1:3">
      <c r="A208" t="inlineStr">
        <is>
          <t>Bohol|Alicia</t>
        </is>
      </c>
      <c r="B208">
        <v>4543</v>
      </c>
      <c r="C208">
        <v>15</v>
      </c>
    </row>
    <row r="209" spans="1:3">
      <c r="A209" t="inlineStr">
        <is>
          <t>Bohol|Anda</t>
        </is>
      </c>
      <c r="B209">
        <v>4558</v>
      </c>
      <c r="C209">
        <v>16</v>
      </c>
    </row>
    <row r="210" spans="1:3">
      <c r="A210" t="inlineStr">
        <is>
          <t>Bohol|Antequera</t>
        </is>
      </c>
      <c r="B210">
        <v>4574</v>
      </c>
      <c r="C210">
        <v>21</v>
      </c>
    </row>
    <row r="211" spans="1:3">
      <c r="A211" t="inlineStr">
        <is>
          <t>Bohol|Baclayon</t>
        </is>
      </c>
      <c r="B211">
        <v>4595</v>
      </c>
      <c r="C211">
        <v>17</v>
      </c>
    </row>
    <row r="212" spans="1:3">
      <c r="A212" t="inlineStr">
        <is>
          <t>Bohol|Balilihan</t>
        </is>
      </c>
      <c r="B212">
        <v>4612</v>
      </c>
      <c r="C212">
        <v>31</v>
      </c>
    </row>
    <row r="213" spans="1:3">
      <c r="A213" t="inlineStr">
        <is>
          <t>Bohol|Batuan</t>
        </is>
      </c>
      <c r="B213">
        <v>4643</v>
      </c>
      <c r="C213">
        <v>15</v>
      </c>
    </row>
    <row r="214" spans="1:3">
      <c r="A214" t="inlineStr">
        <is>
          <t>Bohol|Bien Unido</t>
        </is>
      </c>
      <c r="B214">
        <v>4658</v>
      </c>
      <c r="C214">
        <v>15</v>
      </c>
    </row>
    <row r="215" spans="1:3">
      <c r="A215" t="inlineStr">
        <is>
          <t>Bohol|Bilar</t>
        </is>
      </c>
      <c r="B215">
        <v>4673</v>
      </c>
      <c r="C215">
        <v>19</v>
      </c>
    </row>
    <row r="216" spans="1:3">
      <c r="A216" t="inlineStr">
        <is>
          <t>Bohol|Buenavista</t>
        </is>
      </c>
      <c r="B216">
        <v>4692</v>
      </c>
      <c r="C216">
        <v>35</v>
      </c>
    </row>
    <row r="217" spans="1:3">
      <c r="A217" t="inlineStr">
        <is>
          <t>Bohol|Calape</t>
        </is>
      </c>
      <c r="B217">
        <v>4727</v>
      </c>
      <c r="C217">
        <v>33</v>
      </c>
    </row>
    <row r="218" spans="1:3">
      <c r="A218" t="inlineStr">
        <is>
          <t>Bohol|Candijay</t>
        </is>
      </c>
      <c r="B218">
        <v>4760</v>
      </c>
      <c r="C218">
        <v>21</v>
      </c>
    </row>
    <row r="219" spans="1:3">
      <c r="A219" t="inlineStr">
        <is>
          <t>Bohol|Carmen</t>
        </is>
      </c>
      <c r="B219">
        <v>4781</v>
      </c>
      <c r="C219">
        <v>29</v>
      </c>
    </row>
    <row r="220" spans="1:3">
      <c r="A220" t="inlineStr">
        <is>
          <t>Bohol|Catigbian</t>
        </is>
      </c>
      <c r="B220">
        <v>4810</v>
      </c>
      <c r="C220">
        <v>22</v>
      </c>
    </row>
    <row r="221" spans="1:3">
      <c r="A221" t="inlineStr">
        <is>
          <t>Bohol|City of Tagbilaran</t>
        </is>
      </c>
      <c r="B221">
        <v>4832</v>
      </c>
      <c r="C221">
        <v>15</v>
      </c>
    </row>
    <row r="222" spans="1:3">
      <c r="A222" t="inlineStr">
        <is>
          <t>Bohol|Clarin</t>
        </is>
      </c>
      <c r="B222">
        <v>4847</v>
      </c>
      <c r="C222">
        <v>24</v>
      </c>
    </row>
    <row r="223" spans="1:3">
      <c r="A223" t="inlineStr">
        <is>
          <t>Bohol|Corella</t>
        </is>
      </c>
      <c r="B223">
        <v>4871</v>
      </c>
      <c r="C223">
        <v>8</v>
      </c>
    </row>
    <row r="224" spans="1:3">
      <c r="A224" t="inlineStr">
        <is>
          <t>Bohol|Cortes</t>
        </is>
      </c>
      <c r="B224">
        <v>4879</v>
      </c>
      <c r="C224">
        <v>14</v>
      </c>
    </row>
    <row r="225" spans="1:3">
      <c r="A225" t="inlineStr">
        <is>
          <t>Bohol|Dagohoy</t>
        </is>
      </c>
      <c r="B225">
        <v>4893</v>
      </c>
      <c r="C225">
        <v>15</v>
      </c>
    </row>
    <row r="226" spans="1:3">
      <c r="A226" t="inlineStr">
        <is>
          <t>Bohol|Danao</t>
        </is>
      </c>
      <c r="B226">
        <v>4908</v>
      </c>
      <c r="C226">
        <v>17</v>
      </c>
    </row>
    <row r="227" spans="1:3">
      <c r="A227" t="inlineStr">
        <is>
          <t>Bohol|Dauis</t>
        </is>
      </c>
      <c r="B227">
        <v>4925</v>
      </c>
      <c r="C227">
        <v>12</v>
      </c>
    </row>
    <row r="228" spans="1:3">
      <c r="A228" t="inlineStr">
        <is>
          <t>Bohol|Dimiao</t>
        </is>
      </c>
      <c r="B228">
        <v>4937</v>
      </c>
      <c r="C228">
        <v>35</v>
      </c>
    </row>
    <row r="229" spans="1:3">
      <c r="A229" t="inlineStr">
        <is>
          <t>Bohol|Duero</t>
        </is>
      </c>
      <c r="B229">
        <v>4972</v>
      </c>
      <c r="C229">
        <v>21</v>
      </c>
    </row>
    <row r="230" spans="1:3">
      <c r="A230" t="inlineStr">
        <is>
          <t>Bohol|Garcia Hernandez</t>
        </is>
      </c>
      <c r="B230">
        <v>4993</v>
      </c>
      <c r="C230">
        <v>30</v>
      </c>
    </row>
    <row r="231" spans="1:3">
      <c r="A231" t="inlineStr">
        <is>
          <t>Bohol|Getafe</t>
        </is>
      </c>
      <c r="B231">
        <v>5023</v>
      </c>
      <c r="C231">
        <v>24</v>
      </c>
    </row>
    <row r="232" spans="1:3">
      <c r="A232" t="inlineStr">
        <is>
          <t>Bohol|Guindulman</t>
        </is>
      </c>
      <c r="B232">
        <v>5047</v>
      </c>
      <c r="C232">
        <v>19</v>
      </c>
    </row>
    <row r="233" spans="1:3">
      <c r="A233" t="inlineStr">
        <is>
          <t>Bohol|Inabanga</t>
        </is>
      </c>
      <c r="B233">
        <v>5066</v>
      </c>
      <c r="C233">
        <v>50</v>
      </c>
    </row>
    <row r="234" spans="1:3">
      <c r="A234" t="inlineStr">
        <is>
          <t>Bohol|Jagna</t>
        </is>
      </c>
      <c r="B234">
        <v>5116</v>
      </c>
      <c r="C234">
        <v>33</v>
      </c>
    </row>
    <row r="235" spans="1:3">
      <c r="A235" t="inlineStr">
        <is>
          <t>Bohol|Lila</t>
        </is>
      </c>
      <c r="B235">
        <v>5149</v>
      </c>
      <c r="C235">
        <v>18</v>
      </c>
    </row>
    <row r="236" spans="1:3">
      <c r="A236" t="inlineStr">
        <is>
          <t>Bohol|Loay</t>
        </is>
      </c>
      <c r="B236">
        <v>5167</v>
      </c>
      <c r="C236">
        <v>24</v>
      </c>
    </row>
    <row r="237" spans="1:3">
      <c r="A237" t="inlineStr">
        <is>
          <t>Bohol|Loboc</t>
        </is>
      </c>
      <c r="B237">
        <v>5191</v>
      </c>
      <c r="C237">
        <v>28</v>
      </c>
    </row>
    <row r="238" spans="1:3">
      <c r="A238" t="inlineStr">
        <is>
          <t>Bohol|Loon</t>
        </is>
      </c>
      <c r="B238">
        <v>5219</v>
      </c>
      <c r="C238">
        <v>67</v>
      </c>
    </row>
    <row r="239" spans="1:3">
      <c r="A239" t="inlineStr">
        <is>
          <t>Bohol|Mabini</t>
        </is>
      </c>
      <c r="B239">
        <v>5286</v>
      </c>
      <c r="C239">
        <v>22</v>
      </c>
    </row>
    <row r="240" spans="1:3">
      <c r="A240" t="inlineStr">
        <is>
          <t>Bohol|Maribojoc</t>
        </is>
      </c>
      <c r="B240">
        <v>5308</v>
      </c>
      <c r="C240">
        <v>22</v>
      </c>
    </row>
    <row r="241" spans="1:3">
      <c r="A241" t="inlineStr">
        <is>
          <t>Bohol|Panglao</t>
        </is>
      </c>
      <c r="B241">
        <v>5330</v>
      </c>
      <c r="C241">
        <v>10</v>
      </c>
    </row>
    <row r="242" spans="1:3">
      <c r="A242" t="inlineStr">
        <is>
          <t>Bohol|Pilar</t>
        </is>
      </c>
      <c r="B242">
        <v>5340</v>
      </c>
      <c r="C242">
        <v>21</v>
      </c>
    </row>
    <row r="243" spans="1:3">
      <c r="A243" t="inlineStr">
        <is>
          <t>Bohol|President Carlos P. Garcia</t>
        </is>
      </c>
      <c r="B243">
        <v>5361</v>
      </c>
      <c r="C243">
        <v>23</v>
      </c>
    </row>
    <row r="244" spans="1:3">
      <c r="A244" t="inlineStr">
        <is>
          <t>Bohol|Sagbayan</t>
        </is>
      </c>
      <c r="B244">
        <v>5384</v>
      </c>
      <c r="C244">
        <v>24</v>
      </c>
    </row>
    <row r="245" spans="1:3">
      <c r="A245" t="inlineStr">
        <is>
          <t>Bohol|San Isidro</t>
        </is>
      </c>
      <c r="B245">
        <v>5408</v>
      </c>
      <c r="C245">
        <v>12</v>
      </c>
    </row>
    <row r="246" spans="1:3">
      <c r="A246" t="inlineStr">
        <is>
          <t>Bohol|San Miguel</t>
        </is>
      </c>
      <c r="B246">
        <v>5420</v>
      </c>
      <c r="C246">
        <v>18</v>
      </c>
    </row>
    <row r="247" spans="1:3">
      <c r="A247" t="inlineStr">
        <is>
          <t>Bohol|Sevilla</t>
        </is>
      </c>
      <c r="B247">
        <v>5438</v>
      </c>
      <c r="C247">
        <v>13</v>
      </c>
    </row>
    <row r="248" spans="1:3">
      <c r="A248" t="inlineStr">
        <is>
          <t>Bohol|Sierra Bullones</t>
        </is>
      </c>
      <c r="B248">
        <v>5451</v>
      </c>
      <c r="C248">
        <v>22</v>
      </c>
    </row>
    <row r="249" spans="1:3">
      <c r="A249" t="inlineStr">
        <is>
          <t>Bohol|Sikatuna</t>
        </is>
      </c>
      <c r="B249">
        <v>5473</v>
      </c>
      <c r="C249">
        <v>10</v>
      </c>
    </row>
    <row r="250" spans="1:3">
      <c r="A250" t="inlineStr">
        <is>
          <t>Bohol|Talibon</t>
        </is>
      </c>
      <c r="B250">
        <v>5483</v>
      </c>
      <c r="C250">
        <v>25</v>
      </c>
    </row>
    <row r="251" spans="1:3">
      <c r="A251" t="inlineStr">
        <is>
          <t>Bohol|Trinidad</t>
        </is>
      </c>
      <c r="B251">
        <v>5508</v>
      </c>
      <c r="C251">
        <v>20</v>
      </c>
    </row>
    <row r="252" spans="1:3">
      <c r="A252" t="inlineStr">
        <is>
          <t>Bohol|Tubigon</t>
        </is>
      </c>
      <c r="B252">
        <v>5528</v>
      </c>
      <c r="C252">
        <v>34</v>
      </c>
    </row>
    <row r="253" spans="1:3">
      <c r="A253" t="inlineStr">
        <is>
          <t>Bohol|Ubay</t>
        </is>
      </c>
      <c r="B253">
        <v>5562</v>
      </c>
      <c r="C253">
        <v>44</v>
      </c>
    </row>
    <row r="254" spans="1:3">
      <c r="A254" t="inlineStr">
        <is>
          <t>Bohol|Valencia</t>
        </is>
      </c>
      <c r="B254">
        <v>5606</v>
      </c>
      <c r="C254">
        <v>35</v>
      </c>
    </row>
    <row r="255" spans="1:3">
      <c r="A255" t="inlineStr">
        <is>
          <t>Bukidnon|Baungon</t>
        </is>
      </c>
      <c r="B255">
        <v>5641</v>
      </c>
      <c r="C255">
        <v>16</v>
      </c>
    </row>
    <row r="256" spans="1:3">
      <c r="A256" t="inlineStr">
        <is>
          <t>Bukidnon|Cabanglasan</t>
        </is>
      </c>
      <c r="B256">
        <v>5657</v>
      </c>
      <c r="C256">
        <v>15</v>
      </c>
    </row>
    <row r="257" spans="1:3">
      <c r="A257" t="inlineStr">
        <is>
          <t>Bukidnon|City of Malaybalay</t>
        </is>
      </c>
      <c r="B257">
        <v>5672</v>
      </c>
      <c r="C257">
        <v>46</v>
      </c>
    </row>
    <row r="258" spans="1:3">
      <c r="A258" t="inlineStr">
        <is>
          <t>Bukidnon|City of Valencia</t>
        </is>
      </c>
      <c r="B258">
        <v>5718</v>
      </c>
      <c r="C258">
        <v>31</v>
      </c>
    </row>
    <row r="259" spans="1:3">
      <c r="A259" t="inlineStr">
        <is>
          <t>Bukidnon|Damulog</t>
        </is>
      </c>
      <c r="B259">
        <v>5749</v>
      </c>
      <c r="C259">
        <v>17</v>
      </c>
    </row>
    <row r="260" spans="1:3">
      <c r="A260" t="inlineStr">
        <is>
          <t>Bukidnon|Dangcagan</t>
        </is>
      </c>
      <c r="B260">
        <v>5766</v>
      </c>
      <c r="C260">
        <v>14</v>
      </c>
    </row>
    <row r="261" spans="1:3">
      <c r="A261" t="inlineStr">
        <is>
          <t>Bukidnon|Don Carlos</t>
        </is>
      </c>
      <c r="B261">
        <v>5780</v>
      </c>
      <c r="C261">
        <v>29</v>
      </c>
    </row>
    <row r="262" spans="1:3">
      <c r="A262" t="inlineStr">
        <is>
          <t>Bukidnon|Impasug-ong</t>
        </is>
      </c>
      <c r="B262">
        <v>5809</v>
      </c>
      <c r="C262">
        <v>13</v>
      </c>
    </row>
    <row r="263" spans="1:3">
      <c r="A263" t="inlineStr">
        <is>
          <t>Bukidnon|Kadingilan</t>
        </is>
      </c>
      <c r="B263">
        <v>5822</v>
      </c>
      <c r="C263">
        <v>17</v>
      </c>
    </row>
    <row r="264" spans="1:3">
      <c r="A264" t="inlineStr">
        <is>
          <t>Bukidnon|Kalilangan</t>
        </is>
      </c>
      <c r="B264">
        <v>5839</v>
      </c>
      <c r="C264">
        <v>14</v>
      </c>
    </row>
    <row r="265" spans="1:3">
      <c r="A265" t="inlineStr">
        <is>
          <t>Bukidnon|Kibawe</t>
        </is>
      </c>
      <c r="B265">
        <v>5853</v>
      </c>
      <c r="C265">
        <v>23</v>
      </c>
    </row>
    <row r="266" spans="1:3">
      <c r="A266" t="inlineStr">
        <is>
          <t>Bukidnon|Kitaotao</t>
        </is>
      </c>
      <c r="B266">
        <v>5876</v>
      </c>
      <c r="C266">
        <v>35</v>
      </c>
    </row>
    <row r="267" spans="1:3">
      <c r="A267" t="inlineStr">
        <is>
          <t>Bukidnon|Lantapan</t>
        </is>
      </c>
      <c r="B267">
        <v>5911</v>
      </c>
      <c r="C267">
        <v>14</v>
      </c>
    </row>
    <row r="268" spans="1:3">
      <c r="A268" t="inlineStr">
        <is>
          <t>Bukidnon|Libona</t>
        </is>
      </c>
      <c r="B268">
        <v>5925</v>
      </c>
      <c r="C268">
        <v>14</v>
      </c>
    </row>
    <row r="269" spans="1:3">
      <c r="A269" t="inlineStr">
        <is>
          <t>Bukidnon|Malitbog</t>
        </is>
      </c>
      <c r="B269">
        <v>5939</v>
      </c>
      <c r="C269">
        <v>11</v>
      </c>
    </row>
    <row r="270" spans="1:3">
      <c r="A270" t="inlineStr">
        <is>
          <t>Bukidnon|Manolo Fortich</t>
        </is>
      </c>
      <c r="B270">
        <v>5950</v>
      </c>
      <c r="C270">
        <v>22</v>
      </c>
    </row>
    <row r="271" spans="1:3">
      <c r="A271" t="inlineStr">
        <is>
          <t>Bukidnon|Maramag</t>
        </is>
      </c>
      <c r="B271">
        <v>5972</v>
      </c>
      <c r="C271">
        <v>20</v>
      </c>
    </row>
    <row r="272" spans="1:3">
      <c r="A272" t="inlineStr">
        <is>
          <t>Bukidnon|Pangantucan</t>
        </is>
      </c>
      <c r="B272">
        <v>5992</v>
      </c>
      <c r="C272">
        <v>19</v>
      </c>
    </row>
    <row r="273" spans="1:3">
      <c r="A273" t="inlineStr">
        <is>
          <t>Bukidnon|Quezon</t>
        </is>
      </c>
      <c r="B273">
        <v>6011</v>
      </c>
      <c r="C273">
        <v>31</v>
      </c>
    </row>
    <row r="274" spans="1:3">
      <c r="A274" t="inlineStr">
        <is>
          <t>Bukidnon|San Fernando</t>
        </is>
      </c>
      <c r="B274">
        <v>6042</v>
      </c>
      <c r="C274">
        <v>24</v>
      </c>
    </row>
    <row r="275" spans="1:3">
      <c r="A275" t="inlineStr">
        <is>
          <t>Bukidnon|Sumilao</t>
        </is>
      </c>
      <c r="B275">
        <v>6066</v>
      </c>
      <c r="C275">
        <v>10</v>
      </c>
    </row>
    <row r="276" spans="1:3">
      <c r="A276" t="inlineStr">
        <is>
          <t>Bukidnon|Talakag</t>
        </is>
      </c>
      <c r="B276">
        <v>6076</v>
      </c>
      <c r="C276">
        <v>29</v>
      </c>
    </row>
    <row r="277" spans="1:3">
      <c r="A277" t="inlineStr">
        <is>
          <t>Bulacan|Angat</t>
        </is>
      </c>
      <c r="B277">
        <v>6105</v>
      </c>
      <c r="C277">
        <v>16</v>
      </c>
    </row>
    <row r="278" spans="1:3">
      <c r="A278" t="inlineStr">
        <is>
          <t>Bulacan|Balagtas</t>
        </is>
      </c>
      <c r="B278">
        <v>6121</v>
      </c>
      <c r="C278">
        <v>9</v>
      </c>
    </row>
    <row r="279" spans="1:3">
      <c r="A279" t="inlineStr">
        <is>
          <t>Bulacan|Bocaue</t>
        </is>
      </c>
      <c r="B279">
        <v>6130</v>
      </c>
      <c r="C279">
        <v>19</v>
      </c>
    </row>
    <row r="280" spans="1:3">
      <c r="A280" t="inlineStr">
        <is>
          <t>Bulacan|Bulacan</t>
        </is>
      </c>
      <c r="B280">
        <v>6149</v>
      </c>
      <c r="C280">
        <v>14</v>
      </c>
    </row>
    <row r="281" spans="1:3">
      <c r="A281" t="inlineStr">
        <is>
          <t>Bulacan|Bustos</t>
        </is>
      </c>
      <c r="B281">
        <v>6163</v>
      </c>
      <c r="C281">
        <v>14</v>
      </c>
    </row>
    <row r="282" spans="1:3">
      <c r="A282" t="inlineStr">
        <is>
          <t>Bulacan|Calumpit</t>
        </is>
      </c>
      <c r="B282">
        <v>6177</v>
      </c>
      <c r="C282">
        <v>29</v>
      </c>
    </row>
    <row r="283" spans="1:3">
      <c r="A283" t="inlineStr">
        <is>
          <t>Bulacan|City of Baliwag</t>
        </is>
      </c>
      <c r="B283">
        <v>6206</v>
      </c>
      <c r="C283">
        <v>27</v>
      </c>
    </row>
    <row r="284" spans="1:3">
      <c r="A284" t="inlineStr">
        <is>
          <t>Bulacan|City of Malolos</t>
        </is>
      </c>
      <c r="B284">
        <v>6233</v>
      </c>
      <c r="C284">
        <v>51</v>
      </c>
    </row>
    <row r="285" spans="1:3">
      <c r="A285" t="inlineStr">
        <is>
          <t>Bulacan|City of Meycauayan</t>
        </is>
      </c>
      <c r="B285">
        <v>6284</v>
      </c>
      <c r="C285">
        <v>26</v>
      </c>
    </row>
    <row r="286" spans="1:3">
      <c r="A286" t="inlineStr">
        <is>
          <t>Bulacan|City of San Jose Del Monte</t>
        </is>
      </c>
      <c r="B286">
        <v>6310</v>
      </c>
      <c r="C286">
        <v>62</v>
      </c>
    </row>
    <row r="287" spans="1:3">
      <c r="A287" t="inlineStr">
        <is>
          <t>Bulacan|Doña Remedios Trinidad</t>
        </is>
      </c>
      <c r="B287">
        <v>6372</v>
      </c>
      <c r="C287">
        <v>8</v>
      </c>
    </row>
    <row r="288" spans="1:3">
      <c r="A288" t="inlineStr">
        <is>
          <t>Bulacan|Guiguinto</t>
        </is>
      </c>
      <c r="B288">
        <v>6380</v>
      </c>
      <c r="C288">
        <v>14</v>
      </c>
    </row>
    <row r="289" spans="1:3">
      <c r="A289" t="inlineStr">
        <is>
          <t>Bulacan|Hagonoy</t>
        </is>
      </c>
      <c r="B289">
        <v>6394</v>
      </c>
      <c r="C289">
        <v>26</v>
      </c>
    </row>
    <row r="290" spans="1:3">
      <c r="A290" t="inlineStr">
        <is>
          <t>Bulacan|Marilao</t>
        </is>
      </c>
      <c r="B290">
        <v>6420</v>
      </c>
      <c r="C290">
        <v>16</v>
      </c>
    </row>
    <row r="291" spans="1:3">
      <c r="A291" t="inlineStr">
        <is>
          <t>Bulacan|Norzagaray</t>
        </is>
      </c>
      <c r="B291">
        <v>6436</v>
      </c>
      <c r="C291">
        <v>13</v>
      </c>
    </row>
    <row r="292" spans="1:3">
      <c r="A292" t="inlineStr">
        <is>
          <t>Bulacan|Obando</t>
        </is>
      </c>
      <c r="B292">
        <v>6449</v>
      </c>
      <c r="C292">
        <v>11</v>
      </c>
    </row>
    <row r="293" spans="1:3">
      <c r="A293" t="inlineStr">
        <is>
          <t>Bulacan|Pandi</t>
        </is>
      </c>
      <c r="B293">
        <v>6460</v>
      </c>
      <c r="C293">
        <v>22</v>
      </c>
    </row>
    <row r="294" spans="1:3">
      <c r="A294" t="inlineStr">
        <is>
          <t>Bulacan|Paombong</t>
        </is>
      </c>
      <c r="B294">
        <v>6482</v>
      </c>
      <c r="C294">
        <v>14</v>
      </c>
    </row>
    <row r="295" spans="1:3">
      <c r="A295" t="inlineStr">
        <is>
          <t>Bulacan|Plaridel</t>
        </is>
      </c>
      <c r="B295">
        <v>6496</v>
      </c>
      <c r="C295">
        <v>19</v>
      </c>
    </row>
    <row r="296" spans="1:3">
      <c r="A296" t="inlineStr">
        <is>
          <t>Bulacan|Pulilan</t>
        </is>
      </c>
      <c r="B296">
        <v>6515</v>
      </c>
      <c r="C296">
        <v>19</v>
      </c>
    </row>
    <row r="297" spans="1:3">
      <c r="A297" t="inlineStr">
        <is>
          <t>Bulacan|San Ildefonso</t>
        </is>
      </c>
      <c r="B297">
        <v>6534</v>
      </c>
      <c r="C297">
        <v>36</v>
      </c>
    </row>
    <row r="298" spans="1:3">
      <c r="A298" t="inlineStr">
        <is>
          <t>Bulacan|San Miguel</t>
        </is>
      </c>
      <c r="B298">
        <v>6570</v>
      </c>
      <c r="C298">
        <v>49</v>
      </c>
    </row>
    <row r="299" spans="1:3">
      <c r="A299" t="inlineStr">
        <is>
          <t>Bulacan|San Rafael</t>
        </is>
      </c>
      <c r="B299">
        <v>6619</v>
      </c>
      <c r="C299">
        <v>34</v>
      </c>
    </row>
    <row r="300" spans="1:3">
      <c r="A300" t="inlineStr">
        <is>
          <t>Bulacan|Santa Maria</t>
        </is>
      </c>
      <c r="B300">
        <v>6653</v>
      </c>
      <c r="C300">
        <v>24</v>
      </c>
    </row>
    <row r="301" spans="1:3">
      <c r="A301" t="inlineStr">
        <is>
          <t>Cagayan|Abulug</t>
        </is>
      </c>
      <c r="B301">
        <v>6677</v>
      </c>
      <c r="C301">
        <v>20</v>
      </c>
    </row>
    <row r="302" spans="1:3">
      <c r="A302" t="inlineStr">
        <is>
          <t>Cagayan|Alcala</t>
        </is>
      </c>
      <c r="B302">
        <v>6697</v>
      </c>
      <c r="C302">
        <v>25</v>
      </c>
    </row>
    <row r="303" spans="1:3">
      <c r="A303" t="inlineStr">
        <is>
          <t>Cagayan|Allacapan</t>
        </is>
      </c>
      <c r="B303">
        <v>6722</v>
      </c>
      <c r="C303">
        <v>27</v>
      </c>
    </row>
    <row r="304" spans="1:3">
      <c r="A304" t="inlineStr">
        <is>
          <t>Cagayan|Amulung</t>
        </is>
      </c>
      <c r="B304">
        <v>6749</v>
      </c>
      <c r="C304">
        <v>47</v>
      </c>
    </row>
    <row r="305" spans="1:3">
      <c r="A305" t="inlineStr">
        <is>
          <t>Cagayan|Aparri</t>
        </is>
      </c>
      <c r="B305">
        <v>6796</v>
      </c>
      <c r="C305">
        <v>42</v>
      </c>
    </row>
    <row r="306" spans="1:3">
      <c r="A306" t="inlineStr">
        <is>
          <t>Cagayan|Baggao</t>
        </is>
      </c>
      <c r="B306">
        <v>6838</v>
      </c>
      <c r="C306">
        <v>48</v>
      </c>
    </row>
    <row r="307" spans="1:3">
      <c r="A307" t="inlineStr">
        <is>
          <t>Cagayan|Ballesteros</t>
        </is>
      </c>
      <c r="B307">
        <v>6886</v>
      </c>
      <c r="C307">
        <v>19</v>
      </c>
    </row>
    <row r="308" spans="1:3">
      <c r="A308" t="inlineStr">
        <is>
          <t>Cagayan|Buguey</t>
        </is>
      </c>
      <c r="B308">
        <v>6905</v>
      </c>
      <c r="C308">
        <v>30</v>
      </c>
    </row>
    <row r="309" spans="1:3">
      <c r="A309" t="inlineStr">
        <is>
          <t>Cagayan|Calayan</t>
        </is>
      </c>
      <c r="B309">
        <v>6935</v>
      </c>
      <c r="C309">
        <v>12</v>
      </c>
    </row>
    <row r="310" spans="1:3">
      <c r="A310" t="inlineStr">
        <is>
          <t>Cagayan|Camalaniugan</t>
        </is>
      </c>
      <c r="B310">
        <v>6947</v>
      </c>
      <c r="C310">
        <v>28</v>
      </c>
    </row>
    <row r="311" spans="1:3">
      <c r="A311" t="inlineStr">
        <is>
          <t>Cagayan|Claveria</t>
        </is>
      </c>
      <c r="B311">
        <v>6975</v>
      </c>
      <c r="C311">
        <v>41</v>
      </c>
    </row>
    <row r="312" spans="1:3">
      <c r="A312" t="inlineStr">
        <is>
          <t>Cagayan|Enrile</t>
        </is>
      </c>
      <c r="B312">
        <v>7016</v>
      </c>
      <c r="C312">
        <v>22</v>
      </c>
    </row>
    <row r="313" spans="1:3">
      <c r="A313" t="inlineStr">
        <is>
          <t>Cagayan|Gattaran</t>
        </is>
      </c>
      <c r="B313">
        <v>7038</v>
      </c>
      <c r="C313">
        <v>50</v>
      </c>
    </row>
    <row r="314" spans="1:3">
      <c r="A314" t="inlineStr">
        <is>
          <t>Cagayan|Gonzaga</t>
        </is>
      </c>
      <c r="B314">
        <v>7088</v>
      </c>
      <c r="C314">
        <v>25</v>
      </c>
    </row>
    <row r="315" spans="1:3">
      <c r="A315" t="inlineStr">
        <is>
          <t>Cagayan|Iguig</t>
        </is>
      </c>
      <c r="B315">
        <v>7113</v>
      </c>
      <c r="C315">
        <v>23</v>
      </c>
    </row>
    <row r="316" spans="1:3">
      <c r="A316" t="inlineStr">
        <is>
          <t>Cagayan|Lal-Lo</t>
        </is>
      </c>
      <c r="B316">
        <v>7136</v>
      </c>
      <c r="C316">
        <v>35</v>
      </c>
    </row>
    <row r="317" spans="1:3">
      <c r="A317" t="inlineStr">
        <is>
          <t>Cagayan|Lasam</t>
        </is>
      </c>
      <c r="B317">
        <v>7171</v>
      </c>
      <c r="C317">
        <v>30</v>
      </c>
    </row>
    <row r="318" spans="1:3">
      <c r="A318" t="inlineStr">
        <is>
          <t>Cagayan|Pamplona</t>
        </is>
      </c>
      <c r="B318">
        <v>7201</v>
      </c>
      <c r="C318">
        <v>18</v>
      </c>
    </row>
    <row r="319" spans="1:3">
      <c r="A319" t="inlineStr">
        <is>
          <t>Cagayan|Peñablanca</t>
        </is>
      </c>
      <c r="B319">
        <v>7219</v>
      </c>
      <c r="C319">
        <v>24</v>
      </c>
    </row>
    <row r="320" spans="1:3">
      <c r="A320" t="inlineStr">
        <is>
          <t>Cagayan|Piat</t>
        </is>
      </c>
      <c r="B320">
        <v>7243</v>
      </c>
      <c r="C320">
        <v>18</v>
      </c>
    </row>
    <row r="321" spans="1:3">
      <c r="A321" t="inlineStr">
        <is>
          <t>Cagayan|Rizal</t>
        </is>
      </c>
      <c r="B321">
        <v>7261</v>
      </c>
      <c r="C321">
        <v>29</v>
      </c>
    </row>
    <row r="322" spans="1:3">
      <c r="A322" t="inlineStr">
        <is>
          <t>Cagayan|Sanchez Mira</t>
        </is>
      </c>
      <c r="B322">
        <v>7290</v>
      </c>
      <c r="C322">
        <v>18</v>
      </c>
    </row>
    <row r="323" spans="1:3">
      <c r="A323" t="inlineStr">
        <is>
          <t>Cagayan|Santa Ana</t>
        </is>
      </c>
      <c r="B323">
        <v>7308</v>
      </c>
      <c r="C323">
        <v>16</v>
      </c>
    </row>
    <row r="324" spans="1:3">
      <c r="A324" t="inlineStr">
        <is>
          <t>Cagayan|Santa Praxedes</t>
        </is>
      </c>
      <c r="B324">
        <v>7324</v>
      </c>
      <c r="C324">
        <v>10</v>
      </c>
    </row>
    <row r="325" spans="1:3">
      <c r="A325" t="inlineStr">
        <is>
          <t>Cagayan|Santa Teresita</t>
        </is>
      </c>
      <c r="B325">
        <v>7334</v>
      </c>
      <c r="C325">
        <v>13</v>
      </c>
    </row>
    <row r="326" spans="1:3">
      <c r="A326" t="inlineStr">
        <is>
          <t>Cagayan|Santo Niño</t>
        </is>
      </c>
      <c r="B326">
        <v>7347</v>
      </c>
      <c r="C326">
        <v>31</v>
      </c>
    </row>
    <row r="327" spans="1:3">
      <c r="A327" t="inlineStr">
        <is>
          <t>Cagayan|Solana</t>
        </is>
      </c>
      <c r="B327">
        <v>7378</v>
      </c>
      <c r="C327">
        <v>38</v>
      </c>
    </row>
    <row r="328" spans="1:3">
      <c r="A328" t="inlineStr">
        <is>
          <t>Cagayan|Tuao</t>
        </is>
      </c>
      <c r="B328">
        <v>7416</v>
      </c>
      <c r="C328">
        <v>32</v>
      </c>
    </row>
    <row r="329" spans="1:3">
      <c r="A329" t="inlineStr">
        <is>
          <t>Cagayan|Tuguegarao City</t>
        </is>
      </c>
      <c r="B329">
        <v>7448</v>
      </c>
      <c r="C329">
        <v>49</v>
      </c>
    </row>
    <row r="330" spans="1:3">
      <c r="A330" t="inlineStr">
        <is>
          <t>Camarines Norte|Basud</t>
        </is>
      </c>
      <c r="B330">
        <v>7497</v>
      </c>
      <c r="C330">
        <v>29</v>
      </c>
    </row>
    <row r="331" spans="1:3">
      <c r="A331" t="inlineStr">
        <is>
          <t>Camarines Norte|Capalonga</t>
        </is>
      </c>
      <c r="B331">
        <v>7526</v>
      </c>
      <c r="C331">
        <v>22</v>
      </c>
    </row>
    <row r="332" spans="1:3">
      <c r="A332" t="inlineStr">
        <is>
          <t>Camarines Norte|Daet</t>
        </is>
      </c>
      <c r="B332">
        <v>7548</v>
      </c>
      <c r="C332">
        <v>25</v>
      </c>
    </row>
    <row r="333" spans="1:3">
      <c r="A333" t="inlineStr">
        <is>
          <t>Camarines Norte|Jose Panganiban</t>
        </is>
      </c>
      <c r="B333">
        <v>7573</v>
      </c>
      <c r="C333">
        <v>27</v>
      </c>
    </row>
    <row r="334" spans="1:3">
      <c r="A334" t="inlineStr">
        <is>
          <t>Camarines Norte|Labo</t>
        </is>
      </c>
      <c r="B334">
        <v>7600</v>
      </c>
      <c r="C334">
        <v>52</v>
      </c>
    </row>
    <row r="335" spans="1:3">
      <c r="A335" t="inlineStr">
        <is>
          <t>Camarines Norte|Mercedes</t>
        </is>
      </c>
      <c r="B335">
        <v>7652</v>
      </c>
      <c r="C335">
        <v>26</v>
      </c>
    </row>
    <row r="336" spans="1:3">
      <c r="A336" t="inlineStr">
        <is>
          <t>Camarines Norte|Paracale</t>
        </is>
      </c>
      <c r="B336">
        <v>7678</v>
      </c>
      <c r="C336">
        <v>27</v>
      </c>
    </row>
    <row r="337" spans="1:3">
      <c r="A337" t="inlineStr">
        <is>
          <t>Camarines Norte|San Lorenzo Ruiz</t>
        </is>
      </c>
      <c r="B337">
        <v>7705</v>
      </c>
      <c r="C337">
        <v>12</v>
      </c>
    </row>
    <row r="338" spans="1:3">
      <c r="A338" t="inlineStr">
        <is>
          <t>Camarines Norte|San Vicente</t>
        </is>
      </c>
      <c r="B338">
        <v>7717</v>
      </c>
      <c r="C338">
        <v>9</v>
      </c>
    </row>
    <row r="339" spans="1:3">
      <c r="A339" t="inlineStr">
        <is>
          <t>Camarines Norte|Santa Elena</t>
        </is>
      </c>
      <c r="B339">
        <v>7726</v>
      </c>
      <c r="C339">
        <v>19</v>
      </c>
    </row>
    <row r="340" spans="1:3">
      <c r="A340" t="inlineStr">
        <is>
          <t>Camarines Norte|Talisay</t>
        </is>
      </c>
      <c r="B340">
        <v>7745</v>
      </c>
      <c r="C340">
        <v>15</v>
      </c>
    </row>
    <row r="341" spans="1:3">
      <c r="A341" t="inlineStr">
        <is>
          <t>Camarines Norte|Vinzons</t>
        </is>
      </c>
      <c r="B341">
        <v>7760</v>
      </c>
      <c r="C341">
        <v>19</v>
      </c>
    </row>
    <row r="342" spans="1:3">
      <c r="A342" t="inlineStr">
        <is>
          <t>Camarines Sur|Baao</t>
        </is>
      </c>
      <c r="B342">
        <v>7779</v>
      </c>
      <c r="C342">
        <v>30</v>
      </c>
    </row>
    <row r="343" spans="1:3">
      <c r="A343" t="inlineStr">
        <is>
          <t>Camarines Sur|Balatan</t>
        </is>
      </c>
      <c r="B343">
        <v>7809</v>
      </c>
      <c r="C343">
        <v>17</v>
      </c>
    </row>
    <row r="344" spans="1:3">
      <c r="A344" t="inlineStr">
        <is>
          <t>Camarines Sur|Bato</t>
        </is>
      </c>
      <c r="B344">
        <v>7826</v>
      </c>
      <c r="C344">
        <v>33</v>
      </c>
    </row>
    <row r="345" spans="1:3">
      <c r="A345" t="inlineStr">
        <is>
          <t>Camarines Sur|Bombon</t>
        </is>
      </c>
      <c r="B345">
        <v>7859</v>
      </c>
      <c r="C345">
        <v>8</v>
      </c>
    </row>
    <row r="346" spans="1:3">
      <c r="A346" t="inlineStr">
        <is>
          <t>Camarines Sur|Buhi</t>
        </is>
      </c>
      <c r="B346">
        <v>7867</v>
      </c>
      <c r="C346">
        <v>38</v>
      </c>
    </row>
    <row r="347" spans="1:3">
      <c r="A347" t="inlineStr">
        <is>
          <t>Camarines Sur|Bula</t>
        </is>
      </c>
      <c r="B347">
        <v>7905</v>
      </c>
      <c r="C347">
        <v>33</v>
      </c>
    </row>
    <row r="348" spans="1:3">
      <c r="A348" t="inlineStr">
        <is>
          <t>Camarines Sur|Cabusao</t>
        </is>
      </c>
      <c r="B348">
        <v>7938</v>
      </c>
      <c r="C348">
        <v>9</v>
      </c>
    </row>
    <row r="349" spans="1:3">
      <c r="A349" t="inlineStr">
        <is>
          <t>Camarines Sur|Calabanga</t>
        </is>
      </c>
      <c r="B349">
        <v>7947</v>
      </c>
      <c r="C349">
        <v>48</v>
      </c>
    </row>
    <row r="350" spans="1:3">
      <c r="A350" t="inlineStr">
        <is>
          <t>Camarines Sur|Camaligan</t>
        </is>
      </c>
      <c r="B350">
        <v>7995</v>
      </c>
      <c r="C350">
        <v>13</v>
      </c>
    </row>
    <row r="351" spans="1:3">
      <c r="A351" t="inlineStr">
        <is>
          <t>Camarines Sur|Canaman</t>
        </is>
      </c>
      <c r="B351">
        <v>8008</v>
      </c>
      <c r="C351">
        <v>24</v>
      </c>
    </row>
    <row r="352" spans="1:3">
      <c r="A352" t="inlineStr">
        <is>
          <t>Camarines Sur|Caramoan</t>
        </is>
      </c>
      <c r="B352">
        <v>8032</v>
      </c>
      <c r="C352">
        <v>49</v>
      </c>
    </row>
    <row r="353" spans="1:3">
      <c r="A353" t="inlineStr">
        <is>
          <t>Camarines Sur|City of Iriga</t>
        </is>
      </c>
      <c r="B353">
        <v>8081</v>
      </c>
      <c r="C353">
        <v>36</v>
      </c>
    </row>
    <row r="354" spans="1:3">
      <c r="A354" t="inlineStr">
        <is>
          <t>Camarines Sur|City of Naga</t>
        </is>
      </c>
      <c r="B354">
        <v>8117</v>
      </c>
      <c r="C354">
        <v>27</v>
      </c>
    </row>
    <row r="355" spans="1:3">
      <c r="A355" t="inlineStr">
        <is>
          <t>Camarines Sur|Del Gallego</t>
        </is>
      </c>
      <c r="B355">
        <v>8144</v>
      </c>
      <c r="C355">
        <v>32</v>
      </c>
    </row>
    <row r="356" spans="1:3">
      <c r="A356" t="inlineStr">
        <is>
          <t>Camarines Sur|Gainza</t>
        </is>
      </c>
      <c r="B356">
        <v>8176</v>
      </c>
      <c r="C356">
        <v>8</v>
      </c>
    </row>
    <row r="357" spans="1:3">
      <c r="A357" t="inlineStr">
        <is>
          <t>Camarines Sur|Garchitorena</t>
        </is>
      </c>
      <c r="B357">
        <v>8184</v>
      </c>
      <c r="C357">
        <v>23</v>
      </c>
    </row>
    <row r="358" spans="1:3">
      <c r="A358" t="inlineStr">
        <is>
          <t>Camarines Sur|Goa</t>
        </is>
      </c>
      <c r="B358">
        <v>8207</v>
      </c>
      <c r="C358">
        <v>34</v>
      </c>
    </row>
    <row r="359" spans="1:3">
      <c r="A359" t="inlineStr">
        <is>
          <t>Camarines Sur|Lagonoy</t>
        </is>
      </c>
      <c r="B359">
        <v>8241</v>
      </c>
      <c r="C359">
        <v>38</v>
      </c>
    </row>
    <row r="360" spans="1:3">
      <c r="A360" t="inlineStr">
        <is>
          <t>Camarines Sur|Libmanan</t>
        </is>
      </c>
      <c r="B360">
        <v>8279</v>
      </c>
      <c r="C360">
        <v>75</v>
      </c>
    </row>
    <row r="361" spans="1:3">
      <c r="A361" t="inlineStr">
        <is>
          <t>Camarines Sur|Lupi</t>
        </is>
      </c>
      <c r="B361">
        <v>8354</v>
      </c>
      <c r="C361">
        <v>38</v>
      </c>
    </row>
    <row r="362" spans="1:3">
      <c r="A362" t="inlineStr">
        <is>
          <t>Camarines Sur|Magarao</t>
        </is>
      </c>
      <c r="B362">
        <v>8392</v>
      </c>
      <c r="C362">
        <v>15</v>
      </c>
    </row>
    <row r="363" spans="1:3">
      <c r="A363" t="inlineStr">
        <is>
          <t>Camarines Sur|Milaor</t>
        </is>
      </c>
      <c r="B363">
        <v>8407</v>
      </c>
      <c r="C363">
        <v>20</v>
      </c>
    </row>
    <row r="364" spans="1:3">
      <c r="A364" t="inlineStr">
        <is>
          <t>Camarines Sur|Minalabac</t>
        </is>
      </c>
      <c r="B364">
        <v>8427</v>
      </c>
      <c r="C364">
        <v>25</v>
      </c>
    </row>
    <row r="365" spans="1:3">
      <c r="A365" t="inlineStr">
        <is>
          <t>Camarines Sur|Nabua</t>
        </is>
      </c>
      <c r="B365">
        <v>8452</v>
      </c>
      <c r="C365">
        <v>42</v>
      </c>
    </row>
    <row r="366" spans="1:3">
      <c r="A366" t="inlineStr">
        <is>
          <t>Camarines Sur|Ocampo</t>
        </is>
      </c>
      <c r="B366">
        <v>8494</v>
      </c>
      <c r="C366">
        <v>25</v>
      </c>
    </row>
    <row r="367" spans="1:3">
      <c r="A367" t="inlineStr">
        <is>
          <t>Camarines Sur|Pamplona</t>
        </is>
      </c>
      <c r="B367">
        <v>8519</v>
      </c>
      <c r="C367">
        <v>17</v>
      </c>
    </row>
    <row r="368" spans="1:3">
      <c r="A368" t="inlineStr">
        <is>
          <t>Camarines Sur|Pasacao</t>
        </is>
      </c>
      <c r="B368">
        <v>8536</v>
      </c>
      <c r="C368">
        <v>19</v>
      </c>
    </row>
    <row r="369" spans="1:3">
      <c r="A369" t="inlineStr">
        <is>
          <t>Camarines Sur|Pili</t>
        </is>
      </c>
      <c r="B369">
        <v>8555</v>
      </c>
      <c r="C369">
        <v>26</v>
      </c>
    </row>
    <row r="370" spans="1:3">
      <c r="A370" t="inlineStr">
        <is>
          <t>Camarines Sur|Presentacion</t>
        </is>
      </c>
      <c r="B370">
        <v>8581</v>
      </c>
      <c r="C370">
        <v>18</v>
      </c>
    </row>
    <row r="371" spans="1:3">
      <c r="A371" t="inlineStr">
        <is>
          <t>Camarines Sur|Ragay</t>
        </is>
      </c>
      <c r="B371">
        <v>8599</v>
      </c>
      <c r="C371">
        <v>38</v>
      </c>
    </row>
    <row r="372" spans="1:3">
      <c r="A372" t="inlineStr">
        <is>
          <t>Camarines Sur|Sagñay</t>
        </is>
      </c>
      <c r="B372">
        <v>8637</v>
      </c>
      <c r="C372">
        <v>19</v>
      </c>
    </row>
    <row r="373" spans="1:3">
      <c r="A373" t="inlineStr">
        <is>
          <t>Camarines Sur|San Fernando</t>
        </is>
      </c>
      <c r="B373">
        <v>8656</v>
      </c>
      <c r="C373">
        <v>22</v>
      </c>
    </row>
    <row r="374" spans="1:3">
      <c r="A374" t="inlineStr">
        <is>
          <t>Camarines Sur|San Jose</t>
        </is>
      </c>
      <c r="B374">
        <v>8678</v>
      </c>
      <c r="C374">
        <v>29</v>
      </c>
    </row>
    <row r="375" spans="1:3">
      <c r="A375" t="inlineStr">
        <is>
          <t>Camarines Sur|Sipocot</t>
        </is>
      </c>
      <c r="B375">
        <v>8707</v>
      </c>
      <c r="C375">
        <v>46</v>
      </c>
    </row>
    <row r="376" spans="1:3">
      <c r="A376" t="inlineStr">
        <is>
          <t>Camarines Sur|Siruma</t>
        </is>
      </c>
      <c r="B376">
        <v>8753</v>
      </c>
      <c r="C376">
        <v>22</v>
      </c>
    </row>
    <row r="377" spans="1:3">
      <c r="A377" t="inlineStr">
        <is>
          <t>Camarines Sur|Tigaon</t>
        </is>
      </c>
      <c r="B377">
        <v>8775</v>
      </c>
      <c r="C377">
        <v>23</v>
      </c>
    </row>
    <row r="378" spans="1:3">
      <c r="A378" t="inlineStr">
        <is>
          <t>Camarines Sur|Tinambac</t>
        </is>
      </c>
      <c r="B378">
        <v>8798</v>
      </c>
      <c r="C378">
        <v>44</v>
      </c>
    </row>
    <row r="379" spans="1:3">
      <c r="A379" t="inlineStr">
        <is>
          <t>Camiguin|Catarman</t>
        </is>
      </c>
      <c r="B379">
        <v>8842</v>
      </c>
      <c r="C379">
        <v>14</v>
      </c>
    </row>
    <row r="380" spans="1:3">
      <c r="A380" t="inlineStr">
        <is>
          <t>Camiguin|Guinsiliban</t>
        </is>
      </c>
      <c r="B380">
        <v>8856</v>
      </c>
      <c r="C380">
        <v>7</v>
      </c>
    </row>
    <row r="381" spans="1:3">
      <c r="A381" t="inlineStr">
        <is>
          <t>Camiguin|Mahinog</t>
        </is>
      </c>
      <c r="B381">
        <v>8863</v>
      </c>
      <c r="C381">
        <v>13</v>
      </c>
    </row>
    <row r="382" spans="1:3">
      <c r="A382" t="inlineStr">
        <is>
          <t>Camiguin|Mambajao</t>
        </is>
      </c>
      <c r="B382">
        <v>8876</v>
      </c>
      <c r="C382">
        <v>15</v>
      </c>
    </row>
    <row r="383" spans="1:3">
      <c r="A383" t="inlineStr">
        <is>
          <t>Camiguin|Sagay</t>
        </is>
      </c>
      <c r="B383">
        <v>8891</v>
      </c>
      <c r="C383">
        <v>9</v>
      </c>
    </row>
    <row r="384" spans="1:3">
      <c r="A384" t="inlineStr">
        <is>
          <t>Capiz|City of Roxas</t>
        </is>
      </c>
      <c r="B384">
        <v>8900</v>
      </c>
      <c r="C384">
        <v>47</v>
      </c>
    </row>
    <row r="385" spans="1:3">
      <c r="A385" t="inlineStr">
        <is>
          <t>Capiz|Cuartero</t>
        </is>
      </c>
      <c r="B385">
        <v>8947</v>
      </c>
      <c r="C385">
        <v>22</v>
      </c>
    </row>
    <row r="386" spans="1:3">
      <c r="A386" t="inlineStr">
        <is>
          <t>Capiz|Dao</t>
        </is>
      </c>
      <c r="B386">
        <v>8969</v>
      </c>
      <c r="C386">
        <v>20</v>
      </c>
    </row>
    <row r="387" spans="1:3">
      <c r="A387" t="inlineStr">
        <is>
          <t>Capiz|Dumalag</t>
        </is>
      </c>
      <c r="B387">
        <v>8989</v>
      </c>
      <c r="C387">
        <v>19</v>
      </c>
    </row>
    <row r="388" spans="1:3">
      <c r="A388" t="inlineStr">
        <is>
          <t>Capiz|Dumarao</t>
        </is>
      </c>
      <c r="B388">
        <v>9008</v>
      </c>
      <c r="C388">
        <v>33</v>
      </c>
    </row>
    <row r="389" spans="1:3">
      <c r="A389" t="inlineStr">
        <is>
          <t>Capiz|Ivisan</t>
        </is>
      </c>
      <c r="B389">
        <v>9041</v>
      </c>
      <c r="C389">
        <v>15</v>
      </c>
    </row>
    <row r="390" spans="1:3">
      <c r="A390" t="inlineStr">
        <is>
          <t>Capiz|Jamindan</t>
        </is>
      </c>
      <c r="B390">
        <v>9056</v>
      </c>
      <c r="C390">
        <v>30</v>
      </c>
    </row>
    <row r="391" spans="1:3">
      <c r="A391" t="inlineStr">
        <is>
          <t>Capiz|Ma-Ayon</t>
        </is>
      </c>
      <c r="B391">
        <v>9086</v>
      </c>
      <c r="C391">
        <v>32</v>
      </c>
    </row>
    <row r="392" spans="1:3">
      <c r="A392" t="inlineStr">
        <is>
          <t>Capiz|Mambusao</t>
        </is>
      </c>
      <c r="B392">
        <v>9118</v>
      </c>
      <c r="C392">
        <v>26</v>
      </c>
    </row>
    <row r="393" spans="1:3">
      <c r="A393" t="inlineStr">
        <is>
          <t>Capiz|Panay</t>
        </is>
      </c>
      <c r="B393">
        <v>9144</v>
      </c>
      <c r="C393">
        <v>42</v>
      </c>
    </row>
    <row r="394" spans="1:3">
      <c r="A394" t="inlineStr">
        <is>
          <t>Capiz|Panitan</t>
        </is>
      </c>
      <c r="B394">
        <v>9186</v>
      </c>
      <c r="C394">
        <v>26</v>
      </c>
    </row>
    <row r="395" spans="1:3">
      <c r="A395" t="inlineStr">
        <is>
          <t>Capiz|Pilar</t>
        </is>
      </c>
      <c r="B395">
        <v>9212</v>
      </c>
      <c r="C395">
        <v>24</v>
      </c>
    </row>
    <row r="396" spans="1:3">
      <c r="A396" t="inlineStr">
        <is>
          <t>Capiz|Pontevedra</t>
        </is>
      </c>
      <c r="B396">
        <v>9236</v>
      </c>
      <c r="C396">
        <v>26</v>
      </c>
    </row>
    <row r="397" spans="1:3">
      <c r="A397" t="inlineStr">
        <is>
          <t>Capiz|President Roxas</t>
        </is>
      </c>
      <c r="B397">
        <v>9262</v>
      </c>
      <c r="C397">
        <v>22</v>
      </c>
    </row>
    <row r="398" spans="1:3">
      <c r="A398" t="inlineStr">
        <is>
          <t>Capiz|Sapi-An</t>
        </is>
      </c>
      <c r="B398">
        <v>9284</v>
      </c>
      <c r="C398">
        <v>10</v>
      </c>
    </row>
    <row r="399" spans="1:3">
      <c r="A399" t="inlineStr">
        <is>
          <t>Capiz|Sigma</t>
        </is>
      </c>
      <c r="B399">
        <v>9294</v>
      </c>
      <c r="C399">
        <v>21</v>
      </c>
    </row>
    <row r="400" spans="1:3">
      <c r="A400" t="inlineStr">
        <is>
          <t>Capiz|Tapaz</t>
        </is>
      </c>
      <c r="B400">
        <v>9315</v>
      </c>
      <c r="C400">
        <v>58</v>
      </c>
    </row>
    <row r="401" spans="1:3">
      <c r="A401" t="inlineStr">
        <is>
          <t>Catanduanes|Bagamanoc</t>
        </is>
      </c>
      <c r="B401">
        <v>9373</v>
      </c>
      <c r="C401">
        <v>18</v>
      </c>
    </row>
    <row r="402" spans="1:3">
      <c r="A402" t="inlineStr">
        <is>
          <t>Catanduanes|Baras</t>
        </is>
      </c>
      <c r="B402">
        <v>9391</v>
      </c>
      <c r="C402">
        <v>29</v>
      </c>
    </row>
    <row r="403" spans="1:3">
      <c r="A403" t="inlineStr">
        <is>
          <t>Catanduanes|Bato</t>
        </is>
      </c>
      <c r="B403">
        <v>9420</v>
      </c>
      <c r="C403">
        <v>27</v>
      </c>
    </row>
    <row r="404" spans="1:3">
      <c r="A404" t="inlineStr">
        <is>
          <t>Catanduanes|Caramoran</t>
        </is>
      </c>
      <c r="B404">
        <v>9447</v>
      </c>
      <c r="C404">
        <v>27</v>
      </c>
    </row>
    <row r="405" spans="1:3">
      <c r="A405" t="inlineStr">
        <is>
          <t>Catanduanes|Gigmoto</t>
        </is>
      </c>
      <c r="B405">
        <v>9474</v>
      </c>
      <c r="C405">
        <v>9</v>
      </c>
    </row>
    <row r="406" spans="1:3">
      <c r="A406" t="inlineStr">
        <is>
          <t>Catanduanes|Pandan</t>
        </is>
      </c>
      <c r="B406">
        <v>9483</v>
      </c>
      <c r="C406">
        <v>26</v>
      </c>
    </row>
    <row r="407" spans="1:3">
      <c r="A407" t="inlineStr">
        <is>
          <t>Catanduanes|Panganiban</t>
        </is>
      </c>
      <c r="B407">
        <v>9509</v>
      </c>
      <c r="C407">
        <v>23</v>
      </c>
    </row>
    <row r="408" spans="1:3">
      <c r="A408" t="inlineStr">
        <is>
          <t>Catanduanes|San Andres</t>
        </is>
      </c>
      <c r="B408">
        <v>9532</v>
      </c>
      <c r="C408">
        <v>38</v>
      </c>
    </row>
    <row r="409" spans="1:3">
      <c r="A409" t="inlineStr">
        <is>
          <t>Catanduanes|San Miguel</t>
        </is>
      </c>
      <c r="B409">
        <v>9570</v>
      </c>
      <c r="C409">
        <v>24</v>
      </c>
    </row>
    <row r="410" spans="1:3">
      <c r="A410" t="inlineStr">
        <is>
          <t>Catanduanes|Viga</t>
        </is>
      </c>
      <c r="B410">
        <v>9594</v>
      </c>
      <c r="C410">
        <v>31</v>
      </c>
    </row>
    <row r="411" spans="1:3">
      <c r="A411" t="inlineStr">
        <is>
          <t>Catanduanes|Virac</t>
        </is>
      </c>
      <c r="B411">
        <v>9625</v>
      </c>
      <c r="C411">
        <v>63</v>
      </c>
    </row>
    <row r="412" spans="1:3">
      <c r="A412" t="inlineStr">
        <is>
          <t>Cavite|Alfonso</t>
        </is>
      </c>
      <c r="B412">
        <v>9688</v>
      </c>
      <c r="C412">
        <v>32</v>
      </c>
    </row>
    <row r="413" spans="1:3">
      <c r="A413" t="inlineStr">
        <is>
          <t>Cavite|Amadeo</t>
        </is>
      </c>
      <c r="B413">
        <v>9720</v>
      </c>
      <c r="C413">
        <v>26</v>
      </c>
    </row>
    <row r="414" spans="1:3">
      <c r="A414" t="inlineStr">
        <is>
          <t>Cavite|City of Bacoor</t>
        </is>
      </c>
      <c r="B414">
        <v>9746</v>
      </c>
      <c r="C414">
        <v>47</v>
      </c>
    </row>
    <row r="415" spans="1:3">
      <c r="A415" t="inlineStr">
        <is>
          <t>Cavite|City of Carmona</t>
        </is>
      </c>
      <c r="B415">
        <v>9793</v>
      </c>
      <c r="C415">
        <v>14</v>
      </c>
    </row>
    <row r="416" spans="1:3">
      <c r="A416" t="inlineStr">
        <is>
          <t>Cavite|City of Cavite</t>
        </is>
      </c>
      <c r="B416">
        <v>9807</v>
      </c>
      <c r="C416">
        <v>84</v>
      </c>
    </row>
    <row r="417" spans="1:3">
      <c r="A417" t="inlineStr">
        <is>
          <t>Cavite|City of Dasmariñas</t>
        </is>
      </c>
      <c r="B417">
        <v>9891</v>
      </c>
      <c r="C417">
        <v>75</v>
      </c>
    </row>
    <row r="418" spans="1:3">
      <c r="A418" t="inlineStr">
        <is>
          <t>Cavite|City of General Trias</t>
        </is>
      </c>
      <c r="B418">
        <v>9966</v>
      </c>
      <c r="C418">
        <v>33</v>
      </c>
    </row>
    <row r="419" spans="1:3">
      <c r="A419" t="inlineStr">
        <is>
          <t>Cavite|City of Imus</t>
        </is>
      </c>
      <c r="B419">
        <v>9999</v>
      </c>
      <c r="C419">
        <v>97</v>
      </c>
    </row>
    <row r="420" spans="1:3">
      <c r="A420" t="inlineStr">
        <is>
          <t>Cavite|City of Tagaytay</t>
        </is>
      </c>
      <c r="B420">
        <v>10096</v>
      </c>
      <c r="C420">
        <v>34</v>
      </c>
    </row>
    <row r="421" spans="1:3">
      <c r="A421" t="inlineStr">
        <is>
          <t>Cavite|City of Trece Martires</t>
        </is>
      </c>
      <c r="B421">
        <v>10130</v>
      </c>
      <c r="C421">
        <v>13</v>
      </c>
    </row>
    <row r="422" spans="1:3">
      <c r="A422" t="inlineStr">
        <is>
          <t>Cavite|Gen. Mariano Alvarez</t>
        </is>
      </c>
      <c r="B422">
        <v>10143</v>
      </c>
      <c r="C422">
        <v>27</v>
      </c>
    </row>
    <row r="423" spans="1:3">
      <c r="A423" t="inlineStr">
        <is>
          <t>Cavite|General Emilio Aguinaldo</t>
        </is>
      </c>
      <c r="B423">
        <v>10170</v>
      </c>
      <c r="C423">
        <v>14</v>
      </c>
    </row>
    <row r="424" spans="1:3">
      <c r="A424" t="inlineStr">
        <is>
          <t>Cavite|Indang</t>
        </is>
      </c>
      <c r="B424">
        <v>10184</v>
      </c>
      <c r="C424">
        <v>36</v>
      </c>
    </row>
    <row r="425" spans="1:3">
      <c r="A425" t="inlineStr">
        <is>
          <t>Cavite|Kawit</t>
        </is>
      </c>
      <c r="B425">
        <v>10220</v>
      </c>
      <c r="C425">
        <v>23</v>
      </c>
    </row>
    <row r="426" spans="1:3">
      <c r="A426" t="inlineStr">
        <is>
          <t>Cavite|Magallanes</t>
        </is>
      </c>
      <c r="B426">
        <v>10243</v>
      </c>
      <c r="C426">
        <v>16</v>
      </c>
    </row>
    <row r="427" spans="1:3">
      <c r="A427" t="inlineStr">
        <is>
          <t>Cavite|Maragondon</t>
        </is>
      </c>
      <c r="B427">
        <v>10259</v>
      </c>
      <c r="C427">
        <v>27</v>
      </c>
    </row>
    <row r="428" spans="1:3">
      <c r="A428" t="inlineStr">
        <is>
          <t>Cavite|Mendez</t>
        </is>
      </c>
      <c r="B428">
        <v>10286</v>
      </c>
      <c r="C428">
        <v>24</v>
      </c>
    </row>
    <row r="429" spans="1:3">
      <c r="A429" t="inlineStr">
        <is>
          <t>Cavite|Naic</t>
        </is>
      </c>
      <c r="B429">
        <v>10310</v>
      </c>
      <c r="C429">
        <v>30</v>
      </c>
    </row>
    <row r="430" spans="1:3">
      <c r="A430" t="inlineStr">
        <is>
          <t>Cavite|Noveleta</t>
        </is>
      </c>
      <c r="B430">
        <v>10340</v>
      </c>
      <c r="C430">
        <v>16</v>
      </c>
    </row>
    <row r="431" spans="1:3">
      <c r="A431" t="inlineStr">
        <is>
          <t>Cavite|Rosario</t>
        </is>
      </c>
      <c r="B431">
        <v>10356</v>
      </c>
      <c r="C431">
        <v>20</v>
      </c>
    </row>
    <row r="432" spans="1:3">
      <c r="A432" t="inlineStr">
        <is>
          <t>Cavite|Silang</t>
        </is>
      </c>
      <c r="B432">
        <v>10376</v>
      </c>
      <c r="C432">
        <v>64</v>
      </c>
    </row>
    <row r="433" spans="1:3">
      <c r="A433" t="inlineStr">
        <is>
          <t>Cavite|Tanza</t>
        </is>
      </c>
      <c r="B433">
        <v>10440</v>
      </c>
      <c r="C433">
        <v>41</v>
      </c>
    </row>
    <row r="434" spans="1:3">
      <c r="A434" t="inlineStr">
        <is>
          <t>Cavite|Ternate</t>
        </is>
      </c>
      <c r="B434">
        <v>10481</v>
      </c>
      <c r="C434">
        <v>10</v>
      </c>
    </row>
    <row r="435" spans="1:3">
      <c r="A435" t="inlineStr">
        <is>
          <t>Cebu|Alcantara</t>
        </is>
      </c>
      <c r="B435">
        <v>10491</v>
      </c>
      <c r="C435">
        <v>9</v>
      </c>
    </row>
    <row r="436" spans="1:3">
      <c r="A436" t="inlineStr">
        <is>
          <t>Cebu|Alcoy</t>
        </is>
      </c>
      <c r="B436">
        <v>10500</v>
      </c>
      <c r="C436">
        <v>8</v>
      </c>
    </row>
    <row r="437" spans="1:3">
      <c r="A437" t="inlineStr">
        <is>
          <t>Cebu|Alegria</t>
        </is>
      </c>
      <c r="B437">
        <v>10508</v>
      </c>
      <c r="C437">
        <v>9</v>
      </c>
    </row>
    <row r="438" spans="1:3">
      <c r="A438" t="inlineStr">
        <is>
          <t>Cebu|Aloguinsan</t>
        </is>
      </c>
      <c r="B438">
        <v>10517</v>
      </c>
      <c r="C438">
        <v>15</v>
      </c>
    </row>
    <row r="439" spans="1:3">
      <c r="A439" t="inlineStr">
        <is>
          <t>Cebu|Argao</t>
        </is>
      </c>
      <c r="B439">
        <v>10532</v>
      </c>
      <c r="C439">
        <v>45</v>
      </c>
    </row>
    <row r="440" spans="1:3">
      <c r="A440" t="inlineStr">
        <is>
          <t>Cebu|Asturias</t>
        </is>
      </c>
      <c r="B440">
        <v>10577</v>
      </c>
      <c r="C440">
        <v>27</v>
      </c>
    </row>
    <row r="441" spans="1:3">
      <c r="A441" t="inlineStr">
        <is>
          <t>Cebu|Badian</t>
        </is>
      </c>
      <c r="B441">
        <v>10604</v>
      </c>
      <c r="C441">
        <v>29</v>
      </c>
    </row>
    <row r="442" spans="1:3">
      <c r="A442" t="inlineStr">
        <is>
          <t>Cebu|Balamban</t>
        </is>
      </c>
      <c r="B442">
        <v>10633</v>
      </c>
      <c r="C442">
        <v>28</v>
      </c>
    </row>
    <row r="443" spans="1:3">
      <c r="A443" t="inlineStr">
        <is>
          <t>Cebu|Bantayan</t>
        </is>
      </c>
      <c r="B443">
        <v>10661</v>
      </c>
      <c r="C443">
        <v>25</v>
      </c>
    </row>
    <row r="444" spans="1:3">
      <c r="A444" t="inlineStr">
        <is>
          <t>Cebu|Barili</t>
        </is>
      </c>
      <c r="B444">
        <v>10686</v>
      </c>
      <c r="C444">
        <v>42</v>
      </c>
    </row>
    <row r="445" spans="1:3">
      <c r="A445" t="inlineStr">
        <is>
          <t>Cebu|Boljoon</t>
        </is>
      </c>
      <c r="B445">
        <v>10728</v>
      </c>
      <c r="C445">
        <v>11</v>
      </c>
    </row>
    <row r="446" spans="1:3">
      <c r="A446" t="inlineStr">
        <is>
          <t>Cebu|Borbon</t>
        </is>
      </c>
      <c r="B446">
        <v>10739</v>
      </c>
      <c r="C446">
        <v>19</v>
      </c>
    </row>
    <row r="447" spans="1:3">
      <c r="A447" t="inlineStr">
        <is>
          <t>Cebu|Carmen</t>
        </is>
      </c>
      <c r="B447">
        <v>10758</v>
      </c>
      <c r="C447">
        <v>21</v>
      </c>
    </row>
    <row r="448" spans="1:3">
      <c r="A448" t="inlineStr">
        <is>
          <t>Cebu|Catmon</t>
        </is>
      </c>
      <c r="B448">
        <v>10779</v>
      </c>
      <c r="C448">
        <v>20</v>
      </c>
    </row>
    <row r="449" spans="1:3">
      <c r="A449" t="inlineStr">
        <is>
          <t>Cebu|City of Bogo</t>
        </is>
      </c>
      <c r="B449">
        <v>10799</v>
      </c>
      <c r="C449">
        <v>29</v>
      </c>
    </row>
    <row r="450" spans="1:3">
      <c r="A450" t="inlineStr">
        <is>
          <t>Cebu|City of Carcar</t>
        </is>
      </c>
      <c r="B450">
        <v>10828</v>
      </c>
      <c r="C450">
        <v>15</v>
      </c>
    </row>
    <row r="451" spans="1:3">
      <c r="A451" t="inlineStr">
        <is>
          <t>Cebu|City of Naga</t>
        </is>
      </c>
      <c r="B451">
        <v>10843</v>
      </c>
      <c r="C451">
        <v>28</v>
      </c>
    </row>
    <row r="452" spans="1:3">
      <c r="A452" t="inlineStr">
        <is>
          <t>Cebu|City of Talisay</t>
        </is>
      </c>
      <c r="B452">
        <v>10871</v>
      </c>
      <c r="C452">
        <v>22</v>
      </c>
    </row>
    <row r="453" spans="1:3">
      <c r="A453" t="inlineStr">
        <is>
          <t>Cebu|City of Toledo</t>
        </is>
      </c>
      <c r="B453">
        <v>10893</v>
      </c>
      <c r="C453">
        <v>38</v>
      </c>
    </row>
    <row r="454" spans="1:3">
      <c r="A454" t="inlineStr">
        <is>
          <t>Cebu|Compostela</t>
        </is>
      </c>
      <c r="B454">
        <v>10931</v>
      </c>
      <c r="C454">
        <v>17</v>
      </c>
    </row>
    <row r="455" spans="1:3">
      <c r="A455" t="inlineStr">
        <is>
          <t>Cebu|Consolacion</t>
        </is>
      </c>
      <c r="B455">
        <v>10948</v>
      </c>
      <c r="C455">
        <v>21</v>
      </c>
    </row>
    <row r="456" spans="1:3">
      <c r="A456" t="inlineStr">
        <is>
          <t>Cebu|Cordova</t>
        </is>
      </c>
      <c r="B456">
        <v>10969</v>
      </c>
      <c r="C456">
        <v>13</v>
      </c>
    </row>
    <row r="457" spans="1:3">
      <c r="A457" t="inlineStr">
        <is>
          <t>Cebu|Daanbantayan</t>
        </is>
      </c>
      <c r="B457">
        <v>10982</v>
      </c>
      <c r="C457">
        <v>20</v>
      </c>
    </row>
    <row r="458" spans="1:3">
      <c r="A458" t="inlineStr">
        <is>
          <t>Cebu|Dalaguete</t>
        </is>
      </c>
      <c r="B458">
        <v>11002</v>
      </c>
      <c r="C458">
        <v>33</v>
      </c>
    </row>
    <row r="459" spans="1:3">
      <c r="A459" t="inlineStr">
        <is>
          <t>Cebu|Danao City</t>
        </is>
      </c>
      <c r="B459">
        <v>11035</v>
      </c>
      <c r="C459">
        <v>42</v>
      </c>
    </row>
    <row r="460" spans="1:3">
      <c r="A460" t="inlineStr">
        <is>
          <t>Cebu|Dumanjug</t>
        </is>
      </c>
      <c r="B460">
        <v>11077</v>
      </c>
      <c r="C460">
        <v>37</v>
      </c>
    </row>
    <row r="461" spans="1:3">
      <c r="A461" t="inlineStr">
        <is>
          <t>Cebu|Ginatilan</t>
        </is>
      </c>
      <c r="B461">
        <v>11114</v>
      </c>
      <c r="C461">
        <v>14</v>
      </c>
    </row>
    <row r="462" spans="1:3">
      <c r="A462" t="inlineStr">
        <is>
          <t>Cebu|Liloan</t>
        </is>
      </c>
      <c r="B462">
        <v>11128</v>
      </c>
      <c r="C462">
        <v>14</v>
      </c>
    </row>
    <row r="463" spans="1:3">
      <c r="A463" t="inlineStr">
        <is>
          <t>Cebu|Madridejos</t>
        </is>
      </c>
      <c r="B463">
        <v>11142</v>
      </c>
      <c r="C463">
        <v>14</v>
      </c>
    </row>
    <row r="464" spans="1:3">
      <c r="A464" t="inlineStr">
        <is>
          <t>Cebu|Malabuyoc</t>
        </is>
      </c>
      <c r="B464">
        <v>11156</v>
      </c>
      <c r="C464">
        <v>14</v>
      </c>
    </row>
    <row r="465" spans="1:3">
      <c r="A465" t="inlineStr">
        <is>
          <t>Cebu|Medellin</t>
        </is>
      </c>
      <c r="B465">
        <v>11170</v>
      </c>
      <c r="C465">
        <v>19</v>
      </c>
    </row>
    <row r="466" spans="1:3">
      <c r="A466" t="inlineStr">
        <is>
          <t>Cebu|Minglanilla</t>
        </is>
      </c>
      <c r="B466">
        <v>11189</v>
      </c>
      <c r="C466">
        <v>19</v>
      </c>
    </row>
    <row r="467" spans="1:3">
      <c r="A467" t="inlineStr">
        <is>
          <t>Cebu|Moalboal</t>
        </is>
      </c>
      <c r="B467">
        <v>11208</v>
      </c>
      <c r="C467">
        <v>15</v>
      </c>
    </row>
    <row r="468" spans="1:3">
      <c r="A468" t="inlineStr">
        <is>
          <t>Cebu|Oslob</t>
        </is>
      </c>
      <c r="B468">
        <v>11223</v>
      </c>
      <c r="C468">
        <v>21</v>
      </c>
    </row>
    <row r="469" spans="1:3">
      <c r="A469" t="inlineStr">
        <is>
          <t>Cebu|Pilar</t>
        </is>
      </c>
      <c r="B469">
        <v>11244</v>
      </c>
      <c r="C469">
        <v>13</v>
      </c>
    </row>
    <row r="470" spans="1:3">
      <c r="A470" t="inlineStr">
        <is>
          <t>Cebu|Pinamungajan</t>
        </is>
      </c>
      <c r="B470">
        <v>11257</v>
      </c>
      <c r="C470">
        <v>26</v>
      </c>
    </row>
    <row r="471" spans="1:3">
      <c r="A471" t="inlineStr">
        <is>
          <t>Cebu|Poro</t>
        </is>
      </c>
      <c r="B471">
        <v>11283</v>
      </c>
      <c r="C471">
        <v>17</v>
      </c>
    </row>
    <row r="472" spans="1:3">
      <c r="A472" t="inlineStr">
        <is>
          <t>Cebu|Ronda</t>
        </is>
      </c>
      <c r="B472">
        <v>11300</v>
      </c>
      <c r="C472">
        <v>14</v>
      </c>
    </row>
    <row r="473" spans="1:3">
      <c r="A473" t="inlineStr">
        <is>
          <t>Cebu|Samboan</t>
        </is>
      </c>
      <c r="B473">
        <v>11314</v>
      </c>
      <c r="C473">
        <v>15</v>
      </c>
    </row>
    <row r="474" spans="1:3">
      <c r="A474" t="inlineStr">
        <is>
          <t>Cebu|San Fernando</t>
        </is>
      </c>
      <c r="B474">
        <v>11329</v>
      </c>
      <c r="C474">
        <v>21</v>
      </c>
    </row>
    <row r="475" spans="1:3">
      <c r="A475" t="inlineStr">
        <is>
          <t>Cebu|San Francisco</t>
        </is>
      </c>
      <c r="B475">
        <v>11350</v>
      </c>
      <c r="C475">
        <v>15</v>
      </c>
    </row>
    <row r="476" spans="1:3">
      <c r="A476" t="inlineStr">
        <is>
          <t>Cebu|San Remigio</t>
        </is>
      </c>
      <c r="B476">
        <v>11365</v>
      </c>
      <c r="C476">
        <v>27</v>
      </c>
    </row>
    <row r="477" spans="1:3">
      <c r="A477" t="inlineStr">
        <is>
          <t>Cebu|Santa Fe</t>
        </is>
      </c>
      <c r="B477">
        <v>11392</v>
      </c>
      <c r="C477">
        <v>10</v>
      </c>
    </row>
    <row r="478" spans="1:3">
      <c r="A478" t="inlineStr">
        <is>
          <t>Cebu|Santander</t>
        </is>
      </c>
      <c r="B478">
        <v>11402</v>
      </c>
      <c r="C478">
        <v>10</v>
      </c>
    </row>
    <row r="479" spans="1:3">
      <c r="A479" t="inlineStr">
        <is>
          <t>Cebu|Sibonga</t>
        </is>
      </c>
      <c r="B479">
        <v>11412</v>
      </c>
      <c r="C479">
        <v>25</v>
      </c>
    </row>
    <row r="480" spans="1:3">
      <c r="A480" t="inlineStr">
        <is>
          <t>Cebu|Sogod</t>
        </is>
      </c>
      <c r="B480">
        <v>11437</v>
      </c>
      <c r="C480">
        <v>18</v>
      </c>
    </row>
    <row r="481" spans="1:3">
      <c r="A481" t="inlineStr">
        <is>
          <t>Cebu|Tabogon</t>
        </is>
      </c>
      <c r="B481">
        <v>11455</v>
      </c>
      <c r="C481">
        <v>25</v>
      </c>
    </row>
    <row r="482" spans="1:3">
      <c r="A482" t="inlineStr">
        <is>
          <t>Cebu|Tabuelan</t>
        </is>
      </c>
      <c r="B482">
        <v>11480</v>
      </c>
      <c r="C482">
        <v>12</v>
      </c>
    </row>
    <row r="483" spans="1:3">
      <c r="A483" t="inlineStr">
        <is>
          <t>Cebu|Tuburan</t>
        </is>
      </c>
      <c r="B483">
        <v>11492</v>
      </c>
      <c r="C483">
        <v>54</v>
      </c>
    </row>
    <row r="484" spans="1:3">
      <c r="A484" t="inlineStr">
        <is>
          <t>Cebu|Tudela</t>
        </is>
      </c>
      <c r="B484">
        <v>11546</v>
      </c>
      <c r="C484">
        <v>11</v>
      </c>
    </row>
    <row r="485" spans="1:3">
      <c r="A485" t="inlineStr">
        <is>
          <t>City of Isabela (Not a Province)|City of Isabela</t>
        </is>
      </c>
      <c r="B485">
        <v>11557</v>
      </c>
      <c r="C485">
        <v>45</v>
      </c>
    </row>
    <row r="486" spans="1:3">
      <c r="A486" t="inlineStr">
        <is>
          <t>Cotabato|Alamada</t>
        </is>
      </c>
      <c r="B486">
        <v>11602</v>
      </c>
      <c r="C486">
        <v>17</v>
      </c>
    </row>
    <row r="487" spans="1:3">
      <c r="A487" t="inlineStr">
        <is>
          <t>Cotabato|Aleosan</t>
        </is>
      </c>
      <c r="B487">
        <v>11619</v>
      </c>
      <c r="C487">
        <v>17</v>
      </c>
    </row>
    <row r="488" spans="1:3">
      <c r="A488" t="inlineStr">
        <is>
          <t>Cotabato|Antipas</t>
        </is>
      </c>
      <c r="B488">
        <v>11636</v>
      </c>
      <c r="C488">
        <v>13</v>
      </c>
    </row>
    <row r="489" spans="1:3">
      <c r="A489" t="inlineStr">
        <is>
          <t>Cotabato|Arakan</t>
        </is>
      </c>
      <c r="B489">
        <v>11649</v>
      </c>
      <c r="C489">
        <v>28</v>
      </c>
    </row>
    <row r="490" spans="1:3">
      <c r="A490" t="inlineStr">
        <is>
          <t>Cotabato|Banisilan</t>
        </is>
      </c>
      <c r="B490">
        <v>11677</v>
      </c>
      <c r="C490">
        <v>20</v>
      </c>
    </row>
    <row r="491" spans="1:3">
      <c r="A491" t="inlineStr">
        <is>
          <t>Cotabato|Carmen</t>
        </is>
      </c>
      <c r="B491">
        <v>11697</v>
      </c>
      <c r="C491">
        <v>21</v>
      </c>
    </row>
    <row r="492" spans="1:3">
      <c r="A492" t="inlineStr">
        <is>
          <t>Cotabato|City of Kidapawan</t>
        </is>
      </c>
      <c r="B492">
        <v>11718</v>
      </c>
      <c r="C492">
        <v>40</v>
      </c>
    </row>
    <row r="493" spans="1:3">
      <c r="A493" t="inlineStr">
        <is>
          <t>Cotabato|Kabacan</t>
        </is>
      </c>
      <c r="B493">
        <v>11758</v>
      </c>
      <c r="C493">
        <v>17</v>
      </c>
    </row>
    <row r="494" spans="1:3">
      <c r="A494" t="inlineStr">
        <is>
          <t>Cotabato|Libungan</t>
        </is>
      </c>
      <c r="B494">
        <v>11775</v>
      </c>
      <c r="C494">
        <v>20</v>
      </c>
    </row>
    <row r="495" spans="1:3">
      <c r="A495" t="inlineStr">
        <is>
          <t>Cotabato|M'Lang</t>
        </is>
      </c>
      <c r="B495">
        <v>11795</v>
      </c>
      <c r="C495">
        <v>37</v>
      </c>
    </row>
    <row r="496" spans="1:3">
      <c r="A496" t="inlineStr">
        <is>
          <t>Cotabato|Magpet</t>
        </is>
      </c>
      <c r="B496">
        <v>11832</v>
      </c>
      <c r="C496">
        <v>32</v>
      </c>
    </row>
    <row r="497" spans="1:3">
      <c r="A497" t="inlineStr">
        <is>
          <t>Cotabato|Makilala</t>
        </is>
      </c>
      <c r="B497">
        <v>11864</v>
      </c>
      <c r="C497">
        <v>38</v>
      </c>
    </row>
    <row r="498" spans="1:3">
      <c r="A498" t="inlineStr">
        <is>
          <t>Cotabato|Matalam</t>
        </is>
      </c>
      <c r="B498">
        <v>11902</v>
      </c>
      <c r="C498">
        <v>34</v>
      </c>
    </row>
    <row r="499" spans="1:3">
      <c r="A499" t="inlineStr">
        <is>
          <t>Cotabato|Midsayap</t>
        </is>
      </c>
      <c r="B499">
        <v>11936</v>
      </c>
      <c r="C499">
        <v>44</v>
      </c>
    </row>
    <row r="500" spans="1:3">
      <c r="A500" t="inlineStr">
        <is>
          <t>Cotabato|Pigkawayan</t>
        </is>
      </c>
      <c r="B500">
        <v>11980</v>
      </c>
      <c r="C500">
        <v>28</v>
      </c>
    </row>
    <row r="501" spans="1:3">
      <c r="A501" t="inlineStr">
        <is>
          <t>Cotabato|Pikit</t>
        </is>
      </c>
      <c r="B501">
        <v>12008</v>
      </c>
      <c r="C501">
        <v>20</v>
      </c>
    </row>
    <row r="502" spans="1:3">
      <c r="A502" t="inlineStr">
        <is>
          <t>Cotabato|President Roxas</t>
        </is>
      </c>
      <c r="B502">
        <v>12028</v>
      </c>
      <c r="C502">
        <v>25</v>
      </c>
    </row>
    <row r="503" spans="1:3">
      <c r="A503" t="inlineStr">
        <is>
          <t>Cotabato|Tulunan</t>
        </is>
      </c>
      <c r="B503">
        <v>12053</v>
      </c>
      <c r="C503">
        <v>29</v>
      </c>
    </row>
    <row r="504" spans="1:3">
      <c r="A504" t="inlineStr">
        <is>
          <t>Davao de Oro|Compostela</t>
        </is>
      </c>
      <c r="B504">
        <v>12082</v>
      </c>
      <c r="C504">
        <v>16</v>
      </c>
    </row>
    <row r="505" spans="1:3">
      <c r="A505" t="inlineStr">
        <is>
          <t>Davao de Oro|Laak</t>
        </is>
      </c>
      <c r="B505">
        <v>12098</v>
      </c>
      <c r="C505">
        <v>40</v>
      </c>
    </row>
    <row r="506" spans="1:3">
      <c r="A506" t="inlineStr">
        <is>
          <t>Davao de Oro|Mabini</t>
        </is>
      </c>
      <c r="B506">
        <v>12138</v>
      </c>
      <c r="C506">
        <v>11</v>
      </c>
    </row>
    <row r="507" spans="1:3">
      <c r="A507" t="inlineStr">
        <is>
          <t>Davao de Oro|Maco</t>
        </is>
      </c>
      <c r="B507">
        <v>12149</v>
      </c>
      <c r="C507">
        <v>37</v>
      </c>
    </row>
    <row r="508" spans="1:3">
      <c r="A508" t="inlineStr">
        <is>
          <t>Davao de Oro|Maragusan</t>
        </is>
      </c>
      <c r="B508">
        <v>12186</v>
      </c>
      <c r="C508">
        <v>24</v>
      </c>
    </row>
    <row r="509" spans="1:3">
      <c r="A509" t="inlineStr">
        <is>
          <t>Davao de Oro|Mawab</t>
        </is>
      </c>
      <c r="B509">
        <v>12210</v>
      </c>
      <c r="C509">
        <v>11</v>
      </c>
    </row>
    <row r="510" spans="1:3">
      <c r="A510" t="inlineStr">
        <is>
          <t>Davao de Oro|Monkayo</t>
        </is>
      </c>
      <c r="B510">
        <v>12221</v>
      </c>
      <c r="C510">
        <v>21</v>
      </c>
    </row>
    <row r="511" spans="1:3">
      <c r="A511" t="inlineStr">
        <is>
          <t>Davao de Oro|Montevista</t>
        </is>
      </c>
      <c r="B511">
        <v>12242</v>
      </c>
      <c r="C511">
        <v>20</v>
      </c>
    </row>
    <row r="512" spans="1:3">
      <c r="A512" t="inlineStr">
        <is>
          <t>Davao de Oro|Nabunturan</t>
        </is>
      </c>
      <c r="B512">
        <v>12262</v>
      </c>
      <c r="C512">
        <v>28</v>
      </c>
    </row>
    <row r="513" spans="1:3">
      <c r="A513" t="inlineStr">
        <is>
          <t>Davao de Oro|New Bataan</t>
        </is>
      </c>
      <c r="B513">
        <v>12290</v>
      </c>
      <c r="C513">
        <v>16</v>
      </c>
    </row>
    <row r="514" spans="1:3">
      <c r="A514" t="inlineStr">
        <is>
          <t>Davao de Oro|Pantukan</t>
        </is>
      </c>
      <c r="B514">
        <v>12306</v>
      </c>
      <c r="C514">
        <v>13</v>
      </c>
    </row>
    <row r="515" spans="1:3">
      <c r="A515" t="inlineStr">
        <is>
          <t>Davao del Norte|Asuncion</t>
        </is>
      </c>
      <c r="B515">
        <v>12319</v>
      </c>
      <c r="C515">
        <v>20</v>
      </c>
    </row>
    <row r="516" spans="1:3">
      <c r="A516" t="inlineStr">
        <is>
          <t>Davao del Norte|Braulio E. Dujali</t>
        </is>
      </c>
      <c r="B516">
        <v>12339</v>
      </c>
      <c r="C516">
        <v>5</v>
      </c>
    </row>
    <row r="517" spans="1:3">
      <c r="A517" t="inlineStr">
        <is>
          <t>Davao del Norte|Carmen</t>
        </is>
      </c>
      <c r="B517">
        <v>12344</v>
      </c>
      <c r="C517">
        <v>20</v>
      </c>
    </row>
    <row r="518" spans="1:3">
      <c r="A518" t="inlineStr">
        <is>
          <t>Davao del Norte|City of Panabo</t>
        </is>
      </c>
      <c r="B518">
        <v>12364</v>
      </c>
      <c r="C518">
        <v>40</v>
      </c>
    </row>
    <row r="519" spans="1:3">
      <c r="A519" t="inlineStr">
        <is>
          <t>Davao del Norte|City of Tagum</t>
        </is>
      </c>
      <c r="B519">
        <v>12404</v>
      </c>
      <c r="C519">
        <v>23</v>
      </c>
    </row>
    <row r="520" spans="1:3">
      <c r="A520" t="inlineStr">
        <is>
          <t>Davao del Norte|Island Garden City of Samal</t>
        </is>
      </c>
      <c r="B520">
        <v>12427</v>
      </c>
      <c r="C520">
        <v>46</v>
      </c>
    </row>
    <row r="521" spans="1:3">
      <c r="A521" t="inlineStr">
        <is>
          <t>Davao del Norte|Kapalong</t>
        </is>
      </c>
      <c r="B521">
        <v>12473</v>
      </c>
      <c r="C521">
        <v>14</v>
      </c>
    </row>
    <row r="522" spans="1:3">
      <c r="A522" t="inlineStr">
        <is>
          <t>Davao del Norte|New Corella</t>
        </is>
      </c>
      <c r="B522">
        <v>12487</v>
      </c>
      <c r="C522">
        <v>20</v>
      </c>
    </row>
    <row r="523" spans="1:3">
      <c r="A523" t="inlineStr">
        <is>
          <t>Davao del Norte|Santo Tomas</t>
        </is>
      </c>
      <c r="B523">
        <v>12507</v>
      </c>
      <c r="C523">
        <v>19</v>
      </c>
    </row>
    <row r="524" spans="1:3">
      <c r="A524" t="inlineStr">
        <is>
          <t>Davao del Norte|Sawata</t>
        </is>
      </c>
      <c r="B524">
        <v>12526</v>
      </c>
      <c r="C524">
        <v>13</v>
      </c>
    </row>
    <row r="525" spans="1:3">
      <c r="A525" t="inlineStr">
        <is>
          <t>Davao del Norte|Talaingod</t>
        </is>
      </c>
      <c r="B525">
        <v>12539</v>
      </c>
      <c r="C525">
        <v>3</v>
      </c>
    </row>
    <row r="526" spans="1:3">
      <c r="A526" t="inlineStr">
        <is>
          <t>Davao del Sur|Bansalan</t>
        </is>
      </c>
      <c r="B526">
        <v>12542</v>
      </c>
      <c r="C526">
        <v>25</v>
      </c>
    </row>
    <row r="527" spans="1:3">
      <c r="A527" t="inlineStr">
        <is>
          <t>Davao del Sur|City of Digos</t>
        </is>
      </c>
      <c r="B527">
        <v>12567</v>
      </c>
      <c r="C527">
        <v>26</v>
      </c>
    </row>
    <row r="528" spans="1:3">
      <c r="A528" t="inlineStr">
        <is>
          <t>Davao del Sur|Hagonoy</t>
        </is>
      </c>
      <c r="B528">
        <v>12593</v>
      </c>
      <c r="C528">
        <v>21</v>
      </c>
    </row>
    <row r="529" spans="1:3">
      <c r="A529" t="inlineStr">
        <is>
          <t>Davao del Sur|Kiblawan</t>
        </is>
      </c>
      <c r="B529">
        <v>12614</v>
      </c>
      <c r="C529">
        <v>30</v>
      </c>
    </row>
    <row r="530" spans="1:3">
      <c r="A530" t="inlineStr">
        <is>
          <t>Davao del Sur|Magsaysay</t>
        </is>
      </c>
      <c r="B530">
        <v>12644</v>
      </c>
      <c r="C530">
        <v>22</v>
      </c>
    </row>
    <row r="531" spans="1:3">
      <c r="A531" t="inlineStr">
        <is>
          <t>Davao del Sur|Malalag</t>
        </is>
      </c>
      <c r="B531">
        <v>12666</v>
      </c>
      <c r="C531">
        <v>15</v>
      </c>
    </row>
    <row r="532" spans="1:3">
      <c r="A532" t="inlineStr">
        <is>
          <t>Davao del Sur|Matanao</t>
        </is>
      </c>
      <c r="B532">
        <v>12681</v>
      </c>
      <c r="C532">
        <v>33</v>
      </c>
    </row>
    <row r="533" spans="1:3">
      <c r="A533" t="inlineStr">
        <is>
          <t>Davao del Sur|Padada</t>
        </is>
      </c>
      <c r="B533">
        <v>12714</v>
      </c>
      <c r="C533">
        <v>17</v>
      </c>
    </row>
    <row r="534" spans="1:3">
      <c r="A534" t="inlineStr">
        <is>
          <t>Davao del Sur|Santa Cruz</t>
        </is>
      </c>
      <c r="B534">
        <v>12731</v>
      </c>
      <c r="C534">
        <v>18</v>
      </c>
    </row>
    <row r="535" spans="1:3">
      <c r="A535" t="inlineStr">
        <is>
          <t>Davao del Sur|Sulop</t>
        </is>
      </c>
      <c r="B535">
        <v>12749</v>
      </c>
      <c r="C535">
        <v>25</v>
      </c>
    </row>
    <row r="536" spans="1:3">
      <c r="A536" t="inlineStr">
        <is>
          <t>Davao Occidental|Don Marcelino</t>
        </is>
      </c>
      <c r="B536">
        <v>12774</v>
      </c>
      <c r="C536">
        <v>15</v>
      </c>
    </row>
    <row r="537" spans="1:3">
      <c r="A537" t="inlineStr">
        <is>
          <t>Davao Occidental|Jose Abad Santos</t>
        </is>
      </c>
      <c r="B537">
        <v>12789</v>
      </c>
      <c r="C537">
        <v>26</v>
      </c>
    </row>
    <row r="538" spans="1:3">
      <c r="A538" t="inlineStr">
        <is>
          <t>Davao Occidental|Malita</t>
        </is>
      </c>
      <c r="B538">
        <v>12815</v>
      </c>
      <c r="C538">
        <v>30</v>
      </c>
    </row>
    <row r="539" spans="1:3">
      <c r="A539" t="inlineStr">
        <is>
          <t>Davao Occidental|Santa Maria</t>
        </is>
      </c>
      <c r="B539">
        <v>12845</v>
      </c>
      <c r="C539">
        <v>22</v>
      </c>
    </row>
    <row r="540" spans="1:3">
      <c r="A540" t="inlineStr">
        <is>
          <t>Davao Occidental|Sarangani</t>
        </is>
      </c>
      <c r="B540">
        <v>12867</v>
      </c>
      <c r="C540">
        <v>12</v>
      </c>
    </row>
    <row r="541" spans="1:3">
      <c r="A541" t="inlineStr">
        <is>
          <t>Davao Oriental|Baganga</t>
        </is>
      </c>
      <c r="B541">
        <v>12879</v>
      </c>
      <c r="C541">
        <v>18</v>
      </c>
    </row>
    <row r="542" spans="1:3">
      <c r="A542" t="inlineStr">
        <is>
          <t>Davao Oriental|Banaybanay</t>
        </is>
      </c>
      <c r="B542">
        <v>12897</v>
      </c>
      <c r="C542">
        <v>14</v>
      </c>
    </row>
    <row r="543" spans="1:3">
      <c r="A543" t="inlineStr">
        <is>
          <t>Davao Oriental|Boston</t>
        </is>
      </c>
      <c r="B543">
        <v>12911</v>
      </c>
      <c r="C543">
        <v>8</v>
      </c>
    </row>
    <row r="544" spans="1:3">
      <c r="A544" t="inlineStr">
        <is>
          <t>Davao Oriental|Caraga</t>
        </is>
      </c>
      <c r="B544">
        <v>12919</v>
      </c>
      <c r="C544">
        <v>17</v>
      </c>
    </row>
    <row r="545" spans="1:3">
      <c r="A545" t="inlineStr">
        <is>
          <t>Davao Oriental|Cateel</t>
        </is>
      </c>
      <c r="B545">
        <v>12936</v>
      </c>
      <c r="C545">
        <v>16</v>
      </c>
    </row>
    <row r="546" spans="1:3">
      <c r="A546" t="inlineStr">
        <is>
          <t>Davao Oriental|City of Mati</t>
        </is>
      </c>
      <c r="B546">
        <v>12952</v>
      </c>
      <c r="C546">
        <v>26</v>
      </c>
    </row>
    <row r="547" spans="1:3">
      <c r="A547" t="inlineStr">
        <is>
          <t>Davao Oriental|Governor Generoso</t>
        </is>
      </c>
      <c r="B547">
        <v>12978</v>
      </c>
      <c r="C547">
        <v>20</v>
      </c>
    </row>
    <row r="548" spans="1:3">
      <c r="A548" t="inlineStr">
        <is>
          <t>Davao Oriental|Lupon</t>
        </is>
      </c>
      <c r="B548">
        <v>12998</v>
      </c>
      <c r="C548">
        <v>21</v>
      </c>
    </row>
    <row r="549" spans="1:3">
      <c r="A549" t="inlineStr">
        <is>
          <t>Davao Oriental|Manay</t>
        </is>
      </c>
      <c r="B549">
        <v>13019</v>
      </c>
      <c r="C549">
        <v>17</v>
      </c>
    </row>
    <row r="550" spans="1:3">
      <c r="A550" t="inlineStr">
        <is>
          <t>Davao Oriental|San Isidro</t>
        </is>
      </c>
      <c r="B550">
        <v>13036</v>
      </c>
      <c r="C550">
        <v>16</v>
      </c>
    </row>
    <row r="551" spans="1:3">
      <c r="A551" t="inlineStr">
        <is>
          <t>Davao Oriental|Tarragona</t>
        </is>
      </c>
      <c r="B551">
        <v>13052</v>
      </c>
      <c r="C551">
        <v>10</v>
      </c>
    </row>
    <row r="552" spans="1:3">
      <c r="A552" t="inlineStr">
        <is>
          <t>Dinagat Islands|Basilisa</t>
        </is>
      </c>
      <c r="B552">
        <v>13062</v>
      </c>
      <c r="C552">
        <v>27</v>
      </c>
    </row>
    <row r="553" spans="1:3">
      <c r="A553" t="inlineStr">
        <is>
          <t>Dinagat Islands|Cagdianao</t>
        </is>
      </c>
      <c r="B553">
        <v>13089</v>
      </c>
      <c r="C553">
        <v>14</v>
      </c>
    </row>
    <row r="554" spans="1:3">
      <c r="A554" t="inlineStr">
        <is>
          <t>Dinagat Islands|Dinagat</t>
        </is>
      </c>
      <c r="B554">
        <v>13103</v>
      </c>
      <c r="C554">
        <v>12</v>
      </c>
    </row>
    <row r="555" spans="1:3">
      <c r="A555" t="inlineStr">
        <is>
          <t>Dinagat Islands|Libjo</t>
        </is>
      </c>
      <c r="B555">
        <v>13115</v>
      </c>
      <c r="C555">
        <v>16</v>
      </c>
    </row>
    <row r="556" spans="1:3">
      <c r="A556" t="inlineStr">
        <is>
          <t>Dinagat Islands|Loreto</t>
        </is>
      </c>
      <c r="B556">
        <v>13131</v>
      </c>
      <c r="C556">
        <v>10</v>
      </c>
    </row>
    <row r="557" spans="1:3">
      <c r="A557" t="inlineStr">
        <is>
          <t>Dinagat Islands|San Jose</t>
        </is>
      </c>
      <c r="B557">
        <v>13141</v>
      </c>
      <c r="C557">
        <v>12</v>
      </c>
    </row>
    <row r="558" spans="1:3">
      <c r="A558" t="inlineStr">
        <is>
          <t>Dinagat Islands|Tubajon</t>
        </is>
      </c>
      <c r="B558">
        <v>13153</v>
      </c>
      <c r="C558">
        <v>9</v>
      </c>
    </row>
    <row r="559" spans="1:3">
      <c r="A559" t="inlineStr">
        <is>
          <t>Eastern Samar|Arteche</t>
        </is>
      </c>
      <c r="B559">
        <v>13162</v>
      </c>
      <c r="C559">
        <v>20</v>
      </c>
    </row>
    <row r="560" spans="1:3">
      <c r="A560" t="inlineStr">
        <is>
          <t>Eastern Samar|Balangiga</t>
        </is>
      </c>
      <c r="B560">
        <v>13182</v>
      </c>
      <c r="C560">
        <v>13</v>
      </c>
    </row>
    <row r="561" spans="1:3">
      <c r="A561" t="inlineStr">
        <is>
          <t>Eastern Samar|Balangkayan</t>
        </is>
      </c>
      <c r="B561">
        <v>13195</v>
      </c>
      <c r="C561">
        <v>15</v>
      </c>
    </row>
    <row r="562" spans="1:3">
      <c r="A562" t="inlineStr">
        <is>
          <t>Eastern Samar|Can-Avid</t>
        </is>
      </c>
      <c r="B562">
        <v>13210</v>
      </c>
      <c r="C562">
        <v>28</v>
      </c>
    </row>
    <row r="563" spans="1:3">
      <c r="A563" t="inlineStr">
        <is>
          <t>Eastern Samar|City of Borongan</t>
        </is>
      </c>
      <c r="B563">
        <v>13238</v>
      </c>
      <c r="C563">
        <v>61</v>
      </c>
    </row>
    <row r="564" spans="1:3">
      <c r="A564" t="inlineStr">
        <is>
          <t>Eastern Samar|Dolores</t>
        </is>
      </c>
      <c r="B564">
        <v>13299</v>
      </c>
      <c r="C564">
        <v>46</v>
      </c>
    </row>
    <row r="565" spans="1:3">
      <c r="A565" t="inlineStr">
        <is>
          <t>Eastern Samar|General Macarthur</t>
        </is>
      </c>
      <c r="B565">
        <v>13345</v>
      </c>
      <c r="C565">
        <v>30</v>
      </c>
    </row>
    <row r="566" spans="1:3">
      <c r="A566" t="inlineStr">
        <is>
          <t>Eastern Samar|Giporlos</t>
        </is>
      </c>
      <c r="B566">
        <v>13375</v>
      </c>
      <c r="C566">
        <v>18</v>
      </c>
    </row>
    <row r="567" spans="1:3">
      <c r="A567" t="inlineStr">
        <is>
          <t>Eastern Samar|Guiuan</t>
        </is>
      </c>
      <c r="B567">
        <v>13393</v>
      </c>
      <c r="C567">
        <v>60</v>
      </c>
    </row>
    <row r="568" spans="1:3">
      <c r="A568" t="inlineStr">
        <is>
          <t>Eastern Samar|Hernani</t>
        </is>
      </c>
      <c r="B568">
        <v>13453</v>
      </c>
      <c r="C568">
        <v>13</v>
      </c>
    </row>
    <row r="569" spans="1:3">
      <c r="A569" t="inlineStr">
        <is>
          <t>Eastern Samar|Jipapad</t>
        </is>
      </c>
      <c r="B569">
        <v>13466</v>
      </c>
      <c r="C569">
        <v>13</v>
      </c>
    </row>
    <row r="570" spans="1:3">
      <c r="A570" t="inlineStr">
        <is>
          <t>Eastern Samar|Lawaan</t>
        </is>
      </c>
      <c r="B570">
        <v>13479</v>
      </c>
      <c r="C570">
        <v>16</v>
      </c>
    </row>
    <row r="571" spans="1:3">
      <c r="A571" t="inlineStr">
        <is>
          <t>Eastern Samar|Llorente</t>
        </is>
      </c>
      <c r="B571">
        <v>13495</v>
      </c>
      <c r="C571">
        <v>33</v>
      </c>
    </row>
    <row r="572" spans="1:3">
      <c r="A572" t="inlineStr">
        <is>
          <t>Eastern Samar|Maslog</t>
        </is>
      </c>
      <c r="B572">
        <v>13528</v>
      </c>
      <c r="C572">
        <v>12</v>
      </c>
    </row>
    <row r="573" spans="1:3">
      <c r="A573" t="inlineStr">
        <is>
          <t>Eastern Samar|Maydolong</t>
        </is>
      </c>
      <c r="B573">
        <v>13540</v>
      </c>
      <c r="C573">
        <v>20</v>
      </c>
    </row>
    <row r="574" spans="1:3">
      <c r="A574" t="inlineStr">
        <is>
          <t>Eastern Samar|Mercedes</t>
        </is>
      </c>
      <c r="B574">
        <v>13560</v>
      </c>
      <c r="C574">
        <v>16</v>
      </c>
    </row>
    <row r="575" spans="1:3">
      <c r="A575" t="inlineStr">
        <is>
          <t>Eastern Samar|Oras</t>
        </is>
      </c>
      <c r="B575">
        <v>13576</v>
      </c>
      <c r="C575">
        <v>42</v>
      </c>
    </row>
    <row r="576" spans="1:3">
      <c r="A576" t="inlineStr">
        <is>
          <t>Eastern Samar|Quinapondan</t>
        </is>
      </c>
      <c r="B576">
        <v>13618</v>
      </c>
      <c r="C576">
        <v>25</v>
      </c>
    </row>
    <row r="577" spans="1:3">
      <c r="A577" t="inlineStr">
        <is>
          <t>Eastern Samar|Salcedo</t>
        </is>
      </c>
      <c r="B577">
        <v>13643</v>
      </c>
      <c r="C577">
        <v>41</v>
      </c>
    </row>
    <row r="578" spans="1:3">
      <c r="A578" t="inlineStr">
        <is>
          <t>Eastern Samar|San Julian</t>
        </is>
      </c>
      <c r="B578">
        <v>13684</v>
      </c>
      <c r="C578">
        <v>16</v>
      </c>
    </row>
    <row r="579" spans="1:3">
      <c r="A579" t="inlineStr">
        <is>
          <t>Eastern Samar|San Policarpo</t>
        </is>
      </c>
      <c r="B579">
        <v>13700</v>
      </c>
      <c r="C579">
        <v>17</v>
      </c>
    </row>
    <row r="580" spans="1:3">
      <c r="A580" t="inlineStr">
        <is>
          <t>Eastern Samar|Sulat</t>
        </is>
      </c>
      <c r="B580">
        <v>13717</v>
      </c>
      <c r="C580">
        <v>18</v>
      </c>
    </row>
    <row r="581" spans="1:3">
      <c r="A581" t="inlineStr">
        <is>
          <t>Eastern Samar|Taft</t>
        </is>
      </c>
      <c r="B581">
        <v>13735</v>
      </c>
      <c r="C581">
        <v>24</v>
      </c>
    </row>
    <row r="582" spans="1:3">
      <c r="A582" t="inlineStr">
        <is>
          <t>Guimaras|Buenavista</t>
        </is>
      </c>
      <c r="B582">
        <v>13759</v>
      </c>
      <c r="C582">
        <v>36</v>
      </c>
    </row>
    <row r="583" spans="1:3">
      <c r="A583" t="inlineStr">
        <is>
          <t>Guimaras|Jordan</t>
        </is>
      </c>
      <c r="B583">
        <v>13795</v>
      </c>
      <c r="C583">
        <v>14</v>
      </c>
    </row>
    <row r="584" spans="1:3">
      <c r="A584" t="inlineStr">
        <is>
          <t>Guimaras|Nueva Valencia</t>
        </is>
      </c>
      <c r="B584">
        <v>13809</v>
      </c>
      <c r="C584">
        <v>22</v>
      </c>
    </row>
    <row r="585" spans="1:3">
      <c r="A585" t="inlineStr">
        <is>
          <t>Guimaras|San Lorenzo</t>
        </is>
      </c>
      <c r="B585">
        <v>13831</v>
      </c>
      <c r="C585">
        <v>12</v>
      </c>
    </row>
    <row r="586" spans="1:3">
      <c r="A586" t="inlineStr">
        <is>
          <t>Guimaras|Sibunag</t>
        </is>
      </c>
      <c r="B586">
        <v>13843</v>
      </c>
      <c r="C586">
        <v>14</v>
      </c>
    </row>
    <row r="587" spans="1:3">
      <c r="A587" t="inlineStr">
        <is>
          <t>Ifugao|Aguinaldo</t>
        </is>
      </c>
      <c r="B587">
        <v>13857</v>
      </c>
      <c r="C587">
        <v>16</v>
      </c>
    </row>
    <row r="588" spans="1:3">
      <c r="A588" t="inlineStr">
        <is>
          <t>Ifugao|Alfonso Lista</t>
        </is>
      </c>
      <c r="B588">
        <v>13873</v>
      </c>
      <c r="C588">
        <v>20</v>
      </c>
    </row>
    <row r="589" spans="1:3">
      <c r="A589" t="inlineStr">
        <is>
          <t>Ifugao|Asipulo</t>
        </is>
      </c>
      <c r="B589">
        <v>13893</v>
      </c>
      <c r="C589">
        <v>10</v>
      </c>
    </row>
    <row r="590" spans="1:3">
      <c r="A590" t="inlineStr">
        <is>
          <t>Ifugao|Banaue</t>
        </is>
      </c>
      <c r="B590">
        <v>13903</v>
      </c>
      <c r="C590">
        <v>18</v>
      </c>
    </row>
    <row r="591" spans="1:3">
      <c r="A591" t="inlineStr">
        <is>
          <t>Ifugao|Hingyon</t>
        </is>
      </c>
      <c r="B591">
        <v>13921</v>
      </c>
      <c r="C591">
        <v>12</v>
      </c>
    </row>
    <row r="592" spans="1:3">
      <c r="A592" t="inlineStr">
        <is>
          <t>Ifugao|Hungduan</t>
        </is>
      </c>
      <c r="B592">
        <v>13933</v>
      </c>
      <c r="C592">
        <v>9</v>
      </c>
    </row>
    <row r="593" spans="1:3">
      <c r="A593" t="inlineStr">
        <is>
          <t>Ifugao|Kiangan</t>
        </is>
      </c>
      <c r="B593">
        <v>13942</v>
      </c>
      <c r="C593">
        <v>14</v>
      </c>
    </row>
    <row r="594" spans="1:3">
      <c r="A594" t="inlineStr">
        <is>
          <t>Ifugao|Lagawe</t>
        </is>
      </c>
      <c r="B594">
        <v>13956</v>
      </c>
      <c r="C594">
        <v>20</v>
      </c>
    </row>
    <row r="595" spans="1:3">
      <c r="A595" t="inlineStr">
        <is>
          <t>Ifugao|Lamut</t>
        </is>
      </c>
      <c r="B595">
        <v>13976</v>
      </c>
      <c r="C595">
        <v>18</v>
      </c>
    </row>
    <row r="596" spans="1:3">
      <c r="A596" t="inlineStr">
        <is>
          <t>Ifugao|Mayoyao</t>
        </is>
      </c>
      <c r="B596">
        <v>13994</v>
      </c>
      <c r="C596">
        <v>27</v>
      </c>
    </row>
    <row r="597" spans="1:3">
      <c r="A597" t="inlineStr">
        <is>
          <t>Ifugao|Tinoc</t>
        </is>
      </c>
      <c r="B597">
        <v>14021</v>
      </c>
      <c r="C597">
        <v>12</v>
      </c>
    </row>
    <row r="598" spans="1:3">
      <c r="A598" t="inlineStr">
        <is>
          <t>Ilocos Norte|Adams</t>
        </is>
      </c>
      <c r="B598">
        <v>14033</v>
      </c>
      <c r="C598">
        <v>1</v>
      </c>
    </row>
    <row r="599" spans="1:3">
      <c r="A599" t="inlineStr">
        <is>
          <t>Ilocos Norte|Bacarra</t>
        </is>
      </c>
      <c r="B599">
        <v>14034</v>
      </c>
      <c r="C599">
        <v>43</v>
      </c>
    </row>
    <row r="600" spans="1:3">
      <c r="A600" t="inlineStr">
        <is>
          <t>Ilocos Norte|Badoc</t>
        </is>
      </c>
      <c r="B600">
        <v>14077</v>
      </c>
      <c r="C600">
        <v>31</v>
      </c>
    </row>
    <row r="601" spans="1:3">
      <c r="A601" t="inlineStr">
        <is>
          <t>Ilocos Norte|Bangui</t>
        </is>
      </c>
      <c r="B601">
        <v>14108</v>
      </c>
      <c r="C601">
        <v>14</v>
      </c>
    </row>
    <row r="602" spans="1:3">
      <c r="A602" t="inlineStr">
        <is>
          <t>Ilocos Norte|Banna</t>
        </is>
      </c>
      <c r="B602">
        <v>14122</v>
      </c>
      <c r="C602">
        <v>20</v>
      </c>
    </row>
    <row r="603" spans="1:3">
      <c r="A603" t="inlineStr">
        <is>
          <t>Ilocos Norte|Burgos</t>
        </is>
      </c>
      <c r="B603">
        <v>14142</v>
      </c>
      <c r="C603">
        <v>11</v>
      </c>
    </row>
    <row r="604" spans="1:3">
      <c r="A604" t="inlineStr">
        <is>
          <t>Ilocos Norte|Carasi</t>
        </is>
      </c>
      <c r="B604">
        <v>14153</v>
      </c>
      <c r="C604">
        <v>3</v>
      </c>
    </row>
    <row r="605" spans="1:3">
      <c r="A605" t="inlineStr">
        <is>
          <t>Ilocos Norte|City of Batac</t>
        </is>
      </c>
      <c r="B605">
        <v>14156</v>
      </c>
      <c r="C605">
        <v>43</v>
      </c>
    </row>
    <row r="606" spans="1:3">
      <c r="A606" t="inlineStr">
        <is>
          <t>Ilocos Norte|City of Laoag</t>
        </is>
      </c>
      <c r="B606">
        <v>14199</v>
      </c>
      <c r="C606">
        <v>80</v>
      </c>
    </row>
    <row r="607" spans="1:3">
      <c r="A607" t="inlineStr">
        <is>
          <t>Ilocos Norte|Currimao</t>
        </is>
      </c>
      <c r="B607">
        <v>14279</v>
      </c>
      <c r="C607">
        <v>23</v>
      </c>
    </row>
    <row r="608" spans="1:3">
      <c r="A608" t="inlineStr">
        <is>
          <t>Ilocos Norte|Dingras</t>
        </is>
      </c>
      <c r="B608">
        <v>14302</v>
      </c>
      <c r="C608">
        <v>31</v>
      </c>
    </row>
    <row r="609" spans="1:3">
      <c r="A609" t="inlineStr">
        <is>
          <t>Ilocos Norte|Dumalneg</t>
        </is>
      </c>
      <c r="B609">
        <v>14333</v>
      </c>
      <c r="C609">
        <v>4</v>
      </c>
    </row>
    <row r="610" spans="1:3">
      <c r="A610" t="inlineStr">
        <is>
          <t>Ilocos Norte|Marcos</t>
        </is>
      </c>
      <c r="B610">
        <v>14337</v>
      </c>
      <c r="C610">
        <v>13</v>
      </c>
    </row>
    <row r="611" spans="1:3">
      <c r="A611" t="inlineStr">
        <is>
          <t>Ilocos Norte|Nueva Era</t>
        </is>
      </c>
      <c r="B611">
        <v>14350</v>
      </c>
      <c r="C611">
        <v>11</v>
      </c>
    </row>
    <row r="612" spans="1:3">
      <c r="A612" t="inlineStr">
        <is>
          <t>Ilocos Norte|Pagudpud</t>
        </is>
      </c>
      <c r="B612">
        <v>14361</v>
      </c>
      <c r="C612">
        <v>16</v>
      </c>
    </row>
    <row r="613" spans="1:3">
      <c r="A613" t="inlineStr">
        <is>
          <t>Ilocos Norte|Paoay</t>
        </is>
      </c>
      <c r="B613">
        <v>14377</v>
      </c>
      <c r="C613">
        <v>31</v>
      </c>
    </row>
    <row r="614" spans="1:3">
      <c r="A614" t="inlineStr">
        <is>
          <t>Ilocos Norte|Pasuquin</t>
        </is>
      </c>
      <c r="B614">
        <v>14408</v>
      </c>
      <c r="C614">
        <v>33</v>
      </c>
    </row>
    <row r="615" spans="1:3">
      <c r="A615" t="inlineStr">
        <is>
          <t>Ilocos Norte|Piddig</t>
        </is>
      </c>
      <c r="B615">
        <v>14441</v>
      </c>
      <c r="C615">
        <v>23</v>
      </c>
    </row>
    <row r="616" spans="1:3">
      <c r="A616" t="inlineStr">
        <is>
          <t>Ilocos Norte|Pinili</t>
        </is>
      </c>
      <c r="B616">
        <v>14464</v>
      </c>
      <c r="C616">
        <v>25</v>
      </c>
    </row>
    <row r="617" spans="1:3">
      <c r="A617" t="inlineStr">
        <is>
          <t>Ilocos Norte|San Nicolas</t>
        </is>
      </c>
      <c r="B617">
        <v>14489</v>
      </c>
      <c r="C617">
        <v>24</v>
      </c>
    </row>
    <row r="618" spans="1:3">
      <c r="A618" t="inlineStr">
        <is>
          <t>Ilocos Norte|Sarrat</t>
        </is>
      </c>
      <c r="B618">
        <v>14513</v>
      </c>
      <c r="C618">
        <v>24</v>
      </c>
    </row>
    <row r="619" spans="1:3">
      <c r="A619" t="inlineStr">
        <is>
          <t>Ilocos Norte|Solsona</t>
        </is>
      </c>
      <c r="B619">
        <v>14537</v>
      </c>
      <c r="C619">
        <v>22</v>
      </c>
    </row>
    <row r="620" spans="1:3">
      <c r="A620" t="inlineStr">
        <is>
          <t>Ilocos Norte|Vintar</t>
        </is>
      </c>
      <c r="B620">
        <v>14559</v>
      </c>
      <c r="C620">
        <v>33</v>
      </c>
    </row>
    <row r="621" spans="1:3">
      <c r="A621" t="inlineStr">
        <is>
          <t>Ilocos Sur|Alilem</t>
        </is>
      </c>
      <c r="B621">
        <v>14592</v>
      </c>
      <c r="C621">
        <v>9</v>
      </c>
    </row>
    <row r="622" spans="1:3">
      <c r="A622" t="inlineStr">
        <is>
          <t>Ilocos Sur|Banayoyo</t>
        </is>
      </c>
      <c r="B622">
        <v>14601</v>
      </c>
      <c r="C622">
        <v>14</v>
      </c>
    </row>
    <row r="623" spans="1:3">
      <c r="A623" t="inlineStr">
        <is>
          <t>Ilocos Sur|Bantay</t>
        </is>
      </c>
      <c r="B623">
        <v>14615</v>
      </c>
      <c r="C623">
        <v>34</v>
      </c>
    </row>
    <row r="624" spans="1:3">
      <c r="A624" t="inlineStr">
        <is>
          <t>Ilocos Sur|Burgos</t>
        </is>
      </c>
      <c r="B624">
        <v>14649</v>
      </c>
      <c r="C624">
        <v>26</v>
      </c>
    </row>
    <row r="625" spans="1:3">
      <c r="A625" t="inlineStr">
        <is>
          <t>Ilocos Sur|Cabugao</t>
        </is>
      </c>
      <c r="B625">
        <v>14675</v>
      </c>
      <c r="C625">
        <v>33</v>
      </c>
    </row>
    <row r="626" spans="1:3">
      <c r="A626" t="inlineStr">
        <is>
          <t>Ilocos Sur|Caoayan</t>
        </is>
      </c>
      <c r="B626">
        <v>14708</v>
      </c>
      <c r="C626">
        <v>17</v>
      </c>
    </row>
    <row r="627" spans="1:3">
      <c r="A627" t="inlineStr">
        <is>
          <t>Ilocos Sur|Cervantes</t>
        </is>
      </c>
      <c r="B627">
        <v>14725</v>
      </c>
      <c r="C627">
        <v>13</v>
      </c>
    </row>
    <row r="628" spans="1:3">
      <c r="A628" t="inlineStr">
        <is>
          <t>Ilocos Sur|City of Candon</t>
        </is>
      </c>
      <c r="B628">
        <v>14738</v>
      </c>
      <c r="C628">
        <v>42</v>
      </c>
    </row>
    <row r="629" spans="1:3">
      <c r="A629" t="inlineStr">
        <is>
          <t>Ilocos Sur|City of Vigan</t>
        </is>
      </c>
      <c r="B629">
        <v>14780</v>
      </c>
      <c r="C629">
        <v>39</v>
      </c>
    </row>
    <row r="630" spans="1:3">
      <c r="A630" t="inlineStr">
        <is>
          <t>Ilocos Sur|Galimuyod</t>
        </is>
      </c>
      <c r="B630">
        <v>14819</v>
      </c>
      <c r="C630">
        <v>24</v>
      </c>
    </row>
    <row r="631" spans="1:3">
      <c r="A631" t="inlineStr">
        <is>
          <t>Ilocos Sur|Gregorio del Pilar</t>
        </is>
      </c>
      <c r="B631">
        <v>14843</v>
      </c>
      <c r="C631">
        <v>7</v>
      </c>
    </row>
    <row r="632" spans="1:3">
      <c r="A632" t="inlineStr">
        <is>
          <t>Ilocos Sur|Lidlidda</t>
        </is>
      </c>
      <c r="B632">
        <v>14850</v>
      </c>
      <c r="C632">
        <v>11</v>
      </c>
    </row>
    <row r="633" spans="1:3">
      <c r="A633" t="inlineStr">
        <is>
          <t>Ilocos Sur|Magsingal</t>
        </is>
      </c>
      <c r="B633">
        <v>14861</v>
      </c>
      <c r="C633">
        <v>30</v>
      </c>
    </row>
    <row r="634" spans="1:3">
      <c r="A634" t="inlineStr">
        <is>
          <t>Ilocos Sur|Nagbukel</t>
        </is>
      </c>
      <c r="B634">
        <v>14891</v>
      </c>
      <c r="C634">
        <v>12</v>
      </c>
    </row>
    <row r="635" spans="1:3">
      <c r="A635" t="inlineStr">
        <is>
          <t>Ilocos Sur|Narvacan</t>
        </is>
      </c>
      <c r="B635">
        <v>14903</v>
      </c>
      <c r="C635">
        <v>34</v>
      </c>
    </row>
    <row r="636" spans="1:3">
      <c r="A636" t="inlineStr">
        <is>
          <t>Ilocos Sur|Quirino</t>
        </is>
      </c>
      <c r="B636">
        <v>14937</v>
      </c>
      <c r="C636">
        <v>9</v>
      </c>
    </row>
    <row r="637" spans="1:3">
      <c r="A637" t="inlineStr">
        <is>
          <t>Ilocos Sur|Salcedo</t>
        </is>
      </c>
      <c r="B637">
        <v>14946</v>
      </c>
      <c r="C637">
        <v>21</v>
      </c>
    </row>
    <row r="638" spans="1:3">
      <c r="A638" t="inlineStr">
        <is>
          <t>Ilocos Sur|San Emilio</t>
        </is>
      </c>
      <c r="B638">
        <v>14967</v>
      </c>
      <c r="C638">
        <v>8</v>
      </c>
    </row>
    <row r="639" spans="1:3">
      <c r="A639" t="inlineStr">
        <is>
          <t>Ilocos Sur|San Esteban</t>
        </is>
      </c>
      <c r="B639">
        <v>14975</v>
      </c>
      <c r="C639">
        <v>10</v>
      </c>
    </row>
    <row r="640" spans="1:3">
      <c r="A640" t="inlineStr">
        <is>
          <t>Ilocos Sur|San Ildefonso</t>
        </is>
      </c>
      <c r="B640">
        <v>14985</v>
      </c>
      <c r="C640">
        <v>15</v>
      </c>
    </row>
    <row r="641" spans="1:3">
      <c r="A641" t="inlineStr">
        <is>
          <t>Ilocos Sur|San Juan</t>
        </is>
      </c>
      <c r="B641">
        <v>15000</v>
      </c>
      <c r="C641">
        <v>32</v>
      </c>
    </row>
    <row r="642" spans="1:3">
      <c r="A642" t="inlineStr">
        <is>
          <t>Ilocos Sur|San Vicente</t>
        </is>
      </c>
      <c r="B642">
        <v>15032</v>
      </c>
      <c r="C642">
        <v>7</v>
      </c>
    </row>
    <row r="643" spans="1:3">
      <c r="A643" t="inlineStr">
        <is>
          <t>Ilocos Sur|Santa</t>
        </is>
      </c>
      <c r="B643">
        <v>15039</v>
      </c>
      <c r="C643">
        <v>26</v>
      </c>
    </row>
    <row r="644" spans="1:3">
      <c r="A644" t="inlineStr">
        <is>
          <t>Ilocos Sur|Santa Catalina</t>
        </is>
      </c>
      <c r="B644">
        <v>15065</v>
      </c>
      <c r="C644">
        <v>9</v>
      </c>
    </row>
    <row r="645" spans="1:3">
      <c r="A645" t="inlineStr">
        <is>
          <t>Ilocos Sur|Santa Cruz</t>
        </is>
      </c>
      <c r="B645">
        <v>15074</v>
      </c>
      <c r="C645">
        <v>49</v>
      </c>
    </row>
    <row r="646" spans="1:3">
      <c r="A646" t="inlineStr">
        <is>
          <t>Ilocos Sur|Santa Lucia</t>
        </is>
      </c>
      <c r="B646">
        <v>15123</v>
      </c>
      <c r="C646">
        <v>36</v>
      </c>
    </row>
    <row r="647" spans="1:3">
      <c r="A647" t="inlineStr">
        <is>
          <t>Ilocos Sur|Santa Maria</t>
        </is>
      </c>
      <c r="B647">
        <v>15159</v>
      </c>
      <c r="C647">
        <v>33</v>
      </c>
    </row>
    <row r="648" spans="1:3">
      <c r="A648" t="inlineStr">
        <is>
          <t>Ilocos Sur|Santiago</t>
        </is>
      </c>
      <c r="B648">
        <v>15192</v>
      </c>
      <c r="C648">
        <v>24</v>
      </c>
    </row>
    <row r="649" spans="1:3">
      <c r="A649" t="inlineStr">
        <is>
          <t>Ilocos Sur|Santo Domingo</t>
        </is>
      </c>
      <c r="B649">
        <v>15216</v>
      </c>
      <c r="C649">
        <v>36</v>
      </c>
    </row>
    <row r="650" spans="1:3">
      <c r="A650" t="inlineStr">
        <is>
          <t>Ilocos Sur|Sigay</t>
        </is>
      </c>
      <c r="B650">
        <v>15252</v>
      </c>
      <c r="C650">
        <v>7</v>
      </c>
    </row>
    <row r="651" spans="1:3">
      <c r="A651" t="inlineStr">
        <is>
          <t>Ilocos Sur|Sinait</t>
        </is>
      </c>
      <c r="B651">
        <v>15259</v>
      </c>
      <c r="C651">
        <v>44</v>
      </c>
    </row>
    <row r="652" spans="1:3">
      <c r="A652" t="inlineStr">
        <is>
          <t>Ilocos Sur|Sugpon</t>
        </is>
      </c>
      <c r="B652">
        <v>15303</v>
      </c>
      <c r="C652">
        <v>6</v>
      </c>
    </row>
    <row r="653" spans="1:3">
      <c r="A653" t="inlineStr">
        <is>
          <t>Ilocos Sur|Suyo</t>
        </is>
      </c>
      <c r="B653">
        <v>15309</v>
      </c>
      <c r="C653">
        <v>8</v>
      </c>
    </row>
    <row r="654" spans="1:3">
      <c r="A654" t="inlineStr">
        <is>
          <t>Ilocos Sur|Tagudin</t>
        </is>
      </c>
      <c r="B654">
        <v>15317</v>
      </c>
      <c r="C654">
        <v>43</v>
      </c>
    </row>
    <row r="655" spans="1:3">
      <c r="A655" t="inlineStr">
        <is>
          <t>Iloilo|Ajuy</t>
        </is>
      </c>
      <c r="B655">
        <v>15360</v>
      </c>
      <c r="C655">
        <v>34</v>
      </c>
    </row>
    <row r="656" spans="1:3">
      <c r="A656" t="inlineStr">
        <is>
          <t>Iloilo|Alimodian</t>
        </is>
      </c>
      <c r="B656">
        <v>15394</v>
      </c>
      <c r="C656">
        <v>51</v>
      </c>
    </row>
    <row r="657" spans="1:3">
      <c r="A657" t="inlineStr">
        <is>
          <t>Iloilo|Anilao</t>
        </is>
      </c>
      <c r="B657">
        <v>15445</v>
      </c>
      <c r="C657">
        <v>21</v>
      </c>
    </row>
    <row r="658" spans="1:3">
      <c r="A658" t="inlineStr">
        <is>
          <t>Iloilo|Badiangan</t>
        </is>
      </c>
      <c r="B658">
        <v>15466</v>
      </c>
      <c r="C658">
        <v>31</v>
      </c>
    </row>
    <row r="659" spans="1:3">
      <c r="A659" t="inlineStr">
        <is>
          <t>Iloilo|Balasan</t>
        </is>
      </c>
      <c r="B659">
        <v>15497</v>
      </c>
      <c r="C659">
        <v>23</v>
      </c>
    </row>
    <row r="660" spans="1:3">
      <c r="A660" t="inlineStr">
        <is>
          <t>Iloilo|Banate</t>
        </is>
      </c>
      <c r="B660">
        <v>15520</v>
      </c>
      <c r="C660">
        <v>18</v>
      </c>
    </row>
    <row r="661" spans="1:3">
      <c r="A661" t="inlineStr">
        <is>
          <t>Iloilo|Barotac Nuevo</t>
        </is>
      </c>
      <c r="B661">
        <v>15538</v>
      </c>
      <c r="C661">
        <v>29</v>
      </c>
    </row>
    <row r="662" spans="1:3">
      <c r="A662" t="inlineStr">
        <is>
          <t>Iloilo|Barotac Viejo</t>
        </is>
      </c>
      <c r="B662">
        <v>15567</v>
      </c>
      <c r="C662">
        <v>26</v>
      </c>
    </row>
    <row r="663" spans="1:3">
      <c r="A663" t="inlineStr">
        <is>
          <t>Iloilo|Batad</t>
        </is>
      </c>
      <c r="B663">
        <v>15593</v>
      </c>
      <c r="C663">
        <v>24</v>
      </c>
    </row>
    <row r="664" spans="1:3">
      <c r="A664" t="inlineStr">
        <is>
          <t>Iloilo|Bingawan</t>
        </is>
      </c>
      <c r="B664">
        <v>15617</v>
      </c>
      <c r="C664">
        <v>14</v>
      </c>
    </row>
    <row r="665" spans="1:3">
      <c r="A665" t="inlineStr">
        <is>
          <t>Iloilo|Cabatuan</t>
        </is>
      </c>
      <c r="B665">
        <v>15631</v>
      </c>
      <c r="C665">
        <v>68</v>
      </c>
    </row>
    <row r="666" spans="1:3">
      <c r="A666" t="inlineStr">
        <is>
          <t>Iloilo|Calinog</t>
        </is>
      </c>
      <c r="B666">
        <v>15699</v>
      </c>
      <c r="C666">
        <v>59</v>
      </c>
    </row>
    <row r="667" spans="1:3">
      <c r="A667" t="inlineStr">
        <is>
          <t>Iloilo|Carles</t>
        </is>
      </c>
      <c r="B667">
        <v>15758</v>
      </c>
      <c r="C667">
        <v>33</v>
      </c>
    </row>
    <row r="668" spans="1:3">
      <c r="A668" t="inlineStr">
        <is>
          <t>Iloilo|City of Passi</t>
        </is>
      </c>
      <c r="B668">
        <v>15791</v>
      </c>
      <c r="C668">
        <v>51</v>
      </c>
    </row>
    <row r="669" spans="1:3">
      <c r="A669" t="inlineStr">
        <is>
          <t>Iloilo|Concepcion</t>
        </is>
      </c>
      <c r="B669">
        <v>15842</v>
      </c>
      <c r="C669">
        <v>25</v>
      </c>
    </row>
    <row r="670" spans="1:3">
      <c r="A670" t="inlineStr">
        <is>
          <t>Iloilo|Dingle</t>
        </is>
      </c>
      <c r="B670">
        <v>15867</v>
      </c>
      <c r="C670">
        <v>33</v>
      </c>
    </row>
    <row r="671" spans="1:3">
      <c r="A671" t="inlineStr">
        <is>
          <t>Iloilo|Dueñas</t>
        </is>
      </c>
      <c r="B671">
        <v>15900</v>
      </c>
      <c r="C671">
        <v>47</v>
      </c>
    </row>
    <row r="672" spans="1:3">
      <c r="A672" t="inlineStr">
        <is>
          <t>Iloilo|Dumangas</t>
        </is>
      </c>
      <c r="B672">
        <v>15947</v>
      </c>
      <c r="C672">
        <v>45</v>
      </c>
    </row>
    <row r="673" spans="1:3">
      <c r="A673" t="inlineStr">
        <is>
          <t>Iloilo|Estancia</t>
        </is>
      </c>
      <c r="B673">
        <v>15992</v>
      </c>
      <c r="C673">
        <v>25</v>
      </c>
    </row>
    <row r="674" spans="1:3">
      <c r="A674" t="inlineStr">
        <is>
          <t>Iloilo|Guimbal</t>
        </is>
      </c>
      <c r="B674">
        <v>16017</v>
      </c>
      <c r="C674">
        <v>33</v>
      </c>
    </row>
    <row r="675" spans="1:3">
      <c r="A675" t="inlineStr">
        <is>
          <t>Iloilo|Igbaras</t>
        </is>
      </c>
      <c r="B675">
        <v>16050</v>
      </c>
      <c r="C675">
        <v>46</v>
      </c>
    </row>
    <row r="676" spans="1:3">
      <c r="A676" t="inlineStr">
        <is>
          <t>Iloilo|Janiuay</t>
        </is>
      </c>
      <c r="B676">
        <v>16096</v>
      </c>
      <c r="C676">
        <v>60</v>
      </c>
    </row>
    <row r="677" spans="1:3">
      <c r="A677" t="inlineStr">
        <is>
          <t>Iloilo|Lambunao</t>
        </is>
      </c>
      <c r="B677">
        <v>16156</v>
      </c>
      <c r="C677">
        <v>73</v>
      </c>
    </row>
    <row r="678" spans="1:3">
      <c r="A678" t="inlineStr">
        <is>
          <t>Iloilo|Leganes</t>
        </is>
      </c>
      <c r="B678">
        <v>16229</v>
      </c>
      <c r="C678">
        <v>18</v>
      </c>
    </row>
    <row r="679" spans="1:3">
      <c r="A679" t="inlineStr">
        <is>
          <t>Iloilo|Lemery</t>
        </is>
      </c>
      <c r="B679">
        <v>16247</v>
      </c>
      <c r="C679">
        <v>31</v>
      </c>
    </row>
    <row r="680" spans="1:3">
      <c r="A680" t="inlineStr">
        <is>
          <t>Iloilo|Leon</t>
        </is>
      </c>
      <c r="B680">
        <v>16278</v>
      </c>
      <c r="C680">
        <v>85</v>
      </c>
    </row>
    <row r="681" spans="1:3">
      <c r="A681" t="inlineStr">
        <is>
          <t>Iloilo|Maasin</t>
        </is>
      </c>
      <c r="B681">
        <v>16363</v>
      </c>
      <c r="C681">
        <v>50</v>
      </c>
    </row>
    <row r="682" spans="1:3">
      <c r="A682" t="inlineStr">
        <is>
          <t>Iloilo|Miagao</t>
        </is>
      </c>
      <c r="B682">
        <v>16413</v>
      </c>
      <c r="C682">
        <v>119</v>
      </c>
    </row>
    <row r="683" spans="1:3">
      <c r="A683" t="inlineStr">
        <is>
          <t>Iloilo|Mina</t>
        </is>
      </c>
      <c r="B683">
        <v>16532</v>
      </c>
      <c r="C683">
        <v>22</v>
      </c>
    </row>
    <row r="684" spans="1:3">
      <c r="A684" t="inlineStr">
        <is>
          <t>Iloilo|New Lucena</t>
        </is>
      </c>
      <c r="B684">
        <v>16554</v>
      </c>
      <c r="C684">
        <v>21</v>
      </c>
    </row>
    <row r="685" spans="1:3">
      <c r="A685" t="inlineStr">
        <is>
          <t>Iloilo|Oton</t>
        </is>
      </c>
      <c r="B685">
        <v>16575</v>
      </c>
      <c r="C685">
        <v>37</v>
      </c>
    </row>
    <row r="686" spans="1:3">
      <c r="A686" t="inlineStr">
        <is>
          <t>Iloilo|Pavia</t>
        </is>
      </c>
      <c r="B686">
        <v>16612</v>
      </c>
      <c r="C686">
        <v>18</v>
      </c>
    </row>
    <row r="687" spans="1:3">
      <c r="A687" t="inlineStr">
        <is>
          <t>Iloilo|Pototan</t>
        </is>
      </c>
      <c r="B687">
        <v>16630</v>
      </c>
      <c r="C687">
        <v>50</v>
      </c>
    </row>
    <row r="688" spans="1:3">
      <c r="A688" t="inlineStr">
        <is>
          <t>Iloilo|San Dionisio</t>
        </is>
      </c>
      <c r="B688">
        <v>16680</v>
      </c>
      <c r="C688">
        <v>29</v>
      </c>
    </row>
    <row r="689" spans="1:3">
      <c r="A689" t="inlineStr">
        <is>
          <t>Iloilo|San Enrique</t>
        </is>
      </c>
      <c r="B689">
        <v>16709</v>
      </c>
      <c r="C689">
        <v>28</v>
      </c>
    </row>
    <row r="690" spans="1:3">
      <c r="A690" t="inlineStr">
        <is>
          <t>Iloilo|San Joaquin</t>
        </is>
      </c>
      <c r="B690">
        <v>16737</v>
      </c>
      <c r="C690">
        <v>85</v>
      </c>
    </row>
    <row r="691" spans="1:3">
      <c r="A691" t="inlineStr">
        <is>
          <t>Iloilo|San Miguel</t>
        </is>
      </c>
      <c r="B691">
        <v>16822</v>
      </c>
      <c r="C691">
        <v>24</v>
      </c>
    </row>
    <row r="692" spans="1:3">
      <c r="A692" t="inlineStr">
        <is>
          <t>Iloilo|San Rafael</t>
        </is>
      </c>
      <c r="B692">
        <v>16846</v>
      </c>
      <c r="C692">
        <v>9</v>
      </c>
    </row>
    <row r="693" spans="1:3">
      <c r="A693" t="inlineStr">
        <is>
          <t>Iloilo|Santa Barbara</t>
        </is>
      </c>
      <c r="B693">
        <v>16855</v>
      </c>
      <c r="C693">
        <v>60</v>
      </c>
    </row>
    <row r="694" spans="1:3">
      <c r="A694" t="inlineStr">
        <is>
          <t>Iloilo|Sara</t>
        </is>
      </c>
      <c r="B694">
        <v>16915</v>
      </c>
      <c r="C694">
        <v>42</v>
      </c>
    </row>
    <row r="695" spans="1:3">
      <c r="A695" t="inlineStr">
        <is>
          <t>Iloilo|Tigbauan</t>
        </is>
      </c>
      <c r="B695">
        <v>16957</v>
      </c>
      <c r="C695">
        <v>52</v>
      </c>
    </row>
    <row r="696" spans="1:3">
      <c r="A696" t="inlineStr">
        <is>
          <t>Iloilo|Tubungan</t>
        </is>
      </c>
      <c r="B696">
        <v>17009</v>
      </c>
      <c r="C696">
        <v>48</v>
      </c>
    </row>
    <row r="697" spans="1:3">
      <c r="A697" t="inlineStr">
        <is>
          <t>Iloilo|Zarraga</t>
        </is>
      </c>
      <c r="B697">
        <v>17057</v>
      </c>
      <c r="C697">
        <v>24</v>
      </c>
    </row>
    <row r="698" spans="1:3">
      <c r="A698" t="inlineStr">
        <is>
          <t>Independent Cities — Cordillera Administrative Region (CAR)|City of Baguio</t>
        </is>
      </c>
      <c r="B698">
        <v>17081</v>
      </c>
      <c r="C698">
        <v>129</v>
      </c>
    </row>
    <row r="699" spans="1:3">
      <c r="A699" t="inlineStr">
        <is>
          <t>Independent Cities — MIMAROPA Region|City of Puerto Princesa</t>
        </is>
      </c>
      <c r="B699">
        <v>17210</v>
      </c>
      <c r="C699">
        <v>66</v>
      </c>
    </row>
    <row r="700" spans="1:3">
      <c r="A700" t="inlineStr">
        <is>
          <t>Independent Cities — Negros Island Region (NIR)|City of Bacolod</t>
        </is>
      </c>
      <c r="B700">
        <v>17276</v>
      </c>
      <c r="C700">
        <v>61</v>
      </c>
    </row>
    <row r="701" spans="1:3">
      <c r="A701" t="inlineStr">
        <is>
          <t>Independent Cities — Region III (Central Luzon)|City of Angeles</t>
        </is>
      </c>
      <c r="B701">
        <v>17337</v>
      </c>
      <c r="C701">
        <v>33</v>
      </c>
    </row>
    <row r="702" spans="1:3">
      <c r="A702" t="inlineStr">
        <is>
          <t>Independent Cities — Region III (Central Luzon)|City of Olongapo</t>
        </is>
      </c>
      <c r="B702">
        <v>17370</v>
      </c>
      <c r="C702">
        <v>17</v>
      </c>
    </row>
    <row r="703" spans="1:3">
      <c r="A703" t="inlineStr">
        <is>
          <t>Independent Cities — Region IV-A (CALABARZON)|City of Lucena</t>
        </is>
      </c>
      <c r="B703">
        <v>17387</v>
      </c>
      <c r="C703">
        <v>33</v>
      </c>
    </row>
    <row r="704" spans="1:3">
      <c r="A704" t="inlineStr">
        <is>
          <t>Independent Cities — Region IX (Zamboanga Peninsula)|City of Zamboanga</t>
        </is>
      </c>
      <c r="B704">
        <v>17420</v>
      </c>
      <c r="C704">
        <v>98</v>
      </c>
    </row>
    <row r="705" spans="1:3">
      <c r="A705" t="inlineStr">
        <is>
          <t>Independent Cities — Region VI (Western Visayas)|City of Iloilo</t>
        </is>
      </c>
      <c r="B705">
        <v>17518</v>
      </c>
      <c r="C705">
        <v>180</v>
      </c>
    </row>
    <row r="706" spans="1:3">
      <c r="A706" t="inlineStr">
        <is>
          <t>Independent Cities — Region VII (Central Visayas)|City of Cebu</t>
        </is>
      </c>
      <c r="B706">
        <v>17698</v>
      </c>
      <c r="C706">
        <v>80</v>
      </c>
    </row>
    <row r="707" spans="1:3">
      <c r="A707" t="inlineStr">
        <is>
          <t>Independent Cities — Region VII (Central Visayas)|City of Lapu-Lapu</t>
        </is>
      </c>
      <c r="B707">
        <v>17778</v>
      </c>
      <c r="C707">
        <v>30</v>
      </c>
    </row>
    <row r="708" spans="1:3">
      <c r="A708" t="inlineStr">
        <is>
          <t>Independent Cities — Region VII (Central Visayas)|City of Mandaue</t>
        </is>
      </c>
      <c r="B708">
        <v>17808</v>
      </c>
      <c r="C708">
        <v>27</v>
      </c>
    </row>
    <row r="709" spans="1:3">
      <c r="A709" t="inlineStr">
        <is>
          <t>Independent Cities — Region VIII (Eastern Visayas)|City of Tacloban</t>
        </is>
      </c>
      <c r="B709">
        <v>17835</v>
      </c>
      <c r="C709">
        <v>138</v>
      </c>
    </row>
    <row r="710" spans="1:3">
      <c r="A710" t="inlineStr">
        <is>
          <t>Independent Cities — Region X (Northern Mindanao)|City of Cagayan De Oro</t>
        </is>
      </c>
      <c r="B710">
        <v>17973</v>
      </c>
      <c r="C710">
        <v>80</v>
      </c>
    </row>
    <row r="711" spans="1:3">
      <c r="A711" t="inlineStr">
        <is>
          <t>Independent Cities — Region X (Northern Mindanao)|City of Iligan</t>
        </is>
      </c>
      <c r="B711">
        <v>18053</v>
      </c>
      <c r="C711">
        <v>44</v>
      </c>
    </row>
    <row r="712" spans="1:3">
      <c r="A712" t="inlineStr">
        <is>
          <t>Independent Cities — Region XI (Davao Region)|City of Davao</t>
        </is>
      </c>
      <c r="B712">
        <v>18097</v>
      </c>
      <c r="C712">
        <v>182</v>
      </c>
    </row>
    <row r="713" spans="1:3">
      <c r="A713" t="inlineStr">
        <is>
          <t>Independent Cities — Region XII (SOCCSKSARGEN)|City of General Santos</t>
        </is>
      </c>
      <c r="B713">
        <v>18279</v>
      </c>
      <c r="C713">
        <v>26</v>
      </c>
    </row>
    <row r="714" spans="1:3">
      <c r="A714" t="inlineStr">
        <is>
          <t>Independent Cities — Region XIII (Caraga)|City of Butuan</t>
        </is>
      </c>
      <c r="B714">
        <v>18305</v>
      </c>
      <c r="C714">
        <v>86</v>
      </c>
    </row>
    <row r="715" spans="1:3">
      <c r="A715" t="inlineStr">
        <is>
          <t>Isabela|Alicia</t>
        </is>
      </c>
      <c r="B715">
        <v>18391</v>
      </c>
      <c r="C715">
        <v>34</v>
      </c>
    </row>
    <row r="716" spans="1:3">
      <c r="A716" t="inlineStr">
        <is>
          <t>Isabela|Angadanan</t>
        </is>
      </c>
      <c r="B716">
        <v>18425</v>
      </c>
      <c r="C716">
        <v>59</v>
      </c>
    </row>
    <row r="717" spans="1:3">
      <c r="A717" t="inlineStr">
        <is>
          <t>Isabela|Aurora</t>
        </is>
      </c>
      <c r="B717">
        <v>18484</v>
      </c>
      <c r="C717">
        <v>33</v>
      </c>
    </row>
    <row r="718" spans="1:3">
      <c r="A718" t="inlineStr">
        <is>
          <t>Isabela|Benito Soliven</t>
        </is>
      </c>
      <c r="B718">
        <v>18517</v>
      </c>
      <c r="C718">
        <v>29</v>
      </c>
    </row>
    <row r="719" spans="1:3">
      <c r="A719" t="inlineStr">
        <is>
          <t>Isabela|Burgos</t>
        </is>
      </c>
      <c r="B719">
        <v>18546</v>
      </c>
      <c r="C719">
        <v>14</v>
      </c>
    </row>
    <row r="720" spans="1:3">
      <c r="A720" t="inlineStr">
        <is>
          <t>Isabela|Cabagan</t>
        </is>
      </c>
      <c r="B720">
        <v>18560</v>
      </c>
      <c r="C720">
        <v>26</v>
      </c>
    </row>
    <row r="721" spans="1:3">
      <c r="A721" t="inlineStr">
        <is>
          <t>Isabela|Cabatuan</t>
        </is>
      </c>
      <c r="B721">
        <v>18586</v>
      </c>
      <c r="C721">
        <v>22</v>
      </c>
    </row>
    <row r="722" spans="1:3">
      <c r="A722" t="inlineStr">
        <is>
          <t>Isabela|City of Cauayan</t>
        </is>
      </c>
      <c r="B722">
        <v>18608</v>
      </c>
      <c r="C722">
        <v>65</v>
      </c>
    </row>
    <row r="723" spans="1:3">
      <c r="A723" t="inlineStr">
        <is>
          <t>Isabela|City of Ilagan</t>
        </is>
      </c>
      <c r="B723">
        <v>18673</v>
      </c>
      <c r="C723">
        <v>91</v>
      </c>
    </row>
    <row r="724" spans="1:3">
      <c r="A724" t="inlineStr">
        <is>
          <t>Isabela|City of Santiago</t>
        </is>
      </c>
      <c r="B724">
        <v>18764</v>
      </c>
      <c r="C724">
        <v>37</v>
      </c>
    </row>
    <row r="725" spans="1:3">
      <c r="A725" t="inlineStr">
        <is>
          <t>Isabela|Cordon</t>
        </is>
      </c>
      <c r="B725">
        <v>18801</v>
      </c>
      <c r="C725">
        <v>26</v>
      </c>
    </row>
    <row r="726" spans="1:3">
      <c r="A726" t="inlineStr">
        <is>
          <t>Isabela|Delfin Albano</t>
        </is>
      </c>
      <c r="B726">
        <v>18827</v>
      </c>
      <c r="C726">
        <v>29</v>
      </c>
    </row>
    <row r="727" spans="1:3">
      <c r="A727" t="inlineStr">
        <is>
          <t>Isabela|Dinapigue</t>
        </is>
      </c>
      <c r="B727">
        <v>18856</v>
      </c>
      <c r="C727">
        <v>6</v>
      </c>
    </row>
    <row r="728" spans="1:3">
      <c r="A728" t="inlineStr">
        <is>
          <t>Isabela|Divilacan</t>
        </is>
      </c>
      <c r="B728">
        <v>18862</v>
      </c>
      <c r="C728">
        <v>12</v>
      </c>
    </row>
    <row r="729" spans="1:3">
      <c r="A729" t="inlineStr">
        <is>
          <t>Isabela|Echague</t>
        </is>
      </c>
      <c r="B729">
        <v>18874</v>
      </c>
      <c r="C729">
        <v>64</v>
      </c>
    </row>
    <row r="730" spans="1:3">
      <c r="A730" t="inlineStr">
        <is>
          <t>Isabela|Gamu</t>
        </is>
      </c>
      <c r="B730">
        <v>18938</v>
      </c>
      <c r="C730">
        <v>16</v>
      </c>
    </row>
    <row r="731" spans="1:3">
      <c r="A731" t="inlineStr">
        <is>
          <t>Isabela|Jones</t>
        </is>
      </c>
      <c r="B731">
        <v>18954</v>
      </c>
      <c r="C731">
        <v>42</v>
      </c>
    </row>
    <row r="732" spans="1:3">
      <c r="A732" t="inlineStr">
        <is>
          <t>Isabela|Luna</t>
        </is>
      </c>
      <c r="B732">
        <v>18996</v>
      </c>
      <c r="C732">
        <v>19</v>
      </c>
    </row>
    <row r="733" spans="1:3">
      <c r="A733" t="inlineStr">
        <is>
          <t>Isabela|Maconacon</t>
        </is>
      </c>
      <c r="B733">
        <v>19015</v>
      </c>
      <c r="C733">
        <v>10</v>
      </c>
    </row>
    <row r="734" spans="1:3">
      <c r="A734" t="inlineStr">
        <is>
          <t>Isabela|Mallig</t>
        </is>
      </c>
      <c r="B734">
        <v>19025</v>
      </c>
      <c r="C734">
        <v>18</v>
      </c>
    </row>
    <row r="735" spans="1:3">
      <c r="A735" t="inlineStr">
        <is>
          <t>Isabela|Naguilian</t>
        </is>
      </c>
      <c r="B735">
        <v>19043</v>
      </c>
      <c r="C735">
        <v>25</v>
      </c>
    </row>
    <row r="736" spans="1:3">
      <c r="A736" t="inlineStr">
        <is>
          <t>Isabela|Palanan</t>
        </is>
      </c>
      <c r="B736">
        <v>19068</v>
      </c>
      <c r="C736">
        <v>17</v>
      </c>
    </row>
    <row r="737" spans="1:3">
      <c r="A737" t="inlineStr">
        <is>
          <t>Isabela|Quezon</t>
        </is>
      </c>
      <c r="B737">
        <v>19085</v>
      </c>
      <c r="C737">
        <v>15</v>
      </c>
    </row>
    <row r="738" spans="1:3">
      <c r="A738" t="inlineStr">
        <is>
          <t>Isabela|Quirino</t>
        </is>
      </c>
      <c r="B738">
        <v>19100</v>
      </c>
      <c r="C738">
        <v>21</v>
      </c>
    </row>
    <row r="739" spans="1:3">
      <c r="A739" t="inlineStr">
        <is>
          <t>Isabela|Ramon</t>
        </is>
      </c>
      <c r="B739">
        <v>19121</v>
      </c>
      <c r="C739">
        <v>19</v>
      </c>
    </row>
    <row r="740" spans="1:3">
      <c r="A740" t="inlineStr">
        <is>
          <t>Isabela|Reina Mercedes</t>
        </is>
      </c>
      <c r="B740">
        <v>19140</v>
      </c>
      <c r="C740">
        <v>20</v>
      </c>
    </row>
    <row r="741" spans="1:3">
      <c r="A741" t="inlineStr">
        <is>
          <t>Isabela|Roxas</t>
        </is>
      </c>
      <c r="B741">
        <v>19160</v>
      </c>
      <c r="C741">
        <v>26</v>
      </c>
    </row>
    <row r="742" spans="1:3">
      <c r="A742" t="inlineStr">
        <is>
          <t>Isabela|San Agustin</t>
        </is>
      </c>
      <c r="B742">
        <v>19186</v>
      </c>
      <c r="C742">
        <v>23</v>
      </c>
    </row>
    <row r="743" spans="1:3">
      <c r="A743" t="inlineStr">
        <is>
          <t>Isabela|San Guillermo</t>
        </is>
      </c>
      <c r="B743">
        <v>19209</v>
      </c>
      <c r="C743">
        <v>26</v>
      </c>
    </row>
    <row r="744" spans="1:3">
      <c r="A744" t="inlineStr">
        <is>
          <t>Isabela|San Isidro</t>
        </is>
      </c>
      <c r="B744">
        <v>19235</v>
      </c>
      <c r="C744">
        <v>13</v>
      </c>
    </row>
    <row r="745" spans="1:3">
      <c r="A745" t="inlineStr">
        <is>
          <t>Isabela|San Manuel</t>
        </is>
      </c>
      <c r="B745">
        <v>19248</v>
      </c>
      <c r="C745">
        <v>19</v>
      </c>
    </row>
    <row r="746" spans="1:3">
      <c r="A746" t="inlineStr">
        <is>
          <t>Isabela|San Mariano</t>
        </is>
      </c>
      <c r="B746">
        <v>19267</v>
      </c>
      <c r="C746">
        <v>36</v>
      </c>
    </row>
    <row r="747" spans="1:3">
      <c r="A747" t="inlineStr">
        <is>
          <t>Isabela|San Mateo</t>
        </is>
      </c>
      <c r="B747">
        <v>19303</v>
      </c>
      <c r="C747">
        <v>33</v>
      </c>
    </row>
    <row r="748" spans="1:3">
      <c r="A748" t="inlineStr">
        <is>
          <t>Isabela|San Pablo</t>
        </is>
      </c>
      <c r="B748">
        <v>19336</v>
      </c>
      <c r="C748">
        <v>17</v>
      </c>
    </row>
    <row r="749" spans="1:3">
      <c r="A749" t="inlineStr">
        <is>
          <t>Isabela|Santa Maria</t>
        </is>
      </c>
      <c r="B749">
        <v>19353</v>
      </c>
      <c r="C749">
        <v>20</v>
      </c>
    </row>
    <row r="750" spans="1:3">
      <c r="A750" t="inlineStr">
        <is>
          <t>Isabela|Santo Tomas</t>
        </is>
      </c>
      <c r="B750">
        <v>19373</v>
      </c>
      <c r="C750">
        <v>27</v>
      </c>
    </row>
    <row r="751" spans="1:3">
      <c r="A751" t="inlineStr">
        <is>
          <t>Isabela|Tumauini</t>
        </is>
      </c>
      <c r="B751">
        <v>19400</v>
      </c>
      <c r="C751">
        <v>46</v>
      </c>
    </row>
    <row r="752" spans="1:3">
      <c r="A752" t="inlineStr">
        <is>
          <t>Kalinga|Balbalan</t>
        </is>
      </c>
      <c r="B752">
        <v>19446</v>
      </c>
      <c r="C752">
        <v>14</v>
      </c>
    </row>
    <row r="753" spans="1:3">
      <c r="A753" t="inlineStr">
        <is>
          <t>Kalinga|City of Tabuk</t>
        </is>
      </c>
      <c r="B753">
        <v>19460</v>
      </c>
      <c r="C753">
        <v>43</v>
      </c>
    </row>
    <row r="754" spans="1:3">
      <c r="A754" t="inlineStr">
        <is>
          <t>Kalinga|Lubuagan</t>
        </is>
      </c>
      <c r="B754">
        <v>19503</v>
      </c>
      <c r="C754">
        <v>9</v>
      </c>
    </row>
    <row r="755" spans="1:3">
      <c r="A755" t="inlineStr">
        <is>
          <t>Kalinga|Pasil</t>
        </is>
      </c>
      <c r="B755">
        <v>19512</v>
      </c>
      <c r="C755">
        <v>14</v>
      </c>
    </row>
    <row r="756" spans="1:3">
      <c r="A756" t="inlineStr">
        <is>
          <t>Kalinga|Pinukpuk</t>
        </is>
      </c>
      <c r="B756">
        <v>19526</v>
      </c>
      <c r="C756">
        <v>23</v>
      </c>
    </row>
    <row r="757" spans="1:3">
      <c r="A757" t="inlineStr">
        <is>
          <t>Kalinga|Rizal</t>
        </is>
      </c>
      <c r="B757">
        <v>19549</v>
      </c>
      <c r="C757">
        <v>14</v>
      </c>
    </row>
    <row r="758" spans="1:3">
      <c r="A758" t="inlineStr">
        <is>
          <t>Kalinga|Tanudan</t>
        </is>
      </c>
      <c r="B758">
        <v>19563</v>
      </c>
      <c r="C758">
        <v>16</v>
      </c>
    </row>
    <row r="759" spans="1:3">
      <c r="A759" t="inlineStr">
        <is>
          <t>Kalinga|Tinglayan</t>
        </is>
      </c>
      <c r="B759">
        <v>19579</v>
      </c>
      <c r="C759">
        <v>20</v>
      </c>
    </row>
    <row r="760" spans="1:3">
      <c r="A760" t="inlineStr">
        <is>
          <t>La Union|Agoo</t>
        </is>
      </c>
      <c r="B760">
        <v>19599</v>
      </c>
      <c r="C760">
        <v>49</v>
      </c>
    </row>
    <row r="761" spans="1:3">
      <c r="A761" t="inlineStr">
        <is>
          <t>La Union|Aringay</t>
        </is>
      </c>
      <c r="B761">
        <v>19648</v>
      </c>
      <c r="C761">
        <v>24</v>
      </c>
    </row>
    <row r="762" spans="1:3">
      <c r="A762" t="inlineStr">
        <is>
          <t>La Union|Bacnotan</t>
        </is>
      </c>
      <c r="B762">
        <v>19672</v>
      </c>
      <c r="C762">
        <v>47</v>
      </c>
    </row>
    <row r="763" spans="1:3">
      <c r="A763" t="inlineStr">
        <is>
          <t>La Union|Bagulin</t>
        </is>
      </c>
      <c r="B763">
        <v>19719</v>
      </c>
      <c r="C763">
        <v>10</v>
      </c>
    </row>
    <row r="764" spans="1:3">
      <c r="A764" t="inlineStr">
        <is>
          <t>La Union|Balaoan</t>
        </is>
      </c>
      <c r="B764">
        <v>19729</v>
      </c>
      <c r="C764">
        <v>36</v>
      </c>
    </row>
    <row r="765" spans="1:3">
      <c r="A765" t="inlineStr">
        <is>
          <t>La Union|Bangar</t>
        </is>
      </c>
      <c r="B765">
        <v>19765</v>
      </c>
      <c r="C765">
        <v>33</v>
      </c>
    </row>
    <row r="766" spans="1:3">
      <c r="A766" t="inlineStr">
        <is>
          <t>La Union|Bauang</t>
        </is>
      </c>
      <c r="B766">
        <v>19798</v>
      </c>
      <c r="C766">
        <v>39</v>
      </c>
    </row>
    <row r="767" spans="1:3">
      <c r="A767" t="inlineStr">
        <is>
          <t>La Union|Burgos</t>
        </is>
      </c>
      <c r="B767">
        <v>19837</v>
      </c>
      <c r="C767">
        <v>12</v>
      </c>
    </row>
    <row r="768" spans="1:3">
      <c r="A768" t="inlineStr">
        <is>
          <t>La Union|Caba</t>
        </is>
      </c>
      <c r="B768">
        <v>19849</v>
      </c>
      <c r="C768">
        <v>17</v>
      </c>
    </row>
    <row r="769" spans="1:3">
      <c r="A769" t="inlineStr">
        <is>
          <t>La Union|City of San Fernando</t>
        </is>
      </c>
      <c r="B769">
        <v>19866</v>
      </c>
      <c r="C769">
        <v>59</v>
      </c>
    </row>
    <row r="770" spans="1:3">
      <c r="A770" t="inlineStr">
        <is>
          <t>La Union|Luna</t>
        </is>
      </c>
      <c r="B770">
        <v>19925</v>
      </c>
      <c r="C770">
        <v>40</v>
      </c>
    </row>
    <row r="771" spans="1:3">
      <c r="A771" t="inlineStr">
        <is>
          <t>La Union|Naguilian</t>
        </is>
      </c>
      <c r="B771">
        <v>19965</v>
      </c>
      <c r="C771">
        <v>37</v>
      </c>
    </row>
    <row r="772" spans="1:3">
      <c r="A772" t="inlineStr">
        <is>
          <t>La Union|Pugo</t>
        </is>
      </c>
      <c r="B772">
        <v>20002</v>
      </c>
      <c r="C772">
        <v>14</v>
      </c>
    </row>
    <row r="773" spans="1:3">
      <c r="A773" t="inlineStr">
        <is>
          <t>La Union|Rosario</t>
        </is>
      </c>
      <c r="B773">
        <v>20016</v>
      </c>
      <c r="C773">
        <v>33</v>
      </c>
    </row>
    <row r="774" spans="1:3">
      <c r="A774" t="inlineStr">
        <is>
          <t>La Union|San Gabriel</t>
        </is>
      </c>
      <c r="B774">
        <v>20049</v>
      </c>
      <c r="C774">
        <v>15</v>
      </c>
    </row>
    <row r="775" spans="1:3">
      <c r="A775" t="inlineStr">
        <is>
          <t>La Union|San Juan</t>
        </is>
      </c>
      <c r="B775">
        <v>20064</v>
      </c>
      <c r="C775">
        <v>41</v>
      </c>
    </row>
    <row r="776" spans="1:3">
      <c r="A776" t="inlineStr">
        <is>
          <t>La Union|Santo Tomas</t>
        </is>
      </c>
      <c r="B776">
        <v>20105</v>
      </c>
      <c r="C776">
        <v>24</v>
      </c>
    </row>
    <row r="777" spans="1:3">
      <c r="A777" t="inlineStr">
        <is>
          <t>La Union|Santol</t>
        </is>
      </c>
      <c r="B777">
        <v>20129</v>
      </c>
      <c r="C777">
        <v>11</v>
      </c>
    </row>
    <row r="778" spans="1:3">
      <c r="A778" t="inlineStr">
        <is>
          <t>La Union|Sudipen</t>
        </is>
      </c>
      <c r="B778">
        <v>20140</v>
      </c>
      <c r="C778">
        <v>17</v>
      </c>
    </row>
    <row r="779" spans="1:3">
      <c r="A779" t="inlineStr">
        <is>
          <t>La Union|Tubao</t>
        </is>
      </c>
      <c r="B779">
        <v>20157</v>
      </c>
      <c r="C779">
        <v>18</v>
      </c>
    </row>
    <row r="780" spans="1:3">
      <c r="A780" t="inlineStr">
        <is>
          <t>Laguna|Alaminos</t>
        </is>
      </c>
      <c r="B780">
        <v>20175</v>
      </c>
      <c r="C780">
        <v>15</v>
      </c>
    </row>
    <row r="781" spans="1:3">
      <c r="A781" t="inlineStr">
        <is>
          <t>Laguna|Bay</t>
        </is>
      </c>
      <c r="B781">
        <v>20190</v>
      </c>
      <c r="C781">
        <v>15</v>
      </c>
    </row>
    <row r="782" spans="1:3">
      <c r="A782" t="inlineStr">
        <is>
          <t>Laguna|Calauan</t>
        </is>
      </c>
      <c r="B782">
        <v>20205</v>
      </c>
      <c r="C782">
        <v>17</v>
      </c>
    </row>
    <row r="783" spans="1:3">
      <c r="A783" t="inlineStr">
        <is>
          <t>Laguna|Cavinti</t>
        </is>
      </c>
      <c r="B783">
        <v>20222</v>
      </c>
      <c r="C783">
        <v>19</v>
      </c>
    </row>
    <row r="784" spans="1:3">
      <c r="A784" t="inlineStr">
        <is>
          <t>Laguna|City of Biñan</t>
        </is>
      </c>
      <c r="B784">
        <v>20241</v>
      </c>
      <c r="C784">
        <v>24</v>
      </c>
    </row>
    <row r="785" spans="1:3">
      <c r="A785" t="inlineStr">
        <is>
          <t>Laguna|City of Cabuyao</t>
        </is>
      </c>
      <c r="B785">
        <v>20265</v>
      </c>
      <c r="C785">
        <v>18</v>
      </c>
    </row>
    <row r="786" spans="1:3">
      <c r="A786" t="inlineStr">
        <is>
          <t>Laguna|City of Calamba</t>
        </is>
      </c>
      <c r="B786">
        <v>20283</v>
      </c>
      <c r="C786">
        <v>54</v>
      </c>
    </row>
    <row r="787" spans="1:3">
      <c r="A787" t="inlineStr">
        <is>
          <t>Laguna|City of San Pablo</t>
        </is>
      </c>
      <c r="B787">
        <v>20337</v>
      </c>
      <c r="C787">
        <v>80</v>
      </c>
    </row>
    <row r="788" spans="1:3">
      <c r="A788" t="inlineStr">
        <is>
          <t>Laguna|City of San Pedro</t>
        </is>
      </c>
      <c r="B788">
        <v>20417</v>
      </c>
      <c r="C788">
        <v>27</v>
      </c>
    </row>
    <row r="789" spans="1:3">
      <c r="A789" t="inlineStr">
        <is>
          <t>Laguna|City of Santa Rosa</t>
        </is>
      </c>
      <c r="B789">
        <v>20444</v>
      </c>
      <c r="C789">
        <v>18</v>
      </c>
    </row>
    <row r="790" spans="1:3">
      <c r="A790" t="inlineStr">
        <is>
          <t>Laguna|Famy</t>
        </is>
      </c>
      <c r="B790">
        <v>20462</v>
      </c>
      <c r="C790">
        <v>20</v>
      </c>
    </row>
    <row r="791" spans="1:3">
      <c r="A791" t="inlineStr">
        <is>
          <t>Laguna|Kalayaan</t>
        </is>
      </c>
      <c r="B791">
        <v>20482</v>
      </c>
      <c r="C791">
        <v>3</v>
      </c>
    </row>
    <row r="792" spans="1:3">
      <c r="A792" t="inlineStr">
        <is>
          <t>Laguna|Liliw</t>
        </is>
      </c>
      <c r="B792">
        <v>20485</v>
      </c>
      <c r="C792">
        <v>33</v>
      </c>
    </row>
    <row r="793" spans="1:3">
      <c r="A793" t="inlineStr">
        <is>
          <t>Laguna|Los Baños</t>
        </is>
      </c>
      <c r="B793">
        <v>20518</v>
      </c>
      <c r="C793">
        <v>14</v>
      </c>
    </row>
    <row r="794" spans="1:3">
      <c r="A794" t="inlineStr">
        <is>
          <t>Laguna|Luisiana</t>
        </is>
      </c>
      <c r="B794">
        <v>20532</v>
      </c>
      <c r="C794">
        <v>23</v>
      </c>
    </row>
    <row r="795" spans="1:3">
      <c r="A795" t="inlineStr">
        <is>
          <t>Laguna|Lumban</t>
        </is>
      </c>
      <c r="B795">
        <v>20555</v>
      </c>
      <c r="C795">
        <v>16</v>
      </c>
    </row>
    <row r="796" spans="1:3">
      <c r="A796" t="inlineStr">
        <is>
          <t>Laguna|Mabitac</t>
        </is>
      </c>
      <c r="B796">
        <v>20571</v>
      </c>
      <c r="C796">
        <v>15</v>
      </c>
    </row>
    <row r="797" spans="1:3">
      <c r="A797" t="inlineStr">
        <is>
          <t>Laguna|Magdalena</t>
        </is>
      </c>
      <c r="B797">
        <v>20586</v>
      </c>
      <c r="C797">
        <v>24</v>
      </c>
    </row>
    <row r="798" spans="1:3">
      <c r="A798" t="inlineStr">
        <is>
          <t>Laguna|Majayjay</t>
        </is>
      </c>
      <c r="B798">
        <v>20610</v>
      </c>
      <c r="C798">
        <v>40</v>
      </c>
    </row>
    <row r="799" spans="1:3">
      <c r="A799" t="inlineStr">
        <is>
          <t>Laguna|Nagcarlan</t>
        </is>
      </c>
      <c r="B799">
        <v>20650</v>
      </c>
      <c r="C799">
        <v>52</v>
      </c>
    </row>
    <row r="800" spans="1:3">
      <c r="A800" t="inlineStr">
        <is>
          <t>Laguna|Paete</t>
        </is>
      </c>
      <c r="B800">
        <v>20702</v>
      </c>
      <c r="C800">
        <v>9</v>
      </c>
    </row>
    <row r="801" spans="1:3">
      <c r="A801" t="inlineStr">
        <is>
          <t>Laguna|Pagsanjan</t>
        </is>
      </c>
      <c r="B801">
        <v>20711</v>
      </c>
      <c r="C801">
        <v>16</v>
      </c>
    </row>
    <row r="802" spans="1:3">
      <c r="A802" t="inlineStr">
        <is>
          <t>Laguna|Pakil</t>
        </is>
      </c>
      <c r="B802">
        <v>20727</v>
      </c>
      <c r="C802">
        <v>13</v>
      </c>
    </row>
    <row r="803" spans="1:3">
      <c r="A803" t="inlineStr">
        <is>
          <t>Laguna|Pangil</t>
        </is>
      </c>
      <c r="B803">
        <v>20740</v>
      </c>
      <c r="C803">
        <v>8</v>
      </c>
    </row>
    <row r="804" spans="1:3">
      <c r="A804" t="inlineStr">
        <is>
          <t>Laguna|Pila</t>
        </is>
      </c>
      <c r="B804">
        <v>20748</v>
      </c>
      <c r="C804">
        <v>17</v>
      </c>
    </row>
    <row r="805" spans="1:3">
      <c r="A805" t="inlineStr">
        <is>
          <t>Laguna|Rizal</t>
        </is>
      </c>
      <c r="B805">
        <v>20765</v>
      </c>
      <c r="C805">
        <v>11</v>
      </c>
    </row>
    <row r="806" spans="1:3">
      <c r="A806" t="inlineStr">
        <is>
          <t>Laguna|Santa Cruz</t>
        </is>
      </c>
      <c r="B806">
        <v>20776</v>
      </c>
      <c r="C806">
        <v>26</v>
      </c>
    </row>
    <row r="807" spans="1:3">
      <c r="A807" t="inlineStr">
        <is>
          <t>Laguna|Santa Maria</t>
        </is>
      </c>
      <c r="B807">
        <v>20802</v>
      </c>
      <c r="C807">
        <v>25</v>
      </c>
    </row>
    <row r="808" spans="1:3">
      <c r="A808" t="inlineStr">
        <is>
          <t>Laguna|Siniloan</t>
        </is>
      </c>
      <c r="B808">
        <v>20827</v>
      </c>
      <c r="C808">
        <v>20</v>
      </c>
    </row>
    <row r="809" spans="1:3">
      <c r="A809" t="inlineStr">
        <is>
          <t>Laguna|Victoria</t>
        </is>
      </c>
      <c r="B809">
        <v>20847</v>
      </c>
      <c r="C809">
        <v>9</v>
      </c>
    </row>
    <row r="810" spans="1:3">
      <c r="A810" t="inlineStr">
        <is>
          <t>Lanao del Norte|Bacolod</t>
        </is>
      </c>
      <c r="B810">
        <v>20856</v>
      </c>
      <c r="C810">
        <v>16</v>
      </c>
    </row>
    <row r="811" spans="1:3">
      <c r="A811" t="inlineStr">
        <is>
          <t>Lanao del Norte|Baloi</t>
        </is>
      </c>
      <c r="B811">
        <v>20872</v>
      </c>
      <c r="C811">
        <v>21</v>
      </c>
    </row>
    <row r="812" spans="1:3">
      <c r="A812" t="inlineStr">
        <is>
          <t>Lanao del Norte|Baroy</t>
        </is>
      </c>
      <c r="B812">
        <v>20893</v>
      </c>
      <c r="C812">
        <v>23</v>
      </c>
    </row>
    <row r="813" spans="1:3">
      <c r="A813" t="inlineStr">
        <is>
          <t>Lanao del Norte|Kapatagan</t>
        </is>
      </c>
      <c r="B813">
        <v>20916</v>
      </c>
      <c r="C813">
        <v>33</v>
      </c>
    </row>
    <row r="814" spans="1:3">
      <c r="A814" t="inlineStr">
        <is>
          <t>Lanao del Norte|Kauswagan</t>
        </is>
      </c>
      <c r="B814">
        <v>20949</v>
      </c>
      <c r="C814">
        <v>13</v>
      </c>
    </row>
    <row r="815" spans="1:3">
      <c r="A815" t="inlineStr">
        <is>
          <t>Lanao del Norte|Kolambugan</t>
        </is>
      </c>
      <c r="B815">
        <v>20962</v>
      </c>
      <c r="C815">
        <v>26</v>
      </c>
    </row>
    <row r="816" spans="1:3">
      <c r="A816" t="inlineStr">
        <is>
          <t>Lanao del Norte|Lala</t>
        </is>
      </c>
      <c r="B816">
        <v>20988</v>
      </c>
      <c r="C816">
        <v>27</v>
      </c>
    </row>
    <row r="817" spans="1:3">
      <c r="A817" t="inlineStr">
        <is>
          <t>Lanao del Norte|Linamon</t>
        </is>
      </c>
      <c r="B817">
        <v>21015</v>
      </c>
      <c r="C817">
        <v>8</v>
      </c>
    </row>
    <row r="818" spans="1:3">
      <c r="A818" t="inlineStr">
        <is>
          <t>Lanao del Norte|Magsaysay</t>
        </is>
      </c>
      <c r="B818">
        <v>21023</v>
      </c>
      <c r="C818">
        <v>24</v>
      </c>
    </row>
    <row r="819" spans="1:3">
      <c r="A819" t="inlineStr">
        <is>
          <t>Lanao del Norte|Maigo</t>
        </is>
      </c>
      <c r="B819">
        <v>21047</v>
      </c>
      <c r="C819">
        <v>13</v>
      </c>
    </row>
    <row r="820" spans="1:3">
      <c r="A820" t="inlineStr">
        <is>
          <t>Lanao del Norte|Matungao</t>
        </is>
      </c>
      <c r="B820">
        <v>21060</v>
      </c>
      <c r="C820">
        <v>12</v>
      </c>
    </row>
    <row r="821" spans="1:3">
      <c r="A821" t="inlineStr">
        <is>
          <t>Lanao del Norte|Munai</t>
        </is>
      </c>
      <c r="B821">
        <v>21072</v>
      </c>
      <c r="C821">
        <v>26</v>
      </c>
    </row>
    <row r="822" spans="1:3">
      <c r="A822" t="inlineStr">
        <is>
          <t>Lanao del Norte|Nunungan</t>
        </is>
      </c>
      <c r="B822">
        <v>21098</v>
      </c>
      <c r="C822">
        <v>25</v>
      </c>
    </row>
    <row r="823" spans="1:3">
      <c r="A823" t="inlineStr">
        <is>
          <t>Lanao del Norte|Pantao Ragat</t>
        </is>
      </c>
      <c r="B823">
        <v>21123</v>
      </c>
      <c r="C823">
        <v>20</v>
      </c>
    </row>
    <row r="824" spans="1:3">
      <c r="A824" t="inlineStr">
        <is>
          <t>Lanao del Norte|Pantar</t>
        </is>
      </c>
      <c r="B824">
        <v>21143</v>
      </c>
      <c r="C824">
        <v>21</v>
      </c>
    </row>
    <row r="825" spans="1:3">
      <c r="A825" t="inlineStr">
        <is>
          <t>Lanao del Norte|Poona Piagapo</t>
        </is>
      </c>
      <c r="B825">
        <v>21164</v>
      </c>
      <c r="C825">
        <v>26</v>
      </c>
    </row>
    <row r="826" spans="1:3">
      <c r="A826" t="inlineStr">
        <is>
          <t>Lanao del Norte|Salvador</t>
        </is>
      </c>
      <c r="B826">
        <v>21190</v>
      </c>
      <c r="C826">
        <v>25</v>
      </c>
    </row>
    <row r="827" spans="1:3">
      <c r="A827" t="inlineStr">
        <is>
          <t>Lanao del Norte|Sapad</t>
        </is>
      </c>
      <c r="B827">
        <v>21215</v>
      </c>
      <c r="C827">
        <v>17</v>
      </c>
    </row>
    <row r="828" spans="1:3">
      <c r="A828" t="inlineStr">
        <is>
          <t>Lanao del Norte|Sultan Naga Dimaporo</t>
        </is>
      </c>
      <c r="B828">
        <v>21232</v>
      </c>
      <c r="C828">
        <v>37</v>
      </c>
    </row>
    <row r="829" spans="1:3">
      <c r="A829" t="inlineStr">
        <is>
          <t>Lanao del Norte|Tagoloan</t>
        </is>
      </c>
      <c r="B829">
        <v>21269</v>
      </c>
      <c r="C829">
        <v>7</v>
      </c>
    </row>
    <row r="830" spans="1:3">
      <c r="A830" t="inlineStr">
        <is>
          <t>Lanao del Norte|Tangcal</t>
        </is>
      </c>
      <c r="B830">
        <v>21276</v>
      </c>
      <c r="C830">
        <v>18</v>
      </c>
    </row>
    <row r="831" spans="1:3">
      <c r="A831" t="inlineStr">
        <is>
          <t>Lanao del Norte|Tubod</t>
        </is>
      </c>
      <c r="B831">
        <v>21294</v>
      </c>
      <c r="C831">
        <v>24</v>
      </c>
    </row>
    <row r="832" spans="1:3">
      <c r="A832" t="inlineStr">
        <is>
          <t>Lanao del Sur|Amai Manabilang</t>
        </is>
      </c>
      <c r="B832">
        <v>21318</v>
      </c>
      <c r="C832">
        <v>17</v>
      </c>
    </row>
    <row r="833" spans="1:3">
      <c r="A833" t="inlineStr">
        <is>
          <t>Lanao del Sur|Bacolod-Kalawi</t>
        </is>
      </c>
      <c r="B833">
        <v>21335</v>
      </c>
      <c r="C833">
        <v>26</v>
      </c>
    </row>
    <row r="834" spans="1:3">
      <c r="A834" t="inlineStr">
        <is>
          <t>Lanao del Sur|Balabagan</t>
        </is>
      </c>
      <c r="B834">
        <v>21361</v>
      </c>
      <c r="C834">
        <v>27</v>
      </c>
    </row>
    <row r="835" spans="1:3">
      <c r="A835" t="inlineStr">
        <is>
          <t>Lanao del Sur|Balindong</t>
        </is>
      </c>
      <c r="B835">
        <v>21388</v>
      </c>
      <c r="C835">
        <v>38</v>
      </c>
    </row>
    <row r="836" spans="1:3">
      <c r="A836" t="inlineStr">
        <is>
          <t>Lanao del Sur|Bayang</t>
        </is>
      </c>
      <c r="B836">
        <v>21426</v>
      </c>
      <c r="C836">
        <v>49</v>
      </c>
    </row>
    <row r="837" spans="1:3">
      <c r="A837" t="inlineStr">
        <is>
          <t>Lanao del Sur|Binidayan</t>
        </is>
      </c>
      <c r="B837">
        <v>21475</v>
      </c>
      <c r="C837">
        <v>26</v>
      </c>
    </row>
    <row r="838" spans="1:3">
      <c r="A838" t="inlineStr">
        <is>
          <t>Lanao del Sur|Buadiposo-Buntong</t>
        </is>
      </c>
      <c r="B838">
        <v>21501</v>
      </c>
      <c r="C838">
        <v>33</v>
      </c>
    </row>
    <row r="839" spans="1:3">
      <c r="A839" t="inlineStr">
        <is>
          <t>Lanao del Sur|Bubong</t>
        </is>
      </c>
      <c r="B839">
        <v>21534</v>
      </c>
      <c r="C839">
        <v>36</v>
      </c>
    </row>
    <row r="840" spans="1:3">
      <c r="A840" t="inlineStr">
        <is>
          <t>Lanao del Sur|Butig</t>
        </is>
      </c>
      <c r="B840">
        <v>21570</v>
      </c>
      <c r="C840">
        <v>16</v>
      </c>
    </row>
    <row r="841" spans="1:3">
      <c r="A841" t="inlineStr">
        <is>
          <t>Lanao del Sur|Calanogas</t>
        </is>
      </c>
      <c r="B841">
        <v>21586</v>
      </c>
      <c r="C841">
        <v>17</v>
      </c>
    </row>
    <row r="842" spans="1:3">
      <c r="A842" t="inlineStr">
        <is>
          <t>Lanao del Sur|City of Marawi</t>
        </is>
      </c>
      <c r="B842">
        <v>21603</v>
      </c>
      <c r="C842">
        <v>101</v>
      </c>
    </row>
    <row r="843" spans="1:3">
      <c r="A843" t="inlineStr">
        <is>
          <t>Lanao del Sur|Ditsaan-Ramain</t>
        </is>
      </c>
      <c r="B843">
        <v>21704</v>
      </c>
      <c r="C843">
        <v>35</v>
      </c>
    </row>
    <row r="844" spans="1:3">
      <c r="A844" t="inlineStr">
        <is>
          <t>Lanao del Sur|Ganassi</t>
        </is>
      </c>
      <c r="B844">
        <v>21739</v>
      </c>
      <c r="C844">
        <v>32</v>
      </c>
    </row>
    <row r="845" spans="1:3">
      <c r="A845" t="inlineStr">
        <is>
          <t>Lanao del Sur|Kapai</t>
        </is>
      </c>
      <c r="B845">
        <v>21771</v>
      </c>
      <c r="C845">
        <v>20</v>
      </c>
    </row>
    <row r="846" spans="1:3">
      <c r="A846" t="inlineStr">
        <is>
          <t>Lanao del Sur|Kapatagan</t>
        </is>
      </c>
      <c r="B846">
        <v>21791</v>
      </c>
      <c r="C846">
        <v>15</v>
      </c>
    </row>
    <row r="847" spans="1:3">
      <c r="A847" t="inlineStr">
        <is>
          <t>Lanao del Sur|Lumba-Bayabao</t>
        </is>
      </c>
      <c r="B847">
        <v>21806</v>
      </c>
      <c r="C847">
        <v>38</v>
      </c>
    </row>
    <row r="848" spans="1:3">
      <c r="A848" t="inlineStr">
        <is>
          <t>Lanao del Sur|Lumbaca-Unayan</t>
        </is>
      </c>
      <c r="B848">
        <v>21844</v>
      </c>
      <c r="C848">
        <v>9</v>
      </c>
    </row>
    <row r="849" spans="1:3">
      <c r="A849" t="inlineStr">
        <is>
          <t>Lanao del Sur|Lumbatan</t>
        </is>
      </c>
      <c r="B849">
        <v>21853</v>
      </c>
      <c r="C849">
        <v>21</v>
      </c>
    </row>
    <row r="850" spans="1:3">
      <c r="A850" t="inlineStr">
        <is>
          <t>Lanao del Sur|Lumbayanague</t>
        </is>
      </c>
      <c r="B850">
        <v>21874</v>
      </c>
      <c r="C850">
        <v>22</v>
      </c>
    </row>
    <row r="851" spans="1:3">
      <c r="A851" t="inlineStr">
        <is>
          <t>Lanao del Sur|Madalum</t>
        </is>
      </c>
      <c r="B851">
        <v>21896</v>
      </c>
      <c r="C851">
        <v>37</v>
      </c>
    </row>
    <row r="852" spans="1:3">
      <c r="A852" t="inlineStr">
        <is>
          <t>Lanao del Sur|Madamba</t>
        </is>
      </c>
      <c r="B852">
        <v>21933</v>
      </c>
      <c r="C852">
        <v>24</v>
      </c>
    </row>
    <row r="853" spans="1:3">
      <c r="A853" t="inlineStr">
        <is>
          <t>Lanao del Sur|Maguing</t>
        </is>
      </c>
      <c r="B853">
        <v>21957</v>
      </c>
      <c r="C853">
        <v>34</v>
      </c>
    </row>
    <row r="854" spans="1:3">
      <c r="A854" t="inlineStr">
        <is>
          <t>Lanao del Sur|Malabang</t>
        </is>
      </c>
      <c r="B854">
        <v>21991</v>
      </c>
      <c r="C854">
        <v>37</v>
      </c>
    </row>
    <row r="855" spans="1:3">
      <c r="A855" t="inlineStr">
        <is>
          <t>Lanao del Sur|Marantao</t>
        </is>
      </c>
      <c r="B855">
        <v>22028</v>
      </c>
      <c r="C855">
        <v>34</v>
      </c>
    </row>
    <row r="856" spans="1:3">
      <c r="A856" t="inlineStr">
        <is>
          <t>Lanao del Sur|Marogong</t>
        </is>
      </c>
      <c r="B856">
        <v>22062</v>
      </c>
      <c r="C856">
        <v>24</v>
      </c>
    </row>
    <row r="857" spans="1:3">
      <c r="A857" t="inlineStr">
        <is>
          <t>Lanao del Sur|Masiu</t>
        </is>
      </c>
      <c r="B857">
        <v>22086</v>
      </c>
      <c r="C857">
        <v>35</v>
      </c>
    </row>
    <row r="858" spans="1:3">
      <c r="A858" t="inlineStr">
        <is>
          <t>Lanao del Sur|Mulondo</t>
        </is>
      </c>
      <c r="B858">
        <v>22121</v>
      </c>
      <c r="C858">
        <v>26</v>
      </c>
    </row>
    <row r="859" spans="1:3">
      <c r="A859" t="inlineStr">
        <is>
          <t>Lanao del Sur|Pagayawan</t>
        </is>
      </c>
      <c r="B859">
        <v>22147</v>
      </c>
      <c r="C859">
        <v>18</v>
      </c>
    </row>
    <row r="860" spans="1:3">
      <c r="A860" t="inlineStr">
        <is>
          <t>Lanao del Sur|Piagapo</t>
        </is>
      </c>
      <c r="B860">
        <v>22165</v>
      </c>
      <c r="C860">
        <v>37</v>
      </c>
    </row>
    <row r="861" spans="1:3">
      <c r="A861" t="inlineStr">
        <is>
          <t>Lanao del Sur|Picong</t>
        </is>
      </c>
      <c r="B861">
        <v>22202</v>
      </c>
      <c r="C861">
        <v>19</v>
      </c>
    </row>
    <row r="862" spans="1:3">
      <c r="A862" t="inlineStr">
        <is>
          <t>Lanao del Sur|Poona Bayabao</t>
        </is>
      </c>
      <c r="B862">
        <v>22221</v>
      </c>
      <c r="C862">
        <v>25</v>
      </c>
    </row>
    <row r="863" spans="1:3">
      <c r="A863" t="inlineStr">
        <is>
          <t>Lanao del Sur|Pualas</t>
        </is>
      </c>
      <c r="B863">
        <v>22246</v>
      </c>
      <c r="C863">
        <v>23</v>
      </c>
    </row>
    <row r="864" spans="1:3">
      <c r="A864" t="inlineStr">
        <is>
          <t>Lanao del Sur|Saguiaran</t>
        </is>
      </c>
      <c r="B864">
        <v>22269</v>
      </c>
      <c r="C864">
        <v>30</v>
      </c>
    </row>
    <row r="865" spans="1:3">
      <c r="A865" t="inlineStr">
        <is>
          <t>Lanao del Sur|Sultan Dumalondong</t>
        </is>
      </c>
      <c r="B865">
        <v>22299</v>
      </c>
      <c r="C865">
        <v>7</v>
      </c>
    </row>
    <row r="866" spans="1:3">
      <c r="A866" t="inlineStr">
        <is>
          <t>Lanao del Sur|Tagoloan II</t>
        </is>
      </c>
      <c r="B866">
        <v>22306</v>
      </c>
      <c r="C866">
        <v>19</v>
      </c>
    </row>
    <row r="867" spans="1:3">
      <c r="A867" t="inlineStr">
        <is>
          <t>Lanao del Sur|Tamparan</t>
        </is>
      </c>
      <c r="B867">
        <v>22325</v>
      </c>
      <c r="C867">
        <v>44</v>
      </c>
    </row>
    <row r="868" spans="1:3">
      <c r="A868" t="inlineStr">
        <is>
          <t>Lanao del Sur|Taraka</t>
        </is>
      </c>
      <c r="B868">
        <v>22369</v>
      </c>
      <c r="C868">
        <v>43</v>
      </c>
    </row>
    <row r="869" spans="1:3">
      <c r="A869" t="inlineStr">
        <is>
          <t>Lanao del Sur|Tubaran</t>
        </is>
      </c>
      <c r="B869">
        <v>22412</v>
      </c>
      <c r="C869">
        <v>21</v>
      </c>
    </row>
    <row r="870" spans="1:3">
      <c r="A870" t="inlineStr">
        <is>
          <t>Lanao del Sur|Tugaya</t>
        </is>
      </c>
      <c r="B870">
        <v>22433</v>
      </c>
      <c r="C870">
        <v>23</v>
      </c>
    </row>
    <row r="871" spans="1:3">
      <c r="A871" t="inlineStr">
        <is>
          <t>Lanao del Sur|Wao</t>
        </is>
      </c>
      <c r="B871">
        <v>22456</v>
      </c>
      <c r="C871">
        <v>26</v>
      </c>
    </row>
    <row r="872" spans="1:3">
      <c r="A872" t="inlineStr">
        <is>
          <t>Leyte|Abuyog</t>
        </is>
      </c>
      <c r="B872">
        <v>22482</v>
      </c>
      <c r="C872">
        <v>63</v>
      </c>
    </row>
    <row r="873" spans="1:3">
      <c r="A873" t="inlineStr">
        <is>
          <t>Leyte|Alangalang</t>
        </is>
      </c>
      <c r="B873">
        <v>22545</v>
      </c>
      <c r="C873">
        <v>54</v>
      </c>
    </row>
    <row r="874" spans="1:3">
      <c r="A874" t="inlineStr">
        <is>
          <t>Leyte|Albuera</t>
        </is>
      </c>
      <c r="B874">
        <v>22599</v>
      </c>
      <c r="C874">
        <v>16</v>
      </c>
    </row>
    <row r="875" spans="1:3">
      <c r="A875" t="inlineStr">
        <is>
          <t>Leyte|Babatngon</t>
        </is>
      </c>
      <c r="B875">
        <v>22615</v>
      </c>
      <c r="C875">
        <v>25</v>
      </c>
    </row>
    <row r="876" spans="1:3">
      <c r="A876" t="inlineStr">
        <is>
          <t>Leyte|Barugo</t>
        </is>
      </c>
      <c r="B876">
        <v>22640</v>
      </c>
      <c r="C876">
        <v>37</v>
      </c>
    </row>
    <row r="877" spans="1:3">
      <c r="A877" t="inlineStr">
        <is>
          <t>Leyte|Bato</t>
        </is>
      </c>
      <c r="B877">
        <v>22677</v>
      </c>
      <c r="C877">
        <v>32</v>
      </c>
    </row>
    <row r="878" spans="1:3">
      <c r="A878" t="inlineStr">
        <is>
          <t>Leyte|Burauen</t>
        </is>
      </c>
      <c r="B878">
        <v>22709</v>
      </c>
      <c r="C878">
        <v>77</v>
      </c>
    </row>
    <row r="879" spans="1:3">
      <c r="A879" t="inlineStr">
        <is>
          <t>Leyte|Calubian</t>
        </is>
      </c>
      <c r="B879">
        <v>22786</v>
      </c>
      <c r="C879">
        <v>53</v>
      </c>
    </row>
    <row r="880" spans="1:3">
      <c r="A880" t="inlineStr">
        <is>
          <t>Leyte|Capoocan</t>
        </is>
      </c>
      <c r="B880">
        <v>22839</v>
      </c>
      <c r="C880">
        <v>21</v>
      </c>
    </row>
    <row r="881" spans="1:3">
      <c r="A881" t="inlineStr">
        <is>
          <t>Leyte|Carigara</t>
        </is>
      </c>
      <c r="B881">
        <v>22860</v>
      </c>
      <c r="C881">
        <v>49</v>
      </c>
    </row>
    <row r="882" spans="1:3">
      <c r="A882" t="inlineStr">
        <is>
          <t>Leyte|City of Baybay</t>
        </is>
      </c>
      <c r="B882">
        <v>22909</v>
      </c>
      <c r="C882">
        <v>92</v>
      </c>
    </row>
    <row r="883" spans="1:3">
      <c r="A883" t="inlineStr">
        <is>
          <t>Leyte|Dagami</t>
        </is>
      </c>
      <c r="B883">
        <v>23001</v>
      </c>
      <c r="C883">
        <v>65</v>
      </c>
    </row>
    <row r="884" spans="1:3">
      <c r="A884" t="inlineStr">
        <is>
          <t>Leyte|Dulag</t>
        </is>
      </c>
      <c r="B884">
        <v>23066</v>
      </c>
      <c r="C884">
        <v>45</v>
      </c>
    </row>
    <row r="885" spans="1:3">
      <c r="A885" t="inlineStr">
        <is>
          <t>Leyte|Hilongos</t>
        </is>
      </c>
      <c r="B885">
        <v>23111</v>
      </c>
      <c r="C885">
        <v>51</v>
      </c>
    </row>
    <row r="886" spans="1:3">
      <c r="A886" t="inlineStr">
        <is>
          <t>Leyte|Hindang</t>
        </is>
      </c>
      <c r="B886">
        <v>23162</v>
      </c>
      <c r="C886">
        <v>20</v>
      </c>
    </row>
    <row r="887" spans="1:3">
      <c r="A887" t="inlineStr">
        <is>
          <t>Leyte|Inopacan</t>
        </is>
      </c>
      <c r="B887">
        <v>23182</v>
      </c>
      <c r="C887">
        <v>20</v>
      </c>
    </row>
    <row r="888" spans="1:3">
      <c r="A888" t="inlineStr">
        <is>
          <t>Leyte|Isabel</t>
        </is>
      </c>
      <c r="B888">
        <v>23202</v>
      </c>
      <c r="C888">
        <v>24</v>
      </c>
    </row>
    <row r="889" spans="1:3">
      <c r="A889" t="inlineStr">
        <is>
          <t>Leyte|Jaro</t>
        </is>
      </c>
      <c r="B889">
        <v>23226</v>
      </c>
      <c r="C889">
        <v>46</v>
      </c>
    </row>
    <row r="890" spans="1:3">
      <c r="A890" t="inlineStr">
        <is>
          <t>Leyte|Javier</t>
        </is>
      </c>
      <c r="B890">
        <v>23272</v>
      </c>
      <c r="C890">
        <v>28</v>
      </c>
    </row>
    <row r="891" spans="1:3">
      <c r="A891" t="inlineStr">
        <is>
          <t>Leyte|Julita</t>
        </is>
      </c>
      <c r="B891">
        <v>23300</v>
      </c>
      <c r="C891">
        <v>26</v>
      </c>
    </row>
    <row r="892" spans="1:3">
      <c r="A892" t="inlineStr">
        <is>
          <t>Leyte|Kananga</t>
        </is>
      </c>
      <c r="B892">
        <v>23326</v>
      </c>
      <c r="C892">
        <v>23</v>
      </c>
    </row>
    <row r="893" spans="1:3">
      <c r="A893" t="inlineStr">
        <is>
          <t>Leyte|La Paz</t>
        </is>
      </c>
      <c r="B893">
        <v>23349</v>
      </c>
      <c r="C893">
        <v>35</v>
      </c>
    </row>
    <row r="894" spans="1:3">
      <c r="A894" t="inlineStr">
        <is>
          <t>Leyte|Leyte</t>
        </is>
      </c>
      <c r="B894">
        <v>23384</v>
      </c>
      <c r="C894">
        <v>30</v>
      </c>
    </row>
    <row r="895" spans="1:3">
      <c r="A895" t="inlineStr">
        <is>
          <t>Leyte|Macarthur</t>
        </is>
      </c>
      <c r="B895">
        <v>23414</v>
      </c>
      <c r="C895">
        <v>31</v>
      </c>
    </row>
    <row r="896" spans="1:3">
      <c r="A896" t="inlineStr">
        <is>
          <t>Leyte|Mahaplag</t>
        </is>
      </c>
      <c r="B896">
        <v>23445</v>
      </c>
      <c r="C896">
        <v>28</v>
      </c>
    </row>
    <row r="897" spans="1:3">
      <c r="A897" t="inlineStr">
        <is>
          <t>Leyte|Matag-Ob</t>
        </is>
      </c>
      <c r="B897">
        <v>23473</v>
      </c>
      <c r="C897">
        <v>21</v>
      </c>
    </row>
    <row r="898" spans="1:3">
      <c r="A898" t="inlineStr">
        <is>
          <t>Leyte|Matalom</t>
        </is>
      </c>
      <c r="B898">
        <v>23494</v>
      </c>
      <c r="C898">
        <v>30</v>
      </c>
    </row>
    <row r="899" spans="1:3">
      <c r="A899" t="inlineStr">
        <is>
          <t>Leyte|Mayorga</t>
        </is>
      </c>
      <c r="B899">
        <v>23524</v>
      </c>
      <c r="C899">
        <v>16</v>
      </c>
    </row>
    <row r="900" spans="1:3">
      <c r="A900" t="inlineStr">
        <is>
          <t>Leyte|Merida</t>
        </is>
      </c>
      <c r="B900">
        <v>23540</v>
      </c>
      <c r="C900">
        <v>22</v>
      </c>
    </row>
    <row r="901" spans="1:3">
      <c r="A901" t="inlineStr">
        <is>
          <t>Leyte|Ormoc City</t>
        </is>
      </c>
      <c r="B901">
        <v>23562</v>
      </c>
      <c r="C901">
        <v>85</v>
      </c>
    </row>
    <row r="902" spans="1:3">
      <c r="A902" t="inlineStr">
        <is>
          <t>Leyte|Palo</t>
        </is>
      </c>
      <c r="B902">
        <v>23647</v>
      </c>
      <c r="C902">
        <v>33</v>
      </c>
    </row>
    <row r="903" spans="1:3">
      <c r="A903" t="inlineStr">
        <is>
          <t>Leyte|Palompon</t>
        </is>
      </c>
      <c r="B903">
        <v>23680</v>
      </c>
      <c r="C903">
        <v>50</v>
      </c>
    </row>
    <row r="904" spans="1:3">
      <c r="A904" t="inlineStr">
        <is>
          <t>Leyte|Pastrana</t>
        </is>
      </c>
      <c r="B904">
        <v>23730</v>
      </c>
      <c r="C904">
        <v>29</v>
      </c>
    </row>
    <row r="905" spans="1:3">
      <c r="A905" t="inlineStr">
        <is>
          <t>Leyte|San Isidro</t>
        </is>
      </c>
      <c r="B905">
        <v>23759</v>
      </c>
      <c r="C905">
        <v>19</v>
      </c>
    </row>
    <row r="906" spans="1:3">
      <c r="A906" t="inlineStr">
        <is>
          <t>Leyte|San Miguel</t>
        </is>
      </c>
      <c r="B906">
        <v>23778</v>
      </c>
      <c r="C906">
        <v>21</v>
      </c>
    </row>
    <row r="907" spans="1:3">
      <c r="A907" t="inlineStr">
        <is>
          <t>Leyte|Santa Fe</t>
        </is>
      </c>
      <c r="B907">
        <v>23799</v>
      </c>
      <c r="C907">
        <v>20</v>
      </c>
    </row>
    <row r="908" spans="1:3">
      <c r="A908" t="inlineStr">
        <is>
          <t>Leyte|Tabango</t>
        </is>
      </c>
      <c r="B908">
        <v>23819</v>
      </c>
      <c r="C908">
        <v>13</v>
      </c>
    </row>
    <row r="909" spans="1:3">
      <c r="A909" t="inlineStr">
        <is>
          <t>Leyte|Tabontabon</t>
        </is>
      </c>
      <c r="B909">
        <v>23832</v>
      </c>
      <c r="C909">
        <v>16</v>
      </c>
    </row>
    <row r="910" spans="1:3">
      <c r="A910" t="inlineStr">
        <is>
          <t>Leyte|Tanauan</t>
        </is>
      </c>
      <c r="B910">
        <v>23848</v>
      </c>
      <c r="C910">
        <v>54</v>
      </c>
    </row>
    <row r="911" spans="1:3">
      <c r="A911" t="inlineStr">
        <is>
          <t>Leyte|Tolosa</t>
        </is>
      </c>
      <c r="B911">
        <v>23902</v>
      </c>
      <c r="C911">
        <v>15</v>
      </c>
    </row>
    <row r="912" spans="1:3">
      <c r="A912" t="inlineStr">
        <is>
          <t>Leyte|Tunga</t>
        </is>
      </c>
      <c r="B912">
        <v>23917</v>
      </c>
      <c r="C912">
        <v>8</v>
      </c>
    </row>
    <row r="913" spans="1:3">
      <c r="A913" t="inlineStr">
        <is>
          <t>Leyte|Villaba</t>
        </is>
      </c>
      <c r="B913">
        <v>23925</v>
      </c>
      <c r="C913">
        <v>35</v>
      </c>
    </row>
    <row r="914" spans="1:3">
      <c r="A914" t="inlineStr">
        <is>
          <t>Maguindanao del Norte|Barira</t>
        </is>
      </c>
      <c r="B914">
        <v>23960</v>
      </c>
      <c r="C914">
        <v>14</v>
      </c>
    </row>
    <row r="915" spans="1:3">
      <c r="A915" t="inlineStr">
        <is>
          <t>Maguindanao del Norte|Buldon</t>
        </is>
      </c>
      <c r="B915">
        <v>23974</v>
      </c>
      <c r="C915">
        <v>15</v>
      </c>
    </row>
    <row r="916" spans="1:3">
      <c r="A916" t="inlineStr">
        <is>
          <t>Maguindanao del Norte|City of Cotabato</t>
        </is>
      </c>
      <c r="B916">
        <v>23989</v>
      </c>
      <c r="C916">
        <v>37</v>
      </c>
    </row>
    <row r="917" spans="1:3">
      <c r="A917" t="inlineStr">
        <is>
          <t>Maguindanao del Norte|Datu Blah T. Sinsuat</t>
        </is>
      </c>
      <c r="B917">
        <v>24026</v>
      </c>
      <c r="C917">
        <v>13</v>
      </c>
    </row>
    <row r="918" spans="1:3">
      <c r="A918" t="inlineStr">
        <is>
          <t>Maguindanao del Norte|Datu Odin Sinsuat</t>
        </is>
      </c>
      <c r="B918">
        <v>24039</v>
      </c>
      <c r="C918">
        <v>34</v>
      </c>
    </row>
    <row r="919" spans="1:3">
      <c r="A919" t="inlineStr">
        <is>
          <t>Maguindanao del Norte|Kabuntalan</t>
        </is>
      </c>
      <c r="B919">
        <v>24073</v>
      </c>
      <c r="C919">
        <v>17</v>
      </c>
    </row>
    <row r="920" spans="1:3">
      <c r="A920" t="inlineStr">
        <is>
          <t>Maguindanao del Norte|Matanog</t>
        </is>
      </c>
      <c r="B920">
        <v>24090</v>
      </c>
      <c r="C920">
        <v>8</v>
      </c>
    </row>
    <row r="921" spans="1:3">
      <c r="A921" t="inlineStr">
        <is>
          <t>Maguindanao del Norte|Northern Kabuntalan</t>
        </is>
      </c>
      <c r="B921">
        <v>24098</v>
      </c>
      <c r="C921">
        <v>11</v>
      </c>
    </row>
    <row r="922" spans="1:3">
      <c r="A922" t="inlineStr">
        <is>
          <t>Maguindanao del Norte|Parang</t>
        </is>
      </c>
      <c r="B922">
        <v>24109</v>
      </c>
      <c r="C922">
        <v>25</v>
      </c>
    </row>
    <row r="923" spans="1:3">
      <c r="A923" t="inlineStr">
        <is>
          <t>Maguindanao del Norte|Sultan Kudarat</t>
        </is>
      </c>
      <c r="B923">
        <v>24134</v>
      </c>
      <c r="C923">
        <v>39</v>
      </c>
    </row>
    <row r="924" spans="1:3">
      <c r="A924" t="inlineStr">
        <is>
          <t>Maguindanao del Norte|Sultan Mastura</t>
        </is>
      </c>
      <c r="B924">
        <v>24173</v>
      </c>
      <c r="C924">
        <v>13</v>
      </c>
    </row>
    <row r="925" spans="1:3">
      <c r="A925" t="inlineStr">
        <is>
          <t>Maguindanao del Norte|Talitay</t>
        </is>
      </c>
      <c r="B925">
        <v>24186</v>
      </c>
      <c r="C925">
        <v>9</v>
      </c>
    </row>
    <row r="926" spans="1:3">
      <c r="A926" t="inlineStr">
        <is>
          <t>Maguindanao del Norte|Upi</t>
        </is>
      </c>
      <c r="B926">
        <v>24195</v>
      </c>
      <c r="C926">
        <v>23</v>
      </c>
    </row>
    <row r="927" spans="1:3">
      <c r="A927" t="inlineStr">
        <is>
          <t>Maguindanao del Sur|Ampatuan</t>
        </is>
      </c>
      <c r="B927">
        <v>24218</v>
      </c>
      <c r="C927">
        <v>11</v>
      </c>
    </row>
    <row r="928" spans="1:3">
      <c r="A928" t="inlineStr">
        <is>
          <t>Maguindanao del Sur|Buluan</t>
        </is>
      </c>
      <c r="B928">
        <v>24229</v>
      </c>
      <c r="C928">
        <v>7</v>
      </c>
    </row>
    <row r="929" spans="1:3">
      <c r="A929" t="inlineStr">
        <is>
          <t>Maguindanao del Sur|Datu Abdullah Sangki</t>
        </is>
      </c>
      <c r="B929">
        <v>24236</v>
      </c>
      <c r="C929">
        <v>10</v>
      </c>
    </row>
    <row r="930" spans="1:3">
      <c r="A930" t="inlineStr">
        <is>
          <t>Maguindanao del Sur|Datu Anggal Midtimbang</t>
        </is>
      </c>
      <c r="B930">
        <v>24246</v>
      </c>
      <c r="C930">
        <v>7</v>
      </c>
    </row>
    <row r="931" spans="1:3">
      <c r="A931" t="inlineStr">
        <is>
          <t>Maguindanao del Sur|Datu Hoffer Ampatuan</t>
        </is>
      </c>
      <c r="B931">
        <v>24253</v>
      </c>
      <c r="C931">
        <v>11</v>
      </c>
    </row>
    <row r="932" spans="1:3">
      <c r="A932" t="inlineStr">
        <is>
          <t>Maguindanao del Sur|Datu Paglas</t>
        </is>
      </c>
      <c r="B932">
        <v>24264</v>
      </c>
      <c r="C932">
        <v>23</v>
      </c>
    </row>
    <row r="933" spans="1:3">
      <c r="A933" t="inlineStr">
        <is>
          <t>Maguindanao del Sur|Datu Piang</t>
        </is>
      </c>
      <c r="B933">
        <v>24287</v>
      </c>
      <c r="C933">
        <v>16</v>
      </c>
    </row>
    <row r="934" spans="1:3">
      <c r="A934" t="inlineStr">
        <is>
          <t>Maguindanao del Sur|Datu Salibo</t>
        </is>
      </c>
      <c r="B934">
        <v>24303</v>
      </c>
      <c r="C934">
        <v>17</v>
      </c>
    </row>
    <row r="935" spans="1:3">
      <c r="A935" t="inlineStr">
        <is>
          <t>Maguindanao del Sur|Datu Saudi Ampatuan</t>
        </is>
      </c>
      <c r="B935">
        <v>24320</v>
      </c>
      <c r="C935">
        <v>8</v>
      </c>
    </row>
    <row r="936" spans="1:3">
      <c r="A936" t="inlineStr">
        <is>
          <t>Maguindanao del Sur|Datu Unsay</t>
        </is>
      </c>
      <c r="B936">
        <v>24328</v>
      </c>
      <c r="C936">
        <v>8</v>
      </c>
    </row>
    <row r="937" spans="1:3">
      <c r="A937" t="inlineStr">
        <is>
          <t>Maguindanao del Sur|Gen. S.K. Pendatun</t>
        </is>
      </c>
      <c r="B937">
        <v>24336</v>
      </c>
      <c r="C937">
        <v>19</v>
      </c>
    </row>
    <row r="938" spans="1:3">
      <c r="A938" t="inlineStr">
        <is>
          <t>Maguindanao del Sur|Guindulungan</t>
        </is>
      </c>
      <c r="B938">
        <v>24355</v>
      </c>
      <c r="C938">
        <v>11</v>
      </c>
    </row>
    <row r="939" spans="1:3">
      <c r="A939" t="inlineStr">
        <is>
          <t>Maguindanao del Sur|Mamasapano</t>
        </is>
      </c>
      <c r="B939">
        <v>24366</v>
      </c>
      <c r="C939">
        <v>14</v>
      </c>
    </row>
    <row r="940" spans="1:3">
      <c r="A940" t="inlineStr">
        <is>
          <t>Maguindanao del Sur|Mangudadatu</t>
        </is>
      </c>
      <c r="B940">
        <v>24380</v>
      </c>
      <c r="C940">
        <v>8</v>
      </c>
    </row>
    <row r="941" spans="1:3">
      <c r="A941" t="inlineStr">
        <is>
          <t>Maguindanao del Sur|Pagagawan</t>
        </is>
      </c>
      <c r="B941">
        <v>24388</v>
      </c>
      <c r="C941">
        <v>11</v>
      </c>
    </row>
    <row r="942" spans="1:3">
      <c r="A942" t="inlineStr">
        <is>
          <t>Maguindanao del Sur|Pagalungan</t>
        </is>
      </c>
      <c r="B942">
        <v>24399</v>
      </c>
      <c r="C942">
        <v>12</v>
      </c>
    </row>
    <row r="943" spans="1:3">
      <c r="A943" t="inlineStr">
        <is>
          <t>Maguindanao del Sur|Paglat</t>
        </is>
      </c>
      <c r="B943">
        <v>24411</v>
      </c>
      <c r="C943">
        <v>8</v>
      </c>
    </row>
    <row r="944" spans="1:3">
      <c r="A944" t="inlineStr">
        <is>
          <t>Maguindanao del Sur|Pandag</t>
        </is>
      </c>
      <c r="B944">
        <v>24419</v>
      </c>
      <c r="C944">
        <v>8</v>
      </c>
    </row>
    <row r="945" spans="1:3">
      <c r="A945" t="inlineStr">
        <is>
          <t>Maguindanao del Sur|Rajah Buayan</t>
        </is>
      </c>
      <c r="B945">
        <v>24427</v>
      </c>
      <c r="C945">
        <v>11</v>
      </c>
    </row>
    <row r="946" spans="1:3">
      <c r="A946" t="inlineStr">
        <is>
          <t>Maguindanao del Sur|Shariff Aguak</t>
        </is>
      </c>
      <c r="B946">
        <v>24438</v>
      </c>
      <c r="C946">
        <v>13</v>
      </c>
    </row>
    <row r="947" spans="1:3">
      <c r="A947" t="inlineStr">
        <is>
          <t>Maguindanao del Sur|Shariff Saydona Mustapha</t>
        </is>
      </c>
      <c r="B947">
        <v>24451</v>
      </c>
      <c r="C947">
        <v>16</v>
      </c>
    </row>
    <row r="948" spans="1:3">
      <c r="A948" t="inlineStr">
        <is>
          <t>Maguindanao del Sur|South Upi</t>
        </is>
      </c>
      <c r="B948">
        <v>24467</v>
      </c>
      <c r="C948">
        <v>11</v>
      </c>
    </row>
    <row r="949" spans="1:3">
      <c r="A949" t="inlineStr">
        <is>
          <t>Maguindanao del Sur|Sultan Sa Barongis</t>
        </is>
      </c>
      <c r="B949">
        <v>24478</v>
      </c>
      <c r="C949">
        <v>12</v>
      </c>
    </row>
    <row r="950" spans="1:3">
      <c r="A950" t="inlineStr">
        <is>
          <t>Maguindanao del Sur|Talayan</t>
        </is>
      </c>
      <c r="B950">
        <v>24490</v>
      </c>
      <c r="C950">
        <v>15</v>
      </c>
    </row>
    <row r="951" spans="1:3">
      <c r="A951" t="inlineStr">
        <is>
          <t>Marinduque|Boac</t>
        </is>
      </c>
      <c r="B951">
        <v>24505</v>
      </c>
      <c r="C951">
        <v>61</v>
      </c>
    </row>
    <row r="952" spans="1:3">
      <c r="A952" t="inlineStr">
        <is>
          <t>Marinduque|Buenavista</t>
        </is>
      </c>
      <c r="B952">
        <v>24566</v>
      </c>
      <c r="C952">
        <v>15</v>
      </c>
    </row>
    <row r="953" spans="1:3">
      <c r="A953" t="inlineStr">
        <is>
          <t>Marinduque|Gasan</t>
        </is>
      </c>
      <c r="B953">
        <v>24581</v>
      </c>
      <c r="C953">
        <v>25</v>
      </c>
    </row>
    <row r="954" spans="1:3">
      <c r="A954" t="inlineStr">
        <is>
          <t>Marinduque|Mogpog</t>
        </is>
      </c>
      <c r="B954">
        <v>24606</v>
      </c>
      <c r="C954">
        <v>37</v>
      </c>
    </row>
    <row r="955" spans="1:3">
      <c r="A955" t="inlineStr">
        <is>
          <t>Marinduque|Santa Cruz</t>
        </is>
      </c>
      <c r="B955">
        <v>24643</v>
      </c>
      <c r="C955">
        <v>55</v>
      </c>
    </row>
    <row r="956" spans="1:3">
      <c r="A956" t="inlineStr">
        <is>
          <t>Marinduque|Torrijos</t>
        </is>
      </c>
      <c r="B956">
        <v>24698</v>
      </c>
      <c r="C956">
        <v>25</v>
      </c>
    </row>
    <row r="957" spans="1:3">
      <c r="A957" t="inlineStr">
        <is>
          <t>Masbate|Aroroy</t>
        </is>
      </c>
      <c r="B957">
        <v>24723</v>
      </c>
      <c r="C957">
        <v>41</v>
      </c>
    </row>
    <row r="958" spans="1:3">
      <c r="A958" t="inlineStr">
        <is>
          <t>Masbate|Baleno</t>
        </is>
      </c>
      <c r="B958">
        <v>24764</v>
      </c>
      <c r="C958">
        <v>24</v>
      </c>
    </row>
    <row r="959" spans="1:3">
      <c r="A959" t="inlineStr">
        <is>
          <t>Masbate|Balud</t>
        </is>
      </c>
      <c r="B959">
        <v>24788</v>
      </c>
      <c r="C959">
        <v>32</v>
      </c>
    </row>
    <row r="960" spans="1:3">
      <c r="A960" t="inlineStr">
        <is>
          <t>Masbate|Batuan</t>
        </is>
      </c>
      <c r="B960">
        <v>24820</v>
      </c>
      <c r="C960">
        <v>14</v>
      </c>
    </row>
    <row r="961" spans="1:3">
      <c r="A961" t="inlineStr">
        <is>
          <t>Masbate|Cataingan</t>
        </is>
      </c>
      <c r="B961">
        <v>24834</v>
      </c>
      <c r="C961">
        <v>36</v>
      </c>
    </row>
    <row r="962" spans="1:3">
      <c r="A962" t="inlineStr">
        <is>
          <t>Masbate|Cawayan</t>
        </is>
      </c>
      <c r="B962">
        <v>24870</v>
      </c>
      <c r="C962">
        <v>37</v>
      </c>
    </row>
    <row r="963" spans="1:3">
      <c r="A963" t="inlineStr">
        <is>
          <t>Masbate|City of Masbate</t>
        </is>
      </c>
      <c r="B963">
        <v>24907</v>
      </c>
      <c r="C963">
        <v>30</v>
      </c>
    </row>
    <row r="964" spans="1:3">
      <c r="A964" t="inlineStr">
        <is>
          <t>Masbate|Claveria</t>
        </is>
      </c>
      <c r="B964">
        <v>24937</v>
      </c>
      <c r="C964">
        <v>22</v>
      </c>
    </row>
    <row r="965" spans="1:3">
      <c r="A965" t="inlineStr">
        <is>
          <t>Masbate|Dimasalang</t>
        </is>
      </c>
      <c r="B965">
        <v>24959</v>
      </c>
      <c r="C965">
        <v>20</v>
      </c>
    </row>
    <row r="966" spans="1:3">
      <c r="A966" t="inlineStr">
        <is>
          <t>Masbate|Esperanza</t>
        </is>
      </c>
      <c r="B966">
        <v>24979</v>
      </c>
      <c r="C966">
        <v>20</v>
      </c>
    </row>
    <row r="967" spans="1:3">
      <c r="A967" t="inlineStr">
        <is>
          <t>Masbate|Mandaon</t>
        </is>
      </c>
      <c r="B967">
        <v>24999</v>
      </c>
      <c r="C967">
        <v>26</v>
      </c>
    </row>
    <row r="968" spans="1:3">
      <c r="A968" t="inlineStr">
        <is>
          <t>Masbate|Milagros</t>
        </is>
      </c>
      <c r="B968">
        <v>25025</v>
      </c>
      <c r="C968">
        <v>27</v>
      </c>
    </row>
    <row r="969" spans="1:3">
      <c r="A969" t="inlineStr">
        <is>
          <t>Masbate|Mobo</t>
        </is>
      </c>
      <c r="B969">
        <v>25052</v>
      </c>
      <c r="C969">
        <v>29</v>
      </c>
    </row>
    <row r="970" spans="1:3">
      <c r="A970" t="inlineStr">
        <is>
          <t>Masbate|Monreal</t>
        </is>
      </c>
      <c r="B970">
        <v>25081</v>
      </c>
      <c r="C970">
        <v>11</v>
      </c>
    </row>
    <row r="971" spans="1:3">
      <c r="A971" t="inlineStr">
        <is>
          <t>Masbate|Palanas</t>
        </is>
      </c>
      <c r="B971">
        <v>25092</v>
      </c>
      <c r="C971">
        <v>24</v>
      </c>
    </row>
    <row r="972" spans="1:3">
      <c r="A972" t="inlineStr">
        <is>
          <t>Masbate|Pio V. Corpus</t>
        </is>
      </c>
      <c r="B972">
        <v>25116</v>
      </c>
      <c r="C972">
        <v>18</v>
      </c>
    </row>
    <row r="973" spans="1:3">
      <c r="A973" t="inlineStr">
        <is>
          <t>Masbate|Placer</t>
        </is>
      </c>
      <c r="B973">
        <v>25134</v>
      </c>
      <c r="C973">
        <v>35</v>
      </c>
    </row>
    <row r="974" spans="1:3">
      <c r="A974" t="inlineStr">
        <is>
          <t>Masbate|San Fernando</t>
        </is>
      </c>
      <c r="B974">
        <v>25169</v>
      </c>
      <c r="C974">
        <v>26</v>
      </c>
    </row>
    <row r="975" spans="1:3">
      <c r="A975" t="inlineStr">
        <is>
          <t>Masbate|San Jacinto</t>
        </is>
      </c>
      <c r="B975">
        <v>25195</v>
      </c>
      <c r="C975">
        <v>21</v>
      </c>
    </row>
    <row r="976" spans="1:3">
      <c r="A976" t="inlineStr">
        <is>
          <t>Masbate|San Pascual</t>
        </is>
      </c>
      <c r="B976">
        <v>25216</v>
      </c>
      <c r="C976">
        <v>22</v>
      </c>
    </row>
    <row r="977" spans="1:3">
      <c r="A977" t="inlineStr">
        <is>
          <t>Masbate|Uson</t>
        </is>
      </c>
      <c r="B977">
        <v>25238</v>
      </c>
      <c r="C977">
        <v>35</v>
      </c>
    </row>
    <row r="978" spans="1:3">
      <c r="A978" t="inlineStr">
        <is>
          <t>Metro Manila (NCR)|City of Caloocan</t>
        </is>
      </c>
      <c r="B978">
        <v>25273</v>
      </c>
      <c r="C978">
        <v>193</v>
      </c>
    </row>
    <row r="979" spans="1:3">
      <c r="A979" t="inlineStr">
        <is>
          <t>Metro Manila (NCR)|City of Las Piñas</t>
        </is>
      </c>
      <c r="B979">
        <v>25466</v>
      </c>
      <c r="C979">
        <v>20</v>
      </c>
    </row>
    <row r="980" spans="1:3">
      <c r="A980" t="inlineStr">
        <is>
          <t>Metro Manila (NCR)|City of Makati</t>
        </is>
      </c>
      <c r="B980">
        <v>25486</v>
      </c>
      <c r="C980">
        <v>23</v>
      </c>
    </row>
    <row r="981" spans="1:3">
      <c r="A981" t="inlineStr">
        <is>
          <t>Metro Manila (NCR)|City of Malabon</t>
        </is>
      </c>
      <c r="B981">
        <v>25509</v>
      </c>
      <c r="C981">
        <v>21</v>
      </c>
    </row>
    <row r="982" spans="1:3">
      <c r="A982" t="inlineStr">
        <is>
          <t>Metro Manila (NCR)|City of Mandaluyong</t>
        </is>
      </c>
      <c r="B982">
        <v>25530</v>
      </c>
      <c r="C982">
        <v>27</v>
      </c>
    </row>
    <row r="983" spans="1:3">
      <c r="A983" t="inlineStr">
        <is>
          <t>Metro Manila (NCR)|City of Manila</t>
        </is>
      </c>
      <c r="B983">
        <v>25557</v>
      </c>
      <c r="C983">
        <v>897</v>
      </c>
    </row>
    <row r="984" spans="1:3">
      <c r="A984" t="inlineStr">
        <is>
          <t>Metro Manila (NCR)|City of Marikina</t>
        </is>
      </c>
      <c r="B984">
        <v>26454</v>
      </c>
      <c r="C984">
        <v>16</v>
      </c>
    </row>
    <row r="985" spans="1:3">
      <c r="A985" t="inlineStr">
        <is>
          <t>Metro Manila (NCR)|City of Muntinlupa</t>
        </is>
      </c>
      <c r="B985">
        <v>26470</v>
      </c>
      <c r="C985">
        <v>9</v>
      </c>
    </row>
    <row r="986" spans="1:3">
      <c r="A986" t="inlineStr">
        <is>
          <t>Metro Manila (NCR)|City of Navotas</t>
        </is>
      </c>
      <c r="B986">
        <v>26479</v>
      </c>
      <c r="C986">
        <v>18</v>
      </c>
    </row>
    <row r="987" spans="1:3">
      <c r="A987" t="inlineStr">
        <is>
          <t>Metro Manila (NCR)|City of Parañaque</t>
        </is>
      </c>
      <c r="B987">
        <v>26497</v>
      </c>
      <c r="C987">
        <v>16</v>
      </c>
    </row>
    <row r="988" spans="1:3">
      <c r="A988" t="inlineStr">
        <is>
          <t>Metro Manila (NCR)|City of Pasig</t>
        </is>
      </c>
      <c r="B988">
        <v>26513</v>
      </c>
      <c r="C988">
        <v>30</v>
      </c>
    </row>
    <row r="989" spans="1:3">
      <c r="A989" t="inlineStr">
        <is>
          <t>Metro Manila (NCR)|City of San Juan</t>
        </is>
      </c>
      <c r="B989">
        <v>26543</v>
      </c>
      <c r="C989">
        <v>21</v>
      </c>
    </row>
    <row r="990" spans="1:3">
      <c r="A990" t="inlineStr">
        <is>
          <t>Metro Manila (NCR)|City of Taguig</t>
        </is>
      </c>
      <c r="B990">
        <v>26564</v>
      </c>
      <c r="C990">
        <v>38</v>
      </c>
    </row>
    <row r="991" spans="1:3">
      <c r="A991" t="inlineStr">
        <is>
          <t>Metro Manila (NCR)|City of Valenzuela</t>
        </is>
      </c>
      <c r="B991">
        <v>26602</v>
      </c>
      <c r="C991">
        <v>33</v>
      </c>
    </row>
    <row r="992" spans="1:3">
      <c r="A992" t="inlineStr">
        <is>
          <t>Metro Manila (NCR)|Pasay City</t>
        </is>
      </c>
      <c r="B992">
        <v>26635</v>
      </c>
      <c r="C992">
        <v>201</v>
      </c>
    </row>
    <row r="993" spans="1:3">
      <c r="A993" t="inlineStr">
        <is>
          <t>Metro Manila (NCR)|Pateros</t>
        </is>
      </c>
      <c r="B993">
        <v>26836</v>
      </c>
      <c r="C993">
        <v>10</v>
      </c>
    </row>
    <row r="994" spans="1:3">
      <c r="A994" t="inlineStr">
        <is>
          <t>Metro Manila (NCR)|Quezon City</t>
        </is>
      </c>
      <c r="B994">
        <v>26846</v>
      </c>
      <c r="C994">
        <v>142</v>
      </c>
    </row>
    <row r="995" spans="1:3">
      <c r="A995" t="inlineStr">
        <is>
          <t>Misamis Occidental|Aloran</t>
        </is>
      </c>
      <c r="B995">
        <v>26988</v>
      </c>
      <c r="C995">
        <v>38</v>
      </c>
    </row>
    <row r="996" spans="1:3">
      <c r="A996" t="inlineStr">
        <is>
          <t>Misamis Occidental|Baliangao</t>
        </is>
      </c>
      <c r="B996">
        <v>27026</v>
      </c>
      <c r="C996">
        <v>15</v>
      </c>
    </row>
    <row r="997" spans="1:3">
      <c r="A997" t="inlineStr">
        <is>
          <t>Misamis Occidental|Bonifacio</t>
        </is>
      </c>
      <c r="B997">
        <v>27041</v>
      </c>
      <c r="C997">
        <v>28</v>
      </c>
    </row>
    <row r="998" spans="1:3">
      <c r="A998" t="inlineStr">
        <is>
          <t>Misamis Occidental|Calamba</t>
        </is>
      </c>
      <c r="B998">
        <v>27069</v>
      </c>
      <c r="C998">
        <v>19</v>
      </c>
    </row>
    <row r="999" spans="1:3">
      <c r="A999" t="inlineStr">
        <is>
          <t>Misamis Occidental|City of Oroquieta</t>
        </is>
      </c>
      <c r="B999">
        <v>27088</v>
      </c>
      <c r="C999">
        <v>47</v>
      </c>
    </row>
    <row r="1000" spans="1:3">
      <c r="A1000" t="inlineStr">
        <is>
          <t>Misamis Occidental|City of Ozamiz</t>
        </is>
      </c>
      <c r="B1000">
        <v>27135</v>
      </c>
      <c r="C1000">
        <v>51</v>
      </c>
    </row>
    <row r="1001" spans="1:3">
      <c r="A1001" t="inlineStr">
        <is>
          <t>Misamis Occidental|City of Tangub</t>
        </is>
      </c>
      <c r="B1001">
        <v>27186</v>
      </c>
      <c r="C1001">
        <v>55</v>
      </c>
    </row>
    <row r="1002" spans="1:3">
      <c r="A1002" t="inlineStr">
        <is>
          <t>Misamis Occidental|Clarin</t>
        </is>
      </c>
      <c r="B1002">
        <v>27241</v>
      </c>
      <c r="C1002">
        <v>29</v>
      </c>
    </row>
    <row r="1003" spans="1:3">
      <c r="A1003" t="inlineStr">
        <is>
          <t>Misamis Occidental|Concepcion</t>
        </is>
      </c>
      <c r="B1003">
        <v>27270</v>
      </c>
      <c r="C1003">
        <v>18</v>
      </c>
    </row>
    <row r="1004" spans="1:3">
      <c r="A1004" t="inlineStr">
        <is>
          <t>Misamis Occidental|Don Victoriano</t>
        </is>
      </c>
      <c r="B1004">
        <v>27288</v>
      </c>
      <c r="C1004">
        <v>11</v>
      </c>
    </row>
    <row r="1005" spans="1:3">
      <c r="A1005" t="inlineStr">
        <is>
          <t>Misamis Occidental|Jimenez</t>
        </is>
      </c>
      <c r="B1005">
        <v>27299</v>
      </c>
      <c r="C1005">
        <v>24</v>
      </c>
    </row>
    <row r="1006" spans="1:3">
      <c r="A1006" t="inlineStr">
        <is>
          <t>Misamis Occidental|Lopez Jaena</t>
        </is>
      </c>
      <c r="B1006">
        <v>27323</v>
      </c>
      <c r="C1006">
        <v>28</v>
      </c>
    </row>
    <row r="1007" spans="1:3">
      <c r="A1007" t="inlineStr">
        <is>
          <t>Misamis Occidental|Panaon</t>
        </is>
      </c>
      <c r="B1007">
        <v>27351</v>
      </c>
      <c r="C1007">
        <v>16</v>
      </c>
    </row>
    <row r="1008" spans="1:3">
      <c r="A1008" t="inlineStr">
        <is>
          <t>Misamis Occidental|Plaridel</t>
        </is>
      </c>
      <c r="B1008">
        <v>27367</v>
      </c>
      <c r="C1008">
        <v>33</v>
      </c>
    </row>
    <row r="1009" spans="1:3">
      <c r="A1009" t="inlineStr">
        <is>
          <t>Misamis Occidental|Sapang Dalaga</t>
        </is>
      </c>
      <c r="B1009">
        <v>27400</v>
      </c>
      <c r="C1009">
        <v>28</v>
      </c>
    </row>
    <row r="1010" spans="1:3">
      <c r="A1010" t="inlineStr">
        <is>
          <t>Misamis Occidental|Sinacaban</t>
        </is>
      </c>
      <c r="B1010">
        <v>27428</v>
      </c>
      <c r="C1010">
        <v>17</v>
      </c>
    </row>
    <row r="1011" spans="1:3">
      <c r="A1011" t="inlineStr">
        <is>
          <t>Misamis Occidental|Tudela</t>
        </is>
      </c>
      <c r="B1011">
        <v>27445</v>
      </c>
      <c r="C1011">
        <v>33</v>
      </c>
    </row>
    <row r="1012" spans="1:3">
      <c r="A1012" t="inlineStr">
        <is>
          <t>Misamis Oriental|Alubijid</t>
        </is>
      </c>
      <c r="B1012">
        <v>27478</v>
      </c>
      <c r="C1012">
        <v>16</v>
      </c>
    </row>
    <row r="1013" spans="1:3">
      <c r="A1013" t="inlineStr">
        <is>
          <t>Misamis Oriental|Balingasag</t>
        </is>
      </c>
      <c r="B1013">
        <v>27494</v>
      </c>
      <c r="C1013">
        <v>30</v>
      </c>
    </row>
    <row r="1014" spans="1:3">
      <c r="A1014" t="inlineStr">
        <is>
          <t>Misamis Oriental|Balingoan</t>
        </is>
      </c>
      <c r="B1014">
        <v>27524</v>
      </c>
      <c r="C1014">
        <v>9</v>
      </c>
    </row>
    <row r="1015" spans="1:3">
      <c r="A1015" t="inlineStr">
        <is>
          <t>Misamis Oriental|Binuangan</t>
        </is>
      </c>
      <c r="B1015">
        <v>27533</v>
      </c>
      <c r="C1015">
        <v>8</v>
      </c>
    </row>
    <row r="1016" spans="1:3">
      <c r="A1016" t="inlineStr">
        <is>
          <t>Misamis Oriental|City of El Salvador</t>
        </is>
      </c>
      <c r="B1016">
        <v>27541</v>
      </c>
      <c r="C1016">
        <v>15</v>
      </c>
    </row>
    <row r="1017" spans="1:3">
      <c r="A1017" t="inlineStr">
        <is>
          <t>Misamis Oriental|City of Gingoog</t>
        </is>
      </c>
      <c r="B1017">
        <v>27556</v>
      </c>
      <c r="C1017">
        <v>79</v>
      </c>
    </row>
    <row r="1018" spans="1:3">
      <c r="A1018" t="inlineStr">
        <is>
          <t>Misamis Oriental|Claveria</t>
        </is>
      </c>
      <c r="B1018">
        <v>27635</v>
      </c>
      <c r="C1018">
        <v>24</v>
      </c>
    </row>
    <row r="1019" spans="1:3">
      <c r="A1019" t="inlineStr">
        <is>
          <t>Misamis Oriental|Gitagum</t>
        </is>
      </c>
      <c r="B1019">
        <v>27659</v>
      </c>
      <c r="C1019">
        <v>11</v>
      </c>
    </row>
    <row r="1020" spans="1:3">
      <c r="A1020" t="inlineStr">
        <is>
          <t>Misamis Oriental|Initao</t>
        </is>
      </c>
      <c r="B1020">
        <v>27670</v>
      </c>
      <c r="C1020">
        <v>16</v>
      </c>
    </row>
    <row r="1021" spans="1:3">
      <c r="A1021" t="inlineStr">
        <is>
          <t>Misamis Oriental|Jasaan</t>
        </is>
      </c>
      <c r="B1021">
        <v>27686</v>
      </c>
      <c r="C1021">
        <v>15</v>
      </c>
    </row>
    <row r="1022" spans="1:3">
      <c r="A1022" t="inlineStr">
        <is>
          <t>Misamis Oriental|Kinoguitan</t>
        </is>
      </c>
      <c r="B1022">
        <v>27701</v>
      </c>
      <c r="C1022">
        <v>15</v>
      </c>
    </row>
    <row r="1023" spans="1:3">
      <c r="A1023" t="inlineStr">
        <is>
          <t>Misamis Oriental|Lagonglong</t>
        </is>
      </c>
      <c r="B1023">
        <v>27716</v>
      </c>
      <c r="C1023">
        <v>10</v>
      </c>
    </row>
    <row r="1024" spans="1:3">
      <c r="A1024" t="inlineStr">
        <is>
          <t>Misamis Oriental|Laguindingan</t>
        </is>
      </c>
      <c r="B1024">
        <v>27726</v>
      </c>
      <c r="C1024">
        <v>11</v>
      </c>
    </row>
    <row r="1025" spans="1:3">
      <c r="A1025" t="inlineStr">
        <is>
          <t>Misamis Oriental|Libertad</t>
        </is>
      </c>
      <c r="B1025">
        <v>27737</v>
      </c>
      <c r="C1025">
        <v>9</v>
      </c>
    </row>
    <row r="1026" spans="1:3">
      <c r="A1026" t="inlineStr">
        <is>
          <t>Misamis Oriental|Lugait</t>
        </is>
      </c>
      <c r="B1026">
        <v>27746</v>
      </c>
      <c r="C1026">
        <v>8</v>
      </c>
    </row>
    <row r="1027" spans="1:3">
      <c r="A1027" t="inlineStr">
        <is>
          <t>Misamis Oriental|Magsaysay</t>
        </is>
      </c>
      <c r="B1027">
        <v>27754</v>
      </c>
      <c r="C1027">
        <v>25</v>
      </c>
    </row>
    <row r="1028" spans="1:3">
      <c r="A1028" t="inlineStr">
        <is>
          <t>Misamis Oriental|Manticao</t>
        </is>
      </c>
      <c r="B1028">
        <v>27779</v>
      </c>
      <c r="C1028">
        <v>13</v>
      </c>
    </row>
    <row r="1029" spans="1:3">
      <c r="A1029" t="inlineStr">
        <is>
          <t>Misamis Oriental|Medina</t>
        </is>
      </c>
      <c r="B1029">
        <v>27792</v>
      </c>
      <c r="C1029">
        <v>19</v>
      </c>
    </row>
    <row r="1030" spans="1:3">
      <c r="A1030" t="inlineStr">
        <is>
          <t>Misamis Oriental|Naawan</t>
        </is>
      </c>
      <c r="B1030">
        <v>27811</v>
      </c>
      <c r="C1030">
        <v>10</v>
      </c>
    </row>
    <row r="1031" spans="1:3">
      <c r="A1031" t="inlineStr">
        <is>
          <t>Misamis Oriental|Opol</t>
        </is>
      </c>
      <c r="B1031">
        <v>27821</v>
      </c>
      <c r="C1031">
        <v>14</v>
      </c>
    </row>
    <row r="1032" spans="1:3">
      <c r="A1032" t="inlineStr">
        <is>
          <t>Misamis Oriental|Salay</t>
        </is>
      </c>
      <c r="B1032">
        <v>27835</v>
      </c>
      <c r="C1032">
        <v>18</v>
      </c>
    </row>
    <row r="1033" spans="1:3">
      <c r="A1033" t="inlineStr">
        <is>
          <t>Misamis Oriental|Sugbongcogon</t>
        </is>
      </c>
      <c r="B1033">
        <v>27853</v>
      </c>
      <c r="C1033">
        <v>10</v>
      </c>
    </row>
    <row r="1034" spans="1:3">
      <c r="A1034" t="inlineStr">
        <is>
          <t>Misamis Oriental|Tagoloan</t>
        </is>
      </c>
      <c r="B1034">
        <v>27863</v>
      </c>
      <c r="C1034">
        <v>10</v>
      </c>
    </row>
    <row r="1035" spans="1:3">
      <c r="A1035" t="inlineStr">
        <is>
          <t>Misamis Oriental|Talisayan</t>
        </is>
      </c>
      <c r="B1035">
        <v>27873</v>
      </c>
      <c r="C1035">
        <v>18</v>
      </c>
    </row>
    <row r="1036" spans="1:3">
      <c r="A1036" t="inlineStr">
        <is>
          <t>Misamis Oriental|Villanueva</t>
        </is>
      </c>
      <c r="B1036">
        <v>27891</v>
      </c>
      <c r="C1036">
        <v>11</v>
      </c>
    </row>
    <row r="1037" spans="1:3">
      <c r="A1037" t="inlineStr">
        <is>
          <t>Mountain Province|Barlig</t>
        </is>
      </c>
      <c r="B1037">
        <v>27902</v>
      </c>
      <c r="C1037">
        <v>11</v>
      </c>
    </row>
    <row r="1038" spans="1:3">
      <c r="A1038" t="inlineStr">
        <is>
          <t>Mountain Province|Bauko</t>
        </is>
      </c>
      <c r="B1038">
        <v>27913</v>
      </c>
      <c r="C1038">
        <v>22</v>
      </c>
    </row>
    <row r="1039" spans="1:3">
      <c r="A1039" t="inlineStr">
        <is>
          <t>Mountain Province|Besao</t>
        </is>
      </c>
      <c r="B1039">
        <v>27935</v>
      </c>
      <c r="C1039">
        <v>14</v>
      </c>
    </row>
    <row r="1040" spans="1:3">
      <c r="A1040" t="inlineStr">
        <is>
          <t>Mountain Province|Bontoc</t>
        </is>
      </c>
      <c r="B1040">
        <v>27949</v>
      </c>
      <c r="C1040">
        <v>16</v>
      </c>
    </row>
    <row r="1041" spans="1:3">
      <c r="A1041" t="inlineStr">
        <is>
          <t>Mountain Province|Natonin</t>
        </is>
      </c>
      <c r="B1041">
        <v>27965</v>
      </c>
      <c r="C1041">
        <v>11</v>
      </c>
    </row>
    <row r="1042" spans="1:3">
      <c r="A1042" t="inlineStr">
        <is>
          <t>Mountain Province|Paracelis</t>
        </is>
      </c>
      <c r="B1042">
        <v>27976</v>
      </c>
      <c r="C1042">
        <v>9</v>
      </c>
    </row>
    <row r="1043" spans="1:3">
      <c r="A1043" t="inlineStr">
        <is>
          <t>Mountain Province|Sabangan</t>
        </is>
      </c>
      <c r="B1043">
        <v>27985</v>
      </c>
      <c r="C1043">
        <v>15</v>
      </c>
    </row>
    <row r="1044" spans="1:3">
      <c r="A1044" t="inlineStr">
        <is>
          <t>Mountain Province|Sadanga</t>
        </is>
      </c>
      <c r="B1044">
        <v>28000</v>
      </c>
      <c r="C1044">
        <v>8</v>
      </c>
    </row>
    <row r="1045" spans="1:3">
      <c r="A1045" t="inlineStr">
        <is>
          <t>Mountain Province|Sagada</t>
        </is>
      </c>
      <c r="B1045">
        <v>28008</v>
      </c>
      <c r="C1045">
        <v>19</v>
      </c>
    </row>
    <row r="1046" spans="1:3">
      <c r="A1046" t="inlineStr">
        <is>
          <t>Mountain Province|Tadian</t>
        </is>
      </c>
      <c r="B1046">
        <v>28027</v>
      </c>
      <c r="C1046">
        <v>19</v>
      </c>
    </row>
    <row r="1047" spans="1:3">
      <c r="A1047" t="inlineStr">
        <is>
          <t>Negros Occidental|Binalbagan</t>
        </is>
      </c>
      <c r="B1047">
        <v>28046</v>
      </c>
      <c r="C1047">
        <v>16</v>
      </c>
    </row>
    <row r="1048" spans="1:3">
      <c r="A1048" t="inlineStr">
        <is>
          <t>Negros Occidental|Calatrava</t>
        </is>
      </c>
      <c r="B1048">
        <v>28062</v>
      </c>
      <c r="C1048">
        <v>40</v>
      </c>
    </row>
    <row r="1049" spans="1:3">
      <c r="A1049" t="inlineStr">
        <is>
          <t>Negros Occidental|Candoni</t>
        </is>
      </c>
      <c r="B1049">
        <v>28102</v>
      </c>
      <c r="C1049">
        <v>9</v>
      </c>
    </row>
    <row r="1050" spans="1:3">
      <c r="A1050" t="inlineStr">
        <is>
          <t>Negros Occidental|Cauayan</t>
        </is>
      </c>
      <c r="B1050">
        <v>28111</v>
      </c>
      <c r="C1050">
        <v>25</v>
      </c>
    </row>
    <row r="1051" spans="1:3">
      <c r="A1051" t="inlineStr">
        <is>
          <t>Negros Occidental|City of Bago</t>
        </is>
      </c>
      <c r="B1051">
        <v>28136</v>
      </c>
      <c r="C1051">
        <v>24</v>
      </c>
    </row>
    <row r="1052" spans="1:3">
      <c r="A1052" t="inlineStr">
        <is>
          <t>Negros Occidental|City of Cadiz</t>
        </is>
      </c>
      <c r="B1052">
        <v>28160</v>
      </c>
      <c r="C1052">
        <v>22</v>
      </c>
    </row>
    <row r="1053" spans="1:3">
      <c r="A1053" t="inlineStr">
        <is>
          <t>Negros Occidental|City of Escalante</t>
        </is>
      </c>
      <c r="B1053">
        <v>28182</v>
      </c>
      <c r="C1053">
        <v>21</v>
      </c>
    </row>
    <row r="1054" spans="1:3">
      <c r="A1054" t="inlineStr">
        <is>
          <t>Negros Occidental|City of Himamaylan</t>
        </is>
      </c>
      <c r="B1054">
        <v>28203</v>
      </c>
      <c r="C1054">
        <v>19</v>
      </c>
    </row>
    <row r="1055" spans="1:3">
      <c r="A1055" t="inlineStr">
        <is>
          <t>Negros Occidental|City of Kabankalan</t>
        </is>
      </c>
      <c r="B1055">
        <v>28222</v>
      </c>
      <c r="C1055">
        <v>32</v>
      </c>
    </row>
    <row r="1056" spans="1:3">
      <c r="A1056" t="inlineStr">
        <is>
          <t>Negros Occidental|City of La Carlota</t>
        </is>
      </c>
      <c r="B1056">
        <v>28254</v>
      </c>
      <c r="C1056">
        <v>14</v>
      </c>
    </row>
    <row r="1057" spans="1:3">
      <c r="A1057" t="inlineStr">
        <is>
          <t>Negros Occidental|City of Sagay</t>
        </is>
      </c>
      <c r="B1057">
        <v>28268</v>
      </c>
      <c r="C1057">
        <v>25</v>
      </c>
    </row>
    <row r="1058" spans="1:3">
      <c r="A1058" t="inlineStr">
        <is>
          <t>Negros Occidental|City of San Carlos</t>
        </is>
      </c>
      <c r="B1058">
        <v>28293</v>
      </c>
      <c r="C1058">
        <v>18</v>
      </c>
    </row>
    <row r="1059" spans="1:3">
      <c r="A1059" t="inlineStr">
        <is>
          <t>Negros Occidental|City of Silay</t>
        </is>
      </c>
      <c r="B1059">
        <v>28311</v>
      </c>
      <c r="C1059">
        <v>16</v>
      </c>
    </row>
    <row r="1060" spans="1:3">
      <c r="A1060" t="inlineStr">
        <is>
          <t>Negros Occidental|City of Sipalay</t>
        </is>
      </c>
      <c r="B1060">
        <v>28327</v>
      </c>
      <c r="C1060">
        <v>17</v>
      </c>
    </row>
    <row r="1061" spans="1:3">
      <c r="A1061" t="inlineStr">
        <is>
          <t>Negros Occidental|City of Talisay</t>
        </is>
      </c>
      <c r="B1061">
        <v>28344</v>
      </c>
      <c r="C1061">
        <v>27</v>
      </c>
    </row>
    <row r="1062" spans="1:3">
      <c r="A1062" t="inlineStr">
        <is>
          <t>Negros Occidental|City of Victorias</t>
        </is>
      </c>
      <c r="B1062">
        <v>28371</v>
      </c>
      <c r="C1062">
        <v>26</v>
      </c>
    </row>
    <row r="1063" spans="1:3">
      <c r="A1063" t="inlineStr">
        <is>
          <t>Negros Occidental|Enrique B. Magalona</t>
        </is>
      </c>
      <c r="B1063">
        <v>28397</v>
      </c>
      <c r="C1063">
        <v>23</v>
      </c>
    </row>
    <row r="1064" spans="1:3">
      <c r="A1064" t="inlineStr">
        <is>
          <t>Negros Occidental|Hinigaran</t>
        </is>
      </c>
      <c r="B1064">
        <v>28420</v>
      </c>
      <c r="C1064">
        <v>24</v>
      </c>
    </row>
    <row r="1065" spans="1:3">
      <c r="A1065" t="inlineStr">
        <is>
          <t>Negros Occidental|Hinoba-an</t>
        </is>
      </c>
      <c r="B1065">
        <v>28444</v>
      </c>
      <c r="C1065">
        <v>13</v>
      </c>
    </row>
    <row r="1066" spans="1:3">
      <c r="A1066" t="inlineStr">
        <is>
          <t>Negros Occidental|Ilog</t>
        </is>
      </c>
      <c r="B1066">
        <v>28457</v>
      </c>
      <c r="C1066">
        <v>15</v>
      </c>
    </row>
    <row r="1067" spans="1:3">
      <c r="A1067" t="inlineStr">
        <is>
          <t>Negros Occidental|Isabela</t>
        </is>
      </c>
      <c r="B1067">
        <v>28472</v>
      </c>
      <c r="C1067">
        <v>30</v>
      </c>
    </row>
    <row r="1068" spans="1:3">
      <c r="A1068" t="inlineStr">
        <is>
          <t>Negros Occidental|La Castellana</t>
        </is>
      </c>
      <c r="B1068">
        <v>28502</v>
      </c>
      <c r="C1068">
        <v>13</v>
      </c>
    </row>
    <row r="1069" spans="1:3">
      <c r="A1069" t="inlineStr">
        <is>
          <t>Negros Occidental|Manapla</t>
        </is>
      </c>
      <c r="B1069">
        <v>28515</v>
      </c>
      <c r="C1069">
        <v>12</v>
      </c>
    </row>
    <row r="1070" spans="1:3">
      <c r="A1070" t="inlineStr">
        <is>
          <t>Negros Occidental|Moises Padilla</t>
        </is>
      </c>
      <c r="B1070">
        <v>28527</v>
      </c>
      <c r="C1070">
        <v>15</v>
      </c>
    </row>
    <row r="1071" spans="1:3">
      <c r="A1071" t="inlineStr">
        <is>
          <t>Negros Occidental|Murcia</t>
        </is>
      </c>
      <c r="B1071">
        <v>28542</v>
      </c>
      <c r="C1071">
        <v>23</v>
      </c>
    </row>
    <row r="1072" spans="1:3">
      <c r="A1072" t="inlineStr">
        <is>
          <t>Negros Occidental|Pontevedra</t>
        </is>
      </c>
      <c r="B1072">
        <v>28565</v>
      </c>
      <c r="C1072">
        <v>20</v>
      </c>
    </row>
    <row r="1073" spans="1:3">
      <c r="A1073" t="inlineStr">
        <is>
          <t>Negros Occidental|Pulupandan</t>
        </is>
      </c>
      <c r="B1073">
        <v>28585</v>
      </c>
      <c r="C1073">
        <v>20</v>
      </c>
    </row>
    <row r="1074" spans="1:3">
      <c r="A1074" t="inlineStr">
        <is>
          <t>Negros Occidental|Salvador Benedicto</t>
        </is>
      </c>
      <c r="B1074">
        <v>28605</v>
      </c>
      <c r="C1074">
        <v>7</v>
      </c>
    </row>
    <row r="1075" spans="1:3">
      <c r="A1075" t="inlineStr">
        <is>
          <t>Negros Occidental|San Enrique</t>
        </is>
      </c>
      <c r="B1075">
        <v>28612</v>
      </c>
      <c r="C1075">
        <v>10</v>
      </c>
    </row>
    <row r="1076" spans="1:3">
      <c r="A1076" t="inlineStr">
        <is>
          <t>Negros Occidental|Toboso</t>
        </is>
      </c>
      <c r="B1076">
        <v>28622</v>
      </c>
      <c r="C1076">
        <v>9</v>
      </c>
    </row>
    <row r="1077" spans="1:3">
      <c r="A1077" t="inlineStr">
        <is>
          <t>Negros Occidental|Valladolid</t>
        </is>
      </c>
      <c r="B1077">
        <v>28631</v>
      </c>
      <c r="C1077">
        <v>16</v>
      </c>
    </row>
    <row r="1078" spans="1:3">
      <c r="A1078" t="inlineStr">
        <is>
          <t>Negros Oriental|Amlan</t>
        </is>
      </c>
      <c r="B1078">
        <v>28647</v>
      </c>
      <c r="C1078">
        <v>8</v>
      </c>
    </row>
    <row r="1079" spans="1:3">
      <c r="A1079" t="inlineStr">
        <is>
          <t>Negros Oriental|Ayungon</t>
        </is>
      </c>
      <c r="B1079">
        <v>28655</v>
      </c>
      <c r="C1079">
        <v>24</v>
      </c>
    </row>
    <row r="1080" spans="1:3">
      <c r="A1080" t="inlineStr">
        <is>
          <t>Negros Oriental|Bacong</t>
        </is>
      </c>
      <c r="B1080">
        <v>28679</v>
      </c>
      <c r="C1080">
        <v>22</v>
      </c>
    </row>
    <row r="1081" spans="1:3">
      <c r="A1081" t="inlineStr">
        <is>
          <t>Negros Oriental|Basay</t>
        </is>
      </c>
      <c r="B1081">
        <v>28701</v>
      </c>
      <c r="C1081">
        <v>10</v>
      </c>
    </row>
    <row r="1082" spans="1:3">
      <c r="A1082" t="inlineStr">
        <is>
          <t>Negros Oriental|Bindoy</t>
        </is>
      </c>
      <c r="B1082">
        <v>28711</v>
      </c>
      <c r="C1082">
        <v>22</v>
      </c>
    </row>
    <row r="1083" spans="1:3">
      <c r="A1083" t="inlineStr">
        <is>
          <t>Negros Oriental|City of Bais</t>
        </is>
      </c>
      <c r="B1083">
        <v>28733</v>
      </c>
      <c r="C1083">
        <v>35</v>
      </c>
    </row>
    <row r="1084" spans="1:3">
      <c r="A1084" t="inlineStr">
        <is>
          <t>Negros Oriental|City of Bayawan</t>
        </is>
      </c>
      <c r="B1084">
        <v>28768</v>
      </c>
      <c r="C1084">
        <v>28</v>
      </c>
    </row>
    <row r="1085" spans="1:3">
      <c r="A1085" t="inlineStr">
        <is>
          <t>Negros Oriental|City of Canlaon</t>
        </is>
      </c>
      <c r="B1085">
        <v>28796</v>
      </c>
      <c r="C1085">
        <v>12</v>
      </c>
    </row>
    <row r="1086" spans="1:3">
      <c r="A1086" t="inlineStr">
        <is>
          <t>Negros Oriental|City of Dumaguete</t>
        </is>
      </c>
      <c r="B1086">
        <v>28808</v>
      </c>
      <c r="C1086">
        <v>30</v>
      </c>
    </row>
    <row r="1087" spans="1:3">
      <c r="A1087" t="inlineStr">
        <is>
          <t>Negros Oriental|City of Guihulngan</t>
        </is>
      </c>
      <c r="B1087">
        <v>28838</v>
      </c>
      <c r="C1087">
        <v>33</v>
      </c>
    </row>
    <row r="1088" spans="1:3">
      <c r="A1088" t="inlineStr">
        <is>
          <t>Negros Oriental|City of Tanjay</t>
        </is>
      </c>
      <c r="B1088">
        <v>28871</v>
      </c>
      <c r="C1088">
        <v>24</v>
      </c>
    </row>
    <row r="1089" spans="1:3">
      <c r="A1089" t="inlineStr">
        <is>
          <t>Negros Oriental|Dauin</t>
        </is>
      </c>
      <c r="B1089">
        <v>28895</v>
      </c>
      <c r="C1089">
        <v>23</v>
      </c>
    </row>
    <row r="1090" spans="1:3">
      <c r="A1090" t="inlineStr">
        <is>
          <t>Negros Oriental|Jimalalud</t>
        </is>
      </c>
      <c r="B1090">
        <v>28918</v>
      </c>
      <c r="C1090">
        <v>28</v>
      </c>
    </row>
    <row r="1091" spans="1:3">
      <c r="A1091" t="inlineStr">
        <is>
          <t>Negros Oriental|La Libertad</t>
        </is>
      </c>
      <c r="B1091">
        <v>28946</v>
      </c>
      <c r="C1091">
        <v>29</v>
      </c>
    </row>
    <row r="1092" spans="1:3">
      <c r="A1092" t="inlineStr">
        <is>
          <t>Negros Oriental|Mabinay</t>
        </is>
      </c>
      <c r="B1092">
        <v>28975</v>
      </c>
      <c r="C1092">
        <v>32</v>
      </c>
    </row>
    <row r="1093" spans="1:3">
      <c r="A1093" t="inlineStr">
        <is>
          <t>Negros Oriental|Manjuyod</t>
        </is>
      </c>
      <c r="B1093">
        <v>29007</v>
      </c>
      <c r="C1093">
        <v>27</v>
      </c>
    </row>
    <row r="1094" spans="1:3">
      <c r="A1094" t="inlineStr">
        <is>
          <t>Negros Oriental|Pamplona</t>
        </is>
      </c>
      <c r="B1094">
        <v>29034</v>
      </c>
      <c r="C1094">
        <v>16</v>
      </c>
    </row>
    <row r="1095" spans="1:3">
      <c r="A1095" t="inlineStr">
        <is>
          <t>Negros Oriental|San Jose</t>
        </is>
      </c>
      <c r="B1095">
        <v>29050</v>
      </c>
      <c r="C1095">
        <v>14</v>
      </c>
    </row>
    <row r="1096" spans="1:3">
      <c r="A1096" t="inlineStr">
        <is>
          <t>Negros Oriental|Santa Catalina</t>
        </is>
      </c>
      <c r="B1096">
        <v>29064</v>
      </c>
      <c r="C1096">
        <v>22</v>
      </c>
    </row>
    <row r="1097" spans="1:3">
      <c r="A1097" t="inlineStr">
        <is>
          <t>Negros Oriental|Siaton</t>
        </is>
      </c>
      <c r="B1097">
        <v>29086</v>
      </c>
      <c r="C1097">
        <v>26</v>
      </c>
    </row>
    <row r="1098" spans="1:3">
      <c r="A1098" t="inlineStr">
        <is>
          <t>Negros Oriental|Sibulan</t>
        </is>
      </c>
      <c r="B1098">
        <v>29112</v>
      </c>
      <c r="C1098">
        <v>15</v>
      </c>
    </row>
    <row r="1099" spans="1:3">
      <c r="A1099" t="inlineStr">
        <is>
          <t>Negros Oriental|Tayasan</t>
        </is>
      </c>
      <c r="B1099">
        <v>29127</v>
      </c>
      <c r="C1099">
        <v>28</v>
      </c>
    </row>
    <row r="1100" spans="1:3">
      <c r="A1100" t="inlineStr">
        <is>
          <t>Negros Oriental|Valencia</t>
        </is>
      </c>
      <c r="B1100">
        <v>29155</v>
      </c>
      <c r="C1100">
        <v>24</v>
      </c>
    </row>
    <row r="1101" spans="1:3">
      <c r="A1101" t="inlineStr">
        <is>
          <t>Negros Oriental|Vallehermoso</t>
        </is>
      </c>
      <c r="B1101">
        <v>29179</v>
      </c>
      <c r="C1101">
        <v>15</v>
      </c>
    </row>
    <row r="1102" spans="1:3">
      <c r="A1102" t="inlineStr">
        <is>
          <t>Negros Oriental|Zamboanguita</t>
        </is>
      </c>
      <c r="B1102">
        <v>29194</v>
      </c>
      <c r="C1102">
        <v>10</v>
      </c>
    </row>
    <row r="1103" spans="1:3">
      <c r="A1103" t="inlineStr">
        <is>
          <t>Northern Samar|Allen</t>
        </is>
      </c>
      <c r="B1103">
        <v>29204</v>
      </c>
      <c r="C1103">
        <v>20</v>
      </c>
    </row>
    <row r="1104" spans="1:3">
      <c r="A1104" t="inlineStr">
        <is>
          <t>Northern Samar|Biri</t>
        </is>
      </c>
      <c r="B1104">
        <v>29224</v>
      </c>
      <c r="C1104">
        <v>8</v>
      </c>
    </row>
    <row r="1105" spans="1:3">
      <c r="A1105" t="inlineStr">
        <is>
          <t>Northern Samar|Bobon</t>
        </is>
      </c>
      <c r="B1105">
        <v>29232</v>
      </c>
      <c r="C1105">
        <v>18</v>
      </c>
    </row>
    <row r="1106" spans="1:3">
      <c r="A1106" t="inlineStr">
        <is>
          <t>Northern Samar|Capul</t>
        </is>
      </c>
      <c r="B1106">
        <v>29250</v>
      </c>
      <c r="C1106">
        <v>12</v>
      </c>
    </row>
    <row r="1107" spans="1:3">
      <c r="A1107" t="inlineStr">
        <is>
          <t>Northern Samar|Catarman</t>
        </is>
      </c>
      <c r="B1107">
        <v>29262</v>
      </c>
      <c r="C1107">
        <v>55</v>
      </c>
    </row>
    <row r="1108" spans="1:3">
      <c r="A1108" t="inlineStr">
        <is>
          <t>Northern Samar|Catubig</t>
        </is>
      </c>
      <c r="B1108">
        <v>29317</v>
      </c>
      <c r="C1108">
        <v>47</v>
      </c>
    </row>
    <row r="1109" spans="1:3">
      <c r="A1109" t="inlineStr">
        <is>
          <t>Northern Samar|Gamay</t>
        </is>
      </c>
      <c r="B1109">
        <v>29364</v>
      </c>
      <c r="C1109">
        <v>26</v>
      </c>
    </row>
    <row r="1110" spans="1:3">
      <c r="A1110" t="inlineStr">
        <is>
          <t>Northern Samar|Laoang</t>
        </is>
      </c>
      <c r="B1110">
        <v>29390</v>
      </c>
      <c r="C1110">
        <v>56</v>
      </c>
    </row>
    <row r="1111" spans="1:3">
      <c r="A1111" t="inlineStr">
        <is>
          <t>Northern Samar|Lapinig</t>
        </is>
      </c>
      <c r="B1111">
        <v>29446</v>
      </c>
      <c r="C1111">
        <v>15</v>
      </c>
    </row>
    <row r="1112" spans="1:3">
      <c r="A1112" t="inlineStr">
        <is>
          <t>Northern Samar|Las Navas</t>
        </is>
      </c>
      <c r="B1112">
        <v>29461</v>
      </c>
      <c r="C1112">
        <v>53</v>
      </c>
    </row>
    <row r="1113" spans="1:3">
      <c r="A1113" t="inlineStr">
        <is>
          <t>Northern Samar|Lavezares</t>
        </is>
      </c>
      <c r="B1113">
        <v>29514</v>
      </c>
      <c r="C1113">
        <v>26</v>
      </c>
    </row>
    <row r="1114" spans="1:3">
      <c r="A1114" t="inlineStr">
        <is>
          <t>Northern Samar|Lope De Vega</t>
        </is>
      </c>
      <c r="B1114">
        <v>29540</v>
      </c>
      <c r="C1114">
        <v>22</v>
      </c>
    </row>
    <row r="1115" spans="1:3">
      <c r="A1115" t="inlineStr">
        <is>
          <t>Northern Samar|Mapanas</t>
        </is>
      </c>
      <c r="B1115">
        <v>29562</v>
      </c>
      <c r="C1115">
        <v>13</v>
      </c>
    </row>
    <row r="1116" spans="1:3">
      <c r="A1116" t="inlineStr">
        <is>
          <t>Northern Samar|Mondragon</t>
        </is>
      </c>
      <c r="B1116">
        <v>29575</v>
      </c>
      <c r="C1116">
        <v>24</v>
      </c>
    </row>
    <row r="1117" spans="1:3">
      <c r="A1117" t="inlineStr">
        <is>
          <t>Northern Samar|Palapag</t>
        </is>
      </c>
      <c r="B1117">
        <v>29599</v>
      </c>
      <c r="C1117">
        <v>32</v>
      </c>
    </row>
    <row r="1118" spans="1:3">
      <c r="A1118" t="inlineStr">
        <is>
          <t>Northern Samar|Pambujan</t>
        </is>
      </c>
      <c r="B1118">
        <v>29631</v>
      </c>
      <c r="C1118">
        <v>26</v>
      </c>
    </row>
    <row r="1119" spans="1:3">
      <c r="A1119" t="inlineStr">
        <is>
          <t>Northern Samar|Rosario</t>
        </is>
      </c>
      <c r="B1119">
        <v>29657</v>
      </c>
      <c r="C1119">
        <v>11</v>
      </c>
    </row>
    <row r="1120" spans="1:3">
      <c r="A1120" t="inlineStr">
        <is>
          <t>Northern Samar|San Antonio</t>
        </is>
      </c>
      <c r="B1120">
        <v>29668</v>
      </c>
      <c r="C1120">
        <v>10</v>
      </c>
    </row>
    <row r="1121" spans="1:3">
      <c r="A1121" t="inlineStr">
        <is>
          <t>Northern Samar|San Isidro</t>
        </is>
      </c>
      <c r="B1121">
        <v>29678</v>
      </c>
      <c r="C1121">
        <v>14</v>
      </c>
    </row>
    <row r="1122" spans="1:3">
      <c r="A1122" t="inlineStr">
        <is>
          <t>Northern Samar|San Jose</t>
        </is>
      </c>
      <c r="B1122">
        <v>29692</v>
      </c>
      <c r="C1122">
        <v>16</v>
      </c>
    </row>
    <row r="1123" spans="1:3">
      <c r="A1123" t="inlineStr">
        <is>
          <t>Northern Samar|San Roque</t>
        </is>
      </c>
      <c r="B1123">
        <v>29708</v>
      </c>
      <c r="C1123">
        <v>16</v>
      </c>
    </row>
    <row r="1124" spans="1:3">
      <c r="A1124" t="inlineStr">
        <is>
          <t>Northern Samar|San Vicente</t>
        </is>
      </c>
      <c r="B1124">
        <v>29724</v>
      </c>
      <c r="C1124">
        <v>7</v>
      </c>
    </row>
    <row r="1125" spans="1:3">
      <c r="A1125" t="inlineStr">
        <is>
          <t>Northern Samar|Silvino Lobos</t>
        </is>
      </c>
      <c r="B1125">
        <v>29731</v>
      </c>
      <c r="C1125">
        <v>26</v>
      </c>
    </row>
    <row r="1126" spans="1:3">
      <c r="A1126" t="inlineStr">
        <is>
          <t>Northern Samar|Victoria</t>
        </is>
      </c>
      <c r="B1126">
        <v>29757</v>
      </c>
      <c r="C1126">
        <v>16</v>
      </c>
    </row>
    <row r="1127" spans="1:3">
      <c r="A1127" t="inlineStr">
        <is>
          <t>Nueva Ecija|Aliaga</t>
        </is>
      </c>
      <c r="B1127">
        <v>29773</v>
      </c>
      <c r="C1127">
        <v>26</v>
      </c>
    </row>
    <row r="1128" spans="1:3">
      <c r="A1128" t="inlineStr">
        <is>
          <t>Nueva Ecija|Bongabon</t>
        </is>
      </c>
      <c r="B1128">
        <v>29799</v>
      </c>
      <c r="C1128">
        <v>28</v>
      </c>
    </row>
    <row r="1129" spans="1:3">
      <c r="A1129" t="inlineStr">
        <is>
          <t>Nueva Ecija|Cabiao</t>
        </is>
      </c>
      <c r="B1129">
        <v>29827</v>
      </c>
      <c r="C1129">
        <v>23</v>
      </c>
    </row>
    <row r="1130" spans="1:3">
      <c r="A1130" t="inlineStr">
        <is>
          <t>Nueva Ecija|Carranglan</t>
        </is>
      </c>
      <c r="B1130">
        <v>29850</v>
      </c>
      <c r="C1130">
        <v>17</v>
      </c>
    </row>
    <row r="1131" spans="1:3">
      <c r="A1131" t="inlineStr">
        <is>
          <t>Nueva Ecija|City of Cabanatuan</t>
        </is>
      </c>
      <c r="B1131">
        <v>29867</v>
      </c>
      <c r="C1131">
        <v>89</v>
      </c>
    </row>
    <row r="1132" spans="1:3">
      <c r="A1132" t="inlineStr">
        <is>
          <t>Nueva Ecija|City of Gapan</t>
        </is>
      </c>
      <c r="B1132">
        <v>29956</v>
      </c>
      <c r="C1132">
        <v>23</v>
      </c>
    </row>
    <row r="1133" spans="1:3">
      <c r="A1133" t="inlineStr">
        <is>
          <t>Nueva Ecija|City of Palayan</t>
        </is>
      </c>
      <c r="B1133">
        <v>29979</v>
      </c>
      <c r="C1133">
        <v>19</v>
      </c>
    </row>
    <row r="1134" spans="1:3">
      <c r="A1134" t="inlineStr">
        <is>
          <t>Nueva Ecija|Cuyapo</t>
        </is>
      </c>
      <c r="B1134">
        <v>29998</v>
      </c>
      <c r="C1134">
        <v>51</v>
      </c>
    </row>
    <row r="1135" spans="1:3">
      <c r="A1135" t="inlineStr">
        <is>
          <t>Nueva Ecija|Gabaldon</t>
        </is>
      </c>
      <c r="B1135">
        <v>30049</v>
      </c>
      <c r="C1135">
        <v>16</v>
      </c>
    </row>
    <row r="1136" spans="1:3">
      <c r="A1136" t="inlineStr">
        <is>
          <t>Nueva Ecija|General Mamerto Natividad</t>
        </is>
      </c>
      <c r="B1136">
        <v>30065</v>
      </c>
      <c r="C1136">
        <v>20</v>
      </c>
    </row>
    <row r="1137" spans="1:3">
      <c r="A1137" t="inlineStr">
        <is>
          <t>Nueva Ecija|General Tinio</t>
        </is>
      </c>
      <c r="B1137">
        <v>30085</v>
      </c>
      <c r="C1137">
        <v>13</v>
      </c>
    </row>
    <row r="1138" spans="1:3">
      <c r="A1138" t="inlineStr">
        <is>
          <t>Nueva Ecija|Guimba</t>
        </is>
      </c>
      <c r="B1138">
        <v>30098</v>
      </c>
      <c r="C1138">
        <v>64</v>
      </c>
    </row>
    <row r="1139" spans="1:3">
      <c r="A1139" t="inlineStr">
        <is>
          <t>Nueva Ecija|Jaen</t>
        </is>
      </c>
      <c r="B1139">
        <v>30162</v>
      </c>
      <c r="C1139">
        <v>27</v>
      </c>
    </row>
    <row r="1140" spans="1:3">
      <c r="A1140" t="inlineStr">
        <is>
          <t>Nueva Ecija|Laur</t>
        </is>
      </c>
      <c r="B1140">
        <v>30189</v>
      </c>
      <c r="C1140">
        <v>17</v>
      </c>
    </row>
    <row r="1141" spans="1:3">
      <c r="A1141" t="inlineStr">
        <is>
          <t>Nueva Ecija|Licab</t>
        </is>
      </c>
      <c r="B1141">
        <v>30206</v>
      </c>
      <c r="C1141">
        <v>11</v>
      </c>
    </row>
    <row r="1142" spans="1:3">
      <c r="A1142" t="inlineStr">
        <is>
          <t>Nueva Ecija|Llanera</t>
        </is>
      </c>
      <c r="B1142">
        <v>30217</v>
      </c>
      <c r="C1142">
        <v>22</v>
      </c>
    </row>
    <row r="1143" spans="1:3">
      <c r="A1143" t="inlineStr">
        <is>
          <t>Nueva Ecija|Lupao</t>
        </is>
      </c>
      <c r="B1143">
        <v>30239</v>
      </c>
      <c r="C1143">
        <v>24</v>
      </c>
    </row>
    <row r="1144" spans="1:3">
      <c r="A1144" t="inlineStr">
        <is>
          <t>Nueva Ecija|Nampicuan</t>
        </is>
      </c>
      <c r="B1144">
        <v>30263</v>
      </c>
      <c r="C1144">
        <v>21</v>
      </c>
    </row>
    <row r="1145" spans="1:3">
      <c r="A1145" t="inlineStr">
        <is>
          <t>Nueva Ecija|Pantabangan</t>
        </is>
      </c>
      <c r="B1145">
        <v>30284</v>
      </c>
      <c r="C1145">
        <v>14</v>
      </c>
    </row>
    <row r="1146" spans="1:3">
      <c r="A1146" t="inlineStr">
        <is>
          <t>Nueva Ecija|Peñaranda</t>
        </is>
      </c>
      <c r="B1146">
        <v>30298</v>
      </c>
      <c r="C1146">
        <v>10</v>
      </c>
    </row>
    <row r="1147" spans="1:3">
      <c r="A1147" t="inlineStr">
        <is>
          <t>Nueva Ecija|Quezon</t>
        </is>
      </c>
      <c r="B1147">
        <v>30308</v>
      </c>
      <c r="C1147">
        <v>16</v>
      </c>
    </row>
    <row r="1148" spans="1:3">
      <c r="A1148" t="inlineStr">
        <is>
          <t>Nueva Ecija|Rizal</t>
        </is>
      </c>
      <c r="B1148">
        <v>30324</v>
      </c>
      <c r="C1148">
        <v>26</v>
      </c>
    </row>
    <row r="1149" spans="1:3">
      <c r="A1149" t="inlineStr">
        <is>
          <t>Nueva Ecija|San Antonio</t>
        </is>
      </c>
      <c r="B1149">
        <v>30350</v>
      </c>
      <c r="C1149">
        <v>16</v>
      </c>
    </row>
    <row r="1150" spans="1:3">
      <c r="A1150" t="inlineStr">
        <is>
          <t>Nueva Ecija|San Isidro</t>
        </is>
      </c>
      <c r="B1150">
        <v>30366</v>
      </c>
      <c r="C1150">
        <v>9</v>
      </c>
    </row>
    <row r="1151" spans="1:3">
      <c r="A1151" t="inlineStr">
        <is>
          <t>Nueva Ecija|San Jose City</t>
        </is>
      </c>
      <c r="B1151">
        <v>30375</v>
      </c>
      <c r="C1151">
        <v>38</v>
      </c>
    </row>
    <row r="1152" spans="1:3">
      <c r="A1152" t="inlineStr">
        <is>
          <t>Nueva Ecija|San Leonardo</t>
        </is>
      </c>
      <c r="B1152">
        <v>30413</v>
      </c>
      <c r="C1152">
        <v>15</v>
      </c>
    </row>
    <row r="1153" spans="1:3">
      <c r="A1153" t="inlineStr">
        <is>
          <t>Nueva Ecija|Santa Rosa</t>
        </is>
      </c>
      <c r="B1153">
        <v>30428</v>
      </c>
      <c r="C1153">
        <v>33</v>
      </c>
    </row>
    <row r="1154" spans="1:3">
      <c r="A1154" t="inlineStr">
        <is>
          <t>Nueva Ecija|Santo Domingo</t>
        </is>
      </c>
      <c r="B1154">
        <v>30461</v>
      </c>
      <c r="C1154">
        <v>24</v>
      </c>
    </row>
    <row r="1155" spans="1:3">
      <c r="A1155" t="inlineStr">
        <is>
          <t>Nueva Ecija|Science City of Muñoz</t>
        </is>
      </c>
      <c r="B1155">
        <v>30485</v>
      </c>
      <c r="C1155">
        <v>37</v>
      </c>
    </row>
    <row r="1156" spans="1:3">
      <c r="A1156" t="inlineStr">
        <is>
          <t>Nueva Ecija|Talavera</t>
        </is>
      </c>
      <c r="B1156">
        <v>30522</v>
      </c>
      <c r="C1156">
        <v>53</v>
      </c>
    </row>
    <row r="1157" spans="1:3">
      <c r="A1157" t="inlineStr">
        <is>
          <t>Nueva Ecija|Talugtug</t>
        </is>
      </c>
      <c r="B1157">
        <v>30575</v>
      </c>
      <c r="C1157">
        <v>28</v>
      </c>
    </row>
    <row r="1158" spans="1:3">
      <c r="A1158" t="inlineStr">
        <is>
          <t>Nueva Ecija|Zaragoza</t>
        </is>
      </c>
      <c r="B1158">
        <v>30603</v>
      </c>
      <c r="C1158">
        <v>19</v>
      </c>
    </row>
    <row r="1159" spans="1:3">
      <c r="A1159" t="inlineStr">
        <is>
          <t>Nueva Vizcaya|Alfonso Castaneda</t>
        </is>
      </c>
      <c r="B1159">
        <v>30622</v>
      </c>
      <c r="C1159">
        <v>6</v>
      </c>
    </row>
    <row r="1160" spans="1:3">
      <c r="A1160" t="inlineStr">
        <is>
          <t>Nueva Vizcaya|Ambaguio</t>
        </is>
      </c>
      <c r="B1160">
        <v>30628</v>
      </c>
      <c r="C1160">
        <v>8</v>
      </c>
    </row>
    <row r="1161" spans="1:3">
      <c r="A1161" t="inlineStr">
        <is>
          <t>Nueva Vizcaya|Aritao</t>
        </is>
      </c>
      <c r="B1161">
        <v>30636</v>
      </c>
      <c r="C1161">
        <v>22</v>
      </c>
    </row>
    <row r="1162" spans="1:3">
      <c r="A1162" t="inlineStr">
        <is>
          <t>Nueva Vizcaya|Bagabag</t>
        </is>
      </c>
      <c r="B1162">
        <v>30658</v>
      </c>
      <c r="C1162">
        <v>17</v>
      </c>
    </row>
    <row r="1163" spans="1:3">
      <c r="A1163" t="inlineStr">
        <is>
          <t>Nueva Vizcaya|Bambang</t>
        </is>
      </c>
      <c r="B1163">
        <v>30675</v>
      </c>
      <c r="C1163">
        <v>25</v>
      </c>
    </row>
    <row r="1164" spans="1:3">
      <c r="A1164" t="inlineStr">
        <is>
          <t>Nueva Vizcaya|Bayombong</t>
        </is>
      </c>
      <c r="B1164">
        <v>30700</v>
      </c>
      <c r="C1164">
        <v>25</v>
      </c>
    </row>
    <row r="1165" spans="1:3">
      <c r="A1165" t="inlineStr">
        <is>
          <t>Nueva Vizcaya|Diadi</t>
        </is>
      </c>
      <c r="B1165">
        <v>30725</v>
      </c>
      <c r="C1165">
        <v>19</v>
      </c>
    </row>
    <row r="1166" spans="1:3">
      <c r="A1166" t="inlineStr">
        <is>
          <t>Nueva Vizcaya|Dupax del Norte</t>
        </is>
      </c>
      <c r="B1166">
        <v>30744</v>
      </c>
      <c r="C1166">
        <v>15</v>
      </c>
    </row>
    <row r="1167" spans="1:3">
      <c r="A1167" t="inlineStr">
        <is>
          <t>Nueva Vizcaya|Dupax del Sur</t>
        </is>
      </c>
      <c r="B1167">
        <v>30759</v>
      </c>
      <c r="C1167">
        <v>19</v>
      </c>
    </row>
    <row r="1168" spans="1:3">
      <c r="A1168" t="inlineStr">
        <is>
          <t>Nueva Vizcaya|Kasibu</t>
        </is>
      </c>
      <c r="B1168">
        <v>30778</v>
      </c>
      <c r="C1168">
        <v>30</v>
      </c>
    </row>
    <row r="1169" spans="1:3">
      <c r="A1169" t="inlineStr">
        <is>
          <t>Nueva Vizcaya|Kayapa</t>
        </is>
      </c>
      <c r="B1169">
        <v>30808</v>
      </c>
      <c r="C1169">
        <v>30</v>
      </c>
    </row>
    <row r="1170" spans="1:3">
      <c r="A1170" t="inlineStr">
        <is>
          <t>Nueva Vizcaya|Quezon</t>
        </is>
      </c>
      <c r="B1170">
        <v>30838</v>
      </c>
      <c r="C1170">
        <v>12</v>
      </c>
    </row>
    <row r="1171" spans="1:3">
      <c r="A1171" t="inlineStr">
        <is>
          <t>Nueva Vizcaya|Santa Fe</t>
        </is>
      </c>
      <c r="B1171">
        <v>30850</v>
      </c>
      <c r="C1171">
        <v>16</v>
      </c>
    </row>
    <row r="1172" spans="1:3">
      <c r="A1172" t="inlineStr">
        <is>
          <t>Nueva Vizcaya|Solano</t>
        </is>
      </c>
      <c r="B1172">
        <v>30866</v>
      </c>
      <c r="C1172">
        <v>22</v>
      </c>
    </row>
    <row r="1173" spans="1:3">
      <c r="A1173" t="inlineStr">
        <is>
          <t>Nueva Vizcaya|Villaverde</t>
        </is>
      </c>
      <c r="B1173">
        <v>30888</v>
      </c>
      <c r="C1173">
        <v>9</v>
      </c>
    </row>
    <row r="1174" spans="1:3">
      <c r="A1174" t="inlineStr">
        <is>
          <t>Occidental Mindoro|Abra De Ilog</t>
        </is>
      </c>
      <c r="B1174">
        <v>30897</v>
      </c>
      <c r="C1174">
        <v>10</v>
      </c>
    </row>
    <row r="1175" spans="1:3">
      <c r="A1175" t="inlineStr">
        <is>
          <t>Occidental Mindoro|Calintaan</t>
        </is>
      </c>
      <c r="B1175">
        <v>30907</v>
      </c>
      <c r="C1175">
        <v>7</v>
      </c>
    </row>
    <row r="1176" spans="1:3">
      <c r="A1176" t="inlineStr">
        <is>
          <t>Occidental Mindoro|Looc</t>
        </is>
      </c>
      <c r="B1176">
        <v>30914</v>
      </c>
      <c r="C1176">
        <v>9</v>
      </c>
    </row>
    <row r="1177" spans="1:3">
      <c r="A1177" t="inlineStr">
        <is>
          <t>Occidental Mindoro|Lubang</t>
        </is>
      </c>
      <c r="B1177">
        <v>30923</v>
      </c>
      <c r="C1177">
        <v>16</v>
      </c>
    </row>
    <row r="1178" spans="1:3">
      <c r="A1178" t="inlineStr">
        <is>
          <t>Occidental Mindoro|Magsaysay</t>
        </is>
      </c>
      <c r="B1178">
        <v>30939</v>
      </c>
      <c r="C1178">
        <v>12</v>
      </c>
    </row>
    <row r="1179" spans="1:3">
      <c r="A1179" t="inlineStr">
        <is>
          <t>Occidental Mindoro|Mamburao</t>
        </is>
      </c>
      <c r="B1179">
        <v>30951</v>
      </c>
      <c r="C1179">
        <v>15</v>
      </c>
    </row>
    <row r="1180" spans="1:3">
      <c r="A1180" t="inlineStr">
        <is>
          <t>Occidental Mindoro|Paluan</t>
        </is>
      </c>
      <c r="B1180">
        <v>30966</v>
      </c>
      <c r="C1180">
        <v>12</v>
      </c>
    </row>
    <row r="1181" spans="1:3">
      <c r="A1181" t="inlineStr">
        <is>
          <t>Occidental Mindoro|Rizal</t>
        </is>
      </c>
      <c r="B1181">
        <v>30978</v>
      </c>
      <c r="C1181">
        <v>11</v>
      </c>
    </row>
    <row r="1182" spans="1:3">
      <c r="A1182" t="inlineStr">
        <is>
          <t>Occidental Mindoro|Sablayan</t>
        </is>
      </c>
      <c r="B1182">
        <v>30989</v>
      </c>
      <c r="C1182">
        <v>22</v>
      </c>
    </row>
    <row r="1183" spans="1:3">
      <c r="A1183" t="inlineStr">
        <is>
          <t>Occidental Mindoro|San Jose</t>
        </is>
      </c>
      <c r="B1183">
        <v>31011</v>
      </c>
      <c r="C1183">
        <v>39</v>
      </c>
    </row>
    <row r="1184" spans="1:3">
      <c r="A1184" t="inlineStr">
        <is>
          <t>Occidental Mindoro|Santa Cruz</t>
        </is>
      </c>
      <c r="B1184">
        <v>31050</v>
      </c>
      <c r="C1184">
        <v>11</v>
      </c>
    </row>
    <row r="1185" spans="1:3">
      <c r="A1185" t="inlineStr">
        <is>
          <t>Oriental Mindoro|Baco</t>
        </is>
      </c>
      <c r="B1185">
        <v>31061</v>
      </c>
      <c r="C1185">
        <v>27</v>
      </c>
    </row>
    <row r="1186" spans="1:3">
      <c r="A1186" t="inlineStr">
        <is>
          <t>Oriental Mindoro|Bansud</t>
        </is>
      </c>
      <c r="B1186">
        <v>31088</v>
      </c>
      <c r="C1186">
        <v>13</v>
      </c>
    </row>
    <row r="1187" spans="1:3">
      <c r="A1187" t="inlineStr">
        <is>
          <t>Oriental Mindoro|Bongabong</t>
        </is>
      </c>
      <c r="B1187">
        <v>31101</v>
      </c>
      <c r="C1187">
        <v>36</v>
      </c>
    </row>
    <row r="1188" spans="1:3">
      <c r="A1188" t="inlineStr">
        <is>
          <t>Oriental Mindoro|Bulalacao</t>
        </is>
      </c>
      <c r="B1188">
        <v>31137</v>
      </c>
      <c r="C1188">
        <v>15</v>
      </c>
    </row>
    <row r="1189" spans="1:3">
      <c r="A1189" t="inlineStr">
        <is>
          <t>Oriental Mindoro|City of Calapan</t>
        </is>
      </c>
      <c r="B1189">
        <v>31152</v>
      </c>
      <c r="C1189">
        <v>62</v>
      </c>
    </row>
    <row r="1190" spans="1:3">
      <c r="A1190" t="inlineStr">
        <is>
          <t>Oriental Mindoro|Gloria</t>
        </is>
      </c>
      <c r="B1190">
        <v>31214</v>
      </c>
      <c r="C1190">
        <v>27</v>
      </c>
    </row>
    <row r="1191" spans="1:3">
      <c r="A1191" t="inlineStr">
        <is>
          <t>Oriental Mindoro|Mansalay</t>
        </is>
      </c>
      <c r="B1191">
        <v>31241</v>
      </c>
      <c r="C1191">
        <v>17</v>
      </c>
    </row>
    <row r="1192" spans="1:3">
      <c r="A1192" t="inlineStr">
        <is>
          <t>Oriental Mindoro|Naujan</t>
        </is>
      </c>
      <c r="B1192">
        <v>31258</v>
      </c>
      <c r="C1192">
        <v>70</v>
      </c>
    </row>
    <row r="1193" spans="1:3">
      <c r="A1193" t="inlineStr">
        <is>
          <t>Oriental Mindoro|Pinamalayan</t>
        </is>
      </c>
      <c r="B1193">
        <v>31328</v>
      </c>
      <c r="C1193">
        <v>37</v>
      </c>
    </row>
    <row r="1194" spans="1:3">
      <c r="A1194" t="inlineStr">
        <is>
          <t>Oriental Mindoro|Pola</t>
        </is>
      </c>
      <c r="B1194">
        <v>31365</v>
      </c>
      <c r="C1194">
        <v>23</v>
      </c>
    </row>
    <row r="1195" spans="1:3">
      <c r="A1195" t="inlineStr">
        <is>
          <t>Oriental Mindoro|Puerto Galera</t>
        </is>
      </c>
      <c r="B1195">
        <v>31388</v>
      </c>
      <c r="C1195">
        <v>13</v>
      </c>
    </row>
    <row r="1196" spans="1:3">
      <c r="A1196" t="inlineStr">
        <is>
          <t>Oriental Mindoro|Roxas</t>
        </is>
      </c>
      <c r="B1196">
        <v>31401</v>
      </c>
      <c r="C1196">
        <v>20</v>
      </c>
    </row>
    <row r="1197" spans="1:3">
      <c r="A1197" t="inlineStr">
        <is>
          <t>Oriental Mindoro|San Teodoro</t>
        </is>
      </c>
      <c r="B1197">
        <v>31421</v>
      </c>
      <c r="C1197">
        <v>8</v>
      </c>
    </row>
    <row r="1198" spans="1:3">
      <c r="A1198" t="inlineStr">
        <is>
          <t>Oriental Mindoro|Socorro</t>
        </is>
      </c>
      <c r="B1198">
        <v>31429</v>
      </c>
      <c r="C1198">
        <v>26</v>
      </c>
    </row>
    <row r="1199" spans="1:3">
      <c r="A1199" t="inlineStr">
        <is>
          <t>Oriental Mindoro|Victoria</t>
        </is>
      </c>
      <c r="B1199">
        <v>31455</v>
      </c>
      <c r="C1199">
        <v>32</v>
      </c>
    </row>
    <row r="1200" spans="1:3">
      <c r="A1200" t="inlineStr">
        <is>
          <t>Palawan|Aborlan</t>
        </is>
      </c>
      <c r="B1200">
        <v>31487</v>
      </c>
      <c r="C1200">
        <v>19</v>
      </c>
    </row>
    <row r="1201" spans="1:3">
      <c r="A1201" t="inlineStr">
        <is>
          <t>Palawan|Agutaya</t>
        </is>
      </c>
      <c r="B1201">
        <v>31506</v>
      </c>
      <c r="C1201">
        <v>10</v>
      </c>
    </row>
    <row r="1202" spans="1:3">
      <c r="A1202" t="inlineStr">
        <is>
          <t>Palawan|Araceli</t>
        </is>
      </c>
      <c r="B1202">
        <v>31516</v>
      </c>
      <c r="C1202">
        <v>13</v>
      </c>
    </row>
    <row r="1203" spans="1:3">
      <c r="A1203" t="inlineStr">
        <is>
          <t>Palawan|Balabac</t>
        </is>
      </c>
      <c r="B1203">
        <v>31529</v>
      </c>
      <c r="C1203">
        <v>20</v>
      </c>
    </row>
    <row r="1204" spans="1:3">
      <c r="A1204" t="inlineStr">
        <is>
          <t>Palawan|Bataraza</t>
        </is>
      </c>
      <c r="B1204">
        <v>31549</v>
      </c>
      <c r="C1204">
        <v>22</v>
      </c>
    </row>
    <row r="1205" spans="1:3">
      <c r="A1205" t="inlineStr">
        <is>
          <t>Palawan|Brooke's Point</t>
        </is>
      </c>
      <c r="B1205">
        <v>31571</v>
      </c>
      <c r="C1205">
        <v>18</v>
      </c>
    </row>
    <row r="1206" spans="1:3">
      <c r="A1206" t="inlineStr">
        <is>
          <t>Palawan|Busuanga</t>
        </is>
      </c>
      <c r="B1206">
        <v>31589</v>
      </c>
      <c r="C1206">
        <v>14</v>
      </c>
    </row>
    <row r="1207" spans="1:3">
      <c r="A1207" t="inlineStr">
        <is>
          <t>Palawan|Cagayancillo</t>
        </is>
      </c>
      <c r="B1207">
        <v>31603</v>
      </c>
      <c r="C1207">
        <v>12</v>
      </c>
    </row>
    <row r="1208" spans="1:3">
      <c r="A1208" t="inlineStr">
        <is>
          <t>Palawan|Coron</t>
        </is>
      </c>
      <c r="B1208">
        <v>31615</v>
      </c>
      <c r="C1208">
        <v>23</v>
      </c>
    </row>
    <row r="1209" spans="1:3">
      <c r="A1209" t="inlineStr">
        <is>
          <t>Palawan|Culion</t>
        </is>
      </c>
      <c r="B1209">
        <v>31638</v>
      </c>
      <c r="C1209">
        <v>14</v>
      </c>
    </row>
    <row r="1210" spans="1:3">
      <c r="A1210" t="inlineStr">
        <is>
          <t>Palawan|Cuyo</t>
        </is>
      </c>
      <c r="B1210">
        <v>31652</v>
      </c>
      <c r="C1210">
        <v>17</v>
      </c>
    </row>
    <row r="1211" spans="1:3">
      <c r="A1211" t="inlineStr">
        <is>
          <t>Palawan|Dr. Jose P. Rizal</t>
        </is>
      </c>
      <c r="B1211">
        <v>31669</v>
      </c>
      <c r="C1211">
        <v>11</v>
      </c>
    </row>
    <row r="1212" spans="1:3">
      <c r="A1212" t="inlineStr">
        <is>
          <t>Palawan|Dumaran</t>
        </is>
      </c>
      <c r="B1212">
        <v>31680</v>
      </c>
      <c r="C1212">
        <v>16</v>
      </c>
    </row>
    <row r="1213" spans="1:3">
      <c r="A1213" t="inlineStr">
        <is>
          <t>Palawan|El Nido</t>
        </is>
      </c>
      <c r="B1213">
        <v>31696</v>
      </c>
      <c r="C1213">
        <v>18</v>
      </c>
    </row>
    <row r="1214" spans="1:3">
      <c r="A1214" t="inlineStr">
        <is>
          <t>Palawan|Kalayaan</t>
        </is>
      </c>
      <c r="B1214">
        <v>31714</v>
      </c>
      <c r="C1214">
        <v>1</v>
      </c>
    </row>
    <row r="1215" spans="1:3">
      <c r="A1215" t="inlineStr">
        <is>
          <t>Palawan|Linapacan</t>
        </is>
      </c>
      <c r="B1215">
        <v>31715</v>
      </c>
      <c r="C1215">
        <v>10</v>
      </c>
    </row>
    <row r="1216" spans="1:3">
      <c r="A1216" t="inlineStr">
        <is>
          <t>Palawan|Magsaysay</t>
        </is>
      </c>
      <c r="B1216">
        <v>31725</v>
      </c>
      <c r="C1216">
        <v>11</v>
      </c>
    </row>
    <row r="1217" spans="1:3">
      <c r="A1217" t="inlineStr">
        <is>
          <t>Palawan|Narra</t>
        </is>
      </c>
      <c r="B1217">
        <v>31736</v>
      </c>
      <c r="C1217">
        <v>23</v>
      </c>
    </row>
    <row r="1218" spans="1:3">
      <c r="A1218" t="inlineStr">
        <is>
          <t>Palawan|Quezon</t>
        </is>
      </c>
      <c r="B1218">
        <v>31759</v>
      </c>
      <c r="C1218">
        <v>14</v>
      </c>
    </row>
    <row r="1219" spans="1:3">
      <c r="A1219" t="inlineStr">
        <is>
          <t>Palawan|Roxas</t>
        </is>
      </c>
      <c r="B1219">
        <v>31773</v>
      </c>
      <c r="C1219">
        <v>31</v>
      </c>
    </row>
    <row r="1220" spans="1:3">
      <c r="A1220" t="inlineStr">
        <is>
          <t>Palawan|San Vicente</t>
        </is>
      </c>
      <c r="B1220">
        <v>31804</v>
      </c>
      <c r="C1220">
        <v>10</v>
      </c>
    </row>
    <row r="1221" spans="1:3">
      <c r="A1221" t="inlineStr">
        <is>
          <t>Palawan|Sofronio Española</t>
        </is>
      </c>
      <c r="B1221">
        <v>31814</v>
      </c>
      <c r="C1221">
        <v>9</v>
      </c>
    </row>
    <row r="1222" spans="1:3">
      <c r="A1222" t="inlineStr">
        <is>
          <t>Palawan|Taytay</t>
        </is>
      </c>
      <c r="B1222">
        <v>31823</v>
      </c>
      <c r="C1222">
        <v>31</v>
      </c>
    </row>
    <row r="1223" spans="1:3">
      <c r="A1223" t="inlineStr">
        <is>
          <t>Pampanga|Apalit</t>
        </is>
      </c>
      <c r="B1223">
        <v>31854</v>
      </c>
      <c r="C1223">
        <v>12</v>
      </c>
    </row>
    <row r="1224" spans="1:3">
      <c r="A1224" t="inlineStr">
        <is>
          <t>Pampanga|Arayat</t>
        </is>
      </c>
      <c r="B1224">
        <v>31866</v>
      </c>
      <c r="C1224">
        <v>30</v>
      </c>
    </row>
    <row r="1225" spans="1:3">
      <c r="A1225" t="inlineStr">
        <is>
          <t>Pampanga|Bacolor</t>
        </is>
      </c>
      <c r="B1225">
        <v>31896</v>
      </c>
      <c r="C1225">
        <v>21</v>
      </c>
    </row>
    <row r="1226" spans="1:3">
      <c r="A1226" t="inlineStr">
        <is>
          <t>Pampanga|Candaba</t>
        </is>
      </c>
      <c r="B1226">
        <v>31917</v>
      </c>
      <c r="C1226">
        <v>33</v>
      </c>
    </row>
    <row r="1227" spans="1:3">
      <c r="A1227" t="inlineStr">
        <is>
          <t>Pampanga|City of San Fernando</t>
        </is>
      </c>
      <c r="B1227">
        <v>31950</v>
      </c>
      <c r="C1227">
        <v>35</v>
      </c>
    </row>
    <row r="1228" spans="1:3">
      <c r="A1228" t="inlineStr">
        <is>
          <t>Pampanga|Floridablanca</t>
        </is>
      </c>
      <c r="B1228">
        <v>31985</v>
      </c>
      <c r="C1228">
        <v>33</v>
      </c>
    </row>
    <row r="1229" spans="1:3">
      <c r="A1229" t="inlineStr">
        <is>
          <t>Pampanga|Guagua</t>
        </is>
      </c>
      <c r="B1229">
        <v>32018</v>
      </c>
      <c r="C1229">
        <v>31</v>
      </c>
    </row>
    <row r="1230" spans="1:3">
      <c r="A1230" t="inlineStr">
        <is>
          <t>Pampanga|Lubao</t>
        </is>
      </c>
      <c r="B1230">
        <v>32049</v>
      </c>
      <c r="C1230">
        <v>44</v>
      </c>
    </row>
    <row r="1231" spans="1:3">
      <c r="A1231" t="inlineStr">
        <is>
          <t>Pampanga|Mabalacat City</t>
        </is>
      </c>
      <c r="B1231">
        <v>32093</v>
      </c>
      <c r="C1231">
        <v>27</v>
      </c>
    </row>
    <row r="1232" spans="1:3">
      <c r="A1232" t="inlineStr">
        <is>
          <t>Pampanga|Macabebe</t>
        </is>
      </c>
      <c r="B1232">
        <v>32120</v>
      </c>
      <c r="C1232">
        <v>25</v>
      </c>
    </row>
    <row r="1233" spans="1:3">
      <c r="A1233" t="inlineStr">
        <is>
          <t>Pampanga|Magalang</t>
        </is>
      </c>
      <c r="B1233">
        <v>32145</v>
      </c>
      <c r="C1233">
        <v>27</v>
      </c>
    </row>
    <row r="1234" spans="1:3">
      <c r="A1234" t="inlineStr">
        <is>
          <t>Pampanga|Masantol</t>
        </is>
      </c>
      <c r="B1234">
        <v>32172</v>
      </c>
      <c r="C1234">
        <v>26</v>
      </c>
    </row>
    <row r="1235" spans="1:3">
      <c r="A1235" t="inlineStr">
        <is>
          <t>Pampanga|Mexico</t>
        </is>
      </c>
      <c r="B1235">
        <v>32198</v>
      </c>
      <c r="C1235">
        <v>43</v>
      </c>
    </row>
    <row r="1236" spans="1:3">
      <c r="A1236" t="inlineStr">
        <is>
          <t>Pampanga|Minalin</t>
        </is>
      </c>
      <c r="B1236">
        <v>32241</v>
      </c>
      <c r="C1236">
        <v>15</v>
      </c>
    </row>
    <row r="1237" spans="1:3">
      <c r="A1237" t="inlineStr">
        <is>
          <t>Pampanga|Porac</t>
        </is>
      </c>
      <c r="B1237">
        <v>32256</v>
      </c>
      <c r="C1237">
        <v>29</v>
      </c>
    </row>
    <row r="1238" spans="1:3">
      <c r="A1238" t="inlineStr">
        <is>
          <t>Pampanga|San Luis</t>
        </is>
      </c>
      <c r="B1238">
        <v>32285</v>
      </c>
      <c r="C1238">
        <v>17</v>
      </c>
    </row>
    <row r="1239" spans="1:3">
      <c r="A1239" t="inlineStr">
        <is>
          <t>Pampanga|San Simon</t>
        </is>
      </c>
      <c r="B1239">
        <v>32302</v>
      </c>
      <c r="C1239">
        <v>14</v>
      </c>
    </row>
    <row r="1240" spans="1:3">
      <c r="A1240" t="inlineStr">
        <is>
          <t>Pampanga|Santa Ana</t>
        </is>
      </c>
      <c r="B1240">
        <v>32316</v>
      </c>
      <c r="C1240">
        <v>14</v>
      </c>
    </row>
    <row r="1241" spans="1:3">
      <c r="A1241" t="inlineStr">
        <is>
          <t>Pampanga|Santa Rita</t>
        </is>
      </c>
      <c r="B1241">
        <v>32330</v>
      </c>
      <c r="C1241">
        <v>10</v>
      </c>
    </row>
    <row r="1242" spans="1:3">
      <c r="A1242" t="inlineStr">
        <is>
          <t>Pampanga|Sasmuan</t>
        </is>
      </c>
      <c r="B1242">
        <v>32340</v>
      </c>
      <c r="C1242">
        <v>12</v>
      </c>
    </row>
    <row r="1243" spans="1:3">
      <c r="A1243" t="inlineStr">
        <is>
          <t>Pampanga|Sto. Tomas</t>
        </is>
      </c>
      <c r="B1243">
        <v>32352</v>
      </c>
      <c r="C1243">
        <v>7</v>
      </c>
    </row>
    <row r="1244" spans="1:3">
      <c r="A1244" t="inlineStr">
        <is>
          <t>Pangasinan|Agno</t>
        </is>
      </c>
      <c r="B1244">
        <v>32359</v>
      </c>
      <c r="C1244">
        <v>17</v>
      </c>
    </row>
    <row r="1245" spans="1:3">
      <c r="A1245" t="inlineStr">
        <is>
          <t>Pangasinan|Aguilar</t>
        </is>
      </c>
      <c r="B1245">
        <v>32376</v>
      </c>
      <c r="C1245">
        <v>16</v>
      </c>
    </row>
    <row r="1246" spans="1:3">
      <c r="A1246" t="inlineStr">
        <is>
          <t>Pangasinan|Alcala</t>
        </is>
      </c>
      <c r="B1246">
        <v>32392</v>
      </c>
      <c r="C1246">
        <v>21</v>
      </c>
    </row>
    <row r="1247" spans="1:3">
      <c r="A1247" t="inlineStr">
        <is>
          <t>Pangasinan|Anda</t>
        </is>
      </c>
      <c r="B1247">
        <v>32413</v>
      </c>
      <c r="C1247">
        <v>18</v>
      </c>
    </row>
    <row r="1248" spans="1:3">
      <c r="A1248" t="inlineStr">
        <is>
          <t>Pangasinan|Asingan</t>
        </is>
      </c>
      <c r="B1248">
        <v>32431</v>
      </c>
      <c r="C1248">
        <v>21</v>
      </c>
    </row>
    <row r="1249" spans="1:3">
      <c r="A1249" t="inlineStr">
        <is>
          <t>Pangasinan|Balungao</t>
        </is>
      </c>
      <c r="B1249">
        <v>32452</v>
      </c>
      <c r="C1249">
        <v>20</v>
      </c>
    </row>
    <row r="1250" spans="1:3">
      <c r="A1250" t="inlineStr">
        <is>
          <t>Pangasinan|Bani</t>
        </is>
      </c>
      <c r="B1250">
        <v>32472</v>
      </c>
      <c r="C1250">
        <v>27</v>
      </c>
    </row>
    <row r="1251" spans="1:3">
      <c r="A1251" t="inlineStr">
        <is>
          <t>Pangasinan|Basista</t>
        </is>
      </c>
      <c r="B1251">
        <v>32499</v>
      </c>
      <c r="C1251">
        <v>13</v>
      </c>
    </row>
    <row r="1252" spans="1:3">
      <c r="A1252" t="inlineStr">
        <is>
          <t>Pangasinan|Bautista</t>
        </is>
      </c>
      <c r="B1252">
        <v>32512</v>
      </c>
      <c r="C1252">
        <v>18</v>
      </c>
    </row>
    <row r="1253" spans="1:3">
      <c r="A1253" t="inlineStr">
        <is>
          <t>Pangasinan|Bayambang</t>
        </is>
      </c>
      <c r="B1253">
        <v>32530</v>
      </c>
      <c r="C1253">
        <v>77</v>
      </c>
    </row>
    <row r="1254" spans="1:3">
      <c r="A1254" t="inlineStr">
        <is>
          <t>Pangasinan|Binalonan</t>
        </is>
      </c>
      <c r="B1254">
        <v>32607</v>
      </c>
      <c r="C1254">
        <v>24</v>
      </c>
    </row>
    <row r="1255" spans="1:3">
      <c r="A1255" t="inlineStr">
        <is>
          <t>Pangasinan|Binmaley</t>
        </is>
      </c>
      <c r="B1255">
        <v>32631</v>
      </c>
      <c r="C1255">
        <v>33</v>
      </c>
    </row>
    <row r="1256" spans="1:3">
      <c r="A1256" t="inlineStr">
        <is>
          <t>Pangasinan|Bolinao</t>
        </is>
      </c>
      <c r="B1256">
        <v>32664</v>
      </c>
      <c r="C1256">
        <v>30</v>
      </c>
    </row>
    <row r="1257" spans="1:3">
      <c r="A1257" t="inlineStr">
        <is>
          <t>Pangasinan|Bugallon</t>
        </is>
      </c>
      <c r="B1257">
        <v>32694</v>
      </c>
      <c r="C1257">
        <v>24</v>
      </c>
    </row>
    <row r="1258" spans="1:3">
      <c r="A1258" t="inlineStr">
        <is>
          <t>Pangasinan|Burgos</t>
        </is>
      </c>
      <c r="B1258">
        <v>32718</v>
      </c>
      <c r="C1258">
        <v>14</v>
      </c>
    </row>
    <row r="1259" spans="1:3">
      <c r="A1259" t="inlineStr">
        <is>
          <t>Pangasinan|Calasiao</t>
        </is>
      </c>
      <c r="B1259">
        <v>32732</v>
      </c>
      <c r="C1259">
        <v>24</v>
      </c>
    </row>
    <row r="1260" spans="1:3">
      <c r="A1260" t="inlineStr">
        <is>
          <t>Pangasinan|City of Alaminos</t>
        </is>
      </c>
      <c r="B1260">
        <v>32756</v>
      </c>
      <c r="C1260">
        <v>39</v>
      </c>
    </row>
    <row r="1261" spans="1:3">
      <c r="A1261" t="inlineStr">
        <is>
          <t>Pangasinan|City of Dagupan</t>
        </is>
      </c>
      <c r="B1261">
        <v>32795</v>
      </c>
      <c r="C1261">
        <v>31</v>
      </c>
    </row>
    <row r="1262" spans="1:3">
      <c r="A1262" t="inlineStr">
        <is>
          <t>Pangasinan|City of San Carlos</t>
        </is>
      </c>
      <c r="B1262">
        <v>32826</v>
      </c>
      <c r="C1262">
        <v>86</v>
      </c>
    </row>
    <row r="1263" spans="1:3">
      <c r="A1263" t="inlineStr">
        <is>
          <t>Pangasinan|City of Urdaneta</t>
        </is>
      </c>
      <c r="B1263">
        <v>32912</v>
      </c>
      <c r="C1263">
        <v>34</v>
      </c>
    </row>
    <row r="1264" spans="1:3">
      <c r="A1264" t="inlineStr">
        <is>
          <t>Pangasinan|Dasol</t>
        </is>
      </c>
      <c r="B1264">
        <v>32946</v>
      </c>
      <c r="C1264">
        <v>18</v>
      </c>
    </row>
    <row r="1265" spans="1:3">
      <c r="A1265" t="inlineStr">
        <is>
          <t>Pangasinan|Infanta</t>
        </is>
      </c>
      <c r="B1265">
        <v>32964</v>
      </c>
      <c r="C1265">
        <v>13</v>
      </c>
    </row>
    <row r="1266" spans="1:3">
      <c r="A1266" t="inlineStr">
        <is>
          <t>Pangasinan|Labrador</t>
        </is>
      </c>
      <c r="B1266">
        <v>32977</v>
      </c>
      <c r="C1266">
        <v>10</v>
      </c>
    </row>
    <row r="1267" spans="1:3">
      <c r="A1267" t="inlineStr">
        <is>
          <t>Pangasinan|Laoac</t>
        </is>
      </c>
      <c r="B1267">
        <v>32987</v>
      </c>
      <c r="C1267">
        <v>22</v>
      </c>
    </row>
    <row r="1268" spans="1:3">
      <c r="A1268" t="inlineStr">
        <is>
          <t>Pangasinan|Lingayen</t>
        </is>
      </c>
      <c r="B1268">
        <v>33009</v>
      </c>
      <c r="C1268">
        <v>32</v>
      </c>
    </row>
    <row r="1269" spans="1:3">
      <c r="A1269" t="inlineStr">
        <is>
          <t>Pangasinan|Mabini</t>
        </is>
      </c>
      <c r="B1269">
        <v>33041</v>
      </c>
      <c r="C1269">
        <v>16</v>
      </c>
    </row>
    <row r="1270" spans="1:3">
      <c r="A1270" t="inlineStr">
        <is>
          <t>Pangasinan|Malasiqui</t>
        </is>
      </c>
      <c r="B1270">
        <v>33057</v>
      </c>
      <c r="C1270">
        <v>73</v>
      </c>
    </row>
    <row r="1271" spans="1:3">
      <c r="A1271" t="inlineStr">
        <is>
          <t>Pangasinan|Manaoag</t>
        </is>
      </c>
      <c r="B1271">
        <v>33130</v>
      </c>
      <c r="C1271">
        <v>26</v>
      </c>
    </row>
    <row r="1272" spans="1:3">
      <c r="A1272" t="inlineStr">
        <is>
          <t>Pangasinan|Mangaldan</t>
        </is>
      </c>
      <c r="B1272">
        <v>33156</v>
      </c>
      <c r="C1272">
        <v>30</v>
      </c>
    </row>
    <row r="1273" spans="1:3">
      <c r="A1273" t="inlineStr">
        <is>
          <t>Pangasinan|Mangatarem</t>
        </is>
      </c>
      <c r="B1273">
        <v>33186</v>
      </c>
      <c r="C1273">
        <v>82</v>
      </c>
    </row>
    <row r="1274" spans="1:3">
      <c r="A1274" t="inlineStr">
        <is>
          <t>Pangasinan|Mapandan</t>
        </is>
      </c>
      <c r="B1274">
        <v>33268</v>
      </c>
      <c r="C1274">
        <v>15</v>
      </c>
    </row>
    <row r="1275" spans="1:3">
      <c r="A1275" t="inlineStr">
        <is>
          <t>Pangasinan|Natividad</t>
        </is>
      </c>
      <c r="B1275">
        <v>33283</v>
      </c>
      <c r="C1275">
        <v>18</v>
      </c>
    </row>
    <row r="1276" spans="1:3">
      <c r="A1276" t="inlineStr">
        <is>
          <t>Pangasinan|Pozorrubio</t>
        </is>
      </c>
      <c r="B1276">
        <v>33301</v>
      </c>
      <c r="C1276">
        <v>34</v>
      </c>
    </row>
    <row r="1277" spans="1:3">
      <c r="A1277" t="inlineStr">
        <is>
          <t>Pangasinan|Rosales</t>
        </is>
      </c>
      <c r="B1277">
        <v>33335</v>
      </c>
      <c r="C1277">
        <v>37</v>
      </c>
    </row>
    <row r="1278" spans="1:3">
      <c r="A1278" t="inlineStr">
        <is>
          <t>Pangasinan|San Fabian</t>
        </is>
      </c>
      <c r="B1278">
        <v>33372</v>
      </c>
      <c r="C1278">
        <v>34</v>
      </c>
    </row>
    <row r="1279" spans="1:3">
      <c r="A1279" t="inlineStr">
        <is>
          <t>Pangasinan|San Jacinto</t>
        </is>
      </c>
      <c r="B1279">
        <v>33406</v>
      </c>
      <c r="C1279">
        <v>19</v>
      </c>
    </row>
    <row r="1280" spans="1:3">
      <c r="A1280" t="inlineStr">
        <is>
          <t>Pangasinan|San Manuel</t>
        </is>
      </c>
      <c r="B1280">
        <v>33425</v>
      </c>
      <c r="C1280">
        <v>14</v>
      </c>
    </row>
    <row r="1281" spans="1:3">
      <c r="A1281" t="inlineStr">
        <is>
          <t>Pangasinan|San Nicolas</t>
        </is>
      </c>
      <c r="B1281">
        <v>33439</v>
      </c>
      <c r="C1281">
        <v>33</v>
      </c>
    </row>
    <row r="1282" spans="1:3">
      <c r="A1282" t="inlineStr">
        <is>
          <t>Pangasinan|San Quintin</t>
        </is>
      </c>
      <c r="B1282">
        <v>33472</v>
      </c>
      <c r="C1282">
        <v>21</v>
      </c>
    </row>
    <row r="1283" spans="1:3">
      <c r="A1283" t="inlineStr">
        <is>
          <t>Pangasinan|Santa Barbara</t>
        </is>
      </c>
      <c r="B1283">
        <v>33493</v>
      </c>
      <c r="C1283">
        <v>29</v>
      </c>
    </row>
    <row r="1284" spans="1:3">
      <c r="A1284" t="inlineStr">
        <is>
          <t>Pangasinan|Santa Maria</t>
        </is>
      </c>
      <c r="B1284">
        <v>33522</v>
      </c>
      <c r="C1284">
        <v>23</v>
      </c>
    </row>
    <row r="1285" spans="1:3">
      <c r="A1285" t="inlineStr">
        <is>
          <t>Pangasinan|Santo Tomas</t>
        </is>
      </c>
      <c r="B1285">
        <v>33545</v>
      </c>
      <c r="C1285">
        <v>10</v>
      </c>
    </row>
    <row r="1286" spans="1:3">
      <c r="A1286" t="inlineStr">
        <is>
          <t>Pangasinan|Sison</t>
        </is>
      </c>
      <c r="B1286">
        <v>33555</v>
      </c>
      <c r="C1286">
        <v>28</v>
      </c>
    </row>
    <row r="1287" spans="1:3">
      <c r="A1287" t="inlineStr">
        <is>
          <t>Pangasinan|Sual</t>
        </is>
      </c>
      <c r="B1287">
        <v>33583</v>
      </c>
      <c r="C1287">
        <v>19</v>
      </c>
    </row>
    <row r="1288" spans="1:3">
      <c r="A1288" t="inlineStr">
        <is>
          <t>Pangasinan|Tayug</t>
        </is>
      </c>
      <c r="B1288">
        <v>33602</v>
      </c>
      <c r="C1288">
        <v>21</v>
      </c>
    </row>
    <row r="1289" spans="1:3">
      <c r="A1289" t="inlineStr">
        <is>
          <t>Pangasinan|Umingan</t>
        </is>
      </c>
      <c r="B1289">
        <v>33623</v>
      </c>
      <c r="C1289">
        <v>58</v>
      </c>
    </row>
    <row r="1290" spans="1:3">
      <c r="A1290" t="inlineStr">
        <is>
          <t>Pangasinan|Urbiztondo</t>
        </is>
      </c>
      <c r="B1290">
        <v>33681</v>
      </c>
      <c r="C1290">
        <v>21</v>
      </c>
    </row>
    <row r="1291" spans="1:3">
      <c r="A1291" t="inlineStr">
        <is>
          <t>Pangasinan|Villasis</t>
        </is>
      </c>
      <c r="B1291">
        <v>33702</v>
      </c>
      <c r="C1291">
        <v>21</v>
      </c>
    </row>
    <row r="1292" spans="1:3">
      <c r="A1292" t="inlineStr">
        <is>
          <t>Quezon|Agdangan</t>
        </is>
      </c>
      <c r="B1292">
        <v>33723</v>
      </c>
      <c r="C1292">
        <v>12</v>
      </c>
    </row>
    <row r="1293" spans="1:3">
      <c r="A1293" t="inlineStr">
        <is>
          <t>Quezon|Alabat</t>
        </is>
      </c>
      <c r="B1293">
        <v>33735</v>
      </c>
      <c r="C1293">
        <v>19</v>
      </c>
    </row>
    <row r="1294" spans="1:3">
      <c r="A1294" t="inlineStr">
        <is>
          <t>Quezon|Atimonan</t>
        </is>
      </c>
      <c r="B1294">
        <v>33754</v>
      </c>
      <c r="C1294">
        <v>42</v>
      </c>
    </row>
    <row r="1295" spans="1:3">
      <c r="A1295" t="inlineStr">
        <is>
          <t>Quezon|Buenavista</t>
        </is>
      </c>
      <c r="B1295">
        <v>33796</v>
      </c>
      <c r="C1295">
        <v>37</v>
      </c>
    </row>
    <row r="1296" spans="1:3">
      <c r="A1296" t="inlineStr">
        <is>
          <t>Quezon|Burdeos</t>
        </is>
      </c>
      <c r="B1296">
        <v>33833</v>
      </c>
      <c r="C1296">
        <v>13</v>
      </c>
    </row>
    <row r="1297" spans="1:3">
      <c r="A1297" t="inlineStr">
        <is>
          <t>Quezon|Calauag</t>
        </is>
      </c>
      <c r="B1297">
        <v>33846</v>
      </c>
      <c r="C1297">
        <v>81</v>
      </c>
    </row>
    <row r="1298" spans="1:3">
      <c r="A1298" t="inlineStr">
        <is>
          <t>Quezon|Candelaria</t>
        </is>
      </c>
      <c r="B1298">
        <v>33927</v>
      </c>
      <c r="C1298">
        <v>25</v>
      </c>
    </row>
    <row r="1299" spans="1:3">
      <c r="A1299" t="inlineStr">
        <is>
          <t>Quezon|Catanauan</t>
        </is>
      </c>
      <c r="B1299">
        <v>33952</v>
      </c>
      <c r="C1299">
        <v>46</v>
      </c>
    </row>
    <row r="1300" spans="1:3">
      <c r="A1300" t="inlineStr">
        <is>
          <t>Quezon|City of Tayabas</t>
        </is>
      </c>
      <c r="B1300">
        <v>33998</v>
      </c>
      <c r="C1300">
        <v>66</v>
      </c>
    </row>
    <row r="1301" spans="1:3">
      <c r="A1301" t="inlineStr">
        <is>
          <t>Quezon|Dolores</t>
        </is>
      </c>
      <c r="B1301">
        <v>34064</v>
      </c>
      <c r="C1301">
        <v>16</v>
      </c>
    </row>
    <row r="1302" spans="1:3">
      <c r="A1302" t="inlineStr">
        <is>
          <t>Quezon|General Luna</t>
        </is>
      </c>
      <c r="B1302">
        <v>34080</v>
      </c>
      <c r="C1302">
        <v>27</v>
      </c>
    </row>
    <row r="1303" spans="1:3">
      <c r="A1303" t="inlineStr">
        <is>
          <t>Quezon|General Nakar</t>
        </is>
      </c>
      <c r="B1303">
        <v>34107</v>
      </c>
      <c r="C1303">
        <v>19</v>
      </c>
    </row>
    <row r="1304" spans="1:3">
      <c r="A1304" t="inlineStr">
        <is>
          <t>Quezon|Guinayangan</t>
        </is>
      </c>
      <c r="B1304">
        <v>34126</v>
      </c>
      <c r="C1304">
        <v>54</v>
      </c>
    </row>
    <row r="1305" spans="1:3">
      <c r="A1305" t="inlineStr">
        <is>
          <t>Quezon|Gumaca</t>
        </is>
      </c>
      <c r="B1305">
        <v>34180</v>
      </c>
      <c r="C1305">
        <v>59</v>
      </c>
    </row>
    <row r="1306" spans="1:3">
      <c r="A1306" t="inlineStr">
        <is>
          <t>Quezon|Infanta</t>
        </is>
      </c>
      <c r="B1306">
        <v>34239</v>
      </c>
      <c r="C1306">
        <v>36</v>
      </c>
    </row>
    <row r="1307" spans="1:3">
      <c r="A1307" t="inlineStr">
        <is>
          <t>Quezon|Jomalig</t>
        </is>
      </c>
      <c r="B1307">
        <v>34275</v>
      </c>
      <c r="C1307">
        <v>5</v>
      </c>
    </row>
    <row r="1308" spans="1:3">
      <c r="A1308" t="inlineStr">
        <is>
          <t>Quezon|Lopez</t>
        </is>
      </c>
      <c r="B1308">
        <v>34280</v>
      </c>
      <c r="C1308">
        <v>95</v>
      </c>
    </row>
    <row r="1309" spans="1:3">
      <c r="A1309" t="inlineStr">
        <is>
          <t>Quezon|Lucban</t>
        </is>
      </c>
      <c r="B1309">
        <v>34375</v>
      </c>
      <c r="C1309">
        <v>32</v>
      </c>
    </row>
    <row r="1310" spans="1:3">
      <c r="A1310" t="inlineStr">
        <is>
          <t>Quezon|Macalelon</t>
        </is>
      </c>
      <c r="B1310">
        <v>34407</v>
      </c>
      <c r="C1310">
        <v>30</v>
      </c>
    </row>
    <row r="1311" spans="1:3">
      <c r="A1311" t="inlineStr">
        <is>
          <t>Quezon|Mauban</t>
        </is>
      </c>
      <c r="B1311">
        <v>34437</v>
      </c>
      <c r="C1311">
        <v>40</v>
      </c>
    </row>
    <row r="1312" spans="1:3">
      <c r="A1312" t="inlineStr">
        <is>
          <t>Quezon|Mulanay</t>
        </is>
      </c>
      <c r="B1312">
        <v>34477</v>
      </c>
      <c r="C1312">
        <v>28</v>
      </c>
    </row>
    <row r="1313" spans="1:3">
      <c r="A1313" t="inlineStr">
        <is>
          <t>Quezon|Padre Burgos</t>
        </is>
      </c>
      <c r="B1313">
        <v>34505</v>
      </c>
      <c r="C1313">
        <v>22</v>
      </c>
    </row>
    <row r="1314" spans="1:3">
      <c r="A1314" t="inlineStr">
        <is>
          <t>Quezon|Pagbilao</t>
        </is>
      </c>
      <c r="B1314">
        <v>34527</v>
      </c>
      <c r="C1314">
        <v>27</v>
      </c>
    </row>
    <row r="1315" spans="1:3">
      <c r="A1315" t="inlineStr">
        <is>
          <t>Quezon|Panukulan</t>
        </is>
      </c>
      <c r="B1315">
        <v>34554</v>
      </c>
      <c r="C1315">
        <v>13</v>
      </c>
    </row>
    <row r="1316" spans="1:3">
      <c r="A1316" t="inlineStr">
        <is>
          <t>Quezon|Patnanungan</t>
        </is>
      </c>
      <c r="B1316">
        <v>34567</v>
      </c>
      <c r="C1316">
        <v>6</v>
      </c>
    </row>
    <row r="1317" spans="1:3">
      <c r="A1317" t="inlineStr">
        <is>
          <t>Quezon|Perez</t>
        </is>
      </c>
      <c r="B1317">
        <v>34573</v>
      </c>
      <c r="C1317">
        <v>14</v>
      </c>
    </row>
    <row r="1318" spans="1:3">
      <c r="A1318" t="inlineStr">
        <is>
          <t>Quezon|Pitogo</t>
        </is>
      </c>
      <c r="B1318">
        <v>34587</v>
      </c>
      <c r="C1318">
        <v>39</v>
      </c>
    </row>
    <row r="1319" spans="1:3">
      <c r="A1319" t="inlineStr">
        <is>
          <t>Quezon|Plaridel</t>
        </is>
      </c>
      <c r="B1319">
        <v>34626</v>
      </c>
      <c r="C1319">
        <v>9</v>
      </c>
    </row>
    <row r="1320" spans="1:3">
      <c r="A1320" t="inlineStr">
        <is>
          <t>Quezon|Polillo</t>
        </is>
      </c>
      <c r="B1320">
        <v>34635</v>
      </c>
      <c r="C1320">
        <v>20</v>
      </c>
    </row>
    <row r="1321" spans="1:3">
      <c r="A1321" t="inlineStr">
        <is>
          <t>Quezon|Quezon</t>
        </is>
      </c>
      <c r="B1321">
        <v>34655</v>
      </c>
      <c r="C1321">
        <v>24</v>
      </c>
    </row>
    <row r="1322" spans="1:3">
      <c r="A1322" t="inlineStr">
        <is>
          <t>Quezon|Real</t>
        </is>
      </c>
      <c r="B1322">
        <v>34679</v>
      </c>
      <c r="C1322">
        <v>17</v>
      </c>
    </row>
    <row r="1323" spans="1:3">
      <c r="A1323" t="inlineStr">
        <is>
          <t>Quezon|Sampaloc</t>
        </is>
      </c>
      <c r="B1323">
        <v>34696</v>
      </c>
      <c r="C1323">
        <v>14</v>
      </c>
    </row>
    <row r="1324" spans="1:3">
      <c r="A1324" t="inlineStr">
        <is>
          <t>Quezon|San Andres</t>
        </is>
      </c>
      <c r="B1324">
        <v>34710</v>
      </c>
      <c r="C1324">
        <v>7</v>
      </c>
    </row>
    <row r="1325" spans="1:3">
      <c r="A1325" t="inlineStr">
        <is>
          <t>Quezon|San Antonio</t>
        </is>
      </c>
      <c r="B1325">
        <v>34717</v>
      </c>
      <c r="C1325">
        <v>20</v>
      </c>
    </row>
    <row r="1326" spans="1:3">
      <c r="A1326" t="inlineStr">
        <is>
          <t>Quezon|San Francisco</t>
        </is>
      </c>
      <c r="B1326">
        <v>34737</v>
      </c>
      <c r="C1326">
        <v>16</v>
      </c>
    </row>
    <row r="1327" spans="1:3">
      <c r="A1327" t="inlineStr">
        <is>
          <t>Quezon|San Narciso</t>
        </is>
      </c>
      <c r="B1327">
        <v>34753</v>
      </c>
      <c r="C1327">
        <v>24</v>
      </c>
    </row>
    <row r="1328" spans="1:3">
      <c r="A1328" t="inlineStr">
        <is>
          <t>Quezon|Sariaya</t>
        </is>
      </c>
      <c r="B1328">
        <v>34777</v>
      </c>
      <c r="C1328">
        <v>43</v>
      </c>
    </row>
    <row r="1329" spans="1:3">
      <c r="A1329" t="inlineStr">
        <is>
          <t>Quezon|Tagkawayan</t>
        </is>
      </c>
      <c r="B1329">
        <v>34820</v>
      </c>
      <c r="C1329">
        <v>45</v>
      </c>
    </row>
    <row r="1330" spans="1:3">
      <c r="A1330" t="inlineStr">
        <is>
          <t>Quezon|Tiaong</t>
        </is>
      </c>
      <c r="B1330">
        <v>34865</v>
      </c>
      <c r="C1330">
        <v>31</v>
      </c>
    </row>
    <row r="1331" spans="1:3">
      <c r="A1331" t="inlineStr">
        <is>
          <t>Quezon|Unisan</t>
        </is>
      </c>
      <c r="B1331">
        <v>34896</v>
      </c>
      <c r="C1331">
        <v>36</v>
      </c>
    </row>
    <row r="1332" spans="1:3">
      <c r="A1332" t="inlineStr">
        <is>
          <t>Quirino|Aglipay</t>
        </is>
      </c>
      <c r="B1332">
        <v>34932</v>
      </c>
      <c r="C1332">
        <v>25</v>
      </c>
    </row>
    <row r="1333" spans="1:3">
      <c r="A1333" t="inlineStr">
        <is>
          <t>Quirino|Cabarroguis</t>
        </is>
      </c>
      <c r="B1333">
        <v>34957</v>
      </c>
      <c r="C1333">
        <v>17</v>
      </c>
    </row>
    <row r="1334" spans="1:3">
      <c r="A1334" t="inlineStr">
        <is>
          <t>Quirino|Diffun</t>
        </is>
      </c>
      <c r="B1334">
        <v>34974</v>
      </c>
      <c r="C1334">
        <v>33</v>
      </c>
    </row>
    <row r="1335" spans="1:3">
      <c r="A1335" t="inlineStr">
        <is>
          <t>Quirino|Maddela</t>
        </is>
      </c>
      <c r="B1335">
        <v>35007</v>
      </c>
      <c r="C1335">
        <v>32</v>
      </c>
    </row>
    <row r="1336" spans="1:3">
      <c r="A1336" t="inlineStr">
        <is>
          <t>Quirino|Nagtipunan</t>
        </is>
      </c>
      <c r="B1336">
        <v>35039</v>
      </c>
      <c r="C1336">
        <v>16</v>
      </c>
    </row>
    <row r="1337" spans="1:3">
      <c r="A1337" t="inlineStr">
        <is>
          <t>Quirino|Saguday</t>
        </is>
      </c>
      <c r="B1337">
        <v>35055</v>
      </c>
      <c r="C1337">
        <v>9</v>
      </c>
    </row>
    <row r="1338" spans="1:3">
      <c r="A1338" t="inlineStr">
        <is>
          <t>Rizal|Angono</t>
        </is>
      </c>
      <c r="B1338">
        <v>35064</v>
      </c>
      <c r="C1338">
        <v>10</v>
      </c>
    </row>
    <row r="1339" spans="1:3">
      <c r="A1339" t="inlineStr">
        <is>
          <t>Rizal|Baras</t>
        </is>
      </c>
      <c r="B1339">
        <v>35074</v>
      </c>
      <c r="C1339">
        <v>10</v>
      </c>
    </row>
    <row r="1340" spans="1:3">
      <c r="A1340" t="inlineStr">
        <is>
          <t>Rizal|Binangonan</t>
        </is>
      </c>
      <c r="B1340">
        <v>35084</v>
      </c>
      <c r="C1340">
        <v>40</v>
      </c>
    </row>
    <row r="1341" spans="1:3">
      <c r="A1341" t="inlineStr">
        <is>
          <t>Rizal|Cainta</t>
        </is>
      </c>
      <c r="B1341">
        <v>35124</v>
      </c>
      <c r="C1341">
        <v>7</v>
      </c>
    </row>
    <row r="1342" spans="1:3">
      <c r="A1342" t="inlineStr">
        <is>
          <t>Rizal|Cardona</t>
        </is>
      </c>
      <c r="B1342">
        <v>35131</v>
      </c>
      <c r="C1342">
        <v>18</v>
      </c>
    </row>
    <row r="1343" spans="1:3">
      <c r="A1343" t="inlineStr">
        <is>
          <t>Rizal|City of Antipolo</t>
        </is>
      </c>
      <c r="B1343">
        <v>35149</v>
      </c>
      <c r="C1343">
        <v>16</v>
      </c>
    </row>
    <row r="1344" spans="1:3">
      <c r="A1344" t="inlineStr">
        <is>
          <t>Rizal|Jala-Jala</t>
        </is>
      </c>
      <c r="B1344">
        <v>35165</v>
      </c>
      <c r="C1344">
        <v>11</v>
      </c>
    </row>
    <row r="1345" spans="1:3">
      <c r="A1345" t="inlineStr">
        <is>
          <t>Rizal|Morong</t>
        </is>
      </c>
      <c r="B1345">
        <v>35176</v>
      </c>
      <c r="C1345">
        <v>8</v>
      </c>
    </row>
    <row r="1346" spans="1:3">
      <c r="A1346" t="inlineStr">
        <is>
          <t>Rizal|Pililla</t>
        </is>
      </c>
      <c r="B1346">
        <v>35184</v>
      </c>
      <c r="C1346">
        <v>9</v>
      </c>
    </row>
    <row r="1347" spans="1:3">
      <c r="A1347" t="inlineStr">
        <is>
          <t>Rizal|Rodriguez</t>
        </is>
      </c>
      <c r="B1347">
        <v>35193</v>
      </c>
      <c r="C1347">
        <v>11</v>
      </c>
    </row>
    <row r="1348" spans="1:3">
      <c r="A1348" t="inlineStr">
        <is>
          <t>Rizal|San Mateo</t>
        </is>
      </c>
      <c r="B1348">
        <v>35204</v>
      </c>
      <c r="C1348">
        <v>15</v>
      </c>
    </row>
    <row r="1349" spans="1:3">
      <c r="A1349" t="inlineStr">
        <is>
          <t>Rizal|Tanay</t>
        </is>
      </c>
      <c r="B1349">
        <v>35219</v>
      </c>
      <c r="C1349">
        <v>20</v>
      </c>
    </row>
    <row r="1350" spans="1:3">
      <c r="A1350" t="inlineStr">
        <is>
          <t>Rizal|Taytay</t>
        </is>
      </c>
      <c r="B1350">
        <v>35239</v>
      </c>
      <c r="C1350">
        <v>5</v>
      </c>
    </row>
    <row r="1351" spans="1:3">
      <c r="A1351" t="inlineStr">
        <is>
          <t>Rizal|Teresa</t>
        </is>
      </c>
      <c r="B1351">
        <v>35244</v>
      </c>
      <c r="C1351">
        <v>9</v>
      </c>
    </row>
    <row r="1352" spans="1:3">
      <c r="A1352" t="inlineStr">
        <is>
          <t>Romblon|Alcantara</t>
        </is>
      </c>
      <c r="B1352">
        <v>35253</v>
      </c>
      <c r="C1352">
        <v>12</v>
      </c>
    </row>
    <row r="1353" spans="1:3">
      <c r="A1353" t="inlineStr">
        <is>
          <t>Romblon|Banton</t>
        </is>
      </c>
      <c r="B1353">
        <v>35265</v>
      </c>
      <c r="C1353">
        <v>17</v>
      </c>
    </row>
    <row r="1354" spans="1:3">
      <c r="A1354" t="inlineStr">
        <is>
          <t>Romblon|Cajidiocan</t>
        </is>
      </c>
      <c r="B1354">
        <v>35282</v>
      </c>
      <c r="C1354">
        <v>14</v>
      </c>
    </row>
    <row r="1355" spans="1:3">
      <c r="A1355" t="inlineStr">
        <is>
          <t>Romblon|Calatrava</t>
        </is>
      </c>
      <c r="B1355">
        <v>35296</v>
      </c>
      <c r="C1355">
        <v>7</v>
      </c>
    </row>
    <row r="1356" spans="1:3">
      <c r="A1356" t="inlineStr">
        <is>
          <t>Romblon|Concepcion</t>
        </is>
      </c>
      <c r="B1356">
        <v>35303</v>
      </c>
      <c r="C1356">
        <v>9</v>
      </c>
    </row>
    <row r="1357" spans="1:3">
      <c r="A1357" t="inlineStr">
        <is>
          <t>Romblon|Corcuera</t>
        </is>
      </c>
      <c r="B1357">
        <v>35312</v>
      </c>
      <c r="C1357">
        <v>15</v>
      </c>
    </row>
    <row r="1358" spans="1:3">
      <c r="A1358" t="inlineStr">
        <is>
          <t>Romblon|Ferrol</t>
        </is>
      </c>
      <c r="B1358">
        <v>35327</v>
      </c>
      <c r="C1358">
        <v>6</v>
      </c>
    </row>
    <row r="1359" spans="1:3">
      <c r="A1359" t="inlineStr">
        <is>
          <t>Romblon|Looc</t>
        </is>
      </c>
      <c r="B1359">
        <v>35333</v>
      </c>
      <c r="C1359">
        <v>12</v>
      </c>
    </row>
    <row r="1360" spans="1:3">
      <c r="A1360" t="inlineStr">
        <is>
          <t>Romblon|Magdiwang</t>
        </is>
      </c>
      <c r="B1360">
        <v>35345</v>
      </c>
      <c r="C1360">
        <v>9</v>
      </c>
    </row>
    <row r="1361" spans="1:3">
      <c r="A1361" t="inlineStr">
        <is>
          <t>Romblon|Odiongan</t>
        </is>
      </c>
      <c r="B1361">
        <v>35354</v>
      </c>
      <c r="C1361">
        <v>25</v>
      </c>
    </row>
    <row r="1362" spans="1:3">
      <c r="A1362" t="inlineStr">
        <is>
          <t>Romblon|Romblon</t>
        </is>
      </c>
      <c r="B1362">
        <v>35379</v>
      </c>
      <c r="C1362">
        <v>31</v>
      </c>
    </row>
    <row r="1363" spans="1:3">
      <c r="A1363" t="inlineStr">
        <is>
          <t>Romblon|San Agustin</t>
        </is>
      </c>
      <c r="B1363">
        <v>35410</v>
      </c>
      <c r="C1363">
        <v>15</v>
      </c>
    </row>
    <row r="1364" spans="1:3">
      <c r="A1364" t="inlineStr">
        <is>
          <t>Romblon|San Andres</t>
        </is>
      </c>
      <c r="B1364">
        <v>35425</v>
      </c>
      <c r="C1364">
        <v>13</v>
      </c>
    </row>
    <row r="1365" spans="1:3">
      <c r="A1365" t="inlineStr">
        <is>
          <t>Romblon|San Fernando</t>
        </is>
      </c>
      <c r="B1365">
        <v>35438</v>
      </c>
      <c r="C1365">
        <v>12</v>
      </c>
    </row>
    <row r="1366" spans="1:3">
      <c r="A1366" t="inlineStr">
        <is>
          <t>Romblon|San Jose</t>
        </is>
      </c>
      <c r="B1366">
        <v>35450</v>
      </c>
      <c r="C1366">
        <v>5</v>
      </c>
    </row>
    <row r="1367" spans="1:3">
      <c r="A1367" t="inlineStr">
        <is>
          <t>Romblon|Santa Fe</t>
        </is>
      </c>
      <c r="B1367">
        <v>35455</v>
      </c>
      <c r="C1367">
        <v>11</v>
      </c>
    </row>
    <row r="1368" spans="1:3">
      <c r="A1368" t="inlineStr">
        <is>
          <t>Romblon|Santa Maria</t>
        </is>
      </c>
      <c r="B1368">
        <v>35466</v>
      </c>
      <c r="C1368">
        <v>6</v>
      </c>
    </row>
    <row r="1369" spans="1:3">
      <c r="A1369" t="inlineStr">
        <is>
          <t>Samar|Almagro</t>
        </is>
      </c>
      <c r="B1369">
        <v>35472</v>
      </c>
      <c r="C1369">
        <v>23</v>
      </c>
    </row>
    <row r="1370" spans="1:3">
      <c r="A1370" t="inlineStr">
        <is>
          <t>Samar|Basey</t>
        </is>
      </c>
      <c r="B1370">
        <v>35495</v>
      </c>
      <c r="C1370">
        <v>51</v>
      </c>
    </row>
    <row r="1371" spans="1:3">
      <c r="A1371" t="inlineStr">
        <is>
          <t>Samar|Calbiga</t>
        </is>
      </c>
      <c r="B1371">
        <v>35546</v>
      </c>
      <c r="C1371">
        <v>41</v>
      </c>
    </row>
    <row r="1372" spans="1:3">
      <c r="A1372" t="inlineStr">
        <is>
          <t>Samar|City of Calbayog</t>
        </is>
      </c>
      <c r="B1372">
        <v>35587</v>
      </c>
      <c r="C1372">
        <v>157</v>
      </c>
    </row>
    <row r="1373" spans="1:3">
      <c r="A1373" t="inlineStr">
        <is>
          <t>Samar|City of Catbalogan</t>
        </is>
      </c>
      <c r="B1373">
        <v>35744</v>
      </c>
      <c r="C1373">
        <v>57</v>
      </c>
    </row>
    <row r="1374" spans="1:3">
      <c r="A1374" t="inlineStr">
        <is>
          <t>Samar|Daram</t>
        </is>
      </c>
      <c r="B1374">
        <v>35801</v>
      </c>
      <c r="C1374">
        <v>58</v>
      </c>
    </row>
    <row r="1375" spans="1:3">
      <c r="A1375" t="inlineStr">
        <is>
          <t>Samar|Gandara</t>
        </is>
      </c>
      <c r="B1375">
        <v>35859</v>
      </c>
      <c r="C1375">
        <v>69</v>
      </c>
    </row>
    <row r="1376" spans="1:3">
      <c r="A1376" t="inlineStr">
        <is>
          <t>Samar|Hinabangan</t>
        </is>
      </c>
      <c r="B1376">
        <v>35928</v>
      </c>
      <c r="C1376">
        <v>21</v>
      </c>
    </row>
    <row r="1377" spans="1:3">
      <c r="A1377" t="inlineStr">
        <is>
          <t>Samar|Jiabong</t>
        </is>
      </c>
      <c r="B1377">
        <v>35949</v>
      </c>
      <c r="C1377">
        <v>34</v>
      </c>
    </row>
    <row r="1378" spans="1:3">
      <c r="A1378" t="inlineStr">
        <is>
          <t>Samar|Marabut</t>
        </is>
      </c>
      <c r="B1378">
        <v>35983</v>
      </c>
      <c r="C1378">
        <v>24</v>
      </c>
    </row>
    <row r="1379" spans="1:3">
      <c r="A1379" t="inlineStr">
        <is>
          <t>Samar|Matuguinao</t>
        </is>
      </c>
      <c r="B1379">
        <v>36007</v>
      </c>
      <c r="C1379">
        <v>20</v>
      </c>
    </row>
    <row r="1380" spans="1:3">
      <c r="A1380" t="inlineStr">
        <is>
          <t>Samar|Motiong</t>
        </is>
      </c>
      <c r="B1380">
        <v>36027</v>
      </c>
      <c r="C1380">
        <v>30</v>
      </c>
    </row>
    <row r="1381" spans="1:3">
      <c r="A1381" t="inlineStr">
        <is>
          <t>Samar|Pagsanghan</t>
        </is>
      </c>
      <c r="B1381">
        <v>36057</v>
      </c>
      <c r="C1381">
        <v>13</v>
      </c>
    </row>
    <row r="1382" spans="1:3">
      <c r="A1382" t="inlineStr">
        <is>
          <t>Samar|Paranas</t>
        </is>
      </c>
      <c r="B1382">
        <v>36070</v>
      </c>
      <c r="C1382">
        <v>44</v>
      </c>
    </row>
    <row r="1383" spans="1:3">
      <c r="A1383" t="inlineStr">
        <is>
          <t>Samar|Pinabacdao</t>
        </is>
      </c>
      <c r="B1383">
        <v>36114</v>
      </c>
      <c r="C1383">
        <v>24</v>
      </c>
    </row>
    <row r="1384" spans="1:3">
      <c r="A1384" t="inlineStr">
        <is>
          <t>Samar|San Jorge</t>
        </is>
      </c>
      <c r="B1384">
        <v>36138</v>
      </c>
      <c r="C1384">
        <v>41</v>
      </c>
    </row>
    <row r="1385" spans="1:3">
      <c r="A1385" t="inlineStr">
        <is>
          <t>Samar|San Jose De Buan</t>
        </is>
      </c>
      <c r="B1385">
        <v>36179</v>
      </c>
      <c r="C1385">
        <v>14</v>
      </c>
    </row>
    <row r="1386" spans="1:3">
      <c r="A1386" t="inlineStr">
        <is>
          <t>Samar|San Sebastian</t>
        </is>
      </c>
      <c r="B1386">
        <v>36193</v>
      </c>
      <c r="C1386">
        <v>14</v>
      </c>
    </row>
    <row r="1387" spans="1:3">
      <c r="A1387" t="inlineStr">
        <is>
          <t>Samar|Santa Margarita</t>
        </is>
      </c>
      <c r="B1387">
        <v>36207</v>
      </c>
      <c r="C1387">
        <v>36</v>
      </c>
    </row>
    <row r="1388" spans="1:3">
      <c r="A1388" t="inlineStr">
        <is>
          <t>Samar|Santa Rita</t>
        </is>
      </c>
      <c r="B1388">
        <v>36243</v>
      </c>
      <c r="C1388">
        <v>38</v>
      </c>
    </row>
    <row r="1389" spans="1:3">
      <c r="A1389" t="inlineStr">
        <is>
          <t>Samar|Santo Niño</t>
        </is>
      </c>
      <c r="B1389">
        <v>36281</v>
      </c>
      <c r="C1389">
        <v>13</v>
      </c>
    </row>
    <row r="1390" spans="1:3">
      <c r="A1390" t="inlineStr">
        <is>
          <t>Samar|Tagapul-An</t>
        </is>
      </c>
      <c r="B1390">
        <v>36294</v>
      </c>
      <c r="C1390">
        <v>14</v>
      </c>
    </row>
    <row r="1391" spans="1:3">
      <c r="A1391" t="inlineStr">
        <is>
          <t>Samar|Talalora</t>
        </is>
      </c>
      <c r="B1391">
        <v>36308</v>
      </c>
      <c r="C1391">
        <v>11</v>
      </c>
    </row>
    <row r="1392" spans="1:3">
      <c r="A1392" t="inlineStr">
        <is>
          <t>Samar|Tarangnan</t>
        </is>
      </c>
      <c r="B1392">
        <v>36319</v>
      </c>
      <c r="C1392">
        <v>41</v>
      </c>
    </row>
    <row r="1393" spans="1:3">
      <c r="A1393" t="inlineStr">
        <is>
          <t>Samar|Villareal</t>
        </is>
      </c>
      <c r="B1393">
        <v>36360</v>
      </c>
      <c r="C1393">
        <v>38</v>
      </c>
    </row>
    <row r="1394" spans="1:3">
      <c r="A1394" t="inlineStr">
        <is>
          <t>Samar|Zumarraga</t>
        </is>
      </c>
      <c r="B1394">
        <v>36398</v>
      </c>
      <c r="C1394">
        <v>25</v>
      </c>
    </row>
    <row r="1395" spans="1:3">
      <c r="A1395" t="inlineStr">
        <is>
          <t>Sarangani|Alabel</t>
        </is>
      </c>
      <c r="B1395">
        <v>36423</v>
      </c>
      <c r="C1395">
        <v>14</v>
      </c>
    </row>
    <row r="1396" spans="1:3">
      <c r="A1396" t="inlineStr">
        <is>
          <t>Sarangani|Glan</t>
        </is>
      </c>
      <c r="B1396">
        <v>36437</v>
      </c>
      <c r="C1396">
        <v>31</v>
      </c>
    </row>
    <row r="1397" spans="1:3">
      <c r="A1397" t="inlineStr">
        <is>
          <t>Sarangani|Kiamba</t>
        </is>
      </c>
      <c r="B1397">
        <v>36468</v>
      </c>
      <c r="C1397">
        <v>19</v>
      </c>
    </row>
    <row r="1398" spans="1:3">
      <c r="A1398" t="inlineStr">
        <is>
          <t>Sarangani|Maasim</t>
        </is>
      </c>
      <c r="B1398">
        <v>36487</v>
      </c>
      <c r="C1398">
        <v>16</v>
      </c>
    </row>
    <row r="1399" spans="1:3">
      <c r="A1399" t="inlineStr">
        <is>
          <t>Sarangani|Maitum</t>
        </is>
      </c>
      <c r="B1399">
        <v>36503</v>
      </c>
      <c r="C1399">
        <v>19</v>
      </c>
    </row>
    <row r="1400" spans="1:3">
      <c r="A1400" t="inlineStr">
        <is>
          <t>Sarangani|Malapatan</t>
        </is>
      </c>
      <c r="B1400">
        <v>36522</v>
      </c>
      <c r="C1400">
        <v>12</v>
      </c>
    </row>
    <row r="1401" spans="1:3">
      <c r="A1401" t="inlineStr">
        <is>
          <t>Sarangani|Malungon</t>
        </is>
      </c>
      <c r="B1401">
        <v>36534</v>
      </c>
      <c r="C1401">
        <v>31</v>
      </c>
    </row>
    <row r="1402" spans="1:3">
      <c r="A1402" t="inlineStr">
        <is>
          <t>Siquijor|Enrique Villanueva</t>
        </is>
      </c>
      <c r="B1402">
        <v>36565</v>
      </c>
      <c r="C1402">
        <v>14</v>
      </c>
    </row>
    <row r="1403" spans="1:3">
      <c r="A1403" t="inlineStr">
        <is>
          <t>Siquijor|Larena</t>
        </is>
      </c>
      <c r="B1403">
        <v>36579</v>
      </c>
      <c r="C1403">
        <v>23</v>
      </c>
    </row>
    <row r="1404" spans="1:3">
      <c r="A1404" t="inlineStr">
        <is>
          <t>Siquijor|Lazi</t>
        </is>
      </c>
      <c r="B1404">
        <v>36602</v>
      </c>
      <c r="C1404">
        <v>18</v>
      </c>
    </row>
    <row r="1405" spans="1:3">
      <c r="A1405" t="inlineStr">
        <is>
          <t>Siquijor|Maria</t>
        </is>
      </c>
      <c r="B1405">
        <v>36620</v>
      </c>
      <c r="C1405">
        <v>22</v>
      </c>
    </row>
    <row r="1406" spans="1:3">
      <c r="A1406" t="inlineStr">
        <is>
          <t>Siquijor|San Juan</t>
        </is>
      </c>
      <c r="B1406">
        <v>36642</v>
      </c>
      <c r="C1406">
        <v>15</v>
      </c>
    </row>
    <row r="1407" spans="1:3">
      <c r="A1407" t="inlineStr">
        <is>
          <t>Siquijor|Siquijor</t>
        </is>
      </c>
      <c r="B1407">
        <v>36657</v>
      </c>
      <c r="C1407">
        <v>42</v>
      </c>
    </row>
    <row r="1408" spans="1:3">
      <c r="A1408" t="inlineStr">
        <is>
          <t>Sorsogon|Barcelona</t>
        </is>
      </c>
      <c r="B1408">
        <v>36699</v>
      </c>
      <c r="C1408">
        <v>25</v>
      </c>
    </row>
    <row r="1409" spans="1:3">
      <c r="A1409" t="inlineStr">
        <is>
          <t>Sorsogon|Bulan</t>
        </is>
      </c>
      <c r="B1409">
        <v>36724</v>
      </c>
      <c r="C1409">
        <v>63</v>
      </c>
    </row>
    <row r="1410" spans="1:3">
      <c r="A1410" t="inlineStr">
        <is>
          <t>Sorsogon|Bulusan</t>
        </is>
      </c>
      <c r="B1410">
        <v>36787</v>
      </c>
      <c r="C1410">
        <v>24</v>
      </c>
    </row>
    <row r="1411" spans="1:3">
      <c r="A1411" t="inlineStr">
        <is>
          <t>Sorsogon|Casiguran</t>
        </is>
      </c>
      <c r="B1411">
        <v>36811</v>
      </c>
      <c r="C1411">
        <v>25</v>
      </c>
    </row>
    <row r="1412" spans="1:3">
      <c r="A1412" t="inlineStr">
        <is>
          <t>Sorsogon|Castilla</t>
        </is>
      </c>
      <c r="B1412">
        <v>36836</v>
      </c>
      <c r="C1412">
        <v>34</v>
      </c>
    </row>
    <row r="1413" spans="1:3">
      <c r="A1413" t="inlineStr">
        <is>
          <t>Sorsogon|City of Sorsogon</t>
        </is>
      </c>
      <c r="B1413">
        <v>36870</v>
      </c>
      <c r="C1413">
        <v>64</v>
      </c>
    </row>
    <row r="1414" spans="1:3">
      <c r="A1414" t="inlineStr">
        <is>
          <t>Sorsogon|Donsol</t>
        </is>
      </c>
      <c r="B1414">
        <v>36934</v>
      </c>
      <c r="C1414">
        <v>51</v>
      </c>
    </row>
    <row r="1415" spans="1:3">
      <c r="A1415" t="inlineStr">
        <is>
          <t>Sorsogon|Gubat</t>
        </is>
      </c>
      <c r="B1415">
        <v>36985</v>
      </c>
      <c r="C1415">
        <v>42</v>
      </c>
    </row>
    <row r="1416" spans="1:3">
      <c r="A1416" t="inlineStr">
        <is>
          <t>Sorsogon|Irosin</t>
        </is>
      </c>
      <c r="B1416">
        <v>37027</v>
      </c>
      <c r="C1416">
        <v>28</v>
      </c>
    </row>
    <row r="1417" spans="1:3">
      <c r="A1417" t="inlineStr">
        <is>
          <t>Sorsogon|Juban</t>
        </is>
      </c>
      <c r="B1417">
        <v>37055</v>
      </c>
      <c r="C1417">
        <v>25</v>
      </c>
    </row>
    <row r="1418" spans="1:3">
      <c r="A1418" t="inlineStr">
        <is>
          <t>Sorsogon|Magallanes</t>
        </is>
      </c>
      <c r="B1418">
        <v>37080</v>
      </c>
      <c r="C1418">
        <v>34</v>
      </c>
    </row>
    <row r="1419" spans="1:3">
      <c r="A1419" t="inlineStr">
        <is>
          <t>Sorsogon|Matnog</t>
        </is>
      </c>
      <c r="B1419">
        <v>37114</v>
      </c>
      <c r="C1419">
        <v>40</v>
      </c>
    </row>
    <row r="1420" spans="1:3">
      <c r="A1420" t="inlineStr">
        <is>
          <t>Sorsogon|Pilar</t>
        </is>
      </c>
      <c r="B1420">
        <v>37154</v>
      </c>
      <c r="C1420">
        <v>49</v>
      </c>
    </row>
    <row r="1421" spans="1:3">
      <c r="A1421" t="inlineStr">
        <is>
          <t>Sorsogon|Prieto Diaz</t>
        </is>
      </c>
      <c r="B1421">
        <v>37203</v>
      </c>
      <c r="C1421">
        <v>23</v>
      </c>
    </row>
    <row r="1422" spans="1:3">
      <c r="A1422" t="inlineStr">
        <is>
          <t>Sorsogon|Santa Magdalena</t>
        </is>
      </c>
      <c r="B1422">
        <v>37226</v>
      </c>
      <c r="C1422">
        <v>14</v>
      </c>
    </row>
    <row r="1423" spans="1:3">
      <c r="A1423" t="inlineStr">
        <is>
          <t>South Cotabato|Banga</t>
        </is>
      </c>
      <c r="B1423">
        <v>37240</v>
      </c>
      <c r="C1423">
        <v>22</v>
      </c>
    </row>
    <row r="1424" spans="1:3">
      <c r="A1424" t="inlineStr">
        <is>
          <t>South Cotabato|City of Koronadal</t>
        </is>
      </c>
      <c r="B1424">
        <v>37262</v>
      </c>
      <c r="C1424">
        <v>27</v>
      </c>
    </row>
    <row r="1425" spans="1:3">
      <c r="A1425" t="inlineStr">
        <is>
          <t>South Cotabato|Lake Sebu</t>
        </is>
      </c>
      <c r="B1425">
        <v>37289</v>
      </c>
      <c r="C1425">
        <v>19</v>
      </c>
    </row>
    <row r="1426" spans="1:3">
      <c r="A1426" t="inlineStr">
        <is>
          <t>South Cotabato|Norala</t>
        </is>
      </c>
      <c r="B1426">
        <v>37308</v>
      </c>
      <c r="C1426">
        <v>14</v>
      </c>
    </row>
    <row r="1427" spans="1:3">
      <c r="A1427" t="inlineStr">
        <is>
          <t>South Cotabato|Polomolok</t>
        </is>
      </c>
      <c r="B1427">
        <v>37322</v>
      </c>
      <c r="C1427">
        <v>23</v>
      </c>
    </row>
    <row r="1428" spans="1:3">
      <c r="A1428" t="inlineStr">
        <is>
          <t>South Cotabato|Santo Niño</t>
        </is>
      </c>
      <c r="B1428">
        <v>37345</v>
      </c>
      <c r="C1428">
        <v>10</v>
      </c>
    </row>
    <row r="1429" spans="1:3">
      <c r="A1429" t="inlineStr">
        <is>
          <t>South Cotabato|Surallah</t>
        </is>
      </c>
      <c r="B1429">
        <v>37355</v>
      </c>
      <c r="C1429">
        <v>17</v>
      </c>
    </row>
    <row r="1430" spans="1:3">
      <c r="A1430" t="inlineStr">
        <is>
          <t>South Cotabato|T'Boli</t>
        </is>
      </c>
      <c r="B1430">
        <v>37372</v>
      </c>
      <c r="C1430">
        <v>25</v>
      </c>
    </row>
    <row r="1431" spans="1:3">
      <c r="A1431" t="inlineStr">
        <is>
          <t>South Cotabato|Tampakan</t>
        </is>
      </c>
      <c r="B1431">
        <v>37397</v>
      </c>
      <c r="C1431">
        <v>14</v>
      </c>
    </row>
    <row r="1432" spans="1:3">
      <c r="A1432" t="inlineStr">
        <is>
          <t>South Cotabato|Tantangan</t>
        </is>
      </c>
      <c r="B1432">
        <v>37411</v>
      </c>
      <c r="C1432">
        <v>13</v>
      </c>
    </row>
    <row r="1433" spans="1:3">
      <c r="A1433" t="inlineStr">
        <is>
          <t>South Cotabato|Tupi</t>
        </is>
      </c>
      <c r="B1433">
        <v>37424</v>
      </c>
      <c r="C1433">
        <v>16</v>
      </c>
    </row>
    <row r="1434" spans="1:3">
      <c r="A1434" t="inlineStr">
        <is>
          <t>Southern Leyte|Anahawan</t>
        </is>
      </c>
      <c r="B1434">
        <v>37440</v>
      </c>
      <c r="C1434">
        <v>14</v>
      </c>
    </row>
    <row r="1435" spans="1:3">
      <c r="A1435" t="inlineStr">
        <is>
          <t>Southern Leyte|Bontoc</t>
        </is>
      </c>
      <c r="B1435">
        <v>37454</v>
      </c>
      <c r="C1435">
        <v>40</v>
      </c>
    </row>
    <row r="1436" spans="1:3">
      <c r="A1436" t="inlineStr">
        <is>
          <t>Southern Leyte|City of Maasin</t>
        </is>
      </c>
      <c r="B1436">
        <v>37494</v>
      </c>
      <c r="C1436">
        <v>70</v>
      </c>
    </row>
    <row r="1437" spans="1:3">
      <c r="A1437" t="inlineStr">
        <is>
          <t>Southern Leyte|Hinunangan</t>
        </is>
      </c>
      <c r="B1437">
        <v>37564</v>
      </c>
      <c r="C1437">
        <v>40</v>
      </c>
    </row>
    <row r="1438" spans="1:3">
      <c r="A1438" t="inlineStr">
        <is>
          <t>Southern Leyte|Hinundayan</t>
        </is>
      </c>
      <c r="B1438">
        <v>37604</v>
      </c>
      <c r="C1438">
        <v>17</v>
      </c>
    </row>
    <row r="1439" spans="1:3">
      <c r="A1439" t="inlineStr">
        <is>
          <t>Southern Leyte|Libagon</t>
        </is>
      </c>
      <c r="B1439">
        <v>37621</v>
      </c>
      <c r="C1439">
        <v>14</v>
      </c>
    </row>
    <row r="1440" spans="1:3">
      <c r="A1440" t="inlineStr">
        <is>
          <t>Southern Leyte|Liloan</t>
        </is>
      </c>
      <c r="B1440">
        <v>37635</v>
      </c>
      <c r="C1440">
        <v>24</v>
      </c>
    </row>
    <row r="1441" spans="1:3">
      <c r="A1441" t="inlineStr">
        <is>
          <t>Southern Leyte|Limasawa</t>
        </is>
      </c>
      <c r="B1441">
        <v>37659</v>
      </c>
      <c r="C1441">
        <v>6</v>
      </c>
    </row>
    <row r="1442" spans="1:3">
      <c r="A1442" t="inlineStr">
        <is>
          <t>Southern Leyte|Macrohon</t>
        </is>
      </c>
      <c r="B1442">
        <v>37665</v>
      </c>
      <c r="C1442">
        <v>30</v>
      </c>
    </row>
    <row r="1443" spans="1:3">
      <c r="A1443" t="inlineStr">
        <is>
          <t>Southern Leyte|Malitbog</t>
        </is>
      </c>
      <c r="B1443">
        <v>37695</v>
      </c>
      <c r="C1443">
        <v>37</v>
      </c>
    </row>
    <row r="1444" spans="1:3">
      <c r="A1444" t="inlineStr">
        <is>
          <t>Southern Leyte|Padre Burgos</t>
        </is>
      </c>
      <c r="B1444">
        <v>37732</v>
      </c>
      <c r="C1444">
        <v>11</v>
      </c>
    </row>
    <row r="1445" spans="1:3">
      <c r="A1445" t="inlineStr">
        <is>
          <t>Southern Leyte|Pintuyan</t>
        </is>
      </c>
      <c r="B1445">
        <v>37743</v>
      </c>
      <c r="C1445">
        <v>23</v>
      </c>
    </row>
    <row r="1446" spans="1:3">
      <c r="A1446" t="inlineStr">
        <is>
          <t>Southern Leyte|Saint Bernard</t>
        </is>
      </c>
      <c r="B1446">
        <v>37766</v>
      </c>
      <c r="C1446">
        <v>30</v>
      </c>
    </row>
    <row r="1447" spans="1:3">
      <c r="A1447" t="inlineStr">
        <is>
          <t>Southern Leyte|San Francisco</t>
        </is>
      </c>
      <c r="B1447">
        <v>37796</v>
      </c>
      <c r="C1447">
        <v>22</v>
      </c>
    </row>
    <row r="1448" spans="1:3">
      <c r="A1448" t="inlineStr">
        <is>
          <t>Southern Leyte|San Juan</t>
        </is>
      </c>
      <c r="B1448">
        <v>37818</v>
      </c>
      <c r="C1448">
        <v>18</v>
      </c>
    </row>
    <row r="1449" spans="1:3">
      <c r="A1449" t="inlineStr">
        <is>
          <t>Southern Leyte|San Ricardo</t>
        </is>
      </c>
      <c r="B1449">
        <v>37836</v>
      </c>
      <c r="C1449">
        <v>15</v>
      </c>
    </row>
    <row r="1450" spans="1:3">
      <c r="A1450" t="inlineStr">
        <is>
          <t>Southern Leyte|Silago</t>
        </is>
      </c>
      <c r="B1450">
        <v>37851</v>
      </c>
      <c r="C1450">
        <v>15</v>
      </c>
    </row>
    <row r="1451" spans="1:3">
      <c r="A1451" t="inlineStr">
        <is>
          <t>Southern Leyte|Sogod</t>
        </is>
      </c>
      <c r="B1451">
        <v>37866</v>
      </c>
      <c r="C1451">
        <v>45</v>
      </c>
    </row>
    <row r="1452" spans="1:3">
      <c r="A1452" t="inlineStr">
        <is>
          <t>Southern Leyte|Tomas Oppus</t>
        </is>
      </c>
      <c r="B1452">
        <v>37911</v>
      </c>
      <c r="C1452">
        <v>29</v>
      </c>
    </row>
    <row r="1453" spans="1:3">
      <c r="A1453" t="inlineStr">
        <is>
          <t>Special Geographic Area|Kadayangan</t>
        </is>
      </c>
      <c r="B1453">
        <v>37940</v>
      </c>
      <c r="C1453">
        <v>7</v>
      </c>
    </row>
    <row r="1454" spans="1:3">
      <c r="A1454" t="inlineStr">
        <is>
          <t>Special Geographic Area|Kapalawan</t>
        </is>
      </c>
      <c r="B1454">
        <v>37947</v>
      </c>
      <c r="C1454">
        <v>7</v>
      </c>
    </row>
    <row r="1455" spans="1:3">
      <c r="A1455" t="inlineStr">
        <is>
          <t>Special Geographic Area|Ligawasan</t>
        </is>
      </c>
      <c r="B1455">
        <v>37954</v>
      </c>
      <c r="C1455">
        <v>7</v>
      </c>
    </row>
    <row r="1456" spans="1:3">
      <c r="A1456" t="inlineStr">
        <is>
          <t>Special Geographic Area|Malidegao</t>
        </is>
      </c>
      <c r="B1456">
        <v>37961</v>
      </c>
      <c r="C1456">
        <v>7</v>
      </c>
    </row>
    <row r="1457" spans="1:3">
      <c r="A1457" t="inlineStr">
        <is>
          <t>Special Geographic Area|Nabalawag</t>
        </is>
      </c>
      <c r="B1457">
        <v>37968</v>
      </c>
      <c r="C1457">
        <v>7</v>
      </c>
    </row>
    <row r="1458" spans="1:3">
      <c r="A1458" t="inlineStr">
        <is>
          <t>Special Geographic Area|Old Kaabakan</t>
        </is>
      </c>
      <c r="B1458">
        <v>37975</v>
      </c>
      <c r="C1458">
        <v>7</v>
      </c>
    </row>
    <row r="1459" spans="1:3">
      <c r="A1459" t="inlineStr">
        <is>
          <t>Special Geographic Area|Pahamuddin</t>
        </is>
      </c>
      <c r="B1459">
        <v>37982</v>
      </c>
      <c r="C1459">
        <v>12</v>
      </c>
    </row>
    <row r="1460" spans="1:3">
      <c r="A1460" t="inlineStr">
        <is>
          <t>Special Geographic Area|Tugunan</t>
        </is>
      </c>
      <c r="B1460">
        <v>37994</v>
      </c>
      <c r="C1460">
        <v>9</v>
      </c>
    </row>
    <row r="1461" spans="1:3">
      <c r="A1461" t="inlineStr">
        <is>
          <t>Sultan Kudarat|Bagumbayan</t>
        </is>
      </c>
      <c r="B1461">
        <v>38003</v>
      </c>
      <c r="C1461">
        <v>19</v>
      </c>
    </row>
    <row r="1462" spans="1:3">
      <c r="A1462" t="inlineStr">
        <is>
          <t>Sultan Kudarat|City of Tacurong</t>
        </is>
      </c>
      <c r="B1462">
        <v>38022</v>
      </c>
      <c r="C1462">
        <v>20</v>
      </c>
    </row>
    <row r="1463" spans="1:3">
      <c r="A1463" t="inlineStr">
        <is>
          <t>Sultan Kudarat|Columbio</t>
        </is>
      </c>
      <c r="B1463">
        <v>38042</v>
      </c>
      <c r="C1463">
        <v>16</v>
      </c>
    </row>
    <row r="1464" spans="1:3">
      <c r="A1464" t="inlineStr">
        <is>
          <t>Sultan Kudarat|Esperanza</t>
        </is>
      </c>
      <c r="B1464">
        <v>38058</v>
      </c>
      <c r="C1464">
        <v>19</v>
      </c>
    </row>
    <row r="1465" spans="1:3">
      <c r="A1465" t="inlineStr">
        <is>
          <t>Sultan Kudarat|Isulan</t>
        </is>
      </c>
      <c r="B1465">
        <v>38077</v>
      </c>
      <c r="C1465">
        <v>17</v>
      </c>
    </row>
    <row r="1466" spans="1:3">
      <c r="A1466" t="inlineStr">
        <is>
          <t>Sultan Kudarat|Kalamansig</t>
        </is>
      </c>
      <c r="B1466">
        <v>38094</v>
      </c>
      <c r="C1466">
        <v>15</v>
      </c>
    </row>
    <row r="1467" spans="1:3">
      <c r="A1467" t="inlineStr">
        <is>
          <t>Sultan Kudarat|Lambayong</t>
        </is>
      </c>
      <c r="B1467">
        <v>38109</v>
      </c>
      <c r="C1467">
        <v>26</v>
      </c>
    </row>
    <row r="1468" spans="1:3">
      <c r="A1468" t="inlineStr">
        <is>
          <t>Sultan Kudarat|Lebak</t>
        </is>
      </c>
      <c r="B1468">
        <v>38135</v>
      </c>
      <c r="C1468">
        <v>27</v>
      </c>
    </row>
    <row r="1469" spans="1:3">
      <c r="A1469" t="inlineStr">
        <is>
          <t>Sultan Kudarat|Lutayan</t>
        </is>
      </c>
      <c r="B1469">
        <v>38162</v>
      </c>
      <c r="C1469">
        <v>11</v>
      </c>
    </row>
    <row r="1470" spans="1:3">
      <c r="A1470" t="inlineStr">
        <is>
          <t>Sultan Kudarat|Palimbang</t>
        </is>
      </c>
      <c r="B1470">
        <v>38173</v>
      </c>
      <c r="C1470">
        <v>40</v>
      </c>
    </row>
    <row r="1471" spans="1:3">
      <c r="A1471" t="inlineStr">
        <is>
          <t>Sultan Kudarat|President Quirino</t>
        </is>
      </c>
      <c r="B1471">
        <v>38213</v>
      </c>
      <c r="C1471">
        <v>19</v>
      </c>
    </row>
    <row r="1472" spans="1:3">
      <c r="A1472" t="inlineStr">
        <is>
          <t>Sultan Kudarat|Sen. Ninoy Aquino</t>
        </is>
      </c>
      <c r="B1472">
        <v>38232</v>
      </c>
      <c r="C1472">
        <v>20</v>
      </c>
    </row>
    <row r="1473" spans="1:3">
      <c r="A1473" t="inlineStr">
        <is>
          <t>Sulu|Hadji Panglima Tahil</t>
        </is>
      </c>
      <c r="B1473">
        <v>38252</v>
      </c>
      <c r="C1473">
        <v>5</v>
      </c>
    </row>
    <row r="1474" spans="1:3">
      <c r="A1474" t="inlineStr">
        <is>
          <t>Sulu|Indanan</t>
        </is>
      </c>
      <c r="B1474">
        <v>38257</v>
      </c>
      <c r="C1474">
        <v>34</v>
      </c>
    </row>
    <row r="1475" spans="1:3">
      <c r="A1475" t="inlineStr">
        <is>
          <t>Sulu|Jolo</t>
        </is>
      </c>
      <c r="B1475">
        <v>38291</v>
      </c>
      <c r="C1475">
        <v>8</v>
      </c>
    </row>
    <row r="1476" spans="1:3">
      <c r="A1476" t="inlineStr">
        <is>
          <t>Sulu|Kalingalan Caluang</t>
        </is>
      </c>
      <c r="B1476">
        <v>38299</v>
      </c>
      <c r="C1476">
        <v>9</v>
      </c>
    </row>
    <row r="1477" spans="1:3">
      <c r="A1477" t="inlineStr">
        <is>
          <t>Sulu|Lugus</t>
        </is>
      </c>
      <c r="B1477">
        <v>38308</v>
      </c>
      <c r="C1477">
        <v>17</v>
      </c>
    </row>
    <row r="1478" spans="1:3">
      <c r="A1478" t="inlineStr">
        <is>
          <t>Sulu|Luuk</t>
        </is>
      </c>
      <c r="B1478">
        <v>38325</v>
      </c>
      <c r="C1478">
        <v>12</v>
      </c>
    </row>
    <row r="1479" spans="1:3">
      <c r="A1479" t="inlineStr">
        <is>
          <t>Sulu|Maimbung</t>
        </is>
      </c>
      <c r="B1479">
        <v>38337</v>
      </c>
      <c r="C1479">
        <v>27</v>
      </c>
    </row>
    <row r="1480" spans="1:3">
      <c r="A1480" t="inlineStr">
        <is>
          <t>Sulu|Old Panamao</t>
        </is>
      </c>
      <c r="B1480">
        <v>38364</v>
      </c>
      <c r="C1480">
        <v>31</v>
      </c>
    </row>
    <row r="1481" spans="1:3">
      <c r="A1481" t="inlineStr">
        <is>
          <t>Sulu|Omar</t>
        </is>
      </c>
      <c r="B1481">
        <v>38395</v>
      </c>
      <c r="C1481">
        <v>8</v>
      </c>
    </row>
    <row r="1482" spans="1:3">
      <c r="A1482" t="inlineStr">
        <is>
          <t>Sulu|Pandami</t>
        </is>
      </c>
      <c r="B1482">
        <v>38403</v>
      </c>
      <c r="C1482">
        <v>16</v>
      </c>
    </row>
    <row r="1483" spans="1:3">
      <c r="A1483" t="inlineStr">
        <is>
          <t>Sulu|Panglima Estino</t>
        </is>
      </c>
      <c r="B1483">
        <v>38419</v>
      </c>
      <c r="C1483">
        <v>12</v>
      </c>
    </row>
    <row r="1484" spans="1:3">
      <c r="A1484" t="inlineStr">
        <is>
          <t>Sulu|Pangutaran</t>
        </is>
      </c>
      <c r="B1484">
        <v>38431</v>
      </c>
      <c r="C1484">
        <v>16</v>
      </c>
    </row>
    <row r="1485" spans="1:3">
      <c r="A1485" t="inlineStr">
        <is>
          <t>Sulu|Parang</t>
        </is>
      </c>
      <c r="B1485">
        <v>38447</v>
      </c>
      <c r="C1485">
        <v>40</v>
      </c>
    </row>
    <row r="1486" spans="1:3">
      <c r="A1486" t="inlineStr">
        <is>
          <t>Sulu|Pata</t>
        </is>
      </c>
      <c r="B1486">
        <v>38487</v>
      </c>
      <c r="C1486">
        <v>14</v>
      </c>
    </row>
    <row r="1487" spans="1:3">
      <c r="A1487" t="inlineStr">
        <is>
          <t>Sulu|Patikul</t>
        </is>
      </c>
      <c r="B1487">
        <v>38501</v>
      </c>
      <c r="C1487">
        <v>30</v>
      </c>
    </row>
    <row r="1488" spans="1:3">
      <c r="A1488" t="inlineStr">
        <is>
          <t>Sulu|Siasi</t>
        </is>
      </c>
      <c r="B1488">
        <v>38531</v>
      </c>
      <c r="C1488">
        <v>50</v>
      </c>
    </row>
    <row r="1489" spans="1:3">
      <c r="A1489" t="inlineStr">
        <is>
          <t>Sulu|Talipao</t>
        </is>
      </c>
      <c r="B1489">
        <v>38581</v>
      </c>
      <c r="C1489">
        <v>52</v>
      </c>
    </row>
    <row r="1490" spans="1:3">
      <c r="A1490" t="inlineStr">
        <is>
          <t>Sulu|Tapul</t>
        </is>
      </c>
      <c r="B1490">
        <v>38633</v>
      </c>
      <c r="C1490">
        <v>15</v>
      </c>
    </row>
    <row r="1491" spans="1:3">
      <c r="A1491" t="inlineStr">
        <is>
          <t>Sulu|Tongkil</t>
        </is>
      </c>
      <c r="B1491">
        <v>38648</v>
      </c>
      <c r="C1491">
        <v>14</v>
      </c>
    </row>
    <row r="1492" spans="1:3">
      <c r="A1492" t="inlineStr">
        <is>
          <t>Surigao del Norte|Alegria</t>
        </is>
      </c>
      <c r="B1492">
        <v>38662</v>
      </c>
      <c r="C1492">
        <v>12</v>
      </c>
    </row>
    <row r="1493" spans="1:3">
      <c r="A1493" t="inlineStr">
        <is>
          <t>Surigao del Norte|Bacuag</t>
        </is>
      </c>
      <c r="B1493">
        <v>38674</v>
      </c>
      <c r="C1493">
        <v>9</v>
      </c>
    </row>
    <row r="1494" spans="1:3">
      <c r="A1494" t="inlineStr">
        <is>
          <t>Surigao del Norte|Burgos</t>
        </is>
      </c>
      <c r="B1494">
        <v>38683</v>
      </c>
      <c r="C1494">
        <v>6</v>
      </c>
    </row>
    <row r="1495" spans="1:3">
      <c r="A1495" t="inlineStr">
        <is>
          <t>Surigao del Norte|City of Surigao</t>
        </is>
      </c>
      <c r="B1495">
        <v>38689</v>
      </c>
      <c r="C1495">
        <v>54</v>
      </c>
    </row>
    <row r="1496" spans="1:3">
      <c r="A1496" t="inlineStr">
        <is>
          <t>Surigao del Norte|Claver</t>
        </is>
      </c>
      <c r="B1496">
        <v>38743</v>
      </c>
      <c r="C1496">
        <v>14</v>
      </c>
    </row>
    <row r="1497" spans="1:3">
      <c r="A1497" t="inlineStr">
        <is>
          <t>Surigao del Norte|Dapa</t>
        </is>
      </c>
      <c r="B1497">
        <v>38757</v>
      </c>
      <c r="C1497">
        <v>29</v>
      </c>
    </row>
    <row r="1498" spans="1:3">
      <c r="A1498" t="inlineStr">
        <is>
          <t>Surigao del Norte|Del Carmen</t>
        </is>
      </c>
      <c r="B1498">
        <v>38786</v>
      </c>
      <c r="C1498">
        <v>20</v>
      </c>
    </row>
    <row r="1499" spans="1:3">
      <c r="A1499" t="inlineStr">
        <is>
          <t>Surigao del Norte|General Luna</t>
        </is>
      </c>
      <c r="B1499">
        <v>38806</v>
      </c>
      <c r="C1499">
        <v>19</v>
      </c>
    </row>
    <row r="1500" spans="1:3">
      <c r="A1500" t="inlineStr">
        <is>
          <t>Surigao del Norte|Gigaquit</t>
        </is>
      </c>
      <c r="B1500">
        <v>38825</v>
      </c>
      <c r="C1500">
        <v>13</v>
      </c>
    </row>
    <row r="1501" spans="1:3">
      <c r="A1501" t="inlineStr">
        <is>
          <t>Surigao del Norte|Mainit</t>
        </is>
      </c>
      <c r="B1501">
        <v>38838</v>
      </c>
      <c r="C1501">
        <v>21</v>
      </c>
    </row>
    <row r="1502" spans="1:3">
      <c r="A1502" t="inlineStr">
        <is>
          <t>Surigao del Norte|Malimono</t>
        </is>
      </c>
      <c r="B1502">
        <v>38859</v>
      </c>
      <c r="C1502">
        <v>14</v>
      </c>
    </row>
    <row r="1503" spans="1:3">
      <c r="A1503" t="inlineStr">
        <is>
          <t>Surigao del Norte|Pilar</t>
        </is>
      </c>
      <c r="B1503">
        <v>38873</v>
      </c>
      <c r="C1503">
        <v>15</v>
      </c>
    </row>
    <row r="1504" spans="1:3">
      <c r="A1504" t="inlineStr">
        <is>
          <t>Surigao del Norte|Placer</t>
        </is>
      </c>
      <c r="B1504">
        <v>38888</v>
      </c>
      <c r="C1504">
        <v>20</v>
      </c>
    </row>
    <row r="1505" spans="1:3">
      <c r="A1505" t="inlineStr">
        <is>
          <t>Surigao del Norte|San Benito</t>
        </is>
      </c>
      <c r="B1505">
        <v>38908</v>
      </c>
      <c r="C1505">
        <v>6</v>
      </c>
    </row>
    <row r="1506" spans="1:3">
      <c r="A1506" t="inlineStr">
        <is>
          <t>Surigao del Norte|San Francisco</t>
        </is>
      </c>
      <c r="B1506">
        <v>38914</v>
      </c>
      <c r="C1506">
        <v>11</v>
      </c>
    </row>
    <row r="1507" spans="1:3">
      <c r="A1507" t="inlineStr">
        <is>
          <t>Surigao del Norte|San Isidro</t>
        </is>
      </c>
      <c r="B1507">
        <v>38925</v>
      </c>
      <c r="C1507">
        <v>12</v>
      </c>
    </row>
    <row r="1508" spans="1:3">
      <c r="A1508" t="inlineStr">
        <is>
          <t>Surigao del Norte|Santa Monica</t>
        </is>
      </c>
      <c r="B1508">
        <v>38937</v>
      </c>
      <c r="C1508">
        <v>11</v>
      </c>
    </row>
    <row r="1509" spans="1:3">
      <c r="A1509" t="inlineStr">
        <is>
          <t>Surigao del Norte|Sison</t>
        </is>
      </c>
      <c r="B1509">
        <v>38948</v>
      </c>
      <c r="C1509">
        <v>12</v>
      </c>
    </row>
    <row r="1510" spans="1:3">
      <c r="A1510" t="inlineStr">
        <is>
          <t>Surigao del Norte|Socorro</t>
        </is>
      </c>
      <c r="B1510">
        <v>38960</v>
      </c>
      <c r="C1510">
        <v>14</v>
      </c>
    </row>
    <row r="1511" spans="1:3">
      <c r="A1511" t="inlineStr">
        <is>
          <t>Surigao del Norte|Tagana-An</t>
        </is>
      </c>
      <c r="B1511">
        <v>38974</v>
      </c>
      <c r="C1511">
        <v>14</v>
      </c>
    </row>
    <row r="1512" spans="1:3">
      <c r="A1512" t="inlineStr">
        <is>
          <t>Surigao del Norte|Tubod</t>
        </is>
      </c>
      <c r="B1512">
        <v>38988</v>
      </c>
      <c r="C1512">
        <v>9</v>
      </c>
    </row>
    <row r="1513" spans="1:3">
      <c r="A1513" t="inlineStr">
        <is>
          <t>Surigao del Sur|Barobo</t>
        </is>
      </c>
      <c r="B1513">
        <v>38997</v>
      </c>
      <c r="C1513">
        <v>22</v>
      </c>
    </row>
    <row r="1514" spans="1:3">
      <c r="A1514" t="inlineStr">
        <is>
          <t>Surigao del Sur|Bayabas</t>
        </is>
      </c>
      <c r="B1514">
        <v>39019</v>
      </c>
      <c r="C1514">
        <v>7</v>
      </c>
    </row>
    <row r="1515" spans="1:3">
      <c r="A1515" t="inlineStr">
        <is>
          <t>Surigao del Sur|Cagwait</t>
        </is>
      </c>
      <c r="B1515">
        <v>39026</v>
      </c>
      <c r="C1515">
        <v>11</v>
      </c>
    </row>
    <row r="1516" spans="1:3">
      <c r="A1516" t="inlineStr">
        <is>
          <t>Surigao del Sur|Cantilan</t>
        </is>
      </c>
      <c r="B1516">
        <v>39037</v>
      </c>
      <c r="C1516">
        <v>17</v>
      </c>
    </row>
    <row r="1517" spans="1:3">
      <c r="A1517" t="inlineStr">
        <is>
          <t>Surigao del Sur|Carmen</t>
        </is>
      </c>
      <c r="B1517">
        <v>39054</v>
      </c>
      <c r="C1517">
        <v>8</v>
      </c>
    </row>
    <row r="1518" spans="1:3">
      <c r="A1518" t="inlineStr">
        <is>
          <t>Surigao del Sur|Carrascal</t>
        </is>
      </c>
      <c r="B1518">
        <v>39062</v>
      </c>
      <c r="C1518">
        <v>14</v>
      </c>
    </row>
    <row r="1519" spans="1:3">
      <c r="A1519" t="inlineStr">
        <is>
          <t>Surigao del Sur|City of Bislig</t>
        </is>
      </c>
      <c r="B1519">
        <v>39076</v>
      </c>
      <c r="C1519">
        <v>24</v>
      </c>
    </row>
    <row r="1520" spans="1:3">
      <c r="A1520" t="inlineStr">
        <is>
          <t>Surigao del Sur|City of Tandag</t>
        </is>
      </c>
      <c r="B1520">
        <v>39100</v>
      </c>
      <c r="C1520">
        <v>21</v>
      </c>
    </row>
    <row r="1521" spans="1:3">
      <c r="A1521" t="inlineStr">
        <is>
          <t>Surigao del Sur|Cortes</t>
        </is>
      </c>
      <c r="B1521">
        <v>39121</v>
      </c>
      <c r="C1521">
        <v>12</v>
      </c>
    </row>
    <row r="1522" spans="1:3">
      <c r="A1522" t="inlineStr">
        <is>
          <t>Surigao del Sur|Hinatuan</t>
        </is>
      </c>
      <c r="B1522">
        <v>39133</v>
      </c>
      <c r="C1522">
        <v>24</v>
      </c>
    </row>
    <row r="1523" spans="1:3">
      <c r="A1523" t="inlineStr">
        <is>
          <t>Surigao del Sur|Lanuza</t>
        </is>
      </c>
      <c r="B1523">
        <v>39157</v>
      </c>
      <c r="C1523">
        <v>13</v>
      </c>
    </row>
    <row r="1524" spans="1:3">
      <c r="A1524" t="inlineStr">
        <is>
          <t>Surigao del Sur|Lianga</t>
        </is>
      </c>
      <c r="B1524">
        <v>39170</v>
      </c>
      <c r="C1524">
        <v>13</v>
      </c>
    </row>
    <row r="1525" spans="1:3">
      <c r="A1525" t="inlineStr">
        <is>
          <t>Surigao del Sur|Lingig</t>
        </is>
      </c>
      <c r="B1525">
        <v>39183</v>
      </c>
      <c r="C1525">
        <v>18</v>
      </c>
    </row>
    <row r="1526" spans="1:3">
      <c r="A1526" t="inlineStr">
        <is>
          <t>Surigao del Sur|Madrid</t>
        </is>
      </c>
      <c r="B1526">
        <v>39201</v>
      </c>
      <c r="C1526">
        <v>14</v>
      </c>
    </row>
    <row r="1527" spans="1:3">
      <c r="A1527" t="inlineStr">
        <is>
          <t>Surigao del Sur|Marihatag</t>
        </is>
      </c>
      <c r="B1527">
        <v>39215</v>
      </c>
      <c r="C1527">
        <v>12</v>
      </c>
    </row>
    <row r="1528" spans="1:3">
      <c r="A1528" t="inlineStr">
        <is>
          <t>Surigao del Sur|San Agustin</t>
        </is>
      </c>
      <c r="B1528">
        <v>39227</v>
      </c>
      <c r="C1528">
        <v>13</v>
      </c>
    </row>
    <row r="1529" spans="1:3">
      <c r="A1529" t="inlineStr">
        <is>
          <t>Surigao del Sur|San Miguel</t>
        </is>
      </c>
      <c r="B1529">
        <v>39240</v>
      </c>
      <c r="C1529">
        <v>18</v>
      </c>
    </row>
    <row r="1530" spans="1:3">
      <c r="A1530" t="inlineStr">
        <is>
          <t>Surigao del Sur|Tagbina</t>
        </is>
      </c>
      <c r="B1530">
        <v>39258</v>
      </c>
      <c r="C1530">
        <v>25</v>
      </c>
    </row>
    <row r="1531" spans="1:3">
      <c r="A1531" t="inlineStr">
        <is>
          <t>Surigao del Sur|Tago</t>
        </is>
      </c>
      <c r="B1531">
        <v>39283</v>
      </c>
      <c r="C1531">
        <v>24</v>
      </c>
    </row>
    <row r="1532" spans="1:3">
      <c r="A1532" t="inlineStr">
        <is>
          <t>Tarlac|Anao</t>
        </is>
      </c>
      <c r="B1532">
        <v>39307</v>
      </c>
      <c r="C1532">
        <v>18</v>
      </c>
    </row>
    <row r="1533" spans="1:3">
      <c r="A1533" t="inlineStr">
        <is>
          <t>Tarlac|Bamban</t>
        </is>
      </c>
      <c r="B1533">
        <v>39325</v>
      </c>
      <c r="C1533">
        <v>15</v>
      </c>
    </row>
    <row r="1534" spans="1:3">
      <c r="A1534" t="inlineStr">
        <is>
          <t>Tarlac|Camiling</t>
        </is>
      </c>
      <c r="B1534">
        <v>39340</v>
      </c>
      <c r="C1534">
        <v>61</v>
      </c>
    </row>
    <row r="1535" spans="1:3">
      <c r="A1535" t="inlineStr">
        <is>
          <t>Tarlac|Capas</t>
        </is>
      </c>
      <c r="B1535">
        <v>39401</v>
      </c>
      <c r="C1535">
        <v>20</v>
      </c>
    </row>
    <row r="1536" spans="1:3">
      <c r="A1536" t="inlineStr">
        <is>
          <t>Tarlac|City of Tarlac</t>
        </is>
      </c>
      <c r="B1536">
        <v>39421</v>
      </c>
      <c r="C1536">
        <v>76</v>
      </c>
    </row>
    <row r="1537" spans="1:3">
      <c r="A1537" t="inlineStr">
        <is>
          <t>Tarlac|Concepcion</t>
        </is>
      </c>
      <c r="B1537">
        <v>39497</v>
      </c>
      <c r="C1537">
        <v>45</v>
      </c>
    </row>
    <row r="1538" spans="1:3">
      <c r="A1538" t="inlineStr">
        <is>
          <t>Tarlac|Gerona</t>
        </is>
      </c>
      <c r="B1538">
        <v>39542</v>
      </c>
      <c r="C1538">
        <v>44</v>
      </c>
    </row>
    <row r="1539" spans="1:3">
      <c r="A1539" t="inlineStr">
        <is>
          <t>Tarlac|La Paz</t>
        </is>
      </c>
      <c r="B1539">
        <v>39586</v>
      </c>
      <c r="C1539">
        <v>21</v>
      </c>
    </row>
    <row r="1540" spans="1:3">
      <c r="A1540" t="inlineStr">
        <is>
          <t>Tarlac|Mayantoc</t>
        </is>
      </c>
      <c r="B1540">
        <v>39607</v>
      </c>
      <c r="C1540">
        <v>24</v>
      </c>
    </row>
    <row r="1541" spans="1:3">
      <c r="A1541" t="inlineStr">
        <is>
          <t>Tarlac|Moncada</t>
        </is>
      </c>
      <c r="B1541">
        <v>39631</v>
      </c>
      <c r="C1541">
        <v>37</v>
      </c>
    </row>
    <row r="1542" spans="1:3">
      <c r="A1542" t="inlineStr">
        <is>
          <t>Tarlac|Paniqui</t>
        </is>
      </c>
      <c r="B1542">
        <v>39668</v>
      </c>
      <c r="C1542">
        <v>35</v>
      </c>
    </row>
    <row r="1543" spans="1:3">
      <c r="A1543" t="inlineStr">
        <is>
          <t>Tarlac|Pura</t>
        </is>
      </c>
      <c r="B1543">
        <v>39703</v>
      </c>
      <c r="C1543">
        <v>16</v>
      </c>
    </row>
    <row r="1544" spans="1:3">
      <c r="A1544" t="inlineStr">
        <is>
          <t>Tarlac|Ramos</t>
        </is>
      </c>
      <c r="B1544">
        <v>39719</v>
      </c>
      <c r="C1544">
        <v>9</v>
      </c>
    </row>
    <row r="1545" spans="1:3">
      <c r="A1545" t="inlineStr">
        <is>
          <t>Tarlac|San Clemente</t>
        </is>
      </c>
      <c r="B1545">
        <v>39728</v>
      </c>
      <c r="C1545">
        <v>12</v>
      </c>
    </row>
    <row r="1546" spans="1:3">
      <c r="A1546" t="inlineStr">
        <is>
          <t>Tarlac|San Jose</t>
        </is>
      </c>
      <c r="B1546">
        <v>39740</v>
      </c>
      <c r="C1546">
        <v>13</v>
      </c>
    </row>
    <row r="1547" spans="1:3">
      <c r="A1547" t="inlineStr">
        <is>
          <t>Tarlac|San Manuel</t>
        </is>
      </c>
      <c r="B1547">
        <v>39753</v>
      </c>
      <c r="C1547">
        <v>15</v>
      </c>
    </row>
    <row r="1548" spans="1:3">
      <c r="A1548" t="inlineStr">
        <is>
          <t>Tarlac|Santa Ignacia</t>
        </is>
      </c>
      <c r="B1548">
        <v>39768</v>
      </c>
      <c r="C1548">
        <v>24</v>
      </c>
    </row>
    <row r="1549" spans="1:3">
      <c r="A1549" t="inlineStr">
        <is>
          <t>Tarlac|Victoria</t>
        </is>
      </c>
      <c r="B1549">
        <v>39792</v>
      </c>
      <c r="C1549">
        <v>26</v>
      </c>
    </row>
    <row r="1550" spans="1:3">
      <c r="A1550" t="inlineStr">
        <is>
          <t>Tawi-Tawi|Bongao</t>
        </is>
      </c>
      <c r="B1550">
        <v>39818</v>
      </c>
      <c r="C1550">
        <v>35</v>
      </c>
    </row>
    <row r="1551" spans="1:3">
      <c r="A1551" t="inlineStr">
        <is>
          <t>Tawi-Tawi|Languyan</t>
        </is>
      </c>
      <c r="B1551">
        <v>39853</v>
      </c>
      <c r="C1551">
        <v>20</v>
      </c>
    </row>
    <row r="1552" spans="1:3">
      <c r="A1552" t="inlineStr">
        <is>
          <t>Tawi-Tawi|Mapun</t>
        </is>
      </c>
      <c r="B1552">
        <v>39873</v>
      </c>
      <c r="C1552">
        <v>15</v>
      </c>
    </row>
    <row r="1553" spans="1:3">
      <c r="A1553" t="inlineStr">
        <is>
          <t>Tawi-Tawi|Panglima Sugala</t>
        </is>
      </c>
      <c r="B1553">
        <v>39888</v>
      </c>
      <c r="C1553">
        <v>17</v>
      </c>
    </row>
    <row r="1554" spans="1:3">
      <c r="A1554" t="inlineStr">
        <is>
          <t>Tawi-Tawi|Sapa-Sapa</t>
        </is>
      </c>
      <c r="B1554">
        <v>39905</v>
      </c>
      <c r="C1554">
        <v>23</v>
      </c>
    </row>
    <row r="1555" spans="1:3">
      <c r="A1555" t="inlineStr">
        <is>
          <t>Tawi-Tawi|Sibutu</t>
        </is>
      </c>
      <c r="B1555">
        <v>39928</v>
      </c>
      <c r="C1555">
        <v>16</v>
      </c>
    </row>
    <row r="1556" spans="1:3">
      <c r="A1556" t="inlineStr">
        <is>
          <t>Tawi-Tawi|Simunul</t>
        </is>
      </c>
      <c r="B1556">
        <v>39944</v>
      </c>
      <c r="C1556">
        <v>15</v>
      </c>
    </row>
    <row r="1557" spans="1:3">
      <c r="A1557" t="inlineStr">
        <is>
          <t>Tawi-Tawi|Sitangkai</t>
        </is>
      </c>
      <c r="B1557">
        <v>39959</v>
      </c>
      <c r="C1557">
        <v>9</v>
      </c>
    </row>
    <row r="1558" spans="1:3">
      <c r="A1558" t="inlineStr">
        <is>
          <t>Tawi-Tawi|South Ubian</t>
        </is>
      </c>
      <c r="B1558">
        <v>39968</v>
      </c>
      <c r="C1558">
        <v>31</v>
      </c>
    </row>
    <row r="1559" spans="1:3">
      <c r="A1559" t="inlineStr">
        <is>
          <t>Tawi-Tawi|Tandubas</t>
        </is>
      </c>
      <c r="B1559">
        <v>39999</v>
      </c>
      <c r="C1559">
        <v>20</v>
      </c>
    </row>
    <row r="1560" spans="1:3">
      <c r="A1560" t="inlineStr">
        <is>
          <t>Tawi-Tawi|Turtle Islands</t>
        </is>
      </c>
      <c r="B1560">
        <v>40019</v>
      </c>
      <c r="C1560">
        <v>2</v>
      </c>
    </row>
    <row r="1561" spans="1:3">
      <c r="A1561" t="inlineStr">
        <is>
          <t>Zambales|Botolan</t>
        </is>
      </c>
      <c r="B1561">
        <v>40021</v>
      </c>
      <c r="C1561">
        <v>31</v>
      </c>
    </row>
    <row r="1562" spans="1:3">
      <c r="A1562" t="inlineStr">
        <is>
          <t>Zambales|Cabangan</t>
        </is>
      </c>
      <c r="B1562">
        <v>40052</v>
      </c>
      <c r="C1562">
        <v>22</v>
      </c>
    </row>
    <row r="1563" spans="1:3">
      <c r="A1563" t="inlineStr">
        <is>
          <t>Zambales|Candelaria</t>
        </is>
      </c>
      <c r="B1563">
        <v>40074</v>
      </c>
      <c r="C1563">
        <v>16</v>
      </c>
    </row>
    <row r="1564" spans="1:3">
      <c r="A1564" t="inlineStr">
        <is>
          <t>Zambales|Castillejos</t>
        </is>
      </c>
      <c r="B1564">
        <v>40090</v>
      </c>
      <c r="C1564">
        <v>14</v>
      </c>
    </row>
    <row r="1565" spans="1:3">
      <c r="A1565" t="inlineStr">
        <is>
          <t>Zambales|Iba</t>
        </is>
      </c>
      <c r="B1565">
        <v>40104</v>
      </c>
      <c r="C1565">
        <v>14</v>
      </c>
    </row>
    <row r="1566" spans="1:3">
      <c r="A1566" t="inlineStr">
        <is>
          <t>Zambales|Masinloc</t>
        </is>
      </c>
      <c r="B1566">
        <v>40118</v>
      </c>
      <c r="C1566">
        <v>13</v>
      </c>
    </row>
    <row r="1567" spans="1:3">
      <c r="A1567" t="inlineStr">
        <is>
          <t>Zambales|Palauig</t>
        </is>
      </c>
      <c r="B1567">
        <v>40131</v>
      </c>
      <c r="C1567">
        <v>19</v>
      </c>
    </row>
    <row r="1568" spans="1:3">
      <c r="A1568" t="inlineStr">
        <is>
          <t>Zambales|San Antonio</t>
        </is>
      </c>
      <c r="B1568">
        <v>40150</v>
      </c>
      <c r="C1568">
        <v>14</v>
      </c>
    </row>
    <row r="1569" spans="1:3">
      <c r="A1569" t="inlineStr">
        <is>
          <t>Zambales|San Felipe</t>
        </is>
      </c>
      <c r="B1569">
        <v>40164</v>
      </c>
      <c r="C1569">
        <v>11</v>
      </c>
    </row>
    <row r="1570" spans="1:3">
      <c r="A1570" t="inlineStr">
        <is>
          <t>Zambales|San Marcelino</t>
        </is>
      </c>
      <c r="B1570">
        <v>40175</v>
      </c>
      <c r="C1570">
        <v>18</v>
      </c>
    </row>
    <row r="1571" spans="1:3">
      <c r="A1571" t="inlineStr">
        <is>
          <t>Zambales|San Narciso</t>
        </is>
      </c>
      <c r="B1571">
        <v>40193</v>
      </c>
      <c r="C1571">
        <v>17</v>
      </c>
    </row>
    <row r="1572" spans="1:3">
      <c r="A1572" t="inlineStr">
        <is>
          <t>Zambales|Santa Cruz</t>
        </is>
      </c>
      <c r="B1572">
        <v>40210</v>
      </c>
      <c r="C1572">
        <v>25</v>
      </c>
    </row>
    <row r="1573" spans="1:3">
      <c r="A1573" t="inlineStr">
        <is>
          <t>Zambales|Subic</t>
        </is>
      </c>
      <c r="B1573">
        <v>40235</v>
      </c>
      <c r="C1573">
        <v>16</v>
      </c>
    </row>
    <row r="1574" spans="1:3">
      <c r="A1574" t="inlineStr">
        <is>
          <t>Zamboanga del Norte|Baliguian</t>
        </is>
      </c>
      <c r="B1574">
        <v>40251</v>
      </c>
      <c r="C1574">
        <v>17</v>
      </c>
    </row>
    <row r="1575" spans="1:3">
      <c r="A1575" t="inlineStr">
        <is>
          <t>Zamboanga del Norte|City of Dapitan</t>
        </is>
      </c>
      <c r="B1575">
        <v>40268</v>
      </c>
      <c r="C1575">
        <v>50</v>
      </c>
    </row>
    <row r="1576" spans="1:3">
      <c r="A1576" t="inlineStr">
        <is>
          <t>Zamboanga del Norte|City of Dipolog</t>
        </is>
      </c>
      <c r="B1576">
        <v>40318</v>
      </c>
      <c r="C1576">
        <v>21</v>
      </c>
    </row>
    <row r="1577" spans="1:3">
      <c r="A1577" t="inlineStr">
        <is>
          <t>Zamboanga del Norte|Godod</t>
        </is>
      </c>
      <c r="B1577">
        <v>40339</v>
      </c>
      <c r="C1577">
        <v>17</v>
      </c>
    </row>
    <row r="1578" spans="1:3">
      <c r="A1578" t="inlineStr">
        <is>
          <t>Zamboanga del Norte|Gutalac</t>
        </is>
      </c>
      <c r="B1578">
        <v>40356</v>
      </c>
      <c r="C1578">
        <v>33</v>
      </c>
    </row>
    <row r="1579" spans="1:3">
      <c r="A1579" t="inlineStr">
        <is>
          <t>Zamboanga del Norte|Jose Dalman</t>
        </is>
      </c>
      <c r="B1579">
        <v>40389</v>
      </c>
      <c r="C1579">
        <v>18</v>
      </c>
    </row>
    <row r="1580" spans="1:3">
      <c r="A1580" t="inlineStr">
        <is>
          <t>Zamboanga del Norte|Kalawit</t>
        </is>
      </c>
      <c r="B1580">
        <v>40407</v>
      </c>
      <c r="C1580">
        <v>14</v>
      </c>
    </row>
    <row r="1581" spans="1:3">
      <c r="A1581" t="inlineStr">
        <is>
          <t>Zamboanga del Norte|Katipunan</t>
        </is>
      </c>
      <c r="B1581">
        <v>40421</v>
      </c>
      <c r="C1581">
        <v>30</v>
      </c>
    </row>
    <row r="1582" spans="1:3">
      <c r="A1582" t="inlineStr">
        <is>
          <t>Zamboanga del Norte|La Libertad</t>
        </is>
      </c>
      <c r="B1582">
        <v>40451</v>
      </c>
      <c r="C1582">
        <v>13</v>
      </c>
    </row>
    <row r="1583" spans="1:3">
      <c r="A1583" t="inlineStr">
        <is>
          <t>Zamboanga del Norte|Labason</t>
        </is>
      </c>
      <c r="B1583">
        <v>40464</v>
      </c>
      <c r="C1583">
        <v>20</v>
      </c>
    </row>
    <row r="1584" spans="1:3">
      <c r="A1584" t="inlineStr">
        <is>
          <t>Zamboanga del Norte|Leon T. Postigo</t>
        </is>
      </c>
      <c r="B1584">
        <v>40484</v>
      </c>
      <c r="C1584">
        <v>18</v>
      </c>
    </row>
    <row r="1585" spans="1:3">
      <c r="A1585" t="inlineStr">
        <is>
          <t>Zamboanga del Norte|Liloy</t>
        </is>
      </c>
      <c r="B1585">
        <v>40502</v>
      </c>
      <c r="C1585">
        <v>37</v>
      </c>
    </row>
    <row r="1586" spans="1:3">
      <c r="A1586" t="inlineStr">
        <is>
          <t>Zamboanga del Norte|Manukan</t>
        </is>
      </c>
      <c r="B1586">
        <v>40539</v>
      </c>
      <c r="C1586">
        <v>22</v>
      </c>
    </row>
    <row r="1587" spans="1:3">
      <c r="A1587" t="inlineStr">
        <is>
          <t>Zamboanga del Norte|Mutia</t>
        </is>
      </c>
      <c r="B1587">
        <v>40561</v>
      </c>
      <c r="C1587">
        <v>16</v>
      </c>
    </row>
    <row r="1588" spans="1:3">
      <c r="A1588" t="inlineStr">
        <is>
          <t>Zamboanga del Norte|Piñan</t>
        </is>
      </c>
      <c r="B1588">
        <v>40577</v>
      </c>
      <c r="C1588">
        <v>22</v>
      </c>
    </row>
    <row r="1589" spans="1:3">
      <c r="A1589" t="inlineStr">
        <is>
          <t>Zamboanga del Norte|Polanco</t>
        </is>
      </c>
      <c r="B1589">
        <v>40599</v>
      </c>
      <c r="C1589">
        <v>30</v>
      </c>
    </row>
    <row r="1590" spans="1:3">
      <c r="A1590" t="inlineStr">
        <is>
          <t>Zamboanga del Norte|Pres. Manuel A. Roxas</t>
        </is>
      </c>
      <c r="B1590">
        <v>40629</v>
      </c>
      <c r="C1590">
        <v>31</v>
      </c>
    </row>
    <row r="1591" spans="1:3">
      <c r="A1591" t="inlineStr">
        <is>
          <t>Zamboanga del Norte|Rizal</t>
        </is>
      </c>
      <c r="B1591">
        <v>40660</v>
      </c>
      <c r="C1591">
        <v>22</v>
      </c>
    </row>
    <row r="1592" spans="1:3">
      <c r="A1592" t="inlineStr">
        <is>
          <t>Zamboanga del Norte|Salug</t>
        </is>
      </c>
      <c r="B1592">
        <v>40682</v>
      </c>
      <c r="C1592">
        <v>23</v>
      </c>
    </row>
    <row r="1593" spans="1:3">
      <c r="A1593" t="inlineStr">
        <is>
          <t>Zamboanga del Norte|Sergio Osmeña Sr.</t>
        </is>
      </c>
      <c r="B1593">
        <v>40705</v>
      </c>
      <c r="C1593">
        <v>39</v>
      </c>
    </row>
    <row r="1594" spans="1:3">
      <c r="A1594" t="inlineStr">
        <is>
          <t>Zamboanga del Norte|Siayan</t>
        </is>
      </c>
      <c r="B1594">
        <v>40744</v>
      </c>
      <c r="C1594">
        <v>22</v>
      </c>
    </row>
    <row r="1595" spans="1:3">
      <c r="A1595" t="inlineStr">
        <is>
          <t>Zamboanga del Norte|Sibuco</t>
        </is>
      </c>
      <c r="B1595">
        <v>40766</v>
      </c>
      <c r="C1595">
        <v>28</v>
      </c>
    </row>
    <row r="1596" spans="1:3">
      <c r="A1596" t="inlineStr">
        <is>
          <t>Zamboanga del Norte|Sibutad</t>
        </is>
      </c>
      <c r="B1596">
        <v>40794</v>
      </c>
      <c r="C1596">
        <v>16</v>
      </c>
    </row>
    <row r="1597" spans="1:3">
      <c r="A1597" t="inlineStr">
        <is>
          <t>Zamboanga del Norte|Sindangan</t>
        </is>
      </c>
      <c r="B1597">
        <v>40810</v>
      </c>
      <c r="C1597">
        <v>52</v>
      </c>
    </row>
    <row r="1598" spans="1:3">
      <c r="A1598" t="inlineStr">
        <is>
          <t>Zamboanga del Norte|Siocon</t>
        </is>
      </c>
      <c r="B1598">
        <v>40862</v>
      </c>
      <c r="C1598">
        <v>26</v>
      </c>
    </row>
    <row r="1599" spans="1:3">
      <c r="A1599" t="inlineStr">
        <is>
          <t>Zamboanga del Norte|Sirawai</t>
        </is>
      </c>
      <c r="B1599">
        <v>40888</v>
      </c>
      <c r="C1599">
        <v>34</v>
      </c>
    </row>
    <row r="1600" spans="1:3">
      <c r="A1600" t="inlineStr">
        <is>
          <t>Zamboanga del Norte|Tampilisan</t>
        </is>
      </c>
      <c r="B1600">
        <v>40922</v>
      </c>
      <c r="C1600">
        <v>20</v>
      </c>
    </row>
    <row r="1601" spans="1:3">
      <c r="A1601" t="inlineStr">
        <is>
          <t>Zamboanga del Sur|Aurora</t>
        </is>
      </c>
      <c r="B1601">
        <v>40942</v>
      </c>
      <c r="C1601">
        <v>44</v>
      </c>
    </row>
    <row r="1602" spans="1:3">
      <c r="A1602" t="inlineStr">
        <is>
          <t>Zamboanga del Sur|Bayog</t>
        </is>
      </c>
      <c r="B1602">
        <v>40986</v>
      </c>
      <c r="C1602">
        <v>28</v>
      </c>
    </row>
    <row r="1603" spans="1:3">
      <c r="A1603" t="inlineStr">
        <is>
          <t>Zamboanga del Sur|City of Pagadian</t>
        </is>
      </c>
      <c r="B1603">
        <v>41014</v>
      </c>
      <c r="C1603">
        <v>54</v>
      </c>
    </row>
    <row r="1604" spans="1:3">
      <c r="A1604" t="inlineStr">
        <is>
          <t>Zamboanga del Sur|Dimataling</t>
        </is>
      </c>
      <c r="B1604">
        <v>41068</v>
      </c>
      <c r="C1604">
        <v>24</v>
      </c>
    </row>
    <row r="1605" spans="1:3">
      <c r="A1605" t="inlineStr">
        <is>
          <t>Zamboanga del Sur|Dinas</t>
        </is>
      </c>
      <c r="B1605">
        <v>41092</v>
      </c>
      <c r="C1605">
        <v>30</v>
      </c>
    </row>
    <row r="1606" spans="1:3">
      <c r="A1606" t="inlineStr">
        <is>
          <t>Zamboanga del Sur|Dumalinao</t>
        </is>
      </c>
      <c r="B1606">
        <v>41122</v>
      </c>
      <c r="C1606">
        <v>30</v>
      </c>
    </row>
    <row r="1607" spans="1:3">
      <c r="A1607" t="inlineStr">
        <is>
          <t>Zamboanga del Sur|Dumingag</t>
        </is>
      </c>
      <c r="B1607">
        <v>41152</v>
      </c>
      <c r="C1607">
        <v>44</v>
      </c>
    </row>
    <row r="1608" spans="1:3">
      <c r="A1608" t="inlineStr">
        <is>
          <t>Zamboanga del Sur|Guipos</t>
        </is>
      </c>
      <c r="B1608">
        <v>41196</v>
      </c>
      <c r="C1608">
        <v>17</v>
      </c>
    </row>
    <row r="1609" spans="1:3">
      <c r="A1609" t="inlineStr">
        <is>
          <t>Zamboanga del Sur|Josefina</t>
        </is>
      </c>
      <c r="B1609">
        <v>41213</v>
      </c>
      <c r="C1609">
        <v>14</v>
      </c>
    </row>
    <row r="1610" spans="1:3">
      <c r="A1610" t="inlineStr">
        <is>
          <t>Zamboanga del Sur|Kumalarang</t>
        </is>
      </c>
      <c r="B1610">
        <v>41227</v>
      </c>
      <c r="C1610">
        <v>18</v>
      </c>
    </row>
    <row r="1611" spans="1:3">
      <c r="A1611" t="inlineStr">
        <is>
          <t>Zamboanga del Sur|Labangan</t>
        </is>
      </c>
      <c r="B1611">
        <v>41245</v>
      </c>
      <c r="C1611">
        <v>25</v>
      </c>
    </row>
    <row r="1612" spans="1:3">
      <c r="A1612" t="inlineStr">
        <is>
          <t>Zamboanga del Sur|Lakewood</t>
        </is>
      </c>
      <c r="B1612">
        <v>41270</v>
      </c>
      <c r="C1612">
        <v>14</v>
      </c>
    </row>
    <row r="1613" spans="1:3">
      <c r="A1613" t="inlineStr">
        <is>
          <t>Zamboanga del Sur|Lapuyan</t>
        </is>
      </c>
      <c r="B1613">
        <v>41284</v>
      </c>
      <c r="C1613">
        <v>26</v>
      </c>
    </row>
    <row r="1614" spans="1:3">
      <c r="A1614" t="inlineStr">
        <is>
          <t>Zamboanga del Sur|Mahayag</t>
        </is>
      </c>
      <c r="B1614">
        <v>41310</v>
      </c>
      <c r="C1614">
        <v>29</v>
      </c>
    </row>
    <row r="1615" spans="1:3">
      <c r="A1615" t="inlineStr">
        <is>
          <t>Zamboanga del Sur|Margosatubig</t>
        </is>
      </c>
      <c r="B1615">
        <v>41339</v>
      </c>
      <c r="C1615">
        <v>17</v>
      </c>
    </row>
    <row r="1616" spans="1:3">
      <c r="A1616" t="inlineStr">
        <is>
          <t>Zamboanga del Sur|Midsalip</t>
        </is>
      </c>
      <c r="B1616">
        <v>41356</v>
      </c>
      <c r="C1616">
        <v>33</v>
      </c>
    </row>
    <row r="1617" spans="1:3">
      <c r="A1617" t="inlineStr">
        <is>
          <t>Zamboanga del Sur|Molave</t>
        </is>
      </c>
      <c r="B1617">
        <v>41389</v>
      </c>
      <c r="C1617">
        <v>25</v>
      </c>
    </row>
    <row r="1618" spans="1:3">
      <c r="A1618" t="inlineStr">
        <is>
          <t>Zamboanga del Sur|Pitogo</t>
        </is>
      </c>
      <c r="B1618">
        <v>41414</v>
      </c>
      <c r="C1618">
        <v>15</v>
      </c>
    </row>
    <row r="1619" spans="1:3">
      <c r="A1619" t="inlineStr">
        <is>
          <t>Zamboanga del Sur|Ramon Magsaysay</t>
        </is>
      </c>
      <c r="B1619">
        <v>41429</v>
      </c>
      <c r="C1619">
        <v>27</v>
      </c>
    </row>
    <row r="1620" spans="1:3">
      <c r="A1620" t="inlineStr">
        <is>
          <t>Zamboanga del Sur|San Miguel</t>
        </is>
      </c>
      <c r="B1620">
        <v>41456</v>
      </c>
      <c r="C1620">
        <v>18</v>
      </c>
    </row>
    <row r="1621" spans="1:3">
      <c r="A1621" t="inlineStr">
        <is>
          <t>Zamboanga del Sur|San Pablo</t>
        </is>
      </c>
      <c r="B1621">
        <v>41474</v>
      </c>
      <c r="C1621">
        <v>28</v>
      </c>
    </row>
    <row r="1622" spans="1:3">
      <c r="A1622" t="inlineStr">
        <is>
          <t>Zamboanga del Sur|Sominot</t>
        </is>
      </c>
      <c r="B1622">
        <v>41502</v>
      </c>
      <c r="C1622">
        <v>18</v>
      </c>
    </row>
    <row r="1623" spans="1:3">
      <c r="A1623" t="inlineStr">
        <is>
          <t>Zamboanga del Sur|Tabina</t>
        </is>
      </c>
      <c r="B1623">
        <v>41520</v>
      </c>
      <c r="C1623">
        <v>15</v>
      </c>
    </row>
    <row r="1624" spans="1:3">
      <c r="A1624" t="inlineStr">
        <is>
          <t>Zamboanga del Sur|Tambulig</t>
        </is>
      </c>
      <c r="B1624">
        <v>41535</v>
      </c>
      <c r="C1624">
        <v>31</v>
      </c>
    </row>
    <row r="1625" spans="1:3">
      <c r="A1625" t="inlineStr">
        <is>
          <t>Zamboanga del Sur|Tigbao</t>
        </is>
      </c>
      <c r="B1625">
        <v>41566</v>
      </c>
      <c r="C1625">
        <v>18</v>
      </c>
    </row>
    <row r="1626" spans="1:3">
      <c r="A1626" t="inlineStr">
        <is>
          <t>Zamboanga del Sur|Tukuran</t>
        </is>
      </c>
      <c r="B1626">
        <v>41584</v>
      </c>
      <c r="C1626">
        <v>25</v>
      </c>
    </row>
    <row r="1627" spans="1:3">
      <c r="A1627" t="inlineStr">
        <is>
          <t>Zamboanga del Sur|Vincenzo A. Sagun</t>
        </is>
      </c>
      <c r="B1627">
        <v>41609</v>
      </c>
      <c r="C1627">
        <v>14</v>
      </c>
    </row>
    <row r="1628" spans="1:3">
      <c r="A1628" t="inlineStr">
        <is>
          <t>Zamboanga Sibugay|Alicia</t>
        </is>
      </c>
      <c r="B1628">
        <v>41623</v>
      </c>
      <c r="C1628">
        <v>27</v>
      </c>
    </row>
    <row r="1629" spans="1:3">
      <c r="A1629" t="inlineStr">
        <is>
          <t>Zamboanga Sibugay|Buug</t>
        </is>
      </c>
      <c r="B1629">
        <v>41650</v>
      </c>
      <c r="C1629">
        <v>27</v>
      </c>
    </row>
    <row r="1630" spans="1:3">
      <c r="A1630" t="inlineStr">
        <is>
          <t>Zamboanga Sibugay|Diplahan</t>
        </is>
      </c>
      <c r="B1630">
        <v>41677</v>
      </c>
      <c r="C1630">
        <v>22</v>
      </c>
    </row>
    <row r="1631" spans="1:3">
      <c r="A1631" t="inlineStr">
        <is>
          <t>Zamboanga Sibugay|Imelda</t>
        </is>
      </c>
      <c r="B1631">
        <v>41699</v>
      </c>
      <c r="C1631">
        <v>19</v>
      </c>
    </row>
    <row r="1632" spans="1:3">
      <c r="A1632" t="inlineStr">
        <is>
          <t>Zamboanga Sibugay|Ipil</t>
        </is>
      </c>
      <c r="B1632">
        <v>41718</v>
      </c>
      <c r="C1632">
        <v>28</v>
      </c>
    </row>
    <row r="1633" spans="1:3">
      <c r="A1633" t="inlineStr">
        <is>
          <t>Zamboanga Sibugay|Kabasalan</t>
        </is>
      </c>
      <c r="B1633">
        <v>41746</v>
      </c>
      <c r="C1633">
        <v>29</v>
      </c>
    </row>
    <row r="1634" spans="1:3">
      <c r="A1634" t="inlineStr">
        <is>
          <t>Zamboanga Sibugay|Mabuhay</t>
        </is>
      </c>
      <c r="B1634">
        <v>41775</v>
      </c>
      <c r="C1634">
        <v>18</v>
      </c>
    </row>
    <row r="1635" spans="1:3">
      <c r="A1635" t="inlineStr">
        <is>
          <t>Zamboanga Sibugay|Malangas</t>
        </is>
      </c>
      <c r="B1635">
        <v>41793</v>
      </c>
      <c r="C1635">
        <v>25</v>
      </c>
    </row>
    <row r="1636" spans="1:3">
      <c r="A1636" t="inlineStr">
        <is>
          <t>Zamboanga Sibugay|Naga</t>
        </is>
      </c>
      <c r="B1636">
        <v>41818</v>
      </c>
      <c r="C1636">
        <v>23</v>
      </c>
    </row>
    <row r="1637" spans="1:3">
      <c r="A1637" t="inlineStr">
        <is>
          <t>Zamboanga Sibugay|Olutanga</t>
        </is>
      </c>
      <c r="B1637">
        <v>41841</v>
      </c>
      <c r="C1637">
        <v>19</v>
      </c>
    </row>
    <row r="1638" spans="1:3">
      <c r="A1638" t="inlineStr">
        <is>
          <t>Zamboanga Sibugay|Payao</t>
        </is>
      </c>
      <c r="B1638">
        <v>41860</v>
      </c>
      <c r="C1638">
        <v>28</v>
      </c>
    </row>
    <row r="1639" spans="1:3">
      <c r="A1639" t="inlineStr">
        <is>
          <t>Zamboanga Sibugay|Roseller Lim</t>
        </is>
      </c>
      <c r="B1639">
        <v>41888</v>
      </c>
      <c r="C1639">
        <v>26</v>
      </c>
    </row>
    <row r="1640" spans="1:3">
      <c r="A1640" t="inlineStr">
        <is>
          <t>Zamboanga Sibugay|Siay</t>
        </is>
      </c>
      <c r="B1640">
        <v>41914</v>
      </c>
      <c r="C1640">
        <v>29</v>
      </c>
    </row>
    <row r="1641" spans="1:3">
      <c r="A1641" t="inlineStr">
        <is>
          <t>Zamboanga Sibugay|Talusan</t>
        </is>
      </c>
      <c r="B1641">
        <v>41943</v>
      </c>
      <c r="C1641">
        <v>14</v>
      </c>
    </row>
    <row r="1642" spans="1:3">
      <c r="A1642" t="inlineStr">
        <is>
          <t>Zamboanga Sibugay|Titay</t>
        </is>
      </c>
      <c r="B1642">
        <v>41957</v>
      </c>
      <c r="C1642">
        <v>30</v>
      </c>
    </row>
    <row r="1643" spans="1:3">
      <c r="A1643" t="inlineStr">
        <is>
          <t>Zamboanga Sibugay|Tungawan</t>
        </is>
      </c>
      <c r="B1643">
        <v>41987</v>
      </c>
      <c r="C1643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286C72"/>
  </sheetPr>
  <sheetFormatPr defaultRowHeight="15"/>
  <cols>
    <col min="1" max="1" width="23" hidden="0" customWidth="1"/>
    <col min="2" max="2" width="28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</cols>
  <sheetData>
    <row r="1" ht="32" customHeight="1">
      <c r="A1" s="66" t="str">
        <v>AF HOMES OST  |  DATE ENTRY HELPER</v>
      </c>
      <c r="B1" s="66"/>
      <c r="C1" s="66"/>
      <c r="D1" s="66"/>
      <c r="E1" s="66"/>
      <c r="F1" s="66"/>
      <c r="G1" s="66"/>
      <c r="J1" t="str">
        <v>Month List</v>
      </c>
      <c r="L1" t="str">
        <v>Year List</v>
      </c>
      <c r="N1" t="str">
        <v>Day List</v>
      </c>
    </row>
    <row r="2" ht="27" customHeight="1">
      <c r="A2" s="67" t="str">
        <v>Choose Year, Month and Day. Copy the Date Result as a VALUE into any date field.</v>
      </c>
      <c r="B2" s="67"/>
      <c r="C2" s="67"/>
      <c r="D2" s="67"/>
      <c r="E2" s="67"/>
      <c r="F2" s="67"/>
      <c r="G2" s="67"/>
      <c r="J2" t="str">
        <v>January</v>
      </c>
      <c r="L2" t="n">
        <v>1900</v>
      </c>
      <c r="N2" t="n">
        <v>1</v>
      </c>
    </row>
    <row r="3">
      <c r="J3" t="str">
        <v>February</v>
      </c>
      <c r="L3" t="n">
        <v>1901</v>
      </c>
      <c r="N3" t="n">
        <v>2</v>
      </c>
    </row>
    <row r="4" ht="27" customHeight="1">
      <c r="A4" s="68" t="str">
        <v>Year</v>
      </c>
      <c r="B4" s="69"/>
      <c r="J4" t="str">
        <v>March</v>
      </c>
      <c r="L4" t="n">
        <v>1902</v>
      </c>
      <c r="N4" t="n">
        <v>3</v>
      </c>
    </row>
    <row r="5" ht="27" customHeight="1">
      <c r="A5" s="68" t="str">
        <v>Month</v>
      </c>
      <c r="B5" s="69"/>
      <c r="J5" t="str">
        <v>April</v>
      </c>
      <c r="L5" t="n">
        <v>1903</v>
      </c>
      <c r="N5" t="n">
        <v>4</v>
      </c>
    </row>
    <row r="6" ht="27" customHeight="1">
      <c r="A6" s="68" t="str">
        <v>Day</v>
      </c>
      <c r="B6" s="69"/>
      <c r="J6" t="str">
        <v>May</v>
      </c>
      <c r="L6" t="n">
        <v>1904</v>
      </c>
      <c r="N6" t="n">
        <v>5</v>
      </c>
    </row>
    <row r="7" ht="26" customHeight="1">
      <c r="A7" s="68" t="str"/>
      <c r="J7" t="str">
        <v>June</v>
      </c>
      <c r="L7" t="n">
        <v>1905</v>
      </c>
      <c r="N7" t="n">
        <v>6</v>
      </c>
    </row>
    <row r="8" ht="29" customHeight="1">
      <c r="A8" s="68" t="str">
        <v>Date Result (copy)</v>
      </c>
      <c r="B8" s="70" t="str">
        <f>IF(OR(B4="",B5="",B6=""),"",IF(OR(B6&lt;1,B6&gt;DAY(EOMONTH(DATE(B4,MATCH(B5,$J$2:$J$13,0),1),0))),"INVALID DAY",DATE(B4,MATCH(B5,$J$2:$J$13,0),B6)))</f>
      </c>
      <c r="J8" t="str">
        <v>July</v>
      </c>
      <c r="L8" t="n">
        <v>1906</v>
      </c>
      <c r="N8" t="n">
        <v>7</v>
      </c>
    </row>
    <row r="9">
      <c r="J9" t="str">
        <v>August</v>
      </c>
      <c r="L9" t="n">
        <v>1907</v>
      </c>
      <c r="N9" t="n">
        <v>8</v>
      </c>
    </row>
    <row r="10" ht="24" customHeight="1">
      <c r="A10" s="71" t="str">
        <v>CALENDAR PREVIEW — select the day above; this grid is for reference.</v>
      </c>
      <c r="B10" s="71"/>
      <c r="C10" s="71"/>
      <c r="D10" s="71"/>
      <c r="E10" s="71"/>
      <c r="F10" s="71"/>
      <c r="G10" s="71"/>
      <c r="J10" t="str">
        <v>September</v>
      </c>
      <c r="L10" t="n">
        <v>1908</v>
      </c>
      <c r="N10" t="n">
        <v>9</v>
      </c>
    </row>
    <row r="11" ht="23" customHeight="1">
      <c r="A11" s="72" t="str">
        <v>Mon</v>
      </c>
      <c r="B11" s="72" t="str">
        <v>Tue</v>
      </c>
      <c r="C11" s="72" t="str">
        <v>Wed</v>
      </c>
      <c r="D11" s="72" t="str">
        <v>Thu</v>
      </c>
      <c r="E11" s="72" t="str">
        <v>Fri</v>
      </c>
      <c r="F11" s="72" t="str">
        <v>Sat</v>
      </c>
      <c r="G11" s="72" t="str">
        <v>Sun</v>
      </c>
      <c r="J11" t="str">
        <v>October</v>
      </c>
      <c r="L11" t="n">
        <v>1909</v>
      </c>
      <c r="N11" t="n">
        <v>10</v>
      </c>
    </row>
    <row r="12" ht="31" customHeight="1">
      <c r="A12" s="73" t="str">
        <f>IF(OR($B$4="",$B$5=""),"",IF(MONTH(DATE($B$4,MATCH($B$5,$J$2:$J$13,0),1)-WEEKDAY(DATE($B$4,MATCH($B$5,$J$2:$J$13,0),1),2)+1+0)&lt;&gt;MATCH($B$5,$J$2:$J$13,0),"",DAY(DATE($B$4,MATCH($B$5,$J$2:$J$13,0),1)-WEEKDAY(DATE($B$4,MATCH($B$5,$J$2:$J$13,0),1),2)+1+0)))</f>
      </c>
      <c r="B12" s="73" t="str">
        <f>IF(OR($B$4="",$B$5=""),"",IF(MONTH(DATE($B$4,MATCH($B$5,$J$2:$J$13,0),1)-WEEKDAY(DATE($B$4,MATCH($B$5,$J$2:$J$13,0),1),2)+1+1)&lt;&gt;MATCH($B$5,$J$2:$J$13,0),"",DAY(DATE($B$4,MATCH($B$5,$J$2:$J$13,0),1)-WEEKDAY(DATE($B$4,MATCH($B$5,$J$2:$J$13,0),1),2)+1+1)))</f>
      </c>
      <c r="C12" s="73" t="str">
        <f>IF(OR($B$4="",$B$5=""),"",IF(MONTH(DATE($B$4,MATCH($B$5,$J$2:$J$13,0),1)-WEEKDAY(DATE($B$4,MATCH($B$5,$J$2:$J$13,0),1),2)+1+2)&lt;&gt;MATCH($B$5,$J$2:$J$13,0),"",DAY(DATE($B$4,MATCH($B$5,$J$2:$J$13,0),1)-WEEKDAY(DATE($B$4,MATCH($B$5,$J$2:$J$13,0),1),2)+1+2)))</f>
      </c>
      <c r="D12" s="73" t="n">
        <f>IF(OR($B$4="",$B$5=""),"",IF(MONTH(DATE($B$4,MATCH($B$5,$J$2:$J$13,0),1)-WEEKDAY(DATE($B$4,MATCH($B$5,$J$2:$J$13,0),1),2)+1+3)&lt;&gt;MATCH($B$5,$J$2:$J$13,0),"",DAY(DATE($B$4,MATCH($B$5,$J$2:$J$13,0),1)-WEEKDAY(DATE($B$4,MATCH($B$5,$J$2:$J$13,0),1),2)+1+3)))</f>
      </c>
      <c r="E12" s="73" t="n">
        <f>IF(OR($B$4="",$B$5=""),"",IF(MONTH(DATE($B$4,MATCH($B$5,$J$2:$J$13,0),1)-WEEKDAY(DATE($B$4,MATCH($B$5,$J$2:$J$13,0),1),2)+1+4)&lt;&gt;MATCH($B$5,$J$2:$J$13,0),"",DAY(DATE($B$4,MATCH($B$5,$J$2:$J$13,0),1)-WEEKDAY(DATE($B$4,MATCH($B$5,$J$2:$J$13,0),1),2)+1+4)))</f>
      </c>
      <c r="F12" s="73" t="n">
        <f>IF(OR($B$4="",$B$5=""),"",IF(MONTH(DATE($B$4,MATCH($B$5,$J$2:$J$13,0),1)-WEEKDAY(DATE($B$4,MATCH($B$5,$J$2:$J$13,0),1),2)+1+5)&lt;&gt;MATCH($B$5,$J$2:$J$13,0),"",DAY(DATE($B$4,MATCH($B$5,$J$2:$J$13,0),1)-WEEKDAY(DATE($B$4,MATCH($B$5,$J$2:$J$13,0),1),2)+1+5)))</f>
      </c>
      <c r="G12" s="73" t="n">
        <f>IF(OR($B$4="",$B$5=""),"",IF(MONTH(DATE($B$4,MATCH($B$5,$J$2:$J$13,0),1)-WEEKDAY(DATE($B$4,MATCH($B$5,$J$2:$J$13,0),1),2)+1+6)&lt;&gt;MATCH($B$5,$J$2:$J$13,0),"",DAY(DATE($B$4,MATCH($B$5,$J$2:$J$13,0),1)-WEEKDAY(DATE($B$4,MATCH($B$5,$J$2:$J$13,0),1),2)+1+6)))</f>
      </c>
      <c r="J12" t="str">
        <v>November</v>
      </c>
      <c r="L12" t="n">
        <v>1910</v>
      </c>
      <c r="N12" t="n">
        <v>11</v>
      </c>
    </row>
    <row r="13" ht="31" customHeight="1">
      <c r="A13" s="73" t="n">
        <f>IF(OR($B$4="",$B$5=""),"",IF(MONTH(DATE($B$4,MATCH($B$5,$J$2:$J$13,0),1)-WEEKDAY(DATE($B$4,MATCH($B$5,$J$2:$J$13,0),1),2)+1+7)&lt;&gt;MATCH($B$5,$J$2:$J$13,0),"",DAY(DATE($B$4,MATCH($B$5,$J$2:$J$13,0),1)-WEEKDAY(DATE($B$4,MATCH($B$5,$J$2:$J$13,0),1),2)+1+7)))</f>
      </c>
      <c r="B13" s="73" t="n">
        <f>IF(OR($B$4="",$B$5=""),"",IF(MONTH(DATE($B$4,MATCH($B$5,$J$2:$J$13,0),1)-WEEKDAY(DATE($B$4,MATCH($B$5,$J$2:$J$13,0),1),2)+1+8)&lt;&gt;MATCH($B$5,$J$2:$J$13,0),"",DAY(DATE($B$4,MATCH($B$5,$J$2:$J$13,0),1)-WEEKDAY(DATE($B$4,MATCH($B$5,$J$2:$J$13,0),1),2)+1+8)))</f>
      </c>
      <c r="C13" s="73" t="n">
        <f>IF(OR($B$4="",$B$5=""),"",IF(MONTH(DATE($B$4,MATCH($B$5,$J$2:$J$13,0),1)-WEEKDAY(DATE($B$4,MATCH($B$5,$J$2:$J$13,0),1),2)+1+9)&lt;&gt;MATCH($B$5,$J$2:$J$13,0),"",DAY(DATE($B$4,MATCH($B$5,$J$2:$J$13,0),1)-WEEKDAY(DATE($B$4,MATCH($B$5,$J$2:$J$13,0),1),2)+1+9)))</f>
      </c>
      <c r="D13" s="73" t="n">
        <f>IF(OR($B$4="",$B$5=""),"",IF(MONTH(DATE($B$4,MATCH($B$5,$J$2:$J$13,0),1)-WEEKDAY(DATE($B$4,MATCH($B$5,$J$2:$J$13,0),1),2)+1+10)&lt;&gt;MATCH($B$5,$J$2:$J$13,0),"",DAY(DATE($B$4,MATCH($B$5,$J$2:$J$13,0),1)-WEEKDAY(DATE($B$4,MATCH($B$5,$J$2:$J$13,0),1),2)+1+10)))</f>
      </c>
      <c r="E13" s="73" t="n">
        <f>IF(OR($B$4="",$B$5=""),"",IF(MONTH(DATE($B$4,MATCH($B$5,$J$2:$J$13,0),1)-WEEKDAY(DATE($B$4,MATCH($B$5,$J$2:$J$13,0),1),2)+1+11)&lt;&gt;MATCH($B$5,$J$2:$J$13,0),"",DAY(DATE($B$4,MATCH($B$5,$J$2:$J$13,0),1)-WEEKDAY(DATE($B$4,MATCH($B$5,$J$2:$J$13,0),1),2)+1+11)))</f>
      </c>
      <c r="F13" s="73" t="n">
        <f>IF(OR($B$4="",$B$5=""),"",IF(MONTH(DATE($B$4,MATCH($B$5,$J$2:$J$13,0),1)-WEEKDAY(DATE($B$4,MATCH($B$5,$J$2:$J$13,0),1),2)+1+12)&lt;&gt;MATCH($B$5,$J$2:$J$13,0),"",DAY(DATE($B$4,MATCH($B$5,$J$2:$J$13,0),1)-WEEKDAY(DATE($B$4,MATCH($B$5,$J$2:$J$13,0),1),2)+1+12)))</f>
      </c>
      <c r="G13" s="73" t="n">
        <f>IF(OR($B$4="",$B$5=""),"",IF(MONTH(DATE($B$4,MATCH($B$5,$J$2:$J$13,0),1)-WEEKDAY(DATE($B$4,MATCH($B$5,$J$2:$J$13,0),1),2)+1+13)&lt;&gt;MATCH($B$5,$J$2:$J$13,0),"",DAY(DATE($B$4,MATCH($B$5,$J$2:$J$13,0),1)-WEEKDAY(DATE($B$4,MATCH($B$5,$J$2:$J$13,0),1),2)+1+13)))</f>
      </c>
      <c r="J13" t="str">
        <v>December</v>
      </c>
      <c r="L13" t="n">
        <v>1911</v>
      </c>
      <c r="N13" t="n">
        <v>12</v>
      </c>
    </row>
    <row r="14" ht="31" customHeight="1">
      <c r="A14" s="73" t="n">
        <f>IF(OR($B$4="",$B$5=""),"",IF(MONTH(DATE($B$4,MATCH($B$5,$J$2:$J$13,0),1)-WEEKDAY(DATE($B$4,MATCH($B$5,$J$2:$J$13,0),1),2)+1+14)&lt;&gt;MATCH($B$5,$J$2:$J$13,0),"",DAY(DATE($B$4,MATCH($B$5,$J$2:$J$13,0),1)-WEEKDAY(DATE($B$4,MATCH($B$5,$J$2:$J$13,0),1),2)+1+14)))</f>
      </c>
      <c r="B14" s="73" t="n">
        <f>IF(OR($B$4="",$B$5=""),"",IF(MONTH(DATE($B$4,MATCH($B$5,$J$2:$J$13,0),1)-WEEKDAY(DATE($B$4,MATCH($B$5,$J$2:$J$13,0),1),2)+1+15)&lt;&gt;MATCH($B$5,$J$2:$J$13,0),"",DAY(DATE($B$4,MATCH($B$5,$J$2:$J$13,0),1)-WEEKDAY(DATE($B$4,MATCH($B$5,$J$2:$J$13,0),1),2)+1+15)))</f>
      </c>
      <c r="C14" s="73" t="n">
        <f>IF(OR($B$4="",$B$5=""),"",IF(MONTH(DATE($B$4,MATCH($B$5,$J$2:$J$13,0),1)-WEEKDAY(DATE($B$4,MATCH($B$5,$J$2:$J$13,0),1),2)+1+16)&lt;&gt;MATCH($B$5,$J$2:$J$13,0),"",DAY(DATE($B$4,MATCH($B$5,$J$2:$J$13,0),1)-WEEKDAY(DATE($B$4,MATCH($B$5,$J$2:$J$13,0),1),2)+1+16)))</f>
      </c>
      <c r="D14" s="73" t="n">
        <f>IF(OR($B$4="",$B$5=""),"",IF(MONTH(DATE($B$4,MATCH($B$5,$J$2:$J$13,0),1)-WEEKDAY(DATE($B$4,MATCH($B$5,$J$2:$J$13,0),1),2)+1+17)&lt;&gt;MATCH($B$5,$J$2:$J$13,0),"",DAY(DATE($B$4,MATCH($B$5,$J$2:$J$13,0),1)-WEEKDAY(DATE($B$4,MATCH($B$5,$J$2:$J$13,0),1),2)+1+17)))</f>
      </c>
      <c r="E14" s="73" t="n">
        <f>IF(OR($B$4="",$B$5=""),"",IF(MONTH(DATE($B$4,MATCH($B$5,$J$2:$J$13,0),1)-WEEKDAY(DATE($B$4,MATCH($B$5,$J$2:$J$13,0),1),2)+1+18)&lt;&gt;MATCH($B$5,$J$2:$J$13,0),"",DAY(DATE($B$4,MATCH($B$5,$J$2:$J$13,0),1)-WEEKDAY(DATE($B$4,MATCH($B$5,$J$2:$J$13,0),1),2)+1+18)))</f>
      </c>
      <c r="F14" s="73" t="n">
        <f>IF(OR($B$4="",$B$5=""),"",IF(MONTH(DATE($B$4,MATCH($B$5,$J$2:$J$13,0),1)-WEEKDAY(DATE($B$4,MATCH($B$5,$J$2:$J$13,0),1),2)+1+19)&lt;&gt;MATCH($B$5,$J$2:$J$13,0),"",DAY(DATE($B$4,MATCH($B$5,$J$2:$J$13,0),1)-WEEKDAY(DATE($B$4,MATCH($B$5,$J$2:$J$13,0),1),2)+1+19)))</f>
      </c>
      <c r="G14" s="73" t="n">
        <f>IF(OR($B$4="",$B$5=""),"",IF(MONTH(DATE($B$4,MATCH($B$5,$J$2:$J$13,0),1)-WEEKDAY(DATE($B$4,MATCH($B$5,$J$2:$J$13,0),1),2)+1+20)&lt;&gt;MATCH($B$5,$J$2:$J$13,0),"",DAY(DATE($B$4,MATCH($B$5,$J$2:$J$13,0),1)-WEEKDAY(DATE($B$4,MATCH($B$5,$J$2:$J$13,0),1),2)+1+20)))</f>
      </c>
      <c r="L14" t="n">
        <v>1912</v>
      </c>
      <c r="N14" t="n">
        <v>13</v>
      </c>
    </row>
    <row r="15" ht="31" customHeight="1">
      <c r="A15" s="73" t="n">
        <f>IF(OR($B$4="",$B$5=""),"",IF(MONTH(DATE($B$4,MATCH($B$5,$J$2:$J$13,0),1)-WEEKDAY(DATE($B$4,MATCH($B$5,$J$2:$J$13,0),1),2)+1+21)&lt;&gt;MATCH($B$5,$J$2:$J$13,0),"",DAY(DATE($B$4,MATCH($B$5,$J$2:$J$13,0),1)-WEEKDAY(DATE($B$4,MATCH($B$5,$J$2:$J$13,0),1),2)+1+21)))</f>
      </c>
      <c r="B15" s="73" t="n">
        <f>IF(OR($B$4="",$B$5=""),"",IF(MONTH(DATE($B$4,MATCH($B$5,$J$2:$J$13,0),1)-WEEKDAY(DATE($B$4,MATCH($B$5,$J$2:$J$13,0),1),2)+1+22)&lt;&gt;MATCH($B$5,$J$2:$J$13,0),"",DAY(DATE($B$4,MATCH($B$5,$J$2:$J$13,0),1)-WEEKDAY(DATE($B$4,MATCH($B$5,$J$2:$J$13,0),1),2)+1+22)))</f>
      </c>
      <c r="C15" s="73" t="n">
        <f>IF(OR($B$4="",$B$5=""),"",IF(MONTH(DATE($B$4,MATCH($B$5,$J$2:$J$13,0),1)-WEEKDAY(DATE($B$4,MATCH($B$5,$J$2:$J$13,0),1),2)+1+23)&lt;&gt;MATCH($B$5,$J$2:$J$13,0),"",DAY(DATE($B$4,MATCH($B$5,$J$2:$J$13,0),1)-WEEKDAY(DATE($B$4,MATCH($B$5,$J$2:$J$13,0),1),2)+1+23)))</f>
      </c>
      <c r="D15" s="73" t="n">
        <f>IF(OR($B$4="",$B$5=""),"",IF(MONTH(DATE($B$4,MATCH($B$5,$J$2:$J$13,0),1)-WEEKDAY(DATE($B$4,MATCH($B$5,$J$2:$J$13,0),1),2)+1+24)&lt;&gt;MATCH($B$5,$J$2:$J$13,0),"",DAY(DATE($B$4,MATCH($B$5,$J$2:$J$13,0),1)-WEEKDAY(DATE($B$4,MATCH($B$5,$J$2:$J$13,0),1),2)+1+24)))</f>
      </c>
      <c r="E15" s="73" t="n">
        <f>IF(OR($B$4="",$B$5=""),"",IF(MONTH(DATE($B$4,MATCH($B$5,$J$2:$J$13,0),1)-WEEKDAY(DATE($B$4,MATCH($B$5,$J$2:$J$13,0),1),2)+1+25)&lt;&gt;MATCH($B$5,$J$2:$J$13,0),"",DAY(DATE($B$4,MATCH($B$5,$J$2:$J$13,0),1)-WEEKDAY(DATE($B$4,MATCH($B$5,$J$2:$J$13,0),1),2)+1+25)))</f>
      </c>
      <c r="F15" s="73" t="n">
        <f>IF(OR($B$4="",$B$5=""),"",IF(MONTH(DATE($B$4,MATCH($B$5,$J$2:$J$13,0),1)-WEEKDAY(DATE($B$4,MATCH($B$5,$J$2:$J$13,0),1),2)+1+26)&lt;&gt;MATCH($B$5,$J$2:$J$13,0),"",DAY(DATE($B$4,MATCH($B$5,$J$2:$J$13,0),1)-WEEKDAY(DATE($B$4,MATCH($B$5,$J$2:$J$13,0),1),2)+1+26)))</f>
      </c>
      <c r="G15" s="73" t="n">
        <f>IF(OR($B$4="",$B$5=""),"",IF(MONTH(DATE($B$4,MATCH($B$5,$J$2:$J$13,0),1)-WEEKDAY(DATE($B$4,MATCH($B$5,$J$2:$J$13,0),1),2)+1+27)&lt;&gt;MATCH($B$5,$J$2:$J$13,0),"",DAY(DATE($B$4,MATCH($B$5,$J$2:$J$13,0),1)-WEEKDAY(DATE($B$4,MATCH($B$5,$J$2:$J$13,0),1),2)+1+27)))</f>
      </c>
      <c r="L15" t="n">
        <v>1913</v>
      </c>
      <c r="N15" t="n">
        <v>14</v>
      </c>
    </row>
    <row r="16" ht="31" customHeight="1">
      <c r="A16" s="73" t="n">
        <f>IF(OR($B$4="",$B$5=""),"",IF(MONTH(DATE($B$4,MATCH($B$5,$J$2:$J$13,0),1)-WEEKDAY(DATE($B$4,MATCH($B$5,$J$2:$J$13,0),1),2)+1+28)&lt;&gt;MATCH($B$5,$J$2:$J$13,0),"",DAY(DATE($B$4,MATCH($B$5,$J$2:$J$13,0),1)-WEEKDAY(DATE($B$4,MATCH($B$5,$J$2:$J$13,0),1),2)+1+28)))</f>
      </c>
      <c r="B16" s="73" t="n">
        <f>IF(OR($B$4="",$B$5=""),"",IF(MONTH(DATE($B$4,MATCH($B$5,$J$2:$J$13,0),1)-WEEKDAY(DATE($B$4,MATCH($B$5,$J$2:$J$13,0),1),2)+1+29)&lt;&gt;MATCH($B$5,$J$2:$J$13,0),"",DAY(DATE($B$4,MATCH($B$5,$J$2:$J$13,0),1)-WEEKDAY(DATE($B$4,MATCH($B$5,$J$2:$J$13,0),1),2)+1+29)))</f>
      </c>
      <c r="C16" s="73" t="n">
        <f>IF(OR($B$4="",$B$5=""),"",IF(MONTH(DATE($B$4,MATCH($B$5,$J$2:$J$13,0),1)-WEEKDAY(DATE($B$4,MATCH($B$5,$J$2:$J$13,0),1),2)+1+30)&lt;&gt;MATCH($B$5,$J$2:$J$13,0),"",DAY(DATE($B$4,MATCH($B$5,$J$2:$J$13,0),1)-WEEKDAY(DATE($B$4,MATCH($B$5,$J$2:$J$13,0),1),2)+1+30)))</f>
      </c>
      <c r="D16" s="73" t="n">
        <f>IF(OR($B$4="",$B$5=""),"",IF(MONTH(DATE($B$4,MATCH($B$5,$J$2:$J$13,0),1)-WEEKDAY(DATE($B$4,MATCH($B$5,$J$2:$J$13,0),1),2)+1+31)&lt;&gt;MATCH($B$5,$J$2:$J$13,0),"",DAY(DATE($B$4,MATCH($B$5,$J$2:$J$13,0),1)-WEEKDAY(DATE($B$4,MATCH($B$5,$J$2:$J$13,0),1),2)+1+31)))</f>
      </c>
      <c r="E16" s="73" t="n">
        <f>IF(OR($B$4="",$B$5=""),"",IF(MONTH(DATE($B$4,MATCH($B$5,$J$2:$J$13,0),1)-WEEKDAY(DATE($B$4,MATCH($B$5,$J$2:$J$13,0),1),2)+1+32)&lt;&gt;MATCH($B$5,$J$2:$J$13,0),"",DAY(DATE($B$4,MATCH($B$5,$J$2:$J$13,0),1)-WEEKDAY(DATE($B$4,MATCH($B$5,$J$2:$J$13,0),1),2)+1+32)))</f>
      </c>
      <c r="F16" s="73" t="n">
        <f>IF(OR($B$4="",$B$5=""),"",IF(MONTH(DATE($B$4,MATCH($B$5,$J$2:$J$13,0),1)-WEEKDAY(DATE($B$4,MATCH($B$5,$J$2:$J$13,0),1),2)+1+33)&lt;&gt;MATCH($B$5,$J$2:$J$13,0),"",DAY(DATE($B$4,MATCH($B$5,$J$2:$J$13,0),1)-WEEKDAY(DATE($B$4,MATCH($B$5,$J$2:$J$13,0),1),2)+1+33)))</f>
      </c>
      <c r="G16" s="73" t="str">
        <f>IF(OR($B$4="",$B$5=""),"",IF(MONTH(DATE($B$4,MATCH($B$5,$J$2:$J$13,0),1)-WEEKDAY(DATE($B$4,MATCH($B$5,$J$2:$J$13,0),1),2)+1+34)&lt;&gt;MATCH($B$5,$J$2:$J$13,0),"",DAY(DATE($B$4,MATCH($B$5,$J$2:$J$13,0),1)-WEEKDAY(DATE($B$4,MATCH($B$5,$J$2:$J$13,0),1),2)+1+34)))</f>
      </c>
      <c r="L16" t="n">
        <v>1914</v>
      </c>
      <c r="N16" t="n">
        <v>15</v>
      </c>
    </row>
    <row r="17" ht="31" customHeight="1">
      <c r="A17" s="73" t="str">
        <f>IF(OR($B$4="",$B$5=""),"",IF(MONTH(DATE($B$4,MATCH($B$5,$J$2:$J$13,0),1)-WEEKDAY(DATE($B$4,MATCH($B$5,$J$2:$J$13,0),1),2)+1+35)&lt;&gt;MATCH($B$5,$J$2:$J$13,0),"",DAY(DATE($B$4,MATCH($B$5,$J$2:$J$13,0),1)-WEEKDAY(DATE($B$4,MATCH($B$5,$J$2:$J$13,0),1),2)+1+35)))</f>
      </c>
      <c r="B17" s="73" t="str">
        <f>IF(OR($B$4="",$B$5=""),"",IF(MONTH(DATE($B$4,MATCH($B$5,$J$2:$J$13,0),1)-WEEKDAY(DATE($B$4,MATCH($B$5,$J$2:$J$13,0),1),2)+1+36)&lt;&gt;MATCH($B$5,$J$2:$J$13,0),"",DAY(DATE($B$4,MATCH($B$5,$J$2:$J$13,0),1)-WEEKDAY(DATE($B$4,MATCH($B$5,$J$2:$J$13,0),1),2)+1+36)))</f>
      </c>
      <c r="C17" s="73" t="str">
        <f>IF(OR($B$4="",$B$5=""),"",IF(MONTH(DATE($B$4,MATCH($B$5,$J$2:$J$13,0),1)-WEEKDAY(DATE($B$4,MATCH($B$5,$J$2:$J$13,0),1),2)+1+37)&lt;&gt;MATCH($B$5,$J$2:$J$13,0),"",DAY(DATE($B$4,MATCH($B$5,$J$2:$J$13,0),1)-WEEKDAY(DATE($B$4,MATCH($B$5,$J$2:$J$13,0),1),2)+1+37)))</f>
      </c>
      <c r="D17" s="73" t="str">
        <f>IF(OR($B$4="",$B$5=""),"",IF(MONTH(DATE($B$4,MATCH($B$5,$J$2:$J$13,0),1)-WEEKDAY(DATE($B$4,MATCH($B$5,$J$2:$J$13,0),1),2)+1+38)&lt;&gt;MATCH($B$5,$J$2:$J$13,0),"",DAY(DATE($B$4,MATCH($B$5,$J$2:$J$13,0),1)-WEEKDAY(DATE($B$4,MATCH($B$5,$J$2:$J$13,0),1),2)+1+38)))</f>
      </c>
      <c r="E17" s="73" t="str">
        <f>IF(OR($B$4="",$B$5=""),"",IF(MONTH(DATE($B$4,MATCH($B$5,$J$2:$J$13,0),1)-WEEKDAY(DATE($B$4,MATCH($B$5,$J$2:$J$13,0),1),2)+1+39)&lt;&gt;MATCH($B$5,$J$2:$J$13,0),"",DAY(DATE($B$4,MATCH($B$5,$J$2:$J$13,0),1)-WEEKDAY(DATE($B$4,MATCH($B$5,$J$2:$J$13,0),1),2)+1+39)))</f>
      </c>
      <c r="F17" s="73" t="str">
        <f>IF(OR($B$4="",$B$5=""),"",IF(MONTH(DATE($B$4,MATCH($B$5,$J$2:$J$13,0),1)-WEEKDAY(DATE($B$4,MATCH($B$5,$J$2:$J$13,0),1),2)+1+40)&lt;&gt;MATCH($B$5,$J$2:$J$13,0),"",DAY(DATE($B$4,MATCH($B$5,$J$2:$J$13,0),1)-WEEKDAY(DATE($B$4,MATCH($B$5,$J$2:$J$13,0),1),2)+1+40)))</f>
      </c>
      <c r="G17" s="73" t="str">
        <f>IF(OR($B$4="",$B$5=""),"",IF(MONTH(DATE($B$4,MATCH($B$5,$J$2:$J$13,0),1)-WEEKDAY(DATE($B$4,MATCH($B$5,$J$2:$J$13,0),1),2)+1+41)&lt;&gt;MATCH($B$5,$J$2:$J$13,0),"",DAY(DATE($B$4,MATCH($B$5,$J$2:$J$13,0),1)-WEEKDAY(DATE($B$4,MATCH($B$5,$J$2:$J$13,0),1),2)+1+41)))</f>
      </c>
      <c r="L17" t="n">
        <v>1915</v>
      </c>
      <c r="N17" t="n">
        <v>16</v>
      </c>
    </row>
    <row r="18">
      <c r="L18" t="n">
        <v>1916</v>
      </c>
      <c r="N18" t="n">
        <v>17</v>
      </c>
    </row>
    <row r="19" ht="32" customHeight="1">
      <c r="A19" s="74" t="str">
        <v>Tip: Excel for the web may display a built-in date picker for Identity/Accreditation date cells.</v>
      </c>
      <c r="B19" s="74"/>
      <c r="C19" s="74"/>
      <c r="D19" s="74"/>
      <c r="E19" s="74"/>
      <c r="F19" s="74"/>
      <c r="G19" s="74"/>
      <c r="L19" t="n">
        <v>1917</v>
      </c>
      <c r="N19" t="n">
        <v>18</v>
      </c>
    </row>
    <row r="20" ht="32" customHeight="1">
      <c r="A20" s="74" t="str">
        <v>Desktop Excel: select date parts above, copy B8, then Paste Special → Values into target date cell.</v>
      </c>
      <c r="B20" s="74"/>
      <c r="C20" s="74"/>
      <c r="D20" s="74"/>
      <c r="E20" s="74"/>
      <c r="F20" s="74"/>
      <c r="G20" s="74"/>
      <c r="L20" t="n">
        <v>1918</v>
      </c>
      <c r="N20" t="n">
        <v>19</v>
      </c>
    </row>
    <row r="21" ht="32" customHeight="1">
      <c r="A21" s="74" t="str">
        <v>Pasting values may bypass workbook input validation: use the admin import preview to verify all dates.</v>
      </c>
      <c r="B21" s="74"/>
      <c r="C21" s="74"/>
      <c r="D21" s="74"/>
      <c r="E21" s="74"/>
      <c r="F21" s="74"/>
      <c r="G21" s="74"/>
      <c r="L21" t="n">
        <v>1919</v>
      </c>
      <c r="N21" t="n">
        <v>20</v>
      </c>
    </row>
    <row r="22">
      <c r="L22" t="n">
        <v>1920</v>
      </c>
      <c r="N22" t="n">
        <v>21</v>
      </c>
    </row>
    <row r="23">
      <c r="L23" t="n">
        <v>1921</v>
      </c>
      <c r="N23" t="n">
        <v>22</v>
      </c>
    </row>
    <row r="24">
      <c r="L24" t="n">
        <v>1922</v>
      </c>
      <c r="N24" t="n">
        <v>23</v>
      </c>
    </row>
    <row r="25">
      <c r="L25" t="n">
        <v>1923</v>
      </c>
      <c r="N25" t="n">
        <v>24</v>
      </c>
    </row>
    <row r="26">
      <c r="L26" t="n">
        <v>1924</v>
      </c>
      <c r="N26" t="n">
        <v>25</v>
      </c>
    </row>
    <row r="27">
      <c r="L27" t="n">
        <v>1925</v>
      </c>
      <c r="N27" t="n">
        <v>26</v>
      </c>
    </row>
    <row r="28">
      <c r="L28" t="n">
        <v>1926</v>
      </c>
      <c r="N28" t="n">
        <v>27</v>
      </c>
    </row>
    <row r="29">
      <c r="L29" t="n">
        <v>1927</v>
      </c>
      <c r="N29" t="n">
        <v>28</v>
      </c>
    </row>
    <row r="30">
      <c r="L30" t="n">
        <v>1928</v>
      </c>
      <c r="N30" t="n">
        <v>29</v>
      </c>
    </row>
    <row r="31">
      <c r="L31" t="n">
        <v>1929</v>
      </c>
      <c r="N31" t="n">
        <v>30</v>
      </c>
    </row>
    <row r="32">
      <c r="L32" t="n">
        <v>1930</v>
      </c>
      <c r="N32" t="n">
        <v>31</v>
      </c>
    </row>
    <row r="33">
      <c r="L33" t="n">
        <v>1931</v>
      </c>
    </row>
    <row r="34">
      <c r="L34" t="n">
        <v>1932</v>
      </c>
    </row>
    <row r="35">
      <c r="L35" t="n">
        <v>1933</v>
      </c>
    </row>
    <row r="36">
      <c r="L36" t="n">
        <v>1934</v>
      </c>
    </row>
    <row r="37">
      <c r="L37" t="n">
        <v>1935</v>
      </c>
    </row>
    <row r="38">
      <c r="L38" t="n">
        <v>1936</v>
      </c>
    </row>
    <row r="39">
      <c r="L39" t="n">
        <v>1937</v>
      </c>
    </row>
    <row r="40">
      <c r="L40" t="n">
        <v>1938</v>
      </c>
    </row>
    <row r="41">
      <c r="L41" t="n">
        <v>1939</v>
      </c>
    </row>
    <row r="42">
      <c r="L42" t="n">
        <v>1940</v>
      </c>
    </row>
    <row r="43">
      <c r="L43" t="n">
        <v>1941</v>
      </c>
    </row>
    <row r="44">
      <c r="L44" t="n">
        <v>1942</v>
      </c>
    </row>
    <row r="45">
      <c r="L45" t="n">
        <v>1943</v>
      </c>
    </row>
    <row r="46">
      <c r="L46" t="n">
        <v>1944</v>
      </c>
    </row>
    <row r="47">
      <c r="L47" t="n">
        <v>1945</v>
      </c>
    </row>
    <row r="48">
      <c r="L48" t="n">
        <v>1946</v>
      </c>
    </row>
    <row r="49">
      <c r="L49" t="n">
        <v>1947</v>
      </c>
    </row>
    <row r="50">
      <c r="L50" t="n">
        <v>1948</v>
      </c>
    </row>
    <row r="51">
      <c r="L51" t="n">
        <v>1949</v>
      </c>
    </row>
    <row r="52">
      <c r="L52" t="n">
        <v>1950</v>
      </c>
    </row>
    <row r="53">
      <c r="L53" t="n">
        <v>1951</v>
      </c>
    </row>
    <row r="54">
      <c r="L54" t="n">
        <v>1952</v>
      </c>
    </row>
    <row r="55">
      <c r="L55" t="n">
        <v>1953</v>
      </c>
    </row>
    <row r="56">
      <c r="L56" t="n">
        <v>1954</v>
      </c>
    </row>
    <row r="57">
      <c r="L57" t="n">
        <v>1955</v>
      </c>
    </row>
    <row r="58">
      <c r="L58" t="n">
        <v>1956</v>
      </c>
    </row>
    <row r="59">
      <c r="L59" t="n">
        <v>1957</v>
      </c>
    </row>
    <row r="60">
      <c r="L60" t="n">
        <v>1958</v>
      </c>
    </row>
    <row r="61">
      <c r="L61" t="n">
        <v>1959</v>
      </c>
    </row>
    <row r="62">
      <c r="L62" t="n">
        <v>1960</v>
      </c>
    </row>
    <row r="63">
      <c r="L63" t="n">
        <v>1961</v>
      </c>
    </row>
    <row r="64">
      <c r="L64" t="n">
        <v>1962</v>
      </c>
    </row>
    <row r="65">
      <c r="L65" t="n">
        <v>1963</v>
      </c>
    </row>
    <row r="66">
      <c r="L66" t="n">
        <v>1964</v>
      </c>
    </row>
    <row r="67">
      <c r="L67" t="n">
        <v>1965</v>
      </c>
    </row>
    <row r="68">
      <c r="L68" t="n">
        <v>1966</v>
      </c>
    </row>
    <row r="69">
      <c r="L69" t="n">
        <v>1967</v>
      </c>
    </row>
    <row r="70">
      <c r="L70" t="n">
        <v>1968</v>
      </c>
    </row>
    <row r="71">
      <c r="L71" t="n">
        <v>1969</v>
      </c>
    </row>
    <row r="72">
      <c r="L72" t="n">
        <v>1970</v>
      </c>
    </row>
    <row r="73">
      <c r="L73" t="n">
        <v>1971</v>
      </c>
    </row>
    <row r="74">
      <c r="L74" t="n">
        <v>1972</v>
      </c>
    </row>
    <row r="75">
      <c r="L75" t="n">
        <v>1973</v>
      </c>
    </row>
    <row r="76">
      <c r="L76" t="n">
        <v>1974</v>
      </c>
    </row>
    <row r="77">
      <c r="L77" t="n">
        <v>1975</v>
      </c>
    </row>
    <row r="78">
      <c r="L78" t="n">
        <v>1976</v>
      </c>
    </row>
    <row r="79">
      <c r="L79" t="n">
        <v>1977</v>
      </c>
    </row>
    <row r="80">
      <c r="L80" t="n">
        <v>1978</v>
      </c>
    </row>
    <row r="81">
      <c r="L81" t="n">
        <v>1979</v>
      </c>
    </row>
    <row r="82">
      <c r="L82" t="n">
        <v>1980</v>
      </c>
    </row>
    <row r="83">
      <c r="L83" t="n">
        <v>1981</v>
      </c>
    </row>
    <row r="84">
      <c r="L84" t="n">
        <v>1982</v>
      </c>
    </row>
    <row r="85">
      <c r="L85" t="n">
        <v>1983</v>
      </c>
    </row>
    <row r="86">
      <c r="L86" t="n">
        <v>1984</v>
      </c>
    </row>
    <row r="87">
      <c r="L87" t="n">
        <v>1985</v>
      </c>
    </row>
    <row r="88">
      <c r="L88" t="n">
        <v>1986</v>
      </c>
    </row>
    <row r="89">
      <c r="L89" t="n">
        <v>1987</v>
      </c>
    </row>
    <row r="90">
      <c r="L90" t="n">
        <v>1988</v>
      </c>
    </row>
    <row r="91">
      <c r="L91" t="n">
        <v>1989</v>
      </c>
    </row>
    <row r="92">
      <c r="L92" t="n">
        <v>1990</v>
      </c>
    </row>
    <row r="93">
      <c r="L93" t="n">
        <v>1991</v>
      </c>
    </row>
    <row r="94">
      <c r="L94" t="n">
        <v>1992</v>
      </c>
    </row>
    <row r="95">
      <c r="L95" t="n">
        <v>1993</v>
      </c>
    </row>
    <row r="96">
      <c r="L96" t="n">
        <v>1994</v>
      </c>
    </row>
    <row r="97">
      <c r="L97" t="n">
        <v>1995</v>
      </c>
    </row>
    <row r="98">
      <c r="L98" t="n">
        <v>1996</v>
      </c>
    </row>
    <row r="99">
      <c r="L99" t="n">
        <v>1997</v>
      </c>
    </row>
    <row r="100">
      <c r="L100" t="n">
        <v>1998</v>
      </c>
    </row>
    <row r="101">
      <c r="L101" t="n">
        <v>1999</v>
      </c>
    </row>
    <row r="102">
      <c r="L102" t="n">
        <v>2000</v>
      </c>
    </row>
    <row r="103">
      <c r="L103" t="n">
        <v>2001</v>
      </c>
    </row>
    <row r="104">
      <c r="L104" t="n">
        <v>2002</v>
      </c>
    </row>
    <row r="105">
      <c r="L105" t="n">
        <v>2003</v>
      </c>
    </row>
    <row r="106">
      <c r="L106" t="n">
        <v>2004</v>
      </c>
    </row>
    <row r="107">
      <c r="L107" t="n">
        <v>2005</v>
      </c>
    </row>
    <row r="108">
      <c r="L108" t="n">
        <v>2006</v>
      </c>
    </row>
    <row r="109">
      <c r="L109" t="n">
        <v>2007</v>
      </c>
    </row>
    <row r="110">
      <c r="L110" t="n">
        <v>2008</v>
      </c>
    </row>
    <row r="111">
      <c r="L111" t="n">
        <v>2009</v>
      </c>
    </row>
    <row r="112">
      <c r="L112" t="n">
        <v>2010</v>
      </c>
    </row>
    <row r="113">
      <c r="L113" t="n">
        <v>2011</v>
      </c>
    </row>
    <row r="114">
      <c r="L114" t="n">
        <v>2012</v>
      </c>
    </row>
    <row r="115">
      <c r="L115" t="n">
        <v>2013</v>
      </c>
    </row>
    <row r="116">
      <c r="L116" t="n">
        <v>2014</v>
      </c>
    </row>
    <row r="117">
      <c r="L117" t="n">
        <v>2015</v>
      </c>
    </row>
    <row r="118">
      <c r="L118" t="n">
        <v>2016</v>
      </c>
    </row>
    <row r="119">
      <c r="L119" t="n">
        <v>2017</v>
      </c>
    </row>
    <row r="120">
      <c r="L120" t="n">
        <v>2018</v>
      </c>
    </row>
    <row r="121">
      <c r="L121" t="n">
        <v>2019</v>
      </c>
    </row>
    <row r="122">
      <c r="L122" t="n">
        <v>2020</v>
      </c>
    </row>
    <row r="123">
      <c r="L123" t="n">
        <v>2021</v>
      </c>
    </row>
    <row r="124">
      <c r="L124" t="n">
        <v>2022</v>
      </c>
    </row>
    <row r="125">
      <c r="L125" t="n">
        <v>2023</v>
      </c>
    </row>
    <row r="126">
      <c r="L126" t="n">
        <v>2024</v>
      </c>
    </row>
    <row r="127">
      <c r="L127" t="n">
        <v>2025</v>
      </c>
    </row>
    <row r="128">
      <c r="L128" t="n">
        <v>2026</v>
      </c>
    </row>
    <row r="129">
      <c r="L129" t="n">
        <v>2027</v>
      </c>
    </row>
    <row r="130">
      <c r="L130" t="n">
        <v>2028</v>
      </c>
    </row>
    <row r="131">
      <c r="L131" t="n">
        <v>2029</v>
      </c>
    </row>
    <row r="132">
      <c r="L132" t="n">
        <v>2030</v>
      </c>
    </row>
    <row r="133">
      <c r="L133" t="n">
        <v>2031</v>
      </c>
    </row>
    <row r="134">
      <c r="L134" t="n">
        <v>2032</v>
      </c>
    </row>
    <row r="135">
      <c r="L135" t="n">
        <v>2033</v>
      </c>
    </row>
    <row r="136">
      <c r="L136" t="n">
        <v>2034</v>
      </c>
    </row>
    <row r="137">
      <c r="L137" t="n">
        <v>2035</v>
      </c>
    </row>
    <row r="138">
      <c r="L138" t="n">
        <v>2036</v>
      </c>
    </row>
    <row r="139">
      <c r="L139" t="n">
        <v>2037</v>
      </c>
    </row>
    <row r="140">
      <c r="L140" t="n">
        <v>2038</v>
      </c>
    </row>
    <row r="141">
      <c r="L141" t="n">
        <v>2039</v>
      </c>
    </row>
    <row r="142">
      <c r="L142" t="n">
        <v>2040</v>
      </c>
    </row>
    <row r="143">
      <c r="L143" t="n">
        <v>2041</v>
      </c>
    </row>
    <row r="144">
      <c r="L144" t="n">
        <v>2042</v>
      </c>
    </row>
    <row r="145">
      <c r="L145" t="n">
        <v>2043</v>
      </c>
    </row>
    <row r="146">
      <c r="L146" t="n">
        <v>2044</v>
      </c>
    </row>
    <row r="147">
      <c r="L147" t="n">
        <v>2045</v>
      </c>
    </row>
    <row r="148">
      <c r="L148" t="n">
        <v>2046</v>
      </c>
    </row>
    <row r="149">
      <c r="L149" t="n">
        <v>2047</v>
      </c>
    </row>
    <row r="150">
      <c r="L150" t="n">
        <v>2048</v>
      </c>
    </row>
    <row r="151">
      <c r="L151" t="n">
        <v>2049</v>
      </c>
    </row>
    <row r="152">
      <c r="L152" t="n">
        <v>2050</v>
      </c>
    </row>
    <row r="153">
      <c r="L153" t="n">
        <v>2051</v>
      </c>
    </row>
    <row r="154">
      <c r="L154" t="n">
        <v>2052</v>
      </c>
    </row>
    <row r="155">
      <c r="L155" t="n">
        <v>2053</v>
      </c>
    </row>
    <row r="156">
      <c r="L156" t="n">
        <v>2054</v>
      </c>
    </row>
    <row r="157">
      <c r="L157" t="n">
        <v>2055</v>
      </c>
    </row>
    <row r="158">
      <c r="L158" t="n">
        <v>2056</v>
      </c>
    </row>
    <row r="159">
      <c r="L159" t="n">
        <v>2057</v>
      </c>
    </row>
    <row r="160">
      <c r="L160" t="n">
        <v>2058</v>
      </c>
    </row>
    <row r="161">
      <c r="L161" t="n">
        <v>2059</v>
      </c>
    </row>
    <row r="162">
      <c r="L162" t="n">
        <v>2060</v>
      </c>
    </row>
    <row r="163">
      <c r="L163" t="n">
        <v>2061</v>
      </c>
    </row>
    <row r="164">
      <c r="L164" t="n">
        <v>2062</v>
      </c>
    </row>
    <row r="165">
      <c r="L165" t="n">
        <v>2063</v>
      </c>
    </row>
    <row r="166">
      <c r="L166" t="n">
        <v>2064</v>
      </c>
    </row>
    <row r="167">
      <c r="L167" t="n">
        <v>2065</v>
      </c>
    </row>
    <row r="168">
      <c r="L168" t="n">
        <v>2066</v>
      </c>
    </row>
    <row r="169">
      <c r="L169" t="n">
        <v>2067</v>
      </c>
    </row>
    <row r="170">
      <c r="L170" t="n">
        <v>2068</v>
      </c>
    </row>
    <row r="171">
      <c r="L171" t="n">
        <v>2069</v>
      </c>
    </row>
    <row r="172">
      <c r="L172" t="n">
        <v>2070</v>
      </c>
    </row>
    <row r="173">
      <c r="L173" t="n">
        <v>2071</v>
      </c>
    </row>
    <row r="174">
      <c r="L174" t="n">
        <v>2072</v>
      </c>
    </row>
    <row r="175">
      <c r="L175" t="n">
        <v>2073</v>
      </c>
    </row>
    <row r="176">
      <c r="L176" t="n">
        <v>2074</v>
      </c>
    </row>
    <row r="177">
      <c r="L177" t="n">
        <v>2075</v>
      </c>
    </row>
    <row r="178">
      <c r="L178" t="n">
        <v>2076</v>
      </c>
    </row>
    <row r="179">
      <c r="L179" t="n">
        <v>2077</v>
      </c>
    </row>
    <row r="180">
      <c r="L180" t="n">
        <v>2078</v>
      </c>
    </row>
    <row r="181">
      <c r="L181" t="n">
        <v>2079</v>
      </c>
    </row>
    <row r="182">
      <c r="L182" t="n">
        <v>2080</v>
      </c>
    </row>
    <row r="183">
      <c r="L183" t="n">
        <v>2081</v>
      </c>
    </row>
    <row r="184">
      <c r="L184" t="n">
        <v>2082</v>
      </c>
    </row>
    <row r="185">
      <c r="L185" t="n">
        <v>2083</v>
      </c>
    </row>
    <row r="186">
      <c r="L186" t="n">
        <v>2084</v>
      </c>
    </row>
    <row r="187">
      <c r="L187" t="n">
        <v>2085</v>
      </c>
    </row>
    <row r="188">
      <c r="L188" t="n">
        <v>2086</v>
      </c>
    </row>
    <row r="189">
      <c r="L189" t="n">
        <v>2087</v>
      </c>
    </row>
    <row r="190">
      <c r="L190" t="n">
        <v>2088</v>
      </c>
    </row>
    <row r="191">
      <c r="L191" t="n">
        <v>2089</v>
      </c>
    </row>
    <row r="192">
      <c r="L192" t="n">
        <v>2090</v>
      </c>
    </row>
    <row r="193">
      <c r="L193" t="n">
        <v>2091</v>
      </c>
    </row>
    <row r="194">
      <c r="L194" t="n">
        <v>2092</v>
      </c>
    </row>
    <row r="195">
      <c r="L195" t="n">
        <v>2093</v>
      </c>
    </row>
    <row r="196">
      <c r="L196" t="n">
        <v>2094</v>
      </c>
    </row>
    <row r="197">
      <c r="L197" t="n">
        <v>2095</v>
      </c>
    </row>
    <row r="198">
      <c r="L198" t="n">
        <v>2096</v>
      </c>
    </row>
    <row r="199">
      <c r="L199" t="n">
        <v>2097</v>
      </c>
    </row>
    <row r="200">
      <c r="L200" t="n">
        <v>2098</v>
      </c>
    </row>
    <row r="201">
      <c r="L201" t="n">
        <v>2099</v>
      </c>
    </row>
    <row r="202">
      <c r="L202" t="n">
        <v>2100</v>
      </c>
    </row>
  </sheetData>
  <mergeCells>
    <mergeCell ref="A1:G1"/>
    <mergeCell ref="A2:G2"/>
    <mergeCell ref="A10:G10"/>
    <mergeCell ref="A19:G19"/>
    <mergeCell ref="A20:G20"/>
    <mergeCell ref="A21:G21"/>
  </mergeCells>
  <conditionalFormatting sqref="A12:G17">
    <cfRule type="expression" dxfId="3" priority="1">
      <formula>AND(ISNUMBER(A12),A12=$B$6)</formula>
    </cfRule>
  </conditionalFormatting>
  <dataValidations count="3">
    <dataValidation type="list" errorStyle="stop" allowBlank="1" showDropDown="0" showInputMessage="1" showErrorMessage="1" errorTitle="Choose a listed date part" error="Select a value from the dropdown." promptTitle="Date selector" prompt="Select from the dropdown to build a date in B8." sqref="B4">
      <formula1>INDIRECT("'Date Helper'!$L$2:$L$202")</formula1>
    </dataValidation>
    <dataValidation type="list" errorStyle="stop" allowBlank="1" showDropDown="0" showInputMessage="1" showErrorMessage="1" errorTitle="Choose a listed date part" error="Select a value from the dropdown." promptTitle="Date selector" prompt="Select from the dropdown to build a date in B8." sqref="B5">
      <formula1>INDIRECT("'Date Helper'!$J$2:$J$13")</formula1>
    </dataValidation>
    <dataValidation type="list" errorStyle="stop" allowBlank="1" showDropDown="0" showInputMessage="1" showErrorMessage="1" errorTitle="Choose a listed date part" error="Select a value from the dropdown." promptTitle="Date selector" prompt="Select from the dropdown to build a date in B8." sqref="B6">
      <formula1>INDIRECT("'Date Helper'!$N$2:$N$32")</formula1>
    </dataValidation>
  </dataValidations>
  <pageMargins left="0.7" right="0.7" top="0.75" bottom="0.75" header="0.3" footer="0.3"/>
</worksheet>
</file>